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11F55815-D76D-4854-8CFA-395F38150B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zea update" sheetId="7" r:id="rId1"/>
    <sheet name="fuco update" sheetId="6" r:id="rId2"/>
    <sheet name="but fuco update" sheetId="5" r:id="rId3"/>
    <sheet name="perid update" sheetId="4" r:id="rId4"/>
    <sheet name="1999-2014" sheetId="1" r:id="rId5"/>
    <sheet name="Sheet2" sheetId="2" r:id="rId6"/>
    <sheet name="Sheet3" sheetId="3" r:id="rId7"/>
  </sheets>
  <definedNames>
    <definedName name="_xlnm._FilterDatabase" localSheetId="5" hidden="1">Sheet2!$L$1:$L$368</definedName>
  </definedNames>
  <calcPr calcId="191029"/>
</workbook>
</file>

<file path=xl/calcChain.xml><?xml version="1.0" encoding="utf-8"?>
<calcChain xmlns="http://schemas.openxmlformats.org/spreadsheetml/2006/main">
  <c r="N600" i="4" l="1"/>
  <c r="N574" i="4"/>
  <c r="N576" i="4" s="1"/>
  <c r="N578" i="4" s="1"/>
  <c r="N580" i="4" s="1"/>
  <c r="N582" i="4" s="1"/>
  <c r="N584" i="4" s="1"/>
  <c r="N586" i="4" s="1"/>
  <c r="N588" i="4" s="1"/>
  <c r="N590" i="4" s="1"/>
  <c r="N592" i="4" s="1"/>
  <c r="N594" i="4" s="1"/>
  <c r="N596" i="4" s="1"/>
  <c r="N572" i="4"/>
  <c r="M572" i="4"/>
  <c r="M574" i="4"/>
  <c r="M576" i="4"/>
  <c r="M578" i="4"/>
  <c r="M580" i="4"/>
  <c r="M582" i="4"/>
  <c r="M584" i="4"/>
  <c r="M586" i="4"/>
  <c r="M588" i="4"/>
  <c r="M590" i="4"/>
  <c r="M592" i="4"/>
  <c r="M594" i="4"/>
  <c r="M596" i="4"/>
  <c r="M600" i="4"/>
  <c r="M602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600" i="4"/>
  <c r="L602" i="4"/>
  <c r="J572" i="4"/>
  <c r="J574" i="4"/>
  <c r="J576" i="4"/>
  <c r="J578" i="4"/>
  <c r="J580" i="4"/>
  <c r="J582" i="4"/>
  <c r="J584" i="4"/>
  <c r="J586" i="4"/>
  <c r="J588" i="4"/>
  <c r="J590" i="4"/>
  <c r="J592" i="4"/>
  <c r="J594" i="4"/>
  <c r="J596" i="4"/>
  <c r="J600" i="4"/>
  <c r="J602" i="4"/>
  <c r="L570" i="4"/>
  <c r="J570" i="4"/>
  <c r="L510" i="4"/>
  <c r="L512" i="4"/>
  <c r="L514" i="4"/>
  <c r="L516" i="4"/>
  <c r="L518" i="4"/>
  <c r="L524" i="4"/>
  <c r="L526" i="4"/>
  <c r="L528" i="4"/>
  <c r="L530" i="4"/>
  <c r="L532" i="4"/>
  <c r="L536" i="4"/>
  <c r="L538" i="4"/>
  <c r="L540" i="4"/>
  <c r="L542" i="4"/>
  <c r="L544" i="4"/>
  <c r="J510" i="4"/>
  <c r="J512" i="4"/>
  <c r="J514" i="4"/>
  <c r="J516" i="4"/>
  <c r="J518" i="4"/>
  <c r="J524" i="4"/>
  <c r="J526" i="4"/>
  <c r="J528" i="4"/>
  <c r="J530" i="4"/>
  <c r="J532" i="4"/>
  <c r="J536" i="4"/>
  <c r="J538" i="4"/>
  <c r="J540" i="4"/>
  <c r="J542" i="4"/>
  <c r="J544" i="4"/>
  <c r="L508" i="4"/>
  <c r="J508" i="4"/>
  <c r="L500" i="4"/>
  <c r="J500" i="4"/>
  <c r="N600" i="5"/>
  <c r="N574" i="5"/>
  <c r="N576" i="5"/>
  <c r="N578" i="5"/>
  <c r="N580" i="5" s="1"/>
  <c r="N582" i="5" s="1"/>
  <c r="N584" i="5" s="1"/>
  <c r="N586" i="5" s="1"/>
  <c r="N588" i="5" s="1"/>
  <c r="N590" i="5" s="1"/>
  <c r="N592" i="5" s="1"/>
  <c r="N594" i="5" s="1"/>
  <c r="N596" i="5" s="1"/>
  <c r="N602" i="5" s="1"/>
  <c r="N572" i="5"/>
  <c r="N570" i="5"/>
  <c r="M572" i="5"/>
  <c r="M574" i="5"/>
  <c r="M576" i="5"/>
  <c r="M578" i="5"/>
  <c r="M580" i="5"/>
  <c r="M582" i="5"/>
  <c r="M584" i="5"/>
  <c r="M586" i="5"/>
  <c r="M588" i="5"/>
  <c r="M590" i="5"/>
  <c r="M592" i="5"/>
  <c r="M594" i="5"/>
  <c r="M596" i="5"/>
  <c r="M600" i="5"/>
  <c r="M602" i="5"/>
  <c r="M570" i="5"/>
  <c r="L572" i="5"/>
  <c r="L574" i="5"/>
  <c r="L619" i="5" s="1"/>
  <c r="L576" i="5"/>
  <c r="L578" i="5"/>
  <c r="L580" i="5"/>
  <c r="L582" i="5"/>
  <c r="L584" i="5"/>
  <c r="L586" i="5"/>
  <c r="L588" i="5"/>
  <c r="L590" i="5"/>
  <c r="L592" i="5"/>
  <c r="L594" i="5"/>
  <c r="L596" i="5"/>
  <c r="L600" i="5"/>
  <c r="L602" i="5"/>
  <c r="L570" i="5"/>
  <c r="J572" i="5"/>
  <c r="J574" i="5"/>
  <c r="J576" i="5"/>
  <c r="J578" i="5"/>
  <c r="J580" i="5"/>
  <c r="J582" i="5"/>
  <c r="J584" i="5"/>
  <c r="J586" i="5"/>
  <c r="J588" i="5"/>
  <c r="J590" i="5"/>
  <c r="J592" i="5"/>
  <c r="J594" i="5"/>
  <c r="J596" i="5"/>
  <c r="J600" i="5"/>
  <c r="J602" i="5"/>
  <c r="J570" i="5"/>
  <c r="L526" i="5"/>
  <c r="L528" i="5"/>
  <c r="L530" i="5"/>
  <c r="L532" i="5"/>
  <c r="L536" i="5"/>
  <c r="L538" i="5"/>
  <c r="L540" i="5"/>
  <c r="L542" i="5"/>
  <c r="L544" i="5"/>
  <c r="L524" i="5"/>
  <c r="J526" i="5"/>
  <c r="J528" i="5"/>
  <c r="J530" i="5"/>
  <c r="J532" i="5"/>
  <c r="J536" i="5"/>
  <c r="J538" i="5"/>
  <c r="J540" i="5"/>
  <c r="J542" i="5"/>
  <c r="J544" i="5"/>
  <c r="J524" i="5"/>
  <c r="L510" i="5"/>
  <c r="L512" i="5"/>
  <c r="L514" i="5"/>
  <c r="L516" i="5"/>
  <c r="L518" i="5"/>
  <c r="J510" i="5"/>
  <c r="J512" i="5"/>
  <c r="J514" i="5"/>
  <c r="J516" i="5"/>
  <c r="J518" i="5"/>
  <c r="L508" i="5"/>
  <c r="J508" i="5"/>
  <c r="L500" i="5"/>
  <c r="J500" i="5"/>
  <c r="N600" i="6"/>
  <c r="N574" i="6"/>
  <c r="N576" i="6"/>
  <c r="N578" i="6" s="1"/>
  <c r="N580" i="6" s="1"/>
  <c r="N582" i="6" s="1"/>
  <c r="N584" i="6" s="1"/>
  <c r="N586" i="6" s="1"/>
  <c r="N588" i="6" s="1"/>
  <c r="N590" i="6" s="1"/>
  <c r="N592" i="6" s="1"/>
  <c r="N594" i="6" s="1"/>
  <c r="N596" i="6" s="1"/>
  <c r="N602" i="6" s="1"/>
  <c r="N572" i="6"/>
  <c r="M572" i="6"/>
  <c r="M574" i="6"/>
  <c r="M576" i="6"/>
  <c r="M578" i="6"/>
  <c r="M580" i="6"/>
  <c r="M582" i="6"/>
  <c r="M584" i="6"/>
  <c r="M586" i="6"/>
  <c r="M588" i="6"/>
  <c r="M590" i="6"/>
  <c r="M592" i="6"/>
  <c r="M594" i="6"/>
  <c r="M596" i="6"/>
  <c r="M600" i="6"/>
  <c r="M602" i="6"/>
  <c r="L572" i="6"/>
  <c r="L574" i="6"/>
  <c r="L576" i="6"/>
  <c r="L578" i="6"/>
  <c r="L580" i="6"/>
  <c r="L582" i="6"/>
  <c r="L584" i="6"/>
  <c r="L586" i="6"/>
  <c r="L588" i="6"/>
  <c r="L590" i="6"/>
  <c r="L592" i="6"/>
  <c r="L594" i="6"/>
  <c r="L596" i="6"/>
  <c r="L600" i="6"/>
  <c r="L602" i="6"/>
  <c r="J572" i="6"/>
  <c r="J574" i="6"/>
  <c r="J576" i="6"/>
  <c r="J578" i="6"/>
  <c r="J580" i="6"/>
  <c r="J582" i="6"/>
  <c r="J584" i="6"/>
  <c r="J586" i="6"/>
  <c r="J588" i="6"/>
  <c r="J590" i="6"/>
  <c r="J592" i="6"/>
  <c r="J594" i="6"/>
  <c r="J596" i="6"/>
  <c r="J600" i="6"/>
  <c r="J602" i="6"/>
  <c r="L570" i="6"/>
  <c r="J570" i="6"/>
  <c r="L526" i="6"/>
  <c r="L528" i="6"/>
  <c r="L530" i="6"/>
  <c r="L532" i="6"/>
  <c r="L536" i="6"/>
  <c r="L538" i="6"/>
  <c r="L540" i="6"/>
  <c r="L542" i="6"/>
  <c r="L544" i="6"/>
  <c r="L524" i="6"/>
  <c r="J536" i="6"/>
  <c r="J538" i="6"/>
  <c r="J540" i="6"/>
  <c r="J542" i="6"/>
  <c r="J544" i="6"/>
  <c r="J526" i="6"/>
  <c r="J528" i="6"/>
  <c r="J530" i="6"/>
  <c r="J532" i="6"/>
  <c r="J524" i="6"/>
  <c r="L510" i="6"/>
  <c r="L512" i="6"/>
  <c r="L514" i="6"/>
  <c r="L516" i="6"/>
  <c r="L518" i="6"/>
  <c r="L508" i="6"/>
  <c r="J510" i="6"/>
  <c r="J512" i="6"/>
  <c r="J514" i="6"/>
  <c r="J516" i="6"/>
  <c r="J518" i="6"/>
  <c r="J508" i="6"/>
  <c r="L500" i="6"/>
  <c r="J500" i="6"/>
  <c r="I602" i="4"/>
  <c r="I600" i="4"/>
  <c r="I596" i="4"/>
  <c r="I594" i="4"/>
  <c r="I592" i="4"/>
  <c r="I590" i="4"/>
  <c r="I588" i="4"/>
  <c r="I586" i="4"/>
  <c r="I584" i="4"/>
  <c r="I582" i="4"/>
  <c r="I580" i="4"/>
  <c r="I578" i="4"/>
  <c r="I576" i="4"/>
  <c r="I574" i="4"/>
  <c r="I572" i="4"/>
  <c r="I570" i="4"/>
  <c r="I544" i="4"/>
  <c r="I542" i="4"/>
  <c r="I540" i="4"/>
  <c r="I538" i="4"/>
  <c r="I536" i="4"/>
  <c r="I532" i="4"/>
  <c r="I530" i="4"/>
  <c r="I528" i="4"/>
  <c r="I526" i="4"/>
  <c r="I524" i="4"/>
  <c r="I518" i="4"/>
  <c r="I516" i="4"/>
  <c r="I514" i="4"/>
  <c r="I512" i="4"/>
  <c r="I510" i="4"/>
  <c r="I508" i="4"/>
  <c r="I500" i="4"/>
  <c r="I602" i="5"/>
  <c r="I600" i="5"/>
  <c r="I596" i="5"/>
  <c r="I594" i="5"/>
  <c r="I592" i="5"/>
  <c r="I590" i="5"/>
  <c r="I588" i="5"/>
  <c r="I586" i="5"/>
  <c r="I584" i="5"/>
  <c r="I582" i="5"/>
  <c r="I580" i="5"/>
  <c r="I578" i="5"/>
  <c r="I576" i="5"/>
  <c r="I574" i="5"/>
  <c r="I572" i="5"/>
  <c r="I570" i="5"/>
  <c r="I544" i="5"/>
  <c r="I542" i="5"/>
  <c r="I540" i="5"/>
  <c r="I538" i="5"/>
  <c r="I536" i="5"/>
  <c r="I532" i="5"/>
  <c r="I530" i="5"/>
  <c r="I528" i="5"/>
  <c r="I526" i="5"/>
  <c r="I524" i="5"/>
  <c r="I518" i="5"/>
  <c r="I516" i="5"/>
  <c r="I514" i="5"/>
  <c r="I512" i="5"/>
  <c r="I510" i="5"/>
  <c r="I508" i="5"/>
  <c r="I500" i="5"/>
  <c r="I602" i="6"/>
  <c r="I600" i="6"/>
  <c r="I596" i="6"/>
  <c r="I594" i="6"/>
  <c r="I592" i="6"/>
  <c r="I590" i="6"/>
  <c r="I588" i="6"/>
  <c r="I586" i="6"/>
  <c r="I584" i="6"/>
  <c r="I582" i="6"/>
  <c r="I580" i="6"/>
  <c r="I578" i="6"/>
  <c r="I576" i="6"/>
  <c r="I574" i="6"/>
  <c r="I572" i="6"/>
  <c r="I570" i="6"/>
  <c r="I544" i="6"/>
  <c r="I542" i="6"/>
  <c r="I540" i="6"/>
  <c r="I538" i="6"/>
  <c r="I536" i="6"/>
  <c r="I532" i="6"/>
  <c r="I530" i="6"/>
  <c r="I528" i="6"/>
  <c r="I526" i="6"/>
  <c r="I524" i="6"/>
  <c r="I518" i="6"/>
  <c r="I516" i="6"/>
  <c r="I514" i="6"/>
  <c r="I512" i="6"/>
  <c r="I510" i="6"/>
  <c r="I508" i="6"/>
  <c r="I500" i="6"/>
  <c r="N600" i="7"/>
  <c r="N574" i="7"/>
  <c r="N576" i="7"/>
  <c r="N578" i="7"/>
  <c r="N580" i="7"/>
  <c r="N582" i="7"/>
  <c r="N584" i="7" s="1"/>
  <c r="N586" i="7" s="1"/>
  <c r="N588" i="7" s="1"/>
  <c r="N590" i="7" s="1"/>
  <c r="N592" i="7" s="1"/>
  <c r="N594" i="7" s="1"/>
  <c r="N596" i="7" s="1"/>
  <c r="N602" i="7" s="1"/>
  <c r="N572" i="7"/>
  <c r="M572" i="7"/>
  <c r="M574" i="7"/>
  <c r="M576" i="7"/>
  <c r="M578" i="7"/>
  <c r="M580" i="7"/>
  <c r="M582" i="7"/>
  <c r="M584" i="7"/>
  <c r="M586" i="7"/>
  <c r="M588" i="7"/>
  <c r="M590" i="7"/>
  <c r="M592" i="7"/>
  <c r="M594" i="7"/>
  <c r="M596" i="7"/>
  <c r="M600" i="7"/>
  <c r="M602" i="7"/>
  <c r="L572" i="7"/>
  <c r="L574" i="7"/>
  <c r="L576" i="7"/>
  <c r="L578" i="7"/>
  <c r="L580" i="7"/>
  <c r="L582" i="7"/>
  <c r="L584" i="7"/>
  <c r="L586" i="7"/>
  <c r="L588" i="7"/>
  <c r="L590" i="7"/>
  <c r="L592" i="7"/>
  <c r="L594" i="7"/>
  <c r="L596" i="7"/>
  <c r="L600" i="7"/>
  <c r="L602" i="7"/>
  <c r="J572" i="7"/>
  <c r="J574" i="7"/>
  <c r="J576" i="7"/>
  <c r="J578" i="7"/>
  <c r="J580" i="7"/>
  <c r="J582" i="7"/>
  <c r="J584" i="7"/>
  <c r="J586" i="7"/>
  <c r="J588" i="7"/>
  <c r="J590" i="7"/>
  <c r="J592" i="7"/>
  <c r="J594" i="7"/>
  <c r="J596" i="7"/>
  <c r="J600" i="7"/>
  <c r="J602" i="7"/>
  <c r="I572" i="7"/>
  <c r="I574" i="7"/>
  <c r="I576" i="7"/>
  <c r="I578" i="7"/>
  <c r="I580" i="7"/>
  <c r="I582" i="7"/>
  <c r="I584" i="7"/>
  <c r="I586" i="7"/>
  <c r="I588" i="7"/>
  <c r="I590" i="7"/>
  <c r="I592" i="7"/>
  <c r="I594" i="7"/>
  <c r="I596" i="7"/>
  <c r="I600" i="7"/>
  <c r="I602" i="7"/>
  <c r="L570" i="7"/>
  <c r="J570" i="7"/>
  <c r="I570" i="7"/>
  <c r="L538" i="7"/>
  <c r="L540" i="7"/>
  <c r="L542" i="7"/>
  <c r="L544" i="7"/>
  <c r="J538" i="7"/>
  <c r="J540" i="7"/>
  <c r="J542" i="7"/>
  <c r="J544" i="7"/>
  <c r="I538" i="7"/>
  <c r="I540" i="7"/>
  <c r="I542" i="7"/>
  <c r="I544" i="7"/>
  <c r="L536" i="7"/>
  <c r="J536" i="7"/>
  <c r="I536" i="7"/>
  <c r="L526" i="7"/>
  <c r="L528" i="7"/>
  <c r="L530" i="7"/>
  <c r="L532" i="7"/>
  <c r="L518" i="7"/>
  <c r="L524" i="7"/>
  <c r="J526" i="7"/>
  <c r="J528" i="7"/>
  <c r="J530" i="7"/>
  <c r="J532" i="7"/>
  <c r="I526" i="7"/>
  <c r="I528" i="7"/>
  <c r="I530" i="7"/>
  <c r="I532" i="7"/>
  <c r="J524" i="7"/>
  <c r="I524" i="7"/>
  <c r="L510" i="7"/>
  <c r="L512" i="7"/>
  <c r="L514" i="7"/>
  <c r="L516" i="7"/>
  <c r="J510" i="7"/>
  <c r="J512" i="7"/>
  <c r="J514" i="7"/>
  <c r="J516" i="7"/>
  <c r="J518" i="7"/>
  <c r="I510" i="7"/>
  <c r="I512" i="7"/>
  <c r="I514" i="7"/>
  <c r="I516" i="7"/>
  <c r="I518" i="7"/>
  <c r="L508" i="7"/>
  <c r="J508" i="7"/>
  <c r="I508" i="7"/>
  <c r="L500" i="7"/>
  <c r="J500" i="7"/>
  <c r="I500" i="7"/>
  <c r="F620" i="7"/>
  <c r="F619" i="7"/>
  <c r="L620" i="6"/>
  <c r="M496" i="6" s="1"/>
  <c r="L619" i="6"/>
  <c r="M516" i="6" s="1"/>
  <c r="N602" i="4" l="1"/>
  <c r="L620" i="5"/>
  <c r="M532" i="5" s="1"/>
  <c r="M570" i="6"/>
  <c r="M542" i="6"/>
  <c r="M540" i="6"/>
  <c r="M538" i="6"/>
  <c r="M536" i="6"/>
  <c r="M530" i="6"/>
  <c r="M528" i="6"/>
  <c r="M544" i="6"/>
  <c r="M526" i="6"/>
  <c r="M532" i="6"/>
  <c r="M524" i="6"/>
  <c r="M514" i="6"/>
  <c r="M512" i="6"/>
  <c r="M518" i="6"/>
  <c r="M510" i="6"/>
  <c r="M346" i="6"/>
  <c r="M508" i="6"/>
  <c r="M24" i="6"/>
  <c r="M26" i="6"/>
  <c r="M82" i="6"/>
  <c r="M327" i="6"/>
  <c r="M500" i="6"/>
  <c r="M194" i="6"/>
  <c r="M212" i="6"/>
  <c r="M86" i="6"/>
  <c r="M434" i="6"/>
  <c r="M258" i="6"/>
  <c r="M277" i="6"/>
  <c r="M130" i="6"/>
  <c r="M396" i="6"/>
  <c r="M148" i="6"/>
  <c r="M470" i="6"/>
  <c r="M156" i="6"/>
  <c r="M48" i="6"/>
  <c r="M180" i="6"/>
  <c r="M311" i="6"/>
  <c r="M456" i="6"/>
  <c r="M54" i="6"/>
  <c r="M184" i="6"/>
  <c r="M248" i="6"/>
  <c r="M317" i="6"/>
  <c r="M386" i="6"/>
  <c r="M460" i="6"/>
  <c r="M414" i="6"/>
  <c r="M28" i="6"/>
  <c r="M90" i="6"/>
  <c r="M152" i="6"/>
  <c r="M216" i="6"/>
  <c r="M281" i="6"/>
  <c r="M350" i="6"/>
  <c r="M418" i="6"/>
  <c r="M42" i="6"/>
  <c r="M6" i="6"/>
  <c r="M114" i="6"/>
  <c r="M244" i="6"/>
  <c r="M382" i="6"/>
  <c r="M16" i="6"/>
  <c r="M118" i="6"/>
  <c r="M22" i="6"/>
  <c r="M56" i="6"/>
  <c r="M124" i="6"/>
  <c r="M188" i="6"/>
  <c r="M252" i="6"/>
  <c r="M321" i="6"/>
  <c r="M390" i="6"/>
  <c r="M464" i="6"/>
  <c r="M96" i="6"/>
  <c r="M220" i="6"/>
  <c r="M285" i="6"/>
  <c r="M354" i="6"/>
  <c r="M422" i="6"/>
  <c r="M44" i="6"/>
  <c r="M98" i="6"/>
  <c r="M162" i="6"/>
  <c r="M226" i="6"/>
  <c r="M291" i="6"/>
  <c r="M360" i="6"/>
  <c r="L619" i="7"/>
  <c r="L620" i="7"/>
  <c r="M514" i="7" s="1"/>
  <c r="Z460" i="7"/>
  <c r="M132" i="6"/>
  <c r="M196" i="6"/>
  <c r="M260" i="6"/>
  <c r="M329" i="6"/>
  <c r="M398" i="6"/>
  <c r="M478" i="6"/>
  <c r="M32" i="6"/>
  <c r="M102" i="6"/>
  <c r="M136" i="6"/>
  <c r="M200" i="6"/>
  <c r="M264" i="6"/>
  <c r="M333" i="6"/>
  <c r="M402" i="6"/>
  <c r="M482" i="6"/>
  <c r="M10" i="6"/>
  <c r="M38" i="6"/>
  <c r="M64" i="6"/>
  <c r="M106" i="6"/>
  <c r="M140" i="6"/>
  <c r="M172" i="6"/>
  <c r="M204" i="6"/>
  <c r="M236" i="6"/>
  <c r="M268" i="6"/>
  <c r="M302" i="6"/>
  <c r="M337" i="6"/>
  <c r="M372" i="6"/>
  <c r="M406" i="6"/>
  <c r="M448" i="6"/>
  <c r="M486" i="6"/>
  <c r="M164" i="6"/>
  <c r="M228" i="6"/>
  <c r="M293" i="6"/>
  <c r="M363" i="6"/>
  <c r="M436" i="6"/>
  <c r="M8" i="6"/>
  <c r="M60" i="6"/>
  <c r="M168" i="6"/>
  <c r="M232" i="6"/>
  <c r="M298" i="6"/>
  <c r="M367" i="6"/>
  <c r="M442" i="6"/>
  <c r="M12" i="6"/>
  <c r="M40" i="6"/>
  <c r="M80" i="6"/>
  <c r="M112" i="6"/>
  <c r="M146" i="6"/>
  <c r="M178" i="6"/>
  <c r="M210" i="6"/>
  <c r="M242" i="6"/>
  <c r="M275" i="6"/>
  <c r="M309" i="6"/>
  <c r="M344" i="6"/>
  <c r="M378" i="6"/>
  <c r="M412" i="6"/>
  <c r="M454" i="6"/>
  <c r="M492" i="6"/>
  <c r="M58" i="6"/>
  <c r="M84" i="6"/>
  <c r="M100" i="6"/>
  <c r="M116" i="6"/>
  <c r="M134" i="6"/>
  <c r="M150" i="6"/>
  <c r="M166" i="6"/>
  <c r="M182" i="6"/>
  <c r="M198" i="6"/>
  <c r="M214" i="6"/>
  <c r="M230" i="6"/>
  <c r="M246" i="6"/>
  <c r="M262" i="6"/>
  <c r="M279" i="6"/>
  <c r="M295" i="6"/>
  <c r="M314" i="6"/>
  <c r="M331" i="6"/>
  <c r="M348" i="6"/>
  <c r="M365" i="6"/>
  <c r="M384" i="6"/>
  <c r="M400" i="6"/>
  <c r="M416" i="6"/>
  <c r="M438" i="6"/>
  <c r="M458" i="6"/>
  <c r="M480" i="6"/>
  <c r="M14" i="6"/>
  <c r="M30" i="6"/>
  <c r="M46" i="6"/>
  <c r="M62" i="6"/>
  <c r="M88" i="6"/>
  <c r="M104" i="6"/>
  <c r="M122" i="6"/>
  <c r="M138" i="6"/>
  <c r="M154" i="6"/>
  <c r="M170" i="6"/>
  <c r="M186" i="6"/>
  <c r="M202" i="6"/>
  <c r="M218" i="6"/>
  <c r="M234" i="6"/>
  <c r="M250" i="6"/>
  <c r="M266" i="6"/>
  <c r="M283" i="6"/>
  <c r="M300" i="6"/>
  <c r="M319" i="6"/>
  <c r="M335" i="6"/>
  <c r="M352" i="6"/>
  <c r="M370" i="6"/>
  <c r="M388" i="6"/>
  <c r="M404" i="6"/>
  <c r="M420" i="6"/>
  <c r="M444" i="6"/>
  <c r="M462" i="6"/>
  <c r="M484" i="6"/>
  <c r="M18" i="6"/>
  <c r="M34" i="6"/>
  <c r="M50" i="6"/>
  <c r="M76" i="6"/>
  <c r="M92" i="6"/>
  <c r="M108" i="6"/>
  <c r="M126" i="6"/>
  <c r="M142" i="6"/>
  <c r="M158" i="6"/>
  <c r="M174" i="6"/>
  <c r="M190" i="6"/>
  <c r="M206" i="6"/>
  <c r="M222" i="6"/>
  <c r="M238" i="6"/>
  <c r="M254" i="6"/>
  <c r="M270" i="6"/>
  <c r="M287" i="6"/>
  <c r="M305" i="6"/>
  <c r="M323" i="6"/>
  <c r="M340" i="6"/>
  <c r="M356" i="6"/>
  <c r="M374" i="6"/>
  <c r="M392" i="6"/>
  <c r="M408" i="6"/>
  <c r="M424" i="6"/>
  <c r="M450" i="6"/>
  <c r="M466" i="6"/>
  <c r="M490" i="6"/>
  <c r="M4" i="6"/>
  <c r="N4" i="6" s="1"/>
  <c r="M20" i="6"/>
  <c r="M36" i="6"/>
  <c r="M52" i="6"/>
  <c r="M78" i="6"/>
  <c r="M94" i="6"/>
  <c r="M110" i="6"/>
  <c r="M128" i="6"/>
  <c r="M144" i="6"/>
  <c r="M160" i="6"/>
  <c r="M176" i="6"/>
  <c r="M192" i="6"/>
  <c r="M208" i="6"/>
  <c r="M224" i="6"/>
  <c r="M240" i="6"/>
  <c r="M256" i="6"/>
  <c r="M272" i="6"/>
  <c r="M289" i="6"/>
  <c r="M307" i="6"/>
  <c r="M325" i="6"/>
  <c r="M342" i="6"/>
  <c r="M358" i="6"/>
  <c r="M376" i="6"/>
  <c r="M394" i="6"/>
  <c r="M410" i="6"/>
  <c r="M430" i="6"/>
  <c r="M452" i="6"/>
  <c r="M468" i="6"/>
  <c r="Z470" i="7"/>
  <c r="Z456" i="7"/>
  <c r="Z458" i="7"/>
  <c r="Z462" i="7"/>
  <c r="Z464" i="7"/>
  <c r="Z450" i="7"/>
  <c r="Z466" i="7"/>
  <c r="Z452" i="7"/>
  <c r="Z468" i="7"/>
  <c r="Z454" i="7"/>
  <c r="M514" i="5" l="1"/>
  <c r="M526" i="5"/>
  <c r="M510" i="5"/>
  <c r="M516" i="5"/>
  <c r="M528" i="5"/>
  <c r="M500" i="5"/>
  <c r="M512" i="5"/>
  <c r="M536" i="5"/>
  <c r="M518" i="5"/>
  <c r="M538" i="5"/>
  <c r="M508" i="5"/>
  <c r="M544" i="5"/>
  <c r="M530" i="5"/>
  <c r="M540" i="5"/>
  <c r="M524" i="5"/>
  <c r="M542" i="5"/>
  <c r="N6" i="6"/>
  <c r="N8" i="6" s="1"/>
  <c r="N10" i="6" s="1"/>
  <c r="N12" i="6" s="1"/>
  <c r="N14" i="6" s="1"/>
  <c r="N16" i="6" s="1"/>
  <c r="N18" i="6" s="1"/>
  <c r="N20" i="6" s="1"/>
  <c r="N22" i="6" s="1"/>
  <c r="N24" i="6" s="1"/>
  <c r="N26" i="6" s="1"/>
  <c r="N28" i="6" s="1"/>
  <c r="N30" i="6" s="1"/>
  <c r="N32" i="6" s="1"/>
  <c r="N34" i="6" s="1"/>
  <c r="N36" i="6" s="1"/>
  <c r="N38" i="6" s="1"/>
  <c r="N40" i="6" s="1"/>
  <c r="N42" i="6" s="1"/>
  <c r="N44" i="6" s="1"/>
  <c r="N46" i="6" s="1"/>
  <c r="N48" i="6" s="1"/>
  <c r="N50" i="6" s="1"/>
  <c r="N52" i="6" s="1"/>
  <c r="N54" i="6" s="1"/>
  <c r="N56" i="6" s="1"/>
  <c r="N58" i="6" s="1"/>
  <c r="N60" i="6" s="1"/>
  <c r="N62" i="6" s="1"/>
  <c r="N64" i="6" s="1"/>
  <c r="N76" i="6" s="1"/>
  <c r="N78" i="6" s="1"/>
  <c r="N80" i="6" s="1"/>
  <c r="N82" i="6" s="1"/>
  <c r="N84" i="6" s="1"/>
  <c r="N86" i="6" s="1"/>
  <c r="N88" i="6" s="1"/>
  <c r="N90" i="6" s="1"/>
  <c r="N92" i="6" s="1"/>
  <c r="N94" i="6" s="1"/>
  <c r="N96" i="6" s="1"/>
  <c r="N98" i="6" s="1"/>
  <c r="N100" i="6" s="1"/>
  <c r="N102" i="6" s="1"/>
  <c r="N104" i="6" s="1"/>
  <c r="N106" i="6" s="1"/>
  <c r="N108" i="6" s="1"/>
  <c r="N110" i="6" s="1"/>
  <c r="N112" i="6" s="1"/>
  <c r="N114" i="6" s="1"/>
  <c r="N116" i="6" s="1"/>
  <c r="N118" i="6" s="1"/>
  <c r="N122" i="6" s="1"/>
  <c r="N124" i="6" s="1"/>
  <c r="N126" i="6" s="1"/>
  <c r="N128" i="6" s="1"/>
  <c r="N130" i="6" s="1"/>
  <c r="N132" i="6" s="1"/>
  <c r="N134" i="6" s="1"/>
  <c r="N136" i="6" s="1"/>
  <c r="N138" i="6" s="1"/>
  <c r="N140" i="6" s="1"/>
  <c r="N142" i="6" s="1"/>
  <c r="N144" i="6" s="1"/>
  <c r="N146" i="6" s="1"/>
  <c r="N148" i="6" s="1"/>
  <c r="N150" i="6" s="1"/>
  <c r="N152" i="6" s="1"/>
  <c r="N154" i="6" s="1"/>
  <c r="N156" i="6" s="1"/>
  <c r="N158" i="6" s="1"/>
  <c r="N160" i="6" s="1"/>
  <c r="N162" i="6" s="1"/>
  <c r="N164" i="6" s="1"/>
  <c r="N166" i="6" s="1"/>
  <c r="N168" i="6" s="1"/>
  <c r="N170" i="6" s="1"/>
  <c r="N172" i="6" s="1"/>
  <c r="N174" i="6" s="1"/>
  <c r="N176" i="6" s="1"/>
  <c r="N178" i="6" s="1"/>
  <c r="N180" i="6" s="1"/>
  <c r="N182" i="6" s="1"/>
  <c r="N184" i="6" s="1"/>
  <c r="N186" i="6" s="1"/>
  <c r="N188" i="6" s="1"/>
  <c r="N190" i="6" s="1"/>
  <c r="N192" i="6" s="1"/>
  <c r="N194" i="6" s="1"/>
  <c r="N196" i="6" s="1"/>
  <c r="N198" i="6" s="1"/>
  <c r="N200" i="6" s="1"/>
  <c r="N202" i="6" s="1"/>
  <c r="N204" i="6" s="1"/>
  <c r="N206" i="6" s="1"/>
  <c r="N208" i="6" s="1"/>
  <c r="N210" i="6" s="1"/>
  <c r="N212" i="6" s="1"/>
  <c r="N214" i="6" s="1"/>
  <c r="N216" i="6" s="1"/>
  <c r="N218" i="6" s="1"/>
  <c r="N220" i="6" s="1"/>
  <c r="N222" i="6" s="1"/>
  <c r="N224" i="6" s="1"/>
  <c r="N226" i="6" s="1"/>
  <c r="N228" i="6" s="1"/>
  <c r="N230" i="6" s="1"/>
  <c r="N232" i="6" s="1"/>
  <c r="N234" i="6" s="1"/>
  <c r="N236" i="6" s="1"/>
  <c r="N238" i="6" s="1"/>
  <c r="N240" i="6" s="1"/>
  <c r="N242" i="6" s="1"/>
  <c r="N244" i="6" s="1"/>
  <c r="N246" i="6" s="1"/>
  <c r="N248" i="6" s="1"/>
  <c r="N250" i="6" s="1"/>
  <c r="N252" i="6" s="1"/>
  <c r="N254" i="6" s="1"/>
  <c r="N256" i="6" s="1"/>
  <c r="N258" i="6" s="1"/>
  <c r="N260" i="6" s="1"/>
  <c r="N262" i="6" s="1"/>
  <c r="N264" i="6" s="1"/>
  <c r="N266" i="6" s="1"/>
  <c r="N268" i="6" s="1"/>
  <c r="N270" i="6" s="1"/>
  <c r="N272" i="6" s="1"/>
  <c r="N275" i="6" s="1"/>
  <c r="N277" i="6" s="1"/>
  <c r="N279" i="6" s="1"/>
  <c r="N281" i="6" s="1"/>
  <c r="N283" i="6" s="1"/>
  <c r="N285" i="6" s="1"/>
  <c r="N287" i="6" s="1"/>
  <c r="N289" i="6" s="1"/>
  <c r="N291" i="6" s="1"/>
  <c r="N293" i="6" s="1"/>
  <c r="N295" i="6" s="1"/>
  <c r="N298" i="6" s="1"/>
  <c r="N300" i="6" s="1"/>
  <c r="N302" i="6" s="1"/>
  <c r="N305" i="6" s="1"/>
  <c r="N307" i="6" s="1"/>
  <c r="N309" i="6" s="1"/>
  <c r="N311" i="6" s="1"/>
  <c r="N314" i="6" s="1"/>
  <c r="N317" i="6" s="1"/>
  <c r="N319" i="6" s="1"/>
  <c r="N321" i="6" s="1"/>
  <c r="N323" i="6" s="1"/>
  <c r="N325" i="6" s="1"/>
  <c r="N327" i="6" s="1"/>
  <c r="N329" i="6" s="1"/>
  <c r="N331" i="6" s="1"/>
  <c r="N333" i="6" s="1"/>
  <c r="N335" i="6" s="1"/>
  <c r="N337" i="6" s="1"/>
  <c r="N340" i="6" s="1"/>
  <c r="N342" i="6" s="1"/>
  <c r="N344" i="6" s="1"/>
  <c r="N346" i="6" s="1"/>
  <c r="N348" i="6" s="1"/>
  <c r="N350" i="6" s="1"/>
  <c r="N352" i="6" s="1"/>
  <c r="N354" i="6" s="1"/>
  <c r="N356" i="6" s="1"/>
  <c r="N358" i="6" s="1"/>
  <c r="N360" i="6" s="1"/>
  <c r="N363" i="6" s="1"/>
  <c r="N365" i="6" s="1"/>
  <c r="N367" i="6" s="1"/>
  <c r="N370" i="6" s="1"/>
  <c r="N372" i="6" s="1"/>
  <c r="N374" i="6" s="1"/>
  <c r="N376" i="6" s="1"/>
  <c r="N378" i="6" s="1"/>
  <c r="N382" i="6" s="1"/>
  <c r="N384" i="6" s="1"/>
  <c r="N386" i="6" s="1"/>
  <c r="N388" i="6" s="1"/>
  <c r="N390" i="6" s="1"/>
  <c r="N392" i="6" s="1"/>
  <c r="N394" i="6" s="1"/>
  <c r="N396" i="6" s="1"/>
  <c r="N398" i="6" s="1"/>
  <c r="N400" i="6" s="1"/>
  <c r="N402" i="6" s="1"/>
  <c r="N404" i="6" s="1"/>
  <c r="N406" i="6" s="1"/>
  <c r="N408" i="6" s="1"/>
  <c r="N410" i="6" s="1"/>
  <c r="N412" i="6" s="1"/>
  <c r="N414" i="6" s="1"/>
  <c r="N416" i="6" s="1"/>
  <c r="N418" i="6" s="1"/>
  <c r="N420" i="6" s="1"/>
  <c r="N422" i="6" s="1"/>
  <c r="N424" i="6" s="1"/>
  <c r="N430" i="6" s="1"/>
  <c r="N434" i="6" s="1"/>
  <c r="N436" i="6" s="1"/>
  <c r="N438" i="6" s="1"/>
  <c r="N442" i="6" s="1"/>
  <c r="N444" i="6" s="1"/>
  <c r="N448" i="6" s="1"/>
  <c r="N450" i="6" s="1"/>
  <c r="N452" i="6" s="1"/>
  <c r="N454" i="6" s="1"/>
  <c r="N456" i="6" s="1"/>
  <c r="N458" i="6" s="1"/>
  <c r="N460" i="6" s="1"/>
  <c r="N462" i="6" s="1"/>
  <c r="N464" i="6" s="1"/>
  <c r="N466" i="6" s="1"/>
  <c r="N468" i="6" s="1"/>
  <c r="N470" i="6" s="1"/>
  <c r="N478" i="6" s="1"/>
  <c r="N480" i="6" s="1"/>
  <c r="N482" i="6" s="1"/>
  <c r="N484" i="6" s="1"/>
  <c r="N486" i="6" s="1"/>
  <c r="N490" i="6" s="1"/>
  <c r="N492" i="6" s="1"/>
  <c r="N496" i="6" s="1"/>
  <c r="N500" i="6" s="1"/>
  <c r="N508" i="6" s="1"/>
  <c r="N510" i="6" s="1"/>
  <c r="N512" i="6" s="1"/>
  <c r="N514" i="6" s="1"/>
  <c r="N516" i="6" s="1"/>
  <c r="N518" i="6" s="1"/>
  <c r="N524" i="6" s="1"/>
  <c r="N526" i="6" s="1"/>
  <c r="N528" i="6" s="1"/>
  <c r="N530" i="6" s="1"/>
  <c r="N532" i="6" s="1"/>
  <c r="N536" i="6" s="1"/>
  <c r="N538" i="6" s="1"/>
  <c r="N540" i="6" s="1"/>
  <c r="N542" i="6" s="1"/>
  <c r="N544" i="6" s="1"/>
  <c r="N570" i="6" s="1"/>
  <c r="M570" i="7"/>
  <c r="M542" i="7"/>
  <c r="M538" i="7"/>
  <c r="M540" i="7"/>
  <c r="M544" i="7"/>
  <c r="M536" i="7"/>
  <c r="M524" i="7"/>
  <c r="M528" i="7"/>
  <c r="M530" i="7"/>
  <c r="M526" i="7"/>
  <c r="M532" i="7"/>
  <c r="M508" i="7"/>
  <c r="M500" i="7"/>
  <c r="M516" i="7"/>
  <c r="M518" i="7"/>
  <c r="M510" i="7"/>
  <c r="M512" i="7"/>
  <c r="I275" i="7"/>
  <c r="Z275" i="7" s="1"/>
  <c r="J496" i="4"/>
  <c r="I496" i="4"/>
  <c r="J492" i="4"/>
  <c r="L492" i="4" s="1"/>
  <c r="I492" i="4"/>
  <c r="J490" i="4"/>
  <c r="L490" i="4" s="1"/>
  <c r="I490" i="4"/>
  <c r="J486" i="4"/>
  <c r="I486" i="4"/>
  <c r="J484" i="4"/>
  <c r="I484" i="4"/>
  <c r="L482" i="4"/>
  <c r="J482" i="4"/>
  <c r="I482" i="4"/>
  <c r="J480" i="4"/>
  <c r="I480" i="4"/>
  <c r="J478" i="4"/>
  <c r="I478" i="4"/>
  <c r="J496" i="5"/>
  <c r="I496" i="5"/>
  <c r="J492" i="5"/>
  <c r="I492" i="5"/>
  <c r="J490" i="5"/>
  <c r="I490" i="5"/>
  <c r="J486" i="5"/>
  <c r="I486" i="5"/>
  <c r="J484" i="5"/>
  <c r="I484" i="5"/>
  <c r="J482" i="5"/>
  <c r="I482" i="5"/>
  <c r="J480" i="5"/>
  <c r="I480" i="5"/>
  <c r="J478" i="5"/>
  <c r="I478" i="5"/>
  <c r="J496" i="6"/>
  <c r="L496" i="6" s="1"/>
  <c r="I496" i="6"/>
  <c r="J492" i="6"/>
  <c r="L492" i="6" s="1"/>
  <c r="I492" i="6"/>
  <c r="J490" i="6"/>
  <c r="L490" i="6" s="1"/>
  <c r="I490" i="6"/>
  <c r="J486" i="6"/>
  <c r="L486" i="6" s="1"/>
  <c r="I486" i="6"/>
  <c r="J484" i="6"/>
  <c r="L484" i="6" s="1"/>
  <c r="I484" i="6"/>
  <c r="L482" i="6"/>
  <c r="J482" i="6"/>
  <c r="I482" i="6"/>
  <c r="J480" i="6"/>
  <c r="L480" i="6" s="1"/>
  <c r="I480" i="6"/>
  <c r="J478" i="6"/>
  <c r="L478" i="6" s="1"/>
  <c r="I478" i="6"/>
  <c r="J496" i="7"/>
  <c r="I496" i="7"/>
  <c r="Z496" i="7" s="1"/>
  <c r="J492" i="7"/>
  <c r="L492" i="7" s="1"/>
  <c r="I492" i="7"/>
  <c r="Z492" i="7" s="1"/>
  <c r="J490" i="7"/>
  <c r="L490" i="7" s="1"/>
  <c r="I490" i="7"/>
  <c r="Z490" i="7" s="1"/>
  <c r="J486" i="7"/>
  <c r="I486" i="7"/>
  <c r="Z486" i="7" s="1"/>
  <c r="J484" i="7"/>
  <c r="I484" i="7"/>
  <c r="Z484" i="7" s="1"/>
  <c r="J482" i="7"/>
  <c r="I482" i="7"/>
  <c r="Z482" i="7" s="1"/>
  <c r="J480" i="7"/>
  <c r="I480" i="7"/>
  <c r="Z480" i="7" s="1"/>
  <c r="J478" i="7"/>
  <c r="I478" i="7"/>
  <c r="Z478" i="7" s="1"/>
  <c r="J424" i="7"/>
  <c r="L424" i="7" s="1"/>
  <c r="I424" i="7"/>
  <c r="Z424" i="7" s="1"/>
  <c r="J422" i="7"/>
  <c r="I422" i="7"/>
  <c r="Z422" i="7" s="1"/>
  <c r="J420" i="7"/>
  <c r="I420" i="7"/>
  <c r="Z420" i="7" s="1"/>
  <c r="J418" i="7"/>
  <c r="I418" i="7"/>
  <c r="Z418" i="7" s="1"/>
  <c r="J416" i="7"/>
  <c r="L416" i="7" s="1"/>
  <c r="I416" i="7"/>
  <c r="Z416" i="7" s="1"/>
  <c r="J414" i="7"/>
  <c r="L414" i="7" s="1"/>
  <c r="I414" i="7"/>
  <c r="Z414" i="7" s="1"/>
  <c r="J412" i="7"/>
  <c r="I412" i="7"/>
  <c r="Z412" i="7" s="1"/>
  <c r="J410" i="7"/>
  <c r="I410" i="7"/>
  <c r="Z410" i="7" s="1"/>
  <c r="J408" i="7"/>
  <c r="I408" i="7"/>
  <c r="Z408" i="7" s="1"/>
  <c r="J406" i="7"/>
  <c r="I406" i="7"/>
  <c r="Z406" i="7" s="1"/>
  <c r="J404" i="7"/>
  <c r="I404" i="7"/>
  <c r="Z404" i="7" s="1"/>
  <c r="J402" i="7"/>
  <c r="I402" i="7"/>
  <c r="Z402" i="7" s="1"/>
  <c r="J424" i="6"/>
  <c r="L424" i="6" s="1"/>
  <c r="I424" i="6"/>
  <c r="J422" i="6"/>
  <c r="L422" i="6" s="1"/>
  <c r="I422" i="6"/>
  <c r="J420" i="6"/>
  <c r="L420" i="6" s="1"/>
  <c r="I420" i="6"/>
  <c r="J418" i="6"/>
  <c r="L418" i="6" s="1"/>
  <c r="I418" i="6"/>
  <c r="J416" i="6"/>
  <c r="L416" i="6" s="1"/>
  <c r="I416" i="6"/>
  <c r="L414" i="6"/>
  <c r="J414" i="6"/>
  <c r="I414" i="6"/>
  <c r="J412" i="6"/>
  <c r="L412" i="6" s="1"/>
  <c r="I412" i="6"/>
  <c r="J410" i="6"/>
  <c r="L410" i="6" s="1"/>
  <c r="I410" i="6"/>
  <c r="J408" i="6"/>
  <c r="L408" i="6" s="1"/>
  <c r="I408" i="6"/>
  <c r="J406" i="6"/>
  <c r="L406" i="6" s="1"/>
  <c r="I406" i="6"/>
  <c r="J404" i="6"/>
  <c r="L404" i="6" s="1"/>
  <c r="I404" i="6"/>
  <c r="J402" i="6"/>
  <c r="L402" i="6" s="1"/>
  <c r="I402" i="6"/>
  <c r="J424" i="5"/>
  <c r="I424" i="5"/>
  <c r="J422" i="5"/>
  <c r="I422" i="5"/>
  <c r="J420" i="5"/>
  <c r="I420" i="5"/>
  <c r="J418" i="5"/>
  <c r="I418" i="5"/>
  <c r="J416" i="5"/>
  <c r="I416" i="5"/>
  <c r="L414" i="5"/>
  <c r="J414" i="5"/>
  <c r="I414" i="5"/>
  <c r="J412" i="5"/>
  <c r="I412" i="5"/>
  <c r="J410" i="5"/>
  <c r="I410" i="5"/>
  <c r="J408" i="5"/>
  <c r="I408" i="5"/>
  <c r="J406" i="5"/>
  <c r="I406" i="5"/>
  <c r="J404" i="5"/>
  <c r="I404" i="5"/>
  <c r="J402" i="5"/>
  <c r="I402" i="5"/>
  <c r="J424" i="4"/>
  <c r="I424" i="4"/>
  <c r="J422" i="4"/>
  <c r="I422" i="4"/>
  <c r="J420" i="4"/>
  <c r="L420" i="4" s="1"/>
  <c r="I420" i="4"/>
  <c r="J418" i="4"/>
  <c r="I418" i="4"/>
  <c r="J416" i="4"/>
  <c r="I416" i="4"/>
  <c r="L416" i="4" s="1"/>
  <c r="J414" i="4"/>
  <c r="I414" i="4"/>
  <c r="J412" i="4"/>
  <c r="L412" i="4" s="1"/>
  <c r="I412" i="4"/>
  <c r="J410" i="4"/>
  <c r="I410" i="4"/>
  <c r="J408" i="4"/>
  <c r="I408" i="4"/>
  <c r="J406" i="4"/>
  <c r="I406" i="4"/>
  <c r="J404" i="4"/>
  <c r="L404" i="4" s="1"/>
  <c r="I404" i="4"/>
  <c r="J402" i="4"/>
  <c r="L402" i="4" s="1"/>
  <c r="I402" i="4"/>
  <c r="J448" i="4"/>
  <c r="I448" i="4"/>
  <c r="J444" i="4"/>
  <c r="I444" i="4"/>
  <c r="J442" i="4"/>
  <c r="I442" i="4"/>
  <c r="J438" i="4"/>
  <c r="I438" i="4"/>
  <c r="J436" i="4"/>
  <c r="I436" i="4"/>
  <c r="J434" i="4"/>
  <c r="I434" i="4"/>
  <c r="J430" i="4"/>
  <c r="I430" i="4"/>
  <c r="J448" i="5"/>
  <c r="I448" i="5"/>
  <c r="J444" i="5"/>
  <c r="I444" i="5"/>
  <c r="J442" i="5"/>
  <c r="I442" i="5"/>
  <c r="J438" i="5"/>
  <c r="I438" i="5"/>
  <c r="J436" i="5"/>
  <c r="I436" i="5"/>
  <c r="J434" i="5"/>
  <c r="I434" i="5"/>
  <c r="J430" i="5"/>
  <c r="I430" i="5"/>
  <c r="J448" i="6"/>
  <c r="I448" i="6"/>
  <c r="L448" i="6" s="1"/>
  <c r="J444" i="6"/>
  <c r="L444" i="6" s="1"/>
  <c r="I444" i="6"/>
  <c r="J442" i="6"/>
  <c r="L442" i="6" s="1"/>
  <c r="I442" i="6"/>
  <c r="J438" i="6"/>
  <c r="L438" i="6" s="1"/>
  <c r="I438" i="6"/>
  <c r="J436" i="6"/>
  <c r="I436" i="6"/>
  <c r="L436" i="6" s="1"/>
  <c r="L434" i="6"/>
  <c r="J434" i="6"/>
  <c r="I434" i="6"/>
  <c r="J430" i="6"/>
  <c r="L430" i="6" s="1"/>
  <c r="I430" i="6"/>
  <c r="J448" i="7"/>
  <c r="L448" i="7" s="1"/>
  <c r="I448" i="7"/>
  <c r="Z448" i="7" s="1"/>
  <c r="J444" i="7"/>
  <c r="I444" i="7"/>
  <c r="Z444" i="7" s="1"/>
  <c r="J442" i="7"/>
  <c r="L442" i="7" s="1"/>
  <c r="I442" i="7"/>
  <c r="Z442" i="7" s="1"/>
  <c r="J438" i="7"/>
  <c r="I438" i="7"/>
  <c r="Z438" i="7" s="1"/>
  <c r="J436" i="7"/>
  <c r="L436" i="7" s="1"/>
  <c r="I436" i="7"/>
  <c r="Z436" i="7" s="1"/>
  <c r="J434" i="7"/>
  <c r="L434" i="7" s="1"/>
  <c r="I434" i="7"/>
  <c r="Z434" i="7" s="1"/>
  <c r="J430" i="7"/>
  <c r="I430" i="7"/>
  <c r="Z430" i="7" s="1"/>
  <c r="L402" i="5" l="1"/>
  <c r="L412" i="5"/>
  <c r="L420" i="5"/>
  <c r="L484" i="5"/>
  <c r="L496" i="5"/>
  <c r="L410" i="5"/>
  <c r="L404" i="5"/>
  <c r="L406" i="5"/>
  <c r="L478" i="5"/>
  <c r="L422" i="5"/>
  <c r="L486" i="5"/>
  <c r="L408" i="5"/>
  <c r="L480" i="5"/>
  <c r="L416" i="5"/>
  <c r="L424" i="5"/>
  <c r="L490" i="5"/>
  <c r="L418" i="5"/>
  <c r="L482" i="5"/>
  <c r="L492" i="5"/>
  <c r="L414" i="4"/>
  <c r="L430" i="4"/>
  <c r="L434" i="4"/>
  <c r="L442" i="4"/>
  <c r="L406" i="4"/>
  <c r="L496" i="4"/>
  <c r="L444" i="4"/>
  <c r="L422" i="4"/>
  <c r="L484" i="4"/>
  <c r="L436" i="4"/>
  <c r="L448" i="4"/>
  <c r="L408" i="4"/>
  <c r="L478" i="4"/>
  <c r="L424" i="4"/>
  <c r="L486" i="4"/>
  <c r="L438" i="4"/>
  <c r="L410" i="4"/>
  <c r="L418" i="4"/>
  <c r="L480" i="4"/>
  <c r="L402" i="7"/>
  <c r="L438" i="7"/>
  <c r="L496" i="7"/>
  <c r="L430" i="7"/>
  <c r="L404" i="7"/>
  <c r="L412" i="7"/>
  <c r="L418" i="7"/>
  <c r="L478" i="7"/>
  <c r="L486" i="7"/>
  <c r="L484" i="7"/>
  <c r="L444" i="7"/>
  <c r="L410" i="7"/>
  <c r="L406" i="7"/>
  <c r="L420" i="7"/>
  <c r="L480" i="7"/>
  <c r="L408" i="7"/>
  <c r="L422" i="7"/>
  <c r="L482" i="7"/>
  <c r="J400" i="7"/>
  <c r="L400" i="7" s="1"/>
  <c r="I400" i="7"/>
  <c r="Z400" i="7" s="1"/>
  <c r="J398" i="7"/>
  <c r="I398" i="7"/>
  <c r="Z398" i="7" s="1"/>
  <c r="J396" i="7"/>
  <c r="I396" i="7"/>
  <c r="Z396" i="7" s="1"/>
  <c r="J394" i="7"/>
  <c r="I394" i="7"/>
  <c r="Z394" i="7" s="1"/>
  <c r="J392" i="7"/>
  <c r="L392" i="7" s="1"/>
  <c r="I392" i="7"/>
  <c r="Z392" i="7" s="1"/>
  <c r="J390" i="7"/>
  <c r="L390" i="7" s="1"/>
  <c r="I390" i="7"/>
  <c r="Z390" i="7" s="1"/>
  <c r="J388" i="7"/>
  <c r="I388" i="7"/>
  <c r="Z388" i="7" s="1"/>
  <c r="J386" i="7"/>
  <c r="L386" i="7" s="1"/>
  <c r="I386" i="7"/>
  <c r="Z386" i="7" s="1"/>
  <c r="J384" i="7"/>
  <c r="I384" i="7"/>
  <c r="Z384" i="7" s="1"/>
  <c r="J382" i="7"/>
  <c r="L382" i="7" s="1"/>
  <c r="I382" i="7"/>
  <c r="Z382" i="7" s="1"/>
  <c r="J378" i="7"/>
  <c r="I378" i="7"/>
  <c r="Z378" i="7" s="1"/>
  <c r="I398" i="6"/>
  <c r="J398" i="6"/>
  <c r="L398" i="6"/>
  <c r="I400" i="6"/>
  <c r="J400" i="6"/>
  <c r="L400" i="6"/>
  <c r="J396" i="6"/>
  <c r="L396" i="6" s="1"/>
  <c r="I396" i="6"/>
  <c r="J394" i="6"/>
  <c r="L394" i="6" s="1"/>
  <c r="I394" i="6"/>
  <c r="J392" i="6"/>
  <c r="L392" i="6" s="1"/>
  <c r="I392" i="6"/>
  <c r="J390" i="6"/>
  <c r="L390" i="6" s="1"/>
  <c r="I390" i="6"/>
  <c r="J388" i="6"/>
  <c r="L388" i="6" s="1"/>
  <c r="I388" i="6"/>
  <c r="L386" i="6"/>
  <c r="J386" i="6"/>
  <c r="I386" i="6"/>
  <c r="J384" i="6"/>
  <c r="L384" i="6" s="1"/>
  <c r="I384" i="6"/>
  <c r="J382" i="6"/>
  <c r="L382" i="6" s="1"/>
  <c r="I382" i="6"/>
  <c r="J378" i="6"/>
  <c r="L378" i="6" s="1"/>
  <c r="I378" i="6"/>
  <c r="J400" i="5"/>
  <c r="I400" i="5"/>
  <c r="J398" i="5"/>
  <c r="I398" i="5"/>
  <c r="J396" i="5"/>
  <c r="I396" i="5"/>
  <c r="J394" i="5"/>
  <c r="I394" i="5"/>
  <c r="J392" i="5"/>
  <c r="I392" i="5"/>
  <c r="J390" i="5"/>
  <c r="I390" i="5"/>
  <c r="J388" i="5"/>
  <c r="I388" i="5"/>
  <c r="J386" i="5"/>
  <c r="I386" i="5"/>
  <c r="J384" i="5"/>
  <c r="I384" i="5"/>
  <c r="J382" i="5"/>
  <c r="I382" i="5"/>
  <c r="J378" i="5"/>
  <c r="I378" i="5"/>
  <c r="J400" i="4"/>
  <c r="I400" i="4"/>
  <c r="J398" i="4"/>
  <c r="I398" i="4"/>
  <c r="J396" i="4"/>
  <c r="I396" i="4"/>
  <c r="J394" i="4"/>
  <c r="I394" i="4"/>
  <c r="J392" i="4"/>
  <c r="I392" i="4"/>
  <c r="J390" i="4"/>
  <c r="I390" i="4"/>
  <c r="J388" i="4"/>
  <c r="L388" i="4" s="1"/>
  <c r="I388" i="4"/>
  <c r="J386" i="4"/>
  <c r="L386" i="4" s="1"/>
  <c r="I386" i="4"/>
  <c r="J384" i="4"/>
  <c r="I384" i="4"/>
  <c r="J382" i="4"/>
  <c r="I382" i="4"/>
  <c r="J378" i="4"/>
  <c r="L378" i="4" s="1"/>
  <c r="I378" i="4"/>
  <c r="L384" i="4" l="1"/>
  <c r="L392" i="4"/>
  <c r="L396" i="4"/>
  <c r="L400" i="4"/>
  <c r="L394" i="4"/>
  <c r="L382" i="4"/>
  <c r="L390" i="4"/>
  <c r="L398" i="4"/>
  <c r="L394" i="7"/>
  <c r="L378" i="7"/>
  <c r="L388" i="7"/>
  <c r="L396" i="7"/>
  <c r="L384" i="7"/>
  <c r="L398" i="7"/>
  <c r="L374" i="6"/>
  <c r="L372" i="6"/>
  <c r="L370" i="6"/>
  <c r="L367" i="6"/>
  <c r="L365" i="6"/>
  <c r="L363" i="6"/>
  <c r="L360" i="6"/>
  <c r="L358" i="6"/>
  <c r="L356" i="6"/>
  <c r="L354" i="6"/>
  <c r="L352" i="6"/>
  <c r="L350" i="6"/>
  <c r="L348" i="6"/>
  <c r="L346" i="6"/>
  <c r="L344" i="6"/>
  <c r="L342" i="6"/>
  <c r="L340" i="6"/>
  <c r="L337" i="6"/>
  <c r="L335" i="6"/>
  <c r="L333" i="6"/>
  <c r="L331" i="6"/>
  <c r="L329" i="6"/>
  <c r="L327" i="6"/>
  <c r="L325" i="6"/>
  <c r="L323" i="6"/>
  <c r="L321" i="6"/>
  <c r="L319" i="6"/>
  <c r="L317" i="6"/>
  <c r="L314" i="6"/>
  <c r="L311" i="6"/>
  <c r="L309" i="6"/>
  <c r="L307" i="6"/>
  <c r="L305" i="6"/>
  <c r="L302" i="6"/>
  <c r="L300" i="6"/>
  <c r="L298" i="6"/>
  <c r="L295" i="6"/>
  <c r="L293" i="6"/>
  <c r="L291" i="6"/>
  <c r="L289" i="6"/>
  <c r="L287" i="6"/>
  <c r="L285" i="6"/>
  <c r="L283" i="6"/>
  <c r="L281" i="6"/>
  <c r="L279" i="6"/>
  <c r="L277" i="6"/>
  <c r="L275" i="6"/>
  <c r="L272" i="6"/>
  <c r="L270" i="6"/>
  <c r="L268" i="6"/>
  <c r="L266" i="6"/>
  <c r="L264" i="6"/>
  <c r="L262" i="6"/>
  <c r="L260" i="6"/>
  <c r="L258" i="6"/>
  <c r="L256" i="6"/>
  <c r="L254" i="6"/>
  <c r="L252" i="6"/>
  <c r="L250" i="6"/>
  <c r="L248" i="6"/>
  <c r="L246" i="6"/>
  <c r="L244" i="6"/>
  <c r="L242" i="6"/>
  <c r="L240" i="6"/>
  <c r="L238" i="6"/>
  <c r="L236" i="6"/>
  <c r="L234" i="6"/>
  <c r="L232" i="6"/>
  <c r="L230" i="6"/>
  <c r="L228" i="6"/>
  <c r="L226" i="6"/>
  <c r="L224" i="6"/>
  <c r="L222" i="6"/>
  <c r="L220" i="6"/>
  <c r="L218" i="6"/>
  <c r="L216" i="6"/>
  <c r="L214" i="6"/>
  <c r="L212" i="6"/>
  <c r="L210" i="6"/>
  <c r="L208" i="6"/>
  <c r="L206" i="6"/>
  <c r="L204" i="6"/>
  <c r="L202" i="6"/>
  <c r="L200" i="6"/>
  <c r="L198" i="6"/>
  <c r="L196" i="6"/>
  <c r="L194" i="6"/>
  <c r="L192" i="6"/>
  <c r="L190" i="6"/>
  <c r="L188" i="6"/>
  <c r="L186" i="6"/>
  <c r="L184" i="6"/>
  <c r="L182" i="6"/>
  <c r="L180" i="6"/>
  <c r="L178" i="6"/>
  <c r="L176" i="6"/>
  <c r="L174" i="6"/>
  <c r="L172" i="6"/>
  <c r="L170" i="6"/>
  <c r="L168" i="6"/>
  <c r="L166" i="6"/>
  <c r="L164" i="6"/>
  <c r="L162" i="6"/>
  <c r="L160" i="6"/>
  <c r="L158" i="6"/>
  <c r="L156" i="6"/>
  <c r="L154" i="6"/>
  <c r="L152" i="6"/>
  <c r="L150" i="6"/>
  <c r="L148" i="6"/>
  <c r="L146" i="6"/>
  <c r="L144" i="6"/>
  <c r="L142" i="6"/>
  <c r="L140" i="6"/>
  <c r="L138" i="6"/>
  <c r="L136" i="6"/>
  <c r="L134" i="6"/>
  <c r="L132" i="6"/>
  <c r="L130" i="6"/>
  <c r="L128" i="6"/>
  <c r="L126" i="6"/>
  <c r="L124" i="6"/>
  <c r="L122" i="6"/>
  <c r="L118" i="6"/>
  <c r="L116" i="6"/>
  <c r="L114" i="6"/>
  <c r="L112" i="6"/>
  <c r="L110" i="6"/>
  <c r="L108" i="6"/>
  <c r="L106" i="6"/>
  <c r="L104" i="6"/>
  <c r="L102" i="6"/>
  <c r="L100" i="6"/>
  <c r="L98" i="6"/>
  <c r="L96" i="6"/>
  <c r="L94" i="6"/>
  <c r="L92" i="6"/>
  <c r="L90" i="6"/>
  <c r="L88" i="6"/>
  <c r="L86" i="6"/>
  <c r="L84" i="6"/>
  <c r="L82" i="6"/>
  <c r="L80" i="6"/>
  <c r="L78" i="6"/>
  <c r="L76" i="6"/>
  <c r="L64" i="6"/>
  <c r="L62" i="6"/>
  <c r="L60" i="6"/>
  <c r="L58" i="6"/>
  <c r="L56" i="6"/>
  <c r="L54" i="6"/>
  <c r="L52" i="6"/>
  <c r="L50" i="6"/>
  <c r="L48" i="6"/>
  <c r="L46" i="6"/>
  <c r="L44" i="6"/>
  <c r="L42" i="6"/>
  <c r="L40" i="6"/>
  <c r="L38" i="6"/>
  <c r="L36" i="6"/>
  <c r="L34" i="6"/>
  <c r="L32" i="6"/>
  <c r="L30" i="6"/>
  <c r="L28" i="6"/>
  <c r="L26" i="6"/>
  <c r="L24" i="6"/>
  <c r="L22" i="6"/>
  <c r="L20" i="6"/>
  <c r="L18" i="6"/>
  <c r="L16" i="6"/>
  <c r="L14" i="6"/>
  <c r="L12" i="6"/>
  <c r="L10" i="6"/>
  <c r="L8" i="6"/>
  <c r="L6" i="6"/>
  <c r="L4" i="6"/>
  <c r="L374" i="7"/>
  <c r="L372" i="7"/>
  <c r="L348" i="7"/>
  <c r="L346" i="7"/>
  <c r="L331" i="7"/>
  <c r="L329" i="7"/>
  <c r="L311" i="7"/>
  <c r="L295" i="7"/>
  <c r="L293" i="7"/>
  <c r="L279" i="7"/>
  <c r="L277" i="7"/>
  <c r="L260" i="7"/>
  <c r="L244" i="7"/>
  <c r="L228" i="7"/>
  <c r="L212" i="7"/>
  <c r="L196" i="7"/>
  <c r="L180" i="7"/>
  <c r="L164" i="7"/>
  <c r="L148" i="7"/>
  <c r="L132" i="7"/>
  <c r="L116" i="7"/>
  <c r="L100" i="7"/>
  <c r="L84" i="7"/>
  <c r="J376" i="7"/>
  <c r="I376" i="7"/>
  <c r="Z376" i="7" s="1"/>
  <c r="J374" i="7"/>
  <c r="I374" i="7"/>
  <c r="Z374" i="7" s="1"/>
  <c r="J372" i="7"/>
  <c r="I372" i="7"/>
  <c r="Z372" i="7" s="1"/>
  <c r="J370" i="7"/>
  <c r="L370" i="7" s="1"/>
  <c r="I370" i="7"/>
  <c r="Z370" i="7" s="1"/>
  <c r="J367" i="7"/>
  <c r="L367" i="7" s="1"/>
  <c r="I367" i="7"/>
  <c r="Z367" i="7" s="1"/>
  <c r="J365" i="7"/>
  <c r="L365" i="7" s="1"/>
  <c r="I365" i="7"/>
  <c r="Z365" i="7" s="1"/>
  <c r="J363" i="7"/>
  <c r="L363" i="7" s="1"/>
  <c r="I363" i="7"/>
  <c r="Z363" i="7" s="1"/>
  <c r="J360" i="7"/>
  <c r="L360" i="7" s="1"/>
  <c r="I360" i="7"/>
  <c r="Z360" i="7" s="1"/>
  <c r="J358" i="7"/>
  <c r="I358" i="7"/>
  <c r="Z358" i="7" s="1"/>
  <c r="J356" i="7"/>
  <c r="L356" i="7" s="1"/>
  <c r="I356" i="7"/>
  <c r="Z356" i="7" s="1"/>
  <c r="J354" i="7"/>
  <c r="L354" i="7" s="1"/>
  <c r="I354" i="7"/>
  <c r="Z354" i="7" s="1"/>
  <c r="J352" i="7"/>
  <c r="L352" i="7" s="1"/>
  <c r="I352" i="7"/>
  <c r="Z352" i="7" s="1"/>
  <c r="J350" i="7"/>
  <c r="L350" i="7" s="1"/>
  <c r="I350" i="7"/>
  <c r="Z350" i="7" s="1"/>
  <c r="J348" i="7"/>
  <c r="I348" i="7"/>
  <c r="Z348" i="7" s="1"/>
  <c r="J346" i="7"/>
  <c r="I346" i="7"/>
  <c r="Z346" i="7" s="1"/>
  <c r="J344" i="7"/>
  <c r="L344" i="7" s="1"/>
  <c r="I344" i="7"/>
  <c r="Z344" i="7" s="1"/>
  <c r="J342" i="7"/>
  <c r="I342" i="7"/>
  <c r="Z342" i="7" s="1"/>
  <c r="J340" i="7"/>
  <c r="L340" i="7" s="1"/>
  <c r="I340" i="7"/>
  <c r="Z340" i="7" s="1"/>
  <c r="J337" i="7"/>
  <c r="L337" i="7" s="1"/>
  <c r="I337" i="7"/>
  <c r="Z337" i="7" s="1"/>
  <c r="J335" i="7"/>
  <c r="L335" i="7" s="1"/>
  <c r="I335" i="7"/>
  <c r="Z335" i="7" s="1"/>
  <c r="J333" i="7"/>
  <c r="L333" i="7" s="1"/>
  <c r="I333" i="7"/>
  <c r="Z333" i="7" s="1"/>
  <c r="J331" i="7"/>
  <c r="I331" i="7"/>
  <c r="Z331" i="7" s="1"/>
  <c r="J329" i="7"/>
  <c r="I329" i="7"/>
  <c r="Z329" i="7" s="1"/>
  <c r="J327" i="7"/>
  <c r="L327" i="7" s="1"/>
  <c r="I327" i="7"/>
  <c r="Z327" i="7" s="1"/>
  <c r="J325" i="7"/>
  <c r="I325" i="7"/>
  <c r="Z325" i="7" s="1"/>
  <c r="J323" i="7"/>
  <c r="L323" i="7" s="1"/>
  <c r="I323" i="7"/>
  <c r="Z323" i="7" s="1"/>
  <c r="J321" i="7"/>
  <c r="L321" i="7" s="1"/>
  <c r="I321" i="7"/>
  <c r="Z321" i="7" s="1"/>
  <c r="J319" i="7"/>
  <c r="L319" i="7" s="1"/>
  <c r="I319" i="7"/>
  <c r="Z319" i="7" s="1"/>
  <c r="J317" i="7"/>
  <c r="I317" i="7"/>
  <c r="Z317" i="7" s="1"/>
  <c r="J314" i="7"/>
  <c r="L314" i="7" s="1"/>
  <c r="I314" i="7"/>
  <c r="Z314" i="7" s="1"/>
  <c r="J311" i="7"/>
  <c r="I311" i="7"/>
  <c r="Z311" i="7" s="1"/>
  <c r="J309" i="7"/>
  <c r="L309" i="7" s="1"/>
  <c r="I309" i="7"/>
  <c r="Z309" i="7" s="1"/>
  <c r="J307" i="7"/>
  <c r="I307" i="7"/>
  <c r="Z307" i="7" s="1"/>
  <c r="J305" i="7"/>
  <c r="L305" i="7" s="1"/>
  <c r="I305" i="7"/>
  <c r="Z305" i="7" s="1"/>
  <c r="J302" i="7"/>
  <c r="L302" i="7" s="1"/>
  <c r="I302" i="7"/>
  <c r="Z302" i="7" s="1"/>
  <c r="J300" i="7"/>
  <c r="L300" i="7" s="1"/>
  <c r="I300" i="7"/>
  <c r="Z300" i="7" s="1"/>
  <c r="J298" i="7"/>
  <c r="L298" i="7" s="1"/>
  <c r="I298" i="7"/>
  <c r="Z298" i="7" s="1"/>
  <c r="J295" i="7"/>
  <c r="I295" i="7"/>
  <c r="Z295" i="7" s="1"/>
  <c r="J293" i="7"/>
  <c r="I293" i="7"/>
  <c r="Z293" i="7" s="1"/>
  <c r="J291" i="7"/>
  <c r="L291" i="7" s="1"/>
  <c r="I291" i="7"/>
  <c r="Z291" i="7" s="1"/>
  <c r="J289" i="7"/>
  <c r="I289" i="7"/>
  <c r="Z289" i="7" s="1"/>
  <c r="J287" i="7"/>
  <c r="L287" i="7" s="1"/>
  <c r="I287" i="7"/>
  <c r="Z287" i="7" s="1"/>
  <c r="J285" i="7"/>
  <c r="L285" i="7" s="1"/>
  <c r="I285" i="7"/>
  <c r="Z285" i="7" s="1"/>
  <c r="J283" i="7"/>
  <c r="L283" i="7" s="1"/>
  <c r="I283" i="7"/>
  <c r="Z283" i="7" s="1"/>
  <c r="J281" i="7"/>
  <c r="L281" i="7" s="1"/>
  <c r="I281" i="7"/>
  <c r="Z281" i="7" s="1"/>
  <c r="J279" i="7"/>
  <c r="I279" i="7"/>
  <c r="Z279" i="7" s="1"/>
  <c r="J277" i="7"/>
  <c r="I277" i="7"/>
  <c r="Z277" i="7" s="1"/>
  <c r="J275" i="7"/>
  <c r="L275" i="7" s="1"/>
  <c r="J272" i="7"/>
  <c r="L272" i="7" s="1"/>
  <c r="I272" i="7"/>
  <c r="Z272" i="7" s="1"/>
  <c r="J270" i="7"/>
  <c r="L270" i="7" s="1"/>
  <c r="I270" i="7"/>
  <c r="Z270" i="7" s="1"/>
  <c r="J268" i="7"/>
  <c r="L268" i="7" s="1"/>
  <c r="I268" i="7"/>
  <c r="Z268" i="7" s="1"/>
  <c r="J266" i="7"/>
  <c r="L266" i="7" s="1"/>
  <c r="I266" i="7"/>
  <c r="Z266" i="7" s="1"/>
  <c r="J264" i="7"/>
  <c r="L264" i="7" s="1"/>
  <c r="I264" i="7"/>
  <c r="Z264" i="7" s="1"/>
  <c r="J262" i="7"/>
  <c r="L262" i="7" s="1"/>
  <c r="I262" i="7"/>
  <c r="Z262" i="7" s="1"/>
  <c r="J260" i="7"/>
  <c r="I260" i="7"/>
  <c r="Z260" i="7" s="1"/>
  <c r="J258" i="7"/>
  <c r="L258" i="7" s="1"/>
  <c r="I258" i="7"/>
  <c r="Z258" i="7" s="1"/>
  <c r="J256" i="7"/>
  <c r="L256" i="7" s="1"/>
  <c r="I256" i="7"/>
  <c r="Z256" i="7" s="1"/>
  <c r="J254" i="7"/>
  <c r="L254" i="7" s="1"/>
  <c r="I254" i="7"/>
  <c r="Z254" i="7" s="1"/>
  <c r="J252" i="7"/>
  <c r="L252" i="7" s="1"/>
  <c r="I252" i="7"/>
  <c r="Z252" i="7" s="1"/>
  <c r="J250" i="7"/>
  <c r="L250" i="7" s="1"/>
  <c r="I250" i="7"/>
  <c r="Z250" i="7" s="1"/>
  <c r="J248" i="7"/>
  <c r="L248" i="7" s="1"/>
  <c r="I248" i="7"/>
  <c r="Z248" i="7" s="1"/>
  <c r="J246" i="7"/>
  <c r="L246" i="7" s="1"/>
  <c r="I246" i="7"/>
  <c r="Z246" i="7" s="1"/>
  <c r="J244" i="7"/>
  <c r="I244" i="7"/>
  <c r="Z244" i="7" s="1"/>
  <c r="J242" i="7"/>
  <c r="L242" i="7" s="1"/>
  <c r="I242" i="7"/>
  <c r="Z242" i="7" s="1"/>
  <c r="J240" i="7"/>
  <c r="L240" i="7" s="1"/>
  <c r="I240" i="7"/>
  <c r="Z240" i="7" s="1"/>
  <c r="J238" i="7"/>
  <c r="L238" i="7" s="1"/>
  <c r="I238" i="7"/>
  <c r="Z238" i="7" s="1"/>
  <c r="J236" i="7"/>
  <c r="L236" i="7" s="1"/>
  <c r="I236" i="7"/>
  <c r="Z236" i="7" s="1"/>
  <c r="J234" i="7"/>
  <c r="L234" i="7" s="1"/>
  <c r="I234" i="7"/>
  <c r="Z234" i="7" s="1"/>
  <c r="J232" i="7"/>
  <c r="L232" i="7" s="1"/>
  <c r="I232" i="7"/>
  <c r="Z232" i="7" s="1"/>
  <c r="J230" i="7"/>
  <c r="L230" i="7" s="1"/>
  <c r="I230" i="7"/>
  <c r="Z230" i="7" s="1"/>
  <c r="J228" i="7"/>
  <c r="I228" i="7"/>
  <c r="Z228" i="7" s="1"/>
  <c r="J226" i="7"/>
  <c r="L226" i="7" s="1"/>
  <c r="I226" i="7"/>
  <c r="Z226" i="7" s="1"/>
  <c r="J224" i="7"/>
  <c r="L224" i="7" s="1"/>
  <c r="I224" i="7"/>
  <c r="Z224" i="7" s="1"/>
  <c r="J222" i="7"/>
  <c r="L222" i="7" s="1"/>
  <c r="I222" i="7"/>
  <c r="Z222" i="7" s="1"/>
  <c r="J220" i="7"/>
  <c r="L220" i="7" s="1"/>
  <c r="I220" i="7"/>
  <c r="Z220" i="7" s="1"/>
  <c r="J218" i="7"/>
  <c r="L218" i="7" s="1"/>
  <c r="I218" i="7"/>
  <c r="Z218" i="7" s="1"/>
  <c r="J216" i="7"/>
  <c r="L216" i="7" s="1"/>
  <c r="I216" i="7"/>
  <c r="Z216" i="7" s="1"/>
  <c r="J214" i="7"/>
  <c r="L214" i="7" s="1"/>
  <c r="I214" i="7"/>
  <c r="Z214" i="7" s="1"/>
  <c r="J212" i="7"/>
  <c r="I212" i="7"/>
  <c r="Z212" i="7" s="1"/>
  <c r="J210" i="7"/>
  <c r="L210" i="7" s="1"/>
  <c r="I210" i="7"/>
  <c r="Z210" i="7" s="1"/>
  <c r="J208" i="7"/>
  <c r="L208" i="7" s="1"/>
  <c r="I208" i="7"/>
  <c r="Z208" i="7" s="1"/>
  <c r="J206" i="7"/>
  <c r="L206" i="7" s="1"/>
  <c r="I206" i="7"/>
  <c r="Z206" i="7" s="1"/>
  <c r="J204" i="7"/>
  <c r="L204" i="7" s="1"/>
  <c r="I204" i="7"/>
  <c r="Z204" i="7" s="1"/>
  <c r="J202" i="7"/>
  <c r="L202" i="7" s="1"/>
  <c r="I202" i="7"/>
  <c r="Z202" i="7" s="1"/>
  <c r="J200" i="7"/>
  <c r="L200" i="7" s="1"/>
  <c r="I200" i="7"/>
  <c r="Z200" i="7" s="1"/>
  <c r="J198" i="7"/>
  <c r="L198" i="7" s="1"/>
  <c r="I198" i="7"/>
  <c r="Z198" i="7" s="1"/>
  <c r="J196" i="7"/>
  <c r="I196" i="7"/>
  <c r="Z196" i="7" s="1"/>
  <c r="J194" i="7"/>
  <c r="L194" i="7" s="1"/>
  <c r="I194" i="7"/>
  <c r="Z194" i="7" s="1"/>
  <c r="J192" i="7"/>
  <c r="L192" i="7" s="1"/>
  <c r="I192" i="7"/>
  <c r="Z192" i="7" s="1"/>
  <c r="J190" i="7"/>
  <c r="L190" i="7" s="1"/>
  <c r="I190" i="7"/>
  <c r="Z190" i="7" s="1"/>
  <c r="J188" i="7"/>
  <c r="L188" i="7" s="1"/>
  <c r="I188" i="7"/>
  <c r="Z188" i="7" s="1"/>
  <c r="J186" i="7"/>
  <c r="L186" i="7" s="1"/>
  <c r="I186" i="7"/>
  <c r="Z186" i="7" s="1"/>
  <c r="J184" i="7"/>
  <c r="L184" i="7" s="1"/>
  <c r="I184" i="7"/>
  <c r="Z184" i="7" s="1"/>
  <c r="J182" i="7"/>
  <c r="L182" i="7" s="1"/>
  <c r="I182" i="7"/>
  <c r="Z182" i="7" s="1"/>
  <c r="J180" i="7"/>
  <c r="I180" i="7"/>
  <c r="Z180" i="7" s="1"/>
  <c r="J178" i="7"/>
  <c r="L178" i="7" s="1"/>
  <c r="I178" i="7"/>
  <c r="Z178" i="7" s="1"/>
  <c r="J176" i="7"/>
  <c r="L176" i="7" s="1"/>
  <c r="I176" i="7"/>
  <c r="Z176" i="7" s="1"/>
  <c r="J174" i="7"/>
  <c r="L174" i="7" s="1"/>
  <c r="I174" i="7"/>
  <c r="Z174" i="7" s="1"/>
  <c r="J172" i="7"/>
  <c r="L172" i="7" s="1"/>
  <c r="I172" i="7"/>
  <c r="Z172" i="7" s="1"/>
  <c r="J170" i="7"/>
  <c r="L170" i="7" s="1"/>
  <c r="I170" i="7"/>
  <c r="Z170" i="7" s="1"/>
  <c r="J168" i="7"/>
  <c r="L168" i="7" s="1"/>
  <c r="I168" i="7"/>
  <c r="Z168" i="7" s="1"/>
  <c r="J166" i="7"/>
  <c r="L166" i="7" s="1"/>
  <c r="I166" i="7"/>
  <c r="Z166" i="7" s="1"/>
  <c r="J164" i="7"/>
  <c r="I164" i="7"/>
  <c r="Z164" i="7" s="1"/>
  <c r="J162" i="7"/>
  <c r="L162" i="7" s="1"/>
  <c r="I162" i="7"/>
  <c r="Z162" i="7" s="1"/>
  <c r="J160" i="7"/>
  <c r="L160" i="7" s="1"/>
  <c r="I160" i="7"/>
  <c r="Z160" i="7" s="1"/>
  <c r="J158" i="7"/>
  <c r="L158" i="7" s="1"/>
  <c r="I158" i="7"/>
  <c r="Z158" i="7" s="1"/>
  <c r="J156" i="7"/>
  <c r="L156" i="7" s="1"/>
  <c r="I156" i="7"/>
  <c r="Z156" i="7" s="1"/>
  <c r="J154" i="7"/>
  <c r="L154" i="7" s="1"/>
  <c r="I154" i="7"/>
  <c r="Z154" i="7" s="1"/>
  <c r="J152" i="7"/>
  <c r="L152" i="7" s="1"/>
  <c r="I152" i="7"/>
  <c r="Z152" i="7" s="1"/>
  <c r="J150" i="7"/>
  <c r="L150" i="7" s="1"/>
  <c r="I150" i="7"/>
  <c r="Z150" i="7" s="1"/>
  <c r="J148" i="7"/>
  <c r="I148" i="7"/>
  <c r="Z148" i="7" s="1"/>
  <c r="J146" i="7"/>
  <c r="L146" i="7" s="1"/>
  <c r="I146" i="7"/>
  <c r="Z146" i="7" s="1"/>
  <c r="J144" i="7"/>
  <c r="L144" i="7" s="1"/>
  <c r="I144" i="7"/>
  <c r="Z144" i="7" s="1"/>
  <c r="J142" i="7"/>
  <c r="L142" i="7" s="1"/>
  <c r="I142" i="7"/>
  <c r="Z142" i="7" s="1"/>
  <c r="J140" i="7"/>
  <c r="L140" i="7" s="1"/>
  <c r="I140" i="7"/>
  <c r="Z140" i="7" s="1"/>
  <c r="J138" i="7"/>
  <c r="L138" i="7" s="1"/>
  <c r="I138" i="7"/>
  <c r="Z138" i="7" s="1"/>
  <c r="J136" i="7"/>
  <c r="L136" i="7" s="1"/>
  <c r="I136" i="7"/>
  <c r="Z136" i="7" s="1"/>
  <c r="J134" i="7"/>
  <c r="L134" i="7" s="1"/>
  <c r="I134" i="7"/>
  <c r="Z134" i="7" s="1"/>
  <c r="J132" i="7"/>
  <c r="I132" i="7"/>
  <c r="Z132" i="7" s="1"/>
  <c r="J130" i="7"/>
  <c r="L130" i="7" s="1"/>
  <c r="I130" i="7"/>
  <c r="Z130" i="7" s="1"/>
  <c r="J128" i="7"/>
  <c r="L128" i="7" s="1"/>
  <c r="I128" i="7"/>
  <c r="Z128" i="7" s="1"/>
  <c r="J126" i="7"/>
  <c r="L126" i="7" s="1"/>
  <c r="I126" i="7"/>
  <c r="Z126" i="7" s="1"/>
  <c r="J124" i="7"/>
  <c r="L124" i="7" s="1"/>
  <c r="I124" i="7"/>
  <c r="Z124" i="7" s="1"/>
  <c r="J122" i="7"/>
  <c r="L122" i="7" s="1"/>
  <c r="I122" i="7"/>
  <c r="Z122" i="7" s="1"/>
  <c r="J120" i="7"/>
  <c r="I120" i="7"/>
  <c r="J118" i="7"/>
  <c r="L118" i="7" s="1"/>
  <c r="I118" i="7"/>
  <c r="Z118" i="7" s="1"/>
  <c r="J116" i="7"/>
  <c r="I116" i="7"/>
  <c r="Z116" i="7" s="1"/>
  <c r="J114" i="7"/>
  <c r="I114" i="7"/>
  <c r="Z114" i="7" s="1"/>
  <c r="J112" i="7"/>
  <c r="L112" i="7" s="1"/>
  <c r="I112" i="7"/>
  <c r="Z112" i="7" s="1"/>
  <c r="J110" i="7"/>
  <c r="L110" i="7" s="1"/>
  <c r="I110" i="7"/>
  <c r="Z110" i="7" s="1"/>
  <c r="J108" i="7"/>
  <c r="L108" i="7" s="1"/>
  <c r="I108" i="7"/>
  <c r="Z108" i="7" s="1"/>
  <c r="J106" i="7"/>
  <c r="L106" i="7" s="1"/>
  <c r="I106" i="7"/>
  <c r="Z106" i="7" s="1"/>
  <c r="J104" i="7"/>
  <c r="L104" i="7" s="1"/>
  <c r="I104" i="7"/>
  <c r="Z104" i="7" s="1"/>
  <c r="J102" i="7"/>
  <c r="L102" i="7" s="1"/>
  <c r="I102" i="7"/>
  <c r="Z102" i="7" s="1"/>
  <c r="J100" i="7"/>
  <c r="I100" i="7"/>
  <c r="Z100" i="7" s="1"/>
  <c r="J98" i="7"/>
  <c r="I98" i="7"/>
  <c r="Z98" i="7" s="1"/>
  <c r="J96" i="7"/>
  <c r="L96" i="7" s="1"/>
  <c r="I96" i="7"/>
  <c r="Z96" i="7" s="1"/>
  <c r="J94" i="7"/>
  <c r="L94" i="7" s="1"/>
  <c r="I94" i="7"/>
  <c r="Z94" i="7" s="1"/>
  <c r="J92" i="7"/>
  <c r="L92" i="7" s="1"/>
  <c r="I92" i="7"/>
  <c r="Z92" i="7" s="1"/>
  <c r="J90" i="7"/>
  <c r="L90" i="7" s="1"/>
  <c r="I90" i="7"/>
  <c r="Z90" i="7" s="1"/>
  <c r="J88" i="7"/>
  <c r="L88" i="7" s="1"/>
  <c r="I88" i="7"/>
  <c r="Z88" i="7" s="1"/>
  <c r="J86" i="7"/>
  <c r="L86" i="7" s="1"/>
  <c r="I86" i="7"/>
  <c r="Z86" i="7" s="1"/>
  <c r="J84" i="7"/>
  <c r="I84" i="7"/>
  <c r="Z84" i="7" s="1"/>
  <c r="J82" i="7"/>
  <c r="I82" i="7"/>
  <c r="Z82" i="7" s="1"/>
  <c r="J80" i="7"/>
  <c r="L80" i="7" s="1"/>
  <c r="I80" i="7"/>
  <c r="Z80" i="7" s="1"/>
  <c r="J78" i="7"/>
  <c r="L78" i="7" s="1"/>
  <c r="I78" i="7"/>
  <c r="Z78" i="7" s="1"/>
  <c r="J76" i="7"/>
  <c r="L76" i="7" s="1"/>
  <c r="I76" i="7"/>
  <c r="Z76" i="7" s="1"/>
  <c r="J74" i="7"/>
  <c r="I74" i="7"/>
  <c r="Z74" i="7" s="1"/>
  <c r="J72" i="7"/>
  <c r="I72" i="7"/>
  <c r="Z72" i="7" s="1"/>
  <c r="J70" i="7"/>
  <c r="I70" i="7"/>
  <c r="Z70" i="7" s="1"/>
  <c r="J68" i="7"/>
  <c r="I68" i="7"/>
  <c r="Z68" i="7" s="1"/>
  <c r="J66" i="7"/>
  <c r="I66" i="7"/>
  <c r="Z66" i="7" s="1"/>
  <c r="J64" i="7"/>
  <c r="L64" i="7" s="1"/>
  <c r="I64" i="7"/>
  <c r="Z64" i="7" s="1"/>
  <c r="J62" i="7"/>
  <c r="L62" i="7" s="1"/>
  <c r="I62" i="7"/>
  <c r="Z62" i="7" s="1"/>
  <c r="J60" i="7"/>
  <c r="L60" i="7" s="1"/>
  <c r="I60" i="7"/>
  <c r="Z60" i="7" s="1"/>
  <c r="J58" i="7"/>
  <c r="L58" i="7" s="1"/>
  <c r="I58" i="7"/>
  <c r="Z58" i="7" s="1"/>
  <c r="J56" i="7"/>
  <c r="L56" i="7" s="1"/>
  <c r="I56" i="7"/>
  <c r="Z56" i="7" s="1"/>
  <c r="J54" i="7"/>
  <c r="L54" i="7" s="1"/>
  <c r="I54" i="7"/>
  <c r="Z54" i="7" s="1"/>
  <c r="J52" i="7"/>
  <c r="L52" i="7" s="1"/>
  <c r="I52" i="7"/>
  <c r="Z52" i="7" s="1"/>
  <c r="J50" i="7"/>
  <c r="L50" i="7" s="1"/>
  <c r="I50" i="7"/>
  <c r="Z50" i="7" s="1"/>
  <c r="J48" i="7"/>
  <c r="L48" i="7" s="1"/>
  <c r="I48" i="7"/>
  <c r="Z48" i="7" s="1"/>
  <c r="J46" i="7"/>
  <c r="L46" i="7" s="1"/>
  <c r="I46" i="7"/>
  <c r="Z46" i="7" s="1"/>
  <c r="J44" i="7"/>
  <c r="L44" i="7" s="1"/>
  <c r="I44" i="7"/>
  <c r="Z44" i="7" s="1"/>
  <c r="J42" i="7"/>
  <c r="L42" i="7" s="1"/>
  <c r="I42" i="7"/>
  <c r="Z42" i="7" s="1"/>
  <c r="J40" i="7"/>
  <c r="L40" i="7" s="1"/>
  <c r="I40" i="7"/>
  <c r="Z40" i="7" s="1"/>
  <c r="J38" i="7"/>
  <c r="L38" i="7" s="1"/>
  <c r="I38" i="7"/>
  <c r="Z38" i="7" s="1"/>
  <c r="J36" i="7"/>
  <c r="L36" i="7" s="1"/>
  <c r="I36" i="7"/>
  <c r="Z36" i="7" s="1"/>
  <c r="J34" i="7"/>
  <c r="L34" i="7" s="1"/>
  <c r="I34" i="7"/>
  <c r="Z34" i="7" s="1"/>
  <c r="J32" i="7"/>
  <c r="L32" i="7" s="1"/>
  <c r="I32" i="7"/>
  <c r="Z32" i="7" s="1"/>
  <c r="J30" i="7"/>
  <c r="L30" i="7" s="1"/>
  <c r="I30" i="7"/>
  <c r="Z30" i="7" s="1"/>
  <c r="J28" i="7"/>
  <c r="L28" i="7" s="1"/>
  <c r="I28" i="7"/>
  <c r="Z28" i="7" s="1"/>
  <c r="J26" i="7"/>
  <c r="L26" i="7" s="1"/>
  <c r="I26" i="7"/>
  <c r="Z26" i="7" s="1"/>
  <c r="J24" i="7"/>
  <c r="L24" i="7" s="1"/>
  <c r="I24" i="7"/>
  <c r="Z24" i="7" s="1"/>
  <c r="J22" i="7"/>
  <c r="L22" i="7" s="1"/>
  <c r="I22" i="7"/>
  <c r="Z22" i="7" s="1"/>
  <c r="J20" i="7"/>
  <c r="L20" i="7" s="1"/>
  <c r="I20" i="7"/>
  <c r="Z20" i="7" s="1"/>
  <c r="J18" i="7"/>
  <c r="L18" i="7" s="1"/>
  <c r="I18" i="7"/>
  <c r="Z18" i="7" s="1"/>
  <c r="J16" i="7"/>
  <c r="L16" i="7" s="1"/>
  <c r="I16" i="7"/>
  <c r="Z16" i="7" s="1"/>
  <c r="J14" i="7"/>
  <c r="L14" i="7" s="1"/>
  <c r="I14" i="7"/>
  <c r="Z14" i="7" s="1"/>
  <c r="J12" i="7"/>
  <c r="L12" i="7" s="1"/>
  <c r="I12" i="7"/>
  <c r="Z12" i="7" s="1"/>
  <c r="J10" i="7"/>
  <c r="L10" i="7" s="1"/>
  <c r="I10" i="7"/>
  <c r="Z10" i="7" s="1"/>
  <c r="J8" i="7"/>
  <c r="L8" i="7" s="1"/>
  <c r="I8" i="7"/>
  <c r="Z8" i="7" s="1"/>
  <c r="J6" i="7"/>
  <c r="L6" i="7" s="1"/>
  <c r="I6" i="7"/>
  <c r="Z6" i="7" s="1"/>
  <c r="J4" i="7"/>
  <c r="L4" i="7" s="1"/>
  <c r="I4" i="7"/>
  <c r="Z4" i="7" s="1"/>
  <c r="AA4" i="7" s="1"/>
  <c r="J376" i="6"/>
  <c r="I376" i="6"/>
  <c r="J374" i="6"/>
  <c r="I374" i="6"/>
  <c r="J372" i="6"/>
  <c r="I372" i="6"/>
  <c r="J370" i="6"/>
  <c r="I370" i="6"/>
  <c r="J367" i="6"/>
  <c r="I367" i="6"/>
  <c r="J365" i="6"/>
  <c r="I365" i="6"/>
  <c r="J363" i="6"/>
  <c r="I363" i="6"/>
  <c r="J360" i="6"/>
  <c r="I360" i="6"/>
  <c r="J358" i="6"/>
  <c r="I358" i="6"/>
  <c r="J356" i="6"/>
  <c r="I356" i="6"/>
  <c r="J354" i="6"/>
  <c r="I354" i="6"/>
  <c r="J352" i="6"/>
  <c r="I352" i="6"/>
  <c r="J350" i="6"/>
  <c r="I350" i="6"/>
  <c r="J348" i="6"/>
  <c r="I348" i="6"/>
  <c r="J346" i="6"/>
  <c r="I346" i="6"/>
  <c r="J344" i="6"/>
  <c r="I344" i="6"/>
  <c r="J342" i="6"/>
  <c r="I342" i="6"/>
  <c r="J340" i="6"/>
  <c r="I340" i="6"/>
  <c r="J337" i="6"/>
  <c r="I337" i="6"/>
  <c r="J335" i="6"/>
  <c r="I335" i="6"/>
  <c r="J333" i="6"/>
  <c r="I333" i="6"/>
  <c r="J331" i="6"/>
  <c r="I331" i="6"/>
  <c r="J329" i="6"/>
  <c r="I329" i="6"/>
  <c r="J327" i="6"/>
  <c r="I327" i="6"/>
  <c r="J325" i="6"/>
  <c r="I325" i="6"/>
  <c r="J323" i="6"/>
  <c r="I323" i="6"/>
  <c r="J321" i="6"/>
  <c r="I321" i="6"/>
  <c r="J319" i="6"/>
  <c r="I319" i="6"/>
  <c r="J317" i="6"/>
  <c r="I317" i="6"/>
  <c r="J314" i="6"/>
  <c r="I314" i="6"/>
  <c r="J311" i="6"/>
  <c r="I311" i="6"/>
  <c r="J309" i="6"/>
  <c r="I309" i="6"/>
  <c r="J307" i="6"/>
  <c r="I307" i="6"/>
  <c r="J305" i="6"/>
  <c r="I305" i="6"/>
  <c r="J302" i="6"/>
  <c r="I302" i="6"/>
  <c r="J300" i="6"/>
  <c r="I300" i="6"/>
  <c r="J298" i="6"/>
  <c r="I298" i="6"/>
  <c r="J295" i="6"/>
  <c r="I295" i="6"/>
  <c r="J293" i="6"/>
  <c r="I293" i="6"/>
  <c r="J291" i="6"/>
  <c r="I291" i="6"/>
  <c r="J289" i="6"/>
  <c r="I289" i="6"/>
  <c r="J287" i="6"/>
  <c r="I287" i="6"/>
  <c r="J285" i="6"/>
  <c r="I285" i="6"/>
  <c r="J283" i="6"/>
  <c r="I283" i="6"/>
  <c r="J281" i="6"/>
  <c r="I281" i="6"/>
  <c r="J279" i="6"/>
  <c r="I279" i="6"/>
  <c r="J277" i="6"/>
  <c r="I277" i="6"/>
  <c r="J275" i="6"/>
  <c r="I275" i="6"/>
  <c r="J272" i="6"/>
  <c r="I272" i="6"/>
  <c r="J270" i="6"/>
  <c r="I270" i="6"/>
  <c r="J268" i="6"/>
  <c r="I268" i="6"/>
  <c r="J266" i="6"/>
  <c r="I266" i="6"/>
  <c r="J264" i="6"/>
  <c r="I264" i="6"/>
  <c r="J262" i="6"/>
  <c r="I262" i="6"/>
  <c r="J260" i="6"/>
  <c r="I260" i="6"/>
  <c r="J258" i="6"/>
  <c r="I258" i="6"/>
  <c r="J256" i="6"/>
  <c r="I256" i="6"/>
  <c r="J254" i="6"/>
  <c r="I254" i="6"/>
  <c r="J252" i="6"/>
  <c r="I252" i="6"/>
  <c r="J250" i="6"/>
  <c r="I250" i="6"/>
  <c r="J248" i="6"/>
  <c r="I248" i="6"/>
  <c r="J246" i="6"/>
  <c r="I246" i="6"/>
  <c r="J244" i="6"/>
  <c r="I244" i="6"/>
  <c r="J242" i="6"/>
  <c r="I242" i="6"/>
  <c r="J240" i="6"/>
  <c r="I240" i="6"/>
  <c r="J238" i="6"/>
  <c r="I238" i="6"/>
  <c r="J236" i="6"/>
  <c r="I236" i="6"/>
  <c r="J234" i="6"/>
  <c r="I234" i="6"/>
  <c r="J232" i="6"/>
  <c r="I232" i="6"/>
  <c r="J230" i="6"/>
  <c r="I230" i="6"/>
  <c r="J228" i="6"/>
  <c r="I228" i="6"/>
  <c r="J226" i="6"/>
  <c r="I226" i="6"/>
  <c r="J224" i="6"/>
  <c r="I224" i="6"/>
  <c r="J222" i="6"/>
  <c r="I222" i="6"/>
  <c r="J220" i="6"/>
  <c r="I220" i="6"/>
  <c r="J218" i="6"/>
  <c r="I218" i="6"/>
  <c r="J216" i="6"/>
  <c r="I216" i="6"/>
  <c r="J214" i="6"/>
  <c r="I214" i="6"/>
  <c r="J212" i="6"/>
  <c r="I212" i="6"/>
  <c r="J210" i="6"/>
  <c r="I210" i="6"/>
  <c r="J208" i="6"/>
  <c r="I208" i="6"/>
  <c r="J206" i="6"/>
  <c r="I206" i="6"/>
  <c r="J204" i="6"/>
  <c r="I204" i="6"/>
  <c r="J202" i="6"/>
  <c r="I202" i="6"/>
  <c r="J200" i="6"/>
  <c r="I200" i="6"/>
  <c r="J198" i="6"/>
  <c r="I198" i="6"/>
  <c r="J196" i="6"/>
  <c r="I196" i="6"/>
  <c r="J194" i="6"/>
  <c r="I194" i="6"/>
  <c r="J192" i="6"/>
  <c r="I192" i="6"/>
  <c r="J190" i="6"/>
  <c r="I190" i="6"/>
  <c r="J188" i="6"/>
  <c r="I188" i="6"/>
  <c r="J186" i="6"/>
  <c r="I186" i="6"/>
  <c r="J184" i="6"/>
  <c r="I184" i="6"/>
  <c r="J182" i="6"/>
  <c r="I182" i="6"/>
  <c r="J180" i="6"/>
  <c r="I180" i="6"/>
  <c r="J178" i="6"/>
  <c r="I178" i="6"/>
  <c r="J176" i="6"/>
  <c r="I176" i="6"/>
  <c r="J174" i="6"/>
  <c r="I174" i="6"/>
  <c r="J172" i="6"/>
  <c r="I172" i="6"/>
  <c r="J170" i="6"/>
  <c r="I170" i="6"/>
  <c r="J168" i="6"/>
  <c r="I168" i="6"/>
  <c r="J166" i="6"/>
  <c r="I166" i="6"/>
  <c r="J164" i="6"/>
  <c r="I164" i="6"/>
  <c r="J162" i="6"/>
  <c r="I162" i="6"/>
  <c r="J160" i="6"/>
  <c r="I160" i="6"/>
  <c r="J158" i="6"/>
  <c r="I158" i="6"/>
  <c r="J156" i="6"/>
  <c r="I156" i="6"/>
  <c r="J154" i="6"/>
  <c r="I154" i="6"/>
  <c r="J152" i="6"/>
  <c r="I152" i="6"/>
  <c r="J150" i="6"/>
  <c r="I150" i="6"/>
  <c r="J148" i="6"/>
  <c r="I148" i="6"/>
  <c r="J146" i="6"/>
  <c r="I146" i="6"/>
  <c r="J144" i="6"/>
  <c r="I144" i="6"/>
  <c r="J142" i="6"/>
  <c r="I142" i="6"/>
  <c r="J140" i="6"/>
  <c r="I140" i="6"/>
  <c r="J138" i="6"/>
  <c r="I138" i="6"/>
  <c r="J136" i="6"/>
  <c r="I136" i="6"/>
  <c r="J134" i="6"/>
  <c r="I134" i="6"/>
  <c r="J132" i="6"/>
  <c r="I132" i="6"/>
  <c r="J130" i="6"/>
  <c r="I130" i="6"/>
  <c r="J128" i="6"/>
  <c r="I128" i="6"/>
  <c r="J126" i="6"/>
  <c r="I126" i="6"/>
  <c r="J124" i="6"/>
  <c r="I124" i="6"/>
  <c r="J122" i="6"/>
  <c r="I122" i="6"/>
  <c r="J120" i="6"/>
  <c r="I120" i="6"/>
  <c r="J118" i="6"/>
  <c r="I118" i="6"/>
  <c r="J116" i="6"/>
  <c r="I116" i="6"/>
  <c r="J114" i="6"/>
  <c r="I114" i="6"/>
  <c r="J112" i="6"/>
  <c r="I112" i="6"/>
  <c r="J110" i="6"/>
  <c r="I110" i="6"/>
  <c r="J108" i="6"/>
  <c r="I108" i="6"/>
  <c r="J106" i="6"/>
  <c r="I106" i="6"/>
  <c r="J104" i="6"/>
  <c r="I104" i="6"/>
  <c r="J102" i="6"/>
  <c r="I102" i="6"/>
  <c r="J100" i="6"/>
  <c r="I100" i="6"/>
  <c r="J98" i="6"/>
  <c r="I98" i="6"/>
  <c r="J96" i="6"/>
  <c r="I96" i="6"/>
  <c r="J94" i="6"/>
  <c r="I94" i="6"/>
  <c r="J92" i="6"/>
  <c r="I92" i="6"/>
  <c r="J90" i="6"/>
  <c r="I90" i="6"/>
  <c r="J88" i="6"/>
  <c r="I88" i="6"/>
  <c r="J86" i="6"/>
  <c r="I86" i="6"/>
  <c r="J84" i="6"/>
  <c r="I84" i="6"/>
  <c r="J82" i="6"/>
  <c r="I82" i="6"/>
  <c r="J80" i="6"/>
  <c r="I80" i="6"/>
  <c r="J78" i="6"/>
  <c r="I78" i="6"/>
  <c r="J76" i="6"/>
  <c r="I76" i="6"/>
  <c r="J74" i="6"/>
  <c r="I74" i="6"/>
  <c r="J72" i="6"/>
  <c r="I72" i="6"/>
  <c r="J70" i="6"/>
  <c r="I70" i="6"/>
  <c r="J68" i="6"/>
  <c r="I68" i="6"/>
  <c r="J66" i="6"/>
  <c r="I66" i="6"/>
  <c r="J64" i="6"/>
  <c r="I64" i="6"/>
  <c r="J62" i="6"/>
  <c r="I62" i="6"/>
  <c r="J60" i="6"/>
  <c r="I60" i="6"/>
  <c r="J58" i="6"/>
  <c r="I58" i="6"/>
  <c r="J56" i="6"/>
  <c r="I56" i="6"/>
  <c r="J54" i="6"/>
  <c r="I54" i="6"/>
  <c r="J52" i="6"/>
  <c r="I52" i="6"/>
  <c r="J50" i="6"/>
  <c r="I50" i="6"/>
  <c r="J48" i="6"/>
  <c r="I48" i="6"/>
  <c r="J46" i="6"/>
  <c r="I46" i="6"/>
  <c r="J44" i="6"/>
  <c r="I44" i="6"/>
  <c r="J42" i="6"/>
  <c r="I42" i="6"/>
  <c r="J40" i="6"/>
  <c r="I40" i="6"/>
  <c r="J38" i="6"/>
  <c r="I38" i="6"/>
  <c r="J36" i="6"/>
  <c r="I36" i="6"/>
  <c r="J34" i="6"/>
  <c r="I34" i="6"/>
  <c r="J32" i="6"/>
  <c r="I32" i="6"/>
  <c r="J30" i="6"/>
  <c r="I30" i="6"/>
  <c r="J28" i="6"/>
  <c r="I28" i="6"/>
  <c r="J26" i="6"/>
  <c r="I26" i="6"/>
  <c r="J24" i="6"/>
  <c r="I24" i="6"/>
  <c r="J22" i="6"/>
  <c r="I22" i="6"/>
  <c r="J20" i="6"/>
  <c r="I20" i="6"/>
  <c r="J18" i="6"/>
  <c r="I18" i="6"/>
  <c r="J16" i="6"/>
  <c r="I16" i="6"/>
  <c r="J14" i="6"/>
  <c r="I14" i="6"/>
  <c r="J12" i="6"/>
  <c r="I12" i="6"/>
  <c r="J10" i="6"/>
  <c r="I10" i="6"/>
  <c r="J8" i="6"/>
  <c r="I8" i="6"/>
  <c r="J6" i="6"/>
  <c r="I6" i="6"/>
  <c r="J4" i="6"/>
  <c r="I4" i="6"/>
  <c r="J376" i="5"/>
  <c r="I376" i="5"/>
  <c r="J374" i="5"/>
  <c r="I374" i="5"/>
  <c r="J372" i="5"/>
  <c r="I372" i="5"/>
  <c r="J370" i="5"/>
  <c r="I370" i="5"/>
  <c r="J367" i="5"/>
  <c r="I367" i="5"/>
  <c r="J365" i="5"/>
  <c r="I365" i="5"/>
  <c r="J363" i="5"/>
  <c r="I363" i="5"/>
  <c r="J360" i="5"/>
  <c r="I360" i="5"/>
  <c r="J358" i="5"/>
  <c r="I358" i="5"/>
  <c r="J356" i="5"/>
  <c r="I356" i="5"/>
  <c r="J354" i="5"/>
  <c r="I354" i="5"/>
  <c r="J352" i="5"/>
  <c r="I352" i="5"/>
  <c r="J350" i="5"/>
  <c r="I350" i="5"/>
  <c r="J348" i="5"/>
  <c r="I348" i="5"/>
  <c r="J346" i="5"/>
  <c r="I346" i="5"/>
  <c r="J344" i="5"/>
  <c r="I344" i="5"/>
  <c r="J342" i="5"/>
  <c r="I342" i="5"/>
  <c r="J340" i="5"/>
  <c r="I340" i="5"/>
  <c r="J337" i="5"/>
  <c r="I337" i="5"/>
  <c r="J335" i="5"/>
  <c r="I335" i="5"/>
  <c r="J333" i="5"/>
  <c r="I333" i="5"/>
  <c r="J331" i="5"/>
  <c r="I331" i="5"/>
  <c r="J329" i="5"/>
  <c r="I329" i="5"/>
  <c r="J327" i="5"/>
  <c r="I327" i="5"/>
  <c r="J325" i="5"/>
  <c r="I325" i="5"/>
  <c r="J323" i="5"/>
  <c r="I323" i="5"/>
  <c r="J321" i="5"/>
  <c r="I321" i="5"/>
  <c r="J319" i="5"/>
  <c r="I319" i="5"/>
  <c r="J317" i="5"/>
  <c r="I317" i="5"/>
  <c r="J314" i="5"/>
  <c r="I314" i="5"/>
  <c r="J311" i="5"/>
  <c r="I311" i="5"/>
  <c r="J309" i="5"/>
  <c r="I309" i="5"/>
  <c r="J307" i="5"/>
  <c r="I307" i="5"/>
  <c r="J305" i="5"/>
  <c r="I305" i="5"/>
  <c r="J302" i="5"/>
  <c r="I302" i="5"/>
  <c r="J300" i="5"/>
  <c r="I300" i="5"/>
  <c r="J298" i="5"/>
  <c r="I298" i="5"/>
  <c r="J295" i="5"/>
  <c r="I295" i="5"/>
  <c r="J293" i="5"/>
  <c r="I293" i="5"/>
  <c r="J291" i="5"/>
  <c r="I291" i="5"/>
  <c r="J289" i="5"/>
  <c r="I289" i="5"/>
  <c r="J287" i="5"/>
  <c r="I287" i="5"/>
  <c r="J285" i="5"/>
  <c r="I285" i="5"/>
  <c r="J283" i="5"/>
  <c r="I283" i="5"/>
  <c r="J281" i="5"/>
  <c r="I281" i="5"/>
  <c r="J279" i="5"/>
  <c r="I279" i="5"/>
  <c r="J277" i="5"/>
  <c r="I277" i="5"/>
  <c r="J275" i="5"/>
  <c r="I275" i="5"/>
  <c r="J272" i="5"/>
  <c r="I272" i="5"/>
  <c r="J270" i="5"/>
  <c r="I270" i="5"/>
  <c r="J268" i="5"/>
  <c r="I268" i="5"/>
  <c r="J266" i="5"/>
  <c r="I266" i="5"/>
  <c r="J264" i="5"/>
  <c r="I264" i="5"/>
  <c r="J262" i="5"/>
  <c r="I262" i="5"/>
  <c r="J260" i="5"/>
  <c r="I260" i="5"/>
  <c r="J258" i="5"/>
  <c r="I258" i="5"/>
  <c r="J256" i="5"/>
  <c r="I256" i="5"/>
  <c r="J254" i="5"/>
  <c r="I254" i="5"/>
  <c r="J252" i="5"/>
  <c r="I252" i="5"/>
  <c r="J250" i="5"/>
  <c r="I250" i="5"/>
  <c r="J248" i="5"/>
  <c r="I248" i="5"/>
  <c r="J246" i="5"/>
  <c r="I246" i="5"/>
  <c r="J244" i="5"/>
  <c r="I244" i="5"/>
  <c r="J242" i="5"/>
  <c r="I242" i="5"/>
  <c r="J240" i="5"/>
  <c r="I240" i="5"/>
  <c r="J238" i="5"/>
  <c r="I238" i="5"/>
  <c r="J236" i="5"/>
  <c r="I236" i="5"/>
  <c r="J234" i="5"/>
  <c r="I234" i="5"/>
  <c r="J232" i="5"/>
  <c r="I232" i="5"/>
  <c r="J230" i="5"/>
  <c r="I230" i="5"/>
  <c r="J228" i="5"/>
  <c r="I228" i="5"/>
  <c r="J226" i="5"/>
  <c r="I226" i="5"/>
  <c r="J224" i="5"/>
  <c r="I224" i="5"/>
  <c r="J222" i="5"/>
  <c r="I222" i="5"/>
  <c r="J220" i="5"/>
  <c r="I220" i="5"/>
  <c r="J218" i="5"/>
  <c r="I218" i="5"/>
  <c r="J216" i="5"/>
  <c r="I216" i="5"/>
  <c r="J214" i="5"/>
  <c r="I214" i="5"/>
  <c r="J212" i="5"/>
  <c r="I212" i="5"/>
  <c r="J210" i="5"/>
  <c r="I210" i="5"/>
  <c r="J208" i="5"/>
  <c r="I208" i="5"/>
  <c r="J206" i="5"/>
  <c r="I206" i="5"/>
  <c r="J204" i="5"/>
  <c r="I204" i="5"/>
  <c r="J202" i="5"/>
  <c r="I202" i="5"/>
  <c r="J200" i="5"/>
  <c r="I200" i="5"/>
  <c r="J198" i="5"/>
  <c r="I198" i="5"/>
  <c r="J196" i="5"/>
  <c r="I196" i="5"/>
  <c r="J194" i="5"/>
  <c r="I194" i="5"/>
  <c r="J192" i="5"/>
  <c r="I192" i="5"/>
  <c r="J190" i="5"/>
  <c r="I190" i="5"/>
  <c r="J188" i="5"/>
  <c r="I188" i="5"/>
  <c r="J186" i="5"/>
  <c r="I186" i="5"/>
  <c r="J184" i="5"/>
  <c r="I184" i="5"/>
  <c r="J182" i="5"/>
  <c r="I182" i="5"/>
  <c r="J180" i="5"/>
  <c r="I180" i="5"/>
  <c r="J178" i="5"/>
  <c r="I178" i="5"/>
  <c r="J176" i="5"/>
  <c r="I176" i="5"/>
  <c r="J174" i="5"/>
  <c r="I174" i="5"/>
  <c r="J172" i="5"/>
  <c r="I172" i="5"/>
  <c r="J170" i="5"/>
  <c r="I170" i="5"/>
  <c r="J168" i="5"/>
  <c r="I168" i="5"/>
  <c r="J166" i="5"/>
  <c r="I166" i="5"/>
  <c r="J164" i="5"/>
  <c r="I164" i="5"/>
  <c r="J162" i="5"/>
  <c r="I162" i="5"/>
  <c r="J160" i="5"/>
  <c r="I160" i="5"/>
  <c r="J158" i="5"/>
  <c r="I158" i="5"/>
  <c r="J156" i="5"/>
  <c r="I156" i="5"/>
  <c r="J154" i="5"/>
  <c r="I154" i="5"/>
  <c r="J152" i="5"/>
  <c r="I152" i="5"/>
  <c r="J150" i="5"/>
  <c r="I150" i="5"/>
  <c r="J148" i="5"/>
  <c r="I148" i="5"/>
  <c r="J146" i="5"/>
  <c r="I146" i="5"/>
  <c r="J144" i="5"/>
  <c r="I144" i="5"/>
  <c r="J142" i="5"/>
  <c r="I142" i="5"/>
  <c r="J140" i="5"/>
  <c r="I140" i="5"/>
  <c r="J138" i="5"/>
  <c r="I138" i="5"/>
  <c r="J136" i="5"/>
  <c r="I136" i="5"/>
  <c r="J134" i="5"/>
  <c r="I134" i="5"/>
  <c r="J132" i="5"/>
  <c r="I132" i="5"/>
  <c r="J130" i="5"/>
  <c r="I130" i="5"/>
  <c r="J128" i="5"/>
  <c r="I128" i="5"/>
  <c r="J126" i="5"/>
  <c r="I126" i="5"/>
  <c r="J124" i="5"/>
  <c r="I124" i="5"/>
  <c r="J122" i="5"/>
  <c r="I122" i="5"/>
  <c r="J120" i="5"/>
  <c r="I120" i="5"/>
  <c r="J118" i="5"/>
  <c r="I118" i="5"/>
  <c r="J116" i="5"/>
  <c r="I116" i="5"/>
  <c r="J114" i="5"/>
  <c r="I114" i="5"/>
  <c r="J112" i="5"/>
  <c r="I112" i="5"/>
  <c r="J110" i="5"/>
  <c r="I110" i="5"/>
  <c r="J108" i="5"/>
  <c r="I108" i="5"/>
  <c r="J106" i="5"/>
  <c r="I106" i="5"/>
  <c r="J104" i="5"/>
  <c r="I104" i="5"/>
  <c r="J102" i="5"/>
  <c r="I102" i="5"/>
  <c r="J100" i="5"/>
  <c r="I100" i="5"/>
  <c r="J98" i="5"/>
  <c r="I98" i="5"/>
  <c r="J96" i="5"/>
  <c r="I96" i="5"/>
  <c r="J94" i="5"/>
  <c r="I94" i="5"/>
  <c r="J92" i="5"/>
  <c r="I92" i="5"/>
  <c r="J90" i="5"/>
  <c r="I90" i="5"/>
  <c r="J88" i="5"/>
  <c r="I88" i="5"/>
  <c r="J86" i="5"/>
  <c r="I86" i="5"/>
  <c r="J84" i="5"/>
  <c r="I84" i="5"/>
  <c r="J82" i="5"/>
  <c r="I82" i="5"/>
  <c r="J80" i="5"/>
  <c r="I80" i="5"/>
  <c r="J78" i="5"/>
  <c r="I78" i="5"/>
  <c r="J76" i="5"/>
  <c r="I76" i="5"/>
  <c r="J74" i="5"/>
  <c r="I74" i="5"/>
  <c r="J72" i="5"/>
  <c r="I72" i="5"/>
  <c r="J70" i="5"/>
  <c r="I70" i="5"/>
  <c r="J68" i="5"/>
  <c r="I68" i="5"/>
  <c r="J66" i="5"/>
  <c r="I66" i="5"/>
  <c r="J64" i="5"/>
  <c r="I64" i="5"/>
  <c r="I62" i="5"/>
  <c r="J60" i="5"/>
  <c r="I60" i="5"/>
  <c r="J58" i="5"/>
  <c r="I58" i="5"/>
  <c r="J56" i="5"/>
  <c r="I56" i="5"/>
  <c r="J54" i="5"/>
  <c r="I54" i="5"/>
  <c r="J52" i="5"/>
  <c r="I52" i="5"/>
  <c r="J50" i="5"/>
  <c r="I50" i="5"/>
  <c r="J48" i="5"/>
  <c r="I48" i="5"/>
  <c r="J46" i="5"/>
  <c r="I46" i="5"/>
  <c r="J44" i="5"/>
  <c r="I44" i="5"/>
  <c r="J42" i="5"/>
  <c r="I42" i="5"/>
  <c r="J40" i="5"/>
  <c r="I40" i="5"/>
  <c r="J38" i="5"/>
  <c r="I38" i="5"/>
  <c r="J36" i="5"/>
  <c r="I36" i="5"/>
  <c r="J34" i="5"/>
  <c r="I34" i="5"/>
  <c r="J32" i="5"/>
  <c r="I32" i="5"/>
  <c r="J30" i="5"/>
  <c r="I30" i="5"/>
  <c r="J28" i="5"/>
  <c r="I28" i="5"/>
  <c r="J26" i="5"/>
  <c r="I26" i="5"/>
  <c r="J24" i="5"/>
  <c r="I24" i="5"/>
  <c r="J22" i="5"/>
  <c r="I22" i="5"/>
  <c r="J20" i="5"/>
  <c r="I20" i="5"/>
  <c r="J18" i="5"/>
  <c r="I18" i="5"/>
  <c r="J16" i="5"/>
  <c r="I16" i="5"/>
  <c r="J14" i="5"/>
  <c r="I14" i="5"/>
  <c r="J12" i="5"/>
  <c r="I12" i="5"/>
  <c r="J10" i="5"/>
  <c r="I10" i="5"/>
  <c r="J8" i="5"/>
  <c r="I8" i="5"/>
  <c r="J6" i="5"/>
  <c r="I6" i="5"/>
  <c r="J4" i="5"/>
  <c r="I4" i="5"/>
  <c r="J376" i="4"/>
  <c r="I376" i="4"/>
  <c r="I374" i="4"/>
  <c r="L374" i="4" s="1"/>
  <c r="I372" i="4"/>
  <c r="L372" i="4" s="1"/>
  <c r="J370" i="4"/>
  <c r="I370" i="4"/>
  <c r="J367" i="4"/>
  <c r="I367" i="4"/>
  <c r="J365" i="4"/>
  <c r="I365" i="4"/>
  <c r="J363" i="4"/>
  <c r="I363" i="4"/>
  <c r="J360" i="4"/>
  <c r="I360" i="4"/>
  <c r="J358" i="4"/>
  <c r="I358" i="4"/>
  <c r="J356" i="4"/>
  <c r="I356" i="4"/>
  <c r="J354" i="4"/>
  <c r="I354" i="4"/>
  <c r="J352" i="4"/>
  <c r="I352" i="4"/>
  <c r="J350" i="4"/>
  <c r="I350" i="4"/>
  <c r="J348" i="4"/>
  <c r="I348" i="4"/>
  <c r="J346" i="4"/>
  <c r="I346" i="4"/>
  <c r="J344" i="4"/>
  <c r="I344" i="4"/>
  <c r="J342" i="4"/>
  <c r="I342" i="4"/>
  <c r="J340" i="4"/>
  <c r="I340" i="4"/>
  <c r="J337" i="4"/>
  <c r="I337" i="4"/>
  <c r="J335" i="4"/>
  <c r="I335" i="4"/>
  <c r="J333" i="4"/>
  <c r="I333" i="4"/>
  <c r="J331" i="4"/>
  <c r="I331" i="4"/>
  <c r="J329" i="4"/>
  <c r="I329" i="4"/>
  <c r="J327" i="4"/>
  <c r="I327" i="4"/>
  <c r="J325" i="4"/>
  <c r="I325" i="4"/>
  <c r="J323" i="4"/>
  <c r="I323" i="4"/>
  <c r="J321" i="4"/>
  <c r="I321" i="4"/>
  <c r="J319" i="4"/>
  <c r="I319" i="4"/>
  <c r="J317" i="4"/>
  <c r="I317" i="4"/>
  <c r="J314" i="4"/>
  <c r="I314" i="4"/>
  <c r="J311" i="4"/>
  <c r="I311" i="4"/>
  <c r="J309" i="4"/>
  <c r="I309" i="4"/>
  <c r="J307" i="4"/>
  <c r="I307" i="4"/>
  <c r="J305" i="4"/>
  <c r="I305" i="4"/>
  <c r="J302" i="4"/>
  <c r="I302" i="4"/>
  <c r="J300" i="4"/>
  <c r="L300" i="4" s="1"/>
  <c r="I300" i="4"/>
  <c r="J298" i="4"/>
  <c r="I298" i="4"/>
  <c r="J295" i="4"/>
  <c r="I295" i="4"/>
  <c r="J293" i="4"/>
  <c r="I293" i="4"/>
  <c r="J291" i="4"/>
  <c r="I291" i="4"/>
  <c r="J289" i="4"/>
  <c r="I289" i="4"/>
  <c r="J287" i="4"/>
  <c r="I287" i="4"/>
  <c r="J285" i="4"/>
  <c r="I285" i="4"/>
  <c r="J283" i="4"/>
  <c r="I283" i="4"/>
  <c r="J281" i="4"/>
  <c r="I281" i="4"/>
  <c r="J279" i="4"/>
  <c r="I279" i="4"/>
  <c r="J277" i="4"/>
  <c r="I277" i="4"/>
  <c r="J275" i="4"/>
  <c r="I275" i="4"/>
  <c r="J272" i="4"/>
  <c r="I272" i="4"/>
  <c r="J270" i="4"/>
  <c r="I270" i="4"/>
  <c r="J268" i="4"/>
  <c r="I268" i="4"/>
  <c r="J266" i="4"/>
  <c r="I266" i="4"/>
  <c r="J264" i="4"/>
  <c r="I264" i="4"/>
  <c r="J262" i="4"/>
  <c r="I262" i="4"/>
  <c r="J260" i="4"/>
  <c r="I260" i="4"/>
  <c r="J258" i="4"/>
  <c r="I258" i="4"/>
  <c r="J256" i="4"/>
  <c r="I256" i="4"/>
  <c r="J254" i="4"/>
  <c r="I254" i="4"/>
  <c r="J252" i="4"/>
  <c r="I252" i="4"/>
  <c r="J250" i="4"/>
  <c r="I250" i="4"/>
  <c r="J248" i="4"/>
  <c r="I248" i="4"/>
  <c r="J246" i="4"/>
  <c r="I246" i="4"/>
  <c r="J244" i="4"/>
  <c r="I244" i="4"/>
  <c r="J242" i="4"/>
  <c r="I242" i="4"/>
  <c r="J240" i="4"/>
  <c r="I240" i="4"/>
  <c r="J238" i="4"/>
  <c r="I238" i="4"/>
  <c r="J236" i="4"/>
  <c r="I236" i="4"/>
  <c r="J234" i="4"/>
  <c r="I234" i="4"/>
  <c r="J232" i="4"/>
  <c r="I232" i="4"/>
  <c r="J230" i="4"/>
  <c r="I230" i="4"/>
  <c r="J228" i="4"/>
  <c r="I228" i="4"/>
  <c r="J226" i="4"/>
  <c r="I226" i="4"/>
  <c r="J224" i="4"/>
  <c r="I224" i="4"/>
  <c r="J222" i="4"/>
  <c r="I222" i="4"/>
  <c r="J220" i="4"/>
  <c r="I220" i="4"/>
  <c r="J218" i="4"/>
  <c r="I218" i="4"/>
  <c r="J216" i="4"/>
  <c r="I216" i="4"/>
  <c r="J214" i="4"/>
  <c r="I214" i="4"/>
  <c r="J212" i="4"/>
  <c r="I212" i="4"/>
  <c r="J210" i="4"/>
  <c r="I210" i="4"/>
  <c r="J208" i="4"/>
  <c r="I208" i="4"/>
  <c r="J206" i="4"/>
  <c r="I206" i="4"/>
  <c r="J204" i="4"/>
  <c r="I204" i="4"/>
  <c r="J202" i="4"/>
  <c r="I202" i="4"/>
  <c r="J200" i="4"/>
  <c r="I200" i="4"/>
  <c r="J198" i="4"/>
  <c r="I198" i="4"/>
  <c r="J196" i="4"/>
  <c r="I196" i="4"/>
  <c r="J194" i="4"/>
  <c r="I194" i="4"/>
  <c r="J192" i="4"/>
  <c r="I192" i="4"/>
  <c r="J190" i="4"/>
  <c r="I190" i="4"/>
  <c r="J188" i="4"/>
  <c r="I188" i="4"/>
  <c r="J186" i="4"/>
  <c r="I186" i="4"/>
  <c r="J184" i="4"/>
  <c r="I184" i="4"/>
  <c r="J182" i="4"/>
  <c r="I182" i="4"/>
  <c r="J180" i="4"/>
  <c r="I180" i="4"/>
  <c r="J178" i="4"/>
  <c r="I178" i="4"/>
  <c r="J176" i="4"/>
  <c r="I176" i="4"/>
  <c r="J174" i="4"/>
  <c r="I174" i="4"/>
  <c r="J172" i="4"/>
  <c r="I172" i="4"/>
  <c r="J170" i="4"/>
  <c r="I170" i="4"/>
  <c r="J168" i="4"/>
  <c r="I168" i="4"/>
  <c r="J166" i="4"/>
  <c r="I166" i="4"/>
  <c r="J164" i="4"/>
  <c r="I164" i="4"/>
  <c r="J162" i="4"/>
  <c r="I162" i="4"/>
  <c r="J160" i="4"/>
  <c r="I160" i="4"/>
  <c r="J158" i="4"/>
  <c r="I158" i="4"/>
  <c r="J156" i="4"/>
  <c r="I156" i="4"/>
  <c r="J154" i="4"/>
  <c r="I154" i="4"/>
  <c r="J152" i="4"/>
  <c r="I152" i="4"/>
  <c r="J150" i="4"/>
  <c r="I150" i="4"/>
  <c r="J148" i="4"/>
  <c r="I148" i="4"/>
  <c r="J146" i="4"/>
  <c r="I146" i="4"/>
  <c r="J144" i="4"/>
  <c r="I144" i="4"/>
  <c r="J142" i="4"/>
  <c r="I142" i="4"/>
  <c r="J140" i="4"/>
  <c r="I140" i="4"/>
  <c r="J138" i="4"/>
  <c r="I138" i="4"/>
  <c r="J136" i="4"/>
  <c r="I136" i="4"/>
  <c r="J134" i="4"/>
  <c r="I134" i="4"/>
  <c r="J132" i="4"/>
  <c r="I132" i="4"/>
  <c r="J130" i="4"/>
  <c r="I130" i="4"/>
  <c r="J128" i="4"/>
  <c r="I128" i="4"/>
  <c r="J126" i="4"/>
  <c r="I126" i="4"/>
  <c r="J124" i="4"/>
  <c r="I124" i="4"/>
  <c r="J122" i="4"/>
  <c r="I122" i="4"/>
  <c r="J120" i="4"/>
  <c r="I120" i="4"/>
  <c r="J118" i="4"/>
  <c r="I118" i="4"/>
  <c r="J116" i="4"/>
  <c r="I116" i="4"/>
  <c r="J114" i="4"/>
  <c r="I114" i="4"/>
  <c r="J112" i="4"/>
  <c r="I112" i="4"/>
  <c r="J110" i="4"/>
  <c r="I110" i="4"/>
  <c r="J108" i="4"/>
  <c r="I108" i="4"/>
  <c r="J106" i="4"/>
  <c r="I106" i="4"/>
  <c r="J104" i="4"/>
  <c r="I104" i="4"/>
  <c r="J102" i="4"/>
  <c r="I102" i="4"/>
  <c r="J100" i="4"/>
  <c r="I100" i="4"/>
  <c r="J98" i="4"/>
  <c r="I98" i="4"/>
  <c r="J96" i="4"/>
  <c r="I96" i="4"/>
  <c r="J94" i="4"/>
  <c r="I94" i="4"/>
  <c r="J92" i="4"/>
  <c r="I92" i="4"/>
  <c r="J90" i="4"/>
  <c r="I90" i="4"/>
  <c r="J88" i="4"/>
  <c r="I88" i="4"/>
  <c r="J86" i="4"/>
  <c r="I86" i="4"/>
  <c r="J84" i="4"/>
  <c r="I84" i="4"/>
  <c r="J82" i="4"/>
  <c r="I82" i="4"/>
  <c r="J80" i="4"/>
  <c r="I80" i="4"/>
  <c r="J78" i="4"/>
  <c r="I78" i="4"/>
  <c r="J76" i="4"/>
  <c r="I76" i="4"/>
  <c r="J74" i="4"/>
  <c r="I74" i="4"/>
  <c r="J72" i="4"/>
  <c r="I72" i="4"/>
  <c r="J70" i="4"/>
  <c r="I70" i="4"/>
  <c r="J68" i="4"/>
  <c r="I68" i="4"/>
  <c r="J66" i="4"/>
  <c r="I66" i="4"/>
  <c r="J64" i="4"/>
  <c r="I64" i="4"/>
  <c r="J62" i="4"/>
  <c r="I62" i="4"/>
  <c r="J60" i="4"/>
  <c r="I60" i="4"/>
  <c r="J58" i="4"/>
  <c r="I58" i="4"/>
  <c r="J56" i="4"/>
  <c r="I56" i="4"/>
  <c r="J54" i="4"/>
  <c r="I54" i="4"/>
  <c r="J52" i="4"/>
  <c r="I52" i="4"/>
  <c r="J50" i="4"/>
  <c r="I50" i="4"/>
  <c r="J48" i="4"/>
  <c r="I48" i="4"/>
  <c r="J46" i="4"/>
  <c r="I46" i="4"/>
  <c r="J44" i="4"/>
  <c r="I44" i="4"/>
  <c r="J42" i="4"/>
  <c r="I42" i="4"/>
  <c r="J40" i="4"/>
  <c r="I40" i="4"/>
  <c r="J38" i="4"/>
  <c r="I38" i="4"/>
  <c r="J36" i="4"/>
  <c r="I36" i="4"/>
  <c r="J34" i="4"/>
  <c r="I34" i="4"/>
  <c r="J32" i="4"/>
  <c r="I32" i="4"/>
  <c r="J30" i="4"/>
  <c r="I30" i="4"/>
  <c r="J28" i="4"/>
  <c r="I28" i="4"/>
  <c r="J26" i="4"/>
  <c r="I26" i="4"/>
  <c r="J24" i="4"/>
  <c r="I24" i="4"/>
  <c r="J22" i="4"/>
  <c r="I22" i="4"/>
  <c r="J20" i="4"/>
  <c r="I20" i="4"/>
  <c r="J18" i="4"/>
  <c r="I18" i="4"/>
  <c r="J16" i="4"/>
  <c r="I16" i="4"/>
  <c r="J14" i="4"/>
  <c r="I14" i="4"/>
  <c r="J12" i="4"/>
  <c r="I12" i="4"/>
  <c r="J10" i="4"/>
  <c r="I10" i="4"/>
  <c r="J8" i="4"/>
  <c r="I8" i="4"/>
  <c r="J6" i="4"/>
  <c r="I6" i="4"/>
  <c r="J4" i="4"/>
  <c r="I4" i="4"/>
  <c r="R376" i="1"/>
  <c r="Q376" i="1"/>
  <c r="P376" i="1"/>
  <c r="O376" i="1"/>
  <c r="N376" i="1"/>
  <c r="M376" i="1"/>
  <c r="R374" i="1"/>
  <c r="Q374" i="1"/>
  <c r="P374" i="1"/>
  <c r="O374" i="1"/>
  <c r="N374" i="1"/>
  <c r="M374" i="1"/>
  <c r="R372" i="1"/>
  <c r="Q372" i="1"/>
  <c r="P372" i="1"/>
  <c r="O372" i="1"/>
  <c r="N372" i="1"/>
  <c r="M372" i="1"/>
  <c r="R367" i="1"/>
  <c r="Q367" i="1"/>
  <c r="P367" i="1"/>
  <c r="O367" i="1"/>
  <c r="N367" i="1"/>
  <c r="M367" i="1"/>
  <c r="R365" i="1"/>
  <c r="Q365" i="1"/>
  <c r="P365" i="1"/>
  <c r="O365" i="1"/>
  <c r="N365" i="1"/>
  <c r="M365" i="1"/>
  <c r="R360" i="1"/>
  <c r="Q360" i="1"/>
  <c r="P360" i="1"/>
  <c r="O360" i="1"/>
  <c r="N360" i="1"/>
  <c r="M360" i="1"/>
  <c r="R358" i="1"/>
  <c r="Q358" i="1"/>
  <c r="P358" i="1"/>
  <c r="O358" i="1"/>
  <c r="N358" i="1"/>
  <c r="M358" i="1"/>
  <c r="R333" i="1"/>
  <c r="Q333" i="1"/>
  <c r="P333" i="1"/>
  <c r="O333" i="1"/>
  <c r="N333" i="1"/>
  <c r="M333" i="1"/>
  <c r="R356" i="1"/>
  <c r="Q356" i="1"/>
  <c r="P356" i="1"/>
  <c r="O356" i="1"/>
  <c r="N356" i="1"/>
  <c r="M356" i="1"/>
  <c r="R354" i="1"/>
  <c r="Q354" i="1"/>
  <c r="P354" i="1"/>
  <c r="O354" i="1"/>
  <c r="N354" i="1"/>
  <c r="M354" i="1"/>
  <c r="R337" i="1"/>
  <c r="Q337" i="1"/>
  <c r="P337" i="1"/>
  <c r="O337" i="1"/>
  <c r="N337" i="1"/>
  <c r="M337" i="1"/>
  <c r="R335" i="1"/>
  <c r="Q335" i="1"/>
  <c r="P335" i="1"/>
  <c r="O335" i="1"/>
  <c r="N335" i="1"/>
  <c r="M335" i="1"/>
  <c r="R352" i="1"/>
  <c r="Q352" i="1"/>
  <c r="P352" i="1"/>
  <c r="O352" i="1"/>
  <c r="N352" i="1"/>
  <c r="M352" i="1"/>
  <c r="R350" i="1"/>
  <c r="Q350" i="1"/>
  <c r="P350" i="1"/>
  <c r="O350" i="1"/>
  <c r="N350" i="1"/>
  <c r="M350" i="1"/>
  <c r="R348" i="1"/>
  <c r="Q348" i="1"/>
  <c r="P348" i="1"/>
  <c r="O348" i="1"/>
  <c r="N348" i="1"/>
  <c r="M348" i="1"/>
  <c r="R346" i="1"/>
  <c r="Q346" i="1"/>
  <c r="P346" i="1"/>
  <c r="O346" i="1"/>
  <c r="N346" i="1"/>
  <c r="M346" i="1"/>
  <c r="R344" i="1"/>
  <c r="Q344" i="1"/>
  <c r="P344" i="1"/>
  <c r="O344" i="1"/>
  <c r="N344" i="1"/>
  <c r="M344" i="1"/>
  <c r="R342" i="1"/>
  <c r="Q342" i="1"/>
  <c r="P342" i="1"/>
  <c r="O342" i="1"/>
  <c r="N342" i="1"/>
  <c r="M342" i="1"/>
  <c r="R331" i="1"/>
  <c r="Q331" i="1"/>
  <c r="P331" i="1"/>
  <c r="O331" i="1"/>
  <c r="N331" i="1"/>
  <c r="M331" i="1"/>
  <c r="R329" i="1"/>
  <c r="Q329" i="1"/>
  <c r="P329" i="1"/>
  <c r="O329" i="1"/>
  <c r="N329" i="1"/>
  <c r="M329" i="1"/>
  <c r="R327" i="1"/>
  <c r="Q327" i="1"/>
  <c r="P327" i="1"/>
  <c r="O327" i="1"/>
  <c r="N327" i="1"/>
  <c r="M327" i="1"/>
  <c r="R311" i="1"/>
  <c r="Q311" i="1"/>
  <c r="P311" i="1"/>
  <c r="O311" i="1"/>
  <c r="N311" i="1"/>
  <c r="M311" i="1"/>
  <c r="R325" i="1"/>
  <c r="Q325" i="1"/>
  <c r="P325" i="1"/>
  <c r="O325" i="1"/>
  <c r="N325" i="1"/>
  <c r="M325" i="1"/>
  <c r="R323" i="1"/>
  <c r="Q323" i="1"/>
  <c r="P323" i="1"/>
  <c r="O323" i="1"/>
  <c r="N323" i="1"/>
  <c r="M323" i="1"/>
  <c r="R321" i="1"/>
  <c r="Q321" i="1"/>
  <c r="P321" i="1"/>
  <c r="O321" i="1"/>
  <c r="N321" i="1"/>
  <c r="M321" i="1"/>
  <c r="R319" i="1"/>
  <c r="Q319" i="1"/>
  <c r="P319" i="1"/>
  <c r="O319" i="1"/>
  <c r="N319" i="1"/>
  <c r="M319" i="1"/>
  <c r="R309" i="1"/>
  <c r="Q309" i="1"/>
  <c r="P309" i="1"/>
  <c r="O309" i="1"/>
  <c r="N309" i="1"/>
  <c r="M309" i="1"/>
  <c r="R307" i="1"/>
  <c r="Q307" i="1"/>
  <c r="P307" i="1"/>
  <c r="O307" i="1"/>
  <c r="N307" i="1"/>
  <c r="M307" i="1"/>
  <c r="R302" i="1"/>
  <c r="Q302" i="1"/>
  <c r="P302" i="1"/>
  <c r="O302" i="1"/>
  <c r="N302" i="1"/>
  <c r="M302" i="1"/>
  <c r="R300" i="1"/>
  <c r="Q300" i="1"/>
  <c r="P300" i="1"/>
  <c r="O300" i="1"/>
  <c r="N300" i="1"/>
  <c r="M300" i="1"/>
  <c r="R370" i="1"/>
  <c r="Q370" i="1"/>
  <c r="P370" i="1"/>
  <c r="O370" i="1"/>
  <c r="N370" i="1"/>
  <c r="M370" i="1"/>
  <c r="R363" i="1"/>
  <c r="Q363" i="1"/>
  <c r="P363" i="1"/>
  <c r="O363" i="1"/>
  <c r="N363" i="1"/>
  <c r="M363" i="1"/>
  <c r="R340" i="1"/>
  <c r="Q340" i="1"/>
  <c r="P340" i="1"/>
  <c r="O340" i="1"/>
  <c r="N340" i="1"/>
  <c r="M340" i="1"/>
  <c r="R317" i="1"/>
  <c r="Q317" i="1"/>
  <c r="P317" i="1"/>
  <c r="O317" i="1"/>
  <c r="N317" i="1"/>
  <c r="M317" i="1"/>
  <c r="R314" i="1"/>
  <c r="Q314" i="1"/>
  <c r="P314" i="1"/>
  <c r="O314" i="1"/>
  <c r="N314" i="1"/>
  <c r="M314" i="1"/>
  <c r="R305" i="1"/>
  <c r="Q305" i="1"/>
  <c r="P305" i="1"/>
  <c r="O305" i="1"/>
  <c r="N305" i="1"/>
  <c r="M305" i="1"/>
  <c r="R298" i="1"/>
  <c r="Q298" i="1"/>
  <c r="P298" i="1"/>
  <c r="O298" i="1"/>
  <c r="N298" i="1"/>
  <c r="M298" i="1"/>
  <c r="R295" i="1"/>
  <c r="Q295" i="1"/>
  <c r="P295" i="1"/>
  <c r="O295" i="1"/>
  <c r="N295" i="1"/>
  <c r="M295" i="1"/>
  <c r="R293" i="1"/>
  <c r="Q293" i="1"/>
  <c r="P293" i="1"/>
  <c r="O293" i="1"/>
  <c r="N293" i="1"/>
  <c r="M293" i="1"/>
  <c r="R291" i="1"/>
  <c r="Q291" i="1"/>
  <c r="P291" i="1"/>
  <c r="O291" i="1"/>
  <c r="N291" i="1"/>
  <c r="M291" i="1"/>
  <c r="R289" i="1"/>
  <c r="Q289" i="1"/>
  <c r="P289" i="1"/>
  <c r="O289" i="1"/>
  <c r="N289" i="1"/>
  <c r="M289" i="1"/>
  <c r="R287" i="1"/>
  <c r="Q287" i="1"/>
  <c r="P287" i="1"/>
  <c r="O287" i="1"/>
  <c r="N287" i="1"/>
  <c r="M287" i="1"/>
  <c r="R285" i="1"/>
  <c r="Q285" i="1"/>
  <c r="P285" i="1"/>
  <c r="O285" i="1"/>
  <c r="N285" i="1"/>
  <c r="M285" i="1"/>
  <c r="R283" i="1"/>
  <c r="Q283" i="1"/>
  <c r="P283" i="1"/>
  <c r="O283" i="1"/>
  <c r="N283" i="1"/>
  <c r="M283" i="1"/>
  <c r="R281" i="1"/>
  <c r="Q281" i="1"/>
  <c r="P281" i="1"/>
  <c r="O281" i="1"/>
  <c r="N281" i="1"/>
  <c r="M281" i="1"/>
  <c r="R279" i="1"/>
  <c r="Q279" i="1"/>
  <c r="P279" i="1"/>
  <c r="O279" i="1"/>
  <c r="N279" i="1"/>
  <c r="M279" i="1"/>
  <c r="R277" i="1"/>
  <c r="Q277" i="1"/>
  <c r="P277" i="1"/>
  <c r="O277" i="1"/>
  <c r="N277" i="1"/>
  <c r="M277" i="1"/>
  <c r="R275" i="1"/>
  <c r="Q275" i="1"/>
  <c r="P275" i="1"/>
  <c r="O275" i="1"/>
  <c r="N275" i="1"/>
  <c r="M275" i="1"/>
  <c r="R272" i="1"/>
  <c r="Q272" i="1"/>
  <c r="P272" i="1"/>
  <c r="O272" i="1"/>
  <c r="N272" i="1"/>
  <c r="M272" i="1"/>
  <c r="R270" i="1"/>
  <c r="Q270" i="1"/>
  <c r="P270" i="1"/>
  <c r="O270" i="1"/>
  <c r="N270" i="1"/>
  <c r="M270" i="1"/>
  <c r="R268" i="1"/>
  <c r="Q268" i="1"/>
  <c r="P268" i="1"/>
  <c r="O268" i="1"/>
  <c r="N268" i="1"/>
  <c r="M268" i="1"/>
  <c r="R266" i="1"/>
  <c r="Q266" i="1"/>
  <c r="P266" i="1"/>
  <c r="O266" i="1"/>
  <c r="N266" i="1"/>
  <c r="M266" i="1"/>
  <c r="R264" i="1"/>
  <c r="Q264" i="1"/>
  <c r="P264" i="1"/>
  <c r="O264" i="1"/>
  <c r="N264" i="1"/>
  <c r="M264" i="1"/>
  <c r="R262" i="1"/>
  <c r="Q262" i="1"/>
  <c r="P262" i="1"/>
  <c r="O262" i="1"/>
  <c r="N262" i="1"/>
  <c r="M262" i="1"/>
  <c r="R260" i="1"/>
  <c r="Q260" i="1"/>
  <c r="P260" i="1"/>
  <c r="O260" i="1"/>
  <c r="N260" i="1"/>
  <c r="M260" i="1"/>
  <c r="R258" i="1"/>
  <c r="Q258" i="1"/>
  <c r="P258" i="1"/>
  <c r="O258" i="1"/>
  <c r="N258" i="1"/>
  <c r="M258" i="1"/>
  <c r="R256" i="1"/>
  <c r="Q256" i="1"/>
  <c r="P256" i="1"/>
  <c r="O256" i="1"/>
  <c r="N256" i="1"/>
  <c r="M256" i="1"/>
  <c r="R254" i="1"/>
  <c r="Q254" i="1"/>
  <c r="P254" i="1"/>
  <c r="O254" i="1"/>
  <c r="N254" i="1"/>
  <c r="M254" i="1"/>
  <c r="R252" i="1"/>
  <c r="Q252" i="1"/>
  <c r="P252" i="1"/>
  <c r="O252" i="1"/>
  <c r="N252" i="1"/>
  <c r="M252" i="1"/>
  <c r="R250" i="1"/>
  <c r="Q250" i="1"/>
  <c r="P250" i="1"/>
  <c r="O250" i="1"/>
  <c r="N250" i="1"/>
  <c r="M250" i="1"/>
  <c r="R248" i="1"/>
  <c r="Q248" i="1"/>
  <c r="P248" i="1"/>
  <c r="O248" i="1"/>
  <c r="N248" i="1"/>
  <c r="M248" i="1"/>
  <c r="R246" i="1"/>
  <c r="Q246" i="1"/>
  <c r="P246" i="1"/>
  <c r="O246" i="1"/>
  <c r="N246" i="1"/>
  <c r="M246" i="1"/>
  <c r="R244" i="1"/>
  <c r="Q244" i="1"/>
  <c r="P244" i="1"/>
  <c r="O244" i="1"/>
  <c r="N244" i="1"/>
  <c r="M244" i="1"/>
  <c r="R242" i="1"/>
  <c r="Q242" i="1"/>
  <c r="P242" i="1"/>
  <c r="O242" i="1"/>
  <c r="N242" i="1"/>
  <c r="M242" i="1"/>
  <c r="R240" i="1"/>
  <c r="Q240" i="1"/>
  <c r="P240" i="1"/>
  <c r="O240" i="1"/>
  <c r="N240" i="1"/>
  <c r="M240" i="1"/>
  <c r="R238" i="1"/>
  <c r="Q238" i="1"/>
  <c r="P238" i="1"/>
  <c r="O238" i="1"/>
  <c r="N238" i="1"/>
  <c r="M238" i="1"/>
  <c r="R236" i="1"/>
  <c r="Q236" i="1"/>
  <c r="P236" i="1"/>
  <c r="O236" i="1"/>
  <c r="N236" i="1"/>
  <c r="M236" i="1"/>
  <c r="R234" i="1"/>
  <c r="Q234" i="1"/>
  <c r="P234" i="1"/>
  <c r="O234" i="1"/>
  <c r="N234" i="1"/>
  <c r="M234" i="1"/>
  <c r="R232" i="1"/>
  <c r="Q232" i="1"/>
  <c r="P232" i="1"/>
  <c r="O232" i="1"/>
  <c r="N232" i="1"/>
  <c r="M232" i="1"/>
  <c r="R230" i="1"/>
  <c r="Q230" i="1"/>
  <c r="P230" i="1"/>
  <c r="O230" i="1"/>
  <c r="N230" i="1"/>
  <c r="M230" i="1"/>
  <c r="R228" i="1"/>
  <c r="Q228" i="1"/>
  <c r="P228" i="1"/>
  <c r="O228" i="1"/>
  <c r="N228" i="1"/>
  <c r="M228" i="1"/>
  <c r="R226" i="1"/>
  <c r="Q226" i="1"/>
  <c r="P226" i="1"/>
  <c r="O226" i="1"/>
  <c r="N226" i="1"/>
  <c r="M226" i="1"/>
  <c r="R224" i="1"/>
  <c r="Q224" i="1"/>
  <c r="P224" i="1"/>
  <c r="O224" i="1"/>
  <c r="N224" i="1"/>
  <c r="M224" i="1"/>
  <c r="R222" i="1"/>
  <c r="Q222" i="1"/>
  <c r="P222" i="1"/>
  <c r="O222" i="1"/>
  <c r="N222" i="1"/>
  <c r="M222" i="1"/>
  <c r="R220" i="1"/>
  <c r="Q220" i="1"/>
  <c r="P220" i="1"/>
  <c r="O220" i="1"/>
  <c r="N220" i="1"/>
  <c r="M220" i="1"/>
  <c r="R218" i="1"/>
  <c r="Q218" i="1"/>
  <c r="P218" i="1"/>
  <c r="O218" i="1"/>
  <c r="N218" i="1"/>
  <c r="M218" i="1"/>
  <c r="R216" i="1"/>
  <c r="Q216" i="1"/>
  <c r="P216" i="1"/>
  <c r="O216" i="1"/>
  <c r="N216" i="1"/>
  <c r="M216" i="1"/>
  <c r="R214" i="1"/>
  <c r="Q214" i="1"/>
  <c r="P214" i="1"/>
  <c r="O214" i="1"/>
  <c r="N214" i="1"/>
  <c r="M214" i="1"/>
  <c r="R212" i="1"/>
  <c r="Q212" i="1"/>
  <c r="P212" i="1"/>
  <c r="O212" i="1"/>
  <c r="N212" i="1"/>
  <c r="M212" i="1"/>
  <c r="R210" i="1"/>
  <c r="Q210" i="1"/>
  <c r="P210" i="1"/>
  <c r="O210" i="1"/>
  <c r="N210" i="1"/>
  <c r="M210" i="1"/>
  <c r="R208" i="1"/>
  <c r="Q208" i="1"/>
  <c r="P208" i="1"/>
  <c r="O208" i="1"/>
  <c r="N208" i="1"/>
  <c r="M208" i="1"/>
  <c r="R206" i="1"/>
  <c r="Q206" i="1"/>
  <c r="P206" i="1"/>
  <c r="O206" i="1"/>
  <c r="N206" i="1"/>
  <c r="M206" i="1"/>
  <c r="R204" i="1"/>
  <c r="Q204" i="1"/>
  <c r="P204" i="1"/>
  <c r="O204" i="1"/>
  <c r="N204" i="1"/>
  <c r="M204" i="1"/>
  <c r="R202" i="1"/>
  <c r="Q202" i="1"/>
  <c r="P202" i="1"/>
  <c r="O202" i="1"/>
  <c r="N202" i="1"/>
  <c r="M202" i="1"/>
  <c r="R200" i="1"/>
  <c r="Q200" i="1"/>
  <c r="P200" i="1"/>
  <c r="O200" i="1"/>
  <c r="N200" i="1"/>
  <c r="M200" i="1"/>
  <c r="R198" i="1"/>
  <c r="Q198" i="1"/>
  <c r="P198" i="1"/>
  <c r="O198" i="1"/>
  <c r="N198" i="1"/>
  <c r="M198" i="1"/>
  <c r="R196" i="1"/>
  <c r="Q196" i="1"/>
  <c r="P196" i="1"/>
  <c r="O196" i="1"/>
  <c r="N196" i="1"/>
  <c r="M196" i="1"/>
  <c r="R194" i="1"/>
  <c r="Q194" i="1"/>
  <c r="P194" i="1"/>
  <c r="O194" i="1"/>
  <c r="N194" i="1"/>
  <c r="M194" i="1"/>
  <c r="R192" i="1"/>
  <c r="Q192" i="1"/>
  <c r="P192" i="1"/>
  <c r="O192" i="1"/>
  <c r="N192" i="1"/>
  <c r="M192" i="1"/>
  <c r="R190" i="1"/>
  <c r="Q190" i="1"/>
  <c r="P190" i="1"/>
  <c r="O190" i="1"/>
  <c r="N190" i="1"/>
  <c r="M190" i="1"/>
  <c r="R188" i="1"/>
  <c r="Q188" i="1"/>
  <c r="P188" i="1"/>
  <c r="O188" i="1"/>
  <c r="N188" i="1"/>
  <c r="M188" i="1"/>
  <c r="R186" i="1"/>
  <c r="Q186" i="1"/>
  <c r="P186" i="1"/>
  <c r="O186" i="1"/>
  <c r="N186" i="1"/>
  <c r="M186" i="1"/>
  <c r="R184" i="1"/>
  <c r="Q184" i="1"/>
  <c r="P184" i="1"/>
  <c r="O184" i="1"/>
  <c r="N184" i="1"/>
  <c r="M184" i="1"/>
  <c r="R182" i="1"/>
  <c r="Q182" i="1"/>
  <c r="P182" i="1"/>
  <c r="O182" i="1"/>
  <c r="N182" i="1"/>
  <c r="M182" i="1"/>
  <c r="R180" i="1"/>
  <c r="Q180" i="1"/>
  <c r="P180" i="1"/>
  <c r="O180" i="1"/>
  <c r="N180" i="1"/>
  <c r="M180" i="1"/>
  <c r="R178" i="1"/>
  <c r="Q178" i="1"/>
  <c r="P178" i="1"/>
  <c r="O178" i="1"/>
  <c r="N178" i="1"/>
  <c r="M178" i="1"/>
  <c r="R176" i="1"/>
  <c r="Q176" i="1"/>
  <c r="P176" i="1"/>
  <c r="O176" i="1"/>
  <c r="N176" i="1"/>
  <c r="M176" i="1"/>
  <c r="R174" i="1"/>
  <c r="Q174" i="1"/>
  <c r="P174" i="1"/>
  <c r="O174" i="1"/>
  <c r="N174" i="1"/>
  <c r="M174" i="1"/>
  <c r="R172" i="1"/>
  <c r="Q172" i="1"/>
  <c r="P172" i="1"/>
  <c r="O172" i="1"/>
  <c r="N172" i="1"/>
  <c r="M172" i="1"/>
  <c r="R170" i="1"/>
  <c r="Q170" i="1"/>
  <c r="P170" i="1"/>
  <c r="O170" i="1"/>
  <c r="N170" i="1"/>
  <c r="M170" i="1"/>
  <c r="R168" i="1"/>
  <c r="Q168" i="1"/>
  <c r="P168" i="1"/>
  <c r="O168" i="1"/>
  <c r="N168" i="1"/>
  <c r="M168" i="1"/>
  <c r="R166" i="1"/>
  <c r="Q166" i="1"/>
  <c r="P166" i="1"/>
  <c r="O166" i="1"/>
  <c r="N166" i="1"/>
  <c r="M166" i="1"/>
  <c r="R164" i="1"/>
  <c r="Q164" i="1"/>
  <c r="P164" i="1"/>
  <c r="O164" i="1"/>
  <c r="N164" i="1"/>
  <c r="M164" i="1"/>
  <c r="R162" i="1"/>
  <c r="Q162" i="1"/>
  <c r="P162" i="1"/>
  <c r="O162" i="1"/>
  <c r="N162" i="1"/>
  <c r="M162" i="1"/>
  <c r="R160" i="1"/>
  <c r="Q160" i="1"/>
  <c r="P160" i="1"/>
  <c r="O160" i="1"/>
  <c r="N160" i="1"/>
  <c r="M160" i="1"/>
  <c r="R158" i="1"/>
  <c r="Q158" i="1"/>
  <c r="P158" i="1"/>
  <c r="O158" i="1"/>
  <c r="N158" i="1"/>
  <c r="M158" i="1"/>
  <c r="R156" i="1"/>
  <c r="Q156" i="1"/>
  <c r="P156" i="1"/>
  <c r="O156" i="1"/>
  <c r="N156" i="1"/>
  <c r="M156" i="1"/>
  <c r="R154" i="1"/>
  <c r="Q154" i="1"/>
  <c r="P154" i="1"/>
  <c r="O154" i="1"/>
  <c r="N154" i="1"/>
  <c r="M154" i="1"/>
  <c r="R152" i="1"/>
  <c r="Q152" i="1"/>
  <c r="P152" i="1"/>
  <c r="O152" i="1"/>
  <c r="N152" i="1"/>
  <c r="M152" i="1"/>
  <c r="R150" i="1"/>
  <c r="Q150" i="1"/>
  <c r="P150" i="1"/>
  <c r="O150" i="1"/>
  <c r="N150" i="1"/>
  <c r="M150" i="1"/>
  <c r="R148" i="1"/>
  <c r="Q148" i="1"/>
  <c r="P148" i="1"/>
  <c r="O148" i="1"/>
  <c r="N148" i="1"/>
  <c r="M148" i="1"/>
  <c r="R146" i="1"/>
  <c r="Q146" i="1"/>
  <c r="P146" i="1"/>
  <c r="O146" i="1"/>
  <c r="N146" i="1"/>
  <c r="M146" i="1"/>
  <c r="R144" i="1"/>
  <c r="Q144" i="1"/>
  <c r="P144" i="1"/>
  <c r="O144" i="1"/>
  <c r="N144" i="1"/>
  <c r="M144" i="1"/>
  <c r="R142" i="1"/>
  <c r="Q142" i="1"/>
  <c r="P142" i="1"/>
  <c r="O142" i="1"/>
  <c r="N142" i="1"/>
  <c r="M142" i="1"/>
  <c r="R140" i="1"/>
  <c r="Q140" i="1"/>
  <c r="P140" i="1"/>
  <c r="O140" i="1"/>
  <c r="N140" i="1"/>
  <c r="M140" i="1"/>
  <c r="R138" i="1"/>
  <c r="Q138" i="1"/>
  <c r="P138" i="1"/>
  <c r="O138" i="1"/>
  <c r="N138" i="1"/>
  <c r="M138" i="1"/>
  <c r="R136" i="1"/>
  <c r="Q136" i="1"/>
  <c r="P136" i="1"/>
  <c r="O136" i="1"/>
  <c r="N136" i="1"/>
  <c r="M136" i="1"/>
  <c r="R134" i="1"/>
  <c r="Q134" i="1"/>
  <c r="P134" i="1"/>
  <c r="O134" i="1"/>
  <c r="N134" i="1"/>
  <c r="M134" i="1"/>
  <c r="R132" i="1"/>
  <c r="Q132" i="1"/>
  <c r="P132" i="1"/>
  <c r="O132" i="1"/>
  <c r="N132" i="1"/>
  <c r="M132" i="1"/>
  <c r="R130" i="1"/>
  <c r="Q130" i="1"/>
  <c r="P130" i="1"/>
  <c r="O130" i="1"/>
  <c r="N130" i="1"/>
  <c r="M130" i="1"/>
  <c r="R128" i="1"/>
  <c r="Q128" i="1"/>
  <c r="P128" i="1"/>
  <c r="O128" i="1"/>
  <c r="N128" i="1"/>
  <c r="M128" i="1"/>
  <c r="R126" i="1"/>
  <c r="Q126" i="1"/>
  <c r="P126" i="1"/>
  <c r="O126" i="1"/>
  <c r="N126" i="1"/>
  <c r="M126" i="1"/>
  <c r="R124" i="1"/>
  <c r="Q124" i="1"/>
  <c r="P124" i="1"/>
  <c r="O124" i="1"/>
  <c r="N124" i="1"/>
  <c r="M124" i="1"/>
  <c r="R122" i="1"/>
  <c r="Q122" i="1"/>
  <c r="P122" i="1"/>
  <c r="O122" i="1"/>
  <c r="N122" i="1"/>
  <c r="M122" i="1"/>
  <c r="R120" i="1"/>
  <c r="Q120" i="1"/>
  <c r="P120" i="1"/>
  <c r="O120" i="1"/>
  <c r="N120" i="1"/>
  <c r="M120" i="1"/>
  <c r="R118" i="1"/>
  <c r="Q118" i="1"/>
  <c r="P118" i="1"/>
  <c r="O118" i="1"/>
  <c r="N118" i="1"/>
  <c r="M118" i="1"/>
  <c r="R116" i="1"/>
  <c r="Q116" i="1"/>
  <c r="P116" i="1"/>
  <c r="O116" i="1"/>
  <c r="N116" i="1"/>
  <c r="M116" i="1"/>
  <c r="R114" i="1"/>
  <c r="Q114" i="1"/>
  <c r="P114" i="1"/>
  <c r="O114" i="1"/>
  <c r="N114" i="1"/>
  <c r="M114" i="1"/>
  <c r="R112" i="1"/>
  <c r="Q112" i="1"/>
  <c r="P112" i="1"/>
  <c r="O112" i="1"/>
  <c r="N112" i="1"/>
  <c r="M112" i="1"/>
  <c r="R110" i="1"/>
  <c r="Q110" i="1"/>
  <c r="P110" i="1"/>
  <c r="O110" i="1"/>
  <c r="N110" i="1"/>
  <c r="M110" i="1"/>
  <c r="R108" i="1"/>
  <c r="Q108" i="1"/>
  <c r="P108" i="1"/>
  <c r="O108" i="1"/>
  <c r="N108" i="1"/>
  <c r="M108" i="1"/>
  <c r="R106" i="1"/>
  <c r="Q106" i="1"/>
  <c r="P106" i="1"/>
  <c r="O106" i="1"/>
  <c r="N106" i="1"/>
  <c r="M106" i="1"/>
  <c r="R104" i="1"/>
  <c r="Q104" i="1"/>
  <c r="P104" i="1"/>
  <c r="O104" i="1"/>
  <c r="N104" i="1"/>
  <c r="M104" i="1"/>
  <c r="R102" i="1"/>
  <c r="Q102" i="1"/>
  <c r="P102" i="1"/>
  <c r="O102" i="1"/>
  <c r="N102" i="1"/>
  <c r="M102" i="1"/>
  <c r="R100" i="1"/>
  <c r="Q100" i="1"/>
  <c r="P100" i="1"/>
  <c r="O100" i="1"/>
  <c r="N100" i="1"/>
  <c r="M100" i="1"/>
  <c r="R98" i="1"/>
  <c r="Q98" i="1"/>
  <c r="P98" i="1"/>
  <c r="O98" i="1"/>
  <c r="N98" i="1"/>
  <c r="M98" i="1"/>
  <c r="R96" i="1"/>
  <c r="Q96" i="1"/>
  <c r="P96" i="1"/>
  <c r="O96" i="1"/>
  <c r="N96" i="1"/>
  <c r="M96" i="1"/>
  <c r="R94" i="1"/>
  <c r="Q94" i="1"/>
  <c r="P94" i="1"/>
  <c r="O94" i="1"/>
  <c r="N94" i="1"/>
  <c r="M94" i="1"/>
  <c r="R92" i="1"/>
  <c r="Q92" i="1"/>
  <c r="P92" i="1"/>
  <c r="O92" i="1"/>
  <c r="N92" i="1"/>
  <c r="M92" i="1"/>
  <c r="R90" i="1"/>
  <c r="Q90" i="1"/>
  <c r="P90" i="1"/>
  <c r="O90" i="1"/>
  <c r="N90" i="1"/>
  <c r="M90" i="1"/>
  <c r="R88" i="1"/>
  <c r="Q88" i="1"/>
  <c r="P88" i="1"/>
  <c r="O88" i="1"/>
  <c r="N88" i="1"/>
  <c r="M88" i="1"/>
  <c r="R86" i="1"/>
  <c r="Q86" i="1"/>
  <c r="P86" i="1"/>
  <c r="O86" i="1"/>
  <c r="N86" i="1"/>
  <c r="M86" i="1"/>
  <c r="R84" i="1"/>
  <c r="Q84" i="1"/>
  <c r="P84" i="1"/>
  <c r="O84" i="1"/>
  <c r="N84" i="1"/>
  <c r="M84" i="1"/>
  <c r="R82" i="1"/>
  <c r="Q82" i="1"/>
  <c r="P82" i="1"/>
  <c r="O82" i="1"/>
  <c r="N82" i="1"/>
  <c r="M82" i="1"/>
  <c r="R80" i="1"/>
  <c r="Q80" i="1"/>
  <c r="P80" i="1"/>
  <c r="O80" i="1"/>
  <c r="N80" i="1"/>
  <c r="M80" i="1"/>
  <c r="R78" i="1"/>
  <c r="Q78" i="1"/>
  <c r="P78" i="1"/>
  <c r="O78" i="1"/>
  <c r="N78" i="1"/>
  <c r="M78" i="1"/>
  <c r="R76" i="1"/>
  <c r="Q76" i="1"/>
  <c r="P76" i="1"/>
  <c r="O76" i="1"/>
  <c r="N76" i="1"/>
  <c r="M76" i="1"/>
  <c r="R74" i="1"/>
  <c r="Q74" i="1"/>
  <c r="P74" i="1"/>
  <c r="O74" i="1"/>
  <c r="N74" i="1"/>
  <c r="M74" i="1"/>
  <c r="R72" i="1"/>
  <c r="Q72" i="1"/>
  <c r="P72" i="1"/>
  <c r="O72" i="1"/>
  <c r="N72" i="1"/>
  <c r="M72" i="1"/>
  <c r="R70" i="1"/>
  <c r="Q70" i="1"/>
  <c r="P70" i="1"/>
  <c r="O70" i="1"/>
  <c r="N70" i="1"/>
  <c r="M70" i="1"/>
  <c r="R68" i="1"/>
  <c r="Q68" i="1"/>
  <c r="P68" i="1"/>
  <c r="O68" i="1"/>
  <c r="N68" i="1"/>
  <c r="M68" i="1"/>
  <c r="R66" i="1"/>
  <c r="Q66" i="1"/>
  <c r="P66" i="1"/>
  <c r="O66" i="1"/>
  <c r="N66" i="1"/>
  <c r="M66" i="1"/>
  <c r="R64" i="1"/>
  <c r="Q64" i="1"/>
  <c r="P64" i="1"/>
  <c r="O64" i="1"/>
  <c r="N64" i="1"/>
  <c r="M64" i="1"/>
  <c r="R62" i="1"/>
  <c r="Q62" i="1"/>
  <c r="P62" i="1"/>
  <c r="O62" i="1"/>
  <c r="N62" i="1"/>
  <c r="M62" i="1"/>
  <c r="R60" i="1"/>
  <c r="Q60" i="1"/>
  <c r="P60" i="1"/>
  <c r="O60" i="1"/>
  <c r="N60" i="1"/>
  <c r="M60" i="1"/>
  <c r="R58" i="1"/>
  <c r="Q58" i="1"/>
  <c r="P58" i="1"/>
  <c r="O58" i="1"/>
  <c r="N58" i="1"/>
  <c r="M58" i="1"/>
  <c r="R56" i="1"/>
  <c r="Q56" i="1"/>
  <c r="P56" i="1"/>
  <c r="O56" i="1"/>
  <c r="N56" i="1"/>
  <c r="M56" i="1"/>
  <c r="R54" i="1"/>
  <c r="Q54" i="1"/>
  <c r="P54" i="1"/>
  <c r="O54" i="1"/>
  <c r="N54" i="1"/>
  <c r="M54" i="1"/>
  <c r="R52" i="1"/>
  <c r="Q52" i="1"/>
  <c r="P52" i="1"/>
  <c r="O52" i="1"/>
  <c r="N52" i="1"/>
  <c r="M52" i="1"/>
  <c r="R50" i="1"/>
  <c r="Q50" i="1"/>
  <c r="P50" i="1"/>
  <c r="O50" i="1"/>
  <c r="N50" i="1"/>
  <c r="M50" i="1"/>
  <c r="R48" i="1"/>
  <c r="Q48" i="1"/>
  <c r="P48" i="1"/>
  <c r="O48" i="1"/>
  <c r="N48" i="1"/>
  <c r="M48" i="1"/>
  <c r="R46" i="1"/>
  <c r="Q46" i="1"/>
  <c r="P46" i="1"/>
  <c r="O46" i="1"/>
  <c r="N46" i="1"/>
  <c r="M46" i="1"/>
  <c r="R44" i="1"/>
  <c r="Q44" i="1"/>
  <c r="P44" i="1"/>
  <c r="O44" i="1"/>
  <c r="N44" i="1"/>
  <c r="M44" i="1"/>
  <c r="R42" i="1"/>
  <c r="Q42" i="1"/>
  <c r="P42" i="1"/>
  <c r="O42" i="1"/>
  <c r="N42" i="1"/>
  <c r="M42" i="1"/>
  <c r="R40" i="1"/>
  <c r="Q40" i="1"/>
  <c r="P40" i="1"/>
  <c r="O40" i="1"/>
  <c r="N40" i="1"/>
  <c r="M40" i="1"/>
  <c r="R38" i="1"/>
  <c r="Q38" i="1"/>
  <c r="P38" i="1"/>
  <c r="O38" i="1"/>
  <c r="N38" i="1"/>
  <c r="M38" i="1"/>
  <c r="R36" i="1"/>
  <c r="Q36" i="1"/>
  <c r="P36" i="1"/>
  <c r="O36" i="1"/>
  <c r="N36" i="1"/>
  <c r="M36" i="1"/>
  <c r="R34" i="1"/>
  <c r="Q34" i="1"/>
  <c r="P34" i="1"/>
  <c r="O34" i="1"/>
  <c r="N34" i="1"/>
  <c r="M34" i="1"/>
  <c r="R32" i="1"/>
  <c r="Q32" i="1"/>
  <c r="P32" i="1"/>
  <c r="O32" i="1"/>
  <c r="N32" i="1"/>
  <c r="M32" i="1"/>
  <c r="R30" i="1"/>
  <c r="Q30" i="1"/>
  <c r="P30" i="1"/>
  <c r="O30" i="1"/>
  <c r="N30" i="1"/>
  <c r="M30" i="1"/>
  <c r="R28" i="1"/>
  <c r="Q28" i="1"/>
  <c r="P28" i="1"/>
  <c r="O28" i="1"/>
  <c r="N28" i="1"/>
  <c r="M28" i="1"/>
  <c r="R26" i="1"/>
  <c r="Q26" i="1"/>
  <c r="P26" i="1"/>
  <c r="O26" i="1"/>
  <c r="N26" i="1"/>
  <c r="M26" i="1"/>
  <c r="R24" i="1"/>
  <c r="Q24" i="1"/>
  <c r="P24" i="1"/>
  <c r="O24" i="1"/>
  <c r="N24" i="1"/>
  <c r="M24" i="1"/>
  <c r="R22" i="1"/>
  <c r="Q22" i="1"/>
  <c r="P22" i="1"/>
  <c r="O22" i="1"/>
  <c r="N22" i="1"/>
  <c r="M22" i="1"/>
  <c r="R20" i="1"/>
  <c r="Q20" i="1"/>
  <c r="P20" i="1"/>
  <c r="O20" i="1"/>
  <c r="N20" i="1"/>
  <c r="M20" i="1"/>
  <c r="R18" i="1"/>
  <c r="Q18" i="1"/>
  <c r="P18" i="1"/>
  <c r="O18" i="1"/>
  <c r="N18" i="1"/>
  <c r="R16" i="1"/>
  <c r="Q16" i="1"/>
  <c r="P16" i="1"/>
  <c r="O16" i="1"/>
  <c r="N16" i="1"/>
  <c r="R14" i="1"/>
  <c r="Q14" i="1"/>
  <c r="P14" i="1"/>
  <c r="O14" i="1"/>
  <c r="N14" i="1"/>
  <c r="R12" i="1"/>
  <c r="Q12" i="1"/>
  <c r="P12" i="1"/>
  <c r="O12" i="1"/>
  <c r="N12" i="1"/>
  <c r="R10" i="1"/>
  <c r="Q10" i="1"/>
  <c r="P10" i="1"/>
  <c r="O10" i="1"/>
  <c r="N10" i="1"/>
  <c r="R8" i="1"/>
  <c r="Q8" i="1"/>
  <c r="P8" i="1"/>
  <c r="O8" i="1"/>
  <c r="N8" i="1"/>
  <c r="R6" i="1"/>
  <c r="Q6" i="1"/>
  <c r="P6" i="1"/>
  <c r="O6" i="1"/>
  <c r="N6" i="1"/>
  <c r="M18" i="1"/>
  <c r="M16" i="1"/>
  <c r="M14" i="1"/>
  <c r="M12" i="1"/>
  <c r="M10" i="1"/>
  <c r="M8" i="1"/>
  <c r="M6" i="1"/>
  <c r="R4" i="1"/>
  <c r="Q4" i="1"/>
  <c r="P4" i="1"/>
  <c r="O4" i="1"/>
  <c r="N4" i="1"/>
  <c r="M4" i="1"/>
  <c r="M365" i="5" l="1"/>
  <c r="M230" i="5"/>
  <c r="M100" i="5"/>
  <c r="M436" i="5"/>
  <c r="M293" i="5"/>
  <c r="M164" i="5"/>
  <c r="M22" i="5"/>
  <c r="M378" i="5"/>
  <c r="M242" i="5"/>
  <c r="M112" i="5"/>
  <c r="M492" i="5"/>
  <c r="M342" i="5"/>
  <c r="M208" i="5"/>
  <c r="M78" i="5"/>
  <c r="M424" i="5"/>
  <c r="M287" i="5"/>
  <c r="M158" i="5"/>
  <c r="M16" i="5"/>
  <c r="M372" i="5"/>
  <c r="M236" i="5"/>
  <c r="M106" i="5"/>
  <c r="M462" i="5"/>
  <c r="M319" i="5"/>
  <c r="M186" i="5"/>
  <c r="M44" i="5"/>
  <c r="M402" i="5"/>
  <c r="M264" i="5"/>
  <c r="M136" i="5"/>
  <c r="M212" i="5"/>
  <c r="M291" i="5"/>
  <c r="M128" i="5"/>
  <c r="M206" i="5"/>
  <c r="M134" i="5"/>
  <c r="M275" i="5"/>
  <c r="M110" i="5"/>
  <c r="M396" i="5"/>
  <c r="M224" i="5"/>
  <c r="M32" i="5"/>
  <c r="M484" i="5"/>
  <c r="M281" i="5"/>
  <c r="M348" i="5"/>
  <c r="M214" i="5"/>
  <c r="M84" i="5"/>
  <c r="M414" i="5"/>
  <c r="M277" i="5"/>
  <c r="M148" i="5"/>
  <c r="M6" i="5"/>
  <c r="M360" i="5"/>
  <c r="M226" i="5"/>
  <c r="M96" i="5"/>
  <c r="M468" i="5"/>
  <c r="M325" i="5"/>
  <c r="M192" i="5"/>
  <c r="M50" i="5"/>
  <c r="M270" i="5"/>
  <c r="M142" i="5"/>
  <c r="M70" i="5"/>
  <c r="M354" i="5"/>
  <c r="M220" i="5"/>
  <c r="M90" i="5"/>
  <c r="M444" i="5"/>
  <c r="M300" i="5"/>
  <c r="M170" i="5"/>
  <c r="M28" i="5"/>
  <c r="M386" i="5"/>
  <c r="M248" i="5"/>
  <c r="M118" i="5"/>
  <c r="M8" i="5"/>
  <c r="M394" i="5"/>
  <c r="M76" i="5"/>
  <c r="M14" i="5"/>
  <c r="M460" i="5"/>
  <c r="M262" i="5"/>
  <c r="M478" i="5"/>
  <c r="M412" i="5"/>
  <c r="M376" i="5"/>
  <c r="M323" i="5"/>
  <c r="M268" i="5"/>
  <c r="M218" i="5"/>
  <c r="M168" i="5"/>
  <c r="M116" i="5"/>
  <c r="M38" i="5"/>
  <c r="M130" i="5"/>
  <c r="M450" i="5"/>
  <c r="M390" i="5"/>
  <c r="M60" i="5"/>
  <c r="M480" i="5"/>
  <c r="M331" i="5"/>
  <c r="M198" i="5"/>
  <c r="M56" i="5"/>
  <c r="M398" i="5"/>
  <c r="M260" i="5"/>
  <c r="M132" i="5"/>
  <c r="M496" i="5"/>
  <c r="M344" i="5"/>
  <c r="M210" i="5"/>
  <c r="M80" i="5"/>
  <c r="M452" i="5"/>
  <c r="M307" i="5"/>
  <c r="M176" i="5"/>
  <c r="M34" i="5"/>
  <c r="M392" i="5"/>
  <c r="M254" i="5"/>
  <c r="M126" i="5"/>
  <c r="M486" i="5"/>
  <c r="M337" i="5"/>
  <c r="M204" i="5"/>
  <c r="M64" i="5"/>
  <c r="M420" i="5"/>
  <c r="M283" i="5"/>
  <c r="M154" i="5"/>
  <c r="M12" i="5"/>
  <c r="M367" i="5"/>
  <c r="M232" i="5"/>
  <c r="M102" i="5"/>
  <c r="M346" i="5"/>
  <c r="M256" i="5"/>
  <c r="M422" i="5"/>
  <c r="M234" i="5"/>
  <c r="M184" i="5"/>
  <c r="M54" i="5"/>
  <c r="M466" i="5"/>
  <c r="M68" i="5"/>
  <c r="M298" i="5"/>
  <c r="M384" i="5"/>
  <c r="M180" i="5"/>
  <c r="M74" i="5"/>
  <c r="M174" i="5"/>
  <c r="M335" i="5"/>
  <c r="M10" i="5"/>
  <c r="M458" i="5"/>
  <c r="M314" i="5"/>
  <c r="M182" i="5"/>
  <c r="M40" i="5"/>
  <c r="M382" i="5"/>
  <c r="M244" i="5"/>
  <c r="M114" i="5"/>
  <c r="M470" i="5"/>
  <c r="M327" i="5"/>
  <c r="M194" i="5"/>
  <c r="M52" i="5"/>
  <c r="M430" i="5"/>
  <c r="M289" i="5"/>
  <c r="M160" i="5"/>
  <c r="M18" i="5"/>
  <c r="M374" i="5"/>
  <c r="M238" i="5"/>
  <c r="M108" i="5"/>
  <c r="M464" i="5"/>
  <c r="M321" i="5"/>
  <c r="M188" i="5"/>
  <c r="M46" i="5"/>
  <c r="M266" i="5"/>
  <c r="M138" i="5"/>
  <c r="M66" i="5"/>
  <c r="M350" i="5"/>
  <c r="M216" i="5"/>
  <c r="M86" i="5"/>
  <c r="M150" i="5"/>
  <c r="M162" i="5"/>
  <c r="M340" i="5"/>
  <c r="M156" i="5"/>
  <c r="M104" i="5"/>
  <c r="M42" i="5"/>
  <c r="M400" i="5"/>
  <c r="M196" i="5"/>
  <c r="M146" i="5"/>
  <c r="M240" i="5"/>
  <c r="M48" i="5"/>
  <c r="M352" i="5"/>
  <c r="M442" i="5"/>
  <c r="M246" i="5"/>
  <c r="M311" i="5"/>
  <c r="M258" i="5"/>
  <c r="M94" i="5"/>
  <c r="M252" i="5"/>
  <c r="M202" i="5"/>
  <c r="M152" i="5"/>
  <c r="M438" i="5"/>
  <c r="M295" i="5"/>
  <c r="M166" i="5"/>
  <c r="M24" i="5"/>
  <c r="M363" i="5"/>
  <c r="M228" i="5"/>
  <c r="M98" i="5"/>
  <c r="M454" i="5"/>
  <c r="M309" i="5"/>
  <c r="M178" i="5"/>
  <c r="M36" i="5"/>
  <c r="M410" i="5"/>
  <c r="M272" i="5"/>
  <c r="M144" i="5"/>
  <c r="M72" i="5"/>
  <c r="M356" i="5"/>
  <c r="M222" i="5"/>
  <c r="M92" i="5"/>
  <c r="M448" i="5"/>
  <c r="M302" i="5"/>
  <c r="M172" i="5"/>
  <c r="M30" i="5"/>
  <c r="M388" i="5"/>
  <c r="M250" i="5"/>
  <c r="M122" i="5"/>
  <c r="M482" i="5"/>
  <c r="M333" i="5"/>
  <c r="M200" i="5"/>
  <c r="M58" i="5"/>
  <c r="M416" i="5"/>
  <c r="M279" i="5"/>
  <c r="M82" i="5"/>
  <c r="M434" i="5"/>
  <c r="M20" i="5"/>
  <c r="M285" i="5"/>
  <c r="M370" i="5"/>
  <c r="M317" i="5"/>
  <c r="M329" i="5"/>
  <c r="M4" i="5"/>
  <c r="N4" i="5" s="1"/>
  <c r="M190" i="5"/>
  <c r="M140" i="5"/>
  <c r="M88" i="5"/>
  <c r="M26" i="5"/>
  <c r="M456" i="5"/>
  <c r="M358" i="5"/>
  <c r="M305" i="5"/>
  <c r="M124" i="5"/>
  <c r="M418" i="5"/>
  <c r="M406" i="5"/>
  <c r="M404" i="5"/>
  <c r="M490" i="5"/>
  <c r="M408" i="5"/>
  <c r="L314" i="4"/>
  <c r="L370" i="4"/>
  <c r="L302" i="4"/>
  <c r="L298" i="4"/>
  <c r="L289" i="7"/>
  <c r="L307" i="7"/>
  <c r="L325" i="7"/>
  <c r="L342" i="7"/>
  <c r="L358" i="7"/>
  <c r="L82" i="7"/>
  <c r="L98" i="7"/>
  <c r="L114" i="7"/>
  <c r="L317" i="7"/>
  <c r="AA6" i="7"/>
  <c r="AA8" i="7" s="1"/>
  <c r="AA10" i="7" s="1"/>
  <c r="AA12" i="7" s="1"/>
  <c r="AA14" i="7" s="1"/>
  <c r="AA16" i="7" s="1"/>
  <c r="AA18" i="7" s="1"/>
  <c r="AA20" i="7" s="1"/>
  <c r="AA22" i="7" s="1"/>
  <c r="AA24" i="7" s="1"/>
  <c r="AA26" i="7" s="1"/>
  <c r="AA28" i="7" s="1"/>
  <c r="AA30" i="7" s="1"/>
  <c r="AA32" i="7" s="1"/>
  <c r="AA34" i="7" s="1"/>
  <c r="AA36" i="7" s="1"/>
  <c r="AA38" i="7" s="1"/>
  <c r="AA40" i="7" s="1"/>
  <c r="AA42" i="7" s="1"/>
  <c r="AA44" i="7" s="1"/>
  <c r="AA46" i="7" s="1"/>
  <c r="AA48" i="7" s="1"/>
  <c r="AA50" i="7" s="1"/>
  <c r="AA52" i="7" s="1"/>
  <c r="AA54" i="7" s="1"/>
  <c r="AA56" i="7" s="1"/>
  <c r="AA58" i="7" s="1"/>
  <c r="AA60" i="7" s="1"/>
  <c r="AA62" i="7" s="1"/>
  <c r="AA64" i="7" s="1"/>
  <c r="AA66" i="7" s="1"/>
  <c r="AA68" i="7" s="1"/>
  <c r="AA70" i="7" s="1"/>
  <c r="AA72" i="7" s="1"/>
  <c r="AA74" i="7" s="1"/>
  <c r="AA76" i="7" s="1"/>
  <c r="AA78" i="7" s="1"/>
  <c r="AA80" i="7" s="1"/>
  <c r="AA82" i="7" s="1"/>
  <c r="AA84" i="7" s="1"/>
  <c r="AA86" i="7" s="1"/>
  <c r="AA88" i="7" s="1"/>
  <c r="AA90" i="7" s="1"/>
  <c r="AA92" i="7" s="1"/>
  <c r="AA94" i="7" s="1"/>
  <c r="AA96" i="7" s="1"/>
  <c r="AA98" i="7" s="1"/>
  <c r="AA100" i="7" s="1"/>
  <c r="AA102" i="7" s="1"/>
  <c r="AA104" i="7" s="1"/>
  <c r="AA106" i="7" s="1"/>
  <c r="AA108" i="7" s="1"/>
  <c r="AA110" i="7" s="1"/>
  <c r="AA112" i="7" s="1"/>
  <c r="AA114" i="7" s="1"/>
  <c r="AA116" i="7" s="1"/>
  <c r="AA118" i="7" s="1"/>
  <c r="AA122" i="7" s="1"/>
  <c r="AA124" i="7" s="1"/>
  <c r="AA126" i="7" s="1"/>
  <c r="AA128" i="7" s="1"/>
  <c r="AA130" i="7" s="1"/>
  <c r="AA132" i="7" s="1"/>
  <c r="AA134" i="7" s="1"/>
  <c r="AA136" i="7" s="1"/>
  <c r="AA138" i="7" s="1"/>
  <c r="AA140" i="7" s="1"/>
  <c r="AA142" i="7" s="1"/>
  <c r="AA144" i="7" s="1"/>
  <c r="AA146" i="7" s="1"/>
  <c r="AA148" i="7" s="1"/>
  <c r="AA150" i="7" s="1"/>
  <c r="AA152" i="7" s="1"/>
  <c r="AA154" i="7" s="1"/>
  <c r="AA156" i="7" s="1"/>
  <c r="AA158" i="7" s="1"/>
  <c r="AA160" i="7" s="1"/>
  <c r="AA162" i="7" s="1"/>
  <c r="AA164" i="7" s="1"/>
  <c r="AA166" i="7" s="1"/>
  <c r="AA168" i="7" s="1"/>
  <c r="AA170" i="7" s="1"/>
  <c r="AA172" i="7" s="1"/>
  <c r="AA174" i="7" s="1"/>
  <c r="AA176" i="7" s="1"/>
  <c r="AA178" i="7" s="1"/>
  <c r="AA180" i="7" s="1"/>
  <c r="AA182" i="7" s="1"/>
  <c r="AA184" i="7" s="1"/>
  <c r="AA186" i="7" s="1"/>
  <c r="AA188" i="7" s="1"/>
  <c r="AA190" i="7" s="1"/>
  <c r="AA192" i="7" s="1"/>
  <c r="AA194" i="7" s="1"/>
  <c r="AA196" i="7" s="1"/>
  <c r="AA198" i="7" s="1"/>
  <c r="AA200" i="7" s="1"/>
  <c r="AA202" i="7" s="1"/>
  <c r="AA204" i="7" s="1"/>
  <c r="AA206" i="7" s="1"/>
  <c r="AA208" i="7" s="1"/>
  <c r="AA210" i="7" s="1"/>
  <c r="AA212" i="7" s="1"/>
  <c r="AA214" i="7" s="1"/>
  <c r="AA216" i="7" s="1"/>
  <c r="AA218" i="7" s="1"/>
  <c r="AA220" i="7" s="1"/>
  <c r="AA222" i="7" s="1"/>
  <c r="AA224" i="7" s="1"/>
  <c r="AA226" i="7" s="1"/>
  <c r="AA228" i="7" s="1"/>
  <c r="AA230" i="7" s="1"/>
  <c r="AA232" i="7" s="1"/>
  <c r="AA234" i="7" s="1"/>
  <c r="AA236" i="7" s="1"/>
  <c r="AA238" i="7" s="1"/>
  <c r="AA240" i="7" s="1"/>
  <c r="AA242" i="7" s="1"/>
  <c r="AA244" i="7" s="1"/>
  <c r="AA246" i="7" s="1"/>
  <c r="AA248" i="7" s="1"/>
  <c r="AA250" i="7" s="1"/>
  <c r="AA252" i="7" s="1"/>
  <c r="AA254" i="7" s="1"/>
  <c r="AA256" i="7" s="1"/>
  <c r="AA258" i="7" s="1"/>
  <c r="AA260" i="7" s="1"/>
  <c r="AA262" i="7" s="1"/>
  <c r="AA264" i="7" s="1"/>
  <c r="AA266" i="7" s="1"/>
  <c r="AA268" i="7" s="1"/>
  <c r="AA270" i="7" s="1"/>
  <c r="AA272" i="7" s="1"/>
  <c r="AA275" i="7" s="1"/>
  <c r="AA277" i="7" s="1"/>
  <c r="AA279" i="7" s="1"/>
  <c r="AA281" i="7" s="1"/>
  <c r="AA283" i="7" s="1"/>
  <c r="AA285" i="7" s="1"/>
  <c r="AA287" i="7" s="1"/>
  <c r="AA289" i="7" s="1"/>
  <c r="AA291" i="7" s="1"/>
  <c r="AA293" i="7" s="1"/>
  <c r="AA295" i="7" s="1"/>
  <c r="AA298" i="7" s="1"/>
  <c r="AA300" i="7" s="1"/>
  <c r="AA302" i="7" s="1"/>
  <c r="AA305" i="7" s="1"/>
  <c r="AA307" i="7" s="1"/>
  <c r="AA309" i="7" s="1"/>
  <c r="AA311" i="7" s="1"/>
  <c r="AA314" i="7" s="1"/>
  <c r="AA317" i="7" s="1"/>
  <c r="AA319" i="7" s="1"/>
  <c r="AA321" i="7" s="1"/>
  <c r="AA323" i="7" s="1"/>
  <c r="AA325" i="7" s="1"/>
  <c r="AA327" i="7" s="1"/>
  <c r="AA329" i="7" s="1"/>
  <c r="AA331" i="7" s="1"/>
  <c r="AA333" i="7" s="1"/>
  <c r="AA335" i="7" s="1"/>
  <c r="AA337" i="7" s="1"/>
  <c r="AA340" i="7" s="1"/>
  <c r="AA342" i="7" s="1"/>
  <c r="AA344" i="7" s="1"/>
  <c r="AA346" i="7" s="1"/>
  <c r="AA348" i="7" s="1"/>
  <c r="AA350" i="7" s="1"/>
  <c r="AA352" i="7" s="1"/>
  <c r="AA354" i="7" s="1"/>
  <c r="AA356" i="7" s="1"/>
  <c r="AA358" i="7" s="1"/>
  <c r="AA360" i="7" s="1"/>
  <c r="AA363" i="7" s="1"/>
  <c r="AA365" i="7" s="1"/>
  <c r="AA367" i="7" s="1"/>
  <c r="AA370" i="7" s="1"/>
  <c r="AA372" i="7" s="1"/>
  <c r="AA374" i="7" s="1"/>
  <c r="AA376" i="7" s="1"/>
  <c r="AA378" i="7" s="1"/>
  <c r="AA382" i="7" s="1"/>
  <c r="AA384" i="7" s="1"/>
  <c r="AA386" i="7" s="1"/>
  <c r="AA388" i="7" s="1"/>
  <c r="AA390" i="7" s="1"/>
  <c r="AA392" i="7" s="1"/>
  <c r="AA394" i="7" s="1"/>
  <c r="AA396" i="7" s="1"/>
  <c r="AA398" i="7" s="1"/>
  <c r="AA400" i="7" s="1"/>
  <c r="AA402" i="7" s="1"/>
  <c r="AA404" i="7" s="1"/>
  <c r="AA406" i="7" s="1"/>
  <c r="AA408" i="7" s="1"/>
  <c r="AA410" i="7" s="1"/>
  <c r="AA412" i="7" s="1"/>
  <c r="AA414" i="7" s="1"/>
  <c r="AA416" i="7" s="1"/>
  <c r="AA418" i="7" s="1"/>
  <c r="AA420" i="7" s="1"/>
  <c r="AA422" i="7" s="1"/>
  <c r="AA424" i="7" s="1"/>
  <c r="AA430" i="7" s="1"/>
  <c r="AA434" i="7" s="1"/>
  <c r="AA436" i="7" s="1"/>
  <c r="AA438" i="7" s="1"/>
  <c r="AA442" i="7" s="1"/>
  <c r="AA444" i="7" s="1"/>
  <c r="AA448" i="7" s="1"/>
  <c r="AA450" i="7" s="1"/>
  <c r="AA452" i="7" s="1"/>
  <c r="AA454" i="7" s="1"/>
  <c r="AA456" i="7" s="1"/>
  <c r="AA458" i="7" s="1"/>
  <c r="AA460" i="7" s="1"/>
  <c r="AA462" i="7" s="1"/>
  <c r="AA464" i="7" s="1"/>
  <c r="AA466" i="7" s="1"/>
  <c r="AA468" i="7" s="1"/>
  <c r="AA470" i="7" s="1"/>
  <c r="AA478" i="7" s="1"/>
  <c r="AA480" i="7" s="1"/>
  <c r="AA482" i="7" s="1"/>
  <c r="AA484" i="7" s="1"/>
  <c r="AA486" i="7" s="1"/>
  <c r="AA490" i="7" s="1"/>
  <c r="AA492" i="7" s="1"/>
  <c r="AA496" i="7" s="1"/>
  <c r="L376" i="7"/>
  <c r="L376" i="4"/>
  <c r="L376" i="6"/>
  <c r="L234" i="4"/>
  <c r="L291" i="4"/>
  <c r="L327" i="4"/>
  <c r="L321" i="4"/>
  <c r="L323" i="4"/>
  <c r="L340" i="4"/>
  <c r="L356" i="4"/>
  <c r="L289" i="4"/>
  <c r="L307" i="4"/>
  <c r="L317" i="4"/>
  <c r="L333" i="4"/>
  <c r="L350" i="4"/>
  <c r="L367" i="4"/>
  <c r="L281" i="4"/>
  <c r="L26" i="4"/>
  <c r="L170" i="4"/>
  <c r="L319" i="4"/>
  <c r="L42" i="4"/>
  <c r="L218" i="4"/>
  <c r="L10" i="4"/>
  <c r="L202" i="4"/>
  <c r="L138" i="4"/>
  <c r="L266" i="4"/>
  <c r="L275" i="4"/>
  <c r="L309" i="4"/>
  <c r="L335" i="4"/>
  <c r="L344" i="4"/>
  <c r="L352" i="4"/>
  <c r="L360" i="4"/>
  <c r="L287" i="4"/>
  <c r="L305" i="4"/>
  <c r="L90" i="4"/>
  <c r="L106" i="4"/>
  <c r="L154" i="4"/>
  <c r="L329" i="4"/>
  <c r="L12" i="4"/>
  <c r="L60" i="4"/>
  <c r="L92" i="4"/>
  <c r="L140" i="4"/>
  <c r="L188" i="4"/>
  <c r="L220" i="4"/>
  <c r="L268" i="4"/>
  <c r="L285" i="4"/>
  <c r="L363" i="4"/>
  <c r="L279" i="4"/>
  <c r="L295" i="4"/>
  <c r="L331" i="4"/>
  <c r="L348" i="4"/>
  <c r="L365" i="4"/>
  <c r="L325" i="4"/>
  <c r="L342" i="4"/>
  <c r="L358" i="4"/>
  <c r="L44" i="4"/>
  <c r="L108" i="4"/>
  <c r="L156" i="4"/>
  <c r="L204" i="4"/>
  <c r="L236" i="4"/>
  <c r="L293" i="4"/>
  <c r="L354" i="4"/>
  <c r="L28" i="4"/>
  <c r="L76" i="4"/>
  <c r="L124" i="4"/>
  <c r="L172" i="4"/>
  <c r="L252" i="4"/>
  <c r="L277" i="4"/>
  <c r="L311" i="4"/>
  <c r="L337" i="4"/>
  <c r="L346" i="4"/>
  <c r="L18" i="4"/>
  <c r="L34" i="4"/>
  <c r="L50" i="4"/>
  <c r="L58" i="4"/>
  <c r="L82" i="4"/>
  <c r="L98" i="4"/>
  <c r="L114" i="4"/>
  <c r="L122" i="4"/>
  <c r="L130" i="4"/>
  <c r="L146" i="4"/>
  <c r="L162" i="4"/>
  <c r="L178" i="4"/>
  <c r="L186" i="4"/>
  <c r="L250" i="4"/>
  <c r="L283" i="4"/>
  <c r="L22" i="4"/>
  <c r="L46" i="4"/>
  <c r="L94" i="4"/>
  <c r="L118" i="4"/>
  <c r="L142" i="4"/>
  <c r="L166" i="4"/>
  <c r="L190" i="4"/>
  <c r="L214" i="4"/>
  <c r="L246" i="4"/>
  <c r="L270" i="4"/>
  <c r="L8" i="4"/>
  <c r="L16" i="4"/>
  <c r="L24" i="4"/>
  <c r="L32" i="4"/>
  <c r="L40" i="4"/>
  <c r="L48" i="4"/>
  <c r="L56" i="4"/>
  <c r="L64" i="4"/>
  <c r="L80" i="4"/>
  <c r="L88" i="4"/>
  <c r="L96" i="4"/>
  <c r="L104" i="4"/>
  <c r="L112" i="4"/>
  <c r="L128" i="4"/>
  <c r="L136" i="4"/>
  <c r="L144" i="4"/>
  <c r="L152" i="4"/>
  <c r="L160" i="4"/>
  <c r="L168" i="4"/>
  <c r="L176" i="4"/>
  <c r="L184" i="4"/>
  <c r="L192" i="4"/>
  <c r="L200" i="4"/>
  <c r="L208" i="4"/>
  <c r="L216" i="4"/>
  <c r="L224" i="4"/>
  <c r="L232" i="4"/>
  <c r="L240" i="4"/>
  <c r="L248" i="4"/>
  <c r="L256" i="4"/>
  <c r="L264" i="4"/>
  <c r="L272" i="4"/>
  <c r="L20" i="4"/>
  <c r="L52" i="4"/>
  <c r="L84" i="4"/>
  <c r="L116" i="4"/>
  <c r="L148" i="4"/>
  <c r="L180" i="4"/>
  <c r="L212" i="4"/>
  <c r="L244" i="4"/>
  <c r="L14" i="4"/>
  <c r="L38" i="4"/>
  <c r="L54" i="4"/>
  <c r="L78" i="4"/>
  <c r="L102" i="4"/>
  <c r="L134" i="4"/>
  <c r="L158" i="4"/>
  <c r="L182" i="4"/>
  <c r="L206" i="4"/>
  <c r="L230" i="4"/>
  <c r="L254" i="4"/>
  <c r="L4" i="4"/>
  <c r="L36" i="4"/>
  <c r="L100" i="4"/>
  <c r="L132" i="4"/>
  <c r="L164" i="4"/>
  <c r="L196" i="4"/>
  <c r="L228" i="4"/>
  <c r="L260" i="4"/>
  <c r="L6" i="4"/>
  <c r="L30" i="4"/>
  <c r="L86" i="4"/>
  <c r="L110" i="4"/>
  <c r="L126" i="4"/>
  <c r="L150" i="4"/>
  <c r="L174" i="4"/>
  <c r="L198" i="4"/>
  <c r="L222" i="4"/>
  <c r="L238" i="4"/>
  <c r="L262" i="4"/>
  <c r="L194" i="4"/>
  <c r="L210" i="4"/>
  <c r="L226" i="4"/>
  <c r="L242" i="4"/>
  <c r="L258" i="4"/>
  <c r="R369" i="3"/>
  <c r="R370" i="3"/>
  <c r="R371" i="3"/>
  <c r="R372" i="3"/>
  <c r="R375" i="3"/>
  <c r="R376" i="3"/>
  <c r="R383" i="3"/>
  <c r="R384" i="3"/>
  <c r="R344" i="3"/>
  <c r="R320" i="3"/>
  <c r="R296" i="3"/>
  <c r="R382" i="3" s="1"/>
  <c r="R272" i="3"/>
  <c r="R381" i="3" s="1"/>
  <c r="R248" i="3"/>
  <c r="R380" i="3" s="1"/>
  <c r="R224" i="3"/>
  <c r="R379" i="3" s="1"/>
  <c r="R200" i="3"/>
  <c r="R378" i="3" s="1"/>
  <c r="R176" i="3"/>
  <c r="R377" i="3" s="1"/>
  <c r="R152" i="3"/>
  <c r="R128" i="3"/>
  <c r="R104" i="3"/>
  <c r="R374" i="3" s="1"/>
  <c r="R80" i="3"/>
  <c r="R373" i="3" s="1"/>
  <c r="Q56" i="3"/>
  <c r="Q32" i="3"/>
  <c r="Q8" i="3"/>
  <c r="Q2" i="3"/>
  <c r="N6" i="5" l="1"/>
  <c r="N8" i="5" s="1"/>
  <c r="N10" i="5" s="1"/>
  <c r="N12" i="5" s="1"/>
  <c r="N14" i="5" s="1"/>
  <c r="N16" i="5" s="1"/>
  <c r="N18" i="5" s="1"/>
  <c r="N20" i="5" s="1"/>
  <c r="N22" i="5" s="1"/>
  <c r="N24" i="5" s="1"/>
  <c r="N26" i="5" s="1"/>
  <c r="N28" i="5" s="1"/>
  <c r="N30" i="5" s="1"/>
  <c r="N32" i="5" s="1"/>
  <c r="N34" i="5" s="1"/>
  <c r="N36" i="5" s="1"/>
  <c r="N38" i="5" s="1"/>
  <c r="N40" i="5" s="1"/>
  <c r="N42" i="5" s="1"/>
  <c r="N44" i="5" s="1"/>
  <c r="N46" i="5" s="1"/>
  <c r="N48" i="5" s="1"/>
  <c r="N50" i="5" s="1"/>
  <c r="N52" i="5" s="1"/>
  <c r="N54" i="5" s="1"/>
  <c r="N56" i="5" s="1"/>
  <c r="N58" i="5" s="1"/>
  <c r="N60" i="5" s="1"/>
  <c r="N64" i="5" s="1"/>
  <c r="L620" i="4"/>
  <c r="L619" i="4"/>
  <c r="M570" i="4" s="1"/>
  <c r="M374" i="7"/>
  <c r="Q344" i="3"/>
  <c r="Q384" i="3" s="1"/>
  <c r="Q320" i="3"/>
  <c r="Q383" i="3" s="1"/>
  <c r="Q296" i="3"/>
  <c r="Q272" i="3"/>
  <c r="Q381" i="3" s="1"/>
  <c r="V381" i="3" s="1"/>
  <c r="Q248" i="3"/>
  <c r="Q380" i="3" s="1"/>
  <c r="Q224" i="3"/>
  <c r="Q379" i="3" s="1"/>
  <c r="V379" i="3" s="1"/>
  <c r="Q200" i="3"/>
  <c r="Q378" i="3" s="1"/>
  <c r="V378" i="3" s="1"/>
  <c r="Q176" i="3"/>
  <c r="Q377" i="3" s="1"/>
  <c r="V377" i="3" s="1"/>
  <c r="Q152" i="3"/>
  <c r="Q376" i="3" s="1"/>
  <c r="Q128" i="3"/>
  <c r="Q375" i="3" s="1"/>
  <c r="V375" i="3" s="1"/>
  <c r="Q104" i="3"/>
  <c r="Q374" i="3" s="1"/>
  <c r="Q80" i="3"/>
  <c r="Q373" i="3" s="1"/>
  <c r="V373" i="3" s="1"/>
  <c r="Q369" i="3"/>
  <c r="V369" i="3" s="1"/>
  <c r="Q370" i="3"/>
  <c r="Q371" i="3"/>
  <c r="V371" i="3" s="1"/>
  <c r="Q372" i="3"/>
  <c r="V372" i="3" s="1"/>
  <c r="Q382" i="3"/>
  <c r="P344" i="3"/>
  <c r="P384" i="3" s="1"/>
  <c r="O344" i="3"/>
  <c r="O384" i="3" s="1"/>
  <c r="N344" i="3"/>
  <c r="N384" i="3" s="1"/>
  <c r="M344" i="3"/>
  <c r="M384" i="3" s="1"/>
  <c r="P320" i="3"/>
  <c r="P383" i="3" s="1"/>
  <c r="U383" i="3" s="1"/>
  <c r="O320" i="3"/>
  <c r="O383" i="3" s="1"/>
  <c r="T383" i="3" s="1"/>
  <c r="N320" i="3"/>
  <c r="N383" i="3" s="1"/>
  <c r="M320" i="3"/>
  <c r="M383" i="3" s="1"/>
  <c r="P296" i="3"/>
  <c r="P382" i="3" s="1"/>
  <c r="O296" i="3"/>
  <c r="O382" i="3" s="1"/>
  <c r="N296" i="3"/>
  <c r="N382" i="3" s="1"/>
  <c r="M296" i="3"/>
  <c r="M382" i="3" s="1"/>
  <c r="P272" i="3"/>
  <c r="P381" i="3" s="1"/>
  <c r="U381" i="3" s="1"/>
  <c r="O272" i="3"/>
  <c r="O381" i="3" s="1"/>
  <c r="T381" i="3" s="1"/>
  <c r="N272" i="3"/>
  <c r="N381" i="3" s="1"/>
  <c r="M272" i="3"/>
  <c r="M381" i="3" s="1"/>
  <c r="P248" i="3"/>
  <c r="P380" i="3" s="1"/>
  <c r="O248" i="3"/>
  <c r="O380" i="3" s="1"/>
  <c r="N248" i="3"/>
  <c r="N380" i="3" s="1"/>
  <c r="M248" i="3"/>
  <c r="M380" i="3" s="1"/>
  <c r="P224" i="3"/>
  <c r="P379" i="3" s="1"/>
  <c r="U379" i="3" s="1"/>
  <c r="O224" i="3"/>
  <c r="O379" i="3" s="1"/>
  <c r="T379" i="3" s="1"/>
  <c r="N224" i="3"/>
  <c r="N379" i="3" s="1"/>
  <c r="M224" i="3"/>
  <c r="M379" i="3" s="1"/>
  <c r="P200" i="3"/>
  <c r="P378" i="3" s="1"/>
  <c r="O200" i="3"/>
  <c r="O378" i="3" s="1"/>
  <c r="N200" i="3"/>
  <c r="N378" i="3" s="1"/>
  <c r="M200" i="3"/>
  <c r="M378" i="3" s="1"/>
  <c r="P176" i="3"/>
  <c r="P377" i="3" s="1"/>
  <c r="U377" i="3" s="1"/>
  <c r="O176" i="3"/>
  <c r="O377" i="3" s="1"/>
  <c r="T377" i="3" s="1"/>
  <c r="N176" i="3"/>
  <c r="N377" i="3" s="1"/>
  <c r="M176" i="3"/>
  <c r="M377" i="3" s="1"/>
  <c r="P152" i="3"/>
  <c r="P376" i="3" s="1"/>
  <c r="O152" i="3"/>
  <c r="O376" i="3" s="1"/>
  <c r="N152" i="3"/>
  <c r="N376" i="3" s="1"/>
  <c r="M152" i="3"/>
  <c r="M376" i="3" s="1"/>
  <c r="P128" i="3"/>
  <c r="P375" i="3" s="1"/>
  <c r="U375" i="3" s="1"/>
  <c r="O128" i="3"/>
  <c r="O375" i="3" s="1"/>
  <c r="T375" i="3" s="1"/>
  <c r="N128" i="3"/>
  <c r="N375" i="3" s="1"/>
  <c r="M128" i="3"/>
  <c r="M375" i="3" s="1"/>
  <c r="P104" i="3"/>
  <c r="P374" i="3" s="1"/>
  <c r="O104" i="3"/>
  <c r="O374" i="3" s="1"/>
  <c r="N104" i="3"/>
  <c r="N374" i="3" s="1"/>
  <c r="M104" i="3"/>
  <c r="M374" i="3" s="1"/>
  <c r="P80" i="3"/>
  <c r="P373" i="3" s="1"/>
  <c r="U373" i="3" s="1"/>
  <c r="O80" i="3"/>
  <c r="O373" i="3" s="1"/>
  <c r="T373" i="3" s="1"/>
  <c r="N80" i="3"/>
  <c r="N373" i="3" s="1"/>
  <c r="M80" i="3"/>
  <c r="M373" i="3" s="1"/>
  <c r="P56" i="3"/>
  <c r="P372" i="3" s="1"/>
  <c r="O56" i="3"/>
  <c r="O372" i="3" s="1"/>
  <c r="N56" i="3"/>
  <c r="N372" i="3" s="1"/>
  <c r="M56" i="3"/>
  <c r="M372" i="3" s="1"/>
  <c r="P32" i="3"/>
  <c r="P371" i="3" s="1"/>
  <c r="U371" i="3" s="1"/>
  <c r="O32" i="3"/>
  <c r="O371" i="3" s="1"/>
  <c r="T371" i="3" s="1"/>
  <c r="N32" i="3"/>
  <c r="N371" i="3" s="1"/>
  <c r="M32" i="3"/>
  <c r="M371" i="3" s="1"/>
  <c r="P8" i="3"/>
  <c r="P370" i="3" s="1"/>
  <c r="O8" i="3"/>
  <c r="O370" i="3" s="1"/>
  <c r="N8" i="3"/>
  <c r="N370" i="3" s="1"/>
  <c r="M8" i="3"/>
  <c r="M370" i="3" s="1"/>
  <c r="P2" i="3"/>
  <c r="P369" i="3" s="1"/>
  <c r="U369" i="3" s="1"/>
  <c r="O2" i="3"/>
  <c r="O369" i="3" s="1"/>
  <c r="T369" i="3" s="1"/>
  <c r="N2" i="3"/>
  <c r="N369" i="3" s="1"/>
  <c r="M2" i="3"/>
  <c r="M369" i="3" s="1"/>
  <c r="M508" i="4" l="1"/>
  <c r="M514" i="4"/>
  <c r="M536" i="4"/>
  <c r="M516" i="4"/>
  <c r="M538" i="4"/>
  <c r="M544" i="4"/>
  <c r="M518" i="4"/>
  <c r="M540" i="4"/>
  <c r="M528" i="4"/>
  <c r="M524" i="4"/>
  <c r="M542" i="4"/>
  <c r="M526" i="4"/>
  <c r="M510" i="4"/>
  <c r="M530" i="4"/>
  <c r="M512" i="4"/>
  <c r="M532" i="4"/>
  <c r="M196" i="4"/>
  <c r="M500" i="4"/>
  <c r="N66" i="5"/>
  <c r="N68" i="5" s="1"/>
  <c r="N70" i="5" s="1"/>
  <c r="N72" i="5" s="1"/>
  <c r="N74" i="5" s="1"/>
  <c r="N76" i="5"/>
  <c r="N78" i="5" s="1"/>
  <c r="N80" i="5" s="1"/>
  <c r="N82" i="5" s="1"/>
  <c r="N84" i="5" s="1"/>
  <c r="N86" i="5" s="1"/>
  <c r="N88" i="5" s="1"/>
  <c r="N90" i="5" s="1"/>
  <c r="N92" i="5" s="1"/>
  <c r="N94" i="5" s="1"/>
  <c r="N96" i="5" s="1"/>
  <c r="N98" i="5" s="1"/>
  <c r="N100" i="5" s="1"/>
  <c r="N102" i="5" s="1"/>
  <c r="N104" i="5" s="1"/>
  <c r="N106" i="5" s="1"/>
  <c r="N108" i="5" s="1"/>
  <c r="N110" i="5" s="1"/>
  <c r="N112" i="5" s="1"/>
  <c r="N114" i="5" s="1"/>
  <c r="N116" i="5" s="1"/>
  <c r="N118" i="5" s="1"/>
  <c r="N122" i="5" s="1"/>
  <c r="N124" i="5" s="1"/>
  <c r="N126" i="5" s="1"/>
  <c r="N128" i="5" s="1"/>
  <c r="N130" i="5" s="1"/>
  <c r="N132" i="5" s="1"/>
  <c r="N134" i="5" s="1"/>
  <c r="N136" i="5" s="1"/>
  <c r="N138" i="5" s="1"/>
  <c r="N140" i="5" s="1"/>
  <c r="N142" i="5" s="1"/>
  <c r="N144" i="5" s="1"/>
  <c r="N146" i="5" s="1"/>
  <c r="N148" i="5" s="1"/>
  <c r="N150" i="5" s="1"/>
  <c r="N152" i="5" s="1"/>
  <c r="N154" i="5" s="1"/>
  <c r="N156" i="5" s="1"/>
  <c r="N158" i="5" s="1"/>
  <c r="N160" i="5" s="1"/>
  <c r="N162" i="5" s="1"/>
  <c r="N164" i="5" s="1"/>
  <c r="N166" i="5" s="1"/>
  <c r="N168" i="5" s="1"/>
  <c r="N170" i="5" s="1"/>
  <c r="N172" i="5" s="1"/>
  <c r="N174" i="5" s="1"/>
  <c r="N176" i="5" s="1"/>
  <c r="N178" i="5" s="1"/>
  <c r="N180" i="5" s="1"/>
  <c r="N182" i="5" s="1"/>
  <c r="N184" i="5" s="1"/>
  <c r="N186" i="5" s="1"/>
  <c r="N188" i="5" s="1"/>
  <c r="N190" i="5" s="1"/>
  <c r="N192" i="5" s="1"/>
  <c r="N194" i="5" s="1"/>
  <c r="N196" i="5" s="1"/>
  <c r="N198" i="5" s="1"/>
  <c r="N200" i="5" s="1"/>
  <c r="N202" i="5" s="1"/>
  <c r="N204" i="5" s="1"/>
  <c r="N206" i="5" s="1"/>
  <c r="N208" i="5" s="1"/>
  <c r="N210" i="5" s="1"/>
  <c r="N212" i="5" s="1"/>
  <c r="N214" i="5" s="1"/>
  <c r="N216" i="5" s="1"/>
  <c r="N218" i="5" s="1"/>
  <c r="N220" i="5" s="1"/>
  <c r="N222" i="5" s="1"/>
  <c r="N224" i="5" s="1"/>
  <c r="N226" i="5" s="1"/>
  <c r="N228" i="5" s="1"/>
  <c r="N230" i="5" s="1"/>
  <c r="N232" i="5" s="1"/>
  <c r="N234" i="5" s="1"/>
  <c r="N236" i="5" s="1"/>
  <c r="N238" i="5" s="1"/>
  <c r="N240" i="5" s="1"/>
  <c r="N242" i="5" s="1"/>
  <c r="N244" i="5" s="1"/>
  <c r="N246" i="5" s="1"/>
  <c r="N248" i="5" s="1"/>
  <c r="N250" i="5" s="1"/>
  <c r="N252" i="5" s="1"/>
  <c r="N254" i="5" s="1"/>
  <c r="N256" i="5" s="1"/>
  <c r="N258" i="5" s="1"/>
  <c r="N260" i="5" s="1"/>
  <c r="N262" i="5" s="1"/>
  <c r="N264" i="5" s="1"/>
  <c r="N266" i="5" s="1"/>
  <c r="N268" i="5" s="1"/>
  <c r="N270" i="5" s="1"/>
  <c r="N272" i="5" s="1"/>
  <c r="N275" i="5" s="1"/>
  <c r="N277" i="5" s="1"/>
  <c r="N279" i="5" s="1"/>
  <c r="N281" i="5" s="1"/>
  <c r="N283" i="5" s="1"/>
  <c r="N285" i="5" s="1"/>
  <c r="N287" i="5" s="1"/>
  <c r="N289" i="5" s="1"/>
  <c r="N291" i="5" s="1"/>
  <c r="N293" i="5" s="1"/>
  <c r="N295" i="5" s="1"/>
  <c r="M54" i="4"/>
  <c r="M335" i="4"/>
  <c r="M144" i="4"/>
  <c r="M84" i="4"/>
  <c r="M340" i="4"/>
  <c r="M118" i="4"/>
  <c r="M319" i="4"/>
  <c r="M190" i="4"/>
  <c r="M44" i="4"/>
  <c r="M124" i="4"/>
  <c r="M228" i="4"/>
  <c r="M186" i="4"/>
  <c r="M122" i="4"/>
  <c r="M34" i="4"/>
  <c r="M289" i="4"/>
  <c r="M166" i="4"/>
  <c r="M321" i="4"/>
  <c r="M20" i="4"/>
  <c r="M252" i="4"/>
  <c r="M4" i="4"/>
  <c r="N4" i="4" s="1"/>
  <c r="M354" i="4"/>
  <c r="M14" i="4"/>
  <c r="M58" i="4"/>
  <c r="M132" i="4"/>
  <c r="M266" i="4"/>
  <c r="M48" i="4"/>
  <c r="M305" i="4"/>
  <c r="M287" i="4"/>
  <c r="M16" i="4"/>
  <c r="M309" i="4"/>
  <c r="M238" i="4"/>
  <c r="M208" i="4"/>
  <c r="M8" i="4"/>
  <c r="M302" i="4"/>
  <c r="M156" i="4"/>
  <c r="M224" i="4"/>
  <c r="M90" i="4"/>
  <c r="M24" i="4"/>
  <c r="M198" i="4"/>
  <c r="M365" i="4"/>
  <c r="M176" i="4"/>
  <c r="M222" i="4"/>
  <c r="M293" i="4"/>
  <c r="M248" i="4"/>
  <c r="M128" i="4"/>
  <c r="M210" i="4"/>
  <c r="M158" i="4"/>
  <c r="M10" i="4"/>
  <c r="M218" i="4"/>
  <c r="M28" i="4"/>
  <c r="M202" i="4"/>
  <c r="M46" i="4"/>
  <c r="M164" i="4"/>
  <c r="M92" i="4"/>
  <c r="M80" i="4"/>
  <c r="M376" i="4"/>
  <c r="M172" i="4"/>
  <c r="M52" i="4"/>
  <c r="M188" i="4"/>
  <c r="M96" i="4"/>
  <c r="M258" i="4"/>
  <c r="M236" i="4"/>
  <c r="M240" i="4"/>
  <c r="M291" i="4"/>
  <c r="M311" i="4"/>
  <c r="M102" i="4"/>
  <c r="M134" i="4"/>
  <c r="M329" i="4"/>
  <c r="M126" i="4"/>
  <c r="M358" i="4"/>
  <c r="M344" i="4"/>
  <c r="M246" i="4"/>
  <c r="M360" i="4"/>
  <c r="M270" i="4"/>
  <c r="M242" i="4"/>
  <c r="M295" i="4"/>
  <c r="M152" i="4"/>
  <c r="M356" i="4"/>
  <c r="M50" i="4"/>
  <c r="M38" i="4"/>
  <c r="M348" i="4"/>
  <c r="M168" i="4"/>
  <c r="M234" i="4"/>
  <c r="M277" i="4"/>
  <c r="M116" i="4"/>
  <c r="M317" i="4"/>
  <c r="M98" i="4"/>
  <c r="M36" i="4"/>
  <c r="M350" i="4"/>
  <c r="M192" i="4"/>
  <c r="M174" i="4"/>
  <c r="M22" i="4"/>
  <c r="M342" i="4"/>
  <c r="M264" i="4"/>
  <c r="M60" i="4"/>
  <c r="M64" i="4"/>
  <c r="M108" i="4"/>
  <c r="M216" i="4"/>
  <c r="M26" i="4"/>
  <c r="M162" i="4"/>
  <c r="M230" i="4"/>
  <c r="M204" i="4"/>
  <c r="M232" i="4"/>
  <c r="M307" i="4"/>
  <c r="M82" i="4"/>
  <c r="M78" i="4"/>
  <c r="M42" i="4"/>
  <c r="M250" i="4"/>
  <c r="M30" i="4"/>
  <c r="M363" i="4"/>
  <c r="M262" i="4"/>
  <c r="M148" i="4"/>
  <c r="M200" i="4"/>
  <c r="M114" i="4"/>
  <c r="M194" i="4"/>
  <c r="M279" i="4"/>
  <c r="M456" i="4"/>
  <c r="M412" i="4"/>
  <c r="M484" i="4"/>
  <c r="M492" i="4"/>
  <c r="M442" i="4"/>
  <c r="M480" i="4"/>
  <c r="M436" i="4"/>
  <c r="M466" i="4"/>
  <c r="M404" i="4"/>
  <c r="M468" i="4"/>
  <c r="M490" i="4"/>
  <c r="M458" i="4"/>
  <c r="M414" i="4"/>
  <c r="M486" i="4"/>
  <c r="M452" i="4"/>
  <c r="M402" i="4"/>
  <c r="M482" i="4"/>
  <c r="M448" i="4"/>
  <c r="M430" i="4"/>
  <c r="M464" i="4"/>
  <c r="M420" i="4"/>
  <c r="M438" i="4"/>
  <c r="M416" i="4"/>
  <c r="M496" i="4"/>
  <c r="M422" i="4"/>
  <c r="M410" i="4"/>
  <c r="M470" i="4"/>
  <c r="M406" i="4"/>
  <c r="M462" i="4"/>
  <c r="M444" i="4"/>
  <c r="M450" i="4"/>
  <c r="M454" i="4"/>
  <c r="M478" i="4"/>
  <c r="M460" i="4"/>
  <c r="M434" i="4"/>
  <c r="M424" i="4"/>
  <c r="M388" i="4"/>
  <c r="M384" i="4"/>
  <c r="M392" i="4"/>
  <c r="M408" i="4"/>
  <c r="M386" i="4"/>
  <c r="M418" i="4"/>
  <c r="M396" i="4"/>
  <c r="M378" i="4"/>
  <c r="M372" i="4"/>
  <c r="M394" i="4"/>
  <c r="M400" i="4"/>
  <c r="M374" i="4"/>
  <c r="M300" i="4"/>
  <c r="M398" i="4"/>
  <c r="M370" i="4"/>
  <c r="M314" i="4"/>
  <c r="M382" i="4"/>
  <c r="M390" i="4"/>
  <c r="M154" i="4"/>
  <c r="M40" i="4"/>
  <c r="M285" i="4"/>
  <c r="M56" i="4"/>
  <c r="M352" i="4"/>
  <c r="M214" i="4"/>
  <c r="M150" i="4"/>
  <c r="M256" i="4"/>
  <c r="M298" i="4"/>
  <c r="M76" i="4"/>
  <c r="M272" i="4"/>
  <c r="M281" i="4"/>
  <c r="M146" i="4"/>
  <c r="M206" i="4"/>
  <c r="M140" i="4"/>
  <c r="M88" i="4"/>
  <c r="M170" i="4"/>
  <c r="M178" i="4"/>
  <c r="M254" i="4"/>
  <c r="M106" i="4"/>
  <c r="M32" i="4"/>
  <c r="M268" i="4"/>
  <c r="M112" i="4"/>
  <c r="M337" i="4"/>
  <c r="M212" i="4"/>
  <c r="M346" i="4"/>
  <c r="M180" i="4"/>
  <c r="M327" i="4"/>
  <c r="M100" i="4"/>
  <c r="M323" i="4"/>
  <c r="M18" i="4"/>
  <c r="M244" i="4"/>
  <c r="M138" i="4"/>
  <c r="M94" i="4"/>
  <c r="M226" i="4"/>
  <c r="M331" i="4"/>
  <c r="M160" i="4"/>
  <c r="M275" i="4"/>
  <c r="M142" i="4"/>
  <c r="M260" i="4"/>
  <c r="M220" i="4"/>
  <c r="M104" i="4"/>
  <c r="M6" i="4"/>
  <c r="M325" i="4"/>
  <c r="M184" i="4"/>
  <c r="M283" i="4"/>
  <c r="M110" i="4"/>
  <c r="M136" i="4"/>
  <c r="M86" i="4"/>
  <c r="M333" i="4"/>
  <c r="M12" i="4"/>
  <c r="M367" i="4"/>
  <c r="M130" i="4"/>
  <c r="M182" i="4"/>
  <c r="M396" i="7"/>
  <c r="M224" i="7"/>
  <c r="M92" i="7"/>
  <c r="M64" i="7"/>
  <c r="M232" i="7"/>
  <c r="M108" i="7"/>
  <c r="M38" i="7"/>
  <c r="M444" i="7"/>
  <c r="M410" i="7"/>
  <c r="M412" i="7"/>
  <c r="M442" i="7"/>
  <c r="M458" i="7"/>
  <c r="M468" i="7"/>
  <c r="M206" i="7"/>
  <c r="M194" i="7"/>
  <c r="M114" i="7"/>
  <c r="M281" i="7"/>
  <c r="M266" i="7"/>
  <c r="M260" i="7"/>
  <c r="M56" i="7"/>
  <c r="M116" i="7"/>
  <c r="M192" i="7"/>
  <c r="M44" i="7"/>
  <c r="M376" i="7"/>
  <c r="M200" i="7"/>
  <c r="M52" i="7"/>
  <c r="M311" i="7"/>
  <c r="M216" i="7"/>
  <c r="M76" i="7"/>
  <c r="M54" i="7"/>
  <c r="M344" i="7"/>
  <c r="M220" i="7"/>
  <c r="M62" i="7"/>
  <c r="M10" i="7"/>
  <c r="M236" i="7"/>
  <c r="M350" i="7"/>
  <c r="M420" i="7"/>
  <c r="M382" i="7"/>
  <c r="M406" i="7"/>
  <c r="M434" i="7"/>
  <c r="M466" i="7"/>
  <c r="M270" i="7"/>
  <c r="M258" i="7"/>
  <c r="M244" i="7"/>
  <c r="M32" i="7"/>
  <c r="M352" i="7"/>
  <c r="M388" i="7"/>
  <c r="M208" i="7"/>
  <c r="M22" i="7"/>
  <c r="M256" i="7"/>
  <c r="M156" i="7"/>
  <c r="M30" i="7"/>
  <c r="M264" i="7"/>
  <c r="M172" i="7"/>
  <c r="M46" i="7"/>
  <c r="M275" i="7"/>
  <c r="M204" i="7"/>
  <c r="M126" i="7"/>
  <c r="M106" i="7"/>
  <c r="M340" i="7"/>
  <c r="M134" i="7"/>
  <c r="M122" i="7"/>
  <c r="M356" i="7"/>
  <c r="M144" i="7"/>
  <c r="M480" i="7"/>
  <c r="M484" i="7"/>
  <c r="M400" i="7"/>
  <c r="M492" i="7"/>
  <c r="M456" i="7"/>
  <c r="M279" i="7"/>
  <c r="M160" i="7"/>
  <c r="M78" i="7"/>
  <c r="M150" i="7"/>
  <c r="M40" i="7"/>
  <c r="M48" i="7"/>
  <c r="M80" i="7"/>
  <c r="M394" i="7"/>
  <c r="M482" i="7"/>
  <c r="M142" i="7"/>
  <c r="M365" i="7"/>
  <c r="M202" i="7"/>
  <c r="M238" i="7"/>
  <c r="M128" i="7"/>
  <c r="M136" i="7"/>
  <c r="M180" i="7"/>
  <c r="M24" i="7"/>
  <c r="M398" i="7"/>
  <c r="M354" i="7"/>
  <c r="M58" i="7"/>
  <c r="M42" i="7"/>
  <c r="M102" i="7"/>
  <c r="M325" i="7"/>
  <c r="M90" i="7"/>
  <c r="M178" i="7"/>
  <c r="M198" i="7"/>
  <c r="M98" i="7"/>
  <c r="M422" i="7"/>
  <c r="M496" i="7"/>
  <c r="M470" i="7"/>
  <c r="M104" i="7"/>
  <c r="M331" i="7"/>
  <c r="M305" i="7"/>
  <c r="M307" i="7"/>
  <c r="M358" i="7"/>
  <c r="M386" i="7"/>
  <c r="M248" i="7"/>
  <c r="M140" i="7"/>
  <c r="M164" i="7"/>
  <c r="M34" i="7"/>
  <c r="M222" i="7"/>
  <c r="M210" i="7"/>
  <c r="M148" i="7"/>
  <c r="M230" i="7"/>
  <c r="M218" i="7"/>
  <c r="M378" i="7"/>
  <c r="M246" i="7"/>
  <c r="M234" i="7"/>
  <c r="M196" i="7"/>
  <c r="M8" i="7"/>
  <c r="M319" i="7"/>
  <c r="M346" i="7"/>
  <c r="M16" i="7"/>
  <c r="M327" i="7"/>
  <c r="M372" i="7"/>
  <c r="M300" i="7"/>
  <c r="M404" i="7"/>
  <c r="M418" i="7"/>
  <c r="M416" i="7"/>
  <c r="M490" i="7"/>
  <c r="M462" i="7"/>
  <c r="M18" i="7"/>
  <c r="M289" i="7"/>
  <c r="M110" i="7"/>
  <c r="M360" i="7"/>
  <c r="M60" i="7"/>
  <c r="M285" i="7"/>
  <c r="M168" i="7"/>
  <c r="M438" i="7"/>
  <c r="M130" i="7"/>
  <c r="M214" i="7"/>
  <c r="M132" i="7"/>
  <c r="M342" i="7"/>
  <c r="M363" i="7"/>
  <c r="M4" i="7"/>
  <c r="N4" i="7" s="1"/>
  <c r="M152" i="7"/>
  <c r="M335" i="7"/>
  <c r="M112" i="7"/>
  <c r="M348" i="7"/>
  <c r="M94" i="7"/>
  <c r="M287" i="7"/>
  <c r="M50" i="7"/>
  <c r="M118" i="7"/>
  <c r="M323" i="7"/>
  <c r="M190" i="7"/>
  <c r="M82" i="7"/>
  <c r="M186" i="7"/>
  <c r="M272" i="7"/>
  <c r="M430" i="7"/>
  <c r="M414" i="7"/>
  <c r="M337" i="7"/>
  <c r="M184" i="7"/>
  <c r="M36" i="7"/>
  <c r="M226" i="7"/>
  <c r="M158" i="7"/>
  <c r="M146" i="7"/>
  <c r="M166" i="7"/>
  <c r="M154" i="7"/>
  <c r="M293" i="7"/>
  <c r="M182" i="7"/>
  <c r="M170" i="7"/>
  <c r="M254" i="7"/>
  <c r="M242" i="7"/>
  <c r="M212" i="7"/>
  <c r="M262" i="7"/>
  <c r="M250" i="7"/>
  <c r="M228" i="7"/>
  <c r="M162" i="7"/>
  <c r="M402" i="7"/>
  <c r="M390" i="7"/>
  <c r="M436" i="7"/>
  <c r="M460" i="7"/>
  <c r="M176" i="7"/>
  <c r="M28" i="7"/>
  <c r="M14" i="7"/>
  <c r="M6" i="7"/>
  <c r="M240" i="7"/>
  <c r="M124" i="7"/>
  <c r="M86" i="7"/>
  <c r="M26" i="7"/>
  <c r="M268" i="7"/>
  <c r="M100" i="7"/>
  <c r="M188" i="7"/>
  <c r="M298" i="7"/>
  <c r="M283" i="7"/>
  <c r="M277" i="7"/>
  <c r="M333" i="7"/>
  <c r="M291" i="7"/>
  <c r="M174" i="7"/>
  <c r="M367" i="7"/>
  <c r="M309" i="7"/>
  <c r="M329" i="7"/>
  <c r="M88" i="7"/>
  <c r="M302" i="7"/>
  <c r="M295" i="7"/>
  <c r="M96" i="7"/>
  <c r="M321" i="7"/>
  <c r="M317" i="7"/>
  <c r="M392" i="7"/>
  <c r="M486" i="7"/>
  <c r="M408" i="7"/>
  <c r="M448" i="7"/>
  <c r="M450" i="7"/>
  <c r="M464" i="7"/>
  <c r="M252" i="7"/>
  <c r="M314" i="7"/>
  <c r="M370" i="7"/>
  <c r="M12" i="7"/>
  <c r="M20" i="7"/>
  <c r="M384" i="7"/>
  <c r="M478" i="7"/>
  <c r="M424" i="7"/>
  <c r="M454" i="7"/>
  <c r="M452" i="7"/>
  <c r="M138" i="7"/>
  <c r="M84" i="7"/>
  <c r="S370" i="3"/>
  <c r="S372" i="3"/>
  <c r="S374" i="3"/>
  <c r="S382" i="3"/>
  <c r="S384" i="3"/>
  <c r="V380" i="3"/>
  <c r="S378" i="3"/>
  <c r="T372" i="3"/>
  <c r="T376" i="3"/>
  <c r="T384" i="3"/>
  <c r="U370" i="3"/>
  <c r="U372" i="3"/>
  <c r="U374" i="3"/>
  <c r="U376" i="3"/>
  <c r="U378" i="3"/>
  <c r="U380" i="3"/>
  <c r="U382" i="3"/>
  <c r="U384" i="3"/>
  <c r="V374" i="3"/>
  <c r="V370" i="3"/>
  <c r="S380" i="3"/>
  <c r="T374" i="3"/>
  <c r="T380" i="3"/>
  <c r="T382" i="3"/>
  <c r="V382" i="3"/>
  <c r="V383" i="3"/>
  <c r="S376" i="3"/>
  <c r="T370" i="3"/>
  <c r="T378" i="3"/>
  <c r="S369" i="3"/>
  <c r="S371" i="3"/>
  <c r="S373" i="3"/>
  <c r="S375" i="3"/>
  <c r="S377" i="3"/>
  <c r="S379" i="3"/>
  <c r="S381" i="3"/>
  <c r="S383" i="3"/>
  <c r="V376" i="3"/>
  <c r="V384" i="3"/>
  <c r="N6" i="4" l="1"/>
  <c r="N8" i="4" s="1"/>
  <c r="N10" i="4" s="1"/>
  <c r="N12" i="4" s="1"/>
  <c r="N14" i="4" s="1"/>
  <c r="N16" i="4" s="1"/>
  <c r="N18" i="4" s="1"/>
  <c r="N20" i="4" s="1"/>
  <c r="N22" i="4" s="1"/>
  <c r="N24" i="4" s="1"/>
  <c r="N26" i="4" s="1"/>
  <c r="N28" i="4" s="1"/>
  <c r="N30" i="4" s="1"/>
  <c r="N32" i="4" s="1"/>
  <c r="N34" i="4" s="1"/>
  <c r="N36" i="4" s="1"/>
  <c r="N38" i="4" s="1"/>
  <c r="N40" i="4" s="1"/>
  <c r="N42" i="4" s="1"/>
  <c r="N44" i="4" s="1"/>
  <c r="N46" i="4" s="1"/>
  <c r="N48" i="4" s="1"/>
  <c r="N50" i="4" s="1"/>
  <c r="N52" i="4" s="1"/>
  <c r="N54" i="4" s="1"/>
  <c r="N56" i="4" s="1"/>
  <c r="N58" i="4" s="1"/>
  <c r="N60" i="4" s="1"/>
  <c r="N64" i="4" s="1"/>
  <c r="N76" i="4" s="1"/>
  <c r="N78" i="4" s="1"/>
  <c r="N80" i="4" s="1"/>
  <c r="N82" i="4" s="1"/>
  <c r="N84" i="4" s="1"/>
  <c r="N86" i="4" s="1"/>
  <c r="N88" i="4" s="1"/>
  <c r="N90" i="4" s="1"/>
  <c r="N92" i="4" s="1"/>
  <c r="N94" i="4" s="1"/>
  <c r="N96" i="4" s="1"/>
  <c r="N98" i="4" s="1"/>
  <c r="N100" i="4" s="1"/>
  <c r="N102" i="4" s="1"/>
  <c r="N104" i="4" s="1"/>
  <c r="N106" i="4" s="1"/>
  <c r="N108" i="4" s="1"/>
  <c r="N110" i="4" s="1"/>
  <c r="N112" i="4" s="1"/>
  <c r="N114" i="4" s="1"/>
  <c r="N116" i="4" s="1"/>
  <c r="N118" i="4" s="1"/>
  <c r="N122" i="4" s="1"/>
  <c r="N124" i="4" s="1"/>
  <c r="N126" i="4" s="1"/>
  <c r="N128" i="4" s="1"/>
  <c r="N130" i="4" s="1"/>
  <c r="N132" i="4" s="1"/>
  <c r="N134" i="4" s="1"/>
  <c r="N136" i="4" s="1"/>
  <c r="N138" i="4" s="1"/>
  <c r="N140" i="4" s="1"/>
  <c r="N142" i="4" s="1"/>
  <c r="N144" i="4" s="1"/>
  <c r="N146" i="4" s="1"/>
  <c r="N148" i="4" s="1"/>
  <c r="N150" i="4" s="1"/>
  <c r="N152" i="4" s="1"/>
  <c r="N154" i="4" s="1"/>
  <c r="N156" i="4" s="1"/>
  <c r="N158" i="4" s="1"/>
  <c r="N160" i="4" s="1"/>
  <c r="N162" i="4" s="1"/>
  <c r="N164" i="4" s="1"/>
  <c r="N166" i="4" s="1"/>
  <c r="N168" i="4" s="1"/>
  <c r="N170" i="4" s="1"/>
  <c r="N172" i="4" s="1"/>
  <c r="N174" i="4" s="1"/>
  <c r="N176" i="4" s="1"/>
  <c r="N178" i="4" s="1"/>
  <c r="N180" i="4" s="1"/>
  <c r="N182" i="4" s="1"/>
  <c r="N184" i="4" s="1"/>
  <c r="N186" i="4" s="1"/>
  <c r="N188" i="4" s="1"/>
  <c r="N190" i="4" s="1"/>
  <c r="N192" i="4" s="1"/>
  <c r="N194" i="4" s="1"/>
  <c r="N196" i="4" s="1"/>
  <c r="N198" i="4" s="1"/>
  <c r="N200" i="4" s="1"/>
  <c r="N202" i="4" s="1"/>
  <c r="N204" i="4" s="1"/>
  <c r="N206" i="4" s="1"/>
  <c r="N208" i="4" s="1"/>
  <c r="N210" i="4" s="1"/>
  <c r="N212" i="4" s="1"/>
  <c r="N214" i="4" s="1"/>
  <c r="N216" i="4" s="1"/>
  <c r="N218" i="4" s="1"/>
  <c r="N220" i="4" s="1"/>
  <c r="N222" i="4" s="1"/>
  <c r="N224" i="4" s="1"/>
  <c r="N226" i="4" s="1"/>
  <c r="N228" i="4" s="1"/>
  <c r="N230" i="4" s="1"/>
  <c r="N232" i="4" s="1"/>
  <c r="N234" i="4" s="1"/>
  <c r="N236" i="4" s="1"/>
  <c r="N238" i="4" s="1"/>
  <c r="N240" i="4" s="1"/>
  <c r="N242" i="4" s="1"/>
  <c r="N244" i="4" s="1"/>
  <c r="N246" i="4" s="1"/>
  <c r="N248" i="4" s="1"/>
  <c r="N250" i="4" s="1"/>
  <c r="N252" i="4" s="1"/>
  <c r="N254" i="4" s="1"/>
  <c r="N256" i="4" s="1"/>
  <c r="N258" i="4" s="1"/>
  <c r="N260" i="4" s="1"/>
  <c r="N262" i="4" s="1"/>
  <c r="N264" i="4" s="1"/>
  <c r="N266" i="4" s="1"/>
  <c r="N268" i="4" s="1"/>
  <c r="N270" i="4" s="1"/>
  <c r="N272" i="4" s="1"/>
  <c r="N275" i="4" s="1"/>
  <c r="N277" i="4" s="1"/>
  <c r="N279" i="4" s="1"/>
  <c r="N281" i="4" s="1"/>
  <c r="N283" i="4" s="1"/>
  <c r="N285" i="4" s="1"/>
  <c r="N287" i="4" s="1"/>
  <c r="N289" i="4" s="1"/>
  <c r="N291" i="4" s="1"/>
  <c r="N293" i="4" s="1"/>
  <c r="N295" i="4" s="1"/>
  <c r="N298" i="4" s="1"/>
  <c r="N300" i="4" s="1"/>
  <c r="N302" i="4" s="1"/>
  <c r="N305" i="4" s="1"/>
  <c r="N307" i="4" s="1"/>
  <c r="N309" i="4" s="1"/>
  <c r="N311" i="4" s="1"/>
  <c r="N314" i="4" s="1"/>
  <c r="N317" i="4" s="1"/>
  <c r="N319" i="4" s="1"/>
  <c r="N321" i="4" s="1"/>
  <c r="N323" i="4" s="1"/>
  <c r="N325" i="4" s="1"/>
  <c r="N327" i="4" s="1"/>
  <c r="N329" i="4" s="1"/>
  <c r="N331" i="4" s="1"/>
  <c r="N333" i="4" s="1"/>
  <c r="N335" i="4" s="1"/>
  <c r="N337" i="4" s="1"/>
  <c r="N340" i="4" s="1"/>
  <c r="N342" i="4" s="1"/>
  <c r="N344" i="4" s="1"/>
  <c r="N346" i="4" s="1"/>
  <c r="N348" i="4" s="1"/>
  <c r="N350" i="4" s="1"/>
  <c r="N352" i="4" s="1"/>
  <c r="N354" i="4" s="1"/>
  <c r="N356" i="4" s="1"/>
  <c r="N358" i="4" s="1"/>
  <c r="N360" i="4" s="1"/>
  <c r="N363" i="4" s="1"/>
  <c r="N365" i="4" s="1"/>
  <c r="N367" i="4" s="1"/>
  <c r="N370" i="4" s="1"/>
  <c r="N372" i="4" s="1"/>
  <c r="N374" i="4" s="1"/>
  <c r="N376" i="4" s="1"/>
  <c r="N378" i="4" s="1"/>
  <c r="N382" i="4" s="1"/>
  <c r="N384" i="4" s="1"/>
  <c r="N386" i="4" s="1"/>
  <c r="N388" i="4" s="1"/>
  <c r="N390" i="4" s="1"/>
  <c r="N392" i="4" s="1"/>
  <c r="N394" i="4" s="1"/>
  <c r="N396" i="4" s="1"/>
  <c r="N398" i="4" s="1"/>
  <c r="N400" i="4" s="1"/>
  <c r="N402" i="4" s="1"/>
  <c r="N404" i="4" s="1"/>
  <c r="N406" i="4" s="1"/>
  <c r="N408" i="4" s="1"/>
  <c r="N410" i="4" s="1"/>
  <c r="N412" i="4" s="1"/>
  <c r="N414" i="4" s="1"/>
  <c r="N416" i="4" s="1"/>
  <c r="N418" i="4" s="1"/>
  <c r="N420" i="4" s="1"/>
  <c r="N422" i="4" s="1"/>
  <c r="N424" i="4" s="1"/>
  <c r="N430" i="4" s="1"/>
  <c r="N434" i="4" s="1"/>
  <c r="N436" i="4" s="1"/>
  <c r="N438" i="4" s="1"/>
  <c r="N442" i="4" s="1"/>
  <c r="N444" i="4" s="1"/>
  <c r="N448" i="4" s="1"/>
  <c r="N450" i="4" s="1"/>
  <c r="N452" i="4" s="1"/>
  <c r="N454" i="4" s="1"/>
  <c r="N456" i="4" s="1"/>
  <c r="N458" i="4" s="1"/>
  <c r="N460" i="4" s="1"/>
  <c r="N462" i="4" s="1"/>
  <c r="N464" i="4" s="1"/>
  <c r="N466" i="4" s="1"/>
  <c r="N468" i="4" s="1"/>
  <c r="N470" i="4" s="1"/>
  <c r="N478" i="4" s="1"/>
  <c r="N480" i="4" s="1"/>
  <c r="N482" i="4" s="1"/>
  <c r="N484" i="4" s="1"/>
  <c r="N486" i="4" s="1"/>
  <c r="N490" i="4" s="1"/>
  <c r="N492" i="4" s="1"/>
  <c r="N496" i="4" s="1"/>
  <c r="N500" i="4" s="1"/>
  <c r="N508" i="4" s="1"/>
  <c r="N510" i="4" s="1"/>
  <c r="N512" i="4" s="1"/>
  <c r="N514" i="4" s="1"/>
  <c r="N516" i="4" s="1"/>
  <c r="N518" i="4" s="1"/>
  <c r="N6" i="7"/>
  <c r="N8" i="7" s="1"/>
  <c r="N10" i="7" s="1"/>
  <c r="N12" i="7" s="1"/>
  <c r="N14" i="7" s="1"/>
  <c r="N16" i="7" s="1"/>
  <c r="N18" i="7" s="1"/>
  <c r="N20" i="7" s="1"/>
  <c r="N22" i="7" s="1"/>
  <c r="N24" i="7" s="1"/>
  <c r="N26" i="7" s="1"/>
  <c r="N28" i="7" s="1"/>
  <c r="N30" i="7" s="1"/>
  <c r="N32" i="7" s="1"/>
  <c r="N34" i="7" s="1"/>
  <c r="N36" i="7" s="1"/>
  <c r="N38" i="7" s="1"/>
  <c r="N40" i="7" s="1"/>
  <c r="N42" i="7" s="1"/>
  <c r="N44" i="7" s="1"/>
  <c r="N46" i="7" s="1"/>
  <c r="N48" i="7" s="1"/>
  <c r="N50" i="7" s="1"/>
  <c r="N52" i="7" s="1"/>
  <c r="N54" i="7" s="1"/>
  <c r="N56" i="7" s="1"/>
  <c r="N58" i="7" s="1"/>
  <c r="N60" i="7" s="1"/>
  <c r="N62" i="7" s="1"/>
  <c r="N64" i="7" s="1"/>
  <c r="N76" i="7" s="1"/>
  <c r="N78" i="7" s="1"/>
  <c r="N80" i="7" s="1"/>
  <c r="N82" i="7" s="1"/>
  <c r="N84" i="7" s="1"/>
  <c r="N86" i="7" s="1"/>
  <c r="N88" i="7" s="1"/>
  <c r="N90" i="7" s="1"/>
  <c r="N92" i="7" s="1"/>
  <c r="N94" i="7" s="1"/>
  <c r="N96" i="7" s="1"/>
  <c r="N98" i="7" s="1"/>
  <c r="N100" i="7" s="1"/>
  <c r="N102" i="7" s="1"/>
  <c r="N104" i="7" s="1"/>
  <c r="N106" i="7" s="1"/>
  <c r="N108" i="7" s="1"/>
  <c r="N110" i="7" s="1"/>
  <c r="N112" i="7" s="1"/>
  <c r="N114" i="7" s="1"/>
  <c r="N116" i="7" s="1"/>
  <c r="N118" i="7" s="1"/>
  <c r="N122" i="7" s="1"/>
  <c r="N124" i="7" s="1"/>
  <c r="N126" i="7" s="1"/>
  <c r="N128" i="7" s="1"/>
  <c r="N130" i="7" s="1"/>
  <c r="N132" i="7" s="1"/>
  <c r="N134" i="7" s="1"/>
  <c r="N136" i="7" s="1"/>
  <c r="N138" i="7" s="1"/>
  <c r="N140" i="7" s="1"/>
  <c r="N142" i="7" s="1"/>
  <c r="N144" i="7" s="1"/>
  <c r="N146" i="7" s="1"/>
  <c r="N148" i="7" s="1"/>
  <c r="N150" i="7" s="1"/>
  <c r="N152" i="7" s="1"/>
  <c r="N154" i="7" s="1"/>
  <c r="N156" i="7" s="1"/>
  <c r="N158" i="7" s="1"/>
  <c r="N160" i="7" s="1"/>
  <c r="N162" i="7" s="1"/>
  <c r="N164" i="7" s="1"/>
  <c r="N166" i="7" s="1"/>
  <c r="N168" i="7" s="1"/>
  <c r="N170" i="7" s="1"/>
  <c r="N172" i="7" s="1"/>
  <c r="N174" i="7" s="1"/>
  <c r="N176" i="7" s="1"/>
  <c r="N178" i="7" s="1"/>
  <c r="N180" i="7" s="1"/>
  <c r="N182" i="7" s="1"/>
  <c r="N184" i="7" s="1"/>
  <c r="N186" i="7" s="1"/>
  <c r="N188" i="7" s="1"/>
  <c r="N190" i="7" s="1"/>
  <c r="N192" i="7" s="1"/>
  <c r="N194" i="7" s="1"/>
  <c r="N196" i="7" s="1"/>
  <c r="N198" i="7" s="1"/>
  <c r="N200" i="7" s="1"/>
  <c r="N202" i="7" s="1"/>
  <c r="N204" i="7" s="1"/>
  <c r="N206" i="7" s="1"/>
  <c r="N208" i="7" s="1"/>
  <c r="N210" i="7" s="1"/>
  <c r="N212" i="7" s="1"/>
  <c r="N214" i="7" s="1"/>
  <c r="N216" i="7" s="1"/>
  <c r="N218" i="7" s="1"/>
  <c r="N220" i="7" s="1"/>
  <c r="N222" i="7" s="1"/>
  <c r="N224" i="7" s="1"/>
  <c r="N226" i="7" s="1"/>
  <c r="N228" i="7" s="1"/>
  <c r="N230" i="7" s="1"/>
  <c r="N232" i="7" s="1"/>
  <c r="N234" i="7" s="1"/>
  <c r="N236" i="7" s="1"/>
  <c r="N238" i="7" s="1"/>
  <c r="N240" i="7" s="1"/>
  <c r="N242" i="7" s="1"/>
  <c r="N244" i="7" s="1"/>
  <c r="N246" i="7" s="1"/>
  <c r="N248" i="7" s="1"/>
  <c r="N250" i="7" s="1"/>
  <c r="N252" i="7" s="1"/>
  <c r="N254" i="7" s="1"/>
  <c r="N256" i="7" s="1"/>
  <c r="N258" i="7" s="1"/>
  <c r="N260" i="7" s="1"/>
  <c r="N262" i="7" s="1"/>
  <c r="N264" i="7" s="1"/>
  <c r="N266" i="7" s="1"/>
  <c r="N268" i="7" s="1"/>
  <c r="N270" i="7" s="1"/>
  <c r="N272" i="7" s="1"/>
  <c r="N275" i="7" s="1"/>
  <c r="N277" i="7" s="1"/>
  <c r="N279" i="7" s="1"/>
  <c r="N281" i="7" s="1"/>
  <c r="N283" i="7" s="1"/>
  <c r="N285" i="7" s="1"/>
  <c r="N287" i="7" s="1"/>
  <c r="N289" i="7" s="1"/>
  <c r="N291" i="7" s="1"/>
  <c r="N293" i="7" s="1"/>
  <c r="N295" i="7" s="1"/>
  <c r="N298" i="7" s="1"/>
  <c r="N300" i="7" s="1"/>
  <c r="N302" i="7" s="1"/>
  <c r="N305" i="7" s="1"/>
  <c r="N307" i="7" s="1"/>
  <c r="N309" i="7" s="1"/>
  <c r="N311" i="7" s="1"/>
  <c r="N314" i="7" s="1"/>
  <c r="N317" i="7" s="1"/>
  <c r="N319" i="7" s="1"/>
  <c r="N321" i="7" s="1"/>
  <c r="N323" i="7" s="1"/>
  <c r="N325" i="7" s="1"/>
  <c r="N327" i="7" s="1"/>
  <c r="N329" i="7" s="1"/>
  <c r="N331" i="7" s="1"/>
  <c r="N333" i="7" s="1"/>
  <c r="N335" i="7" s="1"/>
  <c r="N337" i="7" s="1"/>
  <c r="N340" i="7" s="1"/>
  <c r="N342" i="7" s="1"/>
  <c r="N344" i="7" s="1"/>
  <c r="N346" i="7" s="1"/>
  <c r="N348" i="7" s="1"/>
  <c r="N350" i="7" s="1"/>
  <c r="N352" i="7" s="1"/>
  <c r="N354" i="7" s="1"/>
  <c r="N356" i="7" s="1"/>
  <c r="N358" i="7" s="1"/>
  <c r="N360" i="7" s="1"/>
  <c r="N363" i="7" s="1"/>
  <c r="N365" i="7" s="1"/>
  <c r="N367" i="7" s="1"/>
  <c r="N370" i="7" s="1"/>
  <c r="N372" i="7" s="1"/>
  <c r="N374" i="7" s="1"/>
  <c r="N376" i="7" s="1"/>
  <c r="N378" i="7" s="1"/>
  <c r="N382" i="7" s="1"/>
  <c r="N384" i="7" s="1"/>
  <c r="N386" i="7" s="1"/>
  <c r="N388" i="7" s="1"/>
  <c r="N390" i="7" s="1"/>
  <c r="N392" i="7" s="1"/>
  <c r="N394" i="7" s="1"/>
  <c r="N396" i="7" s="1"/>
  <c r="N398" i="7" s="1"/>
  <c r="N400" i="7" s="1"/>
  <c r="N402" i="7" s="1"/>
  <c r="N404" i="7" s="1"/>
  <c r="N406" i="7" s="1"/>
  <c r="N408" i="7" s="1"/>
  <c r="N410" i="7" s="1"/>
  <c r="N412" i="7" s="1"/>
  <c r="N414" i="7" s="1"/>
  <c r="N416" i="7" s="1"/>
  <c r="N418" i="7" s="1"/>
  <c r="N420" i="7" s="1"/>
  <c r="N422" i="7" s="1"/>
  <c r="N424" i="7" s="1"/>
  <c r="N430" i="7" s="1"/>
  <c r="N434" i="7" s="1"/>
  <c r="N436" i="7" s="1"/>
  <c r="N438" i="7" s="1"/>
  <c r="N442" i="7" s="1"/>
  <c r="N444" i="7" s="1"/>
  <c r="N448" i="7" s="1"/>
  <c r="N450" i="7" s="1"/>
  <c r="N452" i="7" s="1"/>
  <c r="N454" i="7" s="1"/>
  <c r="N456" i="7" s="1"/>
  <c r="N458" i="7" s="1"/>
  <c r="N460" i="7" s="1"/>
  <c r="N462" i="7" s="1"/>
  <c r="N464" i="7" s="1"/>
  <c r="N466" i="7" s="1"/>
  <c r="N468" i="7" s="1"/>
  <c r="N470" i="7" s="1"/>
  <c r="N478" i="7" s="1"/>
  <c r="N480" i="7" s="1"/>
  <c r="N482" i="7" s="1"/>
  <c r="N484" i="7" s="1"/>
  <c r="N486" i="7" s="1"/>
  <c r="N490" i="7" s="1"/>
  <c r="N492" i="7" s="1"/>
  <c r="N496" i="7" s="1"/>
  <c r="N500" i="7" s="1"/>
  <c r="N508" i="7" s="1"/>
  <c r="N510" i="7" s="1"/>
  <c r="N512" i="7" s="1"/>
  <c r="N514" i="7" s="1"/>
  <c r="N516" i="7" s="1"/>
  <c r="N518" i="7" s="1"/>
  <c r="N524" i="7" s="1"/>
  <c r="N526" i="7" s="1"/>
  <c r="N528" i="7" s="1"/>
  <c r="N530" i="7" s="1"/>
  <c r="N532" i="7" s="1"/>
  <c r="N536" i="7" s="1"/>
  <c r="N538" i="7" s="1"/>
  <c r="N540" i="7" s="1"/>
  <c r="N542" i="7" s="1"/>
  <c r="N544" i="7" s="1"/>
  <c r="N570" i="7" s="1"/>
  <c r="N298" i="5"/>
  <c r="N300" i="5" s="1"/>
  <c r="N302" i="5" s="1"/>
  <c r="N524" i="4" l="1"/>
  <c r="N526" i="4" s="1"/>
  <c r="N528" i="4" s="1"/>
  <c r="N530" i="4" s="1"/>
  <c r="N532" i="4" s="1"/>
  <c r="N305" i="5"/>
  <c r="N307" i="5" s="1"/>
  <c r="N309" i="5" s="1"/>
  <c r="N311" i="5" s="1"/>
  <c r="N536" i="4" l="1"/>
  <c r="N538" i="4" s="1"/>
  <c r="N540" i="4" s="1"/>
  <c r="N542" i="4" s="1"/>
  <c r="N544" i="4" s="1"/>
  <c r="N570" i="4" s="1"/>
  <c r="N314" i="5"/>
  <c r="N317" i="5" s="1"/>
  <c r="N319" i="5" s="1"/>
  <c r="N321" i="5" s="1"/>
  <c r="N323" i="5" s="1"/>
  <c r="N325" i="5" s="1"/>
  <c r="N327" i="5" s="1"/>
  <c r="N329" i="5" s="1"/>
  <c r="N331" i="5" s="1"/>
  <c r="N333" i="5" s="1"/>
  <c r="N335" i="5" s="1"/>
  <c r="N337" i="5" s="1"/>
  <c r="N340" i="5" l="1"/>
  <c r="N342" i="5" s="1"/>
  <c r="N344" i="5" s="1"/>
  <c r="N346" i="5" s="1"/>
  <c r="N348" i="5" s="1"/>
  <c r="N350" i="5" s="1"/>
  <c r="N352" i="5" s="1"/>
  <c r="N354" i="5" s="1"/>
  <c r="N356" i="5" s="1"/>
  <c r="N358" i="5" s="1"/>
  <c r="N360" i="5" s="1"/>
  <c r="N363" i="5" l="1"/>
  <c r="N365" i="5" s="1"/>
  <c r="N367" i="5" s="1"/>
  <c r="N370" i="5" l="1"/>
  <c r="N372" i="5" s="1"/>
  <c r="N374" i="5" s="1"/>
  <c r="N376" i="5" s="1"/>
  <c r="N378" i="5" s="1"/>
  <c r="N382" i="5" l="1"/>
  <c r="N384" i="5" s="1"/>
  <c r="N386" i="5" s="1"/>
  <c r="N388" i="5" s="1"/>
  <c r="N390" i="5" s="1"/>
  <c r="N392" i="5" s="1"/>
  <c r="N394" i="5" s="1"/>
  <c r="N396" i="5" s="1"/>
  <c r="N398" i="5" s="1"/>
  <c r="N400" i="5" s="1"/>
  <c r="N402" i="5" s="1"/>
  <c r="N404" i="5" s="1"/>
  <c r="N406" i="5" s="1"/>
  <c r="N408" i="5" s="1"/>
  <c r="N410" i="5" s="1"/>
  <c r="N412" i="5" s="1"/>
  <c r="N414" i="5" s="1"/>
  <c r="N416" i="5" s="1"/>
  <c r="N418" i="5" s="1"/>
  <c r="N420" i="5" s="1"/>
  <c r="N422" i="5" s="1"/>
  <c r="N424" i="5" s="1"/>
  <c r="N430" i="5" l="1"/>
  <c r="N434" i="5" s="1"/>
  <c r="N436" i="5" s="1"/>
  <c r="N438" i="5" s="1"/>
  <c r="N442" i="5" l="1"/>
  <c r="N444" i="5" s="1"/>
  <c r="N448" i="5" l="1"/>
  <c r="N450" i="5" s="1"/>
  <c r="N452" i="5" s="1"/>
  <c r="N454" i="5" s="1"/>
  <c r="N456" i="5" s="1"/>
  <c r="N458" i="5" s="1"/>
  <c r="N460" i="5" s="1"/>
  <c r="N462" i="5" s="1"/>
  <c r="N464" i="5" s="1"/>
  <c r="N466" i="5" s="1"/>
  <c r="N468" i="5" s="1"/>
  <c r="N470" i="5" s="1"/>
  <c r="N478" i="5" l="1"/>
  <c r="N480" i="5" s="1"/>
  <c r="N482" i="5" s="1"/>
  <c r="N484" i="5" s="1"/>
  <c r="N486" i="5" s="1"/>
  <c r="N490" i="5" l="1"/>
  <c r="N492" i="5" s="1"/>
  <c r="N496" i="5" s="1"/>
  <c r="N500" i="5" s="1"/>
  <c r="N508" i="5" s="1"/>
  <c r="N510" i="5" s="1"/>
  <c r="N512" i="5" s="1"/>
  <c r="N514" i="5" s="1"/>
  <c r="N516" i="5" s="1"/>
  <c r="N518" i="5" s="1"/>
  <c r="N524" i="5" s="1"/>
  <c r="N526" i="5" s="1"/>
  <c r="N528" i="5" s="1"/>
  <c r="N530" i="5" s="1"/>
  <c r="N532" i="5" s="1"/>
  <c r="N536" i="5" s="1"/>
  <c r="N538" i="5" s="1"/>
  <c r="N540" i="5" s="1"/>
  <c r="N542" i="5" s="1"/>
  <c r="N544" i="5" s="1"/>
</calcChain>
</file>

<file path=xl/sharedStrings.xml><?xml version="1.0" encoding="utf-8"?>
<sst xmlns="http://schemas.openxmlformats.org/spreadsheetml/2006/main" count="3698" uniqueCount="112">
  <si>
    <t>ug/l</t>
  </si>
  <si>
    <t>ug/L</t>
  </si>
  <si>
    <t>STA</t>
  </si>
  <si>
    <t>DATE</t>
  </si>
  <si>
    <t>YEAR</t>
  </si>
  <si>
    <t>MONTH</t>
  </si>
  <si>
    <t>MONTH#</t>
  </si>
  <si>
    <t>[TChl a]</t>
  </si>
  <si>
    <t>Perid</t>
  </si>
  <si>
    <t>But fuco</t>
  </si>
  <si>
    <t>Fuco</t>
  </si>
  <si>
    <t>Zea</t>
  </si>
  <si>
    <t>Gyr diester</t>
  </si>
  <si>
    <t>duplicate</t>
  </si>
  <si>
    <t>OCTOBER</t>
  </si>
  <si>
    <t>no data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</si>
  <si>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</si>
  <si>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</si>
  <si>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</si>
  <si>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</si>
  <si>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</si>
  <si>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</si>
  <si>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</si>
  <si>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</si>
  <si>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</si>
  <si>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</si>
  <si>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</si>
  <si>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 no data</t>
  </si>
  <si>
    <t>February</t>
  </si>
  <si>
    <t>March</t>
  </si>
  <si>
    <t>April</t>
  </si>
  <si>
    <t>May</t>
  </si>
  <si>
    <t>June</t>
  </si>
  <si>
    <t>July</t>
  </si>
  <si>
    <t>August</t>
  </si>
  <si>
    <t>Septemeber</t>
  </si>
  <si>
    <t>October</t>
  </si>
  <si>
    <t>November</t>
  </si>
  <si>
    <t>December</t>
  </si>
  <si>
    <t>January</t>
  </si>
  <si>
    <t>September</t>
  </si>
  <si>
    <t>dup</t>
    <phoneticPr fontId="1" type="noConversion"/>
  </si>
  <si>
    <t>Average</t>
    <phoneticPr fontId="1" type="noConversion"/>
  </si>
  <si>
    <t>1999</t>
    <phoneticPr fontId="1" type="noConversion"/>
  </si>
  <si>
    <t>2000</t>
    <phoneticPr fontId="1" type="noConversion"/>
  </si>
  <si>
    <t>2001</t>
    <phoneticPr fontId="1" type="noConversion"/>
  </si>
  <si>
    <t>2002</t>
    <phoneticPr fontId="1" type="noConversion"/>
  </si>
  <si>
    <t>2003</t>
    <phoneticPr fontId="1" type="noConversion"/>
  </si>
  <si>
    <t>2004</t>
    <phoneticPr fontId="1" type="noConversion"/>
  </si>
  <si>
    <t>2005</t>
    <phoneticPr fontId="1" type="noConversion"/>
  </si>
  <si>
    <t>Average</t>
    <phoneticPr fontId="1" type="noConversion"/>
  </si>
  <si>
    <t>2006</t>
    <phoneticPr fontId="1" type="noConversion"/>
  </si>
  <si>
    <t>2007</t>
    <phoneticPr fontId="1" type="noConversion"/>
  </si>
  <si>
    <t>2008</t>
    <phoneticPr fontId="1" type="noConversion"/>
  </si>
  <si>
    <t>2009</t>
    <phoneticPr fontId="1" type="noConversion"/>
  </si>
  <si>
    <t>2010</t>
    <phoneticPr fontId="1" type="noConversion"/>
  </si>
  <si>
    <t>2011</t>
    <phoneticPr fontId="1" type="noConversion"/>
  </si>
  <si>
    <t>2012</t>
    <phoneticPr fontId="1" type="noConversion"/>
  </si>
  <si>
    <t>2013</t>
    <phoneticPr fontId="1" type="noConversion"/>
  </si>
  <si>
    <t>2014</t>
    <phoneticPr fontId="1" type="noConversion"/>
  </si>
  <si>
    <t>Year</t>
    <phoneticPr fontId="1" type="noConversion"/>
  </si>
  <si>
    <t>1999</t>
    <phoneticPr fontId="1" type="noConversion"/>
  </si>
  <si>
    <t>2000</t>
    <phoneticPr fontId="1" type="noConversion"/>
  </si>
  <si>
    <t>2001</t>
    <phoneticPr fontId="1" type="noConversion"/>
  </si>
  <si>
    <t>2002</t>
    <phoneticPr fontId="1" type="noConversion"/>
  </si>
  <si>
    <t>2003</t>
    <phoneticPr fontId="1" type="noConversion"/>
  </si>
  <si>
    <t>2004</t>
    <phoneticPr fontId="1" type="noConversion"/>
  </si>
  <si>
    <t>2005</t>
    <phoneticPr fontId="1" type="noConversion"/>
  </si>
  <si>
    <t>2006</t>
    <phoneticPr fontId="1" type="noConversion"/>
  </si>
  <si>
    <t>2007</t>
    <phoneticPr fontId="1" type="noConversion"/>
  </si>
  <si>
    <t>2008</t>
    <phoneticPr fontId="1" type="noConversion"/>
  </si>
  <si>
    <t>2009</t>
    <phoneticPr fontId="1" type="noConversion"/>
  </si>
  <si>
    <t>2010</t>
    <phoneticPr fontId="1" type="noConversion"/>
  </si>
  <si>
    <t>2011</t>
    <phoneticPr fontId="1" type="noConversion"/>
  </si>
  <si>
    <t>2012</t>
    <phoneticPr fontId="1" type="noConversion"/>
  </si>
  <si>
    <t>2013</t>
    <phoneticPr fontId="1" type="noConversion"/>
  </si>
  <si>
    <t>2014</t>
    <phoneticPr fontId="1" type="noConversion"/>
  </si>
  <si>
    <t>Perid/Chl a</t>
    <phoneticPr fontId="1" type="noConversion"/>
  </si>
  <si>
    <t>But fuco/Chl a</t>
    <phoneticPr fontId="1" type="noConversion"/>
  </si>
  <si>
    <t>Fuco/Chl a</t>
    <phoneticPr fontId="1" type="noConversion"/>
  </si>
  <si>
    <t>Zea/Chl a</t>
    <phoneticPr fontId="1" type="noConversion"/>
  </si>
  <si>
    <t>average</t>
  </si>
  <si>
    <t>CUSUM</t>
  </si>
  <si>
    <t>zea/chl</t>
  </si>
  <si>
    <t>fuco/CHL</t>
  </si>
  <si>
    <t>peridin</t>
  </si>
  <si>
    <t>perid/chl</t>
  </si>
  <si>
    <t>mean</t>
  </si>
  <si>
    <t>stdev</t>
  </si>
  <si>
    <t>butfuco/chl</t>
  </si>
  <si>
    <t>Z score</t>
  </si>
  <si>
    <t>Chlorophyll</t>
  </si>
  <si>
    <t xml:space="preserve">are these dups or is the </t>
  </si>
  <si>
    <t>2nd one really Sta 16?</t>
  </si>
  <si>
    <t>are transposed,</t>
  </si>
  <si>
    <t>is this correct?</t>
  </si>
  <si>
    <t>from here to Oct-19 sta#s</t>
  </si>
  <si>
    <t>are these dups? Or is the</t>
  </si>
  <si>
    <t>transposed. Is it correct?</t>
  </si>
  <si>
    <t>from here to Mar-17 sta #s</t>
  </si>
  <si>
    <t>2nd one sta 16?</t>
  </si>
  <si>
    <t>from here to Dec-19sta #s</t>
  </si>
  <si>
    <t>from here to Dec-19 sta #s</t>
  </si>
  <si>
    <t>replicate avg</t>
  </si>
  <si>
    <t>remaining</t>
  </si>
  <si>
    <t>dates unavail.</t>
  </si>
  <si>
    <t>values in</t>
  </si>
  <si>
    <t>2022 not yet</t>
  </si>
  <si>
    <t>available</t>
  </si>
  <si>
    <t>unassigned</t>
  </si>
  <si>
    <t>values in July</t>
  </si>
  <si>
    <t>graphs not updated for 2020-2024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</si>
</sst>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[$-409]mmm\-yy;@"/>
  </numFmts>
  <fonts count="1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4"/>
      <color indexed="41"/>
      <name val="Geneva"/>
      <family val="2"/>
    </font>
    <font>
      <sz val="10"/>
      <color indexed="12"/>
      <name val="Geneva"/>
      <family val="2"/>
    </font>
    <font>
      <sz val="11"/>
      <color rgb="FF0070C0"/>
      <name val="Calibri"/>
      <family val="3"/>
      <charset val="134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neva"/>
      <family val="2"/>
    </font>
    <font>
      <sz val="8"/>
      <name val="Arial"/>
      <family val="2"/>
    </font>
    <font>
      <sz val="10"/>
      <color indexed="8"/>
      <name val="Helv"/>
    </font>
    <font>
      <sz val="10"/>
      <name val="Geneva"/>
      <family val="2"/>
    </font>
    <font>
      <sz val="10"/>
      <name val="Geneva"/>
      <family val="2"/>
    </font>
    <font>
      <sz val="10"/>
      <name val="Helv"/>
    </font>
    <font>
      <sz val="10"/>
      <name val="Geneva"/>
      <family val="2"/>
      <charset val="1"/>
    </font>
    <font>
      <sz val="11"/>
      <color rgb="FF000000"/>
      <name val="Calibri"/>
      <family val="2"/>
      <scheme val="minor"/>
    </font>
    <font>
      <sz val="10"/>
      <name val="Geneva"/>
    </font>
  </fonts>
  <fills count="1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/>
      <top/>
      <bottom style="hair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 style="hair">
        <color indexed="22"/>
      </left>
      <right style="hair">
        <color indexed="22"/>
      </right>
      <top/>
      <bottom/>
      <diagonal/>
    </border>
    <border>
      <left/>
      <right style="hair">
        <color indexed="22"/>
      </right>
      <top/>
      <bottom style="hair">
        <color indexed="22"/>
      </bottom>
      <diagonal/>
    </border>
  </borders>
  <cellStyleXfs count="4">
    <xf numFmtId="0" fontId="0" fillId="0" borderId="0"/>
    <xf numFmtId="0" fontId="5" fillId="0" borderId="0"/>
    <xf numFmtId="0" fontId="12" fillId="0" borderId="0"/>
    <xf numFmtId="0" fontId="12" fillId="0" borderId="0"/>
  </cellStyleXfs>
  <cellXfs count="117">
    <xf numFmtId="0" fontId="0" fillId="0" borderId="0" xfId="0"/>
    <xf numFmtId="164" fontId="2" fillId="2" borderId="0" xfId="0" applyNumberFormat="1" applyFont="1" applyFill="1" applyAlignment="1">
      <alignment horizontal="center"/>
    </xf>
    <xf numFmtId="1" fontId="0" fillId="0" borderId="0" xfId="0" quotePrefix="1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right"/>
    </xf>
    <xf numFmtId="14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center" vertical="center" wrapText="1"/>
    </xf>
    <xf numFmtId="0" fontId="5" fillId="0" borderId="0" xfId="0" applyFont="1"/>
    <xf numFmtId="164" fontId="7" fillId="0" borderId="2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4" fontId="0" fillId="0" borderId="0" xfId="0" applyNumberFormat="1"/>
    <xf numFmtId="164" fontId="0" fillId="4" borderId="2" xfId="0" applyNumberFormat="1" applyFill="1" applyBorder="1" applyAlignment="1">
      <alignment horizontal="center"/>
    </xf>
    <xf numFmtId="164" fontId="8" fillId="4" borderId="2" xfId="0" applyNumberFormat="1" applyFont="1" applyFill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4" fontId="5" fillId="0" borderId="0" xfId="0" applyNumberFormat="1" applyFont="1"/>
    <xf numFmtId="164" fontId="10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 wrapText="1"/>
    </xf>
    <xf numFmtId="164" fontId="0" fillId="0" borderId="0" xfId="0" applyNumberFormat="1"/>
    <xf numFmtId="164" fontId="5" fillId="0" borderId="0" xfId="0" applyNumberFormat="1" applyFont="1" applyAlignment="1">
      <alignment horizontal="center" vertical="center" wrapText="1"/>
    </xf>
    <xf numFmtId="14" fontId="5" fillId="0" borderId="0" xfId="1" applyNumberFormat="1"/>
    <xf numFmtId="164" fontId="5" fillId="0" borderId="2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164" fontId="11" fillId="0" borderId="0" xfId="1" applyNumberFormat="1" applyFont="1" applyAlignment="1">
      <alignment horizontal="center" vertical="center" wrapText="1"/>
    </xf>
    <xf numFmtId="164" fontId="11" fillId="0" borderId="2" xfId="2" applyNumberFormat="1" applyFont="1" applyBorder="1" applyAlignment="1">
      <alignment horizontal="center" vertical="center" wrapText="1"/>
    </xf>
    <xf numFmtId="49" fontId="0" fillId="0" borderId="0" xfId="0" applyNumberFormat="1"/>
    <xf numFmtId="2" fontId="0" fillId="0" borderId="0" xfId="0" applyNumberFormat="1"/>
    <xf numFmtId="0" fontId="0" fillId="5" borderId="0" xfId="0" applyFill="1" applyAlignment="1">
      <alignment horizontal="right"/>
    </xf>
    <xf numFmtId="164" fontId="5" fillId="0" borderId="0" xfId="0" applyNumberFormat="1" applyFont="1" applyAlignment="1">
      <alignment horizontal="center"/>
    </xf>
    <xf numFmtId="0" fontId="6" fillId="5" borderId="0" xfId="0" applyFont="1" applyFill="1" applyAlignment="1">
      <alignment horizontal="right"/>
    </xf>
    <xf numFmtId="164" fontId="5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right"/>
    </xf>
    <xf numFmtId="14" fontId="5" fillId="5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left"/>
    </xf>
    <xf numFmtId="164" fontId="5" fillId="0" borderId="0" xfId="0" applyNumberFormat="1" applyFont="1" applyAlignment="1" applyProtection="1">
      <alignment horizontal="center"/>
      <protection locked="0"/>
    </xf>
    <xf numFmtId="164" fontId="5" fillId="5" borderId="0" xfId="0" applyNumberFormat="1" applyFont="1" applyFill="1" applyAlignment="1" applyProtection="1">
      <alignment horizontal="center"/>
      <protection locked="0"/>
    </xf>
    <xf numFmtId="164" fontId="5" fillId="0" borderId="0" xfId="0" applyNumberFormat="1" applyFont="1"/>
    <xf numFmtId="0" fontId="5" fillId="5" borderId="0" xfId="0" applyFont="1" applyFill="1"/>
    <xf numFmtId="164" fontId="5" fillId="5" borderId="0" xfId="0" applyNumberFormat="1" applyFont="1" applyFill="1"/>
    <xf numFmtId="164" fontId="0" fillId="5" borderId="0" xfId="0" applyNumberFormat="1" applyFill="1"/>
    <xf numFmtId="164" fontId="6" fillId="0" borderId="0" xfId="0" applyNumberFormat="1" applyFont="1" applyAlignment="1">
      <alignment horizontal="right" vertical="center"/>
    </xf>
    <xf numFmtId="14" fontId="0" fillId="5" borderId="0" xfId="0" applyNumberFormat="1" applyFill="1"/>
    <xf numFmtId="164" fontId="6" fillId="5" borderId="0" xfId="0" applyNumberFormat="1" applyFont="1" applyFill="1" applyAlignment="1">
      <alignment horizontal="right" vertical="center"/>
    </xf>
    <xf numFmtId="164" fontId="0" fillId="5" borderId="0" xfId="0" applyNumberFormat="1" applyFill="1" applyAlignment="1">
      <alignment horizontal="center"/>
    </xf>
    <xf numFmtId="14" fontId="5" fillId="5" borderId="0" xfId="0" applyNumberFormat="1" applyFont="1" applyFill="1"/>
    <xf numFmtId="164" fontId="5" fillId="5" borderId="0" xfId="0" applyNumberFormat="1" applyFont="1" applyFill="1" applyAlignment="1">
      <alignment horizontal="center" vertical="center"/>
    </xf>
    <xf numFmtId="165" fontId="0" fillId="0" borderId="0" xfId="0" applyNumberFormat="1"/>
    <xf numFmtId="165" fontId="6" fillId="0" borderId="0" xfId="0" applyNumberFormat="1" applyFont="1" applyAlignment="1">
      <alignment horizontal="center" vertical="center" wrapText="1"/>
    </xf>
    <xf numFmtId="165" fontId="6" fillId="5" borderId="0" xfId="0" applyNumberFormat="1" applyFont="1" applyFill="1" applyAlignment="1">
      <alignment horizontal="center" vertical="center" wrapText="1"/>
    </xf>
    <xf numFmtId="164" fontId="11" fillId="5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5" borderId="2" xfId="0" applyNumberFormat="1" applyFont="1" applyFill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5" borderId="3" xfId="0" applyNumberFormat="1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164" fontId="11" fillId="0" borderId="3" xfId="2" applyNumberFormat="1" applyFont="1" applyBorder="1" applyAlignment="1">
      <alignment horizontal="center" vertical="center" wrapText="1"/>
    </xf>
    <xf numFmtId="164" fontId="5" fillId="5" borderId="0" xfId="0" applyNumberFormat="1" applyFont="1" applyFill="1" applyAlignment="1">
      <alignment horizontal="center" vertical="center" wrapText="1"/>
    </xf>
    <xf numFmtId="164" fontId="11" fillId="0" borderId="0" xfId="2" applyNumberFormat="1" applyFont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166" fontId="5" fillId="0" borderId="0" xfId="0" applyNumberFormat="1" applyFont="1" applyAlignment="1">
      <alignment horizontal="right"/>
    </xf>
    <xf numFmtId="166" fontId="5" fillId="0" borderId="0" xfId="0" applyNumberFormat="1" applyFont="1"/>
    <xf numFmtId="166" fontId="5" fillId="0" borderId="0" xfId="1" applyNumberFormat="1"/>
    <xf numFmtId="166" fontId="10" fillId="0" borderId="0" xfId="0" applyNumberFormat="1" applyFont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164" fontId="10" fillId="0" borderId="2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0" fillId="6" borderId="0" xfId="0" applyFill="1"/>
    <xf numFmtId="0" fontId="14" fillId="0" borderId="0" xfId="0" applyFont="1"/>
    <xf numFmtId="0" fontId="5" fillId="7" borderId="0" xfId="0" applyFont="1" applyFill="1"/>
    <xf numFmtId="166" fontId="0" fillId="7" borderId="0" xfId="0" applyNumberFormat="1" applyFill="1" applyAlignment="1">
      <alignment horizontal="center"/>
    </xf>
    <xf numFmtId="0" fontId="0" fillId="7" borderId="0" xfId="0" applyFill="1"/>
    <xf numFmtId="0" fontId="5" fillId="7" borderId="0" xfId="0" applyFont="1" applyFill="1" applyAlignment="1">
      <alignment horizontal="left"/>
    </xf>
    <xf numFmtId="164" fontId="0" fillId="6" borderId="0" xfId="0" applyNumberFormat="1" applyFill="1"/>
    <xf numFmtId="0" fontId="5" fillId="8" borderId="0" xfId="0" applyFont="1" applyFill="1"/>
    <xf numFmtId="166" fontId="10" fillId="8" borderId="0" xfId="0" applyNumberFormat="1" applyFont="1" applyFill="1" applyAlignment="1">
      <alignment horizontal="center" vertical="center" wrapText="1"/>
    </xf>
    <xf numFmtId="0" fontId="0" fillId="8" borderId="0" xfId="0" applyFill="1"/>
    <xf numFmtId="0" fontId="5" fillId="9" borderId="0" xfId="0" applyFont="1" applyFill="1"/>
    <xf numFmtId="166" fontId="10" fillId="9" borderId="1" xfId="0" applyNumberFormat="1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left"/>
    </xf>
    <xf numFmtId="166" fontId="10" fillId="9" borderId="0" xfId="0" applyNumberFormat="1" applyFont="1" applyFill="1" applyAlignment="1">
      <alignment horizontal="center" vertical="center" wrapText="1"/>
    </xf>
    <xf numFmtId="0" fontId="5" fillId="6" borderId="0" xfId="0" applyFont="1" applyFill="1"/>
    <xf numFmtId="0" fontId="5" fillId="10" borderId="0" xfId="0" applyFont="1" applyFill="1" applyAlignment="1">
      <alignment horizontal="left"/>
    </xf>
    <xf numFmtId="0" fontId="5" fillId="10" borderId="0" xfId="0" applyFont="1" applyFill="1"/>
    <xf numFmtId="166" fontId="10" fillId="10" borderId="0" xfId="0" applyNumberFormat="1" applyFont="1" applyFill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 wrapText="1"/>
    </xf>
    <xf numFmtId="0" fontId="0" fillId="11" borderId="0" xfId="0" applyFill="1"/>
    <xf numFmtId="164" fontId="15" fillId="0" borderId="9" xfId="0" applyNumberFormat="1" applyFont="1" applyBorder="1" applyAlignment="1">
      <alignment horizontal="center" vertical="center" wrapText="1"/>
    </xf>
    <xf numFmtId="164" fontId="15" fillId="0" borderId="9" xfId="3" applyNumberFormat="1" applyFont="1" applyBorder="1" applyAlignment="1">
      <alignment horizontal="center" vertical="center" wrapText="1"/>
    </xf>
    <xf numFmtId="164" fontId="15" fillId="0" borderId="2" xfId="2" applyNumberFormat="1" applyFont="1" applyBorder="1" applyAlignment="1">
      <alignment horizontal="center" vertical="center" wrapText="1"/>
    </xf>
    <xf numFmtId="0" fontId="12" fillId="0" borderId="0" xfId="3"/>
    <xf numFmtId="164" fontId="15" fillId="0" borderId="2" xfId="3" applyNumberFormat="1" applyFont="1" applyBorder="1" applyAlignment="1">
      <alignment horizontal="center" vertical="center" wrapText="1"/>
    </xf>
    <xf numFmtId="164" fontId="15" fillId="0" borderId="10" xfId="3" applyNumberFormat="1" applyFont="1" applyBorder="1" applyAlignment="1">
      <alignment horizontal="center" vertical="center" wrapText="1"/>
    </xf>
    <xf numFmtId="0" fontId="12" fillId="0" borderId="6" xfId="3" applyBorder="1" applyAlignment="1">
      <alignment horizontal="center"/>
    </xf>
    <xf numFmtId="164" fontId="12" fillId="0" borderId="6" xfId="3" applyNumberFormat="1" applyBorder="1" applyAlignment="1">
      <alignment horizontal="center"/>
    </xf>
  </cellXfs>
  <cellStyles count="4">
    <cellStyle name="Normal" xfId="0" builtinId="0"/>
    <cellStyle name="Normal 2" xfId="1" xr:uid="{00000000-0005-0000-0000-000000000000}"/>
    <cellStyle name="Normal 2 2" xfId="3" xr:uid="{72F3A29A-4FCC-4138-882A-AF18E67E856E}"/>
    <cellStyle name="Normal 3" xfId="2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update'!$B$3:$B$496</c:f>
              <c:numCache>
                <c:formatCode>[$-409]mmm\-yy;@</c:formatCode>
                <c:ptCount val="494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36600</c:v>
                </c:pt>
                <c:pt idx="11">
                  <c:v>36600</c:v>
                </c:pt>
                <c:pt idx="12">
                  <c:v>36628</c:v>
                </c:pt>
                <c:pt idx="13">
                  <c:v>36628</c:v>
                </c:pt>
                <c:pt idx="14">
                  <c:v>36661</c:v>
                </c:pt>
                <c:pt idx="15">
                  <c:v>36661</c:v>
                </c:pt>
                <c:pt idx="16">
                  <c:v>36691</c:v>
                </c:pt>
                <c:pt idx="17">
                  <c:v>36691</c:v>
                </c:pt>
                <c:pt idx="18">
                  <c:v>36720</c:v>
                </c:pt>
                <c:pt idx="19">
                  <c:v>36720</c:v>
                </c:pt>
                <c:pt idx="20">
                  <c:v>36754</c:v>
                </c:pt>
                <c:pt idx="21">
                  <c:v>36754</c:v>
                </c:pt>
                <c:pt idx="22">
                  <c:v>36782</c:v>
                </c:pt>
                <c:pt idx="23">
                  <c:v>36782</c:v>
                </c:pt>
                <c:pt idx="24">
                  <c:v>36818</c:v>
                </c:pt>
                <c:pt idx="25">
                  <c:v>36818</c:v>
                </c:pt>
                <c:pt idx="26">
                  <c:v>36845</c:v>
                </c:pt>
                <c:pt idx="27">
                  <c:v>36848</c:v>
                </c:pt>
                <c:pt idx="28">
                  <c:v>36875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36963</c:v>
                </c:pt>
                <c:pt idx="35">
                  <c:v>36963</c:v>
                </c:pt>
                <c:pt idx="36">
                  <c:v>37000</c:v>
                </c:pt>
                <c:pt idx="37">
                  <c:v>37000</c:v>
                </c:pt>
                <c:pt idx="38">
                  <c:v>37028</c:v>
                </c:pt>
                <c:pt idx="39">
                  <c:v>37027</c:v>
                </c:pt>
                <c:pt idx="40">
                  <c:v>37058</c:v>
                </c:pt>
                <c:pt idx="41">
                  <c:v>37056</c:v>
                </c:pt>
                <c:pt idx="42">
                  <c:v>37089</c:v>
                </c:pt>
                <c:pt idx="43">
                  <c:v>37089</c:v>
                </c:pt>
                <c:pt idx="44">
                  <c:v>37119</c:v>
                </c:pt>
                <c:pt idx="45">
                  <c:v>37119</c:v>
                </c:pt>
                <c:pt idx="46">
                  <c:v>37152</c:v>
                </c:pt>
                <c:pt idx="47">
                  <c:v>37152</c:v>
                </c:pt>
                <c:pt idx="48">
                  <c:v>37181</c:v>
                </c:pt>
                <c:pt idx="49">
                  <c:v>37181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37690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37817</c:v>
                </c:pt>
                <c:pt idx="91">
                  <c:v>37817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37908</c:v>
                </c:pt>
                <c:pt idx="97">
                  <c:v>37908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38000</c:v>
                </c:pt>
                <c:pt idx="103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38335</c:v>
                </c:pt>
                <c:pt idx="125">
                  <c:v>38335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38468</c:v>
                </c:pt>
                <c:pt idx="133">
                  <c:v>38468</c:v>
                </c:pt>
                <c:pt idx="134">
                  <c:v>38489</c:v>
                </c:pt>
                <c:pt idx="135">
                  <c:v>38489</c:v>
                </c:pt>
                <c:pt idx="136">
                  <c:v>38517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38587</c:v>
                </c:pt>
                <c:pt idx="141">
                  <c:v>38588</c:v>
                </c:pt>
                <c:pt idx="142">
                  <c:v>38608</c:v>
                </c:pt>
                <c:pt idx="143">
                  <c:v>38608</c:v>
                </c:pt>
                <c:pt idx="144">
                  <c:v>38637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39009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39098</c:v>
                </c:pt>
                <c:pt idx="175">
                  <c:v>39098</c:v>
                </c:pt>
                <c:pt idx="176">
                  <c:v>39133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39245</c:v>
                </c:pt>
                <c:pt idx="185">
                  <c:v>39245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39337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39426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39583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39799</c:v>
                </c:pt>
                <c:pt idx="221">
                  <c:v>39800</c:v>
                </c:pt>
                <c:pt idx="222">
                  <c:v>39825</c:v>
                </c:pt>
                <c:pt idx="223">
                  <c:v>39825</c:v>
                </c:pt>
                <c:pt idx="224">
                  <c:v>39855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40042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40133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40282</c:v>
                </c:pt>
                <c:pt idx="253">
                  <c:v>40282</c:v>
                </c:pt>
                <c:pt idx="254">
                  <c:v>40315</c:v>
                </c:pt>
                <c:pt idx="255">
                  <c:v>40315</c:v>
                </c:pt>
                <c:pt idx="256">
                  <c:v>40344</c:v>
                </c:pt>
                <c:pt idx="257">
                  <c:v>40344</c:v>
                </c:pt>
                <c:pt idx="258">
                  <c:v>40371</c:v>
                </c:pt>
                <c:pt idx="259">
                  <c:v>40371</c:v>
                </c:pt>
                <c:pt idx="260">
                  <c:v>40407</c:v>
                </c:pt>
                <c:pt idx="261">
                  <c:v>40407</c:v>
                </c:pt>
                <c:pt idx="262">
                  <c:v>40436</c:v>
                </c:pt>
                <c:pt idx="263">
                  <c:v>40436</c:v>
                </c:pt>
                <c:pt idx="264">
                  <c:v>40464</c:v>
                </c:pt>
                <c:pt idx="265">
                  <c:v>40464</c:v>
                </c:pt>
                <c:pt idx="266">
                  <c:v>40498</c:v>
                </c:pt>
                <c:pt idx="267">
                  <c:v>40498</c:v>
                </c:pt>
                <c:pt idx="268">
                  <c:v>40520</c:v>
                </c:pt>
                <c:pt idx="269">
                  <c:v>40520</c:v>
                </c:pt>
                <c:pt idx="270">
                  <c:v>40562</c:v>
                </c:pt>
                <c:pt idx="271">
                  <c:v>40562</c:v>
                </c:pt>
                <c:pt idx="272">
                  <c:v>40562</c:v>
                </c:pt>
                <c:pt idx="273">
                  <c:v>40591</c:v>
                </c:pt>
                <c:pt idx="274">
                  <c:v>40591</c:v>
                </c:pt>
                <c:pt idx="275">
                  <c:v>40619</c:v>
                </c:pt>
                <c:pt idx="276">
                  <c:v>40619</c:v>
                </c:pt>
                <c:pt idx="277">
                  <c:v>40646</c:v>
                </c:pt>
                <c:pt idx="278">
                  <c:v>40646</c:v>
                </c:pt>
                <c:pt idx="279">
                  <c:v>40681</c:v>
                </c:pt>
                <c:pt idx="280">
                  <c:v>40681</c:v>
                </c:pt>
                <c:pt idx="281">
                  <c:v>40708</c:v>
                </c:pt>
                <c:pt idx="282">
                  <c:v>40708</c:v>
                </c:pt>
                <c:pt idx="283">
                  <c:v>40735</c:v>
                </c:pt>
                <c:pt idx="284">
                  <c:v>40735</c:v>
                </c:pt>
                <c:pt idx="285">
                  <c:v>40771</c:v>
                </c:pt>
                <c:pt idx="286">
                  <c:v>40771</c:v>
                </c:pt>
                <c:pt idx="287">
                  <c:v>40799</c:v>
                </c:pt>
                <c:pt idx="288">
                  <c:v>40799</c:v>
                </c:pt>
                <c:pt idx="289">
                  <c:v>40827</c:v>
                </c:pt>
                <c:pt idx="290">
                  <c:v>40827</c:v>
                </c:pt>
                <c:pt idx="291">
                  <c:v>40862</c:v>
                </c:pt>
                <c:pt idx="292">
                  <c:v>40862</c:v>
                </c:pt>
                <c:pt idx="293">
                  <c:v>40891</c:v>
                </c:pt>
                <c:pt idx="294">
                  <c:v>40890</c:v>
                </c:pt>
                <c:pt idx="295">
                  <c:v>40890</c:v>
                </c:pt>
                <c:pt idx="296">
                  <c:v>40917</c:v>
                </c:pt>
                <c:pt idx="297">
                  <c:v>40917</c:v>
                </c:pt>
                <c:pt idx="298">
                  <c:v>40962</c:v>
                </c:pt>
                <c:pt idx="299">
                  <c:v>40962</c:v>
                </c:pt>
                <c:pt idx="300">
                  <c:v>40980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41107</c:v>
                </c:pt>
                <c:pt idx="312">
                  <c:v>41135</c:v>
                </c:pt>
                <c:pt idx="313">
                  <c:v>41135</c:v>
                </c:pt>
                <c:pt idx="314">
                  <c:v>41135</c:v>
                </c:pt>
                <c:pt idx="315">
                  <c:v>41164</c:v>
                </c:pt>
                <c:pt idx="316">
                  <c:v>41164</c:v>
                </c:pt>
                <c:pt idx="317">
                  <c:v>41200</c:v>
                </c:pt>
                <c:pt idx="318">
                  <c:v>41200</c:v>
                </c:pt>
                <c:pt idx="319">
                  <c:v>41226</c:v>
                </c:pt>
                <c:pt idx="320">
                  <c:v>41226</c:v>
                </c:pt>
                <c:pt idx="321">
                  <c:v>41254</c:v>
                </c:pt>
                <c:pt idx="322">
                  <c:v>41254</c:v>
                </c:pt>
                <c:pt idx="323">
                  <c:v>41288</c:v>
                </c:pt>
                <c:pt idx="324">
                  <c:v>41288</c:v>
                </c:pt>
                <c:pt idx="325">
                  <c:v>41318</c:v>
                </c:pt>
                <c:pt idx="326">
                  <c:v>41318</c:v>
                </c:pt>
                <c:pt idx="327">
                  <c:v>41344</c:v>
                </c:pt>
                <c:pt idx="328">
                  <c:v>41344</c:v>
                </c:pt>
                <c:pt idx="329">
                  <c:v>41381</c:v>
                </c:pt>
                <c:pt idx="330">
                  <c:v>41379</c:v>
                </c:pt>
                <c:pt idx="331">
                  <c:v>41408</c:v>
                </c:pt>
                <c:pt idx="332">
                  <c:v>41408</c:v>
                </c:pt>
                <c:pt idx="333">
                  <c:v>41436</c:v>
                </c:pt>
                <c:pt idx="334">
                  <c:v>41437</c:v>
                </c:pt>
                <c:pt idx="335">
                  <c:v>41471</c:v>
                </c:pt>
                <c:pt idx="336">
                  <c:v>41471</c:v>
                </c:pt>
                <c:pt idx="337">
                  <c:v>41471</c:v>
                </c:pt>
                <c:pt idx="338">
                  <c:v>41499</c:v>
                </c:pt>
                <c:pt idx="339">
                  <c:v>41499</c:v>
                </c:pt>
                <c:pt idx="340">
                  <c:v>41533</c:v>
                </c:pt>
                <c:pt idx="341">
                  <c:v>41533</c:v>
                </c:pt>
                <c:pt idx="342">
                  <c:v>41569</c:v>
                </c:pt>
                <c:pt idx="343">
                  <c:v>41569</c:v>
                </c:pt>
                <c:pt idx="344">
                  <c:v>41597</c:v>
                </c:pt>
                <c:pt idx="345">
                  <c:v>41597</c:v>
                </c:pt>
                <c:pt idx="346">
                  <c:v>41624</c:v>
                </c:pt>
                <c:pt idx="347">
                  <c:v>41624</c:v>
                </c:pt>
                <c:pt idx="348">
                  <c:v>41654</c:v>
                </c:pt>
                <c:pt idx="349">
                  <c:v>41654</c:v>
                </c:pt>
                <c:pt idx="350">
                  <c:v>41688</c:v>
                </c:pt>
                <c:pt idx="351">
                  <c:v>41690</c:v>
                </c:pt>
                <c:pt idx="352">
                  <c:v>41719</c:v>
                </c:pt>
                <c:pt idx="353">
                  <c:v>41719</c:v>
                </c:pt>
                <c:pt idx="354">
                  <c:v>41747</c:v>
                </c:pt>
                <c:pt idx="355">
                  <c:v>41747</c:v>
                </c:pt>
                <c:pt idx="356">
                  <c:v>41772</c:v>
                </c:pt>
                <c:pt idx="357">
                  <c:v>41772</c:v>
                </c:pt>
                <c:pt idx="358">
                  <c:v>41808</c:v>
                </c:pt>
                <c:pt idx="359">
                  <c:v>41808</c:v>
                </c:pt>
                <c:pt idx="360">
                  <c:v>41808</c:v>
                </c:pt>
                <c:pt idx="361">
                  <c:v>41834</c:v>
                </c:pt>
                <c:pt idx="362">
                  <c:v>41834</c:v>
                </c:pt>
                <c:pt idx="363">
                  <c:v>41864</c:v>
                </c:pt>
                <c:pt idx="364">
                  <c:v>41862</c:v>
                </c:pt>
                <c:pt idx="365">
                  <c:v>41898</c:v>
                </c:pt>
                <c:pt idx="366">
                  <c:v>41898</c:v>
                </c:pt>
                <c:pt idx="367">
                  <c:v>41898</c:v>
                </c:pt>
                <c:pt idx="368">
                  <c:v>41929</c:v>
                </c:pt>
                <c:pt idx="369">
                  <c:v>41929</c:v>
                </c:pt>
                <c:pt idx="370">
                  <c:v>41953</c:v>
                </c:pt>
                <c:pt idx="371">
                  <c:v>41953</c:v>
                </c:pt>
                <c:pt idx="372">
                  <c:v>41988</c:v>
                </c:pt>
                <c:pt idx="373">
                  <c:v>41988</c:v>
                </c:pt>
                <c:pt idx="374">
                  <c:v>42014</c:v>
                </c:pt>
                <c:pt idx="375">
                  <c:v>42009</c:v>
                </c:pt>
                <c:pt idx="376">
                  <c:v>42036</c:v>
                </c:pt>
                <c:pt idx="377">
                  <c:v>42036</c:v>
                </c:pt>
                <c:pt idx="378">
                  <c:v>42064</c:v>
                </c:pt>
                <c:pt idx="379">
                  <c:v>42064</c:v>
                </c:pt>
                <c:pt idx="380">
                  <c:v>42095</c:v>
                </c:pt>
                <c:pt idx="381">
                  <c:v>42095</c:v>
                </c:pt>
                <c:pt idx="382">
                  <c:v>42125</c:v>
                </c:pt>
                <c:pt idx="383">
                  <c:v>42125</c:v>
                </c:pt>
                <c:pt idx="384">
                  <c:v>42156</c:v>
                </c:pt>
                <c:pt idx="385">
                  <c:v>42156</c:v>
                </c:pt>
                <c:pt idx="386">
                  <c:v>42186</c:v>
                </c:pt>
                <c:pt idx="387">
                  <c:v>42186</c:v>
                </c:pt>
                <c:pt idx="388">
                  <c:v>42217</c:v>
                </c:pt>
                <c:pt idx="389">
                  <c:v>42217</c:v>
                </c:pt>
                <c:pt idx="390">
                  <c:v>42248</c:v>
                </c:pt>
                <c:pt idx="391">
                  <c:v>42248</c:v>
                </c:pt>
                <c:pt idx="392">
                  <c:v>42278</c:v>
                </c:pt>
                <c:pt idx="393">
                  <c:v>42278</c:v>
                </c:pt>
                <c:pt idx="394">
                  <c:v>42309</c:v>
                </c:pt>
                <c:pt idx="395">
                  <c:v>42309</c:v>
                </c:pt>
                <c:pt idx="396">
                  <c:v>42339</c:v>
                </c:pt>
                <c:pt idx="397">
                  <c:v>42339</c:v>
                </c:pt>
                <c:pt idx="398">
                  <c:v>42379</c:v>
                </c:pt>
                <c:pt idx="399">
                  <c:v>42374</c:v>
                </c:pt>
                <c:pt idx="400">
                  <c:v>42401</c:v>
                </c:pt>
                <c:pt idx="401">
                  <c:v>42401</c:v>
                </c:pt>
                <c:pt idx="402">
                  <c:v>42430</c:v>
                </c:pt>
                <c:pt idx="403">
                  <c:v>42430</c:v>
                </c:pt>
                <c:pt idx="404">
                  <c:v>42461</c:v>
                </c:pt>
                <c:pt idx="405">
                  <c:v>42461</c:v>
                </c:pt>
                <c:pt idx="406">
                  <c:v>42491</c:v>
                </c:pt>
                <c:pt idx="407">
                  <c:v>42491</c:v>
                </c:pt>
                <c:pt idx="408">
                  <c:v>42522</c:v>
                </c:pt>
                <c:pt idx="409">
                  <c:v>42522</c:v>
                </c:pt>
                <c:pt idx="410">
                  <c:v>42552</c:v>
                </c:pt>
                <c:pt idx="411">
                  <c:v>42552</c:v>
                </c:pt>
                <c:pt idx="412">
                  <c:v>42583</c:v>
                </c:pt>
                <c:pt idx="413">
                  <c:v>42583</c:v>
                </c:pt>
                <c:pt idx="414">
                  <c:v>42614</c:v>
                </c:pt>
                <c:pt idx="415">
                  <c:v>42614</c:v>
                </c:pt>
                <c:pt idx="416">
                  <c:v>42644</c:v>
                </c:pt>
                <c:pt idx="417">
                  <c:v>42644</c:v>
                </c:pt>
                <c:pt idx="418">
                  <c:v>42675</c:v>
                </c:pt>
                <c:pt idx="419">
                  <c:v>42675</c:v>
                </c:pt>
                <c:pt idx="420">
                  <c:v>42705</c:v>
                </c:pt>
                <c:pt idx="421">
                  <c:v>42705</c:v>
                </c:pt>
                <c:pt idx="422">
                  <c:v>42745</c:v>
                </c:pt>
                <c:pt idx="423">
                  <c:v>42740</c:v>
                </c:pt>
                <c:pt idx="424">
                  <c:v>42767</c:v>
                </c:pt>
                <c:pt idx="425">
                  <c:v>42767</c:v>
                </c:pt>
                <c:pt idx="426">
                  <c:v>42795</c:v>
                </c:pt>
                <c:pt idx="427">
                  <c:v>42795</c:v>
                </c:pt>
                <c:pt idx="428">
                  <c:v>42826</c:v>
                </c:pt>
                <c:pt idx="429">
                  <c:v>42826</c:v>
                </c:pt>
                <c:pt idx="430">
                  <c:v>42856</c:v>
                </c:pt>
                <c:pt idx="431">
                  <c:v>42856</c:v>
                </c:pt>
                <c:pt idx="432">
                  <c:v>42887</c:v>
                </c:pt>
                <c:pt idx="433">
                  <c:v>42887</c:v>
                </c:pt>
                <c:pt idx="434">
                  <c:v>42917</c:v>
                </c:pt>
                <c:pt idx="435">
                  <c:v>42917</c:v>
                </c:pt>
                <c:pt idx="436">
                  <c:v>42948</c:v>
                </c:pt>
                <c:pt idx="437">
                  <c:v>42948</c:v>
                </c:pt>
                <c:pt idx="438">
                  <c:v>42979</c:v>
                </c:pt>
                <c:pt idx="439">
                  <c:v>42979</c:v>
                </c:pt>
                <c:pt idx="440">
                  <c:v>43009</c:v>
                </c:pt>
                <c:pt idx="441">
                  <c:v>43009</c:v>
                </c:pt>
                <c:pt idx="442">
                  <c:v>43040</c:v>
                </c:pt>
                <c:pt idx="443">
                  <c:v>43040</c:v>
                </c:pt>
                <c:pt idx="444">
                  <c:v>43070</c:v>
                </c:pt>
                <c:pt idx="445">
                  <c:v>43070</c:v>
                </c:pt>
                <c:pt idx="446">
                  <c:v>43110</c:v>
                </c:pt>
                <c:pt idx="447">
                  <c:v>43105</c:v>
                </c:pt>
                <c:pt idx="448">
                  <c:v>43132</c:v>
                </c:pt>
                <c:pt idx="449">
                  <c:v>43132</c:v>
                </c:pt>
                <c:pt idx="450">
                  <c:v>43160</c:v>
                </c:pt>
                <c:pt idx="451">
                  <c:v>43160</c:v>
                </c:pt>
                <c:pt idx="452">
                  <c:v>43191</c:v>
                </c:pt>
                <c:pt idx="453">
                  <c:v>43191</c:v>
                </c:pt>
                <c:pt idx="454">
                  <c:v>43221</c:v>
                </c:pt>
                <c:pt idx="455">
                  <c:v>43221</c:v>
                </c:pt>
                <c:pt idx="456">
                  <c:v>43252</c:v>
                </c:pt>
                <c:pt idx="457">
                  <c:v>43252</c:v>
                </c:pt>
                <c:pt idx="458">
                  <c:v>43282</c:v>
                </c:pt>
                <c:pt idx="459">
                  <c:v>43282</c:v>
                </c:pt>
                <c:pt idx="460">
                  <c:v>43313</c:v>
                </c:pt>
                <c:pt idx="461">
                  <c:v>43313</c:v>
                </c:pt>
                <c:pt idx="462">
                  <c:v>43344</c:v>
                </c:pt>
                <c:pt idx="463">
                  <c:v>43344</c:v>
                </c:pt>
                <c:pt idx="464">
                  <c:v>43374</c:v>
                </c:pt>
                <c:pt idx="465">
                  <c:v>43374</c:v>
                </c:pt>
                <c:pt idx="466">
                  <c:v>43405</c:v>
                </c:pt>
                <c:pt idx="467">
                  <c:v>43405</c:v>
                </c:pt>
                <c:pt idx="468">
                  <c:v>43435</c:v>
                </c:pt>
                <c:pt idx="469">
                  <c:v>43435</c:v>
                </c:pt>
                <c:pt idx="470">
                  <c:v>43475</c:v>
                </c:pt>
                <c:pt idx="471">
                  <c:v>43470</c:v>
                </c:pt>
                <c:pt idx="472">
                  <c:v>43497</c:v>
                </c:pt>
                <c:pt idx="473">
                  <c:v>43497</c:v>
                </c:pt>
                <c:pt idx="474">
                  <c:v>43525</c:v>
                </c:pt>
                <c:pt idx="475">
                  <c:v>43525</c:v>
                </c:pt>
                <c:pt idx="476">
                  <c:v>43556</c:v>
                </c:pt>
                <c:pt idx="477">
                  <c:v>43556</c:v>
                </c:pt>
                <c:pt idx="478">
                  <c:v>43586</c:v>
                </c:pt>
                <c:pt idx="479">
                  <c:v>43586</c:v>
                </c:pt>
                <c:pt idx="480">
                  <c:v>43617</c:v>
                </c:pt>
                <c:pt idx="481">
                  <c:v>43617</c:v>
                </c:pt>
                <c:pt idx="482">
                  <c:v>43647</c:v>
                </c:pt>
                <c:pt idx="483">
                  <c:v>43647</c:v>
                </c:pt>
                <c:pt idx="484">
                  <c:v>43678</c:v>
                </c:pt>
                <c:pt idx="485">
                  <c:v>43678</c:v>
                </c:pt>
                <c:pt idx="486">
                  <c:v>43709</c:v>
                </c:pt>
                <c:pt idx="487">
                  <c:v>43709</c:v>
                </c:pt>
                <c:pt idx="488">
                  <c:v>43739</c:v>
                </c:pt>
                <c:pt idx="489">
                  <c:v>43739</c:v>
                </c:pt>
                <c:pt idx="490">
                  <c:v>43770</c:v>
                </c:pt>
                <c:pt idx="491">
                  <c:v>43770</c:v>
                </c:pt>
                <c:pt idx="492">
                  <c:v>43800</c:v>
                </c:pt>
                <c:pt idx="493">
                  <c:v>43800</c:v>
                </c:pt>
              </c:numCache>
            </c:numRef>
          </c:xVal>
          <c:yVal>
            <c:numRef>
              <c:f>'zea update'!$N$3:$N$496</c:f>
              <c:numCache>
                <c:formatCode>General</c:formatCode>
                <c:ptCount val="494"/>
                <c:pt idx="1">
                  <c:v>-0.38015780184751147</c:v>
                </c:pt>
                <c:pt idx="3">
                  <c:v>-1.0438697919710704</c:v>
                </c:pt>
                <c:pt idx="5">
                  <c:v>-1.717793802434775</c:v>
                </c:pt>
                <c:pt idx="7">
                  <c:v>-2.3357066139100273</c:v>
                </c:pt>
                <c:pt idx="9">
                  <c:v>-2.8146079597615263</c:v>
                </c:pt>
                <c:pt idx="11">
                  <c:v>-3.0321219701347233</c:v>
                </c:pt>
                <c:pt idx="13">
                  <c:v>-3.687795998728963</c:v>
                </c:pt>
                <c:pt idx="15">
                  <c:v>-4.1270094937222135</c:v>
                </c:pt>
                <c:pt idx="17">
                  <c:v>-4.6319892783693088</c:v>
                </c:pt>
                <c:pt idx="19">
                  <c:v>-3.3474379228358897</c:v>
                </c:pt>
                <c:pt idx="21">
                  <c:v>-1.5058439703445676</c:v>
                </c:pt>
                <c:pt idx="23">
                  <c:v>-1.4776278672561971</c:v>
                </c:pt>
                <c:pt idx="25">
                  <c:v>-2.097986008844571</c:v>
                </c:pt>
                <c:pt idx="27">
                  <c:v>-2.8232091475980607</c:v>
                </c:pt>
                <c:pt idx="29">
                  <c:v>-3.371085173934536</c:v>
                </c:pt>
                <c:pt idx="31">
                  <c:v>-3.9402834177988426</c:v>
                </c:pt>
                <c:pt idx="33">
                  <c:v>-4.4108109335476513</c:v>
                </c:pt>
                <c:pt idx="35">
                  <c:v>-5.0347732337993518</c:v>
                </c:pt>
                <c:pt idx="37">
                  <c:v>-5.449818626048379</c:v>
                </c:pt>
                <c:pt idx="39">
                  <c:v>-5.9777616312965325</c:v>
                </c:pt>
                <c:pt idx="41">
                  <c:v>-6.2747592933131706</c:v>
                </c:pt>
                <c:pt idx="43">
                  <c:v>-4.184459140701497</c:v>
                </c:pt>
                <c:pt idx="45">
                  <c:v>-3.943752050356331</c:v>
                </c:pt>
                <c:pt idx="47">
                  <c:v>-4.3370981443003123</c:v>
                </c:pt>
                <c:pt idx="49">
                  <c:v>-4.7733214220820726</c:v>
                </c:pt>
                <c:pt idx="51">
                  <c:v>-5.2700766651524837</c:v>
                </c:pt>
                <c:pt idx="53">
                  <c:v>-5.8446167234134547</c:v>
                </c:pt>
                <c:pt idx="55">
                  <c:v>-6.31299727987148</c:v>
                </c:pt>
                <c:pt idx="57">
                  <c:v>-6.8224639094276025</c:v>
                </c:pt>
                <c:pt idx="59">
                  <c:v>-7.397819208833277</c:v>
                </c:pt>
                <c:pt idx="61">
                  <c:v>-7.9075001447646427</c:v>
                </c:pt>
                <c:pt idx="73">
                  <c:v>-8.4484498968109563</c:v>
                </c:pt>
                <c:pt idx="75">
                  <c:v>-9.0171344693630076</c:v>
                </c:pt>
                <c:pt idx="77">
                  <c:v>-9.6525476443312961</c:v>
                </c:pt>
                <c:pt idx="79">
                  <c:v>-10.214509768941426</c:v>
                </c:pt>
                <c:pt idx="81">
                  <c:v>-10.666296963325529</c:v>
                </c:pt>
                <c:pt idx="83">
                  <c:v>-11.215332469778042</c:v>
                </c:pt>
                <c:pt idx="85">
                  <c:v>-11.782841314734217</c:v>
                </c:pt>
                <c:pt idx="87">
                  <c:v>-12.154249735618476</c:v>
                </c:pt>
                <c:pt idx="89">
                  <c:v>-12.363249393884125</c:v>
                </c:pt>
                <c:pt idx="91">
                  <c:v>-10.705334980980588</c:v>
                </c:pt>
                <c:pt idx="93">
                  <c:v>-9.3219744014105288</c:v>
                </c:pt>
                <c:pt idx="95">
                  <c:v>-8.6093733889609254</c:v>
                </c:pt>
                <c:pt idx="97">
                  <c:v>-8.621633606475088</c:v>
                </c:pt>
                <c:pt idx="99">
                  <c:v>-9.1083187249609097</c:v>
                </c:pt>
                <c:pt idx="101">
                  <c:v>-9.666466239565473</c:v>
                </c:pt>
                <c:pt idx="103">
                  <c:v>-10.286137906817078</c:v>
                </c:pt>
                <c:pt idx="105">
                  <c:v>-10.915425639271737</c:v>
                </c:pt>
                <c:pt idx="107">
                  <c:v>-11.515707374697129</c:v>
                </c:pt>
                <c:pt idx="109">
                  <c:v>-12.05601837908017</c:v>
                </c:pt>
                <c:pt idx="111">
                  <c:v>-12.151076415741628</c:v>
                </c:pt>
                <c:pt idx="113">
                  <c:v>-11.917619017064151</c:v>
                </c:pt>
                <c:pt idx="115">
                  <c:v>-9.9537004501466839</c:v>
                </c:pt>
                <c:pt idx="119">
                  <c:v>-9.6768430706056847</c:v>
                </c:pt>
                <c:pt idx="121">
                  <c:v>-9.4017771097057956</c:v>
                </c:pt>
                <c:pt idx="123">
                  <c:v>-9.9448422002506636</c:v>
                </c:pt>
                <c:pt idx="125">
                  <c:v>-10.516032970692848</c:v>
                </c:pt>
                <c:pt idx="127">
                  <c:v>-11.202548140934178</c:v>
                </c:pt>
                <c:pt idx="129">
                  <c:v>-11.624525247493047</c:v>
                </c:pt>
                <c:pt idx="131">
                  <c:v>-12.216212958969708</c:v>
                </c:pt>
                <c:pt idx="133">
                  <c:v>-12.738537555783287</c:v>
                </c:pt>
                <c:pt idx="135">
                  <c:v>-13.29241645457939</c:v>
                </c:pt>
                <c:pt idx="137">
                  <c:v>-13.147313700713516</c:v>
                </c:pt>
                <c:pt idx="139">
                  <c:v>-11.913551381516777</c:v>
                </c:pt>
                <c:pt idx="141">
                  <c:v>-11.049609194835996</c:v>
                </c:pt>
                <c:pt idx="143">
                  <c:v>-10.641129895714711</c:v>
                </c:pt>
                <c:pt idx="145">
                  <c:v>-10.87341477866029</c:v>
                </c:pt>
                <c:pt idx="147">
                  <c:v>-11.48671550714319</c:v>
                </c:pt>
                <c:pt idx="149">
                  <c:v>-12.124958612342846</c:v>
                </c:pt>
                <c:pt idx="151">
                  <c:v>-12.77293446552714</c:v>
                </c:pt>
                <c:pt idx="153">
                  <c:v>-13.342447484362888</c:v>
                </c:pt>
                <c:pt idx="155">
                  <c:v>-13.954466443831357</c:v>
                </c:pt>
                <c:pt idx="157">
                  <c:v>-14.313596031286302</c:v>
                </c:pt>
                <c:pt idx="159">
                  <c:v>-14.871293722013583</c:v>
                </c:pt>
                <c:pt idx="161">
                  <c:v>-15.073683711339381</c:v>
                </c:pt>
                <c:pt idx="163">
                  <c:v>-12.904029665981664</c:v>
                </c:pt>
                <c:pt idx="165">
                  <c:v>-11.336917302475962</c:v>
                </c:pt>
                <c:pt idx="167">
                  <c:v>-11.763098071612204</c:v>
                </c:pt>
                <c:pt idx="169">
                  <c:v>-11.590296935734157</c:v>
                </c:pt>
                <c:pt idx="171">
                  <c:v>-12.006410093067441</c:v>
                </c:pt>
                <c:pt idx="173">
                  <c:v>-12.346376171866952</c:v>
                </c:pt>
                <c:pt idx="175">
                  <c:v>-12.467214768404535</c:v>
                </c:pt>
                <c:pt idx="177">
                  <c:v>-13.026301962447361</c:v>
                </c:pt>
                <c:pt idx="179">
                  <c:v>-13.57293809832635</c:v>
                </c:pt>
                <c:pt idx="181">
                  <c:v>-14.245331016365148</c:v>
                </c:pt>
                <c:pt idx="183">
                  <c:v>-14.796510777483192</c:v>
                </c:pt>
                <c:pt idx="185">
                  <c:v>-15.127345018565663</c:v>
                </c:pt>
                <c:pt idx="187">
                  <c:v>-13.150877971275312</c:v>
                </c:pt>
                <c:pt idx="189">
                  <c:v>-11.870051632654173</c:v>
                </c:pt>
                <c:pt idx="191">
                  <c:v>-9.5453825329099384</c:v>
                </c:pt>
                <c:pt idx="193">
                  <c:v>-8.8651792575365622</c:v>
                </c:pt>
                <c:pt idx="195">
                  <c:v>-9.3848985416428867</c:v>
                </c:pt>
                <c:pt idx="197">
                  <c:v>-10.054807184596969</c:v>
                </c:pt>
                <c:pt idx="199">
                  <c:v>-10.711820441444567</c:v>
                </c:pt>
                <c:pt idx="201">
                  <c:v>-11.153950997798388</c:v>
                </c:pt>
                <c:pt idx="203">
                  <c:v>-11.46107461254657</c:v>
                </c:pt>
                <c:pt idx="205">
                  <c:v>-11.956366276095441</c:v>
                </c:pt>
                <c:pt idx="207">
                  <c:v>-12.311198338450765</c:v>
                </c:pt>
                <c:pt idx="209">
                  <c:v>-11.234788968581988</c:v>
                </c:pt>
                <c:pt idx="211">
                  <c:v>-10.150024780921362</c:v>
                </c:pt>
                <c:pt idx="213">
                  <c:v>-8.8252274099912054</c:v>
                </c:pt>
                <c:pt idx="215">
                  <c:v>-8.585706684308132</c:v>
                </c:pt>
                <c:pt idx="217">
                  <c:v>-8.1434761726108729</c:v>
                </c:pt>
                <c:pt idx="219">
                  <c:v>-8.5702825473066717</c:v>
                </c:pt>
                <c:pt idx="221">
                  <c:v>-9.1067819811643496</c:v>
                </c:pt>
                <c:pt idx="223">
                  <c:v>-9.7682039369044809</c:v>
                </c:pt>
                <c:pt idx="225">
                  <c:v>-10.354370934183658</c:v>
                </c:pt>
                <c:pt idx="227">
                  <c:v>-10.939015095837368</c:v>
                </c:pt>
                <c:pt idx="229">
                  <c:v>-11.539734907605096</c:v>
                </c:pt>
                <c:pt idx="231">
                  <c:v>-12.121225910366963</c:v>
                </c:pt>
                <c:pt idx="233">
                  <c:v>-11.516638967982246</c:v>
                </c:pt>
                <c:pt idx="235">
                  <c:v>-7.6665415655137465</c:v>
                </c:pt>
                <c:pt idx="237">
                  <c:v>-6.3511036391243323</c:v>
                </c:pt>
                <c:pt idx="239">
                  <c:v>-5.9400692162885482</c:v>
                </c:pt>
                <c:pt idx="241">
                  <c:v>-5.056575444596179</c:v>
                </c:pt>
                <c:pt idx="243">
                  <c:v>-5.53831999391232</c:v>
                </c:pt>
                <c:pt idx="245">
                  <c:v>-6.1803677012620257</c:v>
                </c:pt>
                <c:pt idx="247">
                  <c:v>-6.8613905988659862</c:v>
                </c:pt>
                <c:pt idx="249">
                  <c:v>-7.4402537904002486</c:v>
                </c:pt>
                <c:pt idx="251">
                  <c:v>-7.9308536016256159</c:v>
                </c:pt>
                <c:pt idx="253">
                  <c:v>-8.4301177919189598</c:v>
                </c:pt>
                <c:pt idx="255">
                  <c:v>-8.7620332555154814</c:v>
                </c:pt>
                <c:pt idx="257">
                  <c:v>-4.8095582896674784</c:v>
                </c:pt>
                <c:pt idx="259">
                  <c:v>-2.896200667635402</c:v>
                </c:pt>
                <c:pt idx="261">
                  <c:v>-1.7123611275552961</c:v>
                </c:pt>
                <c:pt idx="263">
                  <c:v>-1.6427624820103519</c:v>
                </c:pt>
                <c:pt idx="265">
                  <c:v>-1.8937977812891225</c:v>
                </c:pt>
                <c:pt idx="267">
                  <c:v>-1.3861479738080358</c:v>
                </c:pt>
                <c:pt idx="269">
                  <c:v>-1.3851495102548455</c:v>
                </c:pt>
                <c:pt idx="272">
                  <c:v>-2.016165305337565</c:v>
                </c:pt>
                <c:pt idx="274">
                  <c:v>-2.5993755258021451</c:v>
                </c:pt>
                <c:pt idx="276">
                  <c:v>-3.2891253182518079</c:v>
                </c:pt>
                <c:pt idx="278">
                  <c:v>-3.9174413429578792</c:v>
                </c:pt>
                <c:pt idx="280">
                  <c:v>-3.1144488409190778</c:v>
                </c:pt>
                <c:pt idx="282">
                  <c:v>-1.4051212878750192</c:v>
                </c:pt>
                <c:pt idx="284">
                  <c:v>2.6631396184353822</c:v>
                </c:pt>
                <c:pt idx="286">
                  <c:v>5.6525960576983652</c:v>
                </c:pt>
                <c:pt idx="288">
                  <c:v>7.8901974592448045</c:v>
                </c:pt>
                <c:pt idx="290">
                  <c:v>7.2148627813798116</c:v>
                </c:pt>
                <c:pt idx="292">
                  <c:v>6.9508322977360626</c:v>
                </c:pt>
                <c:pt idx="295">
                  <c:v>6.3220027412087108</c:v>
                </c:pt>
                <c:pt idx="297">
                  <c:v>5.7156114520804504</c:v>
                </c:pt>
                <c:pt idx="299">
                  <c:v>5.2842030556528634</c:v>
                </c:pt>
                <c:pt idx="302">
                  <c:v>5.2323091196388134</c:v>
                </c:pt>
                <c:pt idx="304">
                  <c:v>4.8183924220087855</c:v>
                </c:pt>
                <c:pt idx="306">
                  <c:v>4.3969823332286442</c:v>
                </c:pt>
                <c:pt idx="308">
                  <c:v>4.646130323430377</c:v>
                </c:pt>
                <c:pt idx="311">
                  <c:v>5.7814439766114409</c:v>
                </c:pt>
                <c:pt idx="314">
                  <c:v>7.5858826409350417</c:v>
                </c:pt>
                <c:pt idx="316">
                  <c:v>7.6974126978606234</c:v>
                </c:pt>
                <c:pt idx="318">
                  <c:v>7.4371078560717487</c:v>
                </c:pt>
                <c:pt idx="320">
                  <c:v>6.8193219760632315</c:v>
                </c:pt>
                <c:pt idx="322">
                  <c:v>6.0940988373097422</c:v>
                </c:pt>
                <c:pt idx="324">
                  <c:v>5.4018858632054387</c:v>
                </c:pt>
                <c:pt idx="326">
                  <c:v>4.7414612401436775</c:v>
                </c:pt>
                <c:pt idx="328">
                  <c:v>4.1624476624508322</c:v>
                </c:pt>
                <c:pt idx="330">
                  <c:v>3.7891437076262457</c:v>
                </c:pt>
                <c:pt idx="332">
                  <c:v>3.4871072312229501</c:v>
                </c:pt>
                <c:pt idx="334">
                  <c:v>3.1696387543558311</c:v>
                </c:pt>
                <c:pt idx="337">
                  <c:v>3.5259816522673022</c:v>
                </c:pt>
                <c:pt idx="339">
                  <c:v>4.551407153763197</c:v>
                </c:pt>
                <c:pt idx="341">
                  <c:v>4.1793798824250725</c:v>
                </c:pt>
                <c:pt idx="343">
                  <c:v>3.4541567436715828</c:v>
                </c:pt>
                <c:pt idx="345">
                  <c:v>2.7870666610306616</c:v>
                </c:pt>
                <c:pt idx="347">
                  <c:v>2.1123702978758132</c:v>
                </c:pt>
                <c:pt idx="349">
                  <c:v>1.4935330398403917</c:v>
                </c:pt>
                <c:pt idx="351">
                  <c:v>1.0524851843796372</c:v>
                </c:pt>
                <c:pt idx="353">
                  <c:v>0.5452979515425197</c:v>
                </c:pt>
                <c:pt idx="355">
                  <c:v>6.4645877021659304E-2</c:v>
                </c:pt>
                <c:pt idx="357">
                  <c:v>1.1243298414622775</c:v>
                </c:pt>
                <c:pt idx="360">
                  <c:v>2.7666388518421052</c:v>
                </c:pt>
                <c:pt idx="362">
                  <c:v>3.8315460917503357</c:v>
                </c:pt>
                <c:pt idx="364">
                  <c:v>3.9915918872354115</c:v>
                </c:pt>
                <c:pt idx="367">
                  <c:v>3.5743573403207107</c:v>
                </c:pt>
                <c:pt idx="369">
                  <c:v>2.849134201567221</c:v>
                </c:pt>
                <c:pt idx="371">
                  <c:v>2.1996837827892519</c:v>
                </c:pt>
                <c:pt idx="373">
                  <c:v>1.4952678270118929</c:v>
                </c:pt>
                <c:pt idx="375">
                  <c:v>0.79789309921558427</c:v>
                </c:pt>
                <c:pt idx="379">
                  <c:v>0.16758289040706731</c:v>
                </c:pt>
                <c:pt idx="381">
                  <c:v>-0.20677549516224758</c:v>
                </c:pt>
                <c:pt idx="383">
                  <c:v>-0.88378205865523018</c:v>
                </c:pt>
                <c:pt idx="385">
                  <c:v>-1.4539151761005109</c:v>
                </c:pt>
                <c:pt idx="387">
                  <c:v>-1.7543121424530019</c:v>
                </c:pt>
                <c:pt idx="389">
                  <c:v>-2.2253590879940202</c:v>
                </c:pt>
                <c:pt idx="391">
                  <c:v>-1.6413322043705234</c:v>
                </c:pt>
                <c:pt idx="393">
                  <c:v>-2.3252138495739088</c:v>
                </c:pt>
                <c:pt idx="395">
                  <c:v>-2.9572138788405993</c:v>
                </c:pt>
                <c:pt idx="397">
                  <c:v>-3.5819896578593569</c:v>
                </c:pt>
                <c:pt idx="399">
                  <c:v>-4.1988130049162855</c:v>
                </c:pt>
                <c:pt idx="401">
                  <c:v>-4.837242214147583</c:v>
                </c:pt>
                <c:pt idx="403">
                  <c:v>-5.507418396672473</c:v>
                </c:pt>
                <c:pt idx="405">
                  <c:v>-6.1598957894975115</c:v>
                </c:pt>
                <c:pt idx="407">
                  <c:v>-6.7206676738551323</c:v>
                </c:pt>
                <c:pt idx="409">
                  <c:v>-5.7906113818622682</c:v>
                </c:pt>
                <c:pt idx="411">
                  <c:v>-3.993035326237746</c:v>
                </c:pt>
                <c:pt idx="413">
                  <c:v>-1.6388007615779712</c:v>
                </c:pt>
                <c:pt idx="415">
                  <c:v>-1.7888489025932106</c:v>
                </c:pt>
                <c:pt idx="417">
                  <c:v>-2.2787850193593657</c:v>
                </c:pt>
                <c:pt idx="419">
                  <c:v>-2.9127830875771279</c:v>
                </c:pt>
                <c:pt idx="421">
                  <c:v>-3.5433564404852533</c:v>
                </c:pt>
                <c:pt idx="427">
                  <c:v>-4.0682492640381565</c:v>
                </c:pt>
                <c:pt idx="431">
                  <c:v>-4.4990574725979293</c:v>
                </c:pt>
                <c:pt idx="433">
                  <c:v>-0.69199826922091745</c:v>
                </c:pt>
                <c:pt idx="435">
                  <c:v>1.0832620741812182</c:v>
                </c:pt>
                <c:pt idx="439">
                  <c:v>0.69164953860936618</c:v>
                </c:pt>
                <c:pt idx="441">
                  <c:v>0.22761983602884528</c:v>
                </c:pt>
                <c:pt idx="445">
                  <c:v>-0.43847254451980056</c:v>
                </c:pt>
                <c:pt idx="447">
                  <c:v>-1.067656459020744</c:v>
                </c:pt>
                <c:pt idx="449">
                  <c:v>-1.5400121701325666</c:v>
                </c:pt>
                <c:pt idx="451">
                  <c:v>-2.2329782171619863</c:v>
                </c:pt>
                <c:pt idx="453">
                  <c:v>-2.7581905643723981</c:v>
                </c:pt>
                <c:pt idx="455">
                  <c:v>-3.1729119773885035</c:v>
                </c:pt>
                <c:pt idx="457">
                  <c:v>-0.4278923868119433</c:v>
                </c:pt>
                <c:pt idx="459">
                  <c:v>6.9114928336867554E-2</c:v>
                </c:pt>
                <c:pt idx="461">
                  <c:v>3.4597153792029376</c:v>
                </c:pt>
                <c:pt idx="463">
                  <c:v>3.3035157313821024</c:v>
                </c:pt>
                <c:pt idx="465">
                  <c:v>3.1517403449036645</c:v>
                </c:pt>
                <c:pt idx="467">
                  <c:v>2.4989401259291757</c:v>
                </c:pt>
                <c:pt idx="475">
                  <c:v>1.876590995997079</c:v>
                </c:pt>
                <c:pt idx="477">
                  <c:v>1.4477643854513782</c:v>
                </c:pt>
                <c:pt idx="479">
                  <c:v>1.9154239081099167</c:v>
                </c:pt>
                <c:pt idx="481">
                  <c:v>5.056087593067903</c:v>
                </c:pt>
                <c:pt idx="483">
                  <c:v>6.6368671130758097</c:v>
                </c:pt>
                <c:pt idx="487">
                  <c:v>7.8899433467652145</c:v>
                </c:pt>
                <c:pt idx="489">
                  <c:v>7.4478151512130726</c:v>
                </c:pt>
                <c:pt idx="493">
                  <c:v>7.0029339961040664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D4-A247-A172-9E8FEC5C3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  <c:minorUnit val="730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update'!$B$3:$B$496</c:f>
              <c:numCache>
                <c:formatCode>[$-409]mmm\-yy;@</c:formatCode>
                <c:ptCount val="494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36600</c:v>
                </c:pt>
                <c:pt idx="11">
                  <c:v>36600</c:v>
                </c:pt>
                <c:pt idx="12">
                  <c:v>36628</c:v>
                </c:pt>
                <c:pt idx="13">
                  <c:v>36628</c:v>
                </c:pt>
                <c:pt idx="14">
                  <c:v>36661</c:v>
                </c:pt>
                <c:pt idx="15">
                  <c:v>36661</c:v>
                </c:pt>
                <c:pt idx="16">
                  <c:v>36691</c:v>
                </c:pt>
                <c:pt idx="17">
                  <c:v>36691</c:v>
                </c:pt>
                <c:pt idx="18">
                  <c:v>36720</c:v>
                </c:pt>
                <c:pt idx="19">
                  <c:v>36720</c:v>
                </c:pt>
                <c:pt idx="20">
                  <c:v>36754</c:v>
                </c:pt>
                <c:pt idx="21">
                  <c:v>36754</c:v>
                </c:pt>
                <c:pt idx="22">
                  <c:v>36782</c:v>
                </c:pt>
                <c:pt idx="23">
                  <c:v>36782</c:v>
                </c:pt>
                <c:pt idx="24">
                  <c:v>36818</c:v>
                </c:pt>
                <c:pt idx="25">
                  <c:v>36818</c:v>
                </c:pt>
                <c:pt idx="26">
                  <c:v>36845</c:v>
                </c:pt>
                <c:pt idx="27">
                  <c:v>36848</c:v>
                </c:pt>
                <c:pt idx="28">
                  <c:v>36875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36963</c:v>
                </c:pt>
                <c:pt idx="35">
                  <c:v>36963</c:v>
                </c:pt>
                <c:pt idx="36">
                  <c:v>37000</c:v>
                </c:pt>
                <c:pt idx="37">
                  <c:v>37000</c:v>
                </c:pt>
                <c:pt idx="38">
                  <c:v>37028</c:v>
                </c:pt>
                <c:pt idx="39">
                  <c:v>37027</c:v>
                </c:pt>
                <c:pt idx="40">
                  <c:v>37058</c:v>
                </c:pt>
                <c:pt idx="41">
                  <c:v>37056</c:v>
                </c:pt>
                <c:pt idx="42">
                  <c:v>37089</c:v>
                </c:pt>
                <c:pt idx="43">
                  <c:v>37089</c:v>
                </c:pt>
                <c:pt idx="44">
                  <c:v>37119</c:v>
                </c:pt>
                <c:pt idx="45">
                  <c:v>37119</c:v>
                </c:pt>
                <c:pt idx="46">
                  <c:v>37152</c:v>
                </c:pt>
                <c:pt idx="47">
                  <c:v>37152</c:v>
                </c:pt>
                <c:pt idx="48">
                  <c:v>37181</c:v>
                </c:pt>
                <c:pt idx="49">
                  <c:v>37181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37690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37817</c:v>
                </c:pt>
                <c:pt idx="91">
                  <c:v>37817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37908</c:v>
                </c:pt>
                <c:pt idx="97">
                  <c:v>37908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38000</c:v>
                </c:pt>
                <c:pt idx="103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38335</c:v>
                </c:pt>
                <c:pt idx="125">
                  <c:v>38335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38468</c:v>
                </c:pt>
                <c:pt idx="133">
                  <c:v>38468</c:v>
                </c:pt>
                <c:pt idx="134">
                  <c:v>38489</c:v>
                </c:pt>
                <c:pt idx="135">
                  <c:v>38489</c:v>
                </c:pt>
                <c:pt idx="136">
                  <c:v>38517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38587</c:v>
                </c:pt>
                <c:pt idx="141">
                  <c:v>38588</c:v>
                </c:pt>
                <c:pt idx="142">
                  <c:v>38608</c:v>
                </c:pt>
                <c:pt idx="143">
                  <c:v>38608</c:v>
                </c:pt>
                <c:pt idx="144">
                  <c:v>38637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39009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39098</c:v>
                </c:pt>
                <c:pt idx="175">
                  <c:v>39098</c:v>
                </c:pt>
                <c:pt idx="176">
                  <c:v>39133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39245</c:v>
                </c:pt>
                <c:pt idx="185">
                  <c:v>39245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39337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39426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39583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39799</c:v>
                </c:pt>
                <c:pt idx="221">
                  <c:v>39800</c:v>
                </c:pt>
                <c:pt idx="222">
                  <c:v>39825</c:v>
                </c:pt>
                <c:pt idx="223">
                  <c:v>39825</c:v>
                </c:pt>
                <c:pt idx="224">
                  <c:v>39855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40042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40133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40282</c:v>
                </c:pt>
                <c:pt idx="253">
                  <c:v>40282</c:v>
                </c:pt>
                <c:pt idx="254">
                  <c:v>40315</c:v>
                </c:pt>
                <c:pt idx="255">
                  <c:v>40315</c:v>
                </c:pt>
                <c:pt idx="256">
                  <c:v>40344</c:v>
                </c:pt>
                <c:pt idx="257">
                  <c:v>40344</c:v>
                </c:pt>
                <c:pt idx="258">
                  <c:v>40371</c:v>
                </c:pt>
                <c:pt idx="259">
                  <c:v>40371</c:v>
                </c:pt>
                <c:pt idx="260">
                  <c:v>40407</c:v>
                </c:pt>
                <c:pt idx="261">
                  <c:v>40407</c:v>
                </c:pt>
                <c:pt idx="262">
                  <c:v>40436</c:v>
                </c:pt>
                <c:pt idx="263">
                  <c:v>40436</c:v>
                </c:pt>
                <c:pt idx="264">
                  <c:v>40464</c:v>
                </c:pt>
                <c:pt idx="265">
                  <c:v>40464</c:v>
                </c:pt>
                <c:pt idx="266">
                  <c:v>40498</c:v>
                </c:pt>
                <c:pt idx="267">
                  <c:v>40498</c:v>
                </c:pt>
                <c:pt idx="268">
                  <c:v>40520</c:v>
                </c:pt>
                <c:pt idx="269">
                  <c:v>40520</c:v>
                </c:pt>
                <c:pt idx="270">
                  <c:v>40562</c:v>
                </c:pt>
                <c:pt idx="271">
                  <c:v>40562</c:v>
                </c:pt>
                <c:pt idx="272">
                  <c:v>40562</c:v>
                </c:pt>
                <c:pt idx="273">
                  <c:v>40591</c:v>
                </c:pt>
                <c:pt idx="274">
                  <c:v>40591</c:v>
                </c:pt>
                <c:pt idx="275">
                  <c:v>40619</c:v>
                </c:pt>
                <c:pt idx="276">
                  <c:v>40619</c:v>
                </c:pt>
                <c:pt idx="277">
                  <c:v>40646</c:v>
                </c:pt>
                <c:pt idx="278">
                  <c:v>40646</c:v>
                </c:pt>
                <c:pt idx="279">
                  <c:v>40681</c:v>
                </c:pt>
                <c:pt idx="280">
                  <c:v>40681</c:v>
                </c:pt>
                <c:pt idx="281">
                  <c:v>40708</c:v>
                </c:pt>
                <c:pt idx="282">
                  <c:v>40708</c:v>
                </c:pt>
                <c:pt idx="283">
                  <c:v>40735</c:v>
                </c:pt>
                <c:pt idx="284">
                  <c:v>40735</c:v>
                </c:pt>
                <c:pt idx="285">
                  <c:v>40771</c:v>
                </c:pt>
                <c:pt idx="286">
                  <c:v>40771</c:v>
                </c:pt>
                <c:pt idx="287">
                  <c:v>40799</c:v>
                </c:pt>
                <c:pt idx="288">
                  <c:v>40799</c:v>
                </c:pt>
                <c:pt idx="289">
                  <c:v>40827</c:v>
                </c:pt>
                <c:pt idx="290">
                  <c:v>40827</c:v>
                </c:pt>
                <c:pt idx="291">
                  <c:v>40862</c:v>
                </c:pt>
                <c:pt idx="292">
                  <c:v>40862</c:v>
                </c:pt>
                <c:pt idx="293">
                  <c:v>40891</c:v>
                </c:pt>
                <c:pt idx="294">
                  <c:v>40890</c:v>
                </c:pt>
                <c:pt idx="295">
                  <c:v>40890</c:v>
                </c:pt>
                <c:pt idx="296">
                  <c:v>40917</c:v>
                </c:pt>
                <c:pt idx="297">
                  <c:v>40917</c:v>
                </c:pt>
                <c:pt idx="298">
                  <c:v>40962</c:v>
                </c:pt>
                <c:pt idx="299">
                  <c:v>40962</c:v>
                </c:pt>
                <c:pt idx="300">
                  <c:v>40980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41107</c:v>
                </c:pt>
                <c:pt idx="312">
                  <c:v>41135</c:v>
                </c:pt>
                <c:pt idx="313">
                  <c:v>41135</c:v>
                </c:pt>
                <c:pt idx="314">
                  <c:v>41135</c:v>
                </c:pt>
                <c:pt idx="315">
                  <c:v>41164</c:v>
                </c:pt>
                <c:pt idx="316">
                  <c:v>41164</c:v>
                </c:pt>
                <c:pt idx="317">
                  <c:v>41200</c:v>
                </c:pt>
                <c:pt idx="318">
                  <c:v>41200</c:v>
                </c:pt>
                <c:pt idx="319">
                  <c:v>41226</c:v>
                </c:pt>
                <c:pt idx="320">
                  <c:v>41226</c:v>
                </c:pt>
                <c:pt idx="321">
                  <c:v>41254</c:v>
                </c:pt>
                <c:pt idx="322">
                  <c:v>41254</c:v>
                </c:pt>
                <c:pt idx="323">
                  <c:v>41288</c:v>
                </c:pt>
                <c:pt idx="324">
                  <c:v>41288</c:v>
                </c:pt>
                <c:pt idx="325">
                  <c:v>41318</c:v>
                </c:pt>
                <c:pt idx="326">
                  <c:v>41318</c:v>
                </c:pt>
                <c:pt idx="327">
                  <c:v>41344</c:v>
                </c:pt>
                <c:pt idx="328">
                  <c:v>41344</c:v>
                </c:pt>
                <c:pt idx="329">
                  <c:v>41381</c:v>
                </c:pt>
                <c:pt idx="330">
                  <c:v>41379</c:v>
                </c:pt>
                <c:pt idx="331">
                  <c:v>41408</c:v>
                </c:pt>
                <c:pt idx="332">
                  <c:v>41408</c:v>
                </c:pt>
                <c:pt idx="333">
                  <c:v>41436</c:v>
                </c:pt>
                <c:pt idx="334">
                  <c:v>41437</c:v>
                </c:pt>
                <c:pt idx="335">
                  <c:v>41471</c:v>
                </c:pt>
                <c:pt idx="336">
                  <c:v>41471</c:v>
                </c:pt>
                <c:pt idx="337">
                  <c:v>41471</c:v>
                </c:pt>
                <c:pt idx="338">
                  <c:v>41499</c:v>
                </c:pt>
                <c:pt idx="339">
                  <c:v>41499</c:v>
                </c:pt>
                <c:pt idx="340">
                  <c:v>41533</c:v>
                </c:pt>
                <c:pt idx="341">
                  <c:v>41533</c:v>
                </c:pt>
                <c:pt idx="342">
                  <c:v>41569</c:v>
                </c:pt>
                <c:pt idx="343">
                  <c:v>41569</c:v>
                </c:pt>
                <c:pt idx="344">
                  <c:v>41597</c:v>
                </c:pt>
                <c:pt idx="345">
                  <c:v>41597</c:v>
                </c:pt>
                <c:pt idx="346">
                  <c:v>41624</c:v>
                </c:pt>
                <c:pt idx="347">
                  <c:v>41624</c:v>
                </c:pt>
                <c:pt idx="348">
                  <c:v>41654</c:v>
                </c:pt>
                <c:pt idx="349">
                  <c:v>41654</c:v>
                </c:pt>
                <c:pt idx="350">
                  <c:v>41688</c:v>
                </c:pt>
                <c:pt idx="351">
                  <c:v>41690</c:v>
                </c:pt>
                <c:pt idx="352">
                  <c:v>41719</c:v>
                </c:pt>
                <c:pt idx="353">
                  <c:v>41719</c:v>
                </c:pt>
                <c:pt idx="354">
                  <c:v>41747</c:v>
                </c:pt>
                <c:pt idx="355">
                  <c:v>41747</c:v>
                </c:pt>
                <c:pt idx="356">
                  <c:v>41772</c:v>
                </c:pt>
                <c:pt idx="357">
                  <c:v>41772</c:v>
                </c:pt>
                <c:pt idx="358">
                  <c:v>41808</c:v>
                </c:pt>
                <c:pt idx="359">
                  <c:v>41808</c:v>
                </c:pt>
                <c:pt idx="360">
                  <c:v>41808</c:v>
                </c:pt>
                <c:pt idx="361">
                  <c:v>41834</c:v>
                </c:pt>
                <c:pt idx="362">
                  <c:v>41834</c:v>
                </c:pt>
                <c:pt idx="363">
                  <c:v>41864</c:v>
                </c:pt>
                <c:pt idx="364">
                  <c:v>41862</c:v>
                </c:pt>
                <c:pt idx="365">
                  <c:v>41898</c:v>
                </c:pt>
                <c:pt idx="366">
                  <c:v>41898</c:v>
                </c:pt>
                <c:pt idx="367">
                  <c:v>41898</c:v>
                </c:pt>
                <c:pt idx="368">
                  <c:v>41929</c:v>
                </c:pt>
                <c:pt idx="369">
                  <c:v>41929</c:v>
                </c:pt>
                <c:pt idx="370">
                  <c:v>41953</c:v>
                </c:pt>
                <c:pt idx="371">
                  <c:v>41953</c:v>
                </c:pt>
                <c:pt idx="372">
                  <c:v>41988</c:v>
                </c:pt>
                <c:pt idx="373">
                  <c:v>41988</c:v>
                </c:pt>
                <c:pt idx="374">
                  <c:v>42014</c:v>
                </c:pt>
                <c:pt idx="375">
                  <c:v>42009</c:v>
                </c:pt>
                <c:pt idx="376">
                  <c:v>42036</c:v>
                </c:pt>
                <c:pt idx="377">
                  <c:v>42036</c:v>
                </c:pt>
                <c:pt idx="378">
                  <c:v>42064</c:v>
                </c:pt>
                <c:pt idx="379">
                  <c:v>42064</c:v>
                </c:pt>
                <c:pt idx="380">
                  <c:v>42095</c:v>
                </c:pt>
                <c:pt idx="381">
                  <c:v>42095</c:v>
                </c:pt>
                <c:pt idx="382">
                  <c:v>42125</c:v>
                </c:pt>
                <c:pt idx="383">
                  <c:v>42125</c:v>
                </c:pt>
                <c:pt idx="384">
                  <c:v>42156</c:v>
                </c:pt>
                <c:pt idx="385">
                  <c:v>42156</c:v>
                </c:pt>
                <c:pt idx="386">
                  <c:v>42186</c:v>
                </c:pt>
                <c:pt idx="387">
                  <c:v>42186</c:v>
                </c:pt>
                <c:pt idx="388">
                  <c:v>42217</c:v>
                </c:pt>
                <c:pt idx="389">
                  <c:v>42217</c:v>
                </c:pt>
                <c:pt idx="390">
                  <c:v>42248</c:v>
                </c:pt>
                <c:pt idx="391">
                  <c:v>42248</c:v>
                </c:pt>
                <c:pt idx="392">
                  <c:v>42278</c:v>
                </c:pt>
                <c:pt idx="393">
                  <c:v>42278</c:v>
                </c:pt>
                <c:pt idx="394">
                  <c:v>42309</c:v>
                </c:pt>
                <c:pt idx="395">
                  <c:v>42309</c:v>
                </c:pt>
                <c:pt idx="396">
                  <c:v>42339</c:v>
                </c:pt>
                <c:pt idx="397">
                  <c:v>42339</c:v>
                </c:pt>
                <c:pt idx="398">
                  <c:v>42379</c:v>
                </c:pt>
                <c:pt idx="399">
                  <c:v>42374</c:v>
                </c:pt>
                <c:pt idx="400">
                  <c:v>42401</c:v>
                </c:pt>
                <c:pt idx="401">
                  <c:v>42401</c:v>
                </c:pt>
                <c:pt idx="402">
                  <c:v>42430</c:v>
                </c:pt>
                <c:pt idx="403">
                  <c:v>42430</c:v>
                </c:pt>
                <c:pt idx="404">
                  <c:v>42461</c:v>
                </c:pt>
                <c:pt idx="405">
                  <c:v>42461</c:v>
                </c:pt>
                <c:pt idx="406">
                  <c:v>42491</c:v>
                </c:pt>
                <c:pt idx="407">
                  <c:v>42491</c:v>
                </c:pt>
                <c:pt idx="408">
                  <c:v>42522</c:v>
                </c:pt>
                <c:pt idx="409">
                  <c:v>42522</c:v>
                </c:pt>
                <c:pt idx="410">
                  <c:v>42552</c:v>
                </c:pt>
                <c:pt idx="411">
                  <c:v>42552</c:v>
                </c:pt>
                <c:pt idx="412">
                  <c:v>42583</c:v>
                </c:pt>
                <c:pt idx="413">
                  <c:v>42583</c:v>
                </c:pt>
                <c:pt idx="414">
                  <c:v>42614</c:v>
                </c:pt>
                <c:pt idx="415">
                  <c:v>42614</c:v>
                </c:pt>
                <c:pt idx="416">
                  <c:v>42644</c:v>
                </c:pt>
                <c:pt idx="417">
                  <c:v>42644</c:v>
                </c:pt>
                <c:pt idx="418">
                  <c:v>42675</c:v>
                </c:pt>
                <c:pt idx="419">
                  <c:v>42675</c:v>
                </c:pt>
                <c:pt idx="420">
                  <c:v>42705</c:v>
                </c:pt>
                <c:pt idx="421">
                  <c:v>42705</c:v>
                </c:pt>
                <c:pt idx="422">
                  <c:v>42745</c:v>
                </c:pt>
                <c:pt idx="423">
                  <c:v>42740</c:v>
                </c:pt>
                <c:pt idx="424">
                  <c:v>42767</c:v>
                </c:pt>
                <c:pt idx="425">
                  <c:v>42767</c:v>
                </c:pt>
                <c:pt idx="426">
                  <c:v>42795</c:v>
                </c:pt>
                <c:pt idx="427">
                  <c:v>42795</c:v>
                </c:pt>
                <c:pt idx="428">
                  <c:v>42826</c:v>
                </c:pt>
                <c:pt idx="429">
                  <c:v>42826</c:v>
                </c:pt>
                <c:pt idx="430">
                  <c:v>42856</c:v>
                </c:pt>
                <c:pt idx="431">
                  <c:v>42856</c:v>
                </c:pt>
                <c:pt idx="432">
                  <c:v>42887</c:v>
                </c:pt>
                <c:pt idx="433">
                  <c:v>42887</c:v>
                </c:pt>
                <c:pt idx="434">
                  <c:v>42917</c:v>
                </c:pt>
                <c:pt idx="435">
                  <c:v>42917</c:v>
                </c:pt>
                <c:pt idx="436">
                  <c:v>42948</c:v>
                </c:pt>
                <c:pt idx="437">
                  <c:v>42948</c:v>
                </c:pt>
                <c:pt idx="438">
                  <c:v>42979</c:v>
                </c:pt>
                <c:pt idx="439">
                  <c:v>42979</c:v>
                </c:pt>
                <c:pt idx="440">
                  <c:v>43009</c:v>
                </c:pt>
                <c:pt idx="441">
                  <c:v>43009</c:v>
                </c:pt>
                <c:pt idx="442">
                  <c:v>43040</c:v>
                </c:pt>
                <c:pt idx="443">
                  <c:v>43040</c:v>
                </c:pt>
                <c:pt idx="444">
                  <c:v>43070</c:v>
                </c:pt>
                <c:pt idx="445">
                  <c:v>43070</c:v>
                </c:pt>
                <c:pt idx="446">
                  <c:v>43110</c:v>
                </c:pt>
                <c:pt idx="447">
                  <c:v>43105</c:v>
                </c:pt>
                <c:pt idx="448">
                  <c:v>43132</c:v>
                </c:pt>
                <c:pt idx="449">
                  <c:v>43132</c:v>
                </c:pt>
                <c:pt idx="450">
                  <c:v>43160</c:v>
                </c:pt>
                <c:pt idx="451">
                  <c:v>43160</c:v>
                </c:pt>
                <c:pt idx="452">
                  <c:v>43191</c:v>
                </c:pt>
                <c:pt idx="453">
                  <c:v>43191</c:v>
                </c:pt>
                <c:pt idx="454">
                  <c:v>43221</c:v>
                </c:pt>
                <c:pt idx="455">
                  <c:v>43221</c:v>
                </c:pt>
                <c:pt idx="456">
                  <c:v>43252</c:v>
                </c:pt>
                <c:pt idx="457">
                  <c:v>43252</c:v>
                </c:pt>
                <c:pt idx="458">
                  <c:v>43282</c:v>
                </c:pt>
                <c:pt idx="459">
                  <c:v>43282</c:v>
                </c:pt>
                <c:pt idx="460">
                  <c:v>43313</c:v>
                </c:pt>
                <c:pt idx="461">
                  <c:v>43313</c:v>
                </c:pt>
                <c:pt idx="462">
                  <c:v>43344</c:v>
                </c:pt>
                <c:pt idx="463">
                  <c:v>43344</c:v>
                </c:pt>
                <c:pt idx="464">
                  <c:v>43374</c:v>
                </c:pt>
                <c:pt idx="465">
                  <c:v>43374</c:v>
                </c:pt>
                <c:pt idx="466">
                  <c:v>43405</c:v>
                </c:pt>
                <c:pt idx="467">
                  <c:v>43405</c:v>
                </c:pt>
                <c:pt idx="468">
                  <c:v>43435</c:v>
                </c:pt>
                <c:pt idx="469">
                  <c:v>43435</c:v>
                </c:pt>
                <c:pt idx="470">
                  <c:v>43475</c:v>
                </c:pt>
                <c:pt idx="471">
                  <c:v>43470</c:v>
                </c:pt>
                <c:pt idx="472">
                  <c:v>43497</c:v>
                </c:pt>
                <c:pt idx="473">
                  <c:v>43497</c:v>
                </c:pt>
                <c:pt idx="474">
                  <c:v>43525</c:v>
                </c:pt>
                <c:pt idx="475">
                  <c:v>43525</c:v>
                </c:pt>
                <c:pt idx="476">
                  <c:v>43556</c:v>
                </c:pt>
                <c:pt idx="477">
                  <c:v>43556</c:v>
                </c:pt>
                <c:pt idx="478">
                  <c:v>43586</c:v>
                </c:pt>
                <c:pt idx="479">
                  <c:v>43586</c:v>
                </c:pt>
                <c:pt idx="480">
                  <c:v>43617</c:v>
                </c:pt>
                <c:pt idx="481">
                  <c:v>43617</c:v>
                </c:pt>
                <c:pt idx="482">
                  <c:v>43647</c:v>
                </c:pt>
                <c:pt idx="483">
                  <c:v>43647</c:v>
                </c:pt>
                <c:pt idx="484">
                  <c:v>43678</c:v>
                </c:pt>
                <c:pt idx="485">
                  <c:v>43678</c:v>
                </c:pt>
                <c:pt idx="486">
                  <c:v>43709</c:v>
                </c:pt>
                <c:pt idx="487">
                  <c:v>43709</c:v>
                </c:pt>
                <c:pt idx="488">
                  <c:v>43739</c:v>
                </c:pt>
                <c:pt idx="489">
                  <c:v>43739</c:v>
                </c:pt>
                <c:pt idx="490">
                  <c:v>43770</c:v>
                </c:pt>
                <c:pt idx="491">
                  <c:v>43770</c:v>
                </c:pt>
                <c:pt idx="492">
                  <c:v>43800</c:v>
                </c:pt>
                <c:pt idx="493">
                  <c:v>43800</c:v>
                </c:pt>
              </c:numCache>
            </c:numRef>
          </c:xVal>
          <c:yVal>
            <c:numRef>
              <c:f>'zea update'!$L$3:$L$496</c:f>
              <c:numCache>
                <c:formatCode>General</c:formatCode>
                <c:ptCount val="494"/>
                <c:pt idx="1">
                  <c:v>1.5940999006577302E-2</c:v>
                </c:pt>
                <c:pt idx="3">
                  <c:v>2.8416333207943443E-3</c:v>
                </c:pt>
                <c:pt idx="5">
                  <c:v>2.3698681543564298E-3</c:v>
                </c:pt>
                <c:pt idx="7">
                  <c:v>4.9574200523188876E-3</c:v>
                </c:pt>
                <c:pt idx="9">
                  <c:v>1.1379339029404967E-2</c:v>
                </c:pt>
                <c:pt idx="11">
                  <c:v>2.3454661611941974E-2</c:v>
                </c:pt>
                <c:pt idx="13">
                  <c:v>3.2129633938253999E-3</c:v>
                </c:pt>
                <c:pt idx="15">
                  <c:v>1.3212800474061519E-2</c:v>
                </c:pt>
                <c:pt idx="17">
                  <c:v>1.0174592210552639E-2</c:v>
                </c:pt>
                <c:pt idx="19">
                  <c:v>9.2845643390722585E-2</c:v>
                </c:pt>
                <c:pt idx="21">
                  <c:v>0.11857936548621867</c:v>
                </c:pt>
                <c:pt idx="23">
                  <c:v>3.4806666799424228E-2</c:v>
                </c:pt>
                <c:pt idx="25">
                  <c:v>4.8444530262665257E-3</c:v>
                </c:pt>
                <c:pt idx="27">
                  <c:v>0</c:v>
                </c:pt>
                <c:pt idx="29">
                  <c:v>8.1929125892737584E-3</c:v>
                </c:pt>
                <c:pt idx="31">
                  <c:v>7.207889139868885E-3</c:v>
                </c:pt>
                <c:pt idx="33">
                  <c:v>1.1766185238140816E-2</c:v>
                </c:pt>
                <c:pt idx="35">
                  <c:v>4.6779515451650091E-3</c:v>
                </c:pt>
                <c:pt idx="37">
                  <c:v>1.4329295411776716E-2</c:v>
                </c:pt>
                <c:pt idx="39">
                  <c:v>9.1137592678075825E-3</c:v>
                </c:pt>
                <c:pt idx="41">
                  <c:v>1.9782751754961858E-2</c:v>
                </c:pt>
                <c:pt idx="43">
                  <c:v>0.13006885708394586</c:v>
                </c:pt>
                <c:pt idx="45">
                  <c:v>4.46231225673073E-2</c:v>
                </c:pt>
                <c:pt idx="47">
                  <c:v>1.5331738878934967E-2</c:v>
                </c:pt>
                <c:pt idx="49">
                  <c:v>1.3350939674090177E-2</c:v>
                </c:pt>
                <c:pt idx="51">
                  <c:v>1.0554541730487149E-2</c:v>
                </c:pt>
                <c:pt idx="53">
                  <c:v>6.9611130981079962E-3</c:v>
                </c:pt>
                <c:pt idx="55">
                  <c:v>1.1865368413792168E-2</c:v>
                </c:pt>
                <c:pt idx="57">
                  <c:v>9.9673132329572579E-3</c:v>
                </c:pt>
                <c:pt idx="59">
                  <c:v>6.9234513660013522E-3</c:v>
                </c:pt>
                <c:pt idx="61">
                  <c:v>9.9574129116283255E-3</c:v>
                </c:pt>
                <c:pt idx="73">
                  <c:v>8.512885996538452E-3</c:v>
                </c:pt>
                <c:pt idx="75">
                  <c:v>7.2316192367594461E-3</c:v>
                </c:pt>
                <c:pt idx="77">
                  <c:v>4.1489549669567159E-3</c:v>
                </c:pt>
                <c:pt idx="79">
                  <c:v>7.5421764689776027E-3</c:v>
                </c:pt>
                <c:pt idx="81">
                  <c:v>1.2631932713492472E-2</c:v>
                </c:pt>
                <c:pt idx="83">
                  <c:v>8.1393480338082906E-3</c:v>
                </c:pt>
                <c:pt idx="85">
                  <c:v>7.2859343777873873E-3</c:v>
                </c:pt>
                <c:pt idx="87">
                  <c:v>1.6345194555437603E-2</c:v>
                </c:pt>
                <c:pt idx="89">
                  <c:v>2.3847999522104375E-2</c:v>
                </c:pt>
                <c:pt idx="91">
                  <c:v>0.11009391347196643</c:v>
                </c:pt>
                <c:pt idx="93">
                  <c:v>9.7410337591339852E-2</c:v>
                </c:pt>
                <c:pt idx="95">
                  <c:v>6.6423227471864466E-2</c:v>
                </c:pt>
                <c:pt idx="97">
                  <c:v>3.293678038225941E-2</c:v>
                </c:pt>
                <c:pt idx="99">
                  <c:v>1.101975173227533E-2</c:v>
                </c:pt>
                <c:pt idx="101">
                  <c:v>7.7184001802737059E-3</c:v>
                </c:pt>
                <c:pt idx="103">
                  <c:v>4.8761661123115814E-3</c:v>
                </c:pt>
                <c:pt idx="105">
                  <c:v>4.4319323123491435E-3</c:v>
                </c:pt>
                <c:pt idx="107">
                  <c:v>5.7719236715922948E-3</c:v>
                </c:pt>
                <c:pt idx="109">
                  <c:v>8.5423942512852062E-3</c:v>
                </c:pt>
                <c:pt idx="111">
                  <c:v>2.9111765778913664E-2</c:v>
                </c:pt>
                <c:pt idx="113">
                  <c:v>4.428820823279643E-2</c:v>
                </c:pt>
                <c:pt idx="115">
                  <c:v>0.12423040124232085</c:v>
                </c:pt>
                <c:pt idx="119">
                  <c:v>4.6293159115531446E-2</c:v>
                </c:pt>
                <c:pt idx="121">
                  <c:v>4.6210400867385273E-2</c:v>
                </c:pt>
                <c:pt idx="123">
                  <c:v>8.4151636080586553E-3</c:v>
                </c:pt>
                <c:pt idx="125">
                  <c:v>7.1158402992541545E-3</c:v>
                </c:pt>
                <c:pt idx="127">
                  <c:v>1.7881937755083693E-3</c:v>
                </c:pt>
                <c:pt idx="129">
                  <c:v>1.4009070691676388E-2</c:v>
                </c:pt>
                <c:pt idx="131">
                  <c:v>6.1689421854123289E-3</c:v>
                </c:pt>
                <c:pt idx="133">
                  <c:v>9.3733131368723792E-3</c:v>
                </c:pt>
                <c:pt idx="135">
                  <c:v>7.9155976182206014E-3</c:v>
                </c:pt>
                <c:pt idx="137">
                  <c:v>4.0206484702414683E-2</c:v>
                </c:pt>
                <c:pt idx="139">
                  <c:v>9.0499339977439891E-2</c:v>
                </c:pt>
                <c:pt idx="141">
                  <c:v>7.3414742556240545E-2</c:v>
                </c:pt>
                <c:pt idx="143">
                  <c:v>5.2373702899171003E-2</c:v>
                </c:pt>
                <c:pt idx="145">
                  <c:v>2.2772290942335127E-2</c:v>
                </c:pt>
                <c:pt idx="147">
                  <c:v>5.1704846593251287E-3</c:v>
                </c:pt>
                <c:pt idx="149">
                  <c:v>4.0182205518125291E-3</c:v>
                </c:pt>
                <c:pt idx="151">
                  <c:v>3.5685963521015066E-3</c:v>
                </c:pt>
                <c:pt idx="153">
                  <c:v>7.1933474662483673E-3</c:v>
                </c:pt>
                <c:pt idx="155">
                  <c:v>5.2296986005713935E-3</c:v>
                </c:pt>
                <c:pt idx="157">
                  <c:v>1.6912440379818844E-2</c:v>
                </c:pt>
                <c:pt idx="159">
                  <c:v>7.7391807143174837E-3</c:v>
                </c:pt>
                <c:pt idx="161">
                  <c:v>2.4153346697652966E-2</c:v>
                </c:pt>
                <c:pt idx="163">
                  <c:v>0.13373477246326257</c:v>
                </c:pt>
                <c:pt idx="165">
                  <c:v>0.105899127081004</c:v>
                </c:pt>
                <c:pt idx="167">
                  <c:v>1.3814873901089576E-2</c:v>
                </c:pt>
                <c:pt idx="169">
                  <c:v>4.1486068111455103E-2</c:v>
                </c:pt>
                <c:pt idx="171">
                  <c:v>1.4279967819790827E-2</c:v>
                </c:pt>
                <c:pt idx="173">
                  <c:v>1.7797737857618092E-2</c:v>
                </c:pt>
                <c:pt idx="175">
                  <c:v>2.792078008600327E-2</c:v>
                </c:pt>
                <c:pt idx="177">
                  <c:v>7.6749897666803105E-3</c:v>
                </c:pt>
                <c:pt idx="179">
                  <c:v>8.2501918649270905E-3</c:v>
                </c:pt>
                <c:pt idx="181">
                  <c:v>2.4406001004952981E-3</c:v>
                </c:pt>
                <c:pt idx="183">
                  <c:v>8.0402898038522703E-3</c:v>
                </c:pt>
                <c:pt idx="185">
                  <c:v>1.8219601778465107E-2</c:v>
                </c:pt>
                <c:pt idx="187">
                  <c:v>0.12481010395877394</c:v>
                </c:pt>
                <c:pt idx="189">
                  <c:v>9.2673558615617227E-2</c:v>
                </c:pt>
                <c:pt idx="191">
                  <c:v>0.1408960099556662</c:v>
                </c:pt>
                <c:pt idx="193">
                  <c:v>6.4926547743966417E-2</c:v>
                </c:pt>
                <c:pt idx="195">
                  <c:v>9.4936708860759514E-3</c:v>
                </c:pt>
                <c:pt idx="197">
                  <c:v>2.5553662691652473E-3</c:v>
                </c:pt>
                <c:pt idx="199">
                  <c:v>3.1510950055144162E-3</c:v>
                </c:pt>
                <c:pt idx="201">
                  <c:v>1.3078040858193007E-2</c:v>
                </c:pt>
                <c:pt idx="203">
                  <c:v>1.9314962657738861E-2</c:v>
                </c:pt>
                <c:pt idx="205">
                  <c:v>1.062215477996965E-2</c:v>
                </c:pt>
                <c:pt idx="207">
                  <c:v>1.7110973341599507E-2</c:v>
                </c:pt>
                <c:pt idx="209">
                  <c:v>8.323009864647854E-2</c:v>
                </c:pt>
                <c:pt idx="211">
                  <c:v>8.3616066542628861E-2</c:v>
                </c:pt>
                <c:pt idx="213">
                  <c:v>9.4704890387858343E-2</c:v>
                </c:pt>
                <c:pt idx="215">
                  <c:v>4.4568316025249438E-2</c:v>
                </c:pt>
                <c:pt idx="217">
                  <c:v>5.3932909196067087E-2</c:v>
                </c:pt>
                <c:pt idx="219">
                  <c:v>1.3785972772703775E-2</c:v>
                </c:pt>
                <c:pt idx="221">
                  <c:v>8.7184775475766391E-3</c:v>
                </c:pt>
                <c:pt idx="223">
                  <c:v>2.9474261429844402E-3</c:v>
                </c:pt>
                <c:pt idx="225">
                  <c:v>6.4239828693790158E-3</c:v>
                </c:pt>
                <c:pt idx="227">
                  <c:v>6.4943333757799563E-3</c:v>
                </c:pt>
                <c:pt idx="229">
                  <c:v>5.7516858389527964E-3</c:v>
                </c:pt>
                <c:pt idx="231">
                  <c:v>6.6400000000000001E-3</c:v>
                </c:pt>
                <c:pt idx="233">
                  <c:v>6.1433296582138919E-2</c:v>
                </c:pt>
                <c:pt idx="235">
                  <c:v>0.21136629038536392</c:v>
                </c:pt>
                <c:pt idx="237">
                  <c:v>9.427251170426218E-2</c:v>
                </c:pt>
                <c:pt idx="239">
                  <c:v>5.2491742065201782E-2</c:v>
                </c:pt>
                <c:pt idx="241">
                  <c:v>7.4317968015051736E-2</c:v>
                </c:pt>
                <c:pt idx="243">
                  <c:v>1.1247991430101767E-2</c:v>
                </c:pt>
                <c:pt idx="245">
                  <c:v>3.8424591738712775E-3</c:v>
                </c:pt>
                <c:pt idx="247">
                  <c:v>2.0419205434335118E-3</c:v>
                </c:pt>
                <c:pt idx="249">
                  <c:v>6.7613971143677294E-3</c:v>
                </c:pt>
                <c:pt idx="251">
                  <c:v>1.0838904494382021E-2</c:v>
                </c:pt>
                <c:pt idx="253">
                  <c:v>1.0438635781929868E-2</c:v>
                </c:pt>
                <c:pt idx="255">
                  <c:v>1.8169652492985109E-2</c:v>
                </c:pt>
                <c:pt idx="257">
                  <c:v>0.21609583132031196</c:v>
                </c:pt>
                <c:pt idx="259">
                  <c:v>0.12189463498014995</c:v>
                </c:pt>
                <c:pt idx="261">
                  <c:v>8.8193055088208433E-2</c:v>
                </c:pt>
                <c:pt idx="263">
                  <c:v>3.6718417988647938E-2</c:v>
                </c:pt>
                <c:pt idx="265">
                  <c:v>2.1906077109266942E-2</c:v>
                </c:pt>
                <c:pt idx="267">
                  <c:v>5.6955087368037859E-2</c:v>
                </c:pt>
                <c:pt idx="269">
                  <c:v>3.3549292272379488E-2</c:v>
                </c:pt>
                <c:pt idx="272">
                  <c:v>4.3521009248090065E-3</c:v>
                </c:pt>
                <c:pt idx="274">
                  <c:v>6.560577221876941E-3</c:v>
                </c:pt>
                <c:pt idx="276">
                  <c:v>1.6387637867647058E-3</c:v>
                </c:pt>
                <c:pt idx="278">
                  <c:v>4.47682233924612E-3</c:v>
                </c:pt>
                <c:pt idx="280">
                  <c:v>7.0599047212741767E-2</c:v>
                </c:pt>
                <c:pt idx="282">
                  <c:v>0.11246904863695807</c:v>
                </c:pt>
                <c:pt idx="284">
                  <c:v>0.221444799658994</c:v>
                </c:pt>
                <c:pt idx="286">
                  <c:v>0.17160722080597848</c:v>
                </c:pt>
                <c:pt idx="288">
                  <c:v>0.13687373955632381</c:v>
                </c:pt>
                <c:pt idx="290">
                  <c:v>2.3046994884910483E-3</c:v>
                </c:pt>
                <c:pt idx="292">
                  <c:v>2.1305737988247492E-2</c:v>
                </c:pt>
                <c:pt idx="295">
                  <c:v>4.4530986864264053E-3</c:v>
                </c:pt>
                <c:pt idx="297">
                  <c:v>5.4896803423105959E-3</c:v>
                </c:pt>
                <c:pt idx="299">
                  <c:v>1.357337296620776E-2</c:v>
                </c:pt>
                <c:pt idx="302">
                  <c:v>3.1105819692615264E-2</c:v>
                </c:pt>
                <c:pt idx="304">
                  <c:v>1.4381437768240342E-2</c:v>
                </c:pt>
                <c:pt idx="306">
                  <c:v>1.4035265237696083E-2</c:v>
                </c:pt>
                <c:pt idx="308">
                  <c:v>4.5013067200502431E-2</c:v>
                </c:pt>
                <c:pt idx="311">
                  <c:v>8.5951302492056805E-2</c:v>
                </c:pt>
                <c:pt idx="314">
                  <c:v>0.1168629009549461</c:v>
                </c:pt>
                <c:pt idx="316">
                  <c:v>3.8655525300430038E-2</c:v>
                </c:pt>
                <c:pt idx="318">
                  <c:v>2.147785163385427E-2</c:v>
                </c:pt>
                <c:pt idx="320">
                  <c:v>4.9632839110398709E-3</c:v>
                </c:pt>
                <c:pt idx="322">
                  <c:v>0</c:v>
                </c:pt>
                <c:pt idx="324">
                  <c:v>1.5249720722398062E-3</c:v>
                </c:pt>
                <c:pt idx="326">
                  <c:v>2.9934999659238051E-3</c:v>
                </c:pt>
                <c:pt idx="328">
                  <c:v>6.7544497181845145E-3</c:v>
                </c:pt>
                <c:pt idx="330">
                  <c:v>1.6257626488095242E-2</c:v>
                </c:pt>
                <c:pt idx="332">
                  <c:v>1.9549973418394474E-2</c:v>
                </c:pt>
                <c:pt idx="334">
                  <c:v>1.883706059362604E-2</c:v>
                </c:pt>
                <c:pt idx="337">
                  <c:v>4.9965155209784791E-2</c:v>
                </c:pt>
                <c:pt idx="339">
                  <c:v>8.0874794568790112E-2</c:v>
                </c:pt>
                <c:pt idx="341">
                  <c:v>1.6316605492975575E-2</c:v>
                </c:pt>
                <c:pt idx="343">
                  <c:v>0</c:v>
                </c:pt>
                <c:pt idx="345">
                  <c:v>2.6855754276827373E-3</c:v>
                </c:pt>
                <c:pt idx="347">
                  <c:v>2.3341877420824781E-3</c:v>
                </c:pt>
                <c:pt idx="349">
                  <c:v>4.9147133526850507E-3</c:v>
                </c:pt>
                <c:pt idx="351">
                  <c:v>1.3128058440415421E-2</c:v>
                </c:pt>
                <c:pt idx="353">
                  <c:v>1.0072614626481929E-2</c:v>
                </c:pt>
                <c:pt idx="355">
                  <c:v>1.1298460537727668E-2</c:v>
                </c:pt>
                <c:pt idx="357">
                  <c:v>8.2457434333958704E-2</c:v>
                </c:pt>
                <c:pt idx="360">
                  <c:v>0.1093729899843793</c:v>
                </c:pt>
                <c:pt idx="362">
                  <c:v>8.2698734227442283E-2</c:v>
                </c:pt>
                <c:pt idx="364">
                  <c:v>4.0896809073279666E-2</c:v>
                </c:pt>
                <c:pt idx="367">
                  <c:v>1.4228162934479375E-2</c:v>
                </c:pt>
                <c:pt idx="369">
                  <c:v>0</c:v>
                </c:pt>
                <c:pt idx="371">
                  <c:v>3.5004757785467126E-3</c:v>
                </c:pt>
                <c:pt idx="373">
                  <c:v>9.6123037487984622E-4</c:v>
                </c:pt>
                <c:pt idx="375">
                  <c:v>1.286514303011957E-3</c:v>
                </c:pt>
                <c:pt idx="379">
                  <c:v>4.384696925893803E-3</c:v>
                </c:pt>
                <c:pt idx="381">
                  <c:v>1.6208914903196758E-2</c:v>
                </c:pt>
                <c:pt idx="383">
                  <c:v>2.2274633123689725E-3</c:v>
                </c:pt>
                <c:pt idx="385">
                  <c:v>7.1647007426823926E-3</c:v>
                </c:pt>
                <c:pt idx="387">
                  <c:v>1.9625713938510151E-2</c:v>
                </c:pt>
                <c:pt idx="389">
                  <c:v>1.1742189116490791E-2</c:v>
                </c:pt>
                <c:pt idx="391">
                  <c:v>6.0483482615814314E-2</c:v>
                </c:pt>
                <c:pt idx="393">
                  <c:v>1.9098548510313217E-3</c:v>
                </c:pt>
                <c:pt idx="395">
                  <c:v>4.3066322136089581E-3</c:v>
                </c:pt>
                <c:pt idx="397">
                  <c:v>4.6403712296983757E-3</c:v>
                </c:pt>
                <c:pt idx="399">
                  <c:v>5.0077500894241079E-3</c:v>
                </c:pt>
                <c:pt idx="401">
                  <c:v>4.0096230954290296E-3</c:v>
                </c:pt>
                <c:pt idx="403">
                  <c:v>2.5430067314884067E-3</c:v>
                </c:pt>
                <c:pt idx="405">
                  <c:v>3.3606385213190504E-3</c:v>
                </c:pt>
                <c:pt idx="407">
                  <c:v>7.5971620518616185E-3</c:v>
                </c:pt>
                <c:pt idx="409">
                  <c:v>7.646901887547522E-2</c:v>
                </c:pt>
                <c:pt idx="411">
                  <c:v>0.11654586870987782</c:v>
                </c:pt>
                <c:pt idx="413">
                  <c:v>0.14226184707820527</c:v>
                </c:pt>
                <c:pt idx="415">
                  <c:v>2.6571385436062606E-2</c:v>
                </c:pt>
                <c:pt idx="417">
                  <c:v>1.0869565217391304E-2</c:v>
                </c:pt>
                <c:pt idx="419">
                  <c:v>4.2143287176399759E-3</c:v>
                </c:pt>
                <c:pt idx="421">
                  <c:v>4.3725404459991259E-3</c:v>
                </c:pt>
                <c:pt idx="427">
                  <c:v>9.2546686498099495E-3</c:v>
                </c:pt>
                <c:pt idx="431">
                  <c:v>1.3601099872336245E-2</c:v>
                </c:pt>
                <c:pt idx="433">
                  <c:v>0.20937805275154672</c:v>
                </c:pt>
                <c:pt idx="435">
                  <c:v>0.11551494874104577</c:v>
                </c:pt>
                <c:pt idx="439">
                  <c:v>1.5411824153612934E-2</c:v>
                </c:pt>
                <c:pt idx="441">
                  <c:v>1.206636500754148E-2</c:v>
                </c:pt>
                <c:pt idx="445">
                  <c:v>2.7316663164530363E-3</c:v>
                </c:pt>
                <c:pt idx="447">
                  <c:v>4.436728395061729E-3</c:v>
                </c:pt>
                <c:pt idx="449">
                  <c:v>1.1681728014106238E-2</c:v>
                </c:pt>
                <c:pt idx="451">
                  <c:v>1.4901823281907433E-3</c:v>
                </c:pt>
                <c:pt idx="453">
                  <c:v>9.2399076009239897E-3</c:v>
                </c:pt>
                <c:pt idx="455">
                  <c:v>1.4344262295081968E-2</c:v>
                </c:pt>
                <c:pt idx="457">
                  <c:v>0.16031496062992126</c:v>
                </c:pt>
                <c:pt idx="459">
                  <c:v>5.6463435667471536E-2</c:v>
                </c:pt>
                <c:pt idx="461">
                  <c:v>0.19013888888888889</c:v>
                </c:pt>
                <c:pt idx="463">
                  <c:v>2.6287203997393004E-2</c:v>
                </c:pt>
                <c:pt idx="465">
                  <c:v>2.6491591799124626E-2</c:v>
                </c:pt>
                <c:pt idx="467">
                  <c:v>3.3457249070631967E-3</c:v>
                </c:pt>
                <c:pt idx="475">
                  <c:v>4.7524752475247524E-3</c:v>
                </c:pt>
                <c:pt idx="477">
                  <c:v>1.3692643845593591E-2</c:v>
                </c:pt>
                <c:pt idx="479">
                  <c:v>5.5107654367826997E-2</c:v>
                </c:pt>
                <c:pt idx="481">
                  <c:v>0.17859254878769956</c:v>
                </c:pt>
                <c:pt idx="483">
                  <c:v>0.10653050932929903</c:v>
                </c:pt>
                <c:pt idx="487">
                  <c:v>9.1391585760517799E-2</c:v>
                </c:pt>
                <c:pt idx="489">
                  <c:v>1.3078149920255182E-2</c:v>
                </c:pt>
                <c:pt idx="493">
                  <c:v>1.2950971322849215E-2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76-5F4B-A789-0483A46D5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chl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update'!$B$3:$B$496</c:f>
              <c:numCache>
                <c:formatCode>[$-409]mmm\-yy;@</c:formatCode>
                <c:ptCount val="494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36600</c:v>
                </c:pt>
                <c:pt idx="11">
                  <c:v>36600</c:v>
                </c:pt>
                <c:pt idx="12">
                  <c:v>36628</c:v>
                </c:pt>
                <c:pt idx="13">
                  <c:v>36628</c:v>
                </c:pt>
                <c:pt idx="14">
                  <c:v>36661</c:v>
                </c:pt>
                <c:pt idx="15">
                  <c:v>36661</c:v>
                </c:pt>
                <c:pt idx="16">
                  <c:v>36691</c:v>
                </c:pt>
                <c:pt idx="17">
                  <c:v>36691</c:v>
                </c:pt>
                <c:pt idx="18">
                  <c:v>36720</c:v>
                </c:pt>
                <c:pt idx="19">
                  <c:v>36720</c:v>
                </c:pt>
                <c:pt idx="20">
                  <c:v>36754</c:v>
                </c:pt>
                <c:pt idx="21">
                  <c:v>36754</c:v>
                </c:pt>
                <c:pt idx="22">
                  <c:v>36782</c:v>
                </c:pt>
                <c:pt idx="23">
                  <c:v>36782</c:v>
                </c:pt>
                <c:pt idx="24">
                  <c:v>36818</c:v>
                </c:pt>
                <c:pt idx="25">
                  <c:v>36818</c:v>
                </c:pt>
                <c:pt idx="26">
                  <c:v>36845</c:v>
                </c:pt>
                <c:pt idx="27">
                  <c:v>36848</c:v>
                </c:pt>
                <c:pt idx="28">
                  <c:v>36875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36963</c:v>
                </c:pt>
                <c:pt idx="35">
                  <c:v>36963</c:v>
                </c:pt>
                <c:pt idx="36">
                  <c:v>37000</c:v>
                </c:pt>
                <c:pt idx="37">
                  <c:v>37000</c:v>
                </c:pt>
                <c:pt idx="38">
                  <c:v>37028</c:v>
                </c:pt>
                <c:pt idx="39">
                  <c:v>37027</c:v>
                </c:pt>
                <c:pt idx="40">
                  <c:v>37058</c:v>
                </c:pt>
                <c:pt idx="41">
                  <c:v>37056</c:v>
                </c:pt>
                <c:pt idx="42">
                  <c:v>37089</c:v>
                </c:pt>
                <c:pt idx="43">
                  <c:v>37089</c:v>
                </c:pt>
                <c:pt idx="44">
                  <c:v>37119</c:v>
                </c:pt>
                <c:pt idx="45">
                  <c:v>37119</c:v>
                </c:pt>
                <c:pt idx="46">
                  <c:v>37152</c:v>
                </c:pt>
                <c:pt idx="47">
                  <c:v>37152</c:v>
                </c:pt>
                <c:pt idx="48">
                  <c:v>37181</c:v>
                </c:pt>
                <c:pt idx="49">
                  <c:v>37181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37690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37817</c:v>
                </c:pt>
                <c:pt idx="91">
                  <c:v>37817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37908</c:v>
                </c:pt>
                <c:pt idx="97">
                  <c:v>37908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38000</c:v>
                </c:pt>
                <c:pt idx="103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38335</c:v>
                </c:pt>
                <c:pt idx="125">
                  <c:v>38335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38468</c:v>
                </c:pt>
                <c:pt idx="133">
                  <c:v>38468</c:v>
                </c:pt>
                <c:pt idx="134">
                  <c:v>38489</c:v>
                </c:pt>
                <c:pt idx="135">
                  <c:v>38489</c:v>
                </c:pt>
                <c:pt idx="136">
                  <c:v>38517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38587</c:v>
                </c:pt>
                <c:pt idx="141">
                  <c:v>38588</c:v>
                </c:pt>
                <c:pt idx="142">
                  <c:v>38608</c:v>
                </c:pt>
                <c:pt idx="143">
                  <c:v>38608</c:v>
                </c:pt>
                <c:pt idx="144">
                  <c:v>38637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39009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39098</c:v>
                </c:pt>
                <c:pt idx="175">
                  <c:v>39098</c:v>
                </c:pt>
                <c:pt idx="176">
                  <c:v>39133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39245</c:v>
                </c:pt>
                <c:pt idx="185">
                  <c:v>39245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39337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39426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39583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39799</c:v>
                </c:pt>
                <c:pt idx="221">
                  <c:v>39800</c:v>
                </c:pt>
                <c:pt idx="222">
                  <c:v>39825</c:v>
                </c:pt>
                <c:pt idx="223">
                  <c:v>39825</c:v>
                </c:pt>
                <c:pt idx="224">
                  <c:v>39855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40042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40133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40282</c:v>
                </c:pt>
                <c:pt idx="253">
                  <c:v>40282</c:v>
                </c:pt>
                <c:pt idx="254">
                  <c:v>40315</c:v>
                </c:pt>
                <c:pt idx="255">
                  <c:v>40315</c:v>
                </c:pt>
                <c:pt idx="256">
                  <c:v>40344</c:v>
                </c:pt>
                <c:pt idx="257">
                  <c:v>40344</c:v>
                </c:pt>
                <c:pt idx="258">
                  <c:v>40371</c:v>
                </c:pt>
                <c:pt idx="259">
                  <c:v>40371</c:v>
                </c:pt>
                <c:pt idx="260">
                  <c:v>40407</c:v>
                </c:pt>
                <c:pt idx="261">
                  <c:v>40407</c:v>
                </c:pt>
                <c:pt idx="262">
                  <c:v>40436</c:v>
                </c:pt>
                <c:pt idx="263">
                  <c:v>40436</c:v>
                </c:pt>
                <c:pt idx="264">
                  <c:v>40464</c:v>
                </c:pt>
                <c:pt idx="265">
                  <c:v>40464</c:v>
                </c:pt>
                <c:pt idx="266">
                  <c:v>40498</c:v>
                </c:pt>
                <c:pt idx="267">
                  <c:v>40498</c:v>
                </c:pt>
                <c:pt idx="268">
                  <c:v>40520</c:v>
                </c:pt>
                <c:pt idx="269">
                  <c:v>40520</c:v>
                </c:pt>
                <c:pt idx="270">
                  <c:v>40562</c:v>
                </c:pt>
                <c:pt idx="271">
                  <c:v>40562</c:v>
                </c:pt>
                <c:pt idx="272">
                  <c:v>40562</c:v>
                </c:pt>
                <c:pt idx="273">
                  <c:v>40591</c:v>
                </c:pt>
                <c:pt idx="274">
                  <c:v>40591</c:v>
                </c:pt>
                <c:pt idx="275">
                  <c:v>40619</c:v>
                </c:pt>
                <c:pt idx="276">
                  <c:v>40619</c:v>
                </c:pt>
                <c:pt idx="277">
                  <c:v>40646</c:v>
                </c:pt>
                <c:pt idx="278">
                  <c:v>40646</c:v>
                </c:pt>
                <c:pt idx="279">
                  <c:v>40681</c:v>
                </c:pt>
                <c:pt idx="280">
                  <c:v>40681</c:v>
                </c:pt>
                <c:pt idx="281">
                  <c:v>40708</c:v>
                </c:pt>
                <c:pt idx="282">
                  <c:v>40708</c:v>
                </c:pt>
                <c:pt idx="283">
                  <c:v>40735</c:v>
                </c:pt>
                <c:pt idx="284">
                  <c:v>40735</c:v>
                </c:pt>
                <c:pt idx="285">
                  <c:v>40771</c:v>
                </c:pt>
                <c:pt idx="286">
                  <c:v>40771</c:v>
                </c:pt>
                <c:pt idx="287">
                  <c:v>40799</c:v>
                </c:pt>
                <c:pt idx="288">
                  <c:v>40799</c:v>
                </c:pt>
                <c:pt idx="289">
                  <c:v>40827</c:v>
                </c:pt>
                <c:pt idx="290">
                  <c:v>40827</c:v>
                </c:pt>
                <c:pt idx="291">
                  <c:v>40862</c:v>
                </c:pt>
                <c:pt idx="292">
                  <c:v>40862</c:v>
                </c:pt>
                <c:pt idx="293">
                  <c:v>40891</c:v>
                </c:pt>
                <c:pt idx="294">
                  <c:v>40890</c:v>
                </c:pt>
                <c:pt idx="295">
                  <c:v>40890</c:v>
                </c:pt>
                <c:pt idx="296">
                  <c:v>40917</c:v>
                </c:pt>
                <c:pt idx="297">
                  <c:v>40917</c:v>
                </c:pt>
                <c:pt idx="298">
                  <c:v>40962</c:v>
                </c:pt>
                <c:pt idx="299">
                  <c:v>40962</c:v>
                </c:pt>
                <c:pt idx="300">
                  <c:v>40980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41107</c:v>
                </c:pt>
                <c:pt idx="312">
                  <c:v>41135</c:v>
                </c:pt>
                <c:pt idx="313">
                  <c:v>41135</c:v>
                </c:pt>
                <c:pt idx="314">
                  <c:v>41135</c:v>
                </c:pt>
                <c:pt idx="315">
                  <c:v>41164</c:v>
                </c:pt>
                <c:pt idx="316">
                  <c:v>41164</c:v>
                </c:pt>
                <c:pt idx="317">
                  <c:v>41200</c:v>
                </c:pt>
                <c:pt idx="318">
                  <c:v>41200</c:v>
                </c:pt>
                <c:pt idx="319">
                  <c:v>41226</c:v>
                </c:pt>
                <c:pt idx="320">
                  <c:v>41226</c:v>
                </c:pt>
                <c:pt idx="321">
                  <c:v>41254</c:v>
                </c:pt>
                <c:pt idx="322">
                  <c:v>41254</c:v>
                </c:pt>
                <c:pt idx="323">
                  <c:v>41288</c:v>
                </c:pt>
                <c:pt idx="324">
                  <c:v>41288</c:v>
                </c:pt>
                <c:pt idx="325">
                  <c:v>41318</c:v>
                </c:pt>
                <c:pt idx="326">
                  <c:v>41318</c:v>
                </c:pt>
                <c:pt idx="327">
                  <c:v>41344</c:v>
                </c:pt>
                <c:pt idx="328">
                  <c:v>41344</c:v>
                </c:pt>
                <c:pt idx="329">
                  <c:v>41381</c:v>
                </c:pt>
                <c:pt idx="330">
                  <c:v>41379</c:v>
                </c:pt>
                <c:pt idx="331">
                  <c:v>41408</c:v>
                </c:pt>
                <c:pt idx="332">
                  <c:v>41408</c:v>
                </c:pt>
                <c:pt idx="333">
                  <c:v>41436</c:v>
                </c:pt>
                <c:pt idx="334">
                  <c:v>41437</c:v>
                </c:pt>
                <c:pt idx="335">
                  <c:v>41471</c:v>
                </c:pt>
                <c:pt idx="336">
                  <c:v>41471</c:v>
                </c:pt>
                <c:pt idx="337">
                  <c:v>41471</c:v>
                </c:pt>
                <c:pt idx="338">
                  <c:v>41499</c:v>
                </c:pt>
                <c:pt idx="339">
                  <c:v>41499</c:v>
                </c:pt>
                <c:pt idx="340">
                  <c:v>41533</c:v>
                </c:pt>
                <c:pt idx="341">
                  <c:v>41533</c:v>
                </c:pt>
                <c:pt idx="342">
                  <c:v>41569</c:v>
                </c:pt>
                <c:pt idx="343">
                  <c:v>41569</c:v>
                </c:pt>
                <c:pt idx="344">
                  <c:v>41597</c:v>
                </c:pt>
                <c:pt idx="345">
                  <c:v>41597</c:v>
                </c:pt>
                <c:pt idx="346">
                  <c:v>41624</c:v>
                </c:pt>
                <c:pt idx="347">
                  <c:v>41624</c:v>
                </c:pt>
                <c:pt idx="348">
                  <c:v>41654</c:v>
                </c:pt>
                <c:pt idx="349">
                  <c:v>41654</c:v>
                </c:pt>
                <c:pt idx="350">
                  <c:v>41688</c:v>
                </c:pt>
                <c:pt idx="351">
                  <c:v>41690</c:v>
                </c:pt>
                <c:pt idx="352">
                  <c:v>41719</c:v>
                </c:pt>
                <c:pt idx="353">
                  <c:v>41719</c:v>
                </c:pt>
                <c:pt idx="354">
                  <c:v>41747</c:v>
                </c:pt>
                <c:pt idx="355">
                  <c:v>41747</c:v>
                </c:pt>
                <c:pt idx="356">
                  <c:v>41772</c:v>
                </c:pt>
                <c:pt idx="357">
                  <c:v>41772</c:v>
                </c:pt>
                <c:pt idx="358">
                  <c:v>41808</c:v>
                </c:pt>
                <c:pt idx="359">
                  <c:v>41808</c:v>
                </c:pt>
                <c:pt idx="360">
                  <c:v>41808</c:v>
                </c:pt>
                <c:pt idx="361">
                  <c:v>41834</c:v>
                </c:pt>
                <c:pt idx="362">
                  <c:v>41834</c:v>
                </c:pt>
                <c:pt idx="363">
                  <c:v>41864</c:v>
                </c:pt>
                <c:pt idx="364">
                  <c:v>41862</c:v>
                </c:pt>
                <c:pt idx="365">
                  <c:v>41898</c:v>
                </c:pt>
                <c:pt idx="366">
                  <c:v>41898</c:v>
                </c:pt>
                <c:pt idx="367">
                  <c:v>41898</c:v>
                </c:pt>
                <c:pt idx="368">
                  <c:v>41929</c:v>
                </c:pt>
                <c:pt idx="369">
                  <c:v>41929</c:v>
                </c:pt>
                <c:pt idx="370">
                  <c:v>41953</c:v>
                </c:pt>
                <c:pt idx="371">
                  <c:v>41953</c:v>
                </c:pt>
                <c:pt idx="372">
                  <c:v>41988</c:v>
                </c:pt>
                <c:pt idx="373">
                  <c:v>41988</c:v>
                </c:pt>
                <c:pt idx="374">
                  <c:v>42014</c:v>
                </c:pt>
                <c:pt idx="375">
                  <c:v>42009</c:v>
                </c:pt>
                <c:pt idx="376">
                  <c:v>42036</c:v>
                </c:pt>
                <c:pt idx="377">
                  <c:v>42036</c:v>
                </c:pt>
                <c:pt idx="378">
                  <c:v>42064</c:v>
                </c:pt>
                <c:pt idx="379">
                  <c:v>42064</c:v>
                </c:pt>
                <c:pt idx="380">
                  <c:v>42095</c:v>
                </c:pt>
                <c:pt idx="381">
                  <c:v>42095</c:v>
                </c:pt>
                <c:pt idx="382">
                  <c:v>42125</c:v>
                </c:pt>
                <c:pt idx="383">
                  <c:v>42125</c:v>
                </c:pt>
                <c:pt idx="384">
                  <c:v>42156</c:v>
                </c:pt>
                <c:pt idx="385">
                  <c:v>42156</c:v>
                </c:pt>
                <c:pt idx="386">
                  <c:v>42186</c:v>
                </c:pt>
                <c:pt idx="387">
                  <c:v>42186</c:v>
                </c:pt>
                <c:pt idx="388">
                  <c:v>42217</c:v>
                </c:pt>
                <c:pt idx="389">
                  <c:v>42217</c:v>
                </c:pt>
                <c:pt idx="390">
                  <c:v>42248</c:v>
                </c:pt>
                <c:pt idx="391">
                  <c:v>42248</c:v>
                </c:pt>
                <c:pt idx="392">
                  <c:v>42278</c:v>
                </c:pt>
                <c:pt idx="393">
                  <c:v>42278</c:v>
                </c:pt>
                <c:pt idx="394">
                  <c:v>42309</c:v>
                </c:pt>
                <c:pt idx="395">
                  <c:v>42309</c:v>
                </c:pt>
                <c:pt idx="396">
                  <c:v>42339</c:v>
                </c:pt>
                <c:pt idx="397">
                  <c:v>42339</c:v>
                </c:pt>
                <c:pt idx="398">
                  <c:v>42379</c:v>
                </c:pt>
                <c:pt idx="399">
                  <c:v>42374</c:v>
                </c:pt>
                <c:pt idx="400">
                  <c:v>42401</c:v>
                </c:pt>
                <c:pt idx="401">
                  <c:v>42401</c:v>
                </c:pt>
                <c:pt idx="402">
                  <c:v>42430</c:v>
                </c:pt>
                <c:pt idx="403">
                  <c:v>42430</c:v>
                </c:pt>
                <c:pt idx="404">
                  <c:v>42461</c:v>
                </c:pt>
                <c:pt idx="405">
                  <c:v>42461</c:v>
                </c:pt>
                <c:pt idx="406">
                  <c:v>42491</c:v>
                </c:pt>
                <c:pt idx="407">
                  <c:v>42491</c:v>
                </c:pt>
                <c:pt idx="408">
                  <c:v>42522</c:v>
                </c:pt>
                <c:pt idx="409">
                  <c:v>42522</c:v>
                </c:pt>
                <c:pt idx="410">
                  <c:v>42552</c:v>
                </c:pt>
                <c:pt idx="411">
                  <c:v>42552</c:v>
                </c:pt>
                <c:pt idx="412">
                  <c:v>42583</c:v>
                </c:pt>
                <c:pt idx="413">
                  <c:v>42583</c:v>
                </c:pt>
                <c:pt idx="414">
                  <c:v>42614</c:v>
                </c:pt>
                <c:pt idx="415">
                  <c:v>42614</c:v>
                </c:pt>
                <c:pt idx="416">
                  <c:v>42644</c:v>
                </c:pt>
                <c:pt idx="417">
                  <c:v>42644</c:v>
                </c:pt>
                <c:pt idx="418">
                  <c:v>42675</c:v>
                </c:pt>
                <c:pt idx="419">
                  <c:v>42675</c:v>
                </c:pt>
                <c:pt idx="420">
                  <c:v>42705</c:v>
                </c:pt>
                <c:pt idx="421">
                  <c:v>42705</c:v>
                </c:pt>
                <c:pt idx="422">
                  <c:v>42745</c:v>
                </c:pt>
                <c:pt idx="423">
                  <c:v>42740</c:v>
                </c:pt>
                <c:pt idx="424">
                  <c:v>42767</c:v>
                </c:pt>
                <c:pt idx="425">
                  <c:v>42767</c:v>
                </c:pt>
                <c:pt idx="426">
                  <c:v>42795</c:v>
                </c:pt>
                <c:pt idx="427">
                  <c:v>42795</c:v>
                </c:pt>
                <c:pt idx="428">
                  <c:v>42826</c:v>
                </c:pt>
                <c:pt idx="429">
                  <c:v>42826</c:v>
                </c:pt>
                <c:pt idx="430">
                  <c:v>42856</c:v>
                </c:pt>
                <c:pt idx="431">
                  <c:v>42856</c:v>
                </c:pt>
                <c:pt idx="432">
                  <c:v>42887</c:v>
                </c:pt>
                <c:pt idx="433">
                  <c:v>42887</c:v>
                </c:pt>
                <c:pt idx="434">
                  <c:v>42917</c:v>
                </c:pt>
                <c:pt idx="435">
                  <c:v>42917</c:v>
                </c:pt>
                <c:pt idx="436">
                  <c:v>42948</c:v>
                </c:pt>
                <c:pt idx="437">
                  <c:v>42948</c:v>
                </c:pt>
                <c:pt idx="438">
                  <c:v>42979</c:v>
                </c:pt>
                <c:pt idx="439">
                  <c:v>42979</c:v>
                </c:pt>
                <c:pt idx="440">
                  <c:v>43009</c:v>
                </c:pt>
                <c:pt idx="441">
                  <c:v>43009</c:v>
                </c:pt>
                <c:pt idx="442">
                  <c:v>43040</c:v>
                </c:pt>
                <c:pt idx="443">
                  <c:v>43040</c:v>
                </c:pt>
                <c:pt idx="444">
                  <c:v>43070</c:v>
                </c:pt>
                <c:pt idx="445">
                  <c:v>43070</c:v>
                </c:pt>
                <c:pt idx="446">
                  <c:v>43110</c:v>
                </c:pt>
                <c:pt idx="447">
                  <c:v>43105</c:v>
                </c:pt>
                <c:pt idx="448">
                  <c:v>43132</c:v>
                </c:pt>
                <c:pt idx="449">
                  <c:v>43132</c:v>
                </c:pt>
                <c:pt idx="450">
                  <c:v>43160</c:v>
                </c:pt>
                <c:pt idx="451">
                  <c:v>43160</c:v>
                </c:pt>
                <c:pt idx="452">
                  <c:v>43191</c:v>
                </c:pt>
                <c:pt idx="453">
                  <c:v>43191</c:v>
                </c:pt>
                <c:pt idx="454">
                  <c:v>43221</c:v>
                </c:pt>
                <c:pt idx="455">
                  <c:v>43221</c:v>
                </c:pt>
                <c:pt idx="456">
                  <c:v>43252</c:v>
                </c:pt>
                <c:pt idx="457">
                  <c:v>43252</c:v>
                </c:pt>
                <c:pt idx="458">
                  <c:v>43282</c:v>
                </c:pt>
                <c:pt idx="459">
                  <c:v>43282</c:v>
                </c:pt>
                <c:pt idx="460">
                  <c:v>43313</c:v>
                </c:pt>
                <c:pt idx="461">
                  <c:v>43313</c:v>
                </c:pt>
                <c:pt idx="462">
                  <c:v>43344</c:v>
                </c:pt>
                <c:pt idx="463">
                  <c:v>43344</c:v>
                </c:pt>
                <c:pt idx="464">
                  <c:v>43374</c:v>
                </c:pt>
                <c:pt idx="465">
                  <c:v>43374</c:v>
                </c:pt>
                <c:pt idx="466">
                  <c:v>43405</c:v>
                </c:pt>
                <c:pt idx="467">
                  <c:v>43405</c:v>
                </c:pt>
                <c:pt idx="468">
                  <c:v>43435</c:v>
                </c:pt>
                <c:pt idx="469">
                  <c:v>43435</c:v>
                </c:pt>
                <c:pt idx="470">
                  <c:v>43475</c:v>
                </c:pt>
                <c:pt idx="471">
                  <c:v>43470</c:v>
                </c:pt>
                <c:pt idx="472">
                  <c:v>43497</c:v>
                </c:pt>
                <c:pt idx="473">
                  <c:v>43497</c:v>
                </c:pt>
                <c:pt idx="474">
                  <c:v>43525</c:v>
                </c:pt>
                <c:pt idx="475">
                  <c:v>43525</c:v>
                </c:pt>
                <c:pt idx="476">
                  <c:v>43556</c:v>
                </c:pt>
                <c:pt idx="477">
                  <c:v>43556</c:v>
                </c:pt>
                <c:pt idx="478">
                  <c:v>43586</c:v>
                </c:pt>
                <c:pt idx="479">
                  <c:v>43586</c:v>
                </c:pt>
                <c:pt idx="480">
                  <c:v>43617</c:v>
                </c:pt>
                <c:pt idx="481">
                  <c:v>43617</c:v>
                </c:pt>
                <c:pt idx="482">
                  <c:v>43647</c:v>
                </c:pt>
                <c:pt idx="483">
                  <c:v>43647</c:v>
                </c:pt>
                <c:pt idx="484">
                  <c:v>43678</c:v>
                </c:pt>
                <c:pt idx="485">
                  <c:v>43678</c:v>
                </c:pt>
                <c:pt idx="486">
                  <c:v>43709</c:v>
                </c:pt>
                <c:pt idx="487">
                  <c:v>43709</c:v>
                </c:pt>
                <c:pt idx="488">
                  <c:v>43739</c:v>
                </c:pt>
                <c:pt idx="489">
                  <c:v>43739</c:v>
                </c:pt>
                <c:pt idx="490">
                  <c:v>43770</c:v>
                </c:pt>
                <c:pt idx="491">
                  <c:v>43770</c:v>
                </c:pt>
                <c:pt idx="492">
                  <c:v>43800</c:v>
                </c:pt>
                <c:pt idx="493">
                  <c:v>43800</c:v>
                </c:pt>
              </c:numCache>
            </c:numRef>
          </c:xVal>
          <c:yVal>
            <c:numRef>
              <c:f>'zea update'!$AA$3:$AA$496</c:f>
              <c:numCache>
                <c:formatCode>General</c:formatCode>
                <c:ptCount val="494"/>
                <c:pt idx="1">
                  <c:v>-0.8542670323736351</c:v>
                </c:pt>
                <c:pt idx="3">
                  <c:v>-1.5360471236671049</c:v>
                </c:pt>
                <c:pt idx="5">
                  <c:v>-2.421972510544288</c:v>
                </c:pt>
                <c:pt idx="7">
                  <c:v>-2.8982846241432587</c:v>
                </c:pt>
                <c:pt idx="9">
                  <c:v>-3.5567040172517927</c:v>
                </c:pt>
                <c:pt idx="11">
                  <c:v>-4.3625697645685895</c:v>
                </c:pt>
                <c:pt idx="13">
                  <c:v>-4.7553895439848333</c:v>
                </c:pt>
                <c:pt idx="15">
                  <c:v>-4.8233173446599684</c:v>
                </c:pt>
                <c:pt idx="17">
                  <c:v>-5.3576548484496245</c:v>
                </c:pt>
                <c:pt idx="19">
                  <c:v>-4.4756757003959811</c:v>
                </c:pt>
                <c:pt idx="21">
                  <c:v>-2.8565810294874656</c:v>
                </c:pt>
                <c:pt idx="23">
                  <c:v>-3.5095071315496114</c:v>
                </c:pt>
                <c:pt idx="25">
                  <c:v>-4.4512568978924012</c:v>
                </c:pt>
                <c:pt idx="27">
                  <c:v>-5.5031076531579961</c:v>
                </c:pt>
                <c:pt idx="29">
                  <c:v>-6.1867532671237182</c:v>
                </c:pt>
                <c:pt idx="31">
                  <c:v>-6.4114523425324572</c:v>
                </c:pt>
                <c:pt idx="33">
                  <c:v>-6.8711377345416569</c:v>
                </c:pt>
                <c:pt idx="35">
                  <c:v>-7.6319361275825823</c:v>
                </c:pt>
                <c:pt idx="37">
                  <c:v>-8.6442260774243511</c:v>
                </c:pt>
                <c:pt idx="39">
                  <c:v>-9.5302565612419698</c:v>
                </c:pt>
                <c:pt idx="41">
                  <c:v>-7.6438226345862876</c:v>
                </c:pt>
                <c:pt idx="43">
                  <c:v>-7.3474072240337662</c:v>
                </c:pt>
                <c:pt idx="45">
                  <c:v>-7.9791444959822</c:v>
                </c:pt>
                <c:pt idx="47">
                  <c:v>-8.6609009047908359</c:v>
                </c:pt>
                <c:pt idx="49">
                  <c:v>-9.5908401785940356</c:v>
                </c:pt>
                <c:pt idx="51">
                  <c:v>-10.531079750688164</c:v>
                </c:pt>
                <c:pt idx="53">
                  <c:v>-11.354214581952142</c:v>
                </c:pt>
                <c:pt idx="55">
                  <c:v>-12.003960976551427</c:v>
                </c:pt>
                <c:pt idx="57">
                  <c:v>-12.589972832298384</c:v>
                </c:pt>
                <c:pt idx="59">
                  <c:v>-13.262240303655732</c:v>
                </c:pt>
                <c:pt idx="61">
                  <c:v>-14.021700370543353</c:v>
                </c:pt>
                <c:pt idx="63">
                  <c:v>-13.933633541474434</c:v>
                </c:pt>
                <c:pt idx="65">
                  <c:v>-12.724506771861311</c:v>
                </c:pt>
                <c:pt idx="67">
                  <c:v>-12.864255610633638</c:v>
                </c:pt>
                <c:pt idx="69">
                  <c:v>-12.421408554008446</c:v>
                </c:pt>
                <c:pt idx="71">
                  <c:v>-12.87199426732847</c:v>
                </c:pt>
                <c:pt idx="73">
                  <c:v>-13.88236762216113</c:v>
                </c:pt>
                <c:pt idx="75">
                  <c:v>-14.718462791911394</c:v>
                </c:pt>
                <c:pt idx="77">
                  <c:v>-15.357126776418035</c:v>
                </c:pt>
                <c:pt idx="79">
                  <c:v>-14.927665360605337</c:v>
                </c:pt>
                <c:pt idx="81">
                  <c:v>-14.793715040585774</c:v>
                </c:pt>
                <c:pt idx="83">
                  <c:v>-14.72259133687025</c:v>
                </c:pt>
                <c:pt idx="85">
                  <c:v>-14.073215392425066</c:v>
                </c:pt>
                <c:pt idx="87">
                  <c:v>-14.165576394015289</c:v>
                </c:pt>
                <c:pt idx="89">
                  <c:v>-12.343459875631012</c:v>
                </c:pt>
                <c:pt idx="91">
                  <c:v>-10.76020971175422</c:v>
                </c:pt>
                <c:pt idx="93">
                  <c:v>-7.8738606195572665</c:v>
                </c:pt>
                <c:pt idx="95">
                  <c:v>-8.2229206512553414</c:v>
                </c:pt>
                <c:pt idx="97">
                  <c:v>-8.6916648101646992</c:v>
                </c:pt>
                <c:pt idx="99">
                  <c:v>-9.4538085044201399</c:v>
                </c:pt>
                <c:pt idx="101">
                  <c:v>-9.071645545075647</c:v>
                </c:pt>
                <c:pt idx="103">
                  <c:v>-8.947582899672808</c:v>
                </c:pt>
                <c:pt idx="105">
                  <c:v>-8.5614417099984124</c:v>
                </c:pt>
                <c:pt idx="107">
                  <c:v>-8.554858023703277</c:v>
                </c:pt>
                <c:pt idx="109">
                  <c:v>-8.5235467077687126</c:v>
                </c:pt>
                <c:pt idx="111">
                  <c:v>-8.9504386719637239</c:v>
                </c:pt>
                <c:pt idx="113">
                  <c:v>-5.7594734501748626</c:v>
                </c:pt>
                <c:pt idx="115">
                  <c:v>-3.2801469939993217</c:v>
                </c:pt>
                <c:pt idx="119">
                  <c:v>-2.5614398845887458</c:v>
                </c:pt>
                <c:pt idx="121">
                  <c:v>-2.7875291583271475</c:v>
                </c:pt>
                <c:pt idx="123">
                  <c:v>-3.2743500323624639</c:v>
                </c:pt>
                <c:pt idx="125">
                  <c:v>-3.8774149985782072</c:v>
                </c:pt>
                <c:pt idx="127">
                  <c:v>-3.3420831036104972</c:v>
                </c:pt>
                <c:pt idx="129">
                  <c:v>-4.0224479123050418</c:v>
                </c:pt>
                <c:pt idx="131">
                  <c:v>-4.9560755472482008</c:v>
                </c:pt>
                <c:pt idx="133">
                  <c:v>-5.4242774955770621</c:v>
                </c:pt>
                <c:pt idx="135">
                  <c:v>-4.8646390171748894</c:v>
                </c:pt>
                <c:pt idx="137">
                  <c:v>-2.0207511684981934</c:v>
                </c:pt>
                <c:pt idx="139">
                  <c:v>-0.15590378460466336</c:v>
                </c:pt>
                <c:pt idx="141">
                  <c:v>1.417957254422092</c:v>
                </c:pt>
                <c:pt idx="143">
                  <c:v>2.773530573900119</c:v>
                </c:pt>
                <c:pt idx="145">
                  <c:v>2.3459318175145163</c:v>
                </c:pt>
                <c:pt idx="147">
                  <c:v>2.0466865229404418</c:v>
                </c:pt>
                <c:pt idx="149">
                  <c:v>1.4731250821662725</c:v>
                </c:pt>
                <c:pt idx="151">
                  <c:v>1.8699388339186096</c:v>
                </c:pt>
                <c:pt idx="153">
                  <c:v>2.2518190763868646</c:v>
                </c:pt>
                <c:pt idx="155">
                  <c:v>2.5549020866353929</c:v>
                </c:pt>
                <c:pt idx="157">
                  <c:v>1.8598632623610269</c:v>
                </c:pt>
                <c:pt idx="159">
                  <c:v>0.93034108034207896</c:v>
                </c:pt>
                <c:pt idx="161">
                  <c:v>3.1887646858637004</c:v>
                </c:pt>
                <c:pt idx="163">
                  <c:v>5.0135914765196459</c:v>
                </c:pt>
                <c:pt idx="165">
                  <c:v>6.8101061914267298</c:v>
                </c:pt>
                <c:pt idx="167">
                  <c:v>6.5459783716937894</c:v>
                </c:pt>
                <c:pt idx="169">
                  <c:v>8.487718687704966</c:v>
                </c:pt>
                <c:pt idx="171">
                  <c:v>8.3352337429916972</c:v>
                </c:pt>
                <c:pt idx="173">
                  <c:v>8.9998005706029165</c:v>
                </c:pt>
                <c:pt idx="175">
                  <c:v>11.177508507958919</c:v>
                </c:pt>
                <c:pt idx="177">
                  <c:v>11.007656669419672</c:v>
                </c:pt>
                <c:pt idx="179">
                  <c:v>10.377380203866133</c:v>
                </c:pt>
                <c:pt idx="181">
                  <c:v>10.627463896851546</c:v>
                </c:pt>
                <c:pt idx="183">
                  <c:v>10.613712162120217</c:v>
                </c:pt>
                <c:pt idx="185">
                  <c:v>13.635733856294975</c:v>
                </c:pt>
                <c:pt idx="187">
                  <c:v>15.868874495455987</c:v>
                </c:pt>
                <c:pt idx="189">
                  <c:v>17.18338722747313</c:v>
                </c:pt>
                <c:pt idx="191">
                  <c:v>18.62320411785096</c:v>
                </c:pt>
                <c:pt idx="193">
                  <c:v>18.236468047112876</c:v>
                </c:pt>
                <c:pt idx="195">
                  <c:v>17.494720356071664</c:v>
                </c:pt>
                <c:pt idx="197">
                  <c:v>16.693804061646599</c:v>
                </c:pt>
                <c:pt idx="199">
                  <c:v>16.178128901281923</c:v>
                </c:pt>
                <c:pt idx="201">
                  <c:v>16.202846855781392</c:v>
                </c:pt>
                <c:pt idx="203">
                  <c:v>15.438380844328291</c:v>
                </c:pt>
                <c:pt idx="205">
                  <c:v>14.481465416408252</c:v>
                </c:pt>
                <c:pt idx="207">
                  <c:v>14.139257253677471</c:v>
                </c:pt>
                <c:pt idx="209">
                  <c:v>15.183371487636657</c:v>
                </c:pt>
                <c:pt idx="211">
                  <c:v>16.794534999076607</c:v>
                </c:pt>
                <c:pt idx="213">
                  <c:v>17.134886151831928</c:v>
                </c:pt>
                <c:pt idx="215">
                  <c:v>19.945274070080817</c:v>
                </c:pt>
                <c:pt idx="217">
                  <c:v>19.487051017779986</c:v>
                </c:pt>
                <c:pt idx="219">
                  <c:v>18.91644800717501</c:v>
                </c:pt>
                <c:pt idx="221">
                  <c:v>18.836964598718613</c:v>
                </c:pt>
                <c:pt idx="223">
                  <c:v>19.153486757619685</c:v>
                </c:pt>
                <c:pt idx="225">
                  <c:v>18.987168880033401</c:v>
                </c:pt>
                <c:pt idx="227">
                  <c:v>18.623555010958974</c:v>
                </c:pt>
                <c:pt idx="229">
                  <c:v>17.976113592205341</c:v>
                </c:pt>
                <c:pt idx="231">
                  <c:v>18.081708767371136</c:v>
                </c:pt>
                <c:pt idx="233">
                  <c:v>19.214676876719047</c:v>
                </c:pt>
                <c:pt idx="235">
                  <c:v>20.133285011691662</c:v>
                </c:pt>
                <c:pt idx="237">
                  <c:v>22.29806874899112</c:v>
                </c:pt>
                <c:pt idx="239">
                  <c:v>23.953760168438372</c:v>
                </c:pt>
                <c:pt idx="241">
                  <c:v>23.548546530431949</c:v>
                </c:pt>
                <c:pt idx="243">
                  <c:v>22.957547516612742</c:v>
                </c:pt>
                <c:pt idx="245">
                  <c:v>22.852114737730322</c:v>
                </c:pt>
                <c:pt idx="247">
                  <c:v>22.921865451801803</c:v>
                </c:pt>
                <c:pt idx="249">
                  <c:v>23.101976717918596</c:v>
                </c:pt>
                <c:pt idx="251">
                  <c:v>22.304897295385317</c:v>
                </c:pt>
                <c:pt idx="253">
                  <c:v>21.542854571442817</c:v>
                </c:pt>
                <c:pt idx="255">
                  <c:v>20.854116294696016</c:v>
                </c:pt>
                <c:pt idx="257">
                  <c:v>21.160541422302916</c:v>
                </c:pt>
                <c:pt idx="259">
                  <c:v>22.293004680086117</c:v>
                </c:pt>
                <c:pt idx="261">
                  <c:v>23.236956363607106</c:v>
                </c:pt>
                <c:pt idx="263">
                  <c:v>24.8554907078918</c:v>
                </c:pt>
                <c:pt idx="265">
                  <c:v>24.282969261340931</c:v>
                </c:pt>
                <c:pt idx="267">
                  <c:v>23.403800974386023</c:v>
                </c:pt>
                <c:pt idx="269">
                  <c:v>22.907108232854394</c:v>
                </c:pt>
                <c:pt idx="272">
                  <c:v>22.587618390535503</c:v>
                </c:pt>
                <c:pt idx="274">
                  <c:v>22.080929588022641</c:v>
                </c:pt>
                <c:pt idx="276">
                  <c:v>22.022952856222833</c:v>
                </c:pt>
                <c:pt idx="278">
                  <c:v>21.230720008710758</c:v>
                </c:pt>
                <c:pt idx="280">
                  <c:v>20.961715322862734</c:v>
                </c:pt>
                <c:pt idx="282">
                  <c:v>21.812673348164388</c:v>
                </c:pt>
                <c:pt idx="284">
                  <c:v>21.722083205284402</c:v>
                </c:pt>
                <c:pt idx="286">
                  <c:v>23.45693535007797</c:v>
                </c:pt>
                <c:pt idx="288">
                  <c:v>24.403209350796619</c:v>
                </c:pt>
                <c:pt idx="290">
                  <c:v>24.431057384997281</c:v>
                </c:pt>
                <c:pt idx="292">
                  <c:v>23.858737879072294</c:v>
                </c:pt>
                <c:pt idx="295">
                  <c:v>22.902058048549119</c:v>
                </c:pt>
                <c:pt idx="297">
                  <c:v>22.146679365260773</c:v>
                </c:pt>
                <c:pt idx="299">
                  <c:v>21.47419730889759</c:v>
                </c:pt>
                <c:pt idx="302">
                  <c:v>20.856373848606864</c:v>
                </c:pt>
                <c:pt idx="304">
                  <c:v>20.076257438647797</c:v>
                </c:pt>
                <c:pt idx="306">
                  <c:v>19.762926785418351</c:v>
                </c:pt>
                <c:pt idx="308">
                  <c:v>20.749992792565461</c:v>
                </c:pt>
                <c:pt idx="311">
                  <c:v>21.351890712610846</c:v>
                </c:pt>
                <c:pt idx="314">
                  <c:v>22.944442029698536</c:v>
                </c:pt>
                <c:pt idx="316">
                  <c:v>24.300150649395903</c:v>
                </c:pt>
                <c:pt idx="318">
                  <c:v>23.641097644653971</c:v>
                </c:pt>
                <c:pt idx="320">
                  <c:v>22.988506739940309</c:v>
                </c:pt>
                <c:pt idx="322">
                  <c:v>22.087932746641755</c:v>
                </c:pt>
                <c:pt idx="324">
                  <c:v>22.016022111655989</c:v>
                </c:pt>
                <c:pt idx="326">
                  <c:v>22.341025776844166</c:v>
                </c:pt>
                <c:pt idx="328">
                  <c:v>21.865233890091474</c:v>
                </c:pt>
                <c:pt idx="330">
                  <c:v>20.844404254079318</c:v>
                </c:pt>
                <c:pt idx="332">
                  <c:v>19.877795676116872</c:v>
                </c:pt>
                <c:pt idx="334">
                  <c:v>19.459455897428025</c:v>
                </c:pt>
                <c:pt idx="337">
                  <c:v>20.042034830930561</c:v>
                </c:pt>
                <c:pt idx="339">
                  <c:v>20.175699753094158</c:v>
                </c:pt>
                <c:pt idx="341">
                  <c:v>19.816932459040931</c:v>
                </c:pt>
                <c:pt idx="343">
                  <c:v>19.043480089736018</c:v>
                </c:pt>
                <c:pt idx="345">
                  <c:v>18.211565909237841</c:v>
                </c:pt>
                <c:pt idx="347">
                  <c:v>17.498190876133258</c:v>
                </c:pt>
                <c:pt idx="349">
                  <c:v>17.037342595695943</c:v>
                </c:pt>
                <c:pt idx="351">
                  <c:v>16.454421206912077</c:v>
                </c:pt>
                <c:pt idx="353">
                  <c:v>16.004780631211293</c:v>
                </c:pt>
                <c:pt idx="355">
                  <c:v>15.313921977892715</c:v>
                </c:pt>
                <c:pt idx="357">
                  <c:v>15.018463070053956</c:v>
                </c:pt>
                <c:pt idx="360">
                  <c:v>15.327075887774592</c:v>
                </c:pt>
                <c:pt idx="362">
                  <c:v>15.442869064547503</c:v>
                </c:pt>
                <c:pt idx="364">
                  <c:v>16.0045471432711</c:v>
                </c:pt>
                <c:pt idx="367">
                  <c:v>15.740792913696044</c:v>
                </c:pt>
                <c:pt idx="369">
                  <c:v>14.779232851380685</c:v>
                </c:pt>
                <c:pt idx="371">
                  <c:v>13.914503319176447</c:v>
                </c:pt>
                <c:pt idx="373">
                  <c:v>13.703354622644033</c:v>
                </c:pt>
                <c:pt idx="375">
                  <c:v>13.881042601250225</c:v>
                </c:pt>
                <c:pt idx="379">
                  <c:v>14.820046739437071</c:v>
                </c:pt>
                <c:pt idx="381">
                  <c:v>13.887768067874815</c:v>
                </c:pt>
                <c:pt idx="383">
                  <c:v>14.272445188011556</c:v>
                </c:pt>
                <c:pt idx="385">
                  <c:v>15.427121914641939</c:v>
                </c:pt>
                <c:pt idx="387">
                  <c:v>15.932357588431106</c:v>
                </c:pt>
                <c:pt idx="389">
                  <c:v>16.727781941614808</c:v>
                </c:pt>
                <c:pt idx="391">
                  <c:v>16.619622964282961</c:v>
                </c:pt>
                <c:pt idx="393">
                  <c:v>15.991769786240022</c:v>
                </c:pt>
                <c:pt idx="395">
                  <c:v>15.069689116284879</c:v>
                </c:pt>
                <c:pt idx="397">
                  <c:v>14.174264608946354</c:v>
                </c:pt>
                <c:pt idx="399">
                  <c:v>13.864568886982811</c:v>
                </c:pt>
                <c:pt idx="401">
                  <c:v>13.463495031807001</c:v>
                </c:pt>
                <c:pt idx="403">
                  <c:v>12.981947837216632</c:v>
                </c:pt>
                <c:pt idx="405">
                  <c:v>12.306133760526372</c:v>
                </c:pt>
                <c:pt idx="407">
                  <c:v>12.757754198143481</c:v>
                </c:pt>
                <c:pt idx="409">
                  <c:v>14.628916265408387</c:v>
                </c:pt>
                <c:pt idx="411">
                  <c:v>15.910310734780643</c:v>
                </c:pt>
                <c:pt idx="413">
                  <c:v>16.837602316666246</c:v>
                </c:pt>
                <c:pt idx="415">
                  <c:v>17.687449668525542</c:v>
                </c:pt>
                <c:pt idx="417">
                  <c:v>16.967511565079743</c:v>
                </c:pt>
                <c:pt idx="419">
                  <c:v>15.978689518270116</c:v>
                </c:pt>
                <c:pt idx="421">
                  <c:v>15.283993993059752</c:v>
                </c:pt>
                <c:pt idx="427">
                  <c:v>14.738431620064326</c:v>
                </c:pt>
                <c:pt idx="431">
                  <c:v>15.638259276829778</c:v>
                </c:pt>
                <c:pt idx="433">
                  <c:v>16.032124695444217</c:v>
                </c:pt>
                <c:pt idx="435">
                  <c:v>17.229511864448952</c:v>
                </c:pt>
                <c:pt idx="439">
                  <c:v>16.472618626466481</c:v>
                </c:pt>
                <c:pt idx="441">
                  <c:v>15.449971524821375</c:v>
                </c:pt>
                <c:pt idx="445">
                  <c:v>14.773955507505232</c:v>
                </c:pt>
                <c:pt idx="447">
                  <c:v>14.140851873189323</c:v>
                </c:pt>
                <c:pt idx="449">
                  <c:v>13.442420446400115</c:v>
                </c:pt>
                <c:pt idx="451">
                  <c:v>13.437756039833541</c:v>
                </c:pt>
                <c:pt idx="453">
                  <c:v>13.199143418180977</c:v>
                </c:pt>
                <c:pt idx="455">
                  <c:v>15.491755571664669</c:v>
                </c:pt>
                <c:pt idx="457">
                  <c:v>15.938125553008808</c:v>
                </c:pt>
                <c:pt idx="459">
                  <c:v>19.464998811892219</c:v>
                </c:pt>
                <c:pt idx="461">
                  <c:v>19.762437581647305</c:v>
                </c:pt>
                <c:pt idx="463">
                  <c:v>20.929735597395403</c:v>
                </c:pt>
                <c:pt idx="465">
                  <c:v>20.211513989269616</c:v>
                </c:pt>
                <c:pt idx="467">
                  <c:v>19.598200536290285</c:v>
                </c:pt>
                <c:pt idx="475">
                  <c:v>18.696616839862315</c:v>
                </c:pt>
                <c:pt idx="477">
                  <c:v>18.233244301601456</c:v>
                </c:pt>
                <c:pt idx="479">
                  <c:v>18.141240574340284</c:v>
                </c:pt>
                <c:pt idx="481">
                  <c:v>18.009151632841245</c:v>
                </c:pt>
                <c:pt idx="483">
                  <c:v>17.653514418489213</c:v>
                </c:pt>
                <c:pt idx="487">
                  <c:v>17.276976349358243</c:v>
                </c:pt>
                <c:pt idx="489">
                  <c:v>16.436984543824728</c:v>
                </c:pt>
                <c:pt idx="493">
                  <c:v>15.498748623798908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E3-414E-8882-035C1A921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chl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update'!$B$3:$B$496</c:f>
              <c:numCache>
                <c:formatCode>[$-409]mmm\-yy;@</c:formatCode>
                <c:ptCount val="494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36600</c:v>
                </c:pt>
                <c:pt idx="11">
                  <c:v>36600</c:v>
                </c:pt>
                <c:pt idx="12">
                  <c:v>36628</c:v>
                </c:pt>
                <c:pt idx="13">
                  <c:v>36628</c:v>
                </c:pt>
                <c:pt idx="14">
                  <c:v>36661</c:v>
                </c:pt>
                <c:pt idx="15">
                  <c:v>36661</c:v>
                </c:pt>
                <c:pt idx="16">
                  <c:v>36691</c:v>
                </c:pt>
                <c:pt idx="17">
                  <c:v>36691</c:v>
                </c:pt>
                <c:pt idx="18">
                  <c:v>36720</c:v>
                </c:pt>
                <c:pt idx="19">
                  <c:v>36720</c:v>
                </c:pt>
                <c:pt idx="20">
                  <c:v>36754</c:v>
                </c:pt>
                <c:pt idx="21">
                  <c:v>36754</c:v>
                </c:pt>
                <c:pt idx="22">
                  <c:v>36782</c:v>
                </c:pt>
                <c:pt idx="23">
                  <c:v>36782</c:v>
                </c:pt>
                <c:pt idx="24">
                  <c:v>36818</c:v>
                </c:pt>
                <c:pt idx="25">
                  <c:v>36818</c:v>
                </c:pt>
                <c:pt idx="26">
                  <c:v>36845</c:v>
                </c:pt>
                <c:pt idx="27">
                  <c:v>36848</c:v>
                </c:pt>
                <c:pt idx="28">
                  <c:v>36875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36963</c:v>
                </c:pt>
                <c:pt idx="35">
                  <c:v>36963</c:v>
                </c:pt>
                <c:pt idx="36">
                  <c:v>37000</c:v>
                </c:pt>
                <c:pt idx="37">
                  <c:v>37000</c:v>
                </c:pt>
                <c:pt idx="38">
                  <c:v>37028</c:v>
                </c:pt>
                <c:pt idx="39">
                  <c:v>37027</c:v>
                </c:pt>
                <c:pt idx="40">
                  <c:v>37058</c:v>
                </c:pt>
                <c:pt idx="41">
                  <c:v>37056</c:v>
                </c:pt>
                <c:pt idx="42">
                  <c:v>37089</c:v>
                </c:pt>
                <c:pt idx="43">
                  <c:v>37089</c:v>
                </c:pt>
                <c:pt idx="44">
                  <c:v>37119</c:v>
                </c:pt>
                <c:pt idx="45">
                  <c:v>37119</c:v>
                </c:pt>
                <c:pt idx="46">
                  <c:v>37152</c:v>
                </c:pt>
                <c:pt idx="47">
                  <c:v>37152</c:v>
                </c:pt>
                <c:pt idx="48">
                  <c:v>37181</c:v>
                </c:pt>
                <c:pt idx="49">
                  <c:v>37181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37690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37817</c:v>
                </c:pt>
                <c:pt idx="91">
                  <c:v>37817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37908</c:v>
                </c:pt>
                <c:pt idx="97">
                  <c:v>37908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38000</c:v>
                </c:pt>
                <c:pt idx="103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38335</c:v>
                </c:pt>
                <c:pt idx="125">
                  <c:v>38335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38468</c:v>
                </c:pt>
                <c:pt idx="133">
                  <c:v>38468</c:v>
                </c:pt>
                <c:pt idx="134">
                  <c:v>38489</c:v>
                </c:pt>
                <c:pt idx="135">
                  <c:v>38489</c:v>
                </c:pt>
                <c:pt idx="136">
                  <c:v>38517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38587</c:v>
                </c:pt>
                <c:pt idx="141">
                  <c:v>38588</c:v>
                </c:pt>
                <c:pt idx="142">
                  <c:v>38608</c:v>
                </c:pt>
                <c:pt idx="143">
                  <c:v>38608</c:v>
                </c:pt>
                <c:pt idx="144">
                  <c:v>38637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39009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39098</c:v>
                </c:pt>
                <c:pt idx="175">
                  <c:v>39098</c:v>
                </c:pt>
                <c:pt idx="176">
                  <c:v>39133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39245</c:v>
                </c:pt>
                <c:pt idx="185">
                  <c:v>39245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39337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39426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39583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39799</c:v>
                </c:pt>
                <c:pt idx="221">
                  <c:v>39800</c:v>
                </c:pt>
                <c:pt idx="222">
                  <c:v>39825</c:v>
                </c:pt>
                <c:pt idx="223">
                  <c:v>39825</c:v>
                </c:pt>
                <c:pt idx="224">
                  <c:v>39855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40042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40133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40282</c:v>
                </c:pt>
                <c:pt idx="253">
                  <c:v>40282</c:v>
                </c:pt>
                <c:pt idx="254">
                  <c:v>40315</c:v>
                </c:pt>
                <c:pt idx="255">
                  <c:v>40315</c:v>
                </c:pt>
                <c:pt idx="256">
                  <c:v>40344</c:v>
                </c:pt>
                <c:pt idx="257">
                  <c:v>40344</c:v>
                </c:pt>
                <c:pt idx="258">
                  <c:v>40371</c:v>
                </c:pt>
                <c:pt idx="259">
                  <c:v>40371</c:v>
                </c:pt>
                <c:pt idx="260">
                  <c:v>40407</c:v>
                </c:pt>
                <c:pt idx="261">
                  <c:v>40407</c:v>
                </c:pt>
                <c:pt idx="262">
                  <c:v>40436</c:v>
                </c:pt>
                <c:pt idx="263">
                  <c:v>40436</c:v>
                </c:pt>
                <c:pt idx="264">
                  <c:v>40464</c:v>
                </c:pt>
                <c:pt idx="265">
                  <c:v>40464</c:v>
                </c:pt>
                <c:pt idx="266">
                  <c:v>40498</c:v>
                </c:pt>
                <c:pt idx="267">
                  <c:v>40498</c:v>
                </c:pt>
                <c:pt idx="268">
                  <c:v>40520</c:v>
                </c:pt>
                <c:pt idx="269">
                  <c:v>40520</c:v>
                </c:pt>
                <c:pt idx="270">
                  <c:v>40562</c:v>
                </c:pt>
                <c:pt idx="271">
                  <c:v>40562</c:v>
                </c:pt>
                <c:pt idx="272">
                  <c:v>40562</c:v>
                </c:pt>
                <c:pt idx="273">
                  <c:v>40591</c:v>
                </c:pt>
                <c:pt idx="274">
                  <c:v>40591</c:v>
                </c:pt>
                <c:pt idx="275">
                  <c:v>40619</c:v>
                </c:pt>
                <c:pt idx="276">
                  <c:v>40619</c:v>
                </c:pt>
                <c:pt idx="277">
                  <c:v>40646</c:v>
                </c:pt>
                <c:pt idx="278">
                  <c:v>40646</c:v>
                </c:pt>
                <c:pt idx="279">
                  <c:v>40681</c:v>
                </c:pt>
                <c:pt idx="280">
                  <c:v>40681</c:v>
                </c:pt>
                <c:pt idx="281">
                  <c:v>40708</c:v>
                </c:pt>
                <c:pt idx="282">
                  <c:v>40708</c:v>
                </c:pt>
                <c:pt idx="283">
                  <c:v>40735</c:v>
                </c:pt>
                <c:pt idx="284">
                  <c:v>40735</c:v>
                </c:pt>
                <c:pt idx="285">
                  <c:v>40771</c:v>
                </c:pt>
                <c:pt idx="286">
                  <c:v>40771</c:v>
                </c:pt>
                <c:pt idx="287">
                  <c:v>40799</c:v>
                </c:pt>
                <c:pt idx="288">
                  <c:v>40799</c:v>
                </c:pt>
                <c:pt idx="289">
                  <c:v>40827</c:v>
                </c:pt>
                <c:pt idx="290">
                  <c:v>40827</c:v>
                </c:pt>
                <c:pt idx="291">
                  <c:v>40862</c:v>
                </c:pt>
                <c:pt idx="292">
                  <c:v>40862</c:v>
                </c:pt>
                <c:pt idx="293">
                  <c:v>40891</c:v>
                </c:pt>
                <c:pt idx="294">
                  <c:v>40890</c:v>
                </c:pt>
                <c:pt idx="295">
                  <c:v>40890</c:v>
                </c:pt>
                <c:pt idx="296">
                  <c:v>40917</c:v>
                </c:pt>
                <c:pt idx="297">
                  <c:v>40917</c:v>
                </c:pt>
                <c:pt idx="298">
                  <c:v>40962</c:v>
                </c:pt>
                <c:pt idx="299">
                  <c:v>40962</c:v>
                </c:pt>
                <c:pt idx="300">
                  <c:v>40980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41107</c:v>
                </c:pt>
                <c:pt idx="312">
                  <c:v>41135</c:v>
                </c:pt>
                <c:pt idx="313">
                  <c:v>41135</c:v>
                </c:pt>
                <c:pt idx="314">
                  <c:v>41135</c:v>
                </c:pt>
                <c:pt idx="315">
                  <c:v>41164</c:v>
                </c:pt>
                <c:pt idx="316">
                  <c:v>41164</c:v>
                </c:pt>
                <c:pt idx="317">
                  <c:v>41200</c:v>
                </c:pt>
                <c:pt idx="318">
                  <c:v>41200</c:v>
                </c:pt>
                <c:pt idx="319">
                  <c:v>41226</c:v>
                </c:pt>
                <c:pt idx="320">
                  <c:v>41226</c:v>
                </c:pt>
                <c:pt idx="321">
                  <c:v>41254</c:v>
                </c:pt>
                <c:pt idx="322">
                  <c:v>41254</c:v>
                </c:pt>
                <c:pt idx="323">
                  <c:v>41288</c:v>
                </c:pt>
                <c:pt idx="324">
                  <c:v>41288</c:v>
                </c:pt>
                <c:pt idx="325">
                  <c:v>41318</c:v>
                </c:pt>
                <c:pt idx="326">
                  <c:v>41318</c:v>
                </c:pt>
                <c:pt idx="327">
                  <c:v>41344</c:v>
                </c:pt>
                <c:pt idx="328">
                  <c:v>41344</c:v>
                </c:pt>
                <c:pt idx="329">
                  <c:v>41381</c:v>
                </c:pt>
                <c:pt idx="330">
                  <c:v>41379</c:v>
                </c:pt>
                <c:pt idx="331">
                  <c:v>41408</c:v>
                </c:pt>
                <c:pt idx="332">
                  <c:v>41408</c:v>
                </c:pt>
                <c:pt idx="333">
                  <c:v>41436</c:v>
                </c:pt>
                <c:pt idx="334">
                  <c:v>41437</c:v>
                </c:pt>
                <c:pt idx="335">
                  <c:v>41471</c:v>
                </c:pt>
                <c:pt idx="336">
                  <c:v>41471</c:v>
                </c:pt>
                <c:pt idx="337">
                  <c:v>41471</c:v>
                </c:pt>
                <c:pt idx="338">
                  <c:v>41499</c:v>
                </c:pt>
                <c:pt idx="339">
                  <c:v>41499</c:v>
                </c:pt>
                <c:pt idx="340">
                  <c:v>41533</c:v>
                </c:pt>
                <c:pt idx="341">
                  <c:v>41533</c:v>
                </c:pt>
                <c:pt idx="342">
                  <c:v>41569</c:v>
                </c:pt>
                <c:pt idx="343">
                  <c:v>41569</c:v>
                </c:pt>
                <c:pt idx="344">
                  <c:v>41597</c:v>
                </c:pt>
                <c:pt idx="345">
                  <c:v>41597</c:v>
                </c:pt>
                <c:pt idx="346">
                  <c:v>41624</c:v>
                </c:pt>
                <c:pt idx="347">
                  <c:v>41624</c:v>
                </c:pt>
                <c:pt idx="348">
                  <c:v>41654</c:v>
                </c:pt>
                <c:pt idx="349">
                  <c:v>41654</c:v>
                </c:pt>
                <c:pt idx="350">
                  <c:v>41688</c:v>
                </c:pt>
                <c:pt idx="351">
                  <c:v>41690</c:v>
                </c:pt>
                <c:pt idx="352">
                  <c:v>41719</c:v>
                </c:pt>
                <c:pt idx="353">
                  <c:v>41719</c:v>
                </c:pt>
                <c:pt idx="354">
                  <c:v>41747</c:v>
                </c:pt>
                <c:pt idx="355">
                  <c:v>41747</c:v>
                </c:pt>
                <c:pt idx="356">
                  <c:v>41772</c:v>
                </c:pt>
                <c:pt idx="357">
                  <c:v>41772</c:v>
                </c:pt>
                <c:pt idx="358">
                  <c:v>41808</c:v>
                </c:pt>
                <c:pt idx="359">
                  <c:v>41808</c:v>
                </c:pt>
                <c:pt idx="360">
                  <c:v>41808</c:v>
                </c:pt>
                <c:pt idx="361">
                  <c:v>41834</c:v>
                </c:pt>
                <c:pt idx="362">
                  <c:v>41834</c:v>
                </c:pt>
                <c:pt idx="363">
                  <c:v>41864</c:v>
                </c:pt>
                <c:pt idx="364">
                  <c:v>41862</c:v>
                </c:pt>
                <c:pt idx="365">
                  <c:v>41898</c:v>
                </c:pt>
                <c:pt idx="366">
                  <c:v>41898</c:v>
                </c:pt>
                <c:pt idx="367">
                  <c:v>41898</c:v>
                </c:pt>
                <c:pt idx="368">
                  <c:v>41929</c:v>
                </c:pt>
                <c:pt idx="369">
                  <c:v>41929</c:v>
                </c:pt>
                <c:pt idx="370">
                  <c:v>41953</c:v>
                </c:pt>
                <c:pt idx="371">
                  <c:v>41953</c:v>
                </c:pt>
                <c:pt idx="372">
                  <c:v>41988</c:v>
                </c:pt>
                <c:pt idx="373">
                  <c:v>41988</c:v>
                </c:pt>
                <c:pt idx="374">
                  <c:v>42014</c:v>
                </c:pt>
                <c:pt idx="375">
                  <c:v>42009</c:v>
                </c:pt>
                <c:pt idx="376">
                  <c:v>42036</c:v>
                </c:pt>
                <c:pt idx="377">
                  <c:v>42036</c:v>
                </c:pt>
                <c:pt idx="378">
                  <c:v>42064</c:v>
                </c:pt>
                <c:pt idx="379">
                  <c:v>42064</c:v>
                </c:pt>
                <c:pt idx="380">
                  <c:v>42095</c:v>
                </c:pt>
                <c:pt idx="381">
                  <c:v>42095</c:v>
                </c:pt>
                <c:pt idx="382">
                  <c:v>42125</c:v>
                </c:pt>
                <c:pt idx="383">
                  <c:v>42125</c:v>
                </c:pt>
                <c:pt idx="384">
                  <c:v>42156</c:v>
                </c:pt>
                <c:pt idx="385">
                  <c:v>42156</c:v>
                </c:pt>
                <c:pt idx="386">
                  <c:v>42186</c:v>
                </c:pt>
                <c:pt idx="387">
                  <c:v>42186</c:v>
                </c:pt>
                <c:pt idx="388">
                  <c:v>42217</c:v>
                </c:pt>
                <c:pt idx="389">
                  <c:v>42217</c:v>
                </c:pt>
                <c:pt idx="390">
                  <c:v>42248</c:v>
                </c:pt>
                <c:pt idx="391">
                  <c:v>42248</c:v>
                </c:pt>
                <c:pt idx="392">
                  <c:v>42278</c:v>
                </c:pt>
                <c:pt idx="393">
                  <c:v>42278</c:v>
                </c:pt>
                <c:pt idx="394">
                  <c:v>42309</c:v>
                </c:pt>
                <c:pt idx="395">
                  <c:v>42309</c:v>
                </c:pt>
                <c:pt idx="396">
                  <c:v>42339</c:v>
                </c:pt>
                <c:pt idx="397">
                  <c:v>42339</c:v>
                </c:pt>
                <c:pt idx="398">
                  <c:v>42379</c:v>
                </c:pt>
                <c:pt idx="399">
                  <c:v>42374</c:v>
                </c:pt>
                <c:pt idx="400">
                  <c:v>42401</c:v>
                </c:pt>
                <c:pt idx="401">
                  <c:v>42401</c:v>
                </c:pt>
                <c:pt idx="402">
                  <c:v>42430</c:v>
                </c:pt>
                <c:pt idx="403">
                  <c:v>42430</c:v>
                </c:pt>
                <c:pt idx="404">
                  <c:v>42461</c:v>
                </c:pt>
                <c:pt idx="405">
                  <c:v>42461</c:v>
                </c:pt>
                <c:pt idx="406">
                  <c:v>42491</c:v>
                </c:pt>
                <c:pt idx="407">
                  <c:v>42491</c:v>
                </c:pt>
                <c:pt idx="408">
                  <c:v>42522</c:v>
                </c:pt>
                <c:pt idx="409">
                  <c:v>42522</c:v>
                </c:pt>
                <c:pt idx="410">
                  <c:v>42552</c:v>
                </c:pt>
                <c:pt idx="411">
                  <c:v>42552</c:v>
                </c:pt>
                <c:pt idx="412">
                  <c:v>42583</c:v>
                </c:pt>
                <c:pt idx="413">
                  <c:v>42583</c:v>
                </c:pt>
                <c:pt idx="414">
                  <c:v>42614</c:v>
                </c:pt>
                <c:pt idx="415">
                  <c:v>42614</c:v>
                </c:pt>
                <c:pt idx="416">
                  <c:v>42644</c:v>
                </c:pt>
                <c:pt idx="417">
                  <c:v>42644</c:v>
                </c:pt>
                <c:pt idx="418">
                  <c:v>42675</c:v>
                </c:pt>
                <c:pt idx="419">
                  <c:v>42675</c:v>
                </c:pt>
                <c:pt idx="420">
                  <c:v>42705</c:v>
                </c:pt>
                <c:pt idx="421">
                  <c:v>42705</c:v>
                </c:pt>
                <c:pt idx="422">
                  <c:v>42745</c:v>
                </c:pt>
                <c:pt idx="423">
                  <c:v>42740</c:v>
                </c:pt>
                <c:pt idx="424">
                  <c:v>42767</c:v>
                </c:pt>
                <c:pt idx="425">
                  <c:v>42767</c:v>
                </c:pt>
                <c:pt idx="426">
                  <c:v>42795</c:v>
                </c:pt>
                <c:pt idx="427">
                  <c:v>42795</c:v>
                </c:pt>
                <c:pt idx="428">
                  <c:v>42826</c:v>
                </c:pt>
                <c:pt idx="429">
                  <c:v>42826</c:v>
                </c:pt>
                <c:pt idx="430">
                  <c:v>42856</c:v>
                </c:pt>
                <c:pt idx="431">
                  <c:v>42856</c:v>
                </c:pt>
                <c:pt idx="432">
                  <c:v>42887</c:v>
                </c:pt>
                <c:pt idx="433">
                  <c:v>42887</c:v>
                </c:pt>
                <c:pt idx="434">
                  <c:v>42917</c:v>
                </c:pt>
                <c:pt idx="435">
                  <c:v>42917</c:v>
                </c:pt>
                <c:pt idx="436">
                  <c:v>42948</c:v>
                </c:pt>
                <c:pt idx="437">
                  <c:v>42948</c:v>
                </c:pt>
                <c:pt idx="438">
                  <c:v>42979</c:v>
                </c:pt>
                <c:pt idx="439">
                  <c:v>42979</c:v>
                </c:pt>
                <c:pt idx="440">
                  <c:v>43009</c:v>
                </c:pt>
                <c:pt idx="441">
                  <c:v>43009</c:v>
                </c:pt>
                <c:pt idx="442">
                  <c:v>43040</c:v>
                </c:pt>
                <c:pt idx="443">
                  <c:v>43040</c:v>
                </c:pt>
                <c:pt idx="444">
                  <c:v>43070</c:v>
                </c:pt>
                <c:pt idx="445">
                  <c:v>43070</c:v>
                </c:pt>
                <c:pt idx="446">
                  <c:v>43110</c:v>
                </c:pt>
                <c:pt idx="447">
                  <c:v>43105</c:v>
                </c:pt>
                <c:pt idx="448">
                  <c:v>43132</c:v>
                </c:pt>
                <c:pt idx="449">
                  <c:v>43132</c:v>
                </c:pt>
                <c:pt idx="450">
                  <c:v>43160</c:v>
                </c:pt>
                <c:pt idx="451">
                  <c:v>43160</c:v>
                </c:pt>
                <c:pt idx="452">
                  <c:v>43191</c:v>
                </c:pt>
                <c:pt idx="453">
                  <c:v>43191</c:v>
                </c:pt>
                <c:pt idx="454">
                  <c:v>43221</c:v>
                </c:pt>
                <c:pt idx="455">
                  <c:v>43221</c:v>
                </c:pt>
                <c:pt idx="456">
                  <c:v>43252</c:v>
                </c:pt>
                <c:pt idx="457">
                  <c:v>43252</c:v>
                </c:pt>
                <c:pt idx="458">
                  <c:v>43282</c:v>
                </c:pt>
                <c:pt idx="459">
                  <c:v>43282</c:v>
                </c:pt>
                <c:pt idx="460">
                  <c:v>43313</c:v>
                </c:pt>
                <c:pt idx="461">
                  <c:v>43313</c:v>
                </c:pt>
                <c:pt idx="462">
                  <c:v>43344</c:v>
                </c:pt>
                <c:pt idx="463">
                  <c:v>43344</c:v>
                </c:pt>
                <c:pt idx="464">
                  <c:v>43374</c:v>
                </c:pt>
                <c:pt idx="465">
                  <c:v>43374</c:v>
                </c:pt>
                <c:pt idx="466">
                  <c:v>43405</c:v>
                </c:pt>
                <c:pt idx="467">
                  <c:v>43405</c:v>
                </c:pt>
                <c:pt idx="468">
                  <c:v>43435</c:v>
                </c:pt>
                <c:pt idx="469">
                  <c:v>43435</c:v>
                </c:pt>
                <c:pt idx="470">
                  <c:v>43475</c:v>
                </c:pt>
                <c:pt idx="471">
                  <c:v>43470</c:v>
                </c:pt>
                <c:pt idx="472">
                  <c:v>43497</c:v>
                </c:pt>
                <c:pt idx="473">
                  <c:v>43497</c:v>
                </c:pt>
                <c:pt idx="474">
                  <c:v>43525</c:v>
                </c:pt>
                <c:pt idx="475">
                  <c:v>43525</c:v>
                </c:pt>
                <c:pt idx="476">
                  <c:v>43556</c:v>
                </c:pt>
                <c:pt idx="477">
                  <c:v>43556</c:v>
                </c:pt>
                <c:pt idx="478">
                  <c:v>43586</c:v>
                </c:pt>
                <c:pt idx="479">
                  <c:v>43586</c:v>
                </c:pt>
                <c:pt idx="480">
                  <c:v>43617</c:v>
                </c:pt>
                <c:pt idx="481">
                  <c:v>43617</c:v>
                </c:pt>
                <c:pt idx="482">
                  <c:v>43647</c:v>
                </c:pt>
                <c:pt idx="483">
                  <c:v>43647</c:v>
                </c:pt>
                <c:pt idx="484">
                  <c:v>43678</c:v>
                </c:pt>
                <c:pt idx="485">
                  <c:v>43678</c:v>
                </c:pt>
                <c:pt idx="486">
                  <c:v>43709</c:v>
                </c:pt>
                <c:pt idx="487">
                  <c:v>43709</c:v>
                </c:pt>
                <c:pt idx="488">
                  <c:v>43739</c:v>
                </c:pt>
                <c:pt idx="489">
                  <c:v>43739</c:v>
                </c:pt>
                <c:pt idx="490">
                  <c:v>43770</c:v>
                </c:pt>
                <c:pt idx="491">
                  <c:v>43770</c:v>
                </c:pt>
                <c:pt idx="492">
                  <c:v>43800</c:v>
                </c:pt>
                <c:pt idx="493">
                  <c:v>43800</c:v>
                </c:pt>
              </c:numCache>
            </c:numRef>
          </c:xVal>
          <c:yVal>
            <c:numRef>
              <c:f>'zea update'!$Z$3:$Z$496</c:f>
              <c:numCache>
                <c:formatCode>General</c:formatCode>
                <c:ptCount val="494"/>
                <c:pt idx="1">
                  <c:v>-0.8542670323736351</c:v>
                </c:pt>
                <c:pt idx="3">
                  <c:v>-0.68178009129346973</c:v>
                </c:pt>
                <c:pt idx="5">
                  <c:v>-0.88592538687718325</c:v>
                </c:pt>
                <c:pt idx="7">
                  <c:v>-0.47631211359897074</c:v>
                </c:pt>
                <c:pt idx="9">
                  <c:v>-0.65841939310853415</c:v>
                </c:pt>
                <c:pt idx="11">
                  <c:v>-0.80586574731679705</c:v>
                </c:pt>
                <c:pt idx="13">
                  <c:v>-0.39281977941624369</c:v>
                </c:pt>
                <c:pt idx="15">
                  <c:v>-6.7927800675135416E-2</c:v>
                </c:pt>
                <c:pt idx="17">
                  <c:v>-0.53433750378965572</c:v>
                </c:pt>
                <c:pt idx="19">
                  <c:v>0.88197914805364341</c:v>
                </c:pt>
                <c:pt idx="21">
                  <c:v>1.6190946709085154</c:v>
                </c:pt>
                <c:pt idx="23">
                  <c:v>-0.65292610206214563</c:v>
                </c:pt>
                <c:pt idx="25">
                  <c:v>-0.94174976634279006</c:v>
                </c:pt>
                <c:pt idx="27">
                  <c:v>-1.0518507552655951</c:v>
                </c:pt>
                <c:pt idx="29">
                  <c:v>-0.68364561396572177</c:v>
                </c:pt>
                <c:pt idx="31">
                  <c:v>-0.22469907540873932</c:v>
                </c:pt>
                <c:pt idx="33">
                  <c:v>-0.45968539200919978</c:v>
                </c:pt>
                <c:pt idx="35">
                  <c:v>-0.76079839304092534</c:v>
                </c:pt>
                <c:pt idx="37">
                  <c:v>-1.0122899498417688</c:v>
                </c:pt>
                <c:pt idx="39">
                  <c:v>-0.88603048381761862</c:v>
                </c:pt>
                <c:pt idx="41">
                  <c:v>1.8864339266556827</c:v>
                </c:pt>
                <c:pt idx="43">
                  <c:v>0.2964154105525218</c:v>
                </c:pt>
                <c:pt idx="45">
                  <c:v>-0.63173727194843343</c:v>
                </c:pt>
                <c:pt idx="47">
                  <c:v>-0.6817564088086363</c:v>
                </c:pt>
                <c:pt idx="49">
                  <c:v>-0.92993927380320029</c:v>
                </c:pt>
                <c:pt idx="51">
                  <c:v>-0.94023957209412778</c:v>
                </c:pt>
                <c:pt idx="53">
                  <c:v>-0.82313483126397891</c:v>
                </c:pt>
                <c:pt idx="55">
                  <c:v>-0.64974639459928485</c:v>
                </c:pt>
                <c:pt idx="57">
                  <c:v>-0.5860118557469568</c:v>
                </c:pt>
                <c:pt idx="59">
                  <c:v>-0.67226747135734677</c:v>
                </c:pt>
                <c:pt idx="61">
                  <c:v>-0.75946006688762169</c:v>
                </c:pt>
                <c:pt idx="63">
                  <c:v>8.8066829068919175E-2</c:v>
                </c:pt>
                <c:pt idx="65">
                  <c:v>1.2091267696131234</c:v>
                </c:pt>
                <c:pt idx="67">
                  <c:v>-0.13974883877232724</c:v>
                </c:pt>
                <c:pt idx="69">
                  <c:v>0.44284705662519264</c:v>
                </c:pt>
                <c:pt idx="71">
                  <c:v>-0.45058571332002373</c:v>
                </c:pt>
                <c:pt idx="73">
                  <c:v>-1.0103733548326614</c:v>
                </c:pt>
                <c:pt idx="75">
                  <c:v>-0.83609516975026399</c:v>
                </c:pt>
                <c:pt idx="77">
                  <c:v>-0.63866398450664019</c:v>
                </c:pt>
                <c:pt idx="79">
                  <c:v>0.4294614158126982</c:v>
                </c:pt>
                <c:pt idx="81">
                  <c:v>0.13395032001956253</c:v>
                </c:pt>
                <c:pt idx="83">
                  <c:v>7.1123703715522624E-2</c:v>
                </c:pt>
                <c:pt idx="85">
                  <c:v>0.64937594444518398</c:v>
                </c:pt>
                <c:pt idx="87">
                  <c:v>-9.2361001590224132E-2</c:v>
                </c:pt>
                <c:pt idx="89">
                  <c:v>1.8221165183842767</c:v>
                </c:pt>
                <c:pt idx="91">
                  <c:v>1.5832501638767931</c:v>
                </c:pt>
                <c:pt idx="93">
                  <c:v>2.8863490921969532</c:v>
                </c:pt>
                <c:pt idx="95">
                  <c:v>-0.34906003169807542</c:v>
                </c:pt>
                <c:pt idx="97">
                  <c:v>-0.46874415890935833</c:v>
                </c:pt>
                <c:pt idx="99">
                  <c:v>-0.76214369425544037</c:v>
                </c:pt>
                <c:pt idx="101">
                  <c:v>0.38216295934449201</c:v>
                </c:pt>
                <c:pt idx="103">
                  <c:v>0.124062645402839</c:v>
                </c:pt>
                <c:pt idx="105">
                  <c:v>0.38614118967439626</c:v>
                </c:pt>
                <c:pt idx="107">
                  <c:v>6.5836862951349894E-3</c:v>
                </c:pt>
                <c:pt idx="109">
                  <c:v>3.1311315934564876E-2</c:v>
                </c:pt>
                <c:pt idx="111">
                  <c:v>-0.42689196419501074</c:v>
                </c:pt>
                <c:pt idx="113">
                  <c:v>3.1909652217888609</c:v>
                </c:pt>
                <c:pt idx="115">
                  <c:v>2.4793264561755408</c:v>
                </c:pt>
                <c:pt idx="119">
                  <c:v>0.71870710941057603</c:v>
                </c:pt>
                <c:pt idx="121">
                  <c:v>-0.2260892737384019</c:v>
                </c:pt>
                <c:pt idx="123">
                  <c:v>-0.48682087403531632</c:v>
                </c:pt>
                <c:pt idx="125">
                  <c:v>-0.60306496621574313</c:v>
                </c:pt>
                <c:pt idx="127">
                  <c:v>0.53533189496770983</c:v>
                </c:pt>
                <c:pt idx="129">
                  <c:v>-0.68036480869454419</c:v>
                </c:pt>
                <c:pt idx="131">
                  <c:v>-0.93362763494315892</c:v>
                </c:pt>
                <c:pt idx="133">
                  <c:v>-0.46820194832886119</c:v>
                </c:pt>
                <c:pt idx="135">
                  <c:v>0.55963847840217273</c:v>
                </c:pt>
                <c:pt idx="137">
                  <c:v>2.8438878486766961</c:v>
                </c:pt>
                <c:pt idx="139">
                  <c:v>1.86484738389353</c:v>
                </c:pt>
                <c:pt idx="141">
                  <c:v>1.5738610390267553</c:v>
                </c:pt>
                <c:pt idx="143">
                  <c:v>1.3555733194780271</c:v>
                </c:pt>
                <c:pt idx="145">
                  <c:v>-0.42759875638560285</c:v>
                </c:pt>
                <c:pt idx="147">
                  <c:v>-0.29924529457407445</c:v>
                </c:pt>
                <c:pt idx="149">
                  <c:v>-0.57356144077416937</c:v>
                </c:pt>
                <c:pt idx="151">
                  <c:v>0.39681375175233713</c:v>
                </c:pt>
                <c:pt idx="153">
                  <c:v>0.38188024246825508</c:v>
                </c:pt>
                <c:pt idx="155">
                  <c:v>0.30308301024852818</c:v>
                </c:pt>
                <c:pt idx="157">
                  <c:v>-0.69503882427436603</c:v>
                </c:pt>
                <c:pt idx="159">
                  <c:v>-0.92952218201894798</c:v>
                </c:pt>
                <c:pt idx="161">
                  <c:v>2.2584236055216214</c:v>
                </c:pt>
                <c:pt idx="163">
                  <c:v>1.8248267906559454</c:v>
                </c:pt>
                <c:pt idx="165">
                  <c:v>1.7965147149070839</c:v>
                </c:pt>
                <c:pt idx="167">
                  <c:v>-0.26412781973294025</c:v>
                </c:pt>
                <c:pt idx="169">
                  <c:v>1.9417403160111764</c:v>
                </c:pt>
                <c:pt idx="171">
                  <c:v>-0.15248494471326815</c:v>
                </c:pt>
                <c:pt idx="173">
                  <c:v>0.66456682761121977</c:v>
                </c:pt>
                <c:pt idx="175">
                  <c:v>2.1777079373560015</c:v>
                </c:pt>
                <c:pt idx="177">
                  <c:v>-0.16985183853924596</c:v>
                </c:pt>
                <c:pt idx="179">
                  <c:v>-0.63027646555353967</c:v>
                </c:pt>
                <c:pt idx="181">
                  <c:v>0.25008369298541366</c:v>
                </c:pt>
                <c:pt idx="183">
                  <c:v>-1.3751734731329606E-2</c:v>
                </c:pt>
                <c:pt idx="185">
                  <c:v>3.0220216941747569</c:v>
                </c:pt>
                <c:pt idx="187">
                  <c:v>2.2331406391610118</c:v>
                </c:pt>
                <c:pt idx="189">
                  <c:v>1.3145127320171424</c:v>
                </c:pt>
                <c:pt idx="191">
                  <c:v>1.4398168903778306</c:v>
                </c:pt>
                <c:pt idx="193">
                  <c:v>-0.38673607073808425</c:v>
                </c:pt>
                <c:pt idx="195">
                  <c:v>-0.74174769104121085</c:v>
                </c:pt>
                <c:pt idx="197">
                  <c:v>-0.80091629442506518</c:v>
                </c:pt>
                <c:pt idx="199">
                  <c:v>-0.51567516036467498</c:v>
                </c:pt>
                <c:pt idx="201">
                  <c:v>2.4717954499469775E-2</c:v>
                </c:pt>
                <c:pt idx="203">
                  <c:v>-0.76446601145310022</c:v>
                </c:pt>
                <c:pt idx="205">
                  <c:v>-0.9569154279200397</c:v>
                </c:pt>
                <c:pt idx="207">
                  <c:v>-0.34220816273078097</c:v>
                </c:pt>
                <c:pt idx="209">
                  <c:v>1.0441142339591869</c:v>
                </c:pt>
                <c:pt idx="211">
                  <c:v>1.6111635114399485</c:v>
                </c:pt>
                <c:pt idx="213">
                  <c:v>0.34035115275532107</c:v>
                </c:pt>
                <c:pt idx="215">
                  <c:v>2.810387918248888</c:v>
                </c:pt>
                <c:pt idx="217">
                  <c:v>-0.45822305230082988</c:v>
                </c:pt>
                <c:pt idx="219">
                  <c:v>-0.57060301060497665</c:v>
                </c:pt>
                <c:pt idx="221">
                  <c:v>-7.948340845639669E-2</c:v>
                </c:pt>
                <c:pt idx="223">
                  <c:v>0.31652215890107266</c:v>
                </c:pt>
                <c:pt idx="225">
                  <c:v>-0.16631787758628555</c:v>
                </c:pt>
                <c:pt idx="227">
                  <c:v>-0.36361386907442794</c:v>
                </c:pt>
                <c:pt idx="229">
                  <c:v>-0.64744141875363392</c:v>
                </c:pt>
                <c:pt idx="231">
                  <c:v>0.10559517516579638</c:v>
                </c:pt>
                <c:pt idx="233">
                  <c:v>1.13296810934791</c:v>
                </c:pt>
                <c:pt idx="235">
                  <c:v>0.91860813497261495</c:v>
                </c:pt>
                <c:pt idx="237">
                  <c:v>2.1647837372994601</c:v>
                </c:pt>
                <c:pt idx="239">
                  <c:v>1.6556914194472516</c:v>
                </c:pt>
                <c:pt idx="241">
                  <c:v>-0.40521363800642102</c:v>
                </c:pt>
                <c:pt idx="243">
                  <c:v>-0.59099901381920628</c:v>
                </c:pt>
                <c:pt idx="245">
                  <c:v>-0.10543277888242154</c:v>
                </c:pt>
                <c:pt idx="247">
                  <c:v>6.9750714071481812E-2</c:v>
                </c:pt>
                <c:pt idx="249">
                  <c:v>0.18011126611679387</c:v>
                </c:pt>
                <c:pt idx="251">
                  <c:v>-0.79707942253327935</c:v>
                </c:pt>
                <c:pt idx="253">
                  <c:v>-0.76204272394249872</c:v>
                </c:pt>
                <c:pt idx="255">
                  <c:v>-0.68873827674680199</c:v>
                </c:pt>
                <c:pt idx="257">
                  <c:v>0.30642512760689938</c:v>
                </c:pt>
                <c:pt idx="259">
                  <c:v>1.1324632577832014</c:v>
                </c:pt>
                <c:pt idx="261">
                  <c:v>0.94395168352098924</c:v>
                </c:pt>
                <c:pt idx="263">
                  <c:v>1.6185343442846951</c:v>
                </c:pt>
                <c:pt idx="265">
                  <c:v>-0.57252144655086945</c:v>
                </c:pt>
                <c:pt idx="267">
                  <c:v>-0.87916828695490679</c:v>
                </c:pt>
                <c:pt idx="269">
                  <c:v>-0.49669274153162946</c:v>
                </c:pt>
                <c:pt idx="272">
                  <c:v>-0.31948984231889149</c:v>
                </c:pt>
                <c:pt idx="274">
                  <c:v>-0.50668880251286086</c:v>
                </c:pt>
                <c:pt idx="276">
                  <c:v>-5.7976731799808057E-2</c:v>
                </c:pt>
                <c:pt idx="278">
                  <c:v>-0.79223284751207634</c:v>
                </c:pt>
                <c:pt idx="280">
                  <c:v>-0.269004685848026</c:v>
                </c:pt>
                <c:pt idx="282">
                  <c:v>0.85095802530165499</c:v>
                </c:pt>
                <c:pt idx="284">
                  <c:v>-9.0590142879987054E-2</c:v>
                </c:pt>
                <c:pt idx="286">
                  <c:v>1.7348521447935688</c:v>
                </c:pt>
                <c:pt idx="288">
                  <c:v>0.94627400071864931</c:v>
                </c:pt>
                <c:pt idx="290">
                  <c:v>2.7848034200663497E-2</c:v>
                </c:pt>
                <c:pt idx="292">
                  <c:v>-0.57231950592498604</c:v>
                </c:pt>
                <c:pt idx="295">
                  <c:v>-0.95667983052317573</c:v>
                </c:pt>
                <c:pt idx="297">
                  <c:v>-0.75537868328834445</c:v>
                </c:pt>
                <c:pt idx="299">
                  <c:v>-0.67248205636318326</c:v>
                </c:pt>
                <c:pt idx="302">
                  <c:v>-0.6178234602907261</c:v>
                </c:pt>
                <c:pt idx="304">
                  <c:v>-0.78011640995906861</c:v>
                </c:pt>
                <c:pt idx="306">
                  <c:v>-0.31333065322944592</c:v>
                </c:pt>
                <c:pt idx="308">
                  <c:v>0.98706600714710868</c:v>
                </c:pt>
                <c:pt idx="311">
                  <c:v>0.60189792004538512</c:v>
                </c:pt>
                <c:pt idx="314">
                  <c:v>1.5925513170876897</c:v>
                </c:pt>
                <c:pt idx="316">
                  <c:v>1.3557086196973689</c:v>
                </c:pt>
                <c:pt idx="318">
                  <c:v>-0.65905300474193307</c:v>
                </c:pt>
                <c:pt idx="320">
                  <c:v>-0.65259090471366232</c:v>
                </c:pt>
                <c:pt idx="322">
                  <c:v>-0.9005739932985537</c:v>
                </c:pt>
                <c:pt idx="324">
                  <c:v>-7.1910634985766761E-2</c:v>
                </c:pt>
                <c:pt idx="326">
                  <c:v>0.32500366518817803</c:v>
                </c:pt>
                <c:pt idx="328">
                  <c:v>-0.47579188675269113</c:v>
                </c:pt>
                <c:pt idx="330">
                  <c:v>-1.0208296360121556</c:v>
                </c:pt>
                <c:pt idx="332">
                  <c:v>-0.96660857796244581</c:v>
                </c:pt>
                <c:pt idx="334">
                  <c:v>-0.41833977868884614</c:v>
                </c:pt>
                <c:pt idx="337">
                  <c:v>0.58257893350253398</c:v>
                </c:pt>
                <c:pt idx="339">
                  <c:v>0.13366492216359765</c:v>
                </c:pt>
                <c:pt idx="341">
                  <c:v>-0.35876729405322483</c:v>
                </c:pt>
                <c:pt idx="343">
                  <c:v>-0.77345236930491423</c:v>
                </c:pt>
                <c:pt idx="345">
                  <c:v>-0.83191418049817667</c:v>
                </c:pt>
                <c:pt idx="347">
                  <c:v>-0.71337503310458428</c:v>
                </c:pt>
                <c:pt idx="349">
                  <c:v>-0.46084828043731496</c:v>
                </c:pt>
                <c:pt idx="351">
                  <c:v>-0.5829213887838679</c:v>
                </c:pt>
                <c:pt idx="353">
                  <c:v>-0.44964057570078275</c:v>
                </c:pt>
                <c:pt idx="355">
                  <c:v>-0.69085865331857832</c:v>
                </c:pt>
                <c:pt idx="357">
                  <c:v>-0.29545890783875939</c:v>
                </c:pt>
                <c:pt idx="360">
                  <c:v>0.30861281772063687</c:v>
                </c:pt>
                <c:pt idx="362">
                  <c:v>0.11579317677291112</c:v>
                </c:pt>
                <c:pt idx="364">
                  <c:v>0.56167807872359554</c:v>
                </c:pt>
                <c:pt idx="367">
                  <c:v>-0.26375422957505584</c:v>
                </c:pt>
                <c:pt idx="369">
                  <c:v>-0.9615600623153594</c:v>
                </c:pt>
                <c:pt idx="371">
                  <c:v>-0.86472953220423932</c:v>
                </c:pt>
                <c:pt idx="373">
                  <c:v>-0.21114869653241403</c:v>
                </c:pt>
                <c:pt idx="375">
                  <c:v>0.1776879786061924</c:v>
                </c:pt>
                <c:pt idx="379">
                  <c:v>0.93900413818684481</c:v>
                </c:pt>
                <c:pt idx="381">
                  <c:v>-0.9322786715622573</c:v>
                </c:pt>
                <c:pt idx="383">
                  <c:v>0.38467712013674116</c:v>
                </c:pt>
                <c:pt idx="385">
                  <c:v>1.1546767266303823</c:v>
                </c:pt>
                <c:pt idx="387">
                  <c:v>0.50523567378916778</c:v>
                </c:pt>
                <c:pt idx="389">
                  <c:v>0.79542435318370319</c:v>
                </c:pt>
                <c:pt idx="391">
                  <c:v>-0.10815897733184839</c:v>
                </c:pt>
                <c:pt idx="393">
                  <c:v>-0.62785317804293816</c:v>
                </c:pt>
                <c:pt idx="395">
                  <c:v>-0.92208066995514237</c:v>
                </c:pt>
                <c:pt idx="397">
                  <c:v>-0.89542450733852541</c:v>
                </c:pt>
                <c:pt idx="399">
                  <c:v>-0.30969572196354345</c:v>
                </c:pt>
                <c:pt idx="401">
                  <c:v>-0.40107385517581023</c:v>
                </c:pt>
                <c:pt idx="403">
                  <c:v>-0.48154719459036976</c:v>
                </c:pt>
                <c:pt idx="405">
                  <c:v>-0.67581407669026039</c:v>
                </c:pt>
                <c:pt idx="407">
                  <c:v>0.45162043761710874</c:v>
                </c:pt>
                <c:pt idx="409">
                  <c:v>1.8711620672649059</c:v>
                </c:pt>
                <c:pt idx="411">
                  <c:v>1.2813944693722548</c:v>
                </c:pt>
                <c:pt idx="413">
                  <c:v>0.92729158188560368</c:v>
                </c:pt>
                <c:pt idx="415">
                  <c:v>0.84984735185929594</c:v>
                </c:pt>
                <c:pt idx="417">
                  <c:v>-0.7199381034457969</c:v>
                </c:pt>
                <c:pt idx="419">
                  <c:v>-0.98882204680962671</c:v>
                </c:pt>
                <c:pt idx="421">
                  <c:v>-0.69469552521036415</c:v>
                </c:pt>
                <c:pt idx="427">
                  <c:v>-0.54556237299542731</c:v>
                </c:pt>
                <c:pt idx="431">
                  <c:v>0.89982765676545295</c:v>
                </c:pt>
                <c:pt idx="433">
                  <c:v>0.39386541861443863</c:v>
                </c:pt>
                <c:pt idx="435">
                  <c:v>1.1973871690047344</c:v>
                </c:pt>
                <c:pt idx="439">
                  <c:v>-0.75689323798247043</c:v>
                </c:pt>
                <c:pt idx="441">
                  <c:v>-1.0226471016451066</c:v>
                </c:pt>
                <c:pt idx="445">
                  <c:v>-0.6760160173161438</c:v>
                </c:pt>
                <c:pt idx="447">
                  <c:v>-0.63310363431590821</c:v>
                </c:pt>
                <c:pt idx="449">
                  <c:v>-0.69843142678920811</c:v>
                </c:pt>
                <c:pt idx="451">
                  <c:v>-4.6644065665738237E-3</c:v>
                </c:pt>
                <c:pt idx="453">
                  <c:v>-0.23861262165256475</c:v>
                </c:pt>
                <c:pt idx="455">
                  <c:v>2.2926121534836912</c:v>
                </c:pt>
                <c:pt idx="457">
                  <c:v>0.44636998134413874</c:v>
                </c:pt>
                <c:pt idx="459">
                  <c:v>3.5268732588834122</c:v>
                </c:pt>
                <c:pt idx="461">
                  <c:v>0.29743876975508543</c:v>
                </c:pt>
                <c:pt idx="463">
                  <c:v>1.1672980157480988</c:v>
                </c:pt>
                <c:pt idx="465">
                  <c:v>-0.71822160812578739</c:v>
                </c:pt>
                <c:pt idx="467">
                  <c:v>-0.61331345297932882</c:v>
                </c:pt>
                <c:pt idx="475">
                  <c:v>-0.90158369642797098</c:v>
                </c:pt>
                <c:pt idx="477">
                  <c:v>-0.46337253826085817</c:v>
                </c:pt>
                <c:pt idx="479">
                  <c:v>-9.2003727261171397E-2</c:v>
                </c:pt>
                <c:pt idx="481">
                  <c:v>-0.13208894149903849</c:v>
                </c:pt>
                <c:pt idx="483">
                  <c:v>-0.35563721435203111</c:v>
                </c:pt>
                <c:pt idx="487">
                  <c:v>-0.37653806913096954</c:v>
                </c:pt>
                <c:pt idx="489">
                  <c:v>-0.83999180553351516</c:v>
                </c:pt>
                <c:pt idx="493">
                  <c:v>-0.93823592002581935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FF-6F4D-AFC6-587F299AA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Fuco CUSUM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fuoo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'fuco update'!$B$3:$B$496</c:f>
              <c:numCache>
                <c:formatCode>[$-409]mmm\-yy;@</c:formatCode>
                <c:ptCount val="494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36600</c:v>
                </c:pt>
                <c:pt idx="11">
                  <c:v>36600</c:v>
                </c:pt>
                <c:pt idx="12">
                  <c:v>36628</c:v>
                </c:pt>
                <c:pt idx="13">
                  <c:v>36628</c:v>
                </c:pt>
                <c:pt idx="14">
                  <c:v>36661</c:v>
                </c:pt>
                <c:pt idx="15">
                  <c:v>36661</c:v>
                </c:pt>
                <c:pt idx="16">
                  <c:v>36691</c:v>
                </c:pt>
                <c:pt idx="17">
                  <c:v>36691</c:v>
                </c:pt>
                <c:pt idx="18">
                  <c:v>36720</c:v>
                </c:pt>
                <c:pt idx="19">
                  <c:v>36720</c:v>
                </c:pt>
                <c:pt idx="20">
                  <c:v>36754</c:v>
                </c:pt>
                <c:pt idx="21">
                  <c:v>36754</c:v>
                </c:pt>
                <c:pt idx="22">
                  <c:v>36782</c:v>
                </c:pt>
                <c:pt idx="23">
                  <c:v>36782</c:v>
                </c:pt>
                <c:pt idx="24">
                  <c:v>36818</c:v>
                </c:pt>
                <c:pt idx="25">
                  <c:v>36818</c:v>
                </c:pt>
                <c:pt idx="26">
                  <c:v>36845</c:v>
                </c:pt>
                <c:pt idx="27">
                  <c:v>36848</c:v>
                </c:pt>
                <c:pt idx="28">
                  <c:v>36875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36963</c:v>
                </c:pt>
                <c:pt idx="35">
                  <c:v>36963</c:v>
                </c:pt>
                <c:pt idx="36">
                  <c:v>37000</c:v>
                </c:pt>
                <c:pt idx="37">
                  <c:v>37000</c:v>
                </c:pt>
                <c:pt idx="38">
                  <c:v>37028</c:v>
                </c:pt>
                <c:pt idx="39">
                  <c:v>37027</c:v>
                </c:pt>
                <c:pt idx="40">
                  <c:v>37058</c:v>
                </c:pt>
                <c:pt idx="41">
                  <c:v>37056</c:v>
                </c:pt>
                <c:pt idx="42">
                  <c:v>37089</c:v>
                </c:pt>
                <c:pt idx="43">
                  <c:v>37089</c:v>
                </c:pt>
                <c:pt idx="44">
                  <c:v>37119</c:v>
                </c:pt>
                <c:pt idx="45">
                  <c:v>37119</c:v>
                </c:pt>
                <c:pt idx="46">
                  <c:v>37152</c:v>
                </c:pt>
                <c:pt idx="47">
                  <c:v>37152</c:v>
                </c:pt>
                <c:pt idx="48">
                  <c:v>37181</c:v>
                </c:pt>
                <c:pt idx="49">
                  <c:v>37181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37690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37817</c:v>
                </c:pt>
                <c:pt idx="91">
                  <c:v>37817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37908</c:v>
                </c:pt>
                <c:pt idx="97">
                  <c:v>37908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38000</c:v>
                </c:pt>
                <c:pt idx="103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38335</c:v>
                </c:pt>
                <c:pt idx="125">
                  <c:v>38335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38468</c:v>
                </c:pt>
                <c:pt idx="133">
                  <c:v>38468</c:v>
                </c:pt>
                <c:pt idx="134">
                  <c:v>38489</c:v>
                </c:pt>
                <c:pt idx="135">
                  <c:v>38489</c:v>
                </c:pt>
                <c:pt idx="136">
                  <c:v>38517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38587</c:v>
                </c:pt>
                <c:pt idx="141">
                  <c:v>38588</c:v>
                </c:pt>
                <c:pt idx="142">
                  <c:v>38608</c:v>
                </c:pt>
                <c:pt idx="143">
                  <c:v>38608</c:v>
                </c:pt>
                <c:pt idx="144">
                  <c:v>38637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39009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39098</c:v>
                </c:pt>
                <c:pt idx="175">
                  <c:v>39098</c:v>
                </c:pt>
                <c:pt idx="176">
                  <c:v>39133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39245</c:v>
                </c:pt>
                <c:pt idx="185">
                  <c:v>39245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39337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39426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39583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39799</c:v>
                </c:pt>
                <c:pt idx="221">
                  <c:v>39800</c:v>
                </c:pt>
                <c:pt idx="222">
                  <c:v>39825</c:v>
                </c:pt>
                <c:pt idx="223">
                  <c:v>39825</c:v>
                </c:pt>
                <c:pt idx="224">
                  <c:v>39855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40042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40133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40282</c:v>
                </c:pt>
                <c:pt idx="253">
                  <c:v>40282</c:v>
                </c:pt>
                <c:pt idx="254">
                  <c:v>40315</c:v>
                </c:pt>
                <c:pt idx="255">
                  <c:v>40315</c:v>
                </c:pt>
                <c:pt idx="256">
                  <c:v>40344</c:v>
                </c:pt>
                <c:pt idx="257">
                  <c:v>40344</c:v>
                </c:pt>
                <c:pt idx="258">
                  <c:v>40371</c:v>
                </c:pt>
                <c:pt idx="259">
                  <c:v>40371</c:v>
                </c:pt>
                <c:pt idx="260">
                  <c:v>40407</c:v>
                </c:pt>
                <c:pt idx="261">
                  <c:v>40407</c:v>
                </c:pt>
                <c:pt idx="262">
                  <c:v>40436</c:v>
                </c:pt>
                <c:pt idx="263">
                  <c:v>40436</c:v>
                </c:pt>
                <c:pt idx="264">
                  <c:v>40464</c:v>
                </c:pt>
                <c:pt idx="265">
                  <c:v>40464</c:v>
                </c:pt>
                <c:pt idx="266">
                  <c:v>40498</c:v>
                </c:pt>
                <c:pt idx="267">
                  <c:v>40498</c:v>
                </c:pt>
                <c:pt idx="268">
                  <c:v>40520</c:v>
                </c:pt>
                <c:pt idx="269">
                  <c:v>40520</c:v>
                </c:pt>
                <c:pt idx="270">
                  <c:v>40562</c:v>
                </c:pt>
                <c:pt idx="271">
                  <c:v>40562</c:v>
                </c:pt>
                <c:pt idx="272">
                  <c:v>40562</c:v>
                </c:pt>
                <c:pt idx="273">
                  <c:v>40591</c:v>
                </c:pt>
                <c:pt idx="274">
                  <c:v>40591</c:v>
                </c:pt>
                <c:pt idx="275">
                  <c:v>40619</c:v>
                </c:pt>
                <c:pt idx="276">
                  <c:v>40619</c:v>
                </c:pt>
                <c:pt idx="277">
                  <c:v>40646</c:v>
                </c:pt>
                <c:pt idx="278">
                  <c:v>40646</c:v>
                </c:pt>
                <c:pt idx="279">
                  <c:v>40681</c:v>
                </c:pt>
                <c:pt idx="280">
                  <c:v>40681</c:v>
                </c:pt>
                <c:pt idx="281">
                  <c:v>40708</c:v>
                </c:pt>
                <c:pt idx="282">
                  <c:v>40708</c:v>
                </c:pt>
                <c:pt idx="283">
                  <c:v>40735</c:v>
                </c:pt>
                <c:pt idx="284">
                  <c:v>40735</c:v>
                </c:pt>
                <c:pt idx="285">
                  <c:v>40771</c:v>
                </c:pt>
                <c:pt idx="286">
                  <c:v>40771</c:v>
                </c:pt>
                <c:pt idx="287">
                  <c:v>40799</c:v>
                </c:pt>
                <c:pt idx="288">
                  <c:v>40799</c:v>
                </c:pt>
                <c:pt idx="289">
                  <c:v>40827</c:v>
                </c:pt>
                <c:pt idx="290">
                  <c:v>40827</c:v>
                </c:pt>
                <c:pt idx="291">
                  <c:v>40862</c:v>
                </c:pt>
                <c:pt idx="292">
                  <c:v>40862</c:v>
                </c:pt>
                <c:pt idx="293">
                  <c:v>40891</c:v>
                </c:pt>
                <c:pt idx="294">
                  <c:v>40890</c:v>
                </c:pt>
                <c:pt idx="295">
                  <c:v>40890</c:v>
                </c:pt>
                <c:pt idx="296">
                  <c:v>40917</c:v>
                </c:pt>
                <c:pt idx="297">
                  <c:v>40917</c:v>
                </c:pt>
                <c:pt idx="298">
                  <c:v>40962</c:v>
                </c:pt>
                <c:pt idx="299">
                  <c:v>40962</c:v>
                </c:pt>
                <c:pt idx="300">
                  <c:v>40980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41107</c:v>
                </c:pt>
                <c:pt idx="312">
                  <c:v>41135</c:v>
                </c:pt>
                <c:pt idx="313">
                  <c:v>41135</c:v>
                </c:pt>
                <c:pt idx="314">
                  <c:v>41135</c:v>
                </c:pt>
                <c:pt idx="315">
                  <c:v>41164</c:v>
                </c:pt>
                <c:pt idx="316">
                  <c:v>41164</c:v>
                </c:pt>
                <c:pt idx="317">
                  <c:v>41200</c:v>
                </c:pt>
                <c:pt idx="318">
                  <c:v>41200</c:v>
                </c:pt>
                <c:pt idx="319">
                  <c:v>41226</c:v>
                </c:pt>
                <c:pt idx="320">
                  <c:v>41226</c:v>
                </c:pt>
                <c:pt idx="321">
                  <c:v>41254</c:v>
                </c:pt>
                <c:pt idx="322">
                  <c:v>41254</c:v>
                </c:pt>
                <c:pt idx="323">
                  <c:v>41288</c:v>
                </c:pt>
                <c:pt idx="324">
                  <c:v>41288</c:v>
                </c:pt>
                <c:pt idx="325">
                  <c:v>41318</c:v>
                </c:pt>
                <c:pt idx="326">
                  <c:v>41318</c:v>
                </c:pt>
                <c:pt idx="327">
                  <c:v>41344</c:v>
                </c:pt>
                <c:pt idx="328">
                  <c:v>41344</c:v>
                </c:pt>
                <c:pt idx="329">
                  <c:v>41381</c:v>
                </c:pt>
                <c:pt idx="330">
                  <c:v>41379</c:v>
                </c:pt>
                <c:pt idx="331">
                  <c:v>41408</c:v>
                </c:pt>
                <c:pt idx="332">
                  <c:v>41408</c:v>
                </c:pt>
                <c:pt idx="333">
                  <c:v>41436</c:v>
                </c:pt>
                <c:pt idx="334">
                  <c:v>41437</c:v>
                </c:pt>
                <c:pt idx="335">
                  <c:v>41471</c:v>
                </c:pt>
                <c:pt idx="336">
                  <c:v>41471</c:v>
                </c:pt>
                <c:pt idx="337">
                  <c:v>41471</c:v>
                </c:pt>
                <c:pt idx="338">
                  <c:v>41499</c:v>
                </c:pt>
                <c:pt idx="339">
                  <c:v>41499</c:v>
                </c:pt>
                <c:pt idx="340">
                  <c:v>41533</c:v>
                </c:pt>
                <c:pt idx="341">
                  <c:v>41533</c:v>
                </c:pt>
                <c:pt idx="342">
                  <c:v>41569</c:v>
                </c:pt>
                <c:pt idx="343">
                  <c:v>41569</c:v>
                </c:pt>
                <c:pt idx="344">
                  <c:v>41597</c:v>
                </c:pt>
                <c:pt idx="345">
                  <c:v>41597</c:v>
                </c:pt>
                <c:pt idx="346">
                  <c:v>41624</c:v>
                </c:pt>
                <c:pt idx="347">
                  <c:v>41624</c:v>
                </c:pt>
                <c:pt idx="348">
                  <c:v>41654</c:v>
                </c:pt>
                <c:pt idx="349">
                  <c:v>41654</c:v>
                </c:pt>
                <c:pt idx="350">
                  <c:v>41688</c:v>
                </c:pt>
                <c:pt idx="351">
                  <c:v>41690</c:v>
                </c:pt>
                <c:pt idx="352">
                  <c:v>41719</c:v>
                </c:pt>
                <c:pt idx="353">
                  <c:v>41719</c:v>
                </c:pt>
                <c:pt idx="354">
                  <c:v>41747</c:v>
                </c:pt>
                <c:pt idx="355">
                  <c:v>41747</c:v>
                </c:pt>
                <c:pt idx="356">
                  <c:v>41772</c:v>
                </c:pt>
                <c:pt idx="357">
                  <c:v>41772</c:v>
                </c:pt>
                <c:pt idx="358">
                  <c:v>41808</c:v>
                </c:pt>
                <c:pt idx="359">
                  <c:v>41808</c:v>
                </c:pt>
                <c:pt idx="360">
                  <c:v>41808</c:v>
                </c:pt>
                <c:pt idx="361">
                  <c:v>41834</c:v>
                </c:pt>
                <c:pt idx="362">
                  <c:v>41834</c:v>
                </c:pt>
                <c:pt idx="363">
                  <c:v>41864</c:v>
                </c:pt>
                <c:pt idx="364">
                  <c:v>41862</c:v>
                </c:pt>
                <c:pt idx="365">
                  <c:v>41898</c:v>
                </c:pt>
                <c:pt idx="366">
                  <c:v>41898</c:v>
                </c:pt>
                <c:pt idx="367">
                  <c:v>41898</c:v>
                </c:pt>
                <c:pt idx="368">
                  <c:v>41929</c:v>
                </c:pt>
                <c:pt idx="369">
                  <c:v>41929</c:v>
                </c:pt>
                <c:pt idx="370">
                  <c:v>41953</c:v>
                </c:pt>
                <c:pt idx="371">
                  <c:v>41953</c:v>
                </c:pt>
                <c:pt idx="372">
                  <c:v>41988</c:v>
                </c:pt>
                <c:pt idx="373">
                  <c:v>41988</c:v>
                </c:pt>
                <c:pt idx="374">
                  <c:v>42014</c:v>
                </c:pt>
                <c:pt idx="375">
                  <c:v>42009</c:v>
                </c:pt>
                <c:pt idx="376">
                  <c:v>42036</c:v>
                </c:pt>
                <c:pt idx="377">
                  <c:v>42036</c:v>
                </c:pt>
                <c:pt idx="378">
                  <c:v>42064</c:v>
                </c:pt>
                <c:pt idx="379">
                  <c:v>42064</c:v>
                </c:pt>
                <c:pt idx="380">
                  <c:v>42095</c:v>
                </c:pt>
                <c:pt idx="381">
                  <c:v>42095</c:v>
                </c:pt>
                <c:pt idx="382">
                  <c:v>42125</c:v>
                </c:pt>
                <c:pt idx="383">
                  <c:v>42125</c:v>
                </c:pt>
                <c:pt idx="384">
                  <c:v>42156</c:v>
                </c:pt>
                <c:pt idx="385">
                  <c:v>42156</c:v>
                </c:pt>
                <c:pt idx="386">
                  <c:v>42186</c:v>
                </c:pt>
                <c:pt idx="387">
                  <c:v>42186</c:v>
                </c:pt>
                <c:pt idx="388">
                  <c:v>42217</c:v>
                </c:pt>
                <c:pt idx="389">
                  <c:v>42217</c:v>
                </c:pt>
                <c:pt idx="390">
                  <c:v>42248</c:v>
                </c:pt>
                <c:pt idx="391">
                  <c:v>42248</c:v>
                </c:pt>
                <c:pt idx="392">
                  <c:v>42278</c:v>
                </c:pt>
                <c:pt idx="393">
                  <c:v>42278</c:v>
                </c:pt>
                <c:pt idx="394">
                  <c:v>42309</c:v>
                </c:pt>
                <c:pt idx="395">
                  <c:v>42309</c:v>
                </c:pt>
                <c:pt idx="396">
                  <c:v>42339</c:v>
                </c:pt>
                <c:pt idx="397">
                  <c:v>42339</c:v>
                </c:pt>
                <c:pt idx="398">
                  <c:v>42379</c:v>
                </c:pt>
                <c:pt idx="399">
                  <c:v>42374</c:v>
                </c:pt>
                <c:pt idx="400">
                  <c:v>42401</c:v>
                </c:pt>
                <c:pt idx="401">
                  <c:v>42401</c:v>
                </c:pt>
                <c:pt idx="402">
                  <c:v>42430</c:v>
                </c:pt>
                <c:pt idx="403">
                  <c:v>42430</c:v>
                </c:pt>
                <c:pt idx="404">
                  <c:v>42461</c:v>
                </c:pt>
                <c:pt idx="405">
                  <c:v>42461</c:v>
                </c:pt>
                <c:pt idx="406">
                  <c:v>42491</c:v>
                </c:pt>
                <c:pt idx="407">
                  <c:v>42491</c:v>
                </c:pt>
                <c:pt idx="408">
                  <c:v>42522</c:v>
                </c:pt>
                <c:pt idx="409">
                  <c:v>42522</c:v>
                </c:pt>
                <c:pt idx="410">
                  <c:v>42552</c:v>
                </c:pt>
                <c:pt idx="411">
                  <c:v>42552</c:v>
                </c:pt>
                <c:pt idx="412">
                  <c:v>42583</c:v>
                </c:pt>
                <c:pt idx="413">
                  <c:v>42583</c:v>
                </c:pt>
                <c:pt idx="414">
                  <c:v>42614</c:v>
                </c:pt>
                <c:pt idx="415">
                  <c:v>42614</c:v>
                </c:pt>
                <c:pt idx="416">
                  <c:v>42644</c:v>
                </c:pt>
                <c:pt idx="417">
                  <c:v>42644</c:v>
                </c:pt>
                <c:pt idx="418">
                  <c:v>42675</c:v>
                </c:pt>
                <c:pt idx="419">
                  <c:v>42675</c:v>
                </c:pt>
                <c:pt idx="420">
                  <c:v>42705</c:v>
                </c:pt>
                <c:pt idx="421">
                  <c:v>42705</c:v>
                </c:pt>
                <c:pt idx="422">
                  <c:v>42745</c:v>
                </c:pt>
                <c:pt idx="423">
                  <c:v>42740</c:v>
                </c:pt>
                <c:pt idx="424">
                  <c:v>42767</c:v>
                </c:pt>
                <c:pt idx="425">
                  <c:v>42767</c:v>
                </c:pt>
                <c:pt idx="426">
                  <c:v>42795</c:v>
                </c:pt>
                <c:pt idx="427">
                  <c:v>42795</c:v>
                </c:pt>
                <c:pt idx="428">
                  <c:v>42826</c:v>
                </c:pt>
                <c:pt idx="429">
                  <c:v>42826</c:v>
                </c:pt>
                <c:pt idx="430">
                  <c:v>42856</c:v>
                </c:pt>
                <c:pt idx="431">
                  <c:v>42856</c:v>
                </c:pt>
                <c:pt idx="432">
                  <c:v>42887</c:v>
                </c:pt>
                <c:pt idx="433">
                  <c:v>42887</c:v>
                </c:pt>
                <c:pt idx="434">
                  <c:v>42917</c:v>
                </c:pt>
                <c:pt idx="435">
                  <c:v>42917</c:v>
                </c:pt>
                <c:pt idx="436">
                  <c:v>42948</c:v>
                </c:pt>
                <c:pt idx="437">
                  <c:v>42948</c:v>
                </c:pt>
                <c:pt idx="438">
                  <c:v>42979</c:v>
                </c:pt>
                <c:pt idx="439">
                  <c:v>42979</c:v>
                </c:pt>
                <c:pt idx="440">
                  <c:v>43009</c:v>
                </c:pt>
                <c:pt idx="441">
                  <c:v>43009</c:v>
                </c:pt>
                <c:pt idx="442">
                  <c:v>43040</c:v>
                </c:pt>
                <c:pt idx="443">
                  <c:v>43040</c:v>
                </c:pt>
                <c:pt idx="444">
                  <c:v>43070</c:v>
                </c:pt>
                <c:pt idx="445">
                  <c:v>43070</c:v>
                </c:pt>
                <c:pt idx="446">
                  <c:v>43110</c:v>
                </c:pt>
                <c:pt idx="447">
                  <c:v>43105</c:v>
                </c:pt>
                <c:pt idx="448">
                  <c:v>43132</c:v>
                </c:pt>
                <c:pt idx="449">
                  <c:v>43132</c:v>
                </c:pt>
                <c:pt idx="450">
                  <c:v>43160</c:v>
                </c:pt>
                <c:pt idx="451">
                  <c:v>43160</c:v>
                </c:pt>
                <c:pt idx="452">
                  <c:v>43191</c:v>
                </c:pt>
                <c:pt idx="453">
                  <c:v>43191</c:v>
                </c:pt>
                <c:pt idx="454">
                  <c:v>43221</c:v>
                </c:pt>
                <c:pt idx="455">
                  <c:v>43221</c:v>
                </c:pt>
                <c:pt idx="456">
                  <c:v>43252</c:v>
                </c:pt>
                <c:pt idx="457">
                  <c:v>43252</c:v>
                </c:pt>
                <c:pt idx="458">
                  <c:v>43282</c:v>
                </c:pt>
                <c:pt idx="459">
                  <c:v>43282</c:v>
                </c:pt>
                <c:pt idx="460">
                  <c:v>43313</c:v>
                </c:pt>
                <c:pt idx="461">
                  <c:v>43313</c:v>
                </c:pt>
                <c:pt idx="462">
                  <c:v>43344</c:v>
                </c:pt>
                <c:pt idx="463">
                  <c:v>43344</c:v>
                </c:pt>
                <c:pt idx="464">
                  <c:v>43374</c:v>
                </c:pt>
                <c:pt idx="465">
                  <c:v>43374</c:v>
                </c:pt>
                <c:pt idx="466">
                  <c:v>43405</c:v>
                </c:pt>
                <c:pt idx="467">
                  <c:v>43405</c:v>
                </c:pt>
                <c:pt idx="468">
                  <c:v>43435</c:v>
                </c:pt>
                <c:pt idx="469">
                  <c:v>43435</c:v>
                </c:pt>
                <c:pt idx="470">
                  <c:v>43475</c:v>
                </c:pt>
                <c:pt idx="471">
                  <c:v>43470</c:v>
                </c:pt>
                <c:pt idx="472">
                  <c:v>43497</c:v>
                </c:pt>
                <c:pt idx="473">
                  <c:v>43497</c:v>
                </c:pt>
                <c:pt idx="474">
                  <c:v>43525</c:v>
                </c:pt>
                <c:pt idx="475">
                  <c:v>43525</c:v>
                </c:pt>
                <c:pt idx="476">
                  <c:v>43556</c:v>
                </c:pt>
                <c:pt idx="477">
                  <c:v>43556</c:v>
                </c:pt>
                <c:pt idx="478">
                  <c:v>43586</c:v>
                </c:pt>
                <c:pt idx="479">
                  <c:v>43586</c:v>
                </c:pt>
                <c:pt idx="480">
                  <c:v>43617</c:v>
                </c:pt>
                <c:pt idx="481">
                  <c:v>43617</c:v>
                </c:pt>
                <c:pt idx="482">
                  <c:v>43647</c:v>
                </c:pt>
                <c:pt idx="483">
                  <c:v>43647</c:v>
                </c:pt>
                <c:pt idx="484">
                  <c:v>43678</c:v>
                </c:pt>
                <c:pt idx="485">
                  <c:v>43678</c:v>
                </c:pt>
                <c:pt idx="486">
                  <c:v>43709</c:v>
                </c:pt>
                <c:pt idx="487">
                  <c:v>43709</c:v>
                </c:pt>
                <c:pt idx="488">
                  <c:v>43739</c:v>
                </c:pt>
                <c:pt idx="489">
                  <c:v>43739</c:v>
                </c:pt>
                <c:pt idx="490">
                  <c:v>43770</c:v>
                </c:pt>
                <c:pt idx="491">
                  <c:v>43770</c:v>
                </c:pt>
                <c:pt idx="492">
                  <c:v>43800</c:v>
                </c:pt>
                <c:pt idx="493">
                  <c:v>43800</c:v>
                </c:pt>
              </c:numCache>
            </c:numRef>
          </c:xVal>
          <c:yVal>
            <c:numRef>
              <c:f>'fuco update'!$N$3:$N$496</c:f>
              <c:numCache>
                <c:formatCode>General</c:formatCode>
                <c:ptCount val="494"/>
                <c:pt idx="1">
                  <c:v>-1.4213862911366677</c:v>
                </c:pt>
                <c:pt idx="3">
                  <c:v>-0.7908568918203297</c:v>
                </c:pt>
                <c:pt idx="5">
                  <c:v>-0.79446018992359912</c:v>
                </c:pt>
                <c:pt idx="7">
                  <c:v>0.13796527884404897</c:v>
                </c:pt>
                <c:pt idx="9">
                  <c:v>1.0734790595360131</c:v>
                </c:pt>
                <c:pt idx="11">
                  <c:v>1.2937798074266922</c:v>
                </c:pt>
                <c:pt idx="13">
                  <c:v>1.0007765184822606</c:v>
                </c:pt>
                <c:pt idx="15">
                  <c:v>2.4097638410187119</c:v>
                </c:pt>
                <c:pt idx="17">
                  <c:v>2.9566665170721871</c:v>
                </c:pt>
                <c:pt idx="19">
                  <c:v>1.7692715439106412</c:v>
                </c:pt>
                <c:pt idx="21">
                  <c:v>1.0328301935741548</c:v>
                </c:pt>
                <c:pt idx="23">
                  <c:v>1.3477167492363575</c:v>
                </c:pt>
                <c:pt idx="25">
                  <c:v>-0.116101271605898</c:v>
                </c:pt>
                <c:pt idx="27">
                  <c:v>-0.65299227892531686</c:v>
                </c:pt>
                <c:pt idx="29">
                  <c:v>-1.0276773592113175</c:v>
                </c:pt>
                <c:pt idx="31">
                  <c:v>-1.1208023675543619</c:v>
                </c:pt>
                <c:pt idx="33">
                  <c:v>-0.16654753767024821</c:v>
                </c:pt>
                <c:pt idx="35">
                  <c:v>-0.24933906019941329</c:v>
                </c:pt>
                <c:pt idx="37">
                  <c:v>-1.5844981948891408</c:v>
                </c:pt>
                <c:pt idx="39">
                  <c:v>-2.0842409894151994</c:v>
                </c:pt>
                <c:pt idx="41">
                  <c:v>-1.3879468803130293</c:v>
                </c:pt>
                <c:pt idx="43">
                  <c:v>-2.3435665633017302</c:v>
                </c:pt>
                <c:pt idx="45">
                  <c:v>-3.1437037972487358</c:v>
                </c:pt>
                <c:pt idx="47">
                  <c:v>-3.7095889930154664</c:v>
                </c:pt>
                <c:pt idx="49">
                  <c:v>-4.8917907572447126</c:v>
                </c:pt>
                <c:pt idx="51">
                  <c:v>-6.0905194602177728</c:v>
                </c:pt>
                <c:pt idx="53">
                  <c:v>-4.9269387119535688</c:v>
                </c:pt>
                <c:pt idx="55">
                  <c:v>-6.0471469471429895</c:v>
                </c:pt>
                <c:pt idx="57">
                  <c:v>-5.3528514203244466</c:v>
                </c:pt>
                <c:pt idx="59">
                  <c:v>-4.7410535639632512</c:v>
                </c:pt>
                <c:pt idx="61">
                  <c:v>-5.3536363054233167</c:v>
                </c:pt>
                <c:pt idx="73">
                  <c:v>-5.9235207023942014</c:v>
                </c:pt>
                <c:pt idx="75">
                  <c:v>-7.0704077841156305</c:v>
                </c:pt>
                <c:pt idx="77">
                  <c:v>-7.2673712796039558</c:v>
                </c:pt>
                <c:pt idx="79">
                  <c:v>-7.8801335371367447</c:v>
                </c:pt>
                <c:pt idx="81">
                  <c:v>-7.1021416502559447</c:v>
                </c:pt>
                <c:pt idx="83">
                  <c:v>-6.2818458138528435</c:v>
                </c:pt>
                <c:pt idx="85">
                  <c:v>-5.3346502551217752</c:v>
                </c:pt>
                <c:pt idx="87">
                  <c:v>-3.8536283204492143</c:v>
                </c:pt>
                <c:pt idx="89">
                  <c:v>-2.1825378845793533</c:v>
                </c:pt>
                <c:pt idx="91">
                  <c:v>-3.8687395087317547</c:v>
                </c:pt>
                <c:pt idx="93">
                  <c:v>-5.3833531892672335</c:v>
                </c:pt>
                <c:pt idx="95">
                  <c:v>-6.0268587715720621</c:v>
                </c:pt>
                <c:pt idx="97">
                  <c:v>-7.2276866801611117</c:v>
                </c:pt>
                <c:pt idx="99">
                  <c:v>-7.7783255761821088</c:v>
                </c:pt>
                <c:pt idx="101">
                  <c:v>-7.7494296938236173</c:v>
                </c:pt>
                <c:pt idx="103">
                  <c:v>-7.0704497162221251</c:v>
                </c:pt>
                <c:pt idx="105">
                  <c:v>-5.9726832071685783</c:v>
                </c:pt>
                <c:pt idx="107">
                  <c:v>-5.004514121248409</c:v>
                </c:pt>
                <c:pt idx="109">
                  <c:v>-4.2057802626478571</c:v>
                </c:pt>
                <c:pt idx="111">
                  <c:v>-3.9903368311029195</c:v>
                </c:pt>
                <c:pt idx="113">
                  <c:v>-3.4869688999716861</c:v>
                </c:pt>
                <c:pt idx="115">
                  <c:v>-5.0221917498844588</c:v>
                </c:pt>
                <c:pt idx="119">
                  <c:v>-4.7119742813182057</c:v>
                </c:pt>
                <c:pt idx="121">
                  <c:v>-5.2249248506904209</c:v>
                </c:pt>
                <c:pt idx="123">
                  <c:v>-4.5964890967524941</c:v>
                </c:pt>
                <c:pt idx="125">
                  <c:v>-5.7460765506955509</c:v>
                </c:pt>
                <c:pt idx="127">
                  <c:v>-4.9138210545504215</c:v>
                </c:pt>
                <c:pt idx="129">
                  <c:v>-5.1780301960508242</c:v>
                </c:pt>
                <c:pt idx="131">
                  <c:v>-6.1661546694375744</c:v>
                </c:pt>
                <c:pt idx="133">
                  <c:v>-4.668151019921531</c:v>
                </c:pt>
                <c:pt idx="135">
                  <c:v>-2.9855196383957741</c:v>
                </c:pt>
                <c:pt idx="137">
                  <c:v>-3.2694440927313666</c:v>
                </c:pt>
                <c:pt idx="139">
                  <c:v>-4.6136759556690148</c:v>
                </c:pt>
                <c:pt idx="141">
                  <c:v>-5.1025994819950098</c:v>
                </c:pt>
                <c:pt idx="143">
                  <c:v>-5.3884422993831116</c:v>
                </c:pt>
                <c:pt idx="145">
                  <c:v>-4.4809116354804432</c:v>
                </c:pt>
                <c:pt idx="147">
                  <c:v>-3.8546432525173451</c:v>
                </c:pt>
                <c:pt idx="149">
                  <c:v>-3.8819589945201449</c:v>
                </c:pt>
                <c:pt idx="151">
                  <c:v>-3.0130303914474577</c:v>
                </c:pt>
                <c:pt idx="153">
                  <c:v>-2.750917329102001</c:v>
                </c:pt>
                <c:pt idx="155">
                  <c:v>-1.9640832671156496</c:v>
                </c:pt>
                <c:pt idx="157">
                  <c:v>-1.4601394350020205</c:v>
                </c:pt>
                <c:pt idx="159">
                  <c:v>-2.2310308510136121</c:v>
                </c:pt>
                <c:pt idx="161">
                  <c:v>-0.54999597328327243</c:v>
                </c:pt>
                <c:pt idx="163">
                  <c:v>-2.2440000694055513</c:v>
                </c:pt>
                <c:pt idx="165">
                  <c:v>-2.9238404298477874</c:v>
                </c:pt>
                <c:pt idx="167">
                  <c:v>-2.2808918136865244</c:v>
                </c:pt>
                <c:pt idx="169">
                  <c:v>-0.45218730883658331</c:v>
                </c:pt>
                <c:pt idx="171">
                  <c:v>0.68068110547866612</c:v>
                </c:pt>
                <c:pt idx="173">
                  <c:v>1.6578758019033755</c:v>
                </c:pt>
                <c:pt idx="175">
                  <c:v>3.1855461654686352</c:v>
                </c:pt>
                <c:pt idx="177">
                  <c:v>3.3527864210489584</c:v>
                </c:pt>
                <c:pt idx="179">
                  <c:v>4.1349131564500698</c:v>
                </c:pt>
                <c:pt idx="181">
                  <c:v>5.7361368329038473</c:v>
                </c:pt>
                <c:pt idx="183">
                  <c:v>6.724446872838401</c:v>
                </c:pt>
                <c:pt idx="185">
                  <c:v>7.4487813258391373</c:v>
                </c:pt>
                <c:pt idx="187">
                  <c:v>6.0401304345376046</c:v>
                </c:pt>
                <c:pt idx="189">
                  <c:v>5.2752778572875592</c:v>
                </c:pt>
                <c:pt idx="191">
                  <c:v>3.7784926105348324</c:v>
                </c:pt>
                <c:pt idx="193">
                  <c:v>2.843522525457284</c:v>
                </c:pt>
                <c:pt idx="195">
                  <c:v>2.0550433836601827</c:v>
                </c:pt>
                <c:pt idx="197">
                  <c:v>2.2454766272234976</c:v>
                </c:pt>
                <c:pt idx="199">
                  <c:v>2.4500325230759898</c:v>
                </c:pt>
                <c:pt idx="201">
                  <c:v>2.1791338330360741</c:v>
                </c:pt>
                <c:pt idx="203">
                  <c:v>2.8267429606836907</c:v>
                </c:pt>
                <c:pt idx="205">
                  <c:v>2.5039376175232704</c:v>
                </c:pt>
                <c:pt idx="207">
                  <c:v>3.4072423565910954</c:v>
                </c:pt>
                <c:pt idx="209">
                  <c:v>2.2989117560887893</c:v>
                </c:pt>
                <c:pt idx="211">
                  <c:v>1.6742081735915486</c:v>
                </c:pt>
                <c:pt idx="213">
                  <c:v>0.5187390309044646</c:v>
                </c:pt>
                <c:pt idx="215">
                  <c:v>1.5770084872729777</c:v>
                </c:pt>
                <c:pt idx="217">
                  <c:v>2.1672014334863392</c:v>
                </c:pt>
                <c:pt idx="219">
                  <c:v>2.4159532172570124</c:v>
                </c:pt>
                <c:pt idx="221">
                  <c:v>2.9522784110375868</c:v>
                </c:pt>
                <c:pt idx="223">
                  <c:v>3.7943342392065373</c:v>
                </c:pt>
                <c:pt idx="225">
                  <c:v>4.940818307638601</c:v>
                </c:pt>
                <c:pt idx="227">
                  <c:v>6.3565896820504184</c:v>
                </c:pt>
                <c:pt idx="229">
                  <c:v>7.6225176649472584</c:v>
                </c:pt>
                <c:pt idx="231">
                  <c:v>8.5988591119867763</c:v>
                </c:pt>
                <c:pt idx="233">
                  <c:v>8.8358534821106574</c:v>
                </c:pt>
                <c:pt idx="235">
                  <c:v>7.3660121303079915</c:v>
                </c:pt>
                <c:pt idx="237">
                  <c:v>6.4026509343727982</c:v>
                </c:pt>
                <c:pt idx="239">
                  <c:v>6.4126916015643776</c:v>
                </c:pt>
                <c:pt idx="241">
                  <c:v>5.245625867025324</c:v>
                </c:pt>
                <c:pt idx="243">
                  <c:v>4.353208626547449</c:v>
                </c:pt>
                <c:pt idx="245">
                  <c:v>3.9675607754863838</c:v>
                </c:pt>
                <c:pt idx="247">
                  <c:v>5.3012526001467464</c:v>
                </c:pt>
                <c:pt idx="249">
                  <c:v>5.8088866293623278</c:v>
                </c:pt>
                <c:pt idx="251">
                  <c:v>7.1393747738780506</c:v>
                </c:pt>
                <c:pt idx="253">
                  <c:v>7.6704654880429057</c:v>
                </c:pt>
                <c:pt idx="255">
                  <c:v>8.1525698055745828</c:v>
                </c:pt>
                <c:pt idx="257">
                  <c:v>7.5840821298067764</c:v>
                </c:pt>
                <c:pt idx="259">
                  <c:v>7.0307357581464718</c:v>
                </c:pt>
                <c:pt idx="261">
                  <c:v>7.9796700935942289</c:v>
                </c:pt>
                <c:pt idx="263">
                  <c:v>9.6505168682859601</c:v>
                </c:pt>
                <c:pt idx="265">
                  <c:v>9.0840346692744909</c:v>
                </c:pt>
                <c:pt idx="267">
                  <c:v>9.393654721812176</c:v>
                </c:pt>
                <c:pt idx="269">
                  <c:v>10.01806512831957</c:v>
                </c:pt>
                <c:pt idx="272">
                  <c:v>11.312949616071815</c:v>
                </c:pt>
                <c:pt idx="274">
                  <c:v>12.241735288648604</c:v>
                </c:pt>
                <c:pt idx="276">
                  <c:v>13.779356048836398</c:v>
                </c:pt>
                <c:pt idx="278">
                  <c:v>13.012411344635792</c:v>
                </c:pt>
                <c:pt idx="280">
                  <c:v>12.83059951385305</c:v>
                </c:pt>
                <c:pt idx="282">
                  <c:v>12.98143790513322</c:v>
                </c:pt>
                <c:pt idx="284">
                  <c:v>11.821908287020563</c:v>
                </c:pt>
                <c:pt idx="286">
                  <c:v>10.540560531318187</c:v>
                </c:pt>
                <c:pt idx="288">
                  <c:v>11.127249078759007</c:v>
                </c:pt>
                <c:pt idx="290">
                  <c:v>9.2243732748237406</c:v>
                </c:pt>
                <c:pt idx="292">
                  <c:v>9.587395998921318</c:v>
                </c:pt>
                <c:pt idx="295">
                  <c:v>9.990075138759881</c:v>
                </c:pt>
                <c:pt idx="297">
                  <c:v>10.73573461167314</c:v>
                </c:pt>
                <c:pt idx="299">
                  <c:v>13.072199207523276</c:v>
                </c:pt>
                <c:pt idx="302">
                  <c:v>14.50256386344225</c:v>
                </c:pt>
                <c:pt idx="304">
                  <c:v>15.86657474377831</c:v>
                </c:pt>
                <c:pt idx="306">
                  <c:v>17.416203991021174</c:v>
                </c:pt>
                <c:pt idx="308">
                  <c:v>17.782214455462501</c:v>
                </c:pt>
                <c:pt idx="311">
                  <c:v>19.008855482251601</c:v>
                </c:pt>
                <c:pt idx="314">
                  <c:v>19.617017477701726</c:v>
                </c:pt>
                <c:pt idx="316">
                  <c:v>22.369416426080775</c:v>
                </c:pt>
                <c:pt idx="318">
                  <c:v>22.248263760985051</c:v>
                </c:pt>
                <c:pt idx="320">
                  <c:v>21.163520424253136</c:v>
                </c:pt>
                <c:pt idx="322">
                  <c:v>21.727831228411066</c:v>
                </c:pt>
                <c:pt idx="324">
                  <c:v>24.076639832536863</c:v>
                </c:pt>
                <c:pt idx="326">
                  <c:v>26.315013677568402</c:v>
                </c:pt>
                <c:pt idx="328">
                  <c:v>29.247918935949254</c:v>
                </c:pt>
                <c:pt idx="330">
                  <c:v>28.503633828521131</c:v>
                </c:pt>
                <c:pt idx="332">
                  <c:v>27.123087673154437</c:v>
                </c:pt>
                <c:pt idx="334">
                  <c:v>28.375241185316465</c:v>
                </c:pt>
                <c:pt idx="337">
                  <c:v>27.731530663652162</c:v>
                </c:pt>
                <c:pt idx="339">
                  <c:v>27.031535654349106</c:v>
                </c:pt>
                <c:pt idx="341">
                  <c:v>27.48303812590056</c:v>
                </c:pt>
                <c:pt idx="343">
                  <c:v>25.507111382403167</c:v>
                </c:pt>
                <c:pt idx="345">
                  <c:v>26.369407112492578</c:v>
                </c:pt>
                <c:pt idx="347">
                  <c:v>27.42021942702063</c:v>
                </c:pt>
                <c:pt idx="349">
                  <c:v>28.70260345365185</c:v>
                </c:pt>
                <c:pt idx="351">
                  <c:v>29.844926504210495</c:v>
                </c:pt>
                <c:pt idx="353">
                  <c:v>32.165665142097311</c:v>
                </c:pt>
                <c:pt idx="355">
                  <c:v>32.651545437572686</c:v>
                </c:pt>
                <c:pt idx="357">
                  <c:v>33.086081178655071</c:v>
                </c:pt>
                <c:pt idx="360">
                  <c:v>33.690837762897566</c:v>
                </c:pt>
                <c:pt idx="362">
                  <c:v>34.003582673549786</c:v>
                </c:pt>
                <c:pt idx="364">
                  <c:v>33.824861330554057</c:v>
                </c:pt>
                <c:pt idx="367">
                  <c:v>33.244627304497314</c:v>
                </c:pt>
                <c:pt idx="369">
                  <c:v>32.719473652647942</c:v>
                </c:pt>
                <c:pt idx="371">
                  <c:v>32.89946798955733</c:v>
                </c:pt>
                <c:pt idx="373">
                  <c:v>32.900114005223905</c:v>
                </c:pt>
                <c:pt idx="375">
                  <c:v>33.336017445188681</c:v>
                </c:pt>
                <c:pt idx="379">
                  <c:v>33.990032149876264</c:v>
                </c:pt>
                <c:pt idx="381">
                  <c:v>32.650961602294799</c:v>
                </c:pt>
                <c:pt idx="383">
                  <c:v>31.386548728340724</c:v>
                </c:pt>
                <c:pt idx="385">
                  <c:v>32.053880403097281</c:v>
                </c:pt>
                <c:pt idx="387">
                  <c:v>32.094456036736581</c:v>
                </c:pt>
                <c:pt idx="389">
                  <c:v>32.211735697628171</c:v>
                </c:pt>
                <c:pt idx="391">
                  <c:v>31.947005129629702</c:v>
                </c:pt>
                <c:pt idx="393">
                  <c:v>29.780374016090729</c:v>
                </c:pt>
                <c:pt idx="395">
                  <c:v>29.618751943987316</c:v>
                </c:pt>
                <c:pt idx="397">
                  <c:v>28.329800311702382</c:v>
                </c:pt>
                <c:pt idx="399">
                  <c:v>28.050633286519862</c:v>
                </c:pt>
                <c:pt idx="401">
                  <c:v>27.615943437745258</c:v>
                </c:pt>
                <c:pt idx="403">
                  <c:v>28.160059095105716</c:v>
                </c:pt>
                <c:pt idx="405">
                  <c:v>28.350093531187433</c:v>
                </c:pt>
                <c:pt idx="407">
                  <c:v>30.101104482725905</c:v>
                </c:pt>
                <c:pt idx="409">
                  <c:v>30.630392861593798</c:v>
                </c:pt>
                <c:pt idx="411">
                  <c:v>29.940786475891962</c:v>
                </c:pt>
                <c:pt idx="413">
                  <c:v>29.46711826994051</c:v>
                </c:pt>
                <c:pt idx="415">
                  <c:v>30.081809310010499</c:v>
                </c:pt>
                <c:pt idx="417">
                  <c:v>29.176926699559601</c:v>
                </c:pt>
                <c:pt idx="419">
                  <c:v>29.254484871160752</c:v>
                </c:pt>
                <c:pt idx="421">
                  <c:v>28.765888194080141</c:v>
                </c:pt>
                <c:pt idx="427">
                  <c:v>30.177617759793264</c:v>
                </c:pt>
                <c:pt idx="431">
                  <c:v>31.812205602037746</c:v>
                </c:pt>
                <c:pt idx="433">
                  <c:v>30.573382291049857</c:v>
                </c:pt>
                <c:pt idx="435">
                  <c:v>29.049390575230177</c:v>
                </c:pt>
                <c:pt idx="439">
                  <c:v>28.554794734904267</c:v>
                </c:pt>
                <c:pt idx="441">
                  <c:v>28.111101362680358</c:v>
                </c:pt>
                <c:pt idx="445">
                  <c:v>27.043784083719149</c:v>
                </c:pt>
                <c:pt idx="447">
                  <c:v>26.605216690241736</c:v>
                </c:pt>
                <c:pt idx="449">
                  <c:v>26.290513563262625</c:v>
                </c:pt>
                <c:pt idx="451">
                  <c:v>27.040561489977623</c:v>
                </c:pt>
                <c:pt idx="453">
                  <c:v>27.516534642555648</c:v>
                </c:pt>
                <c:pt idx="455">
                  <c:v>27.555573064763145</c:v>
                </c:pt>
                <c:pt idx="457">
                  <c:v>26.16974931542568</c:v>
                </c:pt>
                <c:pt idx="459">
                  <c:v>24.360535823877814</c:v>
                </c:pt>
                <c:pt idx="461">
                  <c:v>22.689519983590294</c:v>
                </c:pt>
                <c:pt idx="463">
                  <c:v>22.754097329141256</c:v>
                </c:pt>
                <c:pt idx="465">
                  <c:v>21.238903927511437</c:v>
                </c:pt>
                <c:pt idx="467">
                  <c:v>20.989763130366157</c:v>
                </c:pt>
                <c:pt idx="475">
                  <c:v>20.544444101207159</c:v>
                </c:pt>
                <c:pt idx="477">
                  <c:v>20.60826474873409</c:v>
                </c:pt>
                <c:pt idx="479">
                  <c:v>21.058355474467895</c:v>
                </c:pt>
                <c:pt idx="481">
                  <c:v>19.463058272369054</c:v>
                </c:pt>
                <c:pt idx="483">
                  <c:v>18.340380301256342</c:v>
                </c:pt>
                <c:pt idx="487">
                  <c:v>17.635843337550661</c:v>
                </c:pt>
                <c:pt idx="489">
                  <c:v>17.050663619998133</c:v>
                </c:pt>
                <c:pt idx="493">
                  <c:v>16.988414958131145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1B-B544-873F-0E1E0CBE4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  <c:minorUnit val="730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Fuco CUSUM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fuoo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'fuco update'!$B$3:$B$496</c:f>
              <c:numCache>
                <c:formatCode>[$-409]mmm\-yy;@</c:formatCode>
                <c:ptCount val="494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36600</c:v>
                </c:pt>
                <c:pt idx="11">
                  <c:v>36600</c:v>
                </c:pt>
                <c:pt idx="12">
                  <c:v>36628</c:v>
                </c:pt>
                <c:pt idx="13">
                  <c:v>36628</c:v>
                </c:pt>
                <c:pt idx="14">
                  <c:v>36661</c:v>
                </c:pt>
                <c:pt idx="15">
                  <c:v>36661</c:v>
                </c:pt>
                <c:pt idx="16">
                  <c:v>36691</c:v>
                </c:pt>
                <c:pt idx="17">
                  <c:v>36691</c:v>
                </c:pt>
                <c:pt idx="18">
                  <c:v>36720</c:v>
                </c:pt>
                <c:pt idx="19">
                  <c:v>36720</c:v>
                </c:pt>
                <c:pt idx="20">
                  <c:v>36754</c:v>
                </c:pt>
                <c:pt idx="21">
                  <c:v>36754</c:v>
                </c:pt>
                <c:pt idx="22">
                  <c:v>36782</c:v>
                </c:pt>
                <c:pt idx="23">
                  <c:v>36782</c:v>
                </c:pt>
                <c:pt idx="24">
                  <c:v>36818</c:v>
                </c:pt>
                <c:pt idx="25">
                  <c:v>36818</c:v>
                </c:pt>
                <c:pt idx="26">
                  <c:v>36845</c:v>
                </c:pt>
                <c:pt idx="27">
                  <c:v>36848</c:v>
                </c:pt>
                <c:pt idx="28">
                  <c:v>36875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36963</c:v>
                </c:pt>
                <c:pt idx="35">
                  <c:v>36963</c:v>
                </c:pt>
                <c:pt idx="36">
                  <c:v>37000</c:v>
                </c:pt>
                <c:pt idx="37">
                  <c:v>37000</c:v>
                </c:pt>
                <c:pt idx="38">
                  <c:v>37028</c:v>
                </c:pt>
                <c:pt idx="39">
                  <c:v>37027</c:v>
                </c:pt>
                <c:pt idx="40">
                  <c:v>37058</c:v>
                </c:pt>
                <c:pt idx="41">
                  <c:v>37056</c:v>
                </c:pt>
                <c:pt idx="42">
                  <c:v>37089</c:v>
                </c:pt>
                <c:pt idx="43">
                  <c:v>37089</c:v>
                </c:pt>
                <c:pt idx="44">
                  <c:v>37119</c:v>
                </c:pt>
                <c:pt idx="45">
                  <c:v>37119</c:v>
                </c:pt>
                <c:pt idx="46">
                  <c:v>37152</c:v>
                </c:pt>
                <c:pt idx="47">
                  <c:v>37152</c:v>
                </c:pt>
                <c:pt idx="48">
                  <c:v>37181</c:v>
                </c:pt>
                <c:pt idx="49">
                  <c:v>37181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37690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37817</c:v>
                </c:pt>
                <c:pt idx="91">
                  <c:v>37817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37908</c:v>
                </c:pt>
                <c:pt idx="97">
                  <c:v>37908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38000</c:v>
                </c:pt>
                <c:pt idx="103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38335</c:v>
                </c:pt>
                <c:pt idx="125">
                  <c:v>38335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38468</c:v>
                </c:pt>
                <c:pt idx="133">
                  <c:v>38468</c:v>
                </c:pt>
                <c:pt idx="134">
                  <c:v>38489</c:v>
                </c:pt>
                <c:pt idx="135">
                  <c:v>38489</c:v>
                </c:pt>
                <c:pt idx="136">
                  <c:v>38517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38587</c:v>
                </c:pt>
                <c:pt idx="141">
                  <c:v>38588</c:v>
                </c:pt>
                <c:pt idx="142">
                  <c:v>38608</c:v>
                </c:pt>
                <c:pt idx="143">
                  <c:v>38608</c:v>
                </c:pt>
                <c:pt idx="144">
                  <c:v>38637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39009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39098</c:v>
                </c:pt>
                <c:pt idx="175">
                  <c:v>39098</c:v>
                </c:pt>
                <c:pt idx="176">
                  <c:v>39133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39245</c:v>
                </c:pt>
                <c:pt idx="185">
                  <c:v>39245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39337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39426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39583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39799</c:v>
                </c:pt>
                <c:pt idx="221">
                  <c:v>39800</c:v>
                </c:pt>
                <c:pt idx="222">
                  <c:v>39825</c:v>
                </c:pt>
                <c:pt idx="223">
                  <c:v>39825</c:v>
                </c:pt>
                <c:pt idx="224">
                  <c:v>39855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40042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40133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40282</c:v>
                </c:pt>
                <c:pt idx="253">
                  <c:v>40282</c:v>
                </c:pt>
                <c:pt idx="254">
                  <c:v>40315</c:v>
                </c:pt>
                <c:pt idx="255">
                  <c:v>40315</c:v>
                </c:pt>
                <c:pt idx="256">
                  <c:v>40344</c:v>
                </c:pt>
                <c:pt idx="257">
                  <c:v>40344</c:v>
                </c:pt>
                <c:pt idx="258">
                  <c:v>40371</c:v>
                </c:pt>
                <c:pt idx="259">
                  <c:v>40371</c:v>
                </c:pt>
                <c:pt idx="260">
                  <c:v>40407</c:v>
                </c:pt>
                <c:pt idx="261">
                  <c:v>40407</c:v>
                </c:pt>
                <c:pt idx="262">
                  <c:v>40436</c:v>
                </c:pt>
                <c:pt idx="263">
                  <c:v>40436</c:v>
                </c:pt>
                <c:pt idx="264">
                  <c:v>40464</c:v>
                </c:pt>
                <c:pt idx="265">
                  <c:v>40464</c:v>
                </c:pt>
                <c:pt idx="266">
                  <c:v>40498</c:v>
                </c:pt>
                <c:pt idx="267">
                  <c:v>40498</c:v>
                </c:pt>
                <c:pt idx="268">
                  <c:v>40520</c:v>
                </c:pt>
                <c:pt idx="269">
                  <c:v>40520</c:v>
                </c:pt>
                <c:pt idx="270">
                  <c:v>40562</c:v>
                </c:pt>
                <c:pt idx="271">
                  <c:v>40562</c:v>
                </c:pt>
                <c:pt idx="272">
                  <c:v>40562</c:v>
                </c:pt>
                <c:pt idx="273">
                  <c:v>40591</c:v>
                </c:pt>
                <c:pt idx="274">
                  <c:v>40591</c:v>
                </c:pt>
                <c:pt idx="275">
                  <c:v>40619</c:v>
                </c:pt>
                <c:pt idx="276">
                  <c:v>40619</c:v>
                </c:pt>
                <c:pt idx="277">
                  <c:v>40646</c:v>
                </c:pt>
                <c:pt idx="278">
                  <c:v>40646</c:v>
                </c:pt>
                <c:pt idx="279">
                  <c:v>40681</c:v>
                </c:pt>
                <c:pt idx="280">
                  <c:v>40681</c:v>
                </c:pt>
                <c:pt idx="281">
                  <c:v>40708</c:v>
                </c:pt>
                <c:pt idx="282">
                  <c:v>40708</c:v>
                </c:pt>
                <c:pt idx="283">
                  <c:v>40735</c:v>
                </c:pt>
                <c:pt idx="284">
                  <c:v>40735</c:v>
                </c:pt>
                <c:pt idx="285">
                  <c:v>40771</c:v>
                </c:pt>
                <c:pt idx="286">
                  <c:v>40771</c:v>
                </c:pt>
                <c:pt idx="287">
                  <c:v>40799</c:v>
                </c:pt>
                <c:pt idx="288">
                  <c:v>40799</c:v>
                </c:pt>
                <c:pt idx="289">
                  <c:v>40827</c:v>
                </c:pt>
                <c:pt idx="290">
                  <c:v>40827</c:v>
                </c:pt>
                <c:pt idx="291">
                  <c:v>40862</c:v>
                </c:pt>
                <c:pt idx="292">
                  <c:v>40862</c:v>
                </c:pt>
                <c:pt idx="293">
                  <c:v>40891</c:v>
                </c:pt>
                <c:pt idx="294">
                  <c:v>40890</c:v>
                </c:pt>
                <c:pt idx="295">
                  <c:v>40890</c:v>
                </c:pt>
                <c:pt idx="296">
                  <c:v>40917</c:v>
                </c:pt>
                <c:pt idx="297">
                  <c:v>40917</c:v>
                </c:pt>
                <c:pt idx="298">
                  <c:v>40962</c:v>
                </c:pt>
                <c:pt idx="299">
                  <c:v>40962</c:v>
                </c:pt>
                <c:pt idx="300">
                  <c:v>40980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41107</c:v>
                </c:pt>
                <c:pt idx="312">
                  <c:v>41135</c:v>
                </c:pt>
                <c:pt idx="313">
                  <c:v>41135</c:v>
                </c:pt>
                <c:pt idx="314">
                  <c:v>41135</c:v>
                </c:pt>
                <c:pt idx="315">
                  <c:v>41164</c:v>
                </c:pt>
                <c:pt idx="316">
                  <c:v>41164</c:v>
                </c:pt>
                <c:pt idx="317">
                  <c:v>41200</c:v>
                </c:pt>
                <c:pt idx="318">
                  <c:v>41200</c:v>
                </c:pt>
                <c:pt idx="319">
                  <c:v>41226</c:v>
                </c:pt>
                <c:pt idx="320">
                  <c:v>41226</c:v>
                </c:pt>
                <c:pt idx="321">
                  <c:v>41254</c:v>
                </c:pt>
                <c:pt idx="322">
                  <c:v>41254</c:v>
                </c:pt>
                <c:pt idx="323">
                  <c:v>41288</c:v>
                </c:pt>
                <c:pt idx="324">
                  <c:v>41288</c:v>
                </c:pt>
                <c:pt idx="325">
                  <c:v>41318</c:v>
                </c:pt>
                <c:pt idx="326">
                  <c:v>41318</c:v>
                </c:pt>
                <c:pt idx="327">
                  <c:v>41344</c:v>
                </c:pt>
                <c:pt idx="328">
                  <c:v>41344</c:v>
                </c:pt>
                <c:pt idx="329">
                  <c:v>41381</c:v>
                </c:pt>
                <c:pt idx="330">
                  <c:v>41379</c:v>
                </c:pt>
                <c:pt idx="331">
                  <c:v>41408</c:v>
                </c:pt>
                <c:pt idx="332">
                  <c:v>41408</c:v>
                </c:pt>
                <c:pt idx="333">
                  <c:v>41436</c:v>
                </c:pt>
                <c:pt idx="334">
                  <c:v>41437</c:v>
                </c:pt>
                <c:pt idx="335">
                  <c:v>41471</c:v>
                </c:pt>
                <c:pt idx="336">
                  <c:v>41471</c:v>
                </c:pt>
                <c:pt idx="337">
                  <c:v>41471</c:v>
                </c:pt>
                <c:pt idx="338">
                  <c:v>41499</c:v>
                </c:pt>
                <c:pt idx="339">
                  <c:v>41499</c:v>
                </c:pt>
                <c:pt idx="340">
                  <c:v>41533</c:v>
                </c:pt>
                <c:pt idx="341">
                  <c:v>41533</c:v>
                </c:pt>
                <c:pt idx="342">
                  <c:v>41569</c:v>
                </c:pt>
                <c:pt idx="343">
                  <c:v>41569</c:v>
                </c:pt>
                <c:pt idx="344">
                  <c:v>41597</c:v>
                </c:pt>
                <c:pt idx="345">
                  <c:v>41597</c:v>
                </c:pt>
                <c:pt idx="346">
                  <c:v>41624</c:v>
                </c:pt>
                <c:pt idx="347">
                  <c:v>41624</c:v>
                </c:pt>
                <c:pt idx="348">
                  <c:v>41654</c:v>
                </c:pt>
                <c:pt idx="349">
                  <c:v>41654</c:v>
                </c:pt>
                <c:pt idx="350">
                  <c:v>41688</c:v>
                </c:pt>
                <c:pt idx="351">
                  <c:v>41690</c:v>
                </c:pt>
                <c:pt idx="352">
                  <c:v>41719</c:v>
                </c:pt>
                <c:pt idx="353">
                  <c:v>41719</c:v>
                </c:pt>
                <c:pt idx="354">
                  <c:v>41747</c:v>
                </c:pt>
                <c:pt idx="355">
                  <c:v>41747</c:v>
                </c:pt>
                <c:pt idx="356">
                  <c:v>41772</c:v>
                </c:pt>
                <c:pt idx="357">
                  <c:v>41772</c:v>
                </c:pt>
                <c:pt idx="358">
                  <c:v>41808</c:v>
                </c:pt>
                <c:pt idx="359">
                  <c:v>41808</c:v>
                </c:pt>
                <c:pt idx="360">
                  <c:v>41808</c:v>
                </c:pt>
                <c:pt idx="361">
                  <c:v>41834</c:v>
                </c:pt>
                <c:pt idx="362">
                  <c:v>41834</c:v>
                </c:pt>
                <c:pt idx="363">
                  <c:v>41864</c:v>
                </c:pt>
                <c:pt idx="364">
                  <c:v>41862</c:v>
                </c:pt>
                <c:pt idx="365">
                  <c:v>41898</c:v>
                </c:pt>
                <c:pt idx="366">
                  <c:v>41898</c:v>
                </c:pt>
                <c:pt idx="367">
                  <c:v>41898</c:v>
                </c:pt>
                <c:pt idx="368">
                  <c:v>41929</c:v>
                </c:pt>
                <c:pt idx="369">
                  <c:v>41929</c:v>
                </c:pt>
                <c:pt idx="370">
                  <c:v>41953</c:v>
                </c:pt>
                <c:pt idx="371">
                  <c:v>41953</c:v>
                </c:pt>
                <c:pt idx="372">
                  <c:v>41988</c:v>
                </c:pt>
                <c:pt idx="373">
                  <c:v>41988</c:v>
                </c:pt>
                <c:pt idx="374">
                  <c:v>42014</c:v>
                </c:pt>
                <c:pt idx="375">
                  <c:v>42009</c:v>
                </c:pt>
                <c:pt idx="376">
                  <c:v>42036</c:v>
                </c:pt>
                <c:pt idx="377">
                  <c:v>42036</c:v>
                </c:pt>
                <c:pt idx="378">
                  <c:v>42064</c:v>
                </c:pt>
                <c:pt idx="379">
                  <c:v>42064</c:v>
                </c:pt>
                <c:pt idx="380">
                  <c:v>42095</c:v>
                </c:pt>
                <c:pt idx="381">
                  <c:v>42095</c:v>
                </c:pt>
                <c:pt idx="382">
                  <c:v>42125</c:v>
                </c:pt>
                <c:pt idx="383">
                  <c:v>42125</c:v>
                </c:pt>
                <c:pt idx="384">
                  <c:v>42156</c:v>
                </c:pt>
                <c:pt idx="385">
                  <c:v>42156</c:v>
                </c:pt>
                <c:pt idx="386">
                  <c:v>42186</c:v>
                </c:pt>
                <c:pt idx="387">
                  <c:v>42186</c:v>
                </c:pt>
                <c:pt idx="388">
                  <c:v>42217</c:v>
                </c:pt>
                <c:pt idx="389">
                  <c:v>42217</c:v>
                </c:pt>
                <c:pt idx="390">
                  <c:v>42248</c:v>
                </c:pt>
                <c:pt idx="391">
                  <c:v>42248</c:v>
                </c:pt>
                <c:pt idx="392">
                  <c:v>42278</c:v>
                </c:pt>
                <c:pt idx="393">
                  <c:v>42278</c:v>
                </c:pt>
                <c:pt idx="394">
                  <c:v>42309</c:v>
                </c:pt>
                <c:pt idx="395">
                  <c:v>42309</c:v>
                </c:pt>
                <c:pt idx="396">
                  <c:v>42339</c:v>
                </c:pt>
                <c:pt idx="397">
                  <c:v>42339</c:v>
                </c:pt>
                <c:pt idx="398">
                  <c:v>42379</c:v>
                </c:pt>
                <c:pt idx="399">
                  <c:v>42374</c:v>
                </c:pt>
                <c:pt idx="400">
                  <c:v>42401</c:v>
                </c:pt>
                <c:pt idx="401">
                  <c:v>42401</c:v>
                </c:pt>
                <c:pt idx="402">
                  <c:v>42430</c:v>
                </c:pt>
                <c:pt idx="403">
                  <c:v>42430</c:v>
                </c:pt>
                <c:pt idx="404">
                  <c:v>42461</c:v>
                </c:pt>
                <c:pt idx="405">
                  <c:v>42461</c:v>
                </c:pt>
                <c:pt idx="406">
                  <c:v>42491</c:v>
                </c:pt>
                <c:pt idx="407">
                  <c:v>42491</c:v>
                </c:pt>
                <c:pt idx="408">
                  <c:v>42522</c:v>
                </c:pt>
                <c:pt idx="409">
                  <c:v>42522</c:v>
                </c:pt>
                <c:pt idx="410">
                  <c:v>42552</c:v>
                </c:pt>
                <c:pt idx="411">
                  <c:v>42552</c:v>
                </c:pt>
                <c:pt idx="412">
                  <c:v>42583</c:v>
                </c:pt>
                <c:pt idx="413">
                  <c:v>42583</c:v>
                </c:pt>
                <c:pt idx="414">
                  <c:v>42614</c:v>
                </c:pt>
                <c:pt idx="415">
                  <c:v>42614</c:v>
                </c:pt>
                <c:pt idx="416">
                  <c:v>42644</c:v>
                </c:pt>
                <c:pt idx="417">
                  <c:v>42644</c:v>
                </c:pt>
                <c:pt idx="418">
                  <c:v>42675</c:v>
                </c:pt>
                <c:pt idx="419">
                  <c:v>42675</c:v>
                </c:pt>
                <c:pt idx="420">
                  <c:v>42705</c:v>
                </c:pt>
                <c:pt idx="421">
                  <c:v>42705</c:v>
                </c:pt>
                <c:pt idx="422">
                  <c:v>42745</c:v>
                </c:pt>
                <c:pt idx="423">
                  <c:v>42740</c:v>
                </c:pt>
                <c:pt idx="424">
                  <c:v>42767</c:v>
                </c:pt>
                <c:pt idx="425">
                  <c:v>42767</c:v>
                </c:pt>
                <c:pt idx="426">
                  <c:v>42795</c:v>
                </c:pt>
                <c:pt idx="427">
                  <c:v>42795</c:v>
                </c:pt>
                <c:pt idx="428">
                  <c:v>42826</c:v>
                </c:pt>
                <c:pt idx="429">
                  <c:v>42826</c:v>
                </c:pt>
                <c:pt idx="430">
                  <c:v>42856</c:v>
                </c:pt>
                <c:pt idx="431">
                  <c:v>42856</c:v>
                </c:pt>
                <c:pt idx="432">
                  <c:v>42887</c:v>
                </c:pt>
                <c:pt idx="433">
                  <c:v>42887</c:v>
                </c:pt>
                <c:pt idx="434">
                  <c:v>42917</c:v>
                </c:pt>
                <c:pt idx="435">
                  <c:v>42917</c:v>
                </c:pt>
                <c:pt idx="436">
                  <c:v>42948</c:v>
                </c:pt>
                <c:pt idx="437">
                  <c:v>42948</c:v>
                </c:pt>
                <c:pt idx="438">
                  <c:v>42979</c:v>
                </c:pt>
                <c:pt idx="439">
                  <c:v>42979</c:v>
                </c:pt>
                <c:pt idx="440">
                  <c:v>43009</c:v>
                </c:pt>
                <c:pt idx="441">
                  <c:v>43009</c:v>
                </c:pt>
                <c:pt idx="442">
                  <c:v>43040</c:v>
                </c:pt>
                <c:pt idx="443">
                  <c:v>43040</c:v>
                </c:pt>
                <c:pt idx="444">
                  <c:v>43070</c:v>
                </c:pt>
                <c:pt idx="445">
                  <c:v>43070</c:v>
                </c:pt>
                <c:pt idx="446">
                  <c:v>43110</c:v>
                </c:pt>
                <c:pt idx="447">
                  <c:v>43105</c:v>
                </c:pt>
                <c:pt idx="448">
                  <c:v>43132</c:v>
                </c:pt>
                <c:pt idx="449">
                  <c:v>43132</c:v>
                </c:pt>
                <c:pt idx="450">
                  <c:v>43160</c:v>
                </c:pt>
                <c:pt idx="451">
                  <c:v>43160</c:v>
                </c:pt>
                <c:pt idx="452">
                  <c:v>43191</c:v>
                </c:pt>
                <c:pt idx="453">
                  <c:v>43191</c:v>
                </c:pt>
                <c:pt idx="454">
                  <c:v>43221</c:v>
                </c:pt>
                <c:pt idx="455">
                  <c:v>43221</c:v>
                </c:pt>
                <c:pt idx="456">
                  <c:v>43252</c:v>
                </c:pt>
                <c:pt idx="457">
                  <c:v>43252</c:v>
                </c:pt>
                <c:pt idx="458">
                  <c:v>43282</c:v>
                </c:pt>
                <c:pt idx="459">
                  <c:v>43282</c:v>
                </c:pt>
                <c:pt idx="460">
                  <c:v>43313</c:v>
                </c:pt>
                <c:pt idx="461">
                  <c:v>43313</c:v>
                </c:pt>
                <c:pt idx="462">
                  <c:v>43344</c:v>
                </c:pt>
                <c:pt idx="463">
                  <c:v>43344</c:v>
                </c:pt>
                <c:pt idx="464">
                  <c:v>43374</c:v>
                </c:pt>
                <c:pt idx="465">
                  <c:v>43374</c:v>
                </c:pt>
                <c:pt idx="466">
                  <c:v>43405</c:v>
                </c:pt>
                <c:pt idx="467">
                  <c:v>43405</c:v>
                </c:pt>
                <c:pt idx="468">
                  <c:v>43435</c:v>
                </c:pt>
                <c:pt idx="469">
                  <c:v>43435</c:v>
                </c:pt>
                <c:pt idx="470">
                  <c:v>43475</c:v>
                </c:pt>
                <c:pt idx="471">
                  <c:v>43470</c:v>
                </c:pt>
                <c:pt idx="472">
                  <c:v>43497</c:v>
                </c:pt>
                <c:pt idx="473">
                  <c:v>43497</c:v>
                </c:pt>
                <c:pt idx="474">
                  <c:v>43525</c:v>
                </c:pt>
                <c:pt idx="475">
                  <c:v>43525</c:v>
                </c:pt>
                <c:pt idx="476">
                  <c:v>43556</c:v>
                </c:pt>
                <c:pt idx="477">
                  <c:v>43556</c:v>
                </c:pt>
                <c:pt idx="478">
                  <c:v>43586</c:v>
                </c:pt>
                <c:pt idx="479">
                  <c:v>43586</c:v>
                </c:pt>
                <c:pt idx="480">
                  <c:v>43617</c:v>
                </c:pt>
                <c:pt idx="481">
                  <c:v>43617</c:v>
                </c:pt>
                <c:pt idx="482">
                  <c:v>43647</c:v>
                </c:pt>
                <c:pt idx="483">
                  <c:v>43647</c:v>
                </c:pt>
                <c:pt idx="484">
                  <c:v>43678</c:v>
                </c:pt>
                <c:pt idx="485">
                  <c:v>43678</c:v>
                </c:pt>
                <c:pt idx="486">
                  <c:v>43709</c:v>
                </c:pt>
                <c:pt idx="487">
                  <c:v>43709</c:v>
                </c:pt>
                <c:pt idx="488">
                  <c:v>43739</c:v>
                </c:pt>
                <c:pt idx="489">
                  <c:v>43739</c:v>
                </c:pt>
                <c:pt idx="490">
                  <c:v>43770</c:v>
                </c:pt>
                <c:pt idx="491">
                  <c:v>43770</c:v>
                </c:pt>
                <c:pt idx="492">
                  <c:v>43800</c:v>
                </c:pt>
                <c:pt idx="493">
                  <c:v>43800</c:v>
                </c:pt>
              </c:numCache>
            </c:numRef>
          </c:xVal>
          <c:yVal>
            <c:numRef>
              <c:f>'fuco update'!$L$3:$L$496</c:f>
              <c:numCache>
                <c:formatCode>General</c:formatCode>
                <c:ptCount val="494"/>
                <c:pt idx="1">
                  <c:v>0.11552357524929716</c:v>
                </c:pt>
                <c:pt idx="3">
                  <c:v>0.34473131792605122</c:v>
                </c:pt>
                <c:pt idx="5">
                  <c:v>0.27389598838043011</c:v>
                </c:pt>
                <c:pt idx="7">
                  <c:v>0.37845439774062323</c:v>
                </c:pt>
                <c:pt idx="9">
                  <c:v>0.3787993753672127</c:v>
                </c:pt>
                <c:pt idx="11">
                  <c:v>0.29890702621071003</c:v>
                </c:pt>
                <c:pt idx="13">
                  <c:v>0.24156877389495987</c:v>
                </c:pt>
                <c:pt idx="15">
                  <c:v>0.4316883913478759</c:v>
                </c:pt>
                <c:pt idx="17">
                  <c:v>0.33538985591778386</c:v>
                </c:pt>
                <c:pt idx="19">
                  <c:v>0.14166140442452788</c:v>
                </c:pt>
                <c:pt idx="21">
                  <c:v>0.19203484930852152</c:v>
                </c:pt>
                <c:pt idx="23">
                  <c:v>0.3094726647451968</c:v>
                </c:pt>
                <c:pt idx="25">
                  <c:v>0.1107837698913388</c:v>
                </c:pt>
                <c:pt idx="27">
                  <c:v>0.21432547454528075</c:v>
                </c:pt>
                <c:pt idx="29">
                  <c:v>0.23244456908561834</c:v>
                </c:pt>
                <c:pt idx="31">
                  <c:v>0.26389603115992111</c:v>
                </c:pt>
                <c:pt idx="33">
                  <c:v>0.38089283057139717</c:v>
                </c:pt>
                <c:pt idx="35">
                  <c:v>0.26505032564112302</c:v>
                </c:pt>
                <c:pt idx="37">
                  <c:v>0.12515551674601388</c:v>
                </c:pt>
                <c:pt idx="39">
                  <c:v>0.21847508850771508</c:v>
                </c:pt>
                <c:pt idx="41">
                  <c:v>0.35207751677229843</c:v>
                </c:pt>
                <c:pt idx="43">
                  <c:v>0.16755169383356253</c:v>
                </c:pt>
                <c:pt idx="45">
                  <c:v>0.18491974717830428</c:v>
                </c:pt>
                <c:pt idx="47">
                  <c:v>0.21108669991351917</c:v>
                </c:pt>
                <c:pt idx="49">
                  <c:v>0.14224150803315053</c:v>
                </c:pt>
                <c:pt idx="51">
                  <c:v>0.14039537841854133</c:v>
                </c:pt>
                <c:pt idx="53">
                  <c:v>0.40427542931016236</c:v>
                </c:pt>
                <c:pt idx="55">
                  <c:v>0.14916644989011693</c:v>
                </c:pt>
                <c:pt idx="57">
                  <c:v>0.35185426659885549</c:v>
                </c:pt>
                <c:pt idx="59">
                  <c:v>0.34263892460912448</c:v>
                </c:pt>
                <c:pt idx="61">
                  <c:v>0.20587038469807736</c:v>
                </c:pt>
                <c:pt idx="73">
                  <c:v>0.21063997206559673</c:v>
                </c:pt>
                <c:pt idx="75">
                  <c:v>0.14618630883496903</c:v>
                </c:pt>
                <c:pt idx="77">
                  <c:v>0.25229682883778065</c:v>
                </c:pt>
                <c:pt idx="79">
                  <c:v>0.20585033198636282</c:v>
                </c:pt>
                <c:pt idx="81">
                  <c:v>0.36120350733490902</c:v>
                </c:pt>
                <c:pt idx="83">
                  <c:v>0.36592903910087421</c:v>
                </c:pt>
                <c:pt idx="85">
                  <c:v>0.38010427984611106</c:v>
                </c:pt>
                <c:pt idx="87">
                  <c:v>0.43973496505416104</c:v>
                </c:pt>
                <c:pt idx="89">
                  <c:v>0.46096642807970534</c:v>
                </c:pt>
                <c:pt idx="91">
                  <c:v>8.5942571999924444E-2</c:v>
                </c:pt>
                <c:pt idx="93">
                  <c:v>0.10510967784641177</c:v>
                </c:pt>
                <c:pt idx="95">
                  <c:v>0.20241617135970383</c:v>
                </c:pt>
                <c:pt idx="97">
                  <c:v>0.14016088818929165</c:v>
                </c:pt>
                <c:pt idx="99">
                  <c:v>0.21278977668472956</c:v>
                </c:pt>
                <c:pt idx="101">
                  <c:v>0.2775262855837427</c:v>
                </c:pt>
                <c:pt idx="103">
                  <c:v>0.35014345436605854</c:v>
                </c:pt>
                <c:pt idx="105">
                  <c:v>0.3969236978157108</c:v>
                </c:pt>
                <c:pt idx="107">
                  <c:v>0.38244711237346601</c:v>
                </c:pt>
                <c:pt idx="109">
                  <c:v>0.36352047412777949</c:v>
                </c:pt>
                <c:pt idx="111">
                  <c:v>0.29836444323800099</c:v>
                </c:pt>
                <c:pt idx="113">
                  <c:v>0.33052683905112484</c:v>
                </c:pt>
                <c:pt idx="115">
                  <c:v>0.10280754564215468</c:v>
                </c:pt>
                <c:pt idx="119">
                  <c:v>0.30895110778327917</c:v>
                </c:pt>
                <c:pt idx="121">
                  <c:v>0.2169997236706725</c:v>
                </c:pt>
                <c:pt idx="123">
                  <c:v>0.34449744879907684</c:v>
                </c:pt>
                <c:pt idx="125">
                  <c:v>0.14588466572936476</c:v>
                </c:pt>
                <c:pt idx="127">
                  <c:v>0.36726498415232373</c:v>
                </c:pt>
                <c:pt idx="129">
                  <c:v>0.24478520309263826</c:v>
                </c:pt>
                <c:pt idx="131">
                  <c:v>0.16392076997641655</c:v>
                </c:pt>
                <c:pt idx="133">
                  <c:v>0.44163189510063661</c:v>
                </c:pt>
                <c:pt idx="135">
                  <c:v>0.46225560098015672</c:v>
                </c:pt>
                <c:pt idx="137">
                  <c:v>0.24258291848019289</c:v>
                </c:pt>
                <c:pt idx="139">
                  <c:v>0.12414205426736473</c:v>
                </c:pt>
                <c:pt idx="141">
                  <c:v>0.21968364695535941</c:v>
                </c:pt>
                <c:pt idx="143">
                  <c:v>0.24236862913733836</c:v>
                </c:pt>
                <c:pt idx="145">
                  <c:v>0.37567354175612588</c:v>
                </c:pt>
                <c:pt idx="147">
                  <c:v>0.34425534420823278</c:v>
                </c:pt>
                <c:pt idx="149">
                  <c:v>0.27124720716351736</c:v>
                </c:pt>
                <c:pt idx="151">
                  <c:v>0.37136152676122258</c:v>
                </c:pt>
                <c:pt idx="153">
                  <c:v>0.30357764024074085</c:v>
                </c:pt>
                <c:pt idx="155">
                  <c:v>0.36219121604327642</c:v>
                </c:pt>
                <c:pt idx="157">
                  <c:v>0.33059116964949903</c:v>
                </c:pt>
                <c:pt idx="159">
                  <c:v>0.18818662989814527</c:v>
                </c:pt>
                <c:pt idx="161">
                  <c:v>0.46207726469040317</c:v>
                </c:pt>
                <c:pt idx="163">
                  <c:v>8.5071002570519957E-2</c:v>
                </c:pt>
                <c:pt idx="165">
                  <c:v>0.19835742152106051</c:v>
                </c:pt>
                <c:pt idx="167">
                  <c:v>0.3461185974678388</c:v>
                </c:pt>
                <c:pt idx="169">
                  <c:v>0.47857259247189177</c:v>
                </c:pt>
                <c:pt idx="171">
                  <c:v>0.4008447304907482</c:v>
                </c:pt>
                <c:pt idx="173">
                  <c:v>0.38345531159902413</c:v>
                </c:pt>
                <c:pt idx="175">
                  <c:v>0.44494579371328208</c:v>
                </c:pt>
                <c:pt idx="177">
                  <c:v>0.29297994269340971</c:v>
                </c:pt>
                <c:pt idx="179">
                  <c:v>0.36166538756715272</c:v>
                </c:pt>
                <c:pt idx="181">
                  <c:v>0.45316201277725937</c:v>
                </c:pt>
                <c:pt idx="183">
                  <c:v>0.38469694292277784</c:v>
                </c:pt>
                <c:pt idx="185">
                  <c:v>0.35520974289580515</c:v>
                </c:pt>
                <c:pt idx="187">
                  <c:v>0.11694617378094189</c:v>
                </c:pt>
                <c:pt idx="189">
                  <c:v>0.18886119396886364</c:v>
                </c:pt>
                <c:pt idx="191">
                  <c:v>0.10710119001322238</c:v>
                </c:pt>
                <c:pt idx="193">
                  <c:v>0.16985834207764949</c:v>
                </c:pt>
                <c:pt idx="195">
                  <c:v>0.18622200584225904</c:v>
                </c:pt>
                <c:pt idx="197">
                  <c:v>0.29557069846678019</c:v>
                </c:pt>
                <c:pt idx="199">
                  <c:v>0.29714825902000952</c:v>
                </c:pt>
                <c:pt idx="201">
                  <c:v>0.24403795196170613</c:v>
                </c:pt>
                <c:pt idx="203">
                  <c:v>0.34663919649755348</c:v>
                </c:pt>
                <c:pt idx="205">
                  <c:v>0.23823975720789073</c:v>
                </c:pt>
                <c:pt idx="207">
                  <c:v>0.37520148791072533</c:v>
                </c:pt>
                <c:pt idx="209">
                  <c:v>0.15049323239275064</c:v>
                </c:pt>
                <c:pt idx="211">
                  <c:v>0.20451643500784356</c:v>
                </c:pt>
                <c:pt idx="213">
                  <c:v>0.14522765598650927</c:v>
                </c:pt>
                <c:pt idx="215">
                  <c:v>0.39251170840969252</c:v>
                </c:pt>
                <c:pt idx="217">
                  <c:v>0.34022556390977443</c:v>
                </c:pt>
                <c:pt idx="219">
                  <c:v>0.3020851283818714</c:v>
                </c:pt>
                <c:pt idx="221">
                  <c:v>0.33420830599043783</c:v>
                </c:pt>
                <c:pt idx="223">
                  <c:v>0.3683597230790322</c:v>
                </c:pt>
                <c:pt idx="225">
                  <c:v>0.40236565718364437</c:v>
                </c:pt>
                <c:pt idx="227">
                  <c:v>0.43244619890487712</c:v>
                </c:pt>
                <c:pt idx="229">
                  <c:v>0.41570805236017455</c:v>
                </c:pt>
                <c:pt idx="231">
                  <c:v>0.38335999999999998</c:v>
                </c:pt>
                <c:pt idx="233">
                  <c:v>0.30077177508269021</c:v>
                </c:pt>
                <c:pt idx="235">
                  <c:v>0.1101109381082133</c:v>
                </c:pt>
                <c:pt idx="237">
                  <c:v>0.16668693378731686</c:v>
                </c:pt>
                <c:pt idx="239">
                  <c:v>0.27542007755277897</c:v>
                </c:pt>
                <c:pt idx="241">
                  <c:v>0.14393226716839133</c:v>
                </c:pt>
                <c:pt idx="243">
                  <c:v>0.17461167648634171</c:v>
                </c:pt>
                <c:pt idx="245">
                  <c:v>0.23121998078770414</c:v>
                </c:pt>
                <c:pt idx="247">
                  <c:v>0.4232775627830383</c:v>
                </c:pt>
                <c:pt idx="249">
                  <c:v>0.33100338042000299</c:v>
                </c:pt>
                <c:pt idx="251">
                  <c:v>0.42291969803370782</c:v>
                </c:pt>
                <c:pt idx="253">
                  <c:v>0.3336235922702841</c:v>
                </c:pt>
                <c:pt idx="255">
                  <c:v>0.32815160263328297</c:v>
                </c:pt>
                <c:pt idx="257">
                  <c:v>0.21079599178687275</c:v>
                </c:pt>
                <c:pt idx="259">
                  <c:v>0.21248734009704454</c:v>
                </c:pt>
                <c:pt idx="261">
                  <c:v>0.38029850862856324</c:v>
                </c:pt>
                <c:pt idx="263">
                  <c:v>0.46093921008586813</c:v>
                </c:pt>
                <c:pt idx="265">
                  <c:v>0.21102001210235127</c:v>
                </c:pt>
                <c:pt idx="267">
                  <c:v>0.30888437386239526</c:v>
                </c:pt>
                <c:pt idx="269">
                  <c:v>0.34404780030604432</c:v>
                </c:pt>
                <c:pt idx="272">
                  <c:v>0.4189426175738411</c:v>
                </c:pt>
                <c:pt idx="274">
                  <c:v>0.37804781696706025</c:v>
                </c:pt>
                <c:pt idx="276">
                  <c:v>0.44605729549632356</c:v>
                </c:pt>
                <c:pt idx="278">
                  <c:v>0.18862749445676277</c:v>
                </c:pt>
                <c:pt idx="280">
                  <c:v>0.25398933447098976</c:v>
                </c:pt>
                <c:pt idx="282">
                  <c:v>0.291147784428126</c:v>
                </c:pt>
                <c:pt idx="284">
                  <c:v>0.14477408354646207</c:v>
                </c:pt>
                <c:pt idx="286">
                  <c:v>0.13116647751082552</c:v>
                </c:pt>
                <c:pt idx="288">
                  <c:v>0.33983410760587723</c:v>
                </c:pt>
                <c:pt idx="290">
                  <c:v>6.1739141091219071E-2</c:v>
                </c:pt>
                <c:pt idx="292">
                  <c:v>0.31484968026270305</c:v>
                </c:pt>
                <c:pt idx="295">
                  <c:v>0.31927947120242506</c:v>
                </c:pt>
                <c:pt idx="297">
                  <c:v>0.3575918386609615</c:v>
                </c:pt>
                <c:pt idx="299">
                  <c:v>0.5352915623696286</c:v>
                </c:pt>
                <c:pt idx="302">
                  <c:v>0.43407633075096835</c:v>
                </c:pt>
                <c:pt idx="304">
                  <c:v>0.42666433074034327</c:v>
                </c:pt>
                <c:pt idx="306">
                  <c:v>0.44739869476709382</c:v>
                </c:pt>
                <c:pt idx="308">
                  <c:v>0.31518342361438217</c:v>
                </c:pt>
                <c:pt idx="311">
                  <c:v>0.41131953163878582</c:v>
                </c:pt>
                <c:pt idx="314">
                  <c:v>0.34223278342311453</c:v>
                </c:pt>
                <c:pt idx="316">
                  <c:v>0.58175320525702334</c:v>
                </c:pt>
                <c:pt idx="318">
                  <c:v>0.26076522224477372</c:v>
                </c:pt>
                <c:pt idx="320">
                  <c:v>0.15312803045481868</c:v>
                </c:pt>
                <c:pt idx="322">
                  <c:v>0.33733441814595655</c:v>
                </c:pt>
                <c:pt idx="324">
                  <c:v>0.53667044079314852</c:v>
                </c:pt>
                <c:pt idx="326">
                  <c:v>0.52433440673345599</c:v>
                </c:pt>
                <c:pt idx="328">
                  <c:v>0.60191653070305551</c:v>
                </c:pt>
                <c:pt idx="330">
                  <c:v>0.1911586681547619</c:v>
                </c:pt>
                <c:pt idx="332">
                  <c:v>0.12008559276980331</c:v>
                </c:pt>
                <c:pt idx="334">
                  <c:v>0.41416938517302693</c:v>
                </c:pt>
                <c:pt idx="337">
                  <c:v>0.20239327875832172</c:v>
                </c:pt>
                <c:pt idx="339">
                  <c:v>0.19610606119893564</c:v>
                </c:pt>
                <c:pt idx="341">
                  <c:v>0.32473324579167195</c:v>
                </c:pt>
                <c:pt idx="343">
                  <c:v>5.3579039272535572E-2</c:v>
                </c:pt>
                <c:pt idx="345">
                  <c:v>0.37062060653188172</c:v>
                </c:pt>
                <c:pt idx="347">
                  <c:v>0.39167871383002956</c:v>
                </c:pt>
                <c:pt idx="349">
                  <c:v>0.41754626269956457</c:v>
                </c:pt>
                <c:pt idx="351">
                  <c:v>0.40190085372293621</c:v>
                </c:pt>
                <c:pt idx="353">
                  <c:v>0.53353490572775308</c:v>
                </c:pt>
                <c:pt idx="355">
                  <c:v>0.32857339549002601</c:v>
                </c:pt>
                <c:pt idx="357">
                  <c:v>0.32283798956378978</c:v>
                </c:pt>
                <c:pt idx="360">
                  <c:v>0.34185238445281635</c:v>
                </c:pt>
                <c:pt idx="362">
                  <c:v>0.30923343385445595</c:v>
                </c:pt>
                <c:pt idx="364">
                  <c:v>0.25433455515073161</c:v>
                </c:pt>
                <c:pt idx="367">
                  <c:v>0.20948387431199575</c:v>
                </c:pt>
                <c:pt idx="369">
                  <c:v>0.21563658726048676</c:v>
                </c:pt>
                <c:pt idx="371">
                  <c:v>0.29440462802768175</c:v>
                </c:pt>
                <c:pt idx="373">
                  <c:v>0.27437065486972279</c:v>
                </c:pt>
                <c:pt idx="375">
                  <c:v>0.32299076736794308</c:v>
                </c:pt>
                <c:pt idx="379">
                  <c:v>0.34735472679965301</c:v>
                </c:pt>
                <c:pt idx="381">
                  <c:v>0.12471859522737506</c:v>
                </c:pt>
                <c:pt idx="383">
                  <c:v>0.13305817610062889</c:v>
                </c:pt>
                <c:pt idx="385">
                  <c:v>0.34884228920926164</c:v>
                </c:pt>
                <c:pt idx="387">
                  <c:v>0.27883096366508692</c:v>
                </c:pt>
                <c:pt idx="389">
                  <c:v>0.28739913097454994</c:v>
                </c:pt>
                <c:pt idx="391">
                  <c:v>0.24472695752672638</c:v>
                </c:pt>
                <c:pt idx="393">
                  <c:v>3.2276546982429336E-2</c:v>
                </c:pt>
                <c:pt idx="395">
                  <c:v>0.25624461670973298</c:v>
                </c:pt>
                <c:pt idx="397">
                  <c:v>0.13031709203402936</c:v>
                </c:pt>
                <c:pt idx="399">
                  <c:v>0.24311434362704185</c:v>
                </c:pt>
                <c:pt idx="401">
                  <c:v>0.2257417802726544</c:v>
                </c:pt>
                <c:pt idx="403">
                  <c:v>0.33507853403141363</c:v>
                </c:pt>
                <c:pt idx="405">
                  <c:v>0.29552614996849402</c:v>
                </c:pt>
                <c:pt idx="407">
                  <c:v>0.46989389087712691</c:v>
                </c:pt>
                <c:pt idx="409">
                  <c:v>0.33342226372307082</c:v>
                </c:pt>
                <c:pt idx="411">
                  <c:v>0.19726651480637813</c:v>
                </c:pt>
                <c:pt idx="413">
                  <c:v>0.22138773136931875</c:v>
                </c:pt>
                <c:pt idx="415">
                  <c:v>0.34296210558099743</c:v>
                </c:pt>
                <c:pt idx="417">
                  <c:v>0.17321924144310824</c:v>
                </c:pt>
                <c:pt idx="419">
                  <c:v>0.2829620710415412</c:v>
                </c:pt>
                <c:pt idx="421">
                  <c:v>0.21972015741145604</c:v>
                </c:pt>
                <c:pt idx="427">
                  <c:v>0.43199471161791436</c:v>
                </c:pt>
                <c:pt idx="431">
                  <c:v>0.45688893253461649</c:v>
                </c:pt>
                <c:pt idx="433">
                  <c:v>0.13591663953109737</c:v>
                </c:pt>
                <c:pt idx="435">
                  <c:v>0.10406211126839104</c:v>
                </c:pt>
                <c:pt idx="439">
                  <c:v>0.2190500252652855</c:v>
                </c:pt>
                <c:pt idx="441">
                  <c:v>0.22473604826546004</c:v>
                </c:pt>
                <c:pt idx="445">
                  <c:v>0.15507459550325697</c:v>
                </c:pt>
                <c:pt idx="447">
                  <c:v>0.2253086419753087</c:v>
                </c:pt>
                <c:pt idx="449">
                  <c:v>0.2391448093453824</c:v>
                </c:pt>
                <c:pt idx="451">
                  <c:v>0.35808204768583446</c:v>
                </c:pt>
                <c:pt idx="453">
                  <c:v>0.32746672533274668</c:v>
                </c:pt>
                <c:pt idx="455">
                  <c:v>0.27865925058548013</c:v>
                </c:pt>
                <c:pt idx="457">
                  <c:v>0.11949606299212598</c:v>
                </c:pt>
                <c:pt idx="459">
                  <c:v>7.2201621248706452E-2</c:v>
                </c:pt>
                <c:pt idx="461">
                  <c:v>8.7638888888888891E-2</c:v>
                </c:pt>
                <c:pt idx="463">
                  <c:v>0.28151205735389961</c:v>
                </c:pt>
                <c:pt idx="465">
                  <c:v>0.1050449205252246</c:v>
                </c:pt>
                <c:pt idx="467">
                  <c:v>0.24646840148698887</c:v>
                </c:pt>
                <c:pt idx="475">
                  <c:v>0.22455445544554453</c:v>
                </c:pt>
                <c:pt idx="477">
                  <c:v>0.28142753095411505</c:v>
                </c:pt>
                <c:pt idx="479">
                  <c:v>0.32457554775680547</c:v>
                </c:pt>
                <c:pt idx="481">
                  <c:v>9.6096984033116492E-2</c:v>
                </c:pt>
                <c:pt idx="483">
                  <c:v>0.14889056984367122</c:v>
                </c:pt>
                <c:pt idx="487">
                  <c:v>0.19559870550161815</c:v>
                </c:pt>
                <c:pt idx="489">
                  <c:v>0.20893141945773527</c:v>
                </c:pt>
                <c:pt idx="493">
                  <c:v>0.26734505087881588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CA-D841-8AEC-59E10722D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But-fuco CUSUM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but fuco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 fuco update'!$B$3:$B$496</c:f>
              <c:numCache>
                <c:formatCode>[$-409]mmm\-yy;@</c:formatCode>
                <c:ptCount val="494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36600</c:v>
                </c:pt>
                <c:pt idx="11">
                  <c:v>36600</c:v>
                </c:pt>
                <c:pt idx="12">
                  <c:v>36628</c:v>
                </c:pt>
                <c:pt idx="13">
                  <c:v>36628</c:v>
                </c:pt>
                <c:pt idx="14">
                  <c:v>36661</c:v>
                </c:pt>
                <c:pt idx="15">
                  <c:v>36661</c:v>
                </c:pt>
                <c:pt idx="16">
                  <c:v>36691</c:v>
                </c:pt>
                <c:pt idx="17">
                  <c:v>36691</c:v>
                </c:pt>
                <c:pt idx="18">
                  <c:v>36720</c:v>
                </c:pt>
                <c:pt idx="19">
                  <c:v>36720</c:v>
                </c:pt>
                <c:pt idx="20">
                  <c:v>36754</c:v>
                </c:pt>
                <c:pt idx="21">
                  <c:v>36754</c:v>
                </c:pt>
                <c:pt idx="22">
                  <c:v>36782</c:v>
                </c:pt>
                <c:pt idx="23">
                  <c:v>36782</c:v>
                </c:pt>
                <c:pt idx="24">
                  <c:v>36818</c:v>
                </c:pt>
                <c:pt idx="25">
                  <c:v>36818</c:v>
                </c:pt>
                <c:pt idx="26">
                  <c:v>36845</c:v>
                </c:pt>
                <c:pt idx="27">
                  <c:v>36848</c:v>
                </c:pt>
                <c:pt idx="28">
                  <c:v>36875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36963</c:v>
                </c:pt>
                <c:pt idx="35">
                  <c:v>36963</c:v>
                </c:pt>
                <c:pt idx="36">
                  <c:v>37000</c:v>
                </c:pt>
                <c:pt idx="37">
                  <c:v>37000</c:v>
                </c:pt>
                <c:pt idx="38">
                  <c:v>37028</c:v>
                </c:pt>
                <c:pt idx="39">
                  <c:v>37027</c:v>
                </c:pt>
                <c:pt idx="40">
                  <c:v>37058</c:v>
                </c:pt>
                <c:pt idx="41">
                  <c:v>37056</c:v>
                </c:pt>
                <c:pt idx="42">
                  <c:v>37089</c:v>
                </c:pt>
                <c:pt idx="43">
                  <c:v>37089</c:v>
                </c:pt>
                <c:pt idx="44">
                  <c:v>37119</c:v>
                </c:pt>
                <c:pt idx="45">
                  <c:v>37119</c:v>
                </c:pt>
                <c:pt idx="46">
                  <c:v>37152</c:v>
                </c:pt>
                <c:pt idx="47">
                  <c:v>37152</c:v>
                </c:pt>
                <c:pt idx="48">
                  <c:v>37181</c:v>
                </c:pt>
                <c:pt idx="49">
                  <c:v>37181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37690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37817</c:v>
                </c:pt>
                <c:pt idx="91">
                  <c:v>37817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37908</c:v>
                </c:pt>
                <c:pt idx="97">
                  <c:v>37908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38000</c:v>
                </c:pt>
                <c:pt idx="103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38335</c:v>
                </c:pt>
                <c:pt idx="125">
                  <c:v>38335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38468</c:v>
                </c:pt>
                <c:pt idx="133">
                  <c:v>38468</c:v>
                </c:pt>
                <c:pt idx="134">
                  <c:v>38489</c:v>
                </c:pt>
                <c:pt idx="135">
                  <c:v>38489</c:v>
                </c:pt>
                <c:pt idx="136">
                  <c:v>38517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38587</c:v>
                </c:pt>
                <c:pt idx="141">
                  <c:v>38588</c:v>
                </c:pt>
                <c:pt idx="142">
                  <c:v>38608</c:v>
                </c:pt>
                <c:pt idx="143">
                  <c:v>38608</c:v>
                </c:pt>
                <c:pt idx="144">
                  <c:v>38637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39009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39098</c:v>
                </c:pt>
                <c:pt idx="175">
                  <c:v>39098</c:v>
                </c:pt>
                <c:pt idx="176">
                  <c:v>39133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39245</c:v>
                </c:pt>
                <c:pt idx="185">
                  <c:v>39245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39337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39426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39583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39799</c:v>
                </c:pt>
                <c:pt idx="221">
                  <c:v>39800</c:v>
                </c:pt>
                <c:pt idx="222">
                  <c:v>39825</c:v>
                </c:pt>
                <c:pt idx="223">
                  <c:v>39825</c:v>
                </c:pt>
                <c:pt idx="224">
                  <c:v>39855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40042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40133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40282</c:v>
                </c:pt>
                <c:pt idx="253">
                  <c:v>40282</c:v>
                </c:pt>
                <c:pt idx="254">
                  <c:v>40315</c:v>
                </c:pt>
                <c:pt idx="255">
                  <c:v>40315</c:v>
                </c:pt>
                <c:pt idx="256">
                  <c:v>40344</c:v>
                </c:pt>
                <c:pt idx="257">
                  <c:v>40344</c:v>
                </c:pt>
                <c:pt idx="258">
                  <c:v>40371</c:v>
                </c:pt>
                <c:pt idx="259">
                  <c:v>40371</c:v>
                </c:pt>
                <c:pt idx="260">
                  <c:v>40407</c:v>
                </c:pt>
                <c:pt idx="261">
                  <c:v>40407</c:v>
                </c:pt>
                <c:pt idx="262">
                  <c:v>40436</c:v>
                </c:pt>
                <c:pt idx="263">
                  <c:v>40436</c:v>
                </c:pt>
                <c:pt idx="264">
                  <c:v>40464</c:v>
                </c:pt>
                <c:pt idx="265">
                  <c:v>40464</c:v>
                </c:pt>
                <c:pt idx="266">
                  <c:v>40498</c:v>
                </c:pt>
                <c:pt idx="267">
                  <c:v>40498</c:v>
                </c:pt>
                <c:pt idx="268">
                  <c:v>40520</c:v>
                </c:pt>
                <c:pt idx="269">
                  <c:v>40520</c:v>
                </c:pt>
                <c:pt idx="270">
                  <c:v>40562</c:v>
                </c:pt>
                <c:pt idx="271">
                  <c:v>40562</c:v>
                </c:pt>
                <c:pt idx="272">
                  <c:v>40562</c:v>
                </c:pt>
                <c:pt idx="273">
                  <c:v>40591</c:v>
                </c:pt>
                <c:pt idx="274">
                  <c:v>40591</c:v>
                </c:pt>
                <c:pt idx="275">
                  <c:v>40619</c:v>
                </c:pt>
                <c:pt idx="276">
                  <c:v>40619</c:v>
                </c:pt>
                <c:pt idx="277">
                  <c:v>40646</c:v>
                </c:pt>
                <c:pt idx="278">
                  <c:v>40646</c:v>
                </c:pt>
                <c:pt idx="279">
                  <c:v>40681</c:v>
                </c:pt>
                <c:pt idx="280">
                  <c:v>40681</c:v>
                </c:pt>
                <c:pt idx="281">
                  <c:v>40708</c:v>
                </c:pt>
                <c:pt idx="282">
                  <c:v>40708</c:v>
                </c:pt>
                <c:pt idx="283">
                  <c:v>40735</c:v>
                </c:pt>
                <c:pt idx="284">
                  <c:v>40735</c:v>
                </c:pt>
                <c:pt idx="285">
                  <c:v>40771</c:v>
                </c:pt>
                <c:pt idx="286">
                  <c:v>40771</c:v>
                </c:pt>
                <c:pt idx="287">
                  <c:v>40799</c:v>
                </c:pt>
                <c:pt idx="288">
                  <c:v>40799</c:v>
                </c:pt>
                <c:pt idx="289">
                  <c:v>40827</c:v>
                </c:pt>
                <c:pt idx="290">
                  <c:v>40827</c:v>
                </c:pt>
                <c:pt idx="291">
                  <c:v>40862</c:v>
                </c:pt>
                <c:pt idx="292">
                  <c:v>40862</c:v>
                </c:pt>
                <c:pt idx="293">
                  <c:v>40891</c:v>
                </c:pt>
                <c:pt idx="294">
                  <c:v>40890</c:v>
                </c:pt>
                <c:pt idx="295">
                  <c:v>40890</c:v>
                </c:pt>
                <c:pt idx="296">
                  <c:v>40917</c:v>
                </c:pt>
                <c:pt idx="297">
                  <c:v>40917</c:v>
                </c:pt>
                <c:pt idx="298">
                  <c:v>40962</c:v>
                </c:pt>
                <c:pt idx="299">
                  <c:v>40962</c:v>
                </c:pt>
                <c:pt idx="300">
                  <c:v>40980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41107</c:v>
                </c:pt>
                <c:pt idx="312">
                  <c:v>41135</c:v>
                </c:pt>
                <c:pt idx="313">
                  <c:v>41135</c:v>
                </c:pt>
                <c:pt idx="314">
                  <c:v>41135</c:v>
                </c:pt>
                <c:pt idx="315">
                  <c:v>41164</c:v>
                </c:pt>
                <c:pt idx="316">
                  <c:v>41164</c:v>
                </c:pt>
                <c:pt idx="317">
                  <c:v>41200</c:v>
                </c:pt>
                <c:pt idx="318">
                  <c:v>41200</c:v>
                </c:pt>
                <c:pt idx="319">
                  <c:v>41226</c:v>
                </c:pt>
                <c:pt idx="320">
                  <c:v>41226</c:v>
                </c:pt>
                <c:pt idx="321">
                  <c:v>41254</c:v>
                </c:pt>
                <c:pt idx="322">
                  <c:v>41254</c:v>
                </c:pt>
                <c:pt idx="323">
                  <c:v>41288</c:v>
                </c:pt>
                <c:pt idx="324">
                  <c:v>41288</c:v>
                </c:pt>
                <c:pt idx="325">
                  <c:v>41318</c:v>
                </c:pt>
                <c:pt idx="326">
                  <c:v>41318</c:v>
                </c:pt>
                <c:pt idx="327">
                  <c:v>41344</c:v>
                </c:pt>
                <c:pt idx="328">
                  <c:v>41344</c:v>
                </c:pt>
                <c:pt idx="329">
                  <c:v>41381</c:v>
                </c:pt>
                <c:pt idx="330">
                  <c:v>41379</c:v>
                </c:pt>
                <c:pt idx="331">
                  <c:v>41408</c:v>
                </c:pt>
                <c:pt idx="332">
                  <c:v>41408</c:v>
                </c:pt>
                <c:pt idx="333">
                  <c:v>41436</c:v>
                </c:pt>
                <c:pt idx="334">
                  <c:v>41437</c:v>
                </c:pt>
                <c:pt idx="335">
                  <c:v>41471</c:v>
                </c:pt>
                <c:pt idx="336">
                  <c:v>41471</c:v>
                </c:pt>
                <c:pt idx="337">
                  <c:v>41471</c:v>
                </c:pt>
                <c:pt idx="338">
                  <c:v>41499</c:v>
                </c:pt>
                <c:pt idx="339">
                  <c:v>41499</c:v>
                </c:pt>
                <c:pt idx="340">
                  <c:v>41533</c:v>
                </c:pt>
                <c:pt idx="341">
                  <c:v>41533</c:v>
                </c:pt>
                <c:pt idx="342">
                  <c:v>41569</c:v>
                </c:pt>
                <c:pt idx="343">
                  <c:v>41569</c:v>
                </c:pt>
                <c:pt idx="344">
                  <c:v>41597</c:v>
                </c:pt>
                <c:pt idx="345">
                  <c:v>41597</c:v>
                </c:pt>
                <c:pt idx="346">
                  <c:v>41624</c:v>
                </c:pt>
                <c:pt idx="347">
                  <c:v>41624</c:v>
                </c:pt>
                <c:pt idx="348">
                  <c:v>41654</c:v>
                </c:pt>
                <c:pt idx="349">
                  <c:v>41654</c:v>
                </c:pt>
                <c:pt idx="350">
                  <c:v>41688</c:v>
                </c:pt>
                <c:pt idx="351">
                  <c:v>41690</c:v>
                </c:pt>
                <c:pt idx="352">
                  <c:v>41719</c:v>
                </c:pt>
                <c:pt idx="353">
                  <c:v>41719</c:v>
                </c:pt>
                <c:pt idx="354">
                  <c:v>41747</c:v>
                </c:pt>
                <c:pt idx="355">
                  <c:v>41747</c:v>
                </c:pt>
                <c:pt idx="356">
                  <c:v>41772</c:v>
                </c:pt>
                <c:pt idx="357">
                  <c:v>41772</c:v>
                </c:pt>
                <c:pt idx="358">
                  <c:v>41808</c:v>
                </c:pt>
                <c:pt idx="359">
                  <c:v>41808</c:v>
                </c:pt>
                <c:pt idx="360">
                  <c:v>41808</c:v>
                </c:pt>
                <c:pt idx="361">
                  <c:v>41834</c:v>
                </c:pt>
                <c:pt idx="362">
                  <c:v>41834</c:v>
                </c:pt>
                <c:pt idx="363">
                  <c:v>41864</c:v>
                </c:pt>
                <c:pt idx="364">
                  <c:v>41862</c:v>
                </c:pt>
                <c:pt idx="365">
                  <c:v>41898</c:v>
                </c:pt>
                <c:pt idx="366">
                  <c:v>41898</c:v>
                </c:pt>
                <c:pt idx="367">
                  <c:v>41898</c:v>
                </c:pt>
                <c:pt idx="368">
                  <c:v>41929</c:v>
                </c:pt>
                <c:pt idx="369">
                  <c:v>41929</c:v>
                </c:pt>
                <c:pt idx="370">
                  <c:v>41953</c:v>
                </c:pt>
                <c:pt idx="371">
                  <c:v>41953</c:v>
                </c:pt>
                <c:pt idx="372">
                  <c:v>41988</c:v>
                </c:pt>
                <c:pt idx="373">
                  <c:v>41988</c:v>
                </c:pt>
                <c:pt idx="374">
                  <c:v>42014</c:v>
                </c:pt>
                <c:pt idx="375">
                  <c:v>42009</c:v>
                </c:pt>
                <c:pt idx="376">
                  <c:v>42036</c:v>
                </c:pt>
                <c:pt idx="377">
                  <c:v>42036</c:v>
                </c:pt>
                <c:pt idx="378">
                  <c:v>42064</c:v>
                </c:pt>
                <c:pt idx="379">
                  <c:v>42064</c:v>
                </c:pt>
                <c:pt idx="380">
                  <c:v>42095</c:v>
                </c:pt>
                <c:pt idx="381">
                  <c:v>42095</c:v>
                </c:pt>
                <c:pt idx="382">
                  <c:v>42125</c:v>
                </c:pt>
                <c:pt idx="383">
                  <c:v>42125</c:v>
                </c:pt>
                <c:pt idx="384">
                  <c:v>42156</c:v>
                </c:pt>
                <c:pt idx="385">
                  <c:v>42156</c:v>
                </c:pt>
                <c:pt idx="386">
                  <c:v>42186</c:v>
                </c:pt>
                <c:pt idx="387">
                  <c:v>42186</c:v>
                </c:pt>
                <c:pt idx="388">
                  <c:v>42217</c:v>
                </c:pt>
                <c:pt idx="389">
                  <c:v>42217</c:v>
                </c:pt>
                <c:pt idx="390">
                  <c:v>42248</c:v>
                </c:pt>
                <c:pt idx="391">
                  <c:v>42248</c:v>
                </c:pt>
                <c:pt idx="392">
                  <c:v>42278</c:v>
                </c:pt>
                <c:pt idx="393">
                  <c:v>42278</c:v>
                </c:pt>
                <c:pt idx="394">
                  <c:v>42309</c:v>
                </c:pt>
                <c:pt idx="395">
                  <c:v>42309</c:v>
                </c:pt>
                <c:pt idx="396">
                  <c:v>42339</c:v>
                </c:pt>
                <c:pt idx="397">
                  <c:v>42339</c:v>
                </c:pt>
                <c:pt idx="398">
                  <c:v>42379</c:v>
                </c:pt>
                <c:pt idx="399">
                  <c:v>42374</c:v>
                </c:pt>
                <c:pt idx="400">
                  <c:v>42401</c:v>
                </c:pt>
                <c:pt idx="401">
                  <c:v>42401</c:v>
                </c:pt>
                <c:pt idx="402">
                  <c:v>42430</c:v>
                </c:pt>
                <c:pt idx="403">
                  <c:v>42430</c:v>
                </c:pt>
                <c:pt idx="404">
                  <c:v>42461</c:v>
                </c:pt>
                <c:pt idx="405">
                  <c:v>42461</c:v>
                </c:pt>
                <c:pt idx="406">
                  <c:v>42491</c:v>
                </c:pt>
                <c:pt idx="407">
                  <c:v>42491</c:v>
                </c:pt>
                <c:pt idx="408">
                  <c:v>42522</c:v>
                </c:pt>
                <c:pt idx="409">
                  <c:v>42522</c:v>
                </c:pt>
                <c:pt idx="410">
                  <c:v>42552</c:v>
                </c:pt>
                <c:pt idx="411">
                  <c:v>42552</c:v>
                </c:pt>
                <c:pt idx="412">
                  <c:v>42583</c:v>
                </c:pt>
                <c:pt idx="413">
                  <c:v>42583</c:v>
                </c:pt>
                <c:pt idx="414">
                  <c:v>42614</c:v>
                </c:pt>
                <c:pt idx="415">
                  <c:v>42614</c:v>
                </c:pt>
                <c:pt idx="416">
                  <c:v>42644</c:v>
                </c:pt>
                <c:pt idx="417">
                  <c:v>42644</c:v>
                </c:pt>
                <c:pt idx="418">
                  <c:v>42675</c:v>
                </c:pt>
                <c:pt idx="419">
                  <c:v>42675</c:v>
                </c:pt>
                <c:pt idx="420">
                  <c:v>42705</c:v>
                </c:pt>
                <c:pt idx="421">
                  <c:v>42705</c:v>
                </c:pt>
                <c:pt idx="422">
                  <c:v>42745</c:v>
                </c:pt>
                <c:pt idx="423">
                  <c:v>42740</c:v>
                </c:pt>
                <c:pt idx="424">
                  <c:v>42767</c:v>
                </c:pt>
                <c:pt idx="425">
                  <c:v>42767</c:v>
                </c:pt>
                <c:pt idx="426">
                  <c:v>42795</c:v>
                </c:pt>
                <c:pt idx="427">
                  <c:v>42795</c:v>
                </c:pt>
                <c:pt idx="428">
                  <c:v>42826</c:v>
                </c:pt>
                <c:pt idx="429">
                  <c:v>42826</c:v>
                </c:pt>
                <c:pt idx="430">
                  <c:v>42856</c:v>
                </c:pt>
                <c:pt idx="431">
                  <c:v>42856</c:v>
                </c:pt>
                <c:pt idx="432">
                  <c:v>42887</c:v>
                </c:pt>
                <c:pt idx="433">
                  <c:v>42887</c:v>
                </c:pt>
                <c:pt idx="434">
                  <c:v>42917</c:v>
                </c:pt>
                <c:pt idx="435">
                  <c:v>42917</c:v>
                </c:pt>
                <c:pt idx="436">
                  <c:v>42948</c:v>
                </c:pt>
                <c:pt idx="437">
                  <c:v>42948</c:v>
                </c:pt>
                <c:pt idx="438">
                  <c:v>42979</c:v>
                </c:pt>
                <c:pt idx="439">
                  <c:v>42979</c:v>
                </c:pt>
                <c:pt idx="440">
                  <c:v>43009</c:v>
                </c:pt>
                <c:pt idx="441">
                  <c:v>43009</c:v>
                </c:pt>
                <c:pt idx="442">
                  <c:v>43040</c:v>
                </c:pt>
                <c:pt idx="443">
                  <c:v>43040</c:v>
                </c:pt>
                <c:pt idx="444">
                  <c:v>43070</c:v>
                </c:pt>
                <c:pt idx="445">
                  <c:v>43070</c:v>
                </c:pt>
                <c:pt idx="446">
                  <c:v>43110</c:v>
                </c:pt>
                <c:pt idx="447">
                  <c:v>43105</c:v>
                </c:pt>
                <c:pt idx="448">
                  <c:v>43132</c:v>
                </c:pt>
                <c:pt idx="449">
                  <c:v>43132</c:v>
                </c:pt>
                <c:pt idx="450">
                  <c:v>43160</c:v>
                </c:pt>
                <c:pt idx="451">
                  <c:v>43160</c:v>
                </c:pt>
                <c:pt idx="452">
                  <c:v>43191</c:v>
                </c:pt>
                <c:pt idx="453">
                  <c:v>43191</c:v>
                </c:pt>
                <c:pt idx="454">
                  <c:v>43221</c:v>
                </c:pt>
                <c:pt idx="455">
                  <c:v>43221</c:v>
                </c:pt>
                <c:pt idx="456">
                  <c:v>43252</c:v>
                </c:pt>
                <c:pt idx="457">
                  <c:v>43252</c:v>
                </c:pt>
                <c:pt idx="458">
                  <c:v>43282</c:v>
                </c:pt>
                <c:pt idx="459">
                  <c:v>43282</c:v>
                </c:pt>
                <c:pt idx="460">
                  <c:v>43313</c:v>
                </c:pt>
                <c:pt idx="461">
                  <c:v>43313</c:v>
                </c:pt>
                <c:pt idx="462">
                  <c:v>43344</c:v>
                </c:pt>
                <c:pt idx="463">
                  <c:v>43344</c:v>
                </c:pt>
                <c:pt idx="464">
                  <c:v>43374</c:v>
                </c:pt>
                <c:pt idx="465">
                  <c:v>43374</c:v>
                </c:pt>
                <c:pt idx="466">
                  <c:v>43405</c:v>
                </c:pt>
                <c:pt idx="467">
                  <c:v>43405</c:v>
                </c:pt>
                <c:pt idx="468">
                  <c:v>43435</c:v>
                </c:pt>
                <c:pt idx="469">
                  <c:v>43435</c:v>
                </c:pt>
                <c:pt idx="470">
                  <c:v>43475</c:v>
                </c:pt>
                <c:pt idx="471">
                  <c:v>43470</c:v>
                </c:pt>
                <c:pt idx="472">
                  <c:v>43497</c:v>
                </c:pt>
                <c:pt idx="473">
                  <c:v>43497</c:v>
                </c:pt>
                <c:pt idx="474">
                  <c:v>43525</c:v>
                </c:pt>
                <c:pt idx="475">
                  <c:v>43525</c:v>
                </c:pt>
                <c:pt idx="476">
                  <c:v>43556</c:v>
                </c:pt>
                <c:pt idx="477">
                  <c:v>43556</c:v>
                </c:pt>
                <c:pt idx="478">
                  <c:v>43586</c:v>
                </c:pt>
                <c:pt idx="479">
                  <c:v>43586</c:v>
                </c:pt>
                <c:pt idx="480">
                  <c:v>43617</c:v>
                </c:pt>
                <c:pt idx="481">
                  <c:v>43617</c:v>
                </c:pt>
                <c:pt idx="482">
                  <c:v>43647</c:v>
                </c:pt>
                <c:pt idx="483">
                  <c:v>43647</c:v>
                </c:pt>
                <c:pt idx="484">
                  <c:v>43678</c:v>
                </c:pt>
                <c:pt idx="485">
                  <c:v>43678</c:v>
                </c:pt>
                <c:pt idx="486">
                  <c:v>43709</c:v>
                </c:pt>
                <c:pt idx="487">
                  <c:v>43709</c:v>
                </c:pt>
                <c:pt idx="488">
                  <c:v>43739</c:v>
                </c:pt>
                <c:pt idx="489">
                  <c:v>43739</c:v>
                </c:pt>
                <c:pt idx="490">
                  <c:v>43770</c:v>
                </c:pt>
                <c:pt idx="491">
                  <c:v>43770</c:v>
                </c:pt>
                <c:pt idx="492">
                  <c:v>43800</c:v>
                </c:pt>
                <c:pt idx="493">
                  <c:v>43800</c:v>
                </c:pt>
              </c:numCache>
            </c:numRef>
          </c:xVal>
          <c:yVal>
            <c:numRef>
              <c:f>'but fuco update'!$N$3:$N$496</c:f>
              <c:numCache>
                <c:formatCode>General</c:formatCode>
                <c:ptCount val="494"/>
                <c:pt idx="1">
                  <c:v>-0.40884531980103711</c:v>
                </c:pt>
                <c:pt idx="3">
                  <c:v>-0.81769063960207422</c:v>
                </c:pt>
                <c:pt idx="5">
                  <c:v>-1.2265359594031113</c:v>
                </c:pt>
                <c:pt idx="7">
                  <c:v>-1.3216947675896413</c:v>
                </c:pt>
                <c:pt idx="9">
                  <c:v>-1.7305400873906784</c:v>
                </c:pt>
                <c:pt idx="11">
                  <c:v>-1.4778061181213924</c:v>
                </c:pt>
                <c:pt idx="13">
                  <c:v>-1.6134439975685959</c:v>
                </c:pt>
                <c:pt idx="15">
                  <c:v>1.849925178556854</c:v>
                </c:pt>
                <c:pt idx="17">
                  <c:v>1.6982927546260236</c:v>
                </c:pt>
                <c:pt idx="19">
                  <c:v>1.4207333568165241</c:v>
                </c:pt>
                <c:pt idx="21">
                  <c:v>1.0717455059370364</c:v>
                </c:pt>
                <c:pt idx="23">
                  <c:v>0.66290018613599933</c:v>
                </c:pt>
                <c:pt idx="25">
                  <c:v>0.25405486633496221</c:v>
                </c:pt>
                <c:pt idx="27">
                  <c:v>-0.1547904534660749</c:v>
                </c:pt>
                <c:pt idx="29">
                  <c:v>-0.49248623864357194</c:v>
                </c:pt>
                <c:pt idx="31">
                  <c:v>-0.9013315584446091</c:v>
                </c:pt>
                <c:pt idx="33">
                  <c:v>-0.99931480579545484</c:v>
                </c:pt>
                <c:pt idx="35">
                  <c:v>-1.1613057269371909</c:v>
                </c:pt>
                <c:pt idx="37">
                  <c:v>-1.570151046738228</c:v>
                </c:pt>
                <c:pt idx="39">
                  <c:v>-1.8409785034783033</c:v>
                </c:pt>
                <c:pt idx="41">
                  <c:v>4.1749948180872121</c:v>
                </c:pt>
                <c:pt idx="43">
                  <c:v>3.766149498286175</c:v>
                </c:pt>
                <c:pt idx="45">
                  <c:v>3.3573041784851378</c:v>
                </c:pt>
                <c:pt idx="47">
                  <c:v>2.9484588586841007</c:v>
                </c:pt>
                <c:pt idx="49">
                  <c:v>2.7819248521606035</c:v>
                </c:pt>
                <c:pt idx="51">
                  <c:v>2.4638107762832662</c:v>
                </c:pt>
                <c:pt idx="53">
                  <c:v>2.1727347017001142</c:v>
                </c:pt>
                <c:pt idx="55">
                  <c:v>1.9255538844763793</c:v>
                </c:pt>
                <c:pt idx="57">
                  <c:v>2.1432224226473546</c:v>
                </c:pt>
                <c:pt idx="61">
                  <c:v>1.7343771028463175</c:v>
                </c:pt>
                <c:pt idx="63">
                  <c:v>2.7857584870237688</c:v>
                </c:pt>
                <c:pt idx="65">
                  <c:v>8.3704530950157814</c:v>
                </c:pt>
                <c:pt idx="67">
                  <c:v>7.9616077752147447</c:v>
                </c:pt>
                <c:pt idx="69">
                  <c:v>7.6117256743526704</c:v>
                </c:pt>
                <c:pt idx="71">
                  <c:v>7.2028803545516329</c:v>
                </c:pt>
                <c:pt idx="73">
                  <c:v>1.3255317830452804</c:v>
                </c:pt>
                <c:pt idx="75">
                  <c:v>0.9166864632442433</c:v>
                </c:pt>
                <c:pt idx="77">
                  <c:v>0.50784114344320619</c:v>
                </c:pt>
                <c:pt idx="79">
                  <c:v>9.8995823642169078E-2</c:v>
                </c:pt>
                <c:pt idx="81">
                  <c:v>-0.30984949615886803</c:v>
                </c:pt>
                <c:pt idx="83">
                  <c:v>-0.71869481595990514</c:v>
                </c:pt>
                <c:pt idx="85">
                  <c:v>-0.74267983709084628</c:v>
                </c:pt>
                <c:pt idx="87">
                  <c:v>0.58414909250460845</c:v>
                </c:pt>
                <c:pt idx="89">
                  <c:v>4.6148170565942621</c:v>
                </c:pt>
                <c:pt idx="91">
                  <c:v>4.2059717367932254</c:v>
                </c:pt>
                <c:pt idx="93">
                  <c:v>3.8269057396828798</c:v>
                </c:pt>
                <c:pt idx="95">
                  <c:v>3.4180604198818427</c:v>
                </c:pt>
                <c:pt idx="97">
                  <c:v>3.0092151000808056</c:v>
                </c:pt>
                <c:pt idx="99">
                  <c:v>2.6003697802797685</c:v>
                </c:pt>
                <c:pt idx="101">
                  <c:v>2.1915244604787314</c:v>
                </c:pt>
                <c:pt idx="103">
                  <c:v>1.7826791406776943</c:v>
                </c:pt>
                <c:pt idx="105">
                  <c:v>1.3738338208766572</c:v>
                </c:pt>
                <c:pt idx="107">
                  <c:v>1.0328821414180762</c:v>
                </c:pt>
                <c:pt idx="109">
                  <c:v>1.0913033817783697</c:v>
                </c:pt>
                <c:pt idx="111">
                  <c:v>1.272595350393666</c:v>
                </c:pt>
                <c:pt idx="113">
                  <c:v>3.9598989276627714</c:v>
                </c:pt>
                <c:pt idx="115">
                  <c:v>3.7973398528573763</c:v>
                </c:pt>
                <c:pt idx="119">
                  <c:v>3.3884945330563392</c:v>
                </c:pt>
                <c:pt idx="121">
                  <c:v>2.9796492132553021</c:v>
                </c:pt>
                <c:pt idx="123">
                  <c:v>2.570803893454265</c:v>
                </c:pt>
                <c:pt idx="125">
                  <c:v>2.1619585736532279</c:v>
                </c:pt>
                <c:pt idx="127">
                  <c:v>1.7531132538521907</c:v>
                </c:pt>
                <c:pt idx="129">
                  <c:v>1.3442679340511536</c:v>
                </c:pt>
                <c:pt idx="131">
                  <c:v>0.93542261425011652</c:v>
                </c:pt>
                <c:pt idx="133">
                  <c:v>0.96653971014455387</c:v>
                </c:pt>
                <c:pt idx="135">
                  <c:v>4.4539933752230869</c:v>
                </c:pt>
                <c:pt idx="137">
                  <c:v>6.818914699234627</c:v>
                </c:pt>
                <c:pt idx="139">
                  <c:v>6.4100693794335903</c:v>
                </c:pt>
                <c:pt idx="141">
                  <c:v>6.0012240596325537</c:v>
                </c:pt>
                <c:pt idx="143">
                  <c:v>5.6330347378229151</c:v>
                </c:pt>
                <c:pt idx="145">
                  <c:v>5.224997933932066</c:v>
                </c:pt>
                <c:pt idx="147">
                  <c:v>5.3754051356109418</c:v>
                </c:pt>
                <c:pt idx="149">
                  <c:v>4.9675707652721934</c:v>
                </c:pt>
                <c:pt idx="151">
                  <c:v>4.5591048554444029</c:v>
                </c:pt>
                <c:pt idx="153">
                  <c:v>4.3481270374142023</c:v>
                </c:pt>
                <c:pt idx="155">
                  <c:v>4.53262784887165</c:v>
                </c:pt>
                <c:pt idx="157">
                  <c:v>4.7067592679245713</c:v>
                </c:pt>
                <c:pt idx="159">
                  <c:v>4.3005100958397726</c:v>
                </c:pt>
                <c:pt idx="161">
                  <c:v>6.1088945684659475</c:v>
                </c:pt>
                <c:pt idx="163">
                  <c:v>5.7002469287252762</c:v>
                </c:pt>
                <c:pt idx="165">
                  <c:v>5.2916011842236887</c:v>
                </c:pt>
                <c:pt idx="167">
                  <c:v>4.8834162763695668</c:v>
                </c:pt>
                <c:pt idx="169">
                  <c:v>6.5746063084022213</c:v>
                </c:pt>
                <c:pt idx="171">
                  <c:v>6.7938281965344114</c:v>
                </c:pt>
                <c:pt idx="173">
                  <c:v>7.9658959881434903</c:v>
                </c:pt>
                <c:pt idx="175">
                  <c:v>8.4956382588675758</c:v>
                </c:pt>
                <c:pt idx="177">
                  <c:v>8.1166581690155208</c:v>
                </c:pt>
                <c:pt idx="179">
                  <c:v>7.7190107295263166</c:v>
                </c:pt>
                <c:pt idx="181">
                  <c:v>7.4568109269305705</c:v>
                </c:pt>
                <c:pt idx="183">
                  <c:v>10.838507574930707</c:v>
                </c:pt>
                <c:pt idx="185">
                  <c:v>16.384493020591105</c:v>
                </c:pt>
                <c:pt idx="187">
                  <c:v>16.118219369984995</c:v>
                </c:pt>
                <c:pt idx="189">
                  <c:v>16.133911935222343</c:v>
                </c:pt>
                <c:pt idx="191">
                  <c:v>15.727336326558635</c:v>
                </c:pt>
                <c:pt idx="193">
                  <c:v>15.440986298888692</c:v>
                </c:pt>
                <c:pt idx="195">
                  <c:v>15.40156551614931</c:v>
                </c:pt>
                <c:pt idx="197">
                  <c:v>15.009291278740456</c:v>
                </c:pt>
                <c:pt idx="199">
                  <c:v>14.609641382318223</c:v>
                </c:pt>
                <c:pt idx="201">
                  <c:v>14.205784809605422</c:v>
                </c:pt>
                <c:pt idx="203">
                  <c:v>14.308026904056815</c:v>
                </c:pt>
                <c:pt idx="205">
                  <c:v>13.92870275379815</c:v>
                </c:pt>
                <c:pt idx="207">
                  <c:v>15.115692052406551</c:v>
                </c:pt>
                <c:pt idx="209">
                  <c:v>14.709524564777356</c:v>
                </c:pt>
                <c:pt idx="211">
                  <c:v>14.302808439540007</c:v>
                </c:pt>
                <c:pt idx="213">
                  <c:v>13.897899939447926</c:v>
                </c:pt>
                <c:pt idx="215">
                  <c:v>15.715338214449796</c:v>
                </c:pt>
                <c:pt idx="217">
                  <c:v>16.230643167703771</c:v>
                </c:pt>
                <c:pt idx="219">
                  <c:v>16.571152421099626</c:v>
                </c:pt>
                <c:pt idx="221">
                  <c:v>16.288161458750238</c:v>
                </c:pt>
                <c:pt idx="223">
                  <c:v>15.883316642903226</c:v>
                </c:pt>
                <c:pt idx="225">
                  <c:v>15.48042311152925</c:v>
                </c:pt>
                <c:pt idx="227">
                  <c:v>15.079009773414864</c:v>
                </c:pt>
                <c:pt idx="229">
                  <c:v>14.68174104804147</c:v>
                </c:pt>
                <c:pt idx="231">
                  <c:v>17.63496102064131</c:v>
                </c:pt>
                <c:pt idx="233">
                  <c:v>19.248122229675328</c:v>
                </c:pt>
                <c:pt idx="235">
                  <c:v>18.92021900258883</c:v>
                </c:pt>
                <c:pt idx="237">
                  <c:v>18.513148057161377</c:v>
                </c:pt>
                <c:pt idx="239">
                  <c:v>18.106398323696858</c:v>
                </c:pt>
                <c:pt idx="241">
                  <c:v>17.877971139817898</c:v>
                </c:pt>
                <c:pt idx="243">
                  <c:v>17.479545986448798</c:v>
                </c:pt>
                <c:pt idx="245">
                  <c:v>17.104342570217948</c:v>
                </c:pt>
                <c:pt idx="247">
                  <c:v>16.72244764350463</c:v>
                </c:pt>
                <c:pt idx="249">
                  <c:v>16.313602323703591</c:v>
                </c:pt>
                <c:pt idx="251">
                  <c:v>16.2119883954419</c:v>
                </c:pt>
                <c:pt idx="253">
                  <c:v>15.803143075640863</c:v>
                </c:pt>
                <c:pt idx="255">
                  <c:v>15.731505651165165</c:v>
                </c:pt>
                <c:pt idx="257">
                  <c:v>15.353348821830874</c:v>
                </c:pt>
                <c:pt idx="259">
                  <c:v>14.998505139961003</c:v>
                </c:pt>
                <c:pt idx="261">
                  <c:v>14.589659820159966</c:v>
                </c:pt>
                <c:pt idx="263">
                  <c:v>14.180814500358929</c:v>
                </c:pt>
                <c:pt idx="265">
                  <c:v>13.771969180557893</c:v>
                </c:pt>
                <c:pt idx="267">
                  <c:v>14.729390774235043</c:v>
                </c:pt>
                <c:pt idx="269">
                  <c:v>15.088583165566536</c:v>
                </c:pt>
                <c:pt idx="272">
                  <c:v>14.6797378457655</c:v>
                </c:pt>
                <c:pt idx="274">
                  <c:v>14.270892525964463</c:v>
                </c:pt>
                <c:pt idx="276">
                  <c:v>13.862047206163426</c:v>
                </c:pt>
                <c:pt idx="278">
                  <c:v>13.45320188636239</c:v>
                </c:pt>
                <c:pt idx="280">
                  <c:v>13.532343987763616</c:v>
                </c:pt>
                <c:pt idx="282">
                  <c:v>13.123498667962579</c:v>
                </c:pt>
                <c:pt idx="284">
                  <c:v>12.714653348161542</c:v>
                </c:pt>
                <c:pt idx="286">
                  <c:v>12.305808028360506</c:v>
                </c:pt>
                <c:pt idx="288">
                  <c:v>11.896962708559469</c:v>
                </c:pt>
                <c:pt idx="290">
                  <c:v>11.488117388758432</c:v>
                </c:pt>
                <c:pt idx="292">
                  <c:v>11.079272068957396</c:v>
                </c:pt>
                <c:pt idx="295">
                  <c:v>10.670426749156359</c:v>
                </c:pt>
                <c:pt idx="297">
                  <c:v>10.261581429355322</c:v>
                </c:pt>
                <c:pt idx="299">
                  <c:v>9.8527361095542858</c:v>
                </c:pt>
                <c:pt idx="302">
                  <c:v>10.081277247614924</c:v>
                </c:pt>
                <c:pt idx="304">
                  <c:v>10.094804171917321</c:v>
                </c:pt>
                <c:pt idx="306">
                  <c:v>10.266318506191821</c:v>
                </c:pt>
                <c:pt idx="308">
                  <c:v>10.009537227451419</c:v>
                </c:pt>
                <c:pt idx="311">
                  <c:v>9.6006919076503827</c:v>
                </c:pt>
                <c:pt idx="314">
                  <c:v>9.1918465878493461</c:v>
                </c:pt>
                <c:pt idx="316">
                  <c:v>8.7830012680483094</c:v>
                </c:pt>
                <c:pt idx="318">
                  <c:v>8.3741559482472727</c:v>
                </c:pt>
                <c:pt idx="320">
                  <c:v>7.9653106284462361</c:v>
                </c:pt>
                <c:pt idx="322">
                  <c:v>7.5564653086451994</c:v>
                </c:pt>
                <c:pt idx="324">
                  <c:v>7.1707547978890043</c:v>
                </c:pt>
                <c:pt idx="326">
                  <c:v>6.7619094780879667</c:v>
                </c:pt>
                <c:pt idx="328">
                  <c:v>6.3530641582869301</c:v>
                </c:pt>
                <c:pt idx="330">
                  <c:v>5.9442188384858934</c:v>
                </c:pt>
                <c:pt idx="332">
                  <c:v>5.5353735186848567</c:v>
                </c:pt>
                <c:pt idx="334">
                  <c:v>5.1265281988838201</c:v>
                </c:pt>
                <c:pt idx="337">
                  <c:v>4.7176828790827834</c:v>
                </c:pt>
                <c:pt idx="339">
                  <c:v>4.3088375592817467</c:v>
                </c:pt>
                <c:pt idx="341">
                  <c:v>3.8999922394807096</c:v>
                </c:pt>
                <c:pt idx="343">
                  <c:v>3.4911469196796725</c:v>
                </c:pt>
                <c:pt idx="345">
                  <c:v>3.0823015998786354</c:v>
                </c:pt>
                <c:pt idx="347">
                  <c:v>2.6734562800775983</c:v>
                </c:pt>
                <c:pt idx="349">
                  <c:v>2.2646109602765612</c:v>
                </c:pt>
                <c:pt idx="351">
                  <c:v>1.8557656404755241</c:v>
                </c:pt>
                <c:pt idx="353">
                  <c:v>1.7711101629323418</c:v>
                </c:pt>
                <c:pt idx="355">
                  <c:v>1.7582430609581314</c:v>
                </c:pt>
                <c:pt idx="357">
                  <c:v>2.5340298821310769</c:v>
                </c:pt>
                <c:pt idx="360">
                  <c:v>4.3336700265268853</c:v>
                </c:pt>
                <c:pt idx="362">
                  <c:v>3.9248247067258482</c:v>
                </c:pt>
                <c:pt idx="364">
                  <c:v>3.515979386924811</c:v>
                </c:pt>
                <c:pt idx="367">
                  <c:v>3.1071340671237739</c:v>
                </c:pt>
                <c:pt idx="369">
                  <c:v>2.6982887473227368</c:v>
                </c:pt>
                <c:pt idx="371">
                  <c:v>2.2894434275216997</c:v>
                </c:pt>
                <c:pt idx="373">
                  <c:v>1.9865765563771929</c:v>
                </c:pt>
                <c:pt idx="375">
                  <c:v>1.7036221015276607</c:v>
                </c:pt>
                <c:pt idx="379">
                  <c:v>1.3468067517770894</c:v>
                </c:pt>
                <c:pt idx="381">
                  <c:v>1.095644968502433</c:v>
                </c:pt>
                <c:pt idx="383">
                  <c:v>0.75563123962613865</c:v>
                </c:pt>
                <c:pt idx="385">
                  <c:v>0.36718581116776017</c:v>
                </c:pt>
                <c:pt idx="387">
                  <c:v>5.5870732001368995E-2</c:v>
                </c:pt>
                <c:pt idx="389">
                  <c:v>-0.27598233029104824</c:v>
                </c:pt>
                <c:pt idx="391">
                  <c:v>-0.55834139806048633</c:v>
                </c:pt>
                <c:pt idx="393">
                  <c:v>-0.93931810550457162</c:v>
                </c:pt>
                <c:pt idx="395">
                  <c:v>-1.1219262582351361</c:v>
                </c:pt>
                <c:pt idx="397">
                  <c:v>-1.4630590301424802</c:v>
                </c:pt>
                <c:pt idx="399">
                  <c:v>-1.746633644819483</c:v>
                </c:pt>
                <c:pt idx="401">
                  <c:v>-2.0930687116355622</c:v>
                </c:pt>
                <c:pt idx="403">
                  <c:v>-2.4233317274818296</c:v>
                </c:pt>
                <c:pt idx="405">
                  <c:v>-2.7892681534779555</c:v>
                </c:pt>
                <c:pt idx="407">
                  <c:v>-0.41836650677419085</c:v>
                </c:pt>
                <c:pt idx="409">
                  <c:v>2.3145166872028549</c:v>
                </c:pt>
                <c:pt idx="411">
                  <c:v>2.0144563543427241</c:v>
                </c:pt>
                <c:pt idx="413">
                  <c:v>1.6734887619619974</c:v>
                </c:pt>
                <c:pt idx="415">
                  <c:v>1.3571717224076378</c:v>
                </c:pt>
                <c:pt idx="417">
                  <c:v>0.96182394011475791</c:v>
                </c:pt>
                <c:pt idx="419">
                  <c:v>0.69354083461671445</c:v>
                </c:pt>
                <c:pt idx="421">
                  <c:v>0.55905877798574977</c:v>
                </c:pt>
                <c:pt idx="427">
                  <c:v>0.347960669659796</c:v>
                </c:pt>
                <c:pt idx="431">
                  <c:v>2.1402121401961698</c:v>
                </c:pt>
                <c:pt idx="433">
                  <c:v>1.7636778063232401</c:v>
                </c:pt>
                <c:pt idx="435">
                  <c:v>1.3686028130187304</c:v>
                </c:pt>
                <c:pt idx="439">
                  <c:v>0.97450316077334553</c:v>
                </c:pt>
                <c:pt idx="441">
                  <c:v>0.60967243538050719</c:v>
                </c:pt>
                <c:pt idx="445">
                  <c:v>0.2130909004471464</c:v>
                </c:pt>
                <c:pt idx="447">
                  <c:v>-0.18449605666383062</c:v>
                </c:pt>
                <c:pt idx="449">
                  <c:v>-0.58047751219656896</c:v>
                </c:pt>
                <c:pt idx="451">
                  <c:v>-0.91513338231224162</c:v>
                </c:pt>
                <c:pt idx="453">
                  <c:v>1.5941597257660167</c:v>
                </c:pt>
                <c:pt idx="455">
                  <c:v>2.9512557683529188</c:v>
                </c:pt>
                <c:pt idx="457">
                  <c:v>2.5773400420315498</c:v>
                </c:pt>
                <c:pt idx="459">
                  <c:v>2.2056172446212803</c:v>
                </c:pt>
                <c:pt idx="461">
                  <c:v>1.8616265793804452</c:v>
                </c:pt>
                <c:pt idx="463">
                  <c:v>1.5440821853995492</c:v>
                </c:pt>
                <c:pt idx="465">
                  <c:v>1.1486815447473884</c:v>
                </c:pt>
                <c:pt idx="467">
                  <c:v>0.75068443167223808</c:v>
                </c:pt>
                <c:pt idx="475">
                  <c:v>2.4801163364798446</c:v>
                </c:pt>
                <c:pt idx="477">
                  <c:v>3.0320457244388299</c:v>
                </c:pt>
                <c:pt idx="479">
                  <c:v>6.3685059560917487</c:v>
                </c:pt>
                <c:pt idx="481">
                  <c:v>6.1897776838136052</c:v>
                </c:pt>
                <c:pt idx="483">
                  <c:v>5.8066874375633981</c:v>
                </c:pt>
                <c:pt idx="487">
                  <c:v>5.4053972442588361</c:v>
                </c:pt>
                <c:pt idx="489">
                  <c:v>5.0151686237194486</c:v>
                </c:pt>
                <c:pt idx="493">
                  <c:v>4.6333183789347254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24-CF4A-91D3-D1DB68F49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  <c:minorUnit val="730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But-fuco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but fuco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 fuco update'!$B$3:$B$496</c:f>
              <c:numCache>
                <c:formatCode>[$-409]mmm\-yy;@</c:formatCode>
                <c:ptCount val="494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36600</c:v>
                </c:pt>
                <c:pt idx="11">
                  <c:v>36600</c:v>
                </c:pt>
                <c:pt idx="12">
                  <c:v>36628</c:v>
                </c:pt>
                <c:pt idx="13">
                  <c:v>36628</c:v>
                </c:pt>
                <c:pt idx="14">
                  <c:v>36661</c:v>
                </c:pt>
                <c:pt idx="15">
                  <c:v>36661</c:v>
                </c:pt>
                <c:pt idx="16">
                  <c:v>36691</c:v>
                </c:pt>
                <c:pt idx="17">
                  <c:v>36691</c:v>
                </c:pt>
                <c:pt idx="18">
                  <c:v>36720</c:v>
                </c:pt>
                <c:pt idx="19">
                  <c:v>36720</c:v>
                </c:pt>
                <c:pt idx="20">
                  <c:v>36754</c:v>
                </c:pt>
                <c:pt idx="21">
                  <c:v>36754</c:v>
                </c:pt>
                <c:pt idx="22">
                  <c:v>36782</c:v>
                </c:pt>
                <c:pt idx="23">
                  <c:v>36782</c:v>
                </c:pt>
                <c:pt idx="24">
                  <c:v>36818</c:v>
                </c:pt>
                <c:pt idx="25">
                  <c:v>36818</c:v>
                </c:pt>
                <c:pt idx="26">
                  <c:v>36845</c:v>
                </c:pt>
                <c:pt idx="27">
                  <c:v>36848</c:v>
                </c:pt>
                <c:pt idx="28">
                  <c:v>36875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36963</c:v>
                </c:pt>
                <c:pt idx="35">
                  <c:v>36963</c:v>
                </c:pt>
                <c:pt idx="36">
                  <c:v>37000</c:v>
                </c:pt>
                <c:pt idx="37">
                  <c:v>37000</c:v>
                </c:pt>
                <c:pt idx="38">
                  <c:v>37028</c:v>
                </c:pt>
                <c:pt idx="39">
                  <c:v>37027</c:v>
                </c:pt>
                <c:pt idx="40">
                  <c:v>37058</c:v>
                </c:pt>
                <c:pt idx="41">
                  <c:v>37056</c:v>
                </c:pt>
                <c:pt idx="42">
                  <c:v>37089</c:v>
                </c:pt>
                <c:pt idx="43">
                  <c:v>37089</c:v>
                </c:pt>
                <c:pt idx="44">
                  <c:v>37119</c:v>
                </c:pt>
                <c:pt idx="45">
                  <c:v>37119</c:v>
                </c:pt>
                <c:pt idx="46">
                  <c:v>37152</c:v>
                </c:pt>
                <c:pt idx="47">
                  <c:v>37152</c:v>
                </c:pt>
                <c:pt idx="48">
                  <c:v>37181</c:v>
                </c:pt>
                <c:pt idx="49">
                  <c:v>37181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37690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37817</c:v>
                </c:pt>
                <c:pt idx="91">
                  <c:v>37817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37908</c:v>
                </c:pt>
                <c:pt idx="97">
                  <c:v>37908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38000</c:v>
                </c:pt>
                <c:pt idx="103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38335</c:v>
                </c:pt>
                <c:pt idx="125">
                  <c:v>38335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38468</c:v>
                </c:pt>
                <c:pt idx="133">
                  <c:v>38468</c:v>
                </c:pt>
                <c:pt idx="134">
                  <c:v>38489</c:v>
                </c:pt>
                <c:pt idx="135">
                  <c:v>38489</c:v>
                </c:pt>
                <c:pt idx="136">
                  <c:v>38517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38587</c:v>
                </c:pt>
                <c:pt idx="141">
                  <c:v>38588</c:v>
                </c:pt>
                <c:pt idx="142">
                  <c:v>38608</c:v>
                </c:pt>
                <c:pt idx="143">
                  <c:v>38608</c:v>
                </c:pt>
                <c:pt idx="144">
                  <c:v>38637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39009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39098</c:v>
                </c:pt>
                <c:pt idx="175">
                  <c:v>39098</c:v>
                </c:pt>
                <c:pt idx="176">
                  <c:v>39133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39245</c:v>
                </c:pt>
                <c:pt idx="185">
                  <c:v>39245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39337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39426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39583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39799</c:v>
                </c:pt>
                <c:pt idx="221">
                  <c:v>39800</c:v>
                </c:pt>
                <c:pt idx="222">
                  <c:v>39825</c:v>
                </c:pt>
                <c:pt idx="223">
                  <c:v>39825</c:v>
                </c:pt>
                <c:pt idx="224">
                  <c:v>39855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40042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40133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40282</c:v>
                </c:pt>
                <c:pt idx="253">
                  <c:v>40282</c:v>
                </c:pt>
                <c:pt idx="254">
                  <c:v>40315</c:v>
                </c:pt>
                <c:pt idx="255">
                  <c:v>40315</c:v>
                </c:pt>
                <c:pt idx="256">
                  <c:v>40344</c:v>
                </c:pt>
                <c:pt idx="257">
                  <c:v>40344</c:v>
                </c:pt>
                <c:pt idx="258">
                  <c:v>40371</c:v>
                </c:pt>
                <c:pt idx="259">
                  <c:v>40371</c:v>
                </c:pt>
                <c:pt idx="260">
                  <c:v>40407</c:v>
                </c:pt>
                <c:pt idx="261">
                  <c:v>40407</c:v>
                </c:pt>
                <c:pt idx="262">
                  <c:v>40436</c:v>
                </c:pt>
                <c:pt idx="263">
                  <c:v>40436</c:v>
                </c:pt>
                <c:pt idx="264">
                  <c:v>40464</c:v>
                </c:pt>
                <c:pt idx="265">
                  <c:v>40464</c:v>
                </c:pt>
                <c:pt idx="266">
                  <c:v>40498</c:v>
                </c:pt>
                <c:pt idx="267">
                  <c:v>40498</c:v>
                </c:pt>
                <c:pt idx="268">
                  <c:v>40520</c:v>
                </c:pt>
                <c:pt idx="269">
                  <c:v>40520</c:v>
                </c:pt>
                <c:pt idx="270">
                  <c:v>40562</c:v>
                </c:pt>
                <c:pt idx="271">
                  <c:v>40562</c:v>
                </c:pt>
                <c:pt idx="272">
                  <c:v>40562</c:v>
                </c:pt>
                <c:pt idx="273">
                  <c:v>40591</c:v>
                </c:pt>
                <c:pt idx="274">
                  <c:v>40591</c:v>
                </c:pt>
                <c:pt idx="275">
                  <c:v>40619</c:v>
                </c:pt>
                <c:pt idx="276">
                  <c:v>40619</c:v>
                </c:pt>
                <c:pt idx="277">
                  <c:v>40646</c:v>
                </c:pt>
                <c:pt idx="278">
                  <c:v>40646</c:v>
                </c:pt>
                <c:pt idx="279">
                  <c:v>40681</c:v>
                </c:pt>
                <c:pt idx="280">
                  <c:v>40681</c:v>
                </c:pt>
                <c:pt idx="281">
                  <c:v>40708</c:v>
                </c:pt>
                <c:pt idx="282">
                  <c:v>40708</c:v>
                </c:pt>
                <c:pt idx="283">
                  <c:v>40735</c:v>
                </c:pt>
                <c:pt idx="284">
                  <c:v>40735</c:v>
                </c:pt>
                <c:pt idx="285">
                  <c:v>40771</c:v>
                </c:pt>
                <c:pt idx="286">
                  <c:v>40771</c:v>
                </c:pt>
                <c:pt idx="287">
                  <c:v>40799</c:v>
                </c:pt>
                <c:pt idx="288">
                  <c:v>40799</c:v>
                </c:pt>
                <c:pt idx="289">
                  <c:v>40827</c:v>
                </c:pt>
                <c:pt idx="290">
                  <c:v>40827</c:v>
                </c:pt>
                <c:pt idx="291">
                  <c:v>40862</c:v>
                </c:pt>
                <c:pt idx="292">
                  <c:v>40862</c:v>
                </c:pt>
                <c:pt idx="293">
                  <c:v>40891</c:v>
                </c:pt>
                <c:pt idx="294">
                  <c:v>40890</c:v>
                </c:pt>
                <c:pt idx="295">
                  <c:v>40890</c:v>
                </c:pt>
                <c:pt idx="296">
                  <c:v>40917</c:v>
                </c:pt>
                <c:pt idx="297">
                  <c:v>40917</c:v>
                </c:pt>
                <c:pt idx="298">
                  <c:v>40962</c:v>
                </c:pt>
                <c:pt idx="299">
                  <c:v>40962</c:v>
                </c:pt>
                <c:pt idx="300">
                  <c:v>40980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41107</c:v>
                </c:pt>
                <c:pt idx="312">
                  <c:v>41135</c:v>
                </c:pt>
                <c:pt idx="313">
                  <c:v>41135</c:v>
                </c:pt>
                <c:pt idx="314">
                  <c:v>41135</c:v>
                </c:pt>
                <c:pt idx="315">
                  <c:v>41164</c:v>
                </c:pt>
                <c:pt idx="316">
                  <c:v>41164</c:v>
                </c:pt>
                <c:pt idx="317">
                  <c:v>41200</c:v>
                </c:pt>
                <c:pt idx="318">
                  <c:v>41200</c:v>
                </c:pt>
                <c:pt idx="319">
                  <c:v>41226</c:v>
                </c:pt>
                <c:pt idx="320">
                  <c:v>41226</c:v>
                </c:pt>
                <c:pt idx="321">
                  <c:v>41254</c:v>
                </c:pt>
                <c:pt idx="322">
                  <c:v>41254</c:v>
                </c:pt>
                <c:pt idx="323">
                  <c:v>41288</c:v>
                </c:pt>
                <c:pt idx="324">
                  <c:v>41288</c:v>
                </c:pt>
                <c:pt idx="325">
                  <c:v>41318</c:v>
                </c:pt>
                <c:pt idx="326">
                  <c:v>41318</c:v>
                </c:pt>
                <c:pt idx="327">
                  <c:v>41344</c:v>
                </c:pt>
                <c:pt idx="328">
                  <c:v>41344</c:v>
                </c:pt>
                <c:pt idx="329">
                  <c:v>41381</c:v>
                </c:pt>
                <c:pt idx="330">
                  <c:v>41379</c:v>
                </c:pt>
                <c:pt idx="331">
                  <c:v>41408</c:v>
                </c:pt>
                <c:pt idx="332">
                  <c:v>41408</c:v>
                </c:pt>
                <c:pt idx="333">
                  <c:v>41436</c:v>
                </c:pt>
                <c:pt idx="334">
                  <c:v>41437</c:v>
                </c:pt>
                <c:pt idx="335">
                  <c:v>41471</c:v>
                </c:pt>
                <c:pt idx="336">
                  <c:v>41471</c:v>
                </c:pt>
                <c:pt idx="337">
                  <c:v>41471</c:v>
                </c:pt>
                <c:pt idx="338">
                  <c:v>41499</c:v>
                </c:pt>
                <c:pt idx="339">
                  <c:v>41499</c:v>
                </c:pt>
                <c:pt idx="340">
                  <c:v>41533</c:v>
                </c:pt>
                <c:pt idx="341">
                  <c:v>41533</c:v>
                </c:pt>
                <c:pt idx="342">
                  <c:v>41569</c:v>
                </c:pt>
                <c:pt idx="343">
                  <c:v>41569</c:v>
                </c:pt>
                <c:pt idx="344">
                  <c:v>41597</c:v>
                </c:pt>
                <c:pt idx="345">
                  <c:v>41597</c:v>
                </c:pt>
                <c:pt idx="346">
                  <c:v>41624</c:v>
                </c:pt>
                <c:pt idx="347">
                  <c:v>41624</c:v>
                </c:pt>
                <c:pt idx="348">
                  <c:v>41654</c:v>
                </c:pt>
                <c:pt idx="349">
                  <c:v>41654</c:v>
                </c:pt>
                <c:pt idx="350">
                  <c:v>41688</c:v>
                </c:pt>
                <c:pt idx="351">
                  <c:v>41690</c:v>
                </c:pt>
                <c:pt idx="352">
                  <c:v>41719</c:v>
                </c:pt>
                <c:pt idx="353">
                  <c:v>41719</c:v>
                </c:pt>
                <c:pt idx="354">
                  <c:v>41747</c:v>
                </c:pt>
                <c:pt idx="355">
                  <c:v>41747</c:v>
                </c:pt>
                <c:pt idx="356">
                  <c:v>41772</c:v>
                </c:pt>
                <c:pt idx="357">
                  <c:v>41772</c:v>
                </c:pt>
                <c:pt idx="358">
                  <c:v>41808</c:v>
                </c:pt>
                <c:pt idx="359">
                  <c:v>41808</c:v>
                </c:pt>
                <c:pt idx="360">
                  <c:v>41808</c:v>
                </c:pt>
                <c:pt idx="361">
                  <c:v>41834</c:v>
                </c:pt>
                <c:pt idx="362">
                  <c:v>41834</c:v>
                </c:pt>
                <c:pt idx="363">
                  <c:v>41864</c:v>
                </c:pt>
                <c:pt idx="364">
                  <c:v>41862</c:v>
                </c:pt>
                <c:pt idx="365">
                  <c:v>41898</c:v>
                </c:pt>
                <c:pt idx="366">
                  <c:v>41898</c:v>
                </c:pt>
                <c:pt idx="367">
                  <c:v>41898</c:v>
                </c:pt>
                <c:pt idx="368">
                  <c:v>41929</c:v>
                </c:pt>
                <c:pt idx="369">
                  <c:v>41929</c:v>
                </c:pt>
                <c:pt idx="370">
                  <c:v>41953</c:v>
                </c:pt>
                <c:pt idx="371">
                  <c:v>41953</c:v>
                </c:pt>
                <c:pt idx="372">
                  <c:v>41988</c:v>
                </c:pt>
                <c:pt idx="373">
                  <c:v>41988</c:v>
                </c:pt>
                <c:pt idx="374">
                  <c:v>42014</c:v>
                </c:pt>
                <c:pt idx="375">
                  <c:v>42009</c:v>
                </c:pt>
                <c:pt idx="376">
                  <c:v>42036</c:v>
                </c:pt>
                <c:pt idx="377">
                  <c:v>42036</c:v>
                </c:pt>
                <c:pt idx="378">
                  <c:v>42064</c:v>
                </c:pt>
                <c:pt idx="379">
                  <c:v>42064</c:v>
                </c:pt>
                <c:pt idx="380">
                  <c:v>42095</c:v>
                </c:pt>
                <c:pt idx="381">
                  <c:v>42095</c:v>
                </c:pt>
                <c:pt idx="382">
                  <c:v>42125</c:v>
                </c:pt>
                <c:pt idx="383">
                  <c:v>42125</c:v>
                </c:pt>
                <c:pt idx="384">
                  <c:v>42156</c:v>
                </c:pt>
                <c:pt idx="385">
                  <c:v>42156</c:v>
                </c:pt>
                <c:pt idx="386">
                  <c:v>42186</c:v>
                </c:pt>
                <c:pt idx="387">
                  <c:v>42186</c:v>
                </c:pt>
                <c:pt idx="388">
                  <c:v>42217</c:v>
                </c:pt>
                <c:pt idx="389">
                  <c:v>42217</c:v>
                </c:pt>
                <c:pt idx="390">
                  <c:v>42248</c:v>
                </c:pt>
                <c:pt idx="391">
                  <c:v>42248</c:v>
                </c:pt>
                <c:pt idx="392">
                  <c:v>42278</c:v>
                </c:pt>
                <c:pt idx="393">
                  <c:v>42278</c:v>
                </c:pt>
                <c:pt idx="394">
                  <c:v>42309</c:v>
                </c:pt>
                <c:pt idx="395">
                  <c:v>42309</c:v>
                </c:pt>
                <c:pt idx="396">
                  <c:v>42339</c:v>
                </c:pt>
                <c:pt idx="397">
                  <c:v>42339</c:v>
                </c:pt>
                <c:pt idx="398">
                  <c:v>42379</c:v>
                </c:pt>
                <c:pt idx="399">
                  <c:v>42374</c:v>
                </c:pt>
                <c:pt idx="400">
                  <c:v>42401</c:v>
                </c:pt>
                <c:pt idx="401">
                  <c:v>42401</c:v>
                </c:pt>
                <c:pt idx="402">
                  <c:v>42430</c:v>
                </c:pt>
                <c:pt idx="403">
                  <c:v>42430</c:v>
                </c:pt>
                <c:pt idx="404">
                  <c:v>42461</c:v>
                </c:pt>
                <c:pt idx="405">
                  <c:v>42461</c:v>
                </c:pt>
                <c:pt idx="406">
                  <c:v>42491</c:v>
                </c:pt>
                <c:pt idx="407">
                  <c:v>42491</c:v>
                </c:pt>
                <c:pt idx="408">
                  <c:v>42522</c:v>
                </c:pt>
                <c:pt idx="409">
                  <c:v>42522</c:v>
                </c:pt>
                <c:pt idx="410">
                  <c:v>42552</c:v>
                </c:pt>
                <c:pt idx="411">
                  <c:v>42552</c:v>
                </c:pt>
                <c:pt idx="412">
                  <c:v>42583</c:v>
                </c:pt>
                <c:pt idx="413">
                  <c:v>42583</c:v>
                </c:pt>
                <c:pt idx="414">
                  <c:v>42614</c:v>
                </c:pt>
                <c:pt idx="415">
                  <c:v>42614</c:v>
                </c:pt>
                <c:pt idx="416">
                  <c:v>42644</c:v>
                </c:pt>
                <c:pt idx="417">
                  <c:v>42644</c:v>
                </c:pt>
                <c:pt idx="418">
                  <c:v>42675</c:v>
                </c:pt>
                <c:pt idx="419">
                  <c:v>42675</c:v>
                </c:pt>
                <c:pt idx="420">
                  <c:v>42705</c:v>
                </c:pt>
                <c:pt idx="421">
                  <c:v>42705</c:v>
                </c:pt>
                <c:pt idx="422">
                  <c:v>42745</c:v>
                </c:pt>
                <c:pt idx="423">
                  <c:v>42740</c:v>
                </c:pt>
                <c:pt idx="424">
                  <c:v>42767</c:v>
                </c:pt>
                <c:pt idx="425">
                  <c:v>42767</c:v>
                </c:pt>
                <c:pt idx="426">
                  <c:v>42795</c:v>
                </c:pt>
                <c:pt idx="427">
                  <c:v>42795</c:v>
                </c:pt>
                <c:pt idx="428">
                  <c:v>42826</c:v>
                </c:pt>
                <c:pt idx="429">
                  <c:v>42826</c:v>
                </c:pt>
                <c:pt idx="430">
                  <c:v>42856</c:v>
                </c:pt>
                <c:pt idx="431">
                  <c:v>42856</c:v>
                </c:pt>
                <c:pt idx="432">
                  <c:v>42887</c:v>
                </c:pt>
                <c:pt idx="433">
                  <c:v>42887</c:v>
                </c:pt>
                <c:pt idx="434">
                  <c:v>42917</c:v>
                </c:pt>
                <c:pt idx="435">
                  <c:v>42917</c:v>
                </c:pt>
                <c:pt idx="436">
                  <c:v>42948</c:v>
                </c:pt>
                <c:pt idx="437">
                  <c:v>42948</c:v>
                </c:pt>
                <c:pt idx="438">
                  <c:v>42979</c:v>
                </c:pt>
                <c:pt idx="439">
                  <c:v>42979</c:v>
                </c:pt>
                <c:pt idx="440">
                  <c:v>43009</c:v>
                </c:pt>
                <c:pt idx="441">
                  <c:v>43009</c:v>
                </c:pt>
                <c:pt idx="442">
                  <c:v>43040</c:v>
                </c:pt>
                <c:pt idx="443">
                  <c:v>43040</c:v>
                </c:pt>
                <c:pt idx="444">
                  <c:v>43070</c:v>
                </c:pt>
                <c:pt idx="445">
                  <c:v>43070</c:v>
                </c:pt>
                <c:pt idx="446">
                  <c:v>43110</c:v>
                </c:pt>
                <c:pt idx="447">
                  <c:v>43105</c:v>
                </c:pt>
                <c:pt idx="448">
                  <c:v>43132</c:v>
                </c:pt>
                <c:pt idx="449">
                  <c:v>43132</c:v>
                </c:pt>
                <c:pt idx="450">
                  <c:v>43160</c:v>
                </c:pt>
                <c:pt idx="451">
                  <c:v>43160</c:v>
                </c:pt>
                <c:pt idx="452">
                  <c:v>43191</c:v>
                </c:pt>
                <c:pt idx="453">
                  <c:v>43191</c:v>
                </c:pt>
                <c:pt idx="454">
                  <c:v>43221</c:v>
                </c:pt>
                <c:pt idx="455">
                  <c:v>43221</c:v>
                </c:pt>
                <c:pt idx="456">
                  <c:v>43252</c:v>
                </c:pt>
                <c:pt idx="457">
                  <c:v>43252</c:v>
                </c:pt>
                <c:pt idx="458">
                  <c:v>43282</c:v>
                </c:pt>
                <c:pt idx="459">
                  <c:v>43282</c:v>
                </c:pt>
                <c:pt idx="460">
                  <c:v>43313</c:v>
                </c:pt>
                <c:pt idx="461">
                  <c:v>43313</c:v>
                </c:pt>
                <c:pt idx="462">
                  <c:v>43344</c:v>
                </c:pt>
                <c:pt idx="463">
                  <c:v>43344</c:v>
                </c:pt>
                <c:pt idx="464">
                  <c:v>43374</c:v>
                </c:pt>
                <c:pt idx="465">
                  <c:v>43374</c:v>
                </c:pt>
                <c:pt idx="466">
                  <c:v>43405</c:v>
                </c:pt>
                <c:pt idx="467">
                  <c:v>43405</c:v>
                </c:pt>
                <c:pt idx="468">
                  <c:v>43435</c:v>
                </c:pt>
                <c:pt idx="469">
                  <c:v>43435</c:v>
                </c:pt>
                <c:pt idx="470">
                  <c:v>43475</c:v>
                </c:pt>
                <c:pt idx="471">
                  <c:v>43470</c:v>
                </c:pt>
                <c:pt idx="472">
                  <c:v>43497</c:v>
                </c:pt>
                <c:pt idx="473">
                  <c:v>43497</c:v>
                </c:pt>
                <c:pt idx="474">
                  <c:v>43525</c:v>
                </c:pt>
                <c:pt idx="475">
                  <c:v>43525</c:v>
                </c:pt>
                <c:pt idx="476">
                  <c:v>43556</c:v>
                </c:pt>
                <c:pt idx="477">
                  <c:v>43556</c:v>
                </c:pt>
                <c:pt idx="478">
                  <c:v>43586</c:v>
                </c:pt>
                <c:pt idx="479">
                  <c:v>43586</c:v>
                </c:pt>
                <c:pt idx="480">
                  <c:v>43617</c:v>
                </c:pt>
                <c:pt idx="481">
                  <c:v>43617</c:v>
                </c:pt>
                <c:pt idx="482">
                  <c:v>43647</c:v>
                </c:pt>
                <c:pt idx="483">
                  <c:v>43647</c:v>
                </c:pt>
                <c:pt idx="484">
                  <c:v>43678</c:v>
                </c:pt>
                <c:pt idx="485">
                  <c:v>43678</c:v>
                </c:pt>
                <c:pt idx="486">
                  <c:v>43709</c:v>
                </c:pt>
                <c:pt idx="487">
                  <c:v>43709</c:v>
                </c:pt>
                <c:pt idx="488">
                  <c:v>43739</c:v>
                </c:pt>
                <c:pt idx="489">
                  <c:v>43739</c:v>
                </c:pt>
                <c:pt idx="490">
                  <c:v>43770</c:v>
                </c:pt>
                <c:pt idx="491">
                  <c:v>43770</c:v>
                </c:pt>
                <c:pt idx="492">
                  <c:v>43800</c:v>
                </c:pt>
                <c:pt idx="493">
                  <c:v>43800</c:v>
                </c:pt>
              </c:numCache>
            </c:numRef>
          </c:xVal>
          <c:yVal>
            <c:numRef>
              <c:f>'but fuco update'!$L$3:$L$496</c:f>
              <c:numCache>
                <c:formatCode>General</c:formatCode>
                <c:ptCount val="49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1.0748359414574521E-2</c:v>
                </c:pt>
                <c:pt idx="9">
                  <c:v>0</c:v>
                </c:pt>
                <c:pt idx="11">
                  <c:v>2.266878465244684E-2</c:v>
                </c:pt>
                <c:pt idx="13">
                  <c:v>9.3613580913790538E-3</c:v>
                </c:pt>
                <c:pt idx="15">
                  <c:v>0.13268008534485737</c:v>
                </c:pt>
                <c:pt idx="17">
                  <c:v>8.813310577644411E-3</c:v>
                </c:pt>
                <c:pt idx="19">
                  <c:v>4.4984665371043016E-3</c:v>
                </c:pt>
                <c:pt idx="21">
                  <c:v>2.0509953912400966E-3</c:v>
                </c:pt>
                <c:pt idx="23">
                  <c:v>0</c:v>
                </c:pt>
                <c:pt idx="25">
                  <c:v>0</c:v>
                </c:pt>
                <c:pt idx="27">
                  <c:v>0</c:v>
                </c:pt>
                <c:pt idx="29">
                  <c:v>2.4379141021317521E-3</c:v>
                </c:pt>
                <c:pt idx="31">
                  <c:v>0</c:v>
                </c:pt>
                <c:pt idx="33">
                  <c:v>1.0651580987199954E-2</c:v>
                </c:pt>
                <c:pt idx="35">
                  <c:v>8.4583802669828383E-3</c:v>
                </c:pt>
                <c:pt idx="37">
                  <c:v>0</c:v>
                </c:pt>
                <c:pt idx="39">
                  <c:v>4.7291341606482398E-3</c:v>
                </c:pt>
                <c:pt idx="41">
                  <c:v>0.22014418017351697</c:v>
                </c:pt>
                <c:pt idx="43">
                  <c:v>0</c:v>
                </c:pt>
                <c:pt idx="45">
                  <c:v>0</c:v>
                </c:pt>
                <c:pt idx="47">
                  <c:v>0</c:v>
                </c:pt>
                <c:pt idx="49">
                  <c:v>8.3027130236482654E-3</c:v>
                </c:pt>
                <c:pt idx="51">
                  <c:v>3.1088745729105599E-3</c:v>
                </c:pt>
                <c:pt idx="53">
                  <c:v>4.0353223001841311E-3</c:v>
                </c:pt>
                <c:pt idx="55">
                  <c:v>5.5393780540192441E-3</c:v>
                </c:pt>
                <c:pt idx="57">
                  <c:v>2.146727982990345E-2</c:v>
                </c:pt>
                <c:pt idx="61">
                  <c:v>0</c:v>
                </c:pt>
                <c:pt idx="63">
                  <c:v>5.0034161049322144E-2</c:v>
                </c:pt>
                <c:pt idx="65">
                  <c:v>0.20536656478455814</c:v>
                </c:pt>
                <c:pt idx="67">
                  <c:v>0</c:v>
                </c:pt>
                <c:pt idx="69">
                  <c:v>2.0203542260530932E-3</c:v>
                </c:pt>
                <c:pt idx="71">
                  <c:v>0</c:v>
                </c:pt>
                <c:pt idx="73">
                  <c:v>0</c:v>
                </c:pt>
                <c:pt idx="75">
                  <c:v>0</c:v>
                </c:pt>
                <c:pt idx="77">
                  <c:v>0</c:v>
                </c:pt>
                <c:pt idx="79">
                  <c:v>0</c:v>
                </c:pt>
                <c:pt idx="81">
                  <c:v>0</c:v>
                </c:pt>
                <c:pt idx="83">
                  <c:v>0</c:v>
                </c:pt>
                <c:pt idx="85">
                  <c:v>1.3187104517870449E-2</c:v>
                </c:pt>
                <c:pt idx="87">
                  <c:v>5.9472275563003774E-2</c:v>
                </c:pt>
                <c:pt idx="89">
                  <c:v>0.15211838135927155</c:v>
                </c:pt>
                <c:pt idx="91">
                  <c:v>0</c:v>
                </c:pt>
                <c:pt idx="93">
                  <c:v>1.0203781531910301E-3</c:v>
                </c:pt>
                <c:pt idx="95">
                  <c:v>0</c:v>
                </c:pt>
                <c:pt idx="97">
                  <c:v>0</c:v>
                </c:pt>
                <c:pt idx="99">
                  <c:v>0</c:v>
                </c:pt>
                <c:pt idx="101">
                  <c:v>0</c:v>
                </c:pt>
                <c:pt idx="103">
                  <c:v>0</c:v>
                </c:pt>
                <c:pt idx="105">
                  <c:v>0</c:v>
                </c:pt>
                <c:pt idx="107">
                  <c:v>2.3263520149740041E-3</c:v>
                </c:pt>
                <c:pt idx="109">
                  <c:v>1.6010726458005668E-2</c:v>
                </c:pt>
                <c:pt idx="111">
                  <c:v>2.0220849303320285E-2</c:v>
                </c:pt>
                <c:pt idx="113">
                  <c:v>0.10608846703502745</c:v>
                </c:pt>
                <c:pt idx="115">
                  <c:v>8.4389126789495335E-3</c:v>
                </c:pt>
                <c:pt idx="119">
                  <c:v>0</c:v>
                </c:pt>
                <c:pt idx="121">
                  <c:v>0</c:v>
                </c:pt>
                <c:pt idx="123">
                  <c:v>0</c:v>
                </c:pt>
                <c:pt idx="125">
                  <c:v>0</c:v>
                </c:pt>
                <c:pt idx="127">
                  <c:v>0</c:v>
                </c:pt>
                <c:pt idx="129">
                  <c:v>0</c:v>
                </c:pt>
                <c:pt idx="131">
                  <c:v>0</c:v>
                </c:pt>
                <c:pt idx="133">
                  <c:v>1.5075159427354561E-2</c:v>
                </c:pt>
                <c:pt idx="135">
                  <c:v>0.13350533199716549</c:v>
                </c:pt>
                <c:pt idx="137">
                  <c:v>9.5042151052047011E-2</c:v>
                </c:pt>
                <c:pt idx="139">
                  <c:v>0</c:v>
                </c:pt>
                <c:pt idx="141">
                  <c:v>0</c:v>
                </c:pt>
                <c:pt idx="143">
                  <c:v>1.3930636561982101E-3</c:v>
                </c:pt>
                <c:pt idx="145">
                  <c:v>2.7703516961478259E-5</c:v>
                </c:pt>
                <c:pt idx="147">
                  <c:v>1.9162593486838232E-2</c:v>
                </c:pt>
                <c:pt idx="149">
                  <c:v>3.4639832343211463E-5</c:v>
                </c:pt>
                <c:pt idx="151">
                  <c:v>1.3000351009477256E-5</c:v>
                </c:pt>
                <c:pt idx="153">
                  <c:v>6.7798612524037991E-3</c:v>
                </c:pt>
                <c:pt idx="155">
                  <c:v>2.0330799189258366E-2</c:v>
                </c:pt>
                <c:pt idx="157">
                  <c:v>1.9975495558569992E-2</c:v>
                </c:pt>
                <c:pt idx="159">
                  <c:v>8.8956100164568785E-5</c:v>
                </c:pt>
                <c:pt idx="161">
                  <c:v>7.5972609058170271E-2</c:v>
                </c:pt>
                <c:pt idx="163">
                  <c:v>6.7734386377260213E-6</c:v>
                </c:pt>
                <c:pt idx="165">
                  <c:v>6.838378346958802E-6</c:v>
                </c:pt>
                <c:pt idx="167">
                  <c:v>2.2628786078770806E-5</c:v>
                </c:pt>
                <c:pt idx="169">
                  <c:v>7.1956982238878933E-2</c:v>
                </c:pt>
                <c:pt idx="171">
                  <c:v>2.1520504827031373E-2</c:v>
                </c:pt>
                <c:pt idx="173">
                  <c:v>5.4169438899977815E-2</c:v>
                </c:pt>
                <c:pt idx="175">
                  <c:v>3.2160377929864932E-2</c:v>
                </c:pt>
                <c:pt idx="177">
                  <c:v>1.023321735571019E-3</c:v>
                </c:pt>
                <c:pt idx="179">
                  <c:v>3.8369148119723714E-4</c:v>
                </c:pt>
                <c:pt idx="181">
                  <c:v>5.0247577345488475E-3</c:v>
                </c:pt>
                <c:pt idx="183">
                  <c:v>0.12988160452376743</c:v>
                </c:pt>
                <c:pt idx="185">
                  <c:v>0.20404020877633866</c:v>
                </c:pt>
                <c:pt idx="187">
                  <c:v>4.8851687468350656E-3</c:v>
                </c:pt>
                <c:pt idx="189">
                  <c:v>1.4546643239488415E-2</c:v>
                </c:pt>
                <c:pt idx="191">
                  <c:v>7.7770864120712453E-5</c:v>
                </c:pt>
                <c:pt idx="193">
                  <c:v>4.1972586568730322E-3</c:v>
                </c:pt>
                <c:pt idx="195">
                  <c:v>1.2658203505355403E-2</c:v>
                </c:pt>
                <c:pt idx="197">
                  <c:v>5.6780238500851786E-4</c:v>
                </c:pt>
                <c:pt idx="199">
                  <c:v>3.1507798960138649E-4</c:v>
                </c:pt>
                <c:pt idx="201">
                  <c:v>1.709376869817933E-4</c:v>
                </c:pt>
                <c:pt idx="203">
                  <c:v>1.7512232809683236E-2</c:v>
                </c:pt>
                <c:pt idx="205">
                  <c:v>1.0115326251896812E-3</c:v>
                </c:pt>
                <c:pt idx="207">
                  <c:v>5.4680719156850591E-2</c:v>
                </c:pt>
                <c:pt idx="209">
                  <c:v>9.1754989676531308E-5</c:v>
                </c:pt>
                <c:pt idx="211">
                  <c:v>7.2956112509576441E-5</c:v>
                </c:pt>
                <c:pt idx="213">
                  <c:v>1.3489376053962899E-4</c:v>
                </c:pt>
                <c:pt idx="215">
                  <c:v>7.6282834453268181E-2</c:v>
                </c:pt>
                <c:pt idx="217">
                  <c:v>3.1665688259109308E-2</c:v>
                </c:pt>
                <c:pt idx="219">
                  <c:v>2.5676374289160777E-2</c:v>
                </c:pt>
                <c:pt idx="221">
                  <c:v>4.3123558638792532E-3</c:v>
                </c:pt>
                <c:pt idx="223">
                  <c:v>1.3707587908698334E-4</c:v>
                </c:pt>
                <c:pt idx="225">
                  <c:v>2.0393596410727034E-4</c:v>
                </c:pt>
                <c:pt idx="227">
                  <c:v>2.546542722526423E-4</c:v>
                </c:pt>
                <c:pt idx="229">
                  <c:v>3.9666798889329631E-4</c:v>
                </c:pt>
                <c:pt idx="231">
                  <c:v>0.1152</c:v>
                </c:pt>
                <c:pt idx="233">
                  <c:v>6.9283351708930546E-2</c:v>
                </c:pt>
                <c:pt idx="235">
                  <c:v>2.7734527053328143E-3</c:v>
                </c:pt>
                <c:pt idx="237">
                  <c:v>6.079832188241016E-5</c:v>
                </c:pt>
                <c:pt idx="239">
                  <c:v>7.1804538273732572E-5</c:v>
                </c:pt>
                <c:pt idx="241">
                  <c:v>6.1819647896788057E-3</c:v>
                </c:pt>
                <c:pt idx="243">
                  <c:v>3.5704338510980183E-4</c:v>
                </c:pt>
                <c:pt idx="245">
                  <c:v>1.1527281460134485E-3</c:v>
                </c:pt>
                <c:pt idx="247">
                  <c:v>9.2344586249485381E-4</c:v>
                </c:pt>
                <c:pt idx="249">
                  <c:v>0</c:v>
                </c:pt>
                <c:pt idx="251">
                  <c:v>1.0527176966292136E-2</c:v>
                </c:pt>
                <c:pt idx="253">
                  <c:v>0</c:v>
                </c:pt>
                <c:pt idx="255">
                  <c:v>1.1554311461256205E-2</c:v>
                </c:pt>
                <c:pt idx="257">
                  <c:v>1.0515304713920907E-3</c:v>
                </c:pt>
                <c:pt idx="259">
                  <c:v>1.8503473753859725E-3</c:v>
                </c:pt>
                <c:pt idx="261">
                  <c:v>0</c:v>
                </c:pt>
                <c:pt idx="263">
                  <c:v>0</c:v>
                </c:pt>
                <c:pt idx="265">
                  <c:v>0</c:v>
                </c:pt>
                <c:pt idx="267">
                  <c:v>4.6814661448853309E-2</c:v>
                </c:pt>
                <c:pt idx="269">
                  <c:v>2.6316545524100992E-2</c:v>
                </c:pt>
                <c:pt idx="272">
                  <c:v>0</c:v>
                </c:pt>
                <c:pt idx="274">
                  <c:v>0</c:v>
                </c:pt>
                <c:pt idx="276">
                  <c:v>0</c:v>
                </c:pt>
                <c:pt idx="278">
                  <c:v>0</c:v>
                </c:pt>
                <c:pt idx="280">
                  <c:v>1.6720719567690556E-2</c:v>
                </c:pt>
                <c:pt idx="282">
                  <c:v>0</c:v>
                </c:pt>
                <c:pt idx="284">
                  <c:v>0</c:v>
                </c:pt>
                <c:pt idx="286">
                  <c:v>0</c:v>
                </c:pt>
                <c:pt idx="288">
                  <c:v>0</c:v>
                </c:pt>
                <c:pt idx="290">
                  <c:v>0</c:v>
                </c:pt>
                <c:pt idx="292">
                  <c:v>0</c:v>
                </c:pt>
                <c:pt idx="295">
                  <c:v>0</c:v>
                </c:pt>
                <c:pt idx="297">
                  <c:v>0</c:v>
                </c:pt>
                <c:pt idx="299">
                  <c:v>0</c:v>
                </c:pt>
                <c:pt idx="302">
                  <c:v>2.1839825690366112E-2</c:v>
                </c:pt>
                <c:pt idx="304">
                  <c:v>1.4472438304721027E-2</c:v>
                </c:pt>
                <c:pt idx="306">
                  <c:v>1.9885822057238649E-2</c:v>
                </c:pt>
                <c:pt idx="308">
                  <c:v>5.2104215732454075E-3</c:v>
                </c:pt>
                <c:pt idx="311">
                  <c:v>0</c:v>
                </c:pt>
                <c:pt idx="314">
                  <c:v>0</c:v>
                </c:pt>
                <c:pt idx="316">
                  <c:v>0</c:v>
                </c:pt>
                <c:pt idx="318">
                  <c:v>0</c:v>
                </c:pt>
                <c:pt idx="320">
                  <c:v>0</c:v>
                </c:pt>
                <c:pt idx="322">
                  <c:v>0</c:v>
                </c:pt>
                <c:pt idx="324">
                  <c:v>7.9270619996276294E-4</c:v>
                </c:pt>
                <c:pt idx="326">
                  <c:v>0</c:v>
                </c:pt>
                <c:pt idx="328">
                  <c:v>0</c:v>
                </c:pt>
                <c:pt idx="330">
                  <c:v>0</c:v>
                </c:pt>
                <c:pt idx="332">
                  <c:v>0</c:v>
                </c:pt>
                <c:pt idx="334">
                  <c:v>0</c:v>
                </c:pt>
                <c:pt idx="337">
                  <c:v>0</c:v>
                </c:pt>
                <c:pt idx="339">
                  <c:v>0</c:v>
                </c:pt>
                <c:pt idx="341">
                  <c:v>0</c:v>
                </c:pt>
                <c:pt idx="343">
                  <c:v>0</c:v>
                </c:pt>
                <c:pt idx="345">
                  <c:v>0</c:v>
                </c:pt>
                <c:pt idx="347">
                  <c:v>0</c:v>
                </c:pt>
                <c:pt idx="349">
                  <c:v>0</c:v>
                </c:pt>
                <c:pt idx="351">
                  <c:v>0</c:v>
                </c:pt>
                <c:pt idx="353">
                  <c:v>1.1108252392515354E-2</c:v>
                </c:pt>
                <c:pt idx="355">
                  <c:v>1.356805615784909E-2</c:v>
                </c:pt>
                <c:pt idx="357">
                  <c:v>4.0591009029080673E-2</c:v>
                </c:pt>
                <c:pt idx="360">
                  <c:v>7.5672987687218599E-2</c:v>
                </c:pt>
                <c:pt idx="362">
                  <c:v>0</c:v>
                </c:pt>
                <c:pt idx="364">
                  <c:v>0</c:v>
                </c:pt>
                <c:pt idx="367">
                  <c:v>0</c:v>
                </c:pt>
                <c:pt idx="369">
                  <c:v>0</c:v>
                </c:pt>
                <c:pt idx="371">
                  <c:v>0</c:v>
                </c:pt>
                <c:pt idx="373">
                  <c:v>3.6313147495460863E-3</c:v>
                </c:pt>
                <c:pt idx="375">
                  <c:v>4.3136067806871497E-3</c:v>
                </c:pt>
                <c:pt idx="379">
                  <c:v>1.7827888599787993E-3</c:v>
                </c:pt>
                <c:pt idx="381">
                  <c:v>5.4029716343989191E-3</c:v>
                </c:pt>
                <c:pt idx="383">
                  <c:v>2.3584905660377353E-3</c:v>
                </c:pt>
                <c:pt idx="385">
                  <c:v>6.9899519440803849E-4</c:v>
                </c:pt>
                <c:pt idx="387">
                  <c:v>3.3418398347308301E-3</c:v>
                </c:pt>
                <c:pt idx="389">
                  <c:v>2.6381129733085043E-3</c:v>
                </c:pt>
                <c:pt idx="391">
                  <c:v>4.3340075122796883E-3</c:v>
                </c:pt>
                <c:pt idx="393">
                  <c:v>9.5490832696715048E-4</c:v>
                </c:pt>
                <c:pt idx="395">
                  <c:v>7.7519379844961231E-3</c:v>
                </c:pt>
                <c:pt idx="397">
                  <c:v>2.3201469450889402E-3</c:v>
                </c:pt>
                <c:pt idx="399">
                  <c:v>4.2923572195063793E-3</c:v>
                </c:pt>
                <c:pt idx="401">
                  <c:v>2.1384656508954829E-3</c:v>
                </c:pt>
                <c:pt idx="403">
                  <c:v>2.6925953627524304E-3</c:v>
                </c:pt>
                <c:pt idx="405">
                  <c:v>1.4702583490863264E-3</c:v>
                </c:pt>
                <c:pt idx="407">
                  <c:v>9.5247064732843598E-2</c:v>
                </c:pt>
                <c:pt idx="409">
                  <c:v>0.10765023677716266</c:v>
                </c:pt>
                <c:pt idx="411">
                  <c:v>3.7274798094843651E-3</c:v>
                </c:pt>
                <c:pt idx="413">
                  <c:v>2.3258067642213396E-3</c:v>
                </c:pt>
                <c:pt idx="415">
                  <c:v>3.1704493986211063E-3</c:v>
                </c:pt>
                <c:pt idx="417">
                  <c:v>4.6248843663274748E-4</c:v>
                </c:pt>
                <c:pt idx="419">
                  <c:v>4.8163154726068641E-3</c:v>
                </c:pt>
                <c:pt idx="421">
                  <c:v>9.4009619588981217E-3</c:v>
                </c:pt>
                <c:pt idx="427">
                  <c:v>6.7757395471822841E-3</c:v>
                </c:pt>
                <c:pt idx="431">
                  <c:v>7.5419817342629883E-2</c:v>
                </c:pt>
                <c:pt idx="433">
                  <c:v>1.1071247150765224E-3</c:v>
                </c:pt>
                <c:pt idx="435">
                  <c:v>4.7183545661219064E-4</c:v>
                </c:pt>
                <c:pt idx="439">
                  <c:v>5.0525517938352694E-4</c:v>
                </c:pt>
                <c:pt idx="441">
                  <c:v>1.5081447963800907E-3</c:v>
                </c:pt>
                <c:pt idx="445">
                  <c:v>4.2021433074175243E-4</c:v>
                </c:pt>
                <c:pt idx="447">
                  <c:v>3.8576388888888894E-4</c:v>
                </c:pt>
                <c:pt idx="449">
                  <c:v>4.4077584306810667E-4</c:v>
                </c:pt>
                <c:pt idx="451">
                  <c:v>2.5420757363253852E-3</c:v>
                </c:pt>
                <c:pt idx="453">
                  <c:v>9.9989000109998893E-2</c:v>
                </c:pt>
                <c:pt idx="455">
                  <c:v>6.0509367681498838E-2</c:v>
                </c:pt>
                <c:pt idx="457">
                  <c:v>1.1968503937007874E-3</c:v>
                </c:pt>
                <c:pt idx="459">
                  <c:v>1.2719903414970678E-3</c:v>
                </c:pt>
                <c:pt idx="461">
                  <c:v>2.2222222222222222E-3</c:v>
                </c:pt>
                <c:pt idx="463">
                  <c:v>3.1283945253095806E-3</c:v>
                </c:pt>
                <c:pt idx="465">
                  <c:v>4.606772633033863E-4</c:v>
                </c:pt>
                <c:pt idx="467">
                  <c:v>3.7171003717472118E-4</c:v>
                </c:pt>
                <c:pt idx="475">
                  <c:v>7.3267326732673263E-2</c:v>
                </c:pt>
                <c:pt idx="477">
                  <c:v>3.2920611798980329E-2</c:v>
                </c:pt>
                <c:pt idx="479">
                  <c:v>0.12833159442283981</c:v>
                </c:pt>
                <c:pt idx="481">
                  <c:v>7.8848807411787888E-3</c:v>
                </c:pt>
                <c:pt idx="483">
                  <c:v>8.8248865355521934E-4</c:v>
                </c:pt>
                <c:pt idx="487">
                  <c:v>2.5887378640776699E-4</c:v>
                </c:pt>
                <c:pt idx="489">
                  <c:v>6.378947368421053E-4</c:v>
                </c:pt>
                <c:pt idx="493">
                  <c:v>9.2497687326549495E-4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AA-8B47-B770-15BCF29A7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cusum but fuco vs peri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'but fuco update'!$N$4:$N$496</c:f>
              <c:numCache>
                <c:formatCode>General</c:formatCode>
                <c:ptCount val="493"/>
                <c:pt idx="0">
                  <c:v>-0.40884531980103711</c:v>
                </c:pt>
                <c:pt idx="2">
                  <c:v>-0.81769063960207422</c:v>
                </c:pt>
                <c:pt idx="4">
                  <c:v>-1.2265359594031113</c:v>
                </c:pt>
                <c:pt idx="6">
                  <c:v>-1.3216947675896413</c:v>
                </c:pt>
                <c:pt idx="8">
                  <c:v>-1.7305400873906784</c:v>
                </c:pt>
                <c:pt idx="10">
                  <c:v>-1.4778061181213924</c:v>
                </c:pt>
                <c:pt idx="12">
                  <c:v>-1.6134439975685959</c:v>
                </c:pt>
                <c:pt idx="14">
                  <c:v>1.849925178556854</c:v>
                </c:pt>
                <c:pt idx="16">
                  <c:v>1.6982927546260236</c:v>
                </c:pt>
                <c:pt idx="18">
                  <c:v>1.4207333568165241</c:v>
                </c:pt>
                <c:pt idx="20">
                  <c:v>1.0717455059370364</c:v>
                </c:pt>
                <c:pt idx="22">
                  <c:v>0.66290018613599933</c:v>
                </c:pt>
                <c:pt idx="24">
                  <c:v>0.25405486633496221</c:v>
                </c:pt>
                <c:pt idx="26">
                  <c:v>-0.1547904534660749</c:v>
                </c:pt>
                <c:pt idx="28">
                  <c:v>-0.49248623864357194</c:v>
                </c:pt>
                <c:pt idx="30">
                  <c:v>-0.9013315584446091</c:v>
                </c:pt>
                <c:pt idx="32">
                  <c:v>-0.99931480579545484</c:v>
                </c:pt>
                <c:pt idx="34">
                  <c:v>-1.1613057269371909</c:v>
                </c:pt>
                <c:pt idx="36">
                  <c:v>-1.570151046738228</c:v>
                </c:pt>
                <c:pt idx="38">
                  <c:v>-1.8409785034783033</c:v>
                </c:pt>
                <c:pt idx="40">
                  <c:v>4.1749948180872121</c:v>
                </c:pt>
                <c:pt idx="42">
                  <c:v>3.766149498286175</c:v>
                </c:pt>
                <c:pt idx="44">
                  <c:v>3.3573041784851378</c:v>
                </c:pt>
                <c:pt idx="46">
                  <c:v>2.9484588586841007</c:v>
                </c:pt>
                <c:pt idx="48">
                  <c:v>2.7819248521606035</c:v>
                </c:pt>
                <c:pt idx="50">
                  <c:v>2.4638107762832662</c:v>
                </c:pt>
                <c:pt idx="52">
                  <c:v>2.1727347017001142</c:v>
                </c:pt>
                <c:pt idx="54">
                  <c:v>1.9255538844763793</c:v>
                </c:pt>
                <c:pt idx="56">
                  <c:v>2.1432224226473546</c:v>
                </c:pt>
                <c:pt idx="60">
                  <c:v>1.7343771028463175</c:v>
                </c:pt>
                <c:pt idx="62">
                  <c:v>2.7857584870237688</c:v>
                </c:pt>
                <c:pt idx="64">
                  <c:v>8.3704530950157814</c:v>
                </c:pt>
                <c:pt idx="66">
                  <c:v>7.9616077752147447</c:v>
                </c:pt>
                <c:pt idx="68">
                  <c:v>7.6117256743526704</c:v>
                </c:pt>
                <c:pt idx="70">
                  <c:v>7.2028803545516329</c:v>
                </c:pt>
                <c:pt idx="72">
                  <c:v>1.3255317830452804</c:v>
                </c:pt>
                <c:pt idx="74">
                  <c:v>0.9166864632442433</c:v>
                </c:pt>
                <c:pt idx="76">
                  <c:v>0.50784114344320619</c:v>
                </c:pt>
                <c:pt idx="78">
                  <c:v>9.8995823642169078E-2</c:v>
                </c:pt>
                <c:pt idx="80">
                  <c:v>-0.30984949615886803</c:v>
                </c:pt>
                <c:pt idx="82">
                  <c:v>-0.71869481595990514</c:v>
                </c:pt>
                <c:pt idx="84">
                  <c:v>-0.74267983709084628</c:v>
                </c:pt>
                <c:pt idx="86">
                  <c:v>0.58414909250460845</c:v>
                </c:pt>
                <c:pt idx="88">
                  <c:v>4.6148170565942621</c:v>
                </c:pt>
                <c:pt idx="90">
                  <c:v>4.2059717367932254</c:v>
                </c:pt>
                <c:pt idx="92">
                  <c:v>3.8269057396828798</c:v>
                </c:pt>
                <c:pt idx="94">
                  <c:v>3.4180604198818427</c:v>
                </c:pt>
                <c:pt idx="96">
                  <c:v>3.0092151000808056</c:v>
                </c:pt>
                <c:pt idx="98">
                  <c:v>2.6003697802797685</c:v>
                </c:pt>
                <c:pt idx="100">
                  <c:v>2.1915244604787314</c:v>
                </c:pt>
                <c:pt idx="102">
                  <c:v>1.7826791406776943</c:v>
                </c:pt>
                <c:pt idx="104">
                  <c:v>1.3738338208766572</c:v>
                </c:pt>
                <c:pt idx="106">
                  <c:v>1.0328821414180762</c:v>
                </c:pt>
                <c:pt idx="108">
                  <c:v>1.0913033817783697</c:v>
                </c:pt>
                <c:pt idx="110">
                  <c:v>1.272595350393666</c:v>
                </c:pt>
                <c:pt idx="112">
                  <c:v>3.9598989276627714</c:v>
                </c:pt>
                <c:pt idx="114">
                  <c:v>3.7973398528573763</c:v>
                </c:pt>
                <c:pt idx="118">
                  <c:v>3.3884945330563392</c:v>
                </c:pt>
                <c:pt idx="120">
                  <c:v>2.9796492132553021</c:v>
                </c:pt>
                <c:pt idx="122">
                  <c:v>2.570803893454265</c:v>
                </c:pt>
                <c:pt idx="124">
                  <c:v>2.1619585736532279</c:v>
                </c:pt>
                <c:pt idx="126">
                  <c:v>1.7531132538521907</c:v>
                </c:pt>
                <c:pt idx="128">
                  <c:v>1.3442679340511536</c:v>
                </c:pt>
                <c:pt idx="130">
                  <c:v>0.93542261425011652</c:v>
                </c:pt>
                <c:pt idx="132">
                  <c:v>0.96653971014455387</c:v>
                </c:pt>
                <c:pt idx="134">
                  <c:v>4.4539933752230869</c:v>
                </c:pt>
                <c:pt idx="136">
                  <c:v>6.818914699234627</c:v>
                </c:pt>
                <c:pt idx="138">
                  <c:v>6.4100693794335903</c:v>
                </c:pt>
                <c:pt idx="140">
                  <c:v>6.0012240596325537</c:v>
                </c:pt>
                <c:pt idx="142">
                  <c:v>5.6330347378229151</c:v>
                </c:pt>
                <c:pt idx="144">
                  <c:v>5.224997933932066</c:v>
                </c:pt>
                <c:pt idx="146">
                  <c:v>5.3754051356109418</c:v>
                </c:pt>
                <c:pt idx="148">
                  <c:v>4.9675707652721934</c:v>
                </c:pt>
                <c:pt idx="150">
                  <c:v>4.5591048554444029</c:v>
                </c:pt>
                <c:pt idx="152">
                  <c:v>4.3481270374142023</c:v>
                </c:pt>
                <c:pt idx="154">
                  <c:v>4.53262784887165</c:v>
                </c:pt>
                <c:pt idx="156">
                  <c:v>4.7067592679245713</c:v>
                </c:pt>
                <c:pt idx="158">
                  <c:v>4.3005100958397726</c:v>
                </c:pt>
                <c:pt idx="160">
                  <c:v>6.1088945684659475</c:v>
                </c:pt>
                <c:pt idx="162">
                  <c:v>5.7002469287252762</c:v>
                </c:pt>
                <c:pt idx="164">
                  <c:v>5.2916011842236887</c:v>
                </c:pt>
                <c:pt idx="166">
                  <c:v>4.8834162763695668</c:v>
                </c:pt>
                <c:pt idx="168">
                  <c:v>6.5746063084022213</c:v>
                </c:pt>
                <c:pt idx="170">
                  <c:v>6.7938281965344114</c:v>
                </c:pt>
                <c:pt idx="172">
                  <c:v>7.9658959881434903</c:v>
                </c:pt>
                <c:pt idx="174">
                  <c:v>8.4956382588675758</c:v>
                </c:pt>
                <c:pt idx="176">
                  <c:v>8.1166581690155208</c:v>
                </c:pt>
                <c:pt idx="178">
                  <c:v>7.7190107295263166</c:v>
                </c:pt>
                <c:pt idx="180">
                  <c:v>7.4568109269305705</c:v>
                </c:pt>
                <c:pt idx="182">
                  <c:v>10.838507574930707</c:v>
                </c:pt>
                <c:pt idx="184">
                  <c:v>16.384493020591105</c:v>
                </c:pt>
                <c:pt idx="186">
                  <c:v>16.118219369984995</c:v>
                </c:pt>
                <c:pt idx="188">
                  <c:v>16.133911935222343</c:v>
                </c:pt>
                <c:pt idx="190">
                  <c:v>15.727336326558635</c:v>
                </c:pt>
                <c:pt idx="192">
                  <c:v>15.440986298888692</c:v>
                </c:pt>
                <c:pt idx="194">
                  <c:v>15.40156551614931</c:v>
                </c:pt>
                <c:pt idx="196">
                  <c:v>15.009291278740456</c:v>
                </c:pt>
                <c:pt idx="198">
                  <c:v>14.609641382318223</c:v>
                </c:pt>
                <c:pt idx="200">
                  <c:v>14.205784809605422</c:v>
                </c:pt>
                <c:pt idx="202">
                  <c:v>14.308026904056815</c:v>
                </c:pt>
                <c:pt idx="204">
                  <c:v>13.92870275379815</c:v>
                </c:pt>
                <c:pt idx="206">
                  <c:v>15.115692052406551</c:v>
                </c:pt>
                <c:pt idx="208">
                  <c:v>14.709524564777356</c:v>
                </c:pt>
                <c:pt idx="210">
                  <c:v>14.302808439540007</c:v>
                </c:pt>
                <c:pt idx="212">
                  <c:v>13.897899939447926</c:v>
                </c:pt>
                <c:pt idx="214">
                  <c:v>15.715338214449796</c:v>
                </c:pt>
                <c:pt idx="216">
                  <c:v>16.230643167703771</c:v>
                </c:pt>
                <c:pt idx="218">
                  <c:v>16.571152421099626</c:v>
                </c:pt>
                <c:pt idx="220">
                  <c:v>16.288161458750238</c:v>
                </c:pt>
                <c:pt idx="222">
                  <c:v>15.883316642903226</c:v>
                </c:pt>
                <c:pt idx="224">
                  <c:v>15.48042311152925</c:v>
                </c:pt>
                <c:pt idx="226">
                  <c:v>15.079009773414864</c:v>
                </c:pt>
                <c:pt idx="228">
                  <c:v>14.68174104804147</c:v>
                </c:pt>
                <c:pt idx="230">
                  <c:v>17.63496102064131</c:v>
                </c:pt>
                <c:pt idx="232">
                  <c:v>19.248122229675328</c:v>
                </c:pt>
                <c:pt idx="234">
                  <c:v>18.92021900258883</c:v>
                </c:pt>
                <c:pt idx="236">
                  <c:v>18.513148057161377</c:v>
                </c:pt>
                <c:pt idx="238">
                  <c:v>18.106398323696858</c:v>
                </c:pt>
                <c:pt idx="240">
                  <c:v>17.877971139817898</c:v>
                </c:pt>
                <c:pt idx="242">
                  <c:v>17.479545986448798</c:v>
                </c:pt>
                <c:pt idx="244">
                  <c:v>17.104342570217948</c:v>
                </c:pt>
                <c:pt idx="246">
                  <c:v>16.72244764350463</c:v>
                </c:pt>
                <c:pt idx="248">
                  <c:v>16.313602323703591</c:v>
                </c:pt>
                <c:pt idx="250">
                  <c:v>16.2119883954419</c:v>
                </c:pt>
                <c:pt idx="252">
                  <c:v>15.803143075640863</c:v>
                </c:pt>
                <c:pt idx="254">
                  <c:v>15.731505651165165</c:v>
                </c:pt>
                <c:pt idx="256">
                  <c:v>15.353348821830874</c:v>
                </c:pt>
                <c:pt idx="258">
                  <c:v>14.998505139961003</c:v>
                </c:pt>
                <c:pt idx="260">
                  <c:v>14.589659820159966</c:v>
                </c:pt>
                <c:pt idx="262">
                  <c:v>14.180814500358929</c:v>
                </c:pt>
                <c:pt idx="264">
                  <c:v>13.771969180557893</c:v>
                </c:pt>
                <c:pt idx="266">
                  <c:v>14.729390774235043</c:v>
                </c:pt>
                <c:pt idx="268">
                  <c:v>15.088583165566536</c:v>
                </c:pt>
                <c:pt idx="271">
                  <c:v>14.6797378457655</c:v>
                </c:pt>
                <c:pt idx="273">
                  <c:v>14.270892525964463</c:v>
                </c:pt>
                <c:pt idx="275">
                  <c:v>13.862047206163426</c:v>
                </c:pt>
                <c:pt idx="277">
                  <c:v>13.45320188636239</c:v>
                </c:pt>
                <c:pt idx="279">
                  <c:v>13.532343987763616</c:v>
                </c:pt>
                <c:pt idx="281">
                  <c:v>13.123498667962579</c:v>
                </c:pt>
                <c:pt idx="283">
                  <c:v>12.714653348161542</c:v>
                </c:pt>
                <c:pt idx="285">
                  <c:v>12.305808028360506</c:v>
                </c:pt>
                <c:pt idx="287">
                  <c:v>11.896962708559469</c:v>
                </c:pt>
                <c:pt idx="289">
                  <c:v>11.488117388758432</c:v>
                </c:pt>
                <c:pt idx="291">
                  <c:v>11.079272068957396</c:v>
                </c:pt>
                <c:pt idx="294">
                  <c:v>10.670426749156359</c:v>
                </c:pt>
                <c:pt idx="296">
                  <c:v>10.261581429355322</c:v>
                </c:pt>
                <c:pt idx="298">
                  <c:v>9.8527361095542858</c:v>
                </c:pt>
                <c:pt idx="301">
                  <c:v>10.081277247614924</c:v>
                </c:pt>
                <c:pt idx="303">
                  <c:v>10.094804171917321</c:v>
                </c:pt>
                <c:pt idx="305">
                  <c:v>10.266318506191821</c:v>
                </c:pt>
                <c:pt idx="307">
                  <c:v>10.009537227451419</c:v>
                </c:pt>
                <c:pt idx="310">
                  <c:v>9.6006919076503827</c:v>
                </c:pt>
                <c:pt idx="313">
                  <c:v>9.1918465878493461</c:v>
                </c:pt>
                <c:pt idx="315">
                  <c:v>8.7830012680483094</c:v>
                </c:pt>
                <c:pt idx="317">
                  <c:v>8.3741559482472727</c:v>
                </c:pt>
                <c:pt idx="319">
                  <c:v>7.9653106284462361</c:v>
                </c:pt>
                <c:pt idx="321">
                  <c:v>7.5564653086451994</c:v>
                </c:pt>
                <c:pt idx="323">
                  <c:v>7.1707547978890043</c:v>
                </c:pt>
                <c:pt idx="325">
                  <c:v>6.7619094780879667</c:v>
                </c:pt>
                <c:pt idx="327">
                  <c:v>6.3530641582869301</c:v>
                </c:pt>
                <c:pt idx="329">
                  <c:v>5.9442188384858934</c:v>
                </c:pt>
                <c:pt idx="331">
                  <c:v>5.5353735186848567</c:v>
                </c:pt>
                <c:pt idx="333">
                  <c:v>5.1265281988838201</c:v>
                </c:pt>
                <c:pt idx="336">
                  <c:v>4.7176828790827834</c:v>
                </c:pt>
                <c:pt idx="338">
                  <c:v>4.3088375592817467</c:v>
                </c:pt>
                <c:pt idx="340">
                  <c:v>3.8999922394807096</c:v>
                </c:pt>
                <c:pt idx="342">
                  <c:v>3.4911469196796725</c:v>
                </c:pt>
                <c:pt idx="344">
                  <c:v>3.0823015998786354</c:v>
                </c:pt>
                <c:pt idx="346">
                  <c:v>2.6734562800775983</c:v>
                </c:pt>
                <c:pt idx="348">
                  <c:v>2.2646109602765612</c:v>
                </c:pt>
                <c:pt idx="350">
                  <c:v>1.8557656404755241</c:v>
                </c:pt>
                <c:pt idx="352">
                  <c:v>1.7711101629323418</c:v>
                </c:pt>
                <c:pt idx="354">
                  <c:v>1.7582430609581314</c:v>
                </c:pt>
                <c:pt idx="356">
                  <c:v>2.5340298821310769</c:v>
                </c:pt>
                <c:pt idx="359">
                  <c:v>4.3336700265268853</c:v>
                </c:pt>
                <c:pt idx="361">
                  <c:v>3.9248247067258482</c:v>
                </c:pt>
                <c:pt idx="363">
                  <c:v>3.515979386924811</c:v>
                </c:pt>
                <c:pt idx="366">
                  <c:v>3.1071340671237739</c:v>
                </c:pt>
                <c:pt idx="368">
                  <c:v>2.6982887473227368</c:v>
                </c:pt>
                <c:pt idx="370">
                  <c:v>2.2894434275216997</c:v>
                </c:pt>
                <c:pt idx="372">
                  <c:v>1.9865765563771929</c:v>
                </c:pt>
                <c:pt idx="374">
                  <c:v>1.7036221015276607</c:v>
                </c:pt>
                <c:pt idx="378">
                  <c:v>1.3468067517770894</c:v>
                </c:pt>
                <c:pt idx="380">
                  <c:v>1.095644968502433</c:v>
                </c:pt>
                <c:pt idx="382">
                  <c:v>0.75563123962613865</c:v>
                </c:pt>
                <c:pt idx="384">
                  <c:v>0.36718581116776017</c:v>
                </c:pt>
                <c:pt idx="386">
                  <c:v>5.5870732001368995E-2</c:v>
                </c:pt>
                <c:pt idx="388">
                  <c:v>-0.27598233029104824</c:v>
                </c:pt>
                <c:pt idx="390">
                  <c:v>-0.55834139806048633</c:v>
                </c:pt>
                <c:pt idx="392">
                  <c:v>-0.93931810550457162</c:v>
                </c:pt>
                <c:pt idx="394">
                  <c:v>-1.1219262582351361</c:v>
                </c:pt>
                <c:pt idx="396">
                  <c:v>-1.4630590301424802</c:v>
                </c:pt>
                <c:pt idx="398">
                  <c:v>-1.746633644819483</c:v>
                </c:pt>
                <c:pt idx="400">
                  <c:v>-2.0930687116355622</c:v>
                </c:pt>
                <c:pt idx="402">
                  <c:v>-2.4233317274818296</c:v>
                </c:pt>
                <c:pt idx="404">
                  <c:v>-2.7892681534779555</c:v>
                </c:pt>
                <c:pt idx="406">
                  <c:v>-0.41836650677419085</c:v>
                </c:pt>
                <c:pt idx="408">
                  <c:v>2.3145166872028549</c:v>
                </c:pt>
                <c:pt idx="410">
                  <c:v>2.0144563543427241</c:v>
                </c:pt>
                <c:pt idx="412">
                  <c:v>1.6734887619619974</c:v>
                </c:pt>
                <c:pt idx="414">
                  <c:v>1.3571717224076378</c:v>
                </c:pt>
                <c:pt idx="416">
                  <c:v>0.96182394011475791</c:v>
                </c:pt>
                <c:pt idx="418">
                  <c:v>0.69354083461671445</c:v>
                </c:pt>
                <c:pt idx="420">
                  <c:v>0.55905877798574977</c:v>
                </c:pt>
                <c:pt idx="426">
                  <c:v>0.347960669659796</c:v>
                </c:pt>
                <c:pt idx="430">
                  <c:v>2.1402121401961698</c:v>
                </c:pt>
                <c:pt idx="432">
                  <c:v>1.7636778063232401</c:v>
                </c:pt>
                <c:pt idx="434">
                  <c:v>1.3686028130187304</c:v>
                </c:pt>
                <c:pt idx="438">
                  <c:v>0.97450316077334553</c:v>
                </c:pt>
                <c:pt idx="440">
                  <c:v>0.60967243538050719</c:v>
                </c:pt>
                <c:pt idx="444">
                  <c:v>0.2130909004471464</c:v>
                </c:pt>
                <c:pt idx="446">
                  <c:v>-0.18449605666383062</c:v>
                </c:pt>
                <c:pt idx="448">
                  <c:v>-0.58047751219656896</c:v>
                </c:pt>
                <c:pt idx="450">
                  <c:v>-0.91513338231224162</c:v>
                </c:pt>
                <c:pt idx="452">
                  <c:v>1.5941597257660167</c:v>
                </c:pt>
                <c:pt idx="454">
                  <c:v>2.9512557683529188</c:v>
                </c:pt>
                <c:pt idx="456">
                  <c:v>2.5773400420315498</c:v>
                </c:pt>
                <c:pt idx="458">
                  <c:v>2.2056172446212803</c:v>
                </c:pt>
                <c:pt idx="460">
                  <c:v>1.8616265793804452</c:v>
                </c:pt>
                <c:pt idx="462">
                  <c:v>1.5440821853995492</c:v>
                </c:pt>
                <c:pt idx="464">
                  <c:v>1.1486815447473884</c:v>
                </c:pt>
                <c:pt idx="466">
                  <c:v>0.75068443167223808</c:v>
                </c:pt>
                <c:pt idx="474">
                  <c:v>2.4801163364798446</c:v>
                </c:pt>
                <c:pt idx="476">
                  <c:v>3.0320457244388299</c:v>
                </c:pt>
                <c:pt idx="478">
                  <c:v>6.3685059560917487</c:v>
                </c:pt>
                <c:pt idx="480">
                  <c:v>6.1897776838136052</c:v>
                </c:pt>
                <c:pt idx="482">
                  <c:v>5.8066874375633981</c:v>
                </c:pt>
                <c:pt idx="486">
                  <c:v>5.4053972442588361</c:v>
                </c:pt>
                <c:pt idx="488">
                  <c:v>5.0151686237194486</c:v>
                </c:pt>
                <c:pt idx="492">
                  <c:v>4.6333183789347254</c:v>
                </c:pt>
              </c:numCache>
            </c:numRef>
          </c:xVal>
          <c:yVal>
            <c:numRef>
              <c:f>'perid update'!$N$4:$N$496</c:f>
              <c:numCache>
                <c:formatCode>General</c:formatCode>
                <c:ptCount val="493"/>
                <c:pt idx="0">
                  <c:v>-0.28692987217933558</c:v>
                </c:pt>
                <c:pt idx="2">
                  <c:v>-0.62454760105665263</c:v>
                </c:pt>
                <c:pt idx="4">
                  <c:v>-0.83652325215412981</c:v>
                </c:pt>
                <c:pt idx="6">
                  <c:v>-0.97890257931460845</c:v>
                </c:pt>
                <c:pt idx="8">
                  <c:v>-1.1802771416103064</c:v>
                </c:pt>
                <c:pt idx="10">
                  <c:v>-1.5493861731297864</c:v>
                </c:pt>
                <c:pt idx="12">
                  <c:v>-1.4181842576051005</c:v>
                </c:pt>
                <c:pt idx="14">
                  <c:v>-1.7503436381213617</c:v>
                </c:pt>
                <c:pt idx="16">
                  <c:v>-1.6433755156385565</c:v>
                </c:pt>
                <c:pt idx="18">
                  <c:v>-1.9145929135897859</c:v>
                </c:pt>
                <c:pt idx="20">
                  <c:v>-2.1118910806414415</c:v>
                </c:pt>
                <c:pt idx="22">
                  <c:v>-2.3865601220505406</c:v>
                </c:pt>
                <c:pt idx="24">
                  <c:v>-1.9389353921930681</c:v>
                </c:pt>
                <c:pt idx="26">
                  <c:v>-2.0328135793644884</c:v>
                </c:pt>
                <c:pt idx="28">
                  <c:v>-1.8242039272516422</c:v>
                </c:pt>
                <c:pt idx="30">
                  <c:v>-1.3859065699415436</c:v>
                </c:pt>
                <c:pt idx="32">
                  <c:v>-1.3866701312071044</c:v>
                </c:pt>
                <c:pt idx="34">
                  <c:v>-1.8183544889834544</c:v>
                </c:pt>
                <c:pt idx="36">
                  <c:v>-2.2500388467598045</c:v>
                </c:pt>
                <c:pt idx="38">
                  <c:v>-2.4043372656937834</c:v>
                </c:pt>
                <c:pt idx="40">
                  <c:v>-2.7196025235913228</c:v>
                </c:pt>
                <c:pt idx="42">
                  <c:v>-2.7410480692563524</c:v>
                </c:pt>
                <c:pt idx="44">
                  <c:v>-2.4526792416408583</c:v>
                </c:pt>
                <c:pt idx="46">
                  <c:v>-2.8843635994172083</c:v>
                </c:pt>
                <c:pt idx="48">
                  <c:v>-3.2347294126611925</c:v>
                </c:pt>
                <c:pt idx="50">
                  <c:v>-3.6664137704375426</c:v>
                </c:pt>
                <c:pt idx="52">
                  <c:v>-3.8740690742335468</c:v>
                </c:pt>
                <c:pt idx="54">
                  <c:v>-2.1750027185323697</c:v>
                </c:pt>
                <c:pt idx="56">
                  <c:v>-2.2027079618448577</c:v>
                </c:pt>
                <c:pt idx="60">
                  <c:v>-2.082209521674403</c:v>
                </c:pt>
                <c:pt idx="72">
                  <c:v>-2.513893879450753</c:v>
                </c:pt>
                <c:pt idx="74">
                  <c:v>-1.9106443538259912</c:v>
                </c:pt>
                <c:pt idx="76">
                  <c:v>-2.1308960040878215</c:v>
                </c:pt>
                <c:pt idx="78">
                  <c:v>-1.9482707602444462</c:v>
                </c:pt>
                <c:pt idx="80">
                  <c:v>-1.8483298418044465</c:v>
                </c:pt>
                <c:pt idx="82">
                  <c:v>-1.6705105225950065</c:v>
                </c:pt>
                <c:pt idx="84">
                  <c:v>-1.9974348179240029</c:v>
                </c:pt>
                <c:pt idx="86">
                  <c:v>-1.9137225365821644</c:v>
                </c:pt>
                <c:pt idx="88">
                  <c:v>-2.2437029494576541</c:v>
                </c:pt>
                <c:pt idx="90">
                  <c:v>-2.6333780035129437</c:v>
                </c:pt>
                <c:pt idx="92">
                  <c:v>-2.9601735411660748</c:v>
                </c:pt>
                <c:pt idx="94">
                  <c:v>-3.2313082834570412</c:v>
                </c:pt>
                <c:pt idx="96">
                  <c:v>-3.4333065726570187</c:v>
                </c:pt>
                <c:pt idx="98">
                  <c:v>-3.5408919466040043</c:v>
                </c:pt>
                <c:pt idx="100">
                  <c:v>-3.7012783551486925</c:v>
                </c:pt>
                <c:pt idx="102">
                  <c:v>-4.0223172715858064</c:v>
                </c:pt>
                <c:pt idx="104">
                  <c:v>-4.3100638876799771</c:v>
                </c:pt>
                <c:pt idx="106">
                  <c:v>-4.5453343784165527</c:v>
                </c:pt>
                <c:pt idx="108">
                  <c:v>-4.8692474798824037</c:v>
                </c:pt>
                <c:pt idx="110">
                  <c:v>-5.1705572035219269</c:v>
                </c:pt>
                <c:pt idx="112">
                  <c:v>-5.5652794482504175</c:v>
                </c:pt>
                <c:pt idx="114">
                  <c:v>-5.6994997497099273</c:v>
                </c:pt>
                <c:pt idx="118">
                  <c:v>-6.0273846114141891</c:v>
                </c:pt>
                <c:pt idx="120">
                  <c:v>-6.3946949199275283</c:v>
                </c:pt>
                <c:pt idx="122">
                  <c:v>-6.7608314097145454</c:v>
                </c:pt>
                <c:pt idx="124">
                  <c:v>-6.1363510822874252</c:v>
                </c:pt>
                <c:pt idx="126">
                  <c:v>-6.459313708062691</c:v>
                </c:pt>
                <c:pt idx="128">
                  <c:v>-6.0001169237164884</c:v>
                </c:pt>
                <c:pt idx="130">
                  <c:v>-3.7934984729418049</c:v>
                </c:pt>
                <c:pt idx="132">
                  <c:v>-4.1614479701323868</c:v>
                </c:pt>
                <c:pt idx="134">
                  <c:v>-4.5018963932088516</c:v>
                </c:pt>
                <c:pt idx="136">
                  <c:v>-4.8778030916481789</c:v>
                </c:pt>
                <c:pt idx="138">
                  <c:v>-5.0333237016736527</c:v>
                </c:pt>
                <c:pt idx="140">
                  <c:v>-5.2204929386517529</c:v>
                </c:pt>
                <c:pt idx="142">
                  <c:v>-5.2324039678769454</c:v>
                </c:pt>
                <c:pt idx="144">
                  <c:v>-5.5979683469451809</c:v>
                </c:pt>
                <c:pt idx="146">
                  <c:v>-6.0067958549449152</c:v>
                </c:pt>
                <c:pt idx="148">
                  <c:v>-6.3186694011008679</c:v>
                </c:pt>
                <c:pt idx="150">
                  <c:v>-6.554521708194728</c:v>
                </c:pt>
                <c:pt idx="152">
                  <c:v>-6.8992035423263474</c:v>
                </c:pt>
                <c:pt idx="154">
                  <c:v>-7.3306713727254076</c:v>
                </c:pt>
                <c:pt idx="156">
                  <c:v>-7.6555217687277564</c:v>
                </c:pt>
                <c:pt idx="158">
                  <c:v>-8.0064581433279667</c:v>
                </c:pt>
                <c:pt idx="160">
                  <c:v>-8.3863157008097708</c:v>
                </c:pt>
                <c:pt idx="162">
                  <c:v>-8.7557735753709505</c:v>
                </c:pt>
                <c:pt idx="164">
                  <c:v>-8.9617443681612521</c:v>
                </c:pt>
                <c:pt idx="166">
                  <c:v>-9.3227754811263335</c:v>
                </c:pt>
                <c:pt idx="168">
                  <c:v>-9.753439866569769</c:v>
                </c:pt>
                <c:pt idx="170">
                  <c:v>-10.104857227271808</c:v>
                </c:pt>
                <c:pt idx="172">
                  <c:v>-10.319607528622081</c:v>
                </c:pt>
                <c:pt idx="174">
                  <c:v>-10.618114372944623</c:v>
                </c:pt>
                <c:pt idx="176">
                  <c:v>-10.825579668159326</c:v>
                </c:pt>
                <c:pt idx="178">
                  <c:v>-10.701749683100193</c:v>
                </c:pt>
                <c:pt idx="180">
                  <c:v>-11.062658008595401</c:v>
                </c:pt>
                <c:pt idx="182">
                  <c:v>-11.374039072564377</c:v>
                </c:pt>
                <c:pt idx="184">
                  <c:v>-11.772822002752484</c:v>
                </c:pt>
                <c:pt idx="186">
                  <c:v>-11.933649519227934</c:v>
                </c:pt>
                <c:pt idx="188">
                  <c:v>-12.227841314921065</c:v>
                </c:pt>
                <c:pt idx="190">
                  <c:v>-12.590749758059488</c:v>
                </c:pt>
                <c:pt idx="192">
                  <c:v>-12.907477731819448</c:v>
                </c:pt>
                <c:pt idx="194">
                  <c:v>-13.16391354991131</c:v>
                </c:pt>
                <c:pt idx="196">
                  <c:v>-13.537831067165406</c:v>
                </c:pt>
                <c:pt idx="198">
                  <c:v>-13.629233764595323</c:v>
                </c:pt>
                <c:pt idx="200">
                  <c:v>-13.583336693843709</c:v>
                </c:pt>
                <c:pt idx="202">
                  <c:v>-13.79334271497979</c:v>
                </c:pt>
                <c:pt idx="204">
                  <c:v>-14.114199908929036</c:v>
                </c:pt>
                <c:pt idx="206">
                  <c:v>-14.281970228629106</c:v>
                </c:pt>
                <c:pt idx="208">
                  <c:v>-14.53916184918439</c:v>
                </c:pt>
                <c:pt idx="210">
                  <c:v>-14.532922517028309</c:v>
                </c:pt>
                <c:pt idx="212">
                  <c:v>-14.010270046987468</c:v>
                </c:pt>
                <c:pt idx="214">
                  <c:v>-14.371047580265476</c:v>
                </c:pt>
                <c:pt idx="216">
                  <c:v>-14.678270257710107</c:v>
                </c:pt>
                <c:pt idx="218">
                  <c:v>-14.937348826019734</c:v>
                </c:pt>
                <c:pt idx="220">
                  <c:v>-14.936212829694007</c:v>
                </c:pt>
                <c:pt idx="222">
                  <c:v>-15.1587090552799</c:v>
                </c:pt>
                <c:pt idx="224">
                  <c:v>-15.469108893521527</c:v>
                </c:pt>
                <c:pt idx="226">
                  <c:v>-15.839012376782293</c:v>
                </c:pt>
                <c:pt idx="228">
                  <c:v>-16.171367956665406</c:v>
                </c:pt>
                <c:pt idx="230">
                  <c:v>-16.422758663112187</c:v>
                </c:pt>
                <c:pt idx="232">
                  <c:v>-16.723303298388313</c:v>
                </c:pt>
                <c:pt idx="234">
                  <c:v>-16.988979143924343</c:v>
                </c:pt>
                <c:pt idx="236">
                  <c:v>-17.240816555927861</c:v>
                </c:pt>
                <c:pt idx="238">
                  <c:v>-17.381990227827536</c:v>
                </c:pt>
                <c:pt idx="240">
                  <c:v>-17.66434185744329</c:v>
                </c:pt>
                <c:pt idx="242">
                  <c:v>-17.227020222311996</c:v>
                </c:pt>
                <c:pt idx="244">
                  <c:v>-16.952102220203869</c:v>
                </c:pt>
                <c:pt idx="246">
                  <c:v>-17.053204274703923</c:v>
                </c:pt>
                <c:pt idx="248">
                  <c:v>-16.995312931528904</c:v>
                </c:pt>
                <c:pt idx="250">
                  <c:v>-17.091214035902151</c:v>
                </c:pt>
                <c:pt idx="252">
                  <c:v>-16.973563971617654</c:v>
                </c:pt>
                <c:pt idx="254">
                  <c:v>-17.01630509431396</c:v>
                </c:pt>
                <c:pt idx="256">
                  <c:v>-17.105635376002851</c:v>
                </c:pt>
                <c:pt idx="258">
                  <c:v>-16.891601945970166</c:v>
                </c:pt>
                <c:pt idx="260">
                  <c:v>-16.922516891299558</c:v>
                </c:pt>
                <c:pt idx="262">
                  <c:v>-17.219637794200562</c:v>
                </c:pt>
                <c:pt idx="264">
                  <c:v>-17.566470192487913</c:v>
                </c:pt>
                <c:pt idx="266">
                  <c:v>-17.998154550264264</c:v>
                </c:pt>
                <c:pt idx="268">
                  <c:v>-18.2324867608395</c:v>
                </c:pt>
                <c:pt idx="271">
                  <c:v>-18.490035850559163</c:v>
                </c:pt>
                <c:pt idx="273">
                  <c:v>-18.690972436942442</c:v>
                </c:pt>
                <c:pt idx="275">
                  <c:v>-19.048547658223598</c:v>
                </c:pt>
                <c:pt idx="277">
                  <c:v>-19.128557945332627</c:v>
                </c:pt>
                <c:pt idx="279">
                  <c:v>-19.054920189541864</c:v>
                </c:pt>
                <c:pt idx="281">
                  <c:v>-19.199107763146021</c:v>
                </c:pt>
                <c:pt idx="283">
                  <c:v>-16.62494210621831</c:v>
                </c:pt>
                <c:pt idx="285">
                  <c:v>-16.798520438334155</c:v>
                </c:pt>
                <c:pt idx="287">
                  <c:v>-17.11713251925039</c:v>
                </c:pt>
                <c:pt idx="289">
                  <c:v>-17.348449403492356</c:v>
                </c:pt>
                <c:pt idx="291">
                  <c:v>-17.528416745688567</c:v>
                </c:pt>
                <c:pt idx="294">
                  <c:v>-17.052808191776968</c:v>
                </c:pt>
                <c:pt idx="296">
                  <c:v>-17.198340287848385</c:v>
                </c:pt>
                <c:pt idx="298">
                  <c:v>-17.452575293035004</c:v>
                </c:pt>
                <c:pt idx="301">
                  <c:v>-17.610569179217741</c:v>
                </c:pt>
                <c:pt idx="303">
                  <c:v>-16.961123903797859</c:v>
                </c:pt>
                <c:pt idx="305">
                  <c:v>-16.584199504202481</c:v>
                </c:pt>
                <c:pt idx="307">
                  <c:v>-16.403860542561958</c:v>
                </c:pt>
                <c:pt idx="310">
                  <c:v>-16.593711106295128</c:v>
                </c:pt>
                <c:pt idx="313">
                  <c:v>-16.932223263305321</c:v>
                </c:pt>
                <c:pt idx="315">
                  <c:v>-17.328297109643987</c:v>
                </c:pt>
                <c:pt idx="317">
                  <c:v>-17.191367888617897</c:v>
                </c:pt>
                <c:pt idx="319">
                  <c:v>-16.839988762320544</c:v>
                </c:pt>
                <c:pt idx="321">
                  <c:v>-15.928140242572233</c:v>
                </c:pt>
                <c:pt idx="323">
                  <c:v>-16.359824600348585</c:v>
                </c:pt>
                <c:pt idx="325">
                  <c:v>-16.687578602597775</c:v>
                </c:pt>
                <c:pt idx="327">
                  <c:v>-16.885045023815934</c:v>
                </c:pt>
                <c:pt idx="329">
                  <c:v>-8.8440469422039669</c:v>
                </c:pt>
                <c:pt idx="331">
                  <c:v>1.8901552925129046</c:v>
                </c:pt>
                <c:pt idx="333">
                  <c:v>5.5488942058735979</c:v>
                </c:pt>
                <c:pt idx="336">
                  <c:v>5.2721282607015496</c:v>
                </c:pt>
                <c:pt idx="338">
                  <c:v>4.9401092227146668</c:v>
                </c:pt>
                <c:pt idx="340">
                  <c:v>4.6892389381621555</c:v>
                </c:pt>
                <c:pt idx="342">
                  <c:v>4.4804281468447185</c:v>
                </c:pt>
                <c:pt idx="344">
                  <c:v>4.7357145271605852</c:v>
                </c:pt>
                <c:pt idx="346">
                  <c:v>4.4714817712766353</c:v>
                </c:pt>
                <c:pt idx="348">
                  <c:v>4.077013893916706</c:v>
                </c:pt>
                <c:pt idx="350">
                  <c:v>4.2540329970858481</c:v>
                </c:pt>
                <c:pt idx="352">
                  <c:v>4.1874959217465744</c:v>
                </c:pt>
                <c:pt idx="354">
                  <c:v>6.2113182210229771</c:v>
                </c:pt>
                <c:pt idx="356">
                  <c:v>7.257195108572021</c:v>
                </c:pt>
                <c:pt idx="359">
                  <c:v>7.152895756303626</c:v>
                </c:pt>
                <c:pt idx="361">
                  <c:v>6.7212113985272754</c:v>
                </c:pt>
                <c:pt idx="363">
                  <c:v>6.3769946315561876</c:v>
                </c:pt>
                <c:pt idx="366">
                  <c:v>6.1297071077844061</c:v>
                </c:pt>
                <c:pt idx="368">
                  <c:v>5.6980227500080556</c:v>
                </c:pt>
                <c:pt idx="370">
                  <c:v>5.2663383922317051</c:v>
                </c:pt>
                <c:pt idx="372">
                  <c:v>4.955003849772007</c:v>
                </c:pt>
                <c:pt idx="374">
                  <c:v>4.5991202636223703</c:v>
                </c:pt>
                <c:pt idx="378">
                  <c:v>4.2911075090529049</c:v>
                </c:pt>
                <c:pt idx="380">
                  <c:v>4.493616825753036</c:v>
                </c:pt>
                <c:pt idx="382">
                  <c:v>8.7937861082934816</c:v>
                </c:pt>
                <c:pt idx="384">
                  <c:v>8.9145524441814725</c:v>
                </c:pt>
                <c:pt idx="386">
                  <c:v>9.4832518557742258</c:v>
                </c:pt>
                <c:pt idx="388">
                  <c:v>9.6886943382665454</c:v>
                </c:pt>
                <c:pt idx="390">
                  <c:v>9.4062345366024456</c:v>
                </c:pt>
                <c:pt idx="392">
                  <c:v>9.3451882289184489</c:v>
                </c:pt>
                <c:pt idx="394">
                  <c:v>9.1898475891605838</c:v>
                </c:pt>
                <c:pt idx="396">
                  <c:v>9.7567444160410339</c:v>
                </c:pt>
                <c:pt idx="398">
                  <c:v>9.4799415077751927</c:v>
                </c:pt>
                <c:pt idx="400">
                  <c:v>10.642172388157602</c:v>
                </c:pt>
                <c:pt idx="402">
                  <c:v>10.538246995131052</c:v>
                </c:pt>
                <c:pt idx="404">
                  <c:v>10.339955796405954</c:v>
                </c:pt>
                <c:pt idx="406">
                  <c:v>10.085146449744348</c:v>
                </c:pt>
                <c:pt idx="408">
                  <c:v>9.7912507103110915</c:v>
                </c:pt>
                <c:pt idx="410">
                  <c:v>9.5501335186826015</c:v>
                </c:pt>
                <c:pt idx="412">
                  <c:v>9.3080325818627756</c:v>
                </c:pt>
                <c:pt idx="414">
                  <c:v>8.9637723322297056</c:v>
                </c:pt>
                <c:pt idx="416">
                  <c:v>9.064146742566221</c:v>
                </c:pt>
                <c:pt idx="418">
                  <c:v>8.8209089900493893</c:v>
                </c:pt>
                <c:pt idx="420">
                  <c:v>9.8536780565388149</c:v>
                </c:pt>
                <c:pt idx="426">
                  <c:v>9.5564880814221489</c:v>
                </c:pt>
                <c:pt idx="430">
                  <c:v>9.2892545230809276</c:v>
                </c:pt>
                <c:pt idx="432">
                  <c:v>8.9207632890520063</c:v>
                </c:pt>
                <c:pt idx="434">
                  <c:v>8.5669520881301633</c:v>
                </c:pt>
                <c:pt idx="438">
                  <c:v>8.4001951856281423</c:v>
                </c:pt>
                <c:pt idx="440">
                  <c:v>8.263579228395546</c:v>
                </c:pt>
                <c:pt idx="444">
                  <c:v>9.1078751899971202</c:v>
                </c:pt>
                <c:pt idx="446">
                  <c:v>8.9780907274137274</c:v>
                </c:pt>
                <c:pt idx="448">
                  <c:v>9.1397245044158879</c:v>
                </c:pt>
                <c:pt idx="450">
                  <c:v>8.7985847098766516</c:v>
                </c:pt>
                <c:pt idx="452">
                  <c:v>8.3961663046453019</c:v>
                </c:pt>
                <c:pt idx="454">
                  <c:v>8.0322885219241869</c:v>
                </c:pt>
                <c:pt idx="456">
                  <c:v>7.6922889277832809</c:v>
                </c:pt>
                <c:pt idx="458">
                  <c:v>7.3216760341452396</c:v>
                </c:pt>
                <c:pt idx="460">
                  <c:v>6.9095546808934305</c:v>
                </c:pt>
                <c:pt idx="462">
                  <c:v>6.5771521663824828</c:v>
                </c:pt>
                <c:pt idx="464">
                  <c:v>6.3365472833908729</c:v>
                </c:pt>
                <c:pt idx="466">
                  <c:v>6.4168492341196002</c:v>
                </c:pt>
                <c:pt idx="474">
                  <c:v>6.3756523637525913</c:v>
                </c:pt>
                <c:pt idx="476">
                  <c:v>6.0260390417234966</c:v>
                </c:pt>
                <c:pt idx="478">
                  <c:v>5.8229590230619763</c:v>
                </c:pt>
                <c:pt idx="480">
                  <c:v>5.5686654020471416</c:v>
                </c:pt>
                <c:pt idx="482">
                  <c:v>5.4428088352257156</c:v>
                </c:pt>
                <c:pt idx="486">
                  <c:v>5.0151759792015325</c:v>
                </c:pt>
                <c:pt idx="488">
                  <c:v>4.5934749869867426</c:v>
                </c:pt>
                <c:pt idx="492">
                  <c:v>4.3500018941210659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A8-994F-BAD6-D2832C57A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820720"/>
        <c:axId val="960443551"/>
      </c:scatterChart>
      <c:valAx>
        <c:axId val="150982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443551"/>
        <c:crosses val="autoZero"/>
        <c:crossBetween val="midCat"/>
      </c:valAx>
      <c:valAx>
        <c:axId val="96044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2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Peridinin CUSUM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'perid update'!$B$3:$B$496</c:f>
              <c:numCache>
                <c:formatCode>[$-409]mmm\-yy;@</c:formatCode>
                <c:ptCount val="494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36600</c:v>
                </c:pt>
                <c:pt idx="11">
                  <c:v>36600</c:v>
                </c:pt>
                <c:pt idx="12">
                  <c:v>36628</c:v>
                </c:pt>
                <c:pt idx="13">
                  <c:v>36628</c:v>
                </c:pt>
                <c:pt idx="14">
                  <c:v>36661</c:v>
                </c:pt>
                <c:pt idx="15">
                  <c:v>36661</c:v>
                </c:pt>
                <c:pt idx="16">
                  <c:v>36691</c:v>
                </c:pt>
                <c:pt idx="17">
                  <c:v>36691</c:v>
                </c:pt>
                <c:pt idx="18">
                  <c:v>36720</c:v>
                </c:pt>
                <c:pt idx="19">
                  <c:v>36720</c:v>
                </c:pt>
                <c:pt idx="20">
                  <c:v>36754</c:v>
                </c:pt>
                <c:pt idx="21">
                  <c:v>36754</c:v>
                </c:pt>
                <c:pt idx="22">
                  <c:v>36782</c:v>
                </c:pt>
                <c:pt idx="23">
                  <c:v>36782</c:v>
                </c:pt>
                <c:pt idx="24">
                  <c:v>36818</c:v>
                </c:pt>
                <c:pt idx="25">
                  <c:v>36818</c:v>
                </c:pt>
                <c:pt idx="26">
                  <c:v>36845</c:v>
                </c:pt>
                <c:pt idx="27">
                  <c:v>36848</c:v>
                </c:pt>
                <c:pt idx="28">
                  <c:v>36875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36963</c:v>
                </c:pt>
                <c:pt idx="35">
                  <c:v>36963</c:v>
                </c:pt>
                <c:pt idx="36">
                  <c:v>37000</c:v>
                </c:pt>
                <c:pt idx="37">
                  <c:v>37000</c:v>
                </c:pt>
                <c:pt idx="38">
                  <c:v>37028</c:v>
                </c:pt>
                <c:pt idx="39">
                  <c:v>37027</c:v>
                </c:pt>
                <c:pt idx="40">
                  <c:v>37058</c:v>
                </c:pt>
                <c:pt idx="41">
                  <c:v>37056</c:v>
                </c:pt>
                <c:pt idx="42">
                  <c:v>37089</c:v>
                </c:pt>
                <c:pt idx="43">
                  <c:v>37089</c:v>
                </c:pt>
                <c:pt idx="44">
                  <c:v>37119</c:v>
                </c:pt>
                <c:pt idx="45">
                  <c:v>37119</c:v>
                </c:pt>
                <c:pt idx="46">
                  <c:v>37152</c:v>
                </c:pt>
                <c:pt idx="47">
                  <c:v>37152</c:v>
                </c:pt>
                <c:pt idx="48">
                  <c:v>37181</c:v>
                </c:pt>
                <c:pt idx="49">
                  <c:v>37181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37690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37817</c:v>
                </c:pt>
                <c:pt idx="91">
                  <c:v>37817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37908</c:v>
                </c:pt>
                <c:pt idx="97">
                  <c:v>37908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38000</c:v>
                </c:pt>
                <c:pt idx="103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38335</c:v>
                </c:pt>
                <c:pt idx="125">
                  <c:v>38335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38468</c:v>
                </c:pt>
                <c:pt idx="133">
                  <c:v>38468</c:v>
                </c:pt>
                <c:pt idx="134">
                  <c:v>38489</c:v>
                </c:pt>
                <c:pt idx="135">
                  <c:v>38489</c:v>
                </c:pt>
                <c:pt idx="136">
                  <c:v>38517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38587</c:v>
                </c:pt>
                <c:pt idx="141">
                  <c:v>38588</c:v>
                </c:pt>
                <c:pt idx="142">
                  <c:v>38608</c:v>
                </c:pt>
                <c:pt idx="143">
                  <c:v>38608</c:v>
                </c:pt>
                <c:pt idx="144">
                  <c:v>38637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39009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39098</c:v>
                </c:pt>
                <c:pt idx="175">
                  <c:v>39098</c:v>
                </c:pt>
                <c:pt idx="176">
                  <c:v>39133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39245</c:v>
                </c:pt>
                <c:pt idx="185">
                  <c:v>39245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39337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39426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39583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39799</c:v>
                </c:pt>
                <c:pt idx="221">
                  <c:v>39800</c:v>
                </c:pt>
                <c:pt idx="222">
                  <c:v>39825</c:v>
                </c:pt>
                <c:pt idx="223">
                  <c:v>39825</c:v>
                </c:pt>
                <c:pt idx="224">
                  <c:v>39855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40042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40133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40282</c:v>
                </c:pt>
                <c:pt idx="253">
                  <c:v>40282</c:v>
                </c:pt>
                <c:pt idx="254">
                  <c:v>40315</c:v>
                </c:pt>
                <c:pt idx="255">
                  <c:v>40315</c:v>
                </c:pt>
                <c:pt idx="256">
                  <c:v>40344</c:v>
                </c:pt>
                <c:pt idx="257">
                  <c:v>40344</c:v>
                </c:pt>
                <c:pt idx="258">
                  <c:v>40371</c:v>
                </c:pt>
                <c:pt idx="259">
                  <c:v>40371</c:v>
                </c:pt>
                <c:pt idx="260">
                  <c:v>40407</c:v>
                </c:pt>
                <c:pt idx="261">
                  <c:v>40407</c:v>
                </c:pt>
                <c:pt idx="262">
                  <c:v>40436</c:v>
                </c:pt>
                <c:pt idx="263">
                  <c:v>40436</c:v>
                </c:pt>
                <c:pt idx="264">
                  <c:v>40464</c:v>
                </c:pt>
                <c:pt idx="265">
                  <c:v>40464</c:v>
                </c:pt>
                <c:pt idx="266">
                  <c:v>40498</c:v>
                </c:pt>
                <c:pt idx="267">
                  <c:v>40498</c:v>
                </c:pt>
                <c:pt idx="268">
                  <c:v>40520</c:v>
                </c:pt>
                <c:pt idx="269">
                  <c:v>40520</c:v>
                </c:pt>
                <c:pt idx="270">
                  <c:v>40562</c:v>
                </c:pt>
                <c:pt idx="271">
                  <c:v>40562</c:v>
                </c:pt>
                <c:pt idx="272">
                  <c:v>40562</c:v>
                </c:pt>
                <c:pt idx="273">
                  <c:v>40591</c:v>
                </c:pt>
                <c:pt idx="274">
                  <c:v>40591</c:v>
                </c:pt>
                <c:pt idx="275">
                  <c:v>40619</c:v>
                </c:pt>
                <c:pt idx="276">
                  <c:v>40619</c:v>
                </c:pt>
                <c:pt idx="277">
                  <c:v>40646</c:v>
                </c:pt>
                <c:pt idx="278">
                  <c:v>40646</c:v>
                </c:pt>
                <c:pt idx="279">
                  <c:v>40681</c:v>
                </c:pt>
                <c:pt idx="280">
                  <c:v>40681</c:v>
                </c:pt>
                <c:pt idx="281">
                  <c:v>40708</c:v>
                </c:pt>
                <c:pt idx="282">
                  <c:v>40708</c:v>
                </c:pt>
                <c:pt idx="283">
                  <c:v>40735</c:v>
                </c:pt>
                <c:pt idx="284">
                  <c:v>40735</c:v>
                </c:pt>
                <c:pt idx="285">
                  <c:v>40771</c:v>
                </c:pt>
                <c:pt idx="286">
                  <c:v>40771</c:v>
                </c:pt>
                <c:pt idx="287">
                  <c:v>40799</c:v>
                </c:pt>
                <c:pt idx="288">
                  <c:v>40799</c:v>
                </c:pt>
                <c:pt idx="289">
                  <c:v>40827</c:v>
                </c:pt>
                <c:pt idx="290">
                  <c:v>40827</c:v>
                </c:pt>
                <c:pt idx="291">
                  <c:v>40862</c:v>
                </c:pt>
                <c:pt idx="292">
                  <c:v>40862</c:v>
                </c:pt>
                <c:pt idx="293">
                  <c:v>40891</c:v>
                </c:pt>
                <c:pt idx="294">
                  <c:v>40890</c:v>
                </c:pt>
                <c:pt idx="295">
                  <c:v>40890</c:v>
                </c:pt>
                <c:pt idx="296">
                  <c:v>40917</c:v>
                </c:pt>
                <c:pt idx="297">
                  <c:v>40917</c:v>
                </c:pt>
                <c:pt idx="298">
                  <c:v>40962</c:v>
                </c:pt>
                <c:pt idx="299">
                  <c:v>40962</c:v>
                </c:pt>
                <c:pt idx="300">
                  <c:v>40980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41107</c:v>
                </c:pt>
                <c:pt idx="312">
                  <c:v>41135</c:v>
                </c:pt>
                <c:pt idx="313">
                  <c:v>41135</c:v>
                </c:pt>
                <c:pt idx="314">
                  <c:v>41135</c:v>
                </c:pt>
                <c:pt idx="315">
                  <c:v>41164</c:v>
                </c:pt>
                <c:pt idx="316">
                  <c:v>41164</c:v>
                </c:pt>
                <c:pt idx="317">
                  <c:v>41200</c:v>
                </c:pt>
                <c:pt idx="318">
                  <c:v>41200</c:v>
                </c:pt>
                <c:pt idx="319">
                  <c:v>41226</c:v>
                </c:pt>
                <c:pt idx="320">
                  <c:v>41226</c:v>
                </c:pt>
                <c:pt idx="321">
                  <c:v>41254</c:v>
                </c:pt>
                <c:pt idx="322">
                  <c:v>41254</c:v>
                </c:pt>
                <c:pt idx="323">
                  <c:v>41288</c:v>
                </c:pt>
                <c:pt idx="324">
                  <c:v>41288</c:v>
                </c:pt>
                <c:pt idx="325">
                  <c:v>41318</c:v>
                </c:pt>
                <c:pt idx="326">
                  <c:v>41318</c:v>
                </c:pt>
                <c:pt idx="327">
                  <c:v>41344</c:v>
                </c:pt>
                <c:pt idx="328">
                  <c:v>41344</c:v>
                </c:pt>
                <c:pt idx="329">
                  <c:v>41381</c:v>
                </c:pt>
                <c:pt idx="330">
                  <c:v>41379</c:v>
                </c:pt>
                <c:pt idx="331">
                  <c:v>41408</c:v>
                </c:pt>
                <c:pt idx="332">
                  <c:v>41408</c:v>
                </c:pt>
                <c:pt idx="333">
                  <c:v>41436</c:v>
                </c:pt>
                <c:pt idx="334">
                  <c:v>41437</c:v>
                </c:pt>
                <c:pt idx="335">
                  <c:v>41471</c:v>
                </c:pt>
                <c:pt idx="336">
                  <c:v>41471</c:v>
                </c:pt>
                <c:pt idx="337">
                  <c:v>41471</c:v>
                </c:pt>
                <c:pt idx="338">
                  <c:v>41499</c:v>
                </c:pt>
                <c:pt idx="339">
                  <c:v>41499</c:v>
                </c:pt>
                <c:pt idx="340">
                  <c:v>41533</c:v>
                </c:pt>
                <c:pt idx="341">
                  <c:v>41533</c:v>
                </c:pt>
                <c:pt idx="342">
                  <c:v>41569</c:v>
                </c:pt>
                <c:pt idx="343">
                  <c:v>41569</c:v>
                </c:pt>
                <c:pt idx="344">
                  <c:v>41597</c:v>
                </c:pt>
                <c:pt idx="345">
                  <c:v>41597</c:v>
                </c:pt>
                <c:pt idx="346">
                  <c:v>41624</c:v>
                </c:pt>
                <c:pt idx="347">
                  <c:v>41624</c:v>
                </c:pt>
                <c:pt idx="348">
                  <c:v>41654</c:v>
                </c:pt>
                <c:pt idx="349">
                  <c:v>41654</c:v>
                </c:pt>
                <c:pt idx="350">
                  <c:v>41688</c:v>
                </c:pt>
                <c:pt idx="351">
                  <c:v>41690</c:v>
                </c:pt>
                <c:pt idx="352">
                  <c:v>41719</c:v>
                </c:pt>
                <c:pt idx="353">
                  <c:v>41719</c:v>
                </c:pt>
                <c:pt idx="354">
                  <c:v>41747</c:v>
                </c:pt>
                <c:pt idx="355">
                  <c:v>41747</c:v>
                </c:pt>
                <c:pt idx="356">
                  <c:v>41772</c:v>
                </c:pt>
                <c:pt idx="357">
                  <c:v>41772</c:v>
                </c:pt>
                <c:pt idx="358">
                  <c:v>41808</c:v>
                </c:pt>
                <c:pt idx="359">
                  <c:v>41808</c:v>
                </c:pt>
                <c:pt idx="360">
                  <c:v>41808</c:v>
                </c:pt>
                <c:pt idx="361">
                  <c:v>41834</c:v>
                </c:pt>
                <c:pt idx="362">
                  <c:v>41834</c:v>
                </c:pt>
                <c:pt idx="363">
                  <c:v>41864</c:v>
                </c:pt>
                <c:pt idx="364">
                  <c:v>41862</c:v>
                </c:pt>
                <c:pt idx="365">
                  <c:v>41898</c:v>
                </c:pt>
                <c:pt idx="366">
                  <c:v>41898</c:v>
                </c:pt>
                <c:pt idx="367">
                  <c:v>41898</c:v>
                </c:pt>
                <c:pt idx="368">
                  <c:v>41929</c:v>
                </c:pt>
                <c:pt idx="369">
                  <c:v>41929</c:v>
                </c:pt>
                <c:pt idx="370">
                  <c:v>41953</c:v>
                </c:pt>
                <c:pt idx="371">
                  <c:v>41953</c:v>
                </c:pt>
                <c:pt idx="372">
                  <c:v>41988</c:v>
                </c:pt>
                <c:pt idx="373">
                  <c:v>41988</c:v>
                </c:pt>
                <c:pt idx="374">
                  <c:v>42014</c:v>
                </c:pt>
                <c:pt idx="375">
                  <c:v>42009</c:v>
                </c:pt>
                <c:pt idx="376">
                  <c:v>42036</c:v>
                </c:pt>
                <c:pt idx="377">
                  <c:v>42036</c:v>
                </c:pt>
                <c:pt idx="378">
                  <c:v>42064</c:v>
                </c:pt>
                <c:pt idx="379">
                  <c:v>42064</c:v>
                </c:pt>
                <c:pt idx="380">
                  <c:v>42095</c:v>
                </c:pt>
                <c:pt idx="381">
                  <c:v>42095</c:v>
                </c:pt>
                <c:pt idx="382">
                  <c:v>42125</c:v>
                </c:pt>
                <c:pt idx="383">
                  <c:v>42125</c:v>
                </c:pt>
                <c:pt idx="384">
                  <c:v>42156</c:v>
                </c:pt>
                <c:pt idx="385">
                  <c:v>42156</c:v>
                </c:pt>
                <c:pt idx="386">
                  <c:v>42186</c:v>
                </c:pt>
                <c:pt idx="387">
                  <c:v>42186</c:v>
                </c:pt>
                <c:pt idx="388">
                  <c:v>42217</c:v>
                </c:pt>
                <c:pt idx="389">
                  <c:v>42217</c:v>
                </c:pt>
                <c:pt idx="390">
                  <c:v>42248</c:v>
                </c:pt>
                <c:pt idx="391">
                  <c:v>42248</c:v>
                </c:pt>
                <c:pt idx="392">
                  <c:v>42278</c:v>
                </c:pt>
                <c:pt idx="393">
                  <c:v>42278</c:v>
                </c:pt>
                <c:pt idx="394">
                  <c:v>42309</c:v>
                </c:pt>
                <c:pt idx="395">
                  <c:v>42309</c:v>
                </c:pt>
                <c:pt idx="396">
                  <c:v>42339</c:v>
                </c:pt>
                <c:pt idx="397">
                  <c:v>42339</c:v>
                </c:pt>
                <c:pt idx="398">
                  <c:v>42379</c:v>
                </c:pt>
                <c:pt idx="399">
                  <c:v>42374</c:v>
                </c:pt>
                <c:pt idx="400">
                  <c:v>42401</c:v>
                </c:pt>
                <c:pt idx="401">
                  <c:v>42401</c:v>
                </c:pt>
                <c:pt idx="402">
                  <c:v>42430</c:v>
                </c:pt>
                <c:pt idx="403">
                  <c:v>42430</c:v>
                </c:pt>
                <c:pt idx="404">
                  <c:v>42461</c:v>
                </c:pt>
                <c:pt idx="405">
                  <c:v>42461</c:v>
                </c:pt>
                <c:pt idx="406">
                  <c:v>42491</c:v>
                </c:pt>
                <c:pt idx="407">
                  <c:v>42491</c:v>
                </c:pt>
                <c:pt idx="408">
                  <c:v>42522</c:v>
                </c:pt>
                <c:pt idx="409">
                  <c:v>42522</c:v>
                </c:pt>
                <c:pt idx="410">
                  <c:v>42552</c:v>
                </c:pt>
                <c:pt idx="411">
                  <c:v>42552</c:v>
                </c:pt>
                <c:pt idx="412">
                  <c:v>42583</c:v>
                </c:pt>
                <c:pt idx="413">
                  <c:v>42583</c:v>
                </c:pt>
                <c:pt idx="414">
                  <c:v>42614</c:v>
                </c:pt>
                <c:pt idx="415">
                  <c:v>42614</c:v>
                </c:pt>
                <c:pt idx="416">
                  <c:v>42644</c:v>
                </c:pt>
                <c:pt idx="417">
                  <c:v>42644</c:v>
                </c:pt>
                <c:pt idx="418">
                  <c:v>42675</c:v>
                </c:pt>
                <c:pt idx="419">
                  <c:v>42675</c:v>
                </c:pt>
                <c:pt idx="420">
                  <c:v>42705</c:v>
                </c:pt>
                <c:pt idx="421">
                  <c:v>42705</c:v>
                </c:pt>
                <c:pt idx="422">
                  <c:v>42745</c:v>
                </c:pt>
                <c:pt idx="423">
                  <c:v>42740</c:v>
                </c:pt>
                <c:pt idx="424">
                  <c:v>42767</c:v>
                </c:pt>
                <c:pt idx="425">
                  <c:v>42767</c:v>
                </c:pt>
                <c:pt idx="426">
                  <c:v>42795</c:v>
                </c:pt>
                <c:pt idx="427">
                  <c:v>42795</c:v>
                </c:pt>
                <c:pt idx="428">
                  <c:v>42826</c:v>
                </c:pt>
                <c:pt idx="429">
                  <c:v>42826</c:v>
                </c:pt>
                <c:pt idx="430">
                  <c:v>42856</c:v>
                </c:pt>
                <c:pt idx="431">
                  <c:v>42856</c:v>
                </c:pt>
                <c:pt idx="432">
                  <c:v>42887</c:v>
                </c:pt>
                <c:pt idx="433">
                  <c:v>42887</c:v>
                </c:pt>
                <c:pt idx="434">
                  <c:v>42917</c:v>
                </c:pt>
                <c:pt idx="435">
                  <c:v>42917</c:v>
                </c:pt>
                <c:pt idx="436">
                  <c:v>42948</c:v>
                </c:pt>
                <c:pt idx="437">
                  <c:v>42948</c:v>
                </c:pt>
                <c:pt idx="438">
                  <c:v>42979</c:v>
                </c:pt>
                <c:pt idx="439">
                  <c:v>42979</c:v>
                </c:pt>
                <c:pt idx="440">
                  <c:v>43009</c:v>
                </c:pt>
                <c:pt idx="441">
                  <c:v>43009</c:v>
                </c:pt>
                <c:pt idx="442">
                  <c:v>43040</c:v>
                </c:pt>
                <c:pt idx="443">
                  <c:v>43040</c:v>
                </c:pt>
                <c:pt idx="444">
                  <c:v>43070</c:v>
                </c:pt>
                <c:pt idx="445">
                  <c:v>43070</c:v>
                </c:pt>
                <c:pt idx="446">
                  <c:v>43110</c:v>
                </c:pt>
                <c:pt idx="447">
                  <c:v>43105</c:v>
                </c:pt>
                <c:pt idx="448">
                  <c:v>43132</c:v>
                </c:pt>
                <c:pt idx="449">
                  <c:v>43132</c:v>
                </c:pt>
                <c:pt idx="450">
                  <c:v>43160</c:v>
                </c:pt>
                <c:pt idx="451">
                  <c:v>43160</c:v>
                </c:pt>
                <c:pt idx="452">
                  <c:v>43191</c:v>
                </c:pt>
                <c:pt idx="453">
                  <c:v>43191</c:v>
                </c:pt>
                <c:pt idx="454">
                  <c:v>43221</c:v>
                </c:pt>
                <c:pt idx="455">
                  <c:v>43221</c:v>
                </c:pt>
                <c:pt idx="456">
                  <c:v>43252</c:v>
                </c:pt>
                <c:pt idx="457">
                  <c:v>43252</c:v>
                </c:pt>
                <c:pt idx="458">
                  <c:v>43282</c:v>
                </c:pt>
                <c:pt idx="459">
                  <c:v>43282</c:v>
                </c:pt>
                <c:pt idx="460">
                  <c:v>43313</c:v>
                </c:pt>
                <c:pt idx="461">
                  <c:v>43313</c:v>
                </c:pt>
                <c:pt idx="462">
                  <c:v>43344</c:v>
                </c:pt>
                <c:pt idx="463">
                  <c:v>43344</c:v>
                </c:pt>
                <c:pt idx="464">
                  <c:v>43374</c:v>
                </c:pt>
                <c:pt idx="465">
                  <c:v>43374</c:v>
                </c:pt>
                <c:pt idx="466">
                  <c:v>43405</c:v>
                </c:pt>
                <c:pt idx="467">
                  <c:v>43405</c:v>
                </c:pt>
                <c:pt idx="468">
                  <c:v>43435</c:v>
                </c:pt>
                <c:pt idx="469">
                  <c:v>43435</c:v>
                </c:pt>
                <c:pt idx="470">
                  <c:v>43475</c:v>
                </c:pt>
                <c:pt idx="471">
                  <c:v>43470</c:v>
                </c:pt>
                <c:pt idx="472">
                  <c:v>43497</c:v>
                </c:pt>
                <c:pt idx="473">
                  <c:v>43497</c:v>
                </c:pt>
                <c:pt idx="474">
                  <c:v>43525</c:v>
                </c:pt>
                <c:pt idx="475">
                  <c:v>43525</c:v>
                </c:pt>
                <c:pt idx="476">
                  <c:v>43556</c:v>
                </c:pt>
                <c:pt idx="477">
                  <c:v>43556</c:v>
                </c:pt>
                <c:pt idx="478">
                  <c:v>43586</c:v>
                </c:pt>
                <c:pt idx="479">
                  <c:v>43586</c:v>
                </c:pt>
                <c:pt idx="480">
                  <c:v>43617</c:v>
                </c:pt>
                <c:pt idx="481">
                  <c:v>43617</c:v>
                </c:pt>
                <c:pt idx="482">
                  <c:v>43647</c:v>
                </c:pt>
                <c:pt idx="483">
                  <c:v>43647</c:v>
                </c:pt>
                <c:pt idx="484">
                  <c:v>43678</c:v>
                </c:pt>
                <c:pt idx="485">
                  <c:v>43678</c:v>
                </c:pt>
                <c:pt idx="486">
                  <c:v>43709</c:v>
                </c:pt>
                <c:pt idx="487">
                  <c:v>43709</c:v>
                </c:pt>
                <c:pt idx="488">
                  <c:v>43739</c:v>
                </c:pt>
                <c:pt idx="489">
                  <c:v>43739</c:v>
                </c:pt>
                <c:pt idx="490">
                  <c:v>43770</c:v>
                </c:pt>
                <c:pt idx="491">
                  <c:v>43770</c:v>
                </c:pt>
                <c:pt idx="492">
                  <c:v>43800</c:v>
                </c:pt>
                <c:pt idx="493">
                  <c:v>43800</c:v>
                </c:pt>
              </c:numCache>
            </c:numRef>
          </c:xVal>
          <c:yVal>
            <c:numRef>
              <c:f>'perid update'!$N$3:$N$496</c:f>
              <c:numCache>
                <c:formatCode>General</c:formatCode>
                <c:ptCount val="494"/>
                <c:pt idx="1">
                  <c:v>-0.28692987217933558</c:v>
                </c:pt>
                <c:pt idx="3">
                  <c:v>-0.62454760105665263</c:v>
                </c:pt>
                <c:pt idx="5">
                  <c:v>-0.83652325215412981</c:v>
                </c:pt>
                <c:pt idx="7">
                  <c:v>-0.97890257931460845</c:v>
                </c:pt>
                <c:pt idx="9">
                  <c:v>-1.1802771416103064</c:v>
                </c:pt>
                <c:pt idx="11">
                  <c:v>-1.5493861731297864</c:v>
                </c:pt>
                <c:pt idx="13">
                  <c:v>-1.4181842576051005</c:v>
                </c:pt>
                <c:pt idx="15">
                  <c:v>-1.7503436381213617</c:v>
                </c:pt>
                <c:pt idx="17">
                  <c:v>-1.6433755156385565</c:v>
                </c:pt>
                <c:pt idx="19">
                  <c:v>-1.9145929135897859</c:v>
                </c:pt>
                <c:pt idx="21">
                  <c:v>-2.1118910806414415</c:v>
                </c:pt>
                <c:pt idx="23">
                  <c:v>-2.3865601220505406</c:v>
                </c:pt>
                <c:pt idx="25">
                  <c:v>-1.9389353921930681</c:v>
                </c:pt>
                <c:pt idx="27">
                  <c:v>-2.0328135793644884</c:v>
                </c:pt>
                <c:pt idx="29">
                  <c:v>-1.8242039272516422</c:v>
                </c:pt>
                <c:pt idx="31">
                  <c:v>-1.3859065699415436</c:v>
                </c:pt>
                <c:pt idx="33">
                  <c:v>-1.3866701312071044</c:v>
                </c:pt>
                <c:pt idx="35">
                  <c:v>-1.8183544889834544</c:v>
                </c:pt>
                <c:pt idx="37">
                  <c:v>-2.2500388467598045</c:v>
                </c:pt>
                <c:pt idx="39">
                  <c:v>-2.4043372656937834</c:v>
                </c:pt>
                <c:pt idx="41">
                  <c:v>-2.7196025235913228</c:v>
                </c:pt>
                <c:pt idx="43">
                  <c:v>-2.7410480692563524</c:v>
                </c:pt>
                <c:pt idx="45">
                  <c:v>-2.4526792416408583</c:v>
                </c:pt>
                <c:pt idx="47">
                  <c:v>-2.8843635994172083</c:v>
                </c:pt>
                <c:pt idx="49">
                  <c:v>-3.2347294126611925</c:v>
                </c:pt>
                <c:pt idx="51">
                  <c:v>-3.6664137704375426</c:v>
                </c:pt>
                <c:pt idx="53">
                  <c:v>-3.8740690742335468</c:v>
                </c:pt>
                <c:pt idx="55">
                  <c:v>-2.1750027185323697</c:v>
                </c:pt>
                <c:pt idx="57">
                  <c:v>-2.2027079618448577</c:v>
                </c:pt>
                <c:pt idx="61">
                  <c:v>-2.082209521674403</c:v>
                </c:pt>
                <c:pt idx="73">
                  <c:v>-2.513893879450753</c:v>
                </c:pt>
                <c:pt idx="75">
                  <c:v>-1.9106443538259912</c:v>
                </c:pt>
                <c:pt idx="77">
                  <c:v>-2.1308960040878215</c:v>
                </c:pt>
                <c:pt idx="79">
                  <c:v>-1.9482707602444462</c:v>
                </c:pt>
                <c:pt idx="81">
                  <c:v>-1.8483298418044465</c:v>
                </c:pt>
                <c:pt idx="83">
                  <c:v>-1.6705105225950065</c:v>
                </c:pt>
                <c:pt idx="85">
                  <c:v>-1.9974348179240029</c:v>
                </c:pt>
                <c:pt idx="87">
                  <c:v>-1.9137225365821644</c:v>
                </c:pt>
                <c:pt idx="89">
                  <c:v>-2.2437029494576541</c:v>
                </c:pt>
                <c:pt idx="91">
                  <c:v>-2.6333780035129437</c:v>
                </c:pt>
                <c:pt idx="93">
                  <c:v>-2.9601735411660748</c:v>
                </c:pt>
                <c:pt idx="95">
                  <c:v>-3.2313082834570412</c:v>
                </c:pt>
                <c:pt idx="97">
                  <c:v>-3.4333065726570187</c:v>
                </c:pt>
                <c:pt idx="99">
                  <c:v>-3.5408919466040043</c:v>
                </c:pt>
                <c:pt idx="101">
                  <c:v>-3.7012783551486925</c:v>
                </c:pt>
                <c:pt idx="103">
                  <c:v>-4.0223172715858064</c:v>
                </c:pt>
                <c:pt idx="105">
                  <c:v>-4.3100638876799771</c:v>
                </c:pt>
                <c:pt idx="107">
                  <c:v>-4.5453343784165527</c:v>
                </c:pt>
                <c:pt idx="109">
                  <c:v>-4.8692474798824037</c:v>
                </c:pt>
                <c:pt idx="111">
                  <c:v>-5.1705572035219269</c:v>
                </c:pt>
                <c:pt idx="113">
                  <c:v>-5.5652794482504175</c:v>
                </c:pt>
                <c:pt idx="115">
                  <c:v>-5.6994997497099273</c:v>
                </c:pt>
                <c:pt idx="119">
                  <c:v>-6.0273846114141891</c:v>
                </c:pt>
                <c:pt idx="121">
                  <c:v>-6.3946949199275283</c:v>
                </c:pt>
                <c:pt idx="123">
                  <c:v>-6.7608314097145454</c:v>
                </c:pt>
                <c:pt idx="125">
                  <c:v>-6.1363510822874252</c:v>
                </c:pt>
                <c:pt idx="127">
                  <c:v>-6.459313708062691</c:v>
                </c:pt>
                <c:pt idx="129">
                  <c:v>-6.0001169237164884</c:v>
                </c:pt>
                <c:pt idx="131">
                  <c:v>-3.7934984729418049</c:v>
                </c:pt>
                <c:pt idx="133">
                  <c:v>-4.1614479701323868</c:v>
                </c:pt>
                <c:pt idx="135">
                  <c:v>-4.5018963932088516</c:v>
                </c:pt>
                <c:pt idx="137">
                  <c:v>-4.8778030916481789</c:v>
                </c:pt>
                <c:pt idx="139">
                  <c:v>-5.0333237016736527</c:v>
                </c:pt>
                <c:pt idx="141">
                  <c:v>-5.2204929386517529</c:v>
                </c:pt>
                <c:pt idx="143">
                  <c:v>-5.2324039678769454</c:v>
                </c:pt>
                <c:pt idx="145">
                  <c:v>-5.5979683469451809</c:v>
                </c:pt>
                <c:pt idx="147">
                  <c:v>-6.0067958549449152</c:v>
                </c:pt>
                <c:pt idx="149">
                  <c:v>-6.3186694011008679</c:v>
                </c:pt>
                <c:pt idx="151">
                  <c:v>-6.554521708194728</c:v>
                </c:pt>
                <c:pt idx="153">
                  <c:v>-6.8992035423263474</c:v>
                </c:pt>
                <c:pt idx="155">
                  <c:v>-7.3306713727254076</c:v>
                </c:pt>
                <c:pt idx="157">
                  <c:v>-7.6555217687277564</c:v>
                </c:pt>
                <c:pt idx="159">
                  <c:v>-8.0064581433279667</c:v>
                </c:pt>
                <c:pt idx="161">
                  <c:v>-8.3863157008097708</c:v>
                </c:pt>
                <c:pt idx="163">
                  <c:v>-8.7557735753709505</c:v>
                </c:pt>
                <c:pt idx="165">
                  <c:v>-8.9617443681612521</c:v>
                </c:pt>
                <c:pt idx="167">
                  <c:v>-9.3227754811263335</c:v>
                </c:pt>
                <c:pt idx="169">
                  <c:v>-9.753439866569769</c:v>
                </c:pt>
                <c:pt idx="171">
                  <c:v>-10.104857227271808</c:v>
                </c:pt>
                <c:pt idx="173">
                  <c:v>-10.319607528622081</c:v>
                </c:pt>
                <c:pt idx="175">
                  <c:v>-10.618114372944623</c:v>
                </c:pt>
                <c:pt idx="177">
                  <c:v>-10.825579668159326</c:v>
                </c:pt>
                <c:pt idx="179">
                  <c:v>-10.701749683100193</c:v>
                </c:pt>
                <c:pt idx="181">
                  <c:v>-11.062658008595401</c:v>
                </c:pt>
                <c:pt idx="183">
                  <c:v>-11.374039072564377</c:v>
                </c:pt>
                <c:pt idx="185">
                  <c:v>-11.772822002752484</c:v>
                </c:pt>
                <c:pt idx="187">
                  <c:v>-11.933649519227934</c:v>
                </c:pt>
                <c:pt idx="189">
                  <c:v>-12.227841314921065</c:v>
                </c:pt>
                <c:pt idx="191">
                  <c:v>-12.590749758059488</c:v>
                </c:pt>
                <c:pt idx="193">
                  <c:v>-12.907477731819448</c:v>
                </c:pt>
                <c:pt idx="195">
                  <c:v>-13.16391354991131</c:v>
                </c:pt>
                <c:pt idx="197">
                  <c:v>-13.537831067165406</c:v>
                </c:pt>
                <c:pt idx="199">
                  <c:v>-13.629233764595323</c:v>
                </c:pt>
                <c:pt idx="201">
                  <c:v>-13.583336693843709</c:v>
                </c:pt>
                <c:pt idx="203">
                  <c:v>-13.79334271497979</c:v>
                </c:pt>
                <c:pt idx="205">
                  <c:v>-14.114199908929036</c:v>
                </c:pt>
                <c:pt idx="207">
                  <c:v>-14.281970228629106</c:v>
                </c:pt>
                <c:pt idx="209">
                  <c:v>-14.53916184918439</c:v>
                </c:pt>
                <c:pt idx="211">
                  <c:v>-14.532922517028309</c:v>
                </c:pt>
                <c:pt idx="213">
                  <c:v>-14.010270046987468</c:v>
                </c:pt>
                <c:pt idx="215">
                  <c:v>-14.371047580265476</c:v>
                </c:pt>
                <c:pt idx="217">
                  <c:v>-14.678270257710107</c:v>
                </c:pt>
                <c:pt idx="219">
                  <c:v>-14.937348826019734</c:v>
                </c:pt>
                <c:pt idx="221">
                  <c:v>-14.936212829694007</c:v>
                </c:pt>
                <c:pt idx="223">
                  <c:v>-15.1587090552799</c:v>
                </c:pt>
                <c:pt idx="225">
                  <c:v>-15.469108893521527</c:v>
                </c:pt>
                <c:pt idx="227">
                  <c:v>-15.839012376782293</c:v>
                </c:pt>
                <c:pt idx="229">
                  <c:v>-16.171367956665406</c:v>
                </c:pt>
                <c:pt idx="231">
                  <c:v>-16.422758663112187</c:v>
                </c:pt>
                <c:pt idx="233">
                  <c:v>-16.723303298388313</c:v>
                </c:pt>
                <c:pt idx="235">
                  <c:v>-16.988979143924343</c:v>
                </c:pt>
                <c:pt idx="237">
                  <c:v>-17.240816555927861</c:v>
                </c:pt>
                <c:pt idx="239">
                  <c:v>-17.381990227827536</c:v>
                </c:pt>
                <c:pt idx="241">
                  <c:v>-17.66434185744329</c:v>
                </c:pt>
                <c:pt idx="243">
                  <c:v>-17.227020222311996</c:v>
                </c:pt>
                <c:pt idx="245">
                  <c:v>-16.952102220203869</c:v>
                </c:pt>
                <c:pt idx="247">
                  <c:v>-17.053204274703923</c:v>
                </c:pt>
                <c:pt idx="249">
                  <c:v>-16.995312931528904</c:v>
                </c:pt>
                <c:pt idx="251">
                  <c:v>-17.091214035902151</c:v>
                </c:pt>
                <c:pt idx="253">
                  <c:v>-16.973563971617654</c:v>
                </c:pt>
                <c:pt idx="255">
                  <c:v>-17.01630509431396</c:v>
                </c:pt>
                <c:pt idx="257">
                  <c:v>-17.105635376002851</c:v>
                </c:pt>
                <c:pt idx="259">
                  <c:v>-16.891601945970166</c:v>
                </c:pt>
                <c:pt idx="261">
                  <c:v>-16.922516891299558</c:v>
                </c:pt>
                <c:pt idx="263">
                  <c:v>-17.219637794200562</c:v>
                </c:pt>
                <c:pt idx="265">
                  <c:v>-17.566470192487913</c:v>
                </c:pt>
                <c:pt idx="267">
                  <c:v>-17.998154550264264</c:v>
                </c:pt>
                <c:pt idx="269">
                  <c:v>-18.2324867608395</c:v>
                </c:pt>
                <c:pt idx="272">
                  <c:v>-18.490035850559163</c:v>
                </c:pt>
                <c:pt idx="274">
                  <c:v>-18.690972436942442</c:v>
                </c:pt>
                <c:pt idx="276">
                  <c:v>-19.048547658223598</c:v>
                </c:pt>
                <c:pt idx="278">
                  <c:v>-19.128557945332627</c:v>
                </c:pt>
                <c:pt idx="280">
                  <c:v>-19.054920189541864</c:v>
                </c:pt>
                <c:pt idx="282">
                  <c:v>-19.199107763146021</c:v>
                </c:pt>
                <c:pt idx="284">
                  <c:v>-16.62494210621831</c:v>
                </c:pt>
                <c:pt idx="286">
                  <c:v>-16.798520438334155</c:v>
                </c:pt>
                <c:pt idx="288">
                  <c:v>-17.11713251925039</c:v>
                </c:pt>
                <c:pt idx="290">
                  <c:v>-17.348449403492356</c:v>
                </c:pt>
                <c:pt idx="292">
                  <c:v>-17.528416745688567</c:v>
                </c:pt>
                <c:pt idx="295">
                  <c:v>-17.052808191776968</c:v>
                </c:pt>
                <c:pt idx="297">
                  <c:v>-17.198340287848385</c:v>
                </c:pt>
                <c:pt idx="299">
                  <c:v>-17.452575293035004</c:v>
                </c:pt>
                <c:pt idx="302">
                  <c:v>-17.610569179217741</c:v>
                </c:pt>
                <c:pt idx="304">
                  <c:v>-16.961123903797859</c:v>
                </c:pt>
                <c:pt idx="306">
                  <c:v>-16.584199504202481</c:v>
                </c:pt>
                <c:pt idx="308">
                  <c:v>-16.403860542561958</c:v>
                </c:pt>
                <c:pt idx="311">
                  <c:v>-16.593711106295128</c:v>
                </c:pt>
                <c:pt idx="314">
                  <c:v>-16.932223263305321</c:v>
                </c:pt>
                <c:pt idx="316">
                  <c:v>-17.328297109643987</c:v>
                </c:pt>
                <c:pt idx="318">
                  <c:v>-17.191367888617897</c:v>
                </c:pt>
                <c:pt idx="320">
                  <c:v>-16.839988762320544</c:v>
                </c:pt>
                <c:pt idx="322">
                  <c:v>-15.928140242572233</c:v>
                </c:pt>
                <c:pt idx="324">
                  <c:v>-16.359824600348585</c:v>
                </c:pt>
                <c:pt idx="326">
                  <c:v>-16.687578602597775</c:v>
                </c:pt>
                <c:pt idx="328">
                  <c:v>-16.885045023815934</c:v>
                </c:pt>
                <c:pt idx="330">
                  <c:v>-8.8440469422039669</c:v>
                </c:pt>
                <c:pt idx="332">
                  <c:v>1.8901552925129046</c:v>
                </c:pt>
                <c:pt idx="334">
                  <c:v>5.5488942058735979</c:v>
                </c:pt>
                <c:pt idx="337">
                  <c:v>5.2721282607015496</c:v>
                </c:pt>
                <c:pt idx="339">
                  <c:v>4.9401092227146668</c:v>
                </c:pt>
                <c:pt idx="341">
                  <c:v>4.6892389381621555</c:v>
                </c:pt>
                <c:pt idx="343">
                  <c:v>4.4804281468447185</c:v>
                </c:pt>
                <c:pt idx="345">
                  <c:v>4.7357145271605852</c:v>
                </c:pt>
                <c:pt idx="347">
                  <c:v>4.4714817712766353</c:v>
                </c:pt>
                <c:pt idx="349">
                  <c:v>4.077013893916706</c:v>
                </c:pt>
                <c:pt idx="351">
                  <c:v>4.2540329970858481</c:v>
                </c:pt>
                <c:pt idx="353">
                  <c:v>4.1874959217465744</c:v>
                </c:pt>
                <c:pt idx="355">
                  <c:v>6.2113182210229771</c:v>
                </c:pt>
                <c:pt idx="357">
                  <c:v>7.257195108572021</c:v>
                </c:pt>
                <c:pt idx="360">
                  <c:v>7.152895756303626</c:v>
                </c:pt>
                <c:pt idx="362">
                  <c:v>6.7212113985272754</c:v>
                </c:pt>
                <c:pt idx="364">
                  <c:v>6.3769946315561876</c:v>
                </c:pt>
                <c:pt idx="367">
                  <c:v>6.1297071077844061</c:v>
                </c:pt>
                <c:pt idx="369">
                  <c:v>5.6980227500080556</c:v>
                </c:pt>
                <c:pt idx="371">
                  <c:v>5.2663383922317051</c:v>
                </c:pt>
                <c:pt idx="373">
                  <c:v>4.955003849772007</c:v>
                </c:pt>
                <c:pt idx="375">
                  <c:v>4.5991202636223703</c:v>
                </c:pt>
                <c:pt idx="379">
                  <c:v>4.2911075090529049</c:v>
                </c:pt>
                <c:pt idx="381">
                  <c:v>4.493616825753036</c:v>
                </c:pt>
                <c:pt idx="383">
                  <c:v>8.7937861082934816</c:v>
                </c:pt>
                <c:pt idx="385">
                  <c:v>8.9145524441814725</c:v>
                </c:pt>
                <c:pt idx="387">
                  <c:v>9.4832518557742258</c:v>
                </c:pt>
                <c:pt idx="389">
                  <c:v>9.6886943382665454</c:v>
                </c:pt>
                <c:pt idx="391">
                  <c:v>9.4062345366024456</c:v>
                </c:pt>
                <c:pt idx="393">
                  <c:v>9.3451882289184489</c:v>
                </c:pt>
                <c:pt idx="395">
                  <c:v>9.1898475891605838</c:v>
                </c:pt>
                <c:pt idx="397">
                  <c:v>9.7567444160410339</c:v>
                </c:pt>
                <c:pt idx="399">
                  <c:v>9.4799415077751927</c:v>
                </c:pt>
                <c:pt idx="401">
                  <c:v>10.642172388157602</c:v>
                </c:pt>
                <c:pt idx="403">
                  <c:v>10.538246995131052</c:v>
                </c:pt>
                <c:pt idx="405">
                  <c:v>10.339955796405954</c:v>
                </c:pt>
                <c:pt idx="407">
                  <c:v>10.085146449744348</c:v>
                </c:pt>
                <c:pt idx="409">
                  <c:v>9.7912507103110915</c:v>
                </c:pt>
                <c:pt idx="411">
                  <c:v>9.5501335186826015</c:v>
                </c:pt>
                <c:pt idx="413">
                  <c:v>9.3080325818627756</c:v>
                </c:pt>
                <c:pt idx="415">
                  <c:v>8.9637723322297056</c:v>
                </c:pt>
                <c:pt idx="417">
                  <c:v>9.064146742566221</c:v>
                </c:pt>
                <c:pt idx="419">
                  <c:v>8.8209089900493893</c:v>
                </c:pt>
                <c:pt idx="421">
                  <c:v>9.8536780565388149</c:v>
                </c:pt>
                <c:pt idx="427">
                  <c:v>9.5564880814221489</c:v>
                </c:pt>
                <c:pt idx="431">
                  <c:v>9.2892545230809276</c:v>
                </c:pt>
                <c:pt idx="433">
                  <c:v>8.9207632890520063</c:v>
                </c:pt>
                <c:pt idx="435">
                  <c:v>8.5669520881301633</c:v>
                </c:pt>
                <c:pt idx="439">
                  <c:v>8.4001951856281423</c:v>
                </c:pt>
                <c:pt idx="441">
                  <c:v>8.263579228395546</c:v>
                </c:pt>
                <c:pt idx="445">
                  <c:v>9.1078751899971202</c:v>
                </c:pt>
                <c:pt idx="447">
                  <c:v>8.9780907274137274</c:v>
                </c:pt>
                <c:pt idx="449">
                  <c:v>9.1397245044158879</c:v>
                </c:pt>
                <c:pt idx="451">
                  <c:v>8.7985847098766516</c:v>
                </c:pt>
                <c:pt idx="453">
                  <c:v>8.3961663046453019</c:v>
                </c:pt>
                <c:pt idx="455">
                  <c:v>8.0322885219241869</c:v>
                </c:pt>
                <c:pt idx="457">
                  <c:v>7.6922889277832809</c:v>
                </c:pt>
                <c:pt idx="459">
                  <c:v>7.3216760341452396</c:v>
                </c:pt>
                <c:pt idx="461">
                  <c:v>6.9095546808934305</c:v>
                </c:pt>
                <c:pt idx="463">
                  <c:v>6.5771521663824828</c:v>
                </c:pt>
                <c:pt idx="465">
                  <c:v>6.3365472833908729</c:v>
                </c:pt>
                <c:pt idx="467">
                  <c:v>6.4168492341196002</c:v>
                </c:pt>
                <c:pt idx="475">
                  <c:v>6.3756523637525913</c:v>
                </c:pt>
                <c:pt idx="477">
                  <c:v>6.0260390417234966</c:v>
                </c:pt>
                <c:pt idx="479">
                  <c:v>5.8229590230619763</c:v>
                </c:pt>
                <c:pt idx="481">
                  <c:v>5.5686654020471416</c:v>
                </c:pt>
                <c:pt idx="483">
                  <c:v>5.4428088352257156</c:v>
                </c:pt>
                <c:pt idx="487">
                  <c:v>5.0151759792015325</c:v>
                </c:pt>
                <c:pt idx="489">
                  <c:v>4.5934749869867426</c:v>
                </c:pt>
                <c:pt idx="493">
                  <c:v>4.3500018941210659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76-0C4C-9AB9-70FA60A6C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462"/>
        <c:minorUnit val="36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Peridinin CUSUM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'perid update'!$B$3:$B$496</c:f>
              <c:numCache>
                <c:formatCode>[$-409]mmm\-yy;@</c:formatCode>
                <c:ptCount val="494"/>
                <c:pt idx="0">
                  <c:v>36445</c:v>
                </c:pt>
                <c:pt idx="1">
                  <c:v>36444</c:v>
                </c:pt>
                <c:pt idx="2">
                  <c:v>36472</c:v>
                </c:pt>
                <c:pt idx="3">
                  <c:v>36472</c:v>
                </c:pt>
                <c:pt idx="4">
                  <c:v>36501</c:v>
                </c:pt>
                <c:pt idx="5">
                  <c:v>36501</c:v>
                </c:pt>
                <c:pt idx="6">
                  <c:v>36530</c:v>
                </c:pt>
                <c:pt idx="7">
                  <c:v>36530</c:v>
                </c:pt>
                <c:pt idx="8">
                  <c:v>36579</c:v>
                </c:pt>
                <c:pt idx="9">
                  <c:v>36579</c:v>
                </c:pt>
                <c:pt idx="10">
                  <c:v>36600</c:v>
                </c:pt>
                <c:pt idx="11">
                  <c:v>36600</c:v>
                </c:pt>
                <c:pt idx="12">
                  <c:v>36628</c:v>
                </c:pt>
                <c:pt idx="13">
                  <c:v>36628</c:v>
                </c:pt>
                <c:pt idx="14">
                  <c:v>36661</c:v>
                </c:pt>
                <c:pt idx="15">
                  <c:v>36661</c:v>
                </c:pt>
                <c:pt idx="16">
                  <c:v>36691</c:v>
                </c:pt>
                <c:pt idx="17">
                  <c:v>36691</c:v>
                </c:pt>
                <c:pt idx="18">
                  <c:v>36720</c:v>
                </c:pt>
                <c:pt idx="19">
                  <c:v>36720</c:v>
                </c:pt>
                <c:pt idx="20">
                  <c:v>36754</c:v>
                </c:pt>
                <c:pt idx="21">
                  <c:v>36754</c:v>
                </c:pt>
                <c:pt idx="22">
                  <c:v>36782</c:v>
                </c:pt>
                <c:pt idx="23">
                  <c:v>36782</c:v>
                </c:pt>
                <c:pt idx="24">
                  <c:v>36818</c:v>
                </c:pt>
                <c:pt idx="25">
                  <c:v>36818</c:v>
                </c:pt>
                <c:pt idx="26">
                  <c:v>36845</c:v>
                </c:pt>
                <c:pt idx="27">
                  <c:v>36848</c:v>
                </c:pt>
                <c:pt idx="28">
                  <c:v>36875</c:v>
                </c:pt>
                <c:pt idx="29">
                  <c:v>36871</c:v>
                </c:pt>
                <c:pt idx="30">
                  <c:v>36901</c:v>
                </c:pt>
                <c:pt idx="31">
                  <c:v>36901</c:v>
                </c:pt>
                <c:pt idx="32">
                  <c:v>36928</c:v>
                </c:pt>
                <c:pt idx="33">
                  <c:v>36928</c:v>
                </c:pt>
                <c:pt idx="34">
                  <c:v>36963</c:v>
                </c:pt>
                <c:pt idx="35">
                  <c:v>36963</c:v>
                </c:pt>
                <c:pt idx="36">
                  <c:v>37000</c:v>
                </c:pt>
                <c:pt idx="37">
                  <c:v>37000</c:v>
                </c:pt>
                <c:pt idx="38">
                  <c:v>37028</c:v>
                </c:pt>
                <c:pt idx="39">
                  <c:v>37027</c:v>
                </c:pt>
                <c:pt idx="40">
                  <c:v>37058</c:v>
                </c:pt>
                <c:pt idx="41">
                  <c:v>37056</c:v>
                </c:pt>
                <c:pt idx="42">
                  <c:v>37089</c:v>
                </c:pt>
                <c:pt idx="43">
                  <c:v>37089</c:v>
                </c:pt>
                <c:pt idx="44">
                  <c:v>37119</c:v>
                </c:pt>
                <c:pt idx="45">
                  <c:v>37119</c:v>
                </c:pt>
                <c:pt idx="46">
                  <c:v>37152</c:v>
                </c:pt>
                <c:pt idx="47">
                  <c:v>37152</c:v>
                </c:pt>
                <c:pt idx="48">
                  <c:v>37181</c:v>
                </c:pt>
                <c:pt idx="49">
                  <c:v>37181</c:v>
                </c:pt>
                <c:pt idx="50">
                  <c:v>37203</c:v>
                </c:pt>
                <c:pt idx="51">
                  <c:v>37203</c:v>
                </c:pt>
                <c:pt idx="52">
                  <c:v>37228</c:v>
                </c:pt>
                <c:pt idx="53">
                  <c:v>37228</c:v>
                </c:pt>
                <c:pt idx="54">
                  <c:v>37270</c:v>
                </c:pt>
                <c:pt idx="55">
                  <c:v>37270</c:v>
                </c:pt>
                <c:pt idx="56">
                  <c:v>37300</c:v>
                </c:pt>
                <c:pt idx="57">
                  <c:v>37300</c:v>
                </c:pt>
                <c:pt idx="58">
                  <c:v>37334</c:v>
                </c:pt>
                <c:pt idx="59">
                  <c:v>37334</c:v>
                </c:pt>
                <c:pt idx="60">
                  <c:v>37361</c:v>
                </c:pt>
                <c:pt idx="61">
                  <c:v>37361</c:v>
                </c:pt>
                <c:pt idx="62">
                  <c:v>37389</c:v>
                </c:pt>
                <c:pt idx="63">
                  <c:v>37389</c:v>
                </c:pt>
                <c:pt idx="64">
                  <c:v>37418</c:v>
                </c:pt>
                <c:pt idx="65">
                  <c:v>37418</c:v>
                </c:pt>
                <c:pt idx="66">
                  <c:v>37455</c:v>
                </c:pt>
                <c:pt idx="67">
                  <c:v>37455</c:v>
                </c:pt>
                <c:pt idx="68">
                  <c:v>37483</c:v>
                </c:pt>
                <c:pt idx="69">
                  <c:v>37483</c:v>
                </c:pt>
                <c:pt idx="70">
                  <c:v>37516</c:v>
                </c:pt>
                <c:pt idx="71">
                  <c:v>37516</c:v>
                </c:pt>
                <c:pt idx="72">
                  <c:v>37544</c:v>
                </c:pt>
                <c:pt idx="73">
                  <c:v>37544</c:v>
                </c:pt>
                <c:pt idx="74">
                  <c:v>37575</c:v>
                </c:pt>
                <c:pt idx="75">
                  <c:v>37575</c:v>
                </c:pt>
                <c:pt idx="76">
                  <c:v>37609</c:v>
                </c:pt>
                <c:pt idx="77">
                  <c:v>37609</c:v>
                </c:pt>
                <c:pt idx="78">
                  <c:v>37635</c:v>
                </c:pt>
                <c:pt idx="79">
                  <c:v>37635</c:v>
                </c:pt>
                <c:pt idx="80">
                  <c:v>37665</c:v>
                </c:pt>
                <c:pt idx="81">
                  <c:v>37665</c:v>
                </c:pt>
                <c:pt idx="82">
                  <c:v>37690</c:v>
                </c:pt>
                <c:pt idx="83">
                  <c:v>37692</c:v>
                </c:pt>
                <c:pt idx="84">
                  <c:v>37725</c:v>
                </c:pt>
                <c:pt idx="85">
                  <c:v>37725</c:v>
                </c:pt>
                <c:pt idx="86">
                  <c:v>37753</c:v>
                </c:pt>
                <c:pt idx="87">
                  <c:v>37753</c:v>
                </c:pt>
                <c:pt idx="88">
                  <c:v>37792</c:v>
                </c:pt>
                <c:pt idx="89">
                  <c:v>37792</c:v>
                </c:pt>
                <c:pt idx="90">
                  <c:v>37817</c:v>
                </c:pt>
                <c:pt idx="91">
                  <c:v>37817</c:v>
                </c:pt>
                <c:pt idx="92">
                  <c:v>37845</c:v>
                </c:pt>
                <c:pt idx="93">
                  <c:v>37845</c:v>
                </c:pt>
                <c:pt idx="94">
                  <c:v>37888</c:v>
                </c:pt>
                <c:pt idx="95">
                  <c:v>37888</c:v>
                </c:pt>
                <c:pt idx="96">
                  <c:v>37908</c:v>
                </c:pt>
                <c:pt idx="97">
                  <c:v>37908</c:v>
                </c:pt>
                <c:pt idx="98">
                  <c:v>37943</c:v>
                </c:pt>
                <c:pt idx="99">
                  <c:v>37943</c:v>
                </c:pt>
                <c:pt idx="100">
                  <c:v>37973</c:v>
                </c:pt>
                <c:pt idx="101">
                  <c:v>37973</c:v>
                </c:pt>
                <c:pt idx="102">
                  <c:v>38000</c:v>
                </c:pt>
                <c:pt idx="103">
                  <c:v>37999</c:v>
                </c:pt>
                <c:pt idx="104">
                  <c:v>38027</c:v>
                </c:pt>
                <c:pt idx="105">
                  <c:v>38027</c:v>
                </c:pt>
                <c:pt idx="106">
                  <c:v>38063</c:v>
                </c:pt>
                <c:pt idx="107">
                  <c:v>38063</c:v>
                </c:pt>
                <c:pt idx="108">
                  <c:v>38094</c:v>
                </c:pt>
                <c:pt idx="109">
                  <c:v>38094</c:v>
                </c:pt>
                <c:pt idx="110">
                  <c:v>38118</c:v>
                </c:pt>
                <c:pt idx="111">
                  <c:v>38118</c:v>
                </c:pt>
                <c:pt idx="112">
                  <c:v>38153</c:v>
                </c:pt>
                <c:pt idx="113">
                  <c:v>38153</c:v>
                </c:pt>
                <c:pt idx="114">
                  <c:v>38181</c:v>
                </c:pt>
                <c:pt idx="115">
                  <c:v>38181</c:v>
                </c:pt>
                <c:pt idx="116">
                  <c:v>38217</c:v>
                </c:pt>
                <c:pt idx="117">
                  <c:v>38217</c:v>
                </c:pt>
                <c:pt idx="118">
                  <c:v>38244</c:v>
                </c:pt>
                <c:pt idx="119">
                  <c:v>38244</c:v>
                </c:pt>
                <c:pt idx="120">
                  <c:v>38272</c:v>
                </c:pt>
                <c:pt idx="121">
                  <c:v>38272</c:v>
                </c:pt>
                <c:pt idx="122">
                  <c:v>38306</c:v>
                </c:pt>
                <c:pt idx="123">
                  <c:v>38306</c:v>
                </c:pt>
                <c:pt idx="124">
                  <c:v>38335</c:v>
                </c:pt>
                <c:pt idx="125">
                  <c:v>38335</c:v>
                </c:pt>
                <c:pt idx="126">
                  <c:v>38362</c:v>
                </c:pt>
                <c:pt idx="127">
                  <c:v>38362</c:v>
                </c:pt>
                <c:pt idx="128">
                  <c:v>38399</c:v>
                </c:pt>
                <c:pt idx="129">
                  <c:v>38399</c:v>
                </c:pt>
                <c:pt idx="130">
                  <c:v>38428</c:v>
                </c:pt>
                <c:pt idx="131">
                  <c:v>38428</c:v>
                </c:pt>
                <c:pt idx="132">
                  <c:v>38468</c:v>
                </c:pt>
                <c:pt idx="133">
                  <c:v>38468</c:v>
                </c:pt>
                <c:pt idx="134">
                  <c:v>38489</c:v>
                </c:pt>
                <c:pt idx="135">
                  <c:v>38489</c:v>
                </c:pt>
                <c:pt idx="136">
                  <c:v>38517</c:v>
                </c:pt>
                <c:pt idx="137">
                  <c:v>38518</c:v>
                </c:pt>
                <c:pt idx="138">
                  <c:v>38547</c:v>
                </c:pt>
                <c:pt idx="139">
                  <c:v>38547</c:v>
                </c:pt>
                <c:pt idx="140">
                  <c:v>38587</c:v>
                </c:pt>
                <c:pt idx="141">
                  <c:v>38588</c:v>
                </c:pt>
                <c:pt idx="142">
                  <c:v>38608</c:v>
                </c:pt>
                <c:pt idx="143">
                  <c:v>38608</c:v>
                </c:pt>
                <c:pt idx="144">
                  <c:v>38637</c:v>
                </c:pt>
                <c:pt idx="145">
                  <c:v>38636</c:v>
                </c:pt>
                <c:pt idx="146">
                  <c:v>38671</c:v>
                </c:pt>
                <c:pt idx="147">
                  <c:v>38671</c:v>
                </c:pt>
                <c:pt idx="148">
                  <c:v>38707</c:v>
                </c:pt>
                <c:pt idx="149">
                  <c:v>38707</c:v>
                </c:pt>
                <c:pt idx="150">
                  <c:v>38734</c:v>
                </c:pt>
                <c:pt idx="151">
                  <c:v>38734</c:v>
                </c:pt>
                <c:pt idx="152">
                  <c:v>38762</c:v>
                </c:pt>
                <c:pt idx="153">
                  <c:v>38762</c:v>
                </c:pt>
                <c:pt idx="154">
                  <c:v>38789</c:v>
                </c:pt>
                <c:pt idx="155">
                  <c:v>38789</c:v>
                </c:pt>
                <c:pt idx="156">
                  <c:v>38825</c:v>
                </c:pt>
                <c:pt idx="157">
                  <c:v>38825</c:v>
                </c:pt>
                <c:pt idx="158">
                  <c:v>38852</c:v>
                </c:pt>
                <c:pt idx="159">
                  <c:v>38852</c:v>
                </c:pt>
                <c:pt idx="160">
                  <c:v>38883</c:v>
                </c:pt>
                <c:pt idx="161">
                  <c:v>38883</c:v>
                </c:pt>
                <c:pt idx="162">
                  <c:v>38916</c:v>
                </c:pt>
                <c:pt idx="163">
                  <c:v>38916</c:v>
                </c:pt>
                <c:pt idx="164">
                  <c:v>38953</c:v>
                </c:pt>
                <c:pt idx="165">
                  <c:v>38953</c:v>
                </c:pt>
                <c:pt idx="166">
                  <c:v>38972</c:v>
                </c:pt>
                <c:pt idx="167">
                  <c:v>38972</c:v>
                </c:pt>
                <c:pt idx="168">
                  <c:v>39009</c:v>
                </c:pt>
                <c:pt idx="169">
                  <c:v>39008</c:v>
                </c:pt>
                <c:pt idx="170">
                  <c:v>39035</c:v>
                </c:pt>
                <c:pt idx="171">
                  <c:v>39035</c:v>
                </c:pt>
                <c:pt idx="172">
                  <c:v>39063</c:v>
                </c:pt>
                <c:pt idx="173">
                  <c:v>39063</c:v>
                </c:pt>
                <c:pt idx="174">
                  <c:v>39098</c:v>
                </c:pt>
                <c:pt idx="175">
                  <c:v>39098</c:v>
                </c:pt>
                <c:pt idx="176">
                  <c:v>39133</c:v>
                </c:pt>
                <c:pt idx="177">
                  <c:v>39134</c:v>
                </c:pt>
                <c:pt idx="178">
                  <c:v>39154</c:v>
                </c:pt>
                <c:pt idx="179">
                  <c:v>39154</c:v>
                </c:pt>
                <c:pt idx="180">
                  <c:v>39190</c:v>
                </c:pt>
                <c:pt idx="181">
                  <c:v>39190</c:v>
                </c:pt>
                <c:pt idx="182">
                  <c:v>39217</c:v>
                </c:pt>
                <c:pt idx="183">
                  <c:v>39217</c:v>
                </c:pt>
                <c:pt idx="184">
                  <c:v>39245</c:v>
                </c:pt>
                <c:pt idx="185">
                  <c:v>39245</c:v>
                </c:pt>
                <c:pt idx="186">
                  <c:v>39280</c:v>
                </c:pt>
                <c:pt idx="187">
                  <c:v>39280</c:v>
                </c:pt>
                <c:pt idx="188">
                  <c:v>39308</c:v>
                </c:pt>
                <c:pt idx="189">
                  <c:v>39308</c:v>
                </c:pt>
                <c:pt idx="190">
                  <c:v>39337</c:v>
                </c:pt>
                <c:pt idx="191">
                  <c:v>39336</c:v>
                </c:pt>
                <c:pt idx="192">
                  <c:v>39373</c:v>
                </c:pt>
                <c:pt idx="193">
                  <c:v>39373</c:v>
                </c:pt>
                <c:pt idx="194">
                  <c:v>39399</c:v>
                </c:pt>
                <c:pt idx="195">
                  <c:v>39399</c:v>
                </c:pt>
                <c:pt idx="196">
                  <c:v>39426</c:v>
                </c:pt>
                <c:pt idx="197">
                  <c:v>39427</c:v>
                </c:pt>
                <c:pt idx="198">
                  <c:v>39462</c:v>
                </c:pt>
                <c:pt idx="199">
                  <c:v>39462</c:v>
                </c:pt>
                <c:pt idx="200">
                  <c:v>39490</c:v>
                </c:pt>
                <c:pt idx="201">
                  <c:v>39490</c:v>
                </c:pt>
                <c:pt idx="202">
                  <c:v>39520</c:v>
                </c:pt>
                <c:pt idx="203">
                  <c:v>39520</c:v>
                </c:pt>
                <c:pt idx="204">
                  <c:v>39553</c:v>
                </c:pt>
                <c:pt idx="205">
                  <c:v>39553</c:v>
                </c:pt>
                <c:pt idx="206">
                  <c:v>39582</c:v>
                </c:pt>
                <c:pt idx="207">
                  <c:v>39583</c:v>
                </c:pt>
                <c:pt idx="208">
                  <c:v>39616</c:v>
                </c:pt>
                <c:pt idx="209">
                  <c:v>39616</c:v>
                </c:pt>
                <c:pt idx="210">
                  <c:v>39644</c:v>
                </c:pt>
                <c:pt idx="211">
                  <c:v>39644</c:v>
                </c:pt>
                <c:pt idx="212">
                  <c:v>39673</c:v>
                </c:pt>
                <c:pt idx="213">
                  <c:v>39673</c:v>
                </c:pt>
                <c:pt idx="214">
                  <c:v>39707</c:v>
                </c:pt>
                <c:pt idx="215">
                  <c:v>39707</c:v>
                </c:pt>
                <c:pt idx="216">
                  <c:v>39737</c:v>
                </c:pt>
                <c:pt idx="217">
                  <c:v>39737</c:v>
                </c:pt>
                <c:pt idx="218">
                  <c:v>39763</c:v>
                </c:pt>
                <c:pt idx="219">
                  <c:v>39763</c:v>
                </c:pt>
                <c:pt idx="220">
                  <c:v>39799</c:v>
                </c:pt>
                <c:pt idx="221">
                  <c:v>39800</c:v>
                </c:pt>
                <c:pt idx="222">
                  <c:v>39825</c:v>
                </c:pt>
                <c:pt idx="223">
                  <c:v>39825</c:v>
                </c:pt>
                <c:pt idx="224">
                  <c:v>39855</c:v>
                </c:pt>
                <c:pt idx="225">
                  <c:v>39854</c:v>
                </c:pt>
                <c:pt idx="226">
                  <c:v>39890</c:v>
                </c:pt>
                <c:pt idx="227">
                  <c:v>39890</c:v>
                </c:pt>
                <c:pt idx="228">
                  <c:v>39920</c:v>
                </c:pt>
                <c:pt idx="229">
                  <c:v>39920</c:v>
                </c:pt>
                <c:pt idx="230">
                  <c:v>39945</c:v>
                </c:pt>
                <c:pt idx="231">
                  <c:v>39945</c:v>
                </c:pt>
                <c:pt idx="232">
                  <c:v>39980</c:v>
                </c:pt>
                <c:pt idx="233">
                  <c:v>39980</c:v>
                </c:pt>
                <c:pt idx="234">
                  <c:v>40009</c:v>
                </c:pt>
                <c:pt idx="235">
                  <c:v>40009</c:v>
                </c:pt>
                <c:pt idx="236">
                  <c:v>40043</c:v>
                </c:pt>
                <c:pt idx="237">
                  <c:v>40042</c:v>
                </c:pt>
                <c:pt idx="238">
                  <c:v>40070</c:v>
                </c:pt>
                <c:pt idx="239">
                  <c:v>40070</c:v>
                </c:pt>
                <c:pt idx="240">
                  <c:v>40099</c:v>
                </c:pt>
                <c:pt idx="241">
                  <c:v>40099</c:v>
                </c:pt>
                <c:pt idx="242">
                  <c:v>40134</c:v>
                </c:pt>
                <c:pt idx="243">
                  <c:v>40133</c:v>
                </c:pt>
                <c:pt idx="244">
                  <c:v>40161</c:v>
                </c:pt>
                <c:pt idx="245">
                  <c:v>40161</c:v>
                </c:pt>
                <c:pt idx="246">
                  <c:v>40198</c:v>
                </c:pt>
                <c:pt idx="247">
                  <c:v>40198</c:v>
                </c:pt>
                <c:pt idx="248">
                  <c:v>40225</c:v>
                </c:pt>
                <c:pt idx="249">
                  <c:v>40225</c:v>
                </c:pt>
                <c:pt idx="250">
                  <c:v>40254</c:v>
                </c:pt>
                <c:pt idx="251">
                  <c:v>40254</c:v>
                </c:pt>
                <c:pt idx="252">
                  <c:v>40282</c:v>
                </c:pt>
                <c:pt idx="253">
                  <c:v>40282</c:v>
                </c:pt>
                <c:pt idx="254">
                  <c:v>40315</c:v>
                </c:pt>
                <c:pt idx="255">
                  <c:v>40315</c:v>
                </c:pt>
                <c:pt idx="256">
                  <c:v>40344</c:v>
                </c:pt>
                <c:pt idx="257">
                  <c:v>40344</c:v>
                </c:pt>
                <c:pt idx="258">
                  <c:v>40371</c:v>
                </c:pt>
                <c:pt idx="259">
                  <c:v>40371</c:v>
                </c:pt>
                <c:pt idx="260">
                  <c:v>40407</c:v>
                </c:pt>
                <c:pt idx="261">
                  <c:v>40407</c:v>
                </c:pt>
                <c:pt idx="262">
                  <c:v>40436</c:v>
                </c:pt>
                <c:pt idx="263">
                  <c:v>40436</c:v>
                </c:pt>
                <c:pt idx="264">
                  <c:v>40464</c:v>
                </c:pt>
                <c:pt idx="265">
                  <c:v>40464</c:v>
                </c:pt>
                <c:pt idx="266">
                  <c:v>40498</c:v>
                </c:pt>
                <c:pt idx="267">
                  <c:v>40498</c:v>
                </c:pt>
                <c:pt idx="268">
                  <c:v>40520</c:v>
                </c:pt>
                <c:pt idx="269">
                  <c:v>40520</c:v>
                </c:pt>
                <c:pt idx="270">
                  <c:v>40562</c:v>
                </c:pt>
                <c:pt idx="271">
                  <c:v>40562</c:v>
                </c:pt>
                <c:pt idx="272">
                  <c:v>40562</c:v>
                </c:pt>
                <c:pt idx="273">
                  <c:v>40591</c:v>
                </c:pt>
                <c:pt idx="274">
                  <c:v>40591</c:v>
                </c:pt>
                <c:pt idx="275">
                  <c:v>40619</c:v>
                </c:pt>
                <c:pt idx="276">
                  <c:v>40619</c:v>
                </c:pt>
                <c:pt idx="277">
                  <c:v>40646</c:v>
                </c:pt>
                <c:pt idx="278">
                  <c:v>40646</c:v>
                </c:pt>
                <c:pt idx="279">
                  <c:v>40681</c:v>
                </c:pt>
                <c:pt idx="280">
                  <c:v>40681</c:v>
                </c:pt>
                <c:pt idx="281">
                  <c:v>40708</c:v>
                </c:pt>
                <c:pt idx="282">
                  <c:v>40708</c:v>
                </c:pt>
                <c:pt idx="283">
                  <c:v>40735</c:v>
                </c:pt>
                <c:pt idx="284">
                  <c:v>40735</c:v>
                </c:pt>
                <c:pt idx="285">
                  <c:v>40771</c:v>
                </c:pt>
                <c:pt idx="286">
                  <c:v>40771</c:v>
                </c:pt>
                <c:pt idx="287">
                  <c:v>40799</c:v>
                </c:pt>
                <c:pt idx="288">
                  <c:v>40799</c:v>
                </c:pt>
                <c:pt idx="289">
                  <c:v>40827</c:v>
                </c:pt>
                <c:pt idx="290">
                  <c:v>40827</c:v>
                </c:pt>
                <c:pt idx="291">
                  <c:v>40862</c:v>
                </c:pt>
                <c:pt idx="292">
                  <c:v>40862</c:v>
                </c:pt>
                <c:pt idx="293">
                  <c:v>40891</c:v>
                </c:pt>
                <c:pt idx="294">
                  <c:v>40890</c:v>
                </c:pt>
                <c:pt idx="295">
                  <c:v>40890</c:v>
                </c:pt>
                <c:pt idx="296">
                  <c:v>40917</c:v>
                </c:pt>
                <c:pt idx="297">
                  <c:v>40917</c:v>
                </c:pt>
                <c:pt idx="298">
                  <c:v>40962</c:v>
                </c:pt>
                <c:pt idx="299">
                  <c:v>40962</c:v>
                </c:pt>
                <c:pt idx="300">
                  <c:v>40980</c:v>
                </c:pt>
                <c:pt idx="301">
                  <c:v>40980</c:v>
                </c:pt>
                <c:pt idx="302">
                  <c:v>40980</c:v>
                </c:pt>
                <c:pt idx="303">
                  <c:v>41015</c:v>
                </c:pt>
                <c:pt idx="304">
                  <c:v>41015</c:v>
                </c:pt>
                <c:pt idx="305">
                  <c:v>41045</c:v>
                </c:pt>
                <c:pt idx="306">
                  <c:v>41045</c:v>
                </c:pt>
                <c:pt idx="307">
                  <c:v>41073</c:v>
                </c:pt>
                <c:pt idx="308">
                  <c:v>41073</c:v>
                </c:pt>
                <c:pt idx="309">
                  <c:v>41107</c:v>
                </c:pt>
                <c:pt idx="310">
                  <c:v>41107</c:v>
                </c:pt>
                <c:pt idx="311">
                  <c:v>41107</c:v>
                </c:pt>
                <c:pt idx="312">
                  <c:v>41135</c:v>
                </c:pt>
                <c:pt idx="313">
                  <c:v>41135</c:v>
                </c:pt>
                <c:pt idx="314">
                  <c:v>41135</c:v>
                </c:pt>
                <c:pt idx="315">
                  <c:v>41164</c:v>
                </c:pt>
                <c:pt idx="316">
                  <c:v>41164</c:v>
                </c:pt>
                <c:pt idx="317">
                  <c:v>41200</c:v>
                </c:pt>
                <c:pt idx="318">
                  <c:v>41200</c:v>
                </c:pt>
                <c:pt idx="319">
                  <c:v>41226</c:v>
                </c:pt>
                <c:pt idx="320">
                  <c:v>41226</c:v>
                </c:pt>
                <c:pt idx="321">
                  <c:v>41254</c:v>
                </c:pt>
                <c:pt idx="322">
                  <c:v>41254</c:v>
                </c:pt>
                <c:pt idx="323">
                  <c:v>41288</c:v>
                </c:pt>
                <c:pt idx="324">
                  <c:v>41288</c:v>
                </c:pt>
                <c:pt idx="325">
                  <c:v>41318</c:v>
                </c:pt>
                <c:pt idx="326">
                  <c:v>41318</c:v>
                </c:pt>
                <c:pt idx="327">
                  <c:v>41344</c:v>
                </c:pt>
                <c:pt idx="328">
                  <c:v>41344</c:v>
                </c:pt>
                <c:pt idx="329">
                  <c:v>41381</c:v>
                </c:pt>
                <c:pt idx="330">
                  <c:v>41379</c:v>
                </c:pt>
                <c:pt idx="331">
                  <c:v>41408</c:v>
                </c:pt>
                <c:pt idx="332">
                  <c:v>41408</c:v>
                </c:pt>
                <c:pt idx="333">
                  <c:v>41436</c:v>
                </c:pt>
                <c:pt idx="334">
                  <c:v>41437</c:v>
                </c:pt>
                <c:pt idx="335">
                  <c:v>41471</c:v>
                </c:pt>
                <c:pt idx="336">
                  <c:v>41471</c:v>
                </c:pt>
                <c:pt idx="337">
                  <c:v>41471</c:v>
                </c:pt>
                <c:pt idx="338">
                  <c:v>41499</c:v>
                </c:pt>
                <c:pt idx="339">
                  <c:v>41499</c:v>
                </c:pt>
                <c:pt idx="340">
                  <c:v>41533</c:v>
                </c:pt>
                <c:pt idx="341">
                  <c:v>41533</c:v>
                </c:pt>
                <c:pt idx="342">
                  <c:v>41569</c:v>
                </c:pt>
                <c:pt idx="343">
                  <c:v>41569</c:v>
                </c:pt>
                <c:pt idx="344">
                  <c:v>41597</c:v>
                </c:pt>
                <c:pt idx="345">
                  <c:v>41597</c:v>
                </c:pt>
                <c:pt idx="346">
                  <c:v>41624</c:v>
                </c:pt>
                <c:pt idx="347">
                  <c:v>41624</c:v>
                </c:pt>
                <c:pt idx="348">
                  <c:v>41654</c:v>
                </c:pt>
                <c:pt idx="349">
                  <c:v>41654</c:v>
                </c:pt>
                <c:pt idx="350">
                  <c:v>41688</c:v>
                </c:pt>
                <c:pt idx="351">
                  <c:v>41690</c:v>
                </c:pt>
                <c:pt idx="352">
                  <c:v>41719</c:v>
                </c:pt>
                <c:pt idx="353">
                  <c:v>41719</c:v>
                </c:pt>
                <c:pt idx="354">
                  <c:v>41747</c:v>
                </c:pt>
                <c:pt idx="355">
                  <c:v>41747</c:v>
                </c:pt>
                <c:pt idx="356">
                  <c:v>41772</c:v>
                </c:pt>
                <c:pt idx="357">
                  <c:v>41772</c:v>
                </c:pt>
                <c:pt idx="358">
                  <c:v>41808</c:v>
                </c:pt>
                <c:pt idx="359">
                  <c:v>41808</c:v>
                </c:pt>
                <c:pt idx="360">
                  <c:v>41808</c:v>
                </c:pt>
                <c:pt idx="361">
                  <c:v>41834</c:v>
                </c:pt>
                <c:pt idx="362">
                  <c:v>41834</c:v>
                </c:pt>
                <c:pt idx="363">
                  <c:v>41864</c:v>
                </c:pt>
                <c:pt idx="364">
                  <c:v>41862</c:v>
                </c:pt>
                <c:pt idx="365">
                  <c:v>41898</c:v>
                </c:pt>
                <c:pt idx="366">
                  <c:v>41898</c:v>
                </c:pt>
                <c:pt idx="367">
                  <c:v>41898</c:v>
                </c:pt>
                <c:pt idx="368">
                  <c:v>41929</c:v>
                </c:pt>
                <c:pt idx="369">
                  <c:v>41929</c:v>
                </c:pt>
                <c:pt idx="370">
                  <c:v>41953</c:v>
                </c:pt>
                <c:pt idx="371">
                  <c:v>41953</c:v>
                </c:pt>
                <c:pt idx="372">
                  <c:v>41988</c:v>
                </c:pt>
                <c:pt idx="373">
                  <c:v>41988</c:v>
                </c:pt>
                <c:pt idx="374">
                  <c:v>42014</c:v>
                </c:pt>
                <c:pt idx="375">
                  <c:v>42009</c:v>
                </c:pt>
                <c:pt idx="376">
                  <c:v>42036</c:v>
                </c:pt>
                <c:pt idx="377">
                  <c:v>42036</c:v>
                </c:pt>
                <c:pt idx="378">
                  <c:v>42064</c:v>
                </c:pt>
                <c:pt idx="379">
                  <c:v>42064</c:v>
                </c:pt>
                <c:pt idx="380">
                  <c:v>42095</c:v>
                </c:pt>
                <c:pt idx="381">
                  <c:v>42095</c:v>
                </c:pt>
                <c:pt idx="382">
                  <c:v>42125</c:v>
                </c:pt>
                <c:pt idx="383">
                  <c:v>42125</c:v>
                </c:pt>
                <c:pt idx="384">
                  <c:v>42156</c:v>
                </c:pt>
                <c:pt idx="385">
                  <c:v>42156</c:v>
                </c:pt>
                <c:pt idx="386">
                  <c:v>42186</c:v>
                </c:pt>
                <c:pt idx="387">
                  <c:v>42186</c:v>
                </c:pt>
                <c:pt idx="388">
                  <c:v>42217</c:v>
                </c:pt>
                <c:pt idx="389">
                  <c:v>42217</c:v>
                </c:pt>
                <c:pt idx="390">
                  <c:v>42248</c:v>
                </c:pt>
                <c:pt idx="391">
                  <c:v>42248</c:v>
                </c:pt>
                <c:pt idx="392">
                  <c:v>42278</c:v>
                </c:pt>
                <c:pt idx="393">
                  <c:v>42278</c:v>
                </c:pt>
                <c:pt idx="394">
                  <c:v>42309</c:v>
                </c:pt>
                <c:pt idx="395">
                  <c:v>42309</c:v>
                </c:pt>
                <c:pt idx="396">
                  <c:v>42339</c:v>
                </c:pt>
                <c:pt idx="397">
                  <c:v>42339</c:v>
                </c:pt>
                <c:pt idx="398">
                  <c:v>42379</c:v>
                </c:pt>
                <c:pt idx="399">
                  <c:v>42374</c:v>
                </c:pt>
                <c:pt idx="400">
                  <c:v>42401</c:v>
                </c:pt>
                <c:pt idx="401">
                  <c:v>42401</c:v>
                </c:pt>
                <c:pt idx="402">
                  <c:v>42430</c:v>
                </c:pt>
                <c:pt idx="403">
                  <c:v>42430</c:v>
                </c:pt>
                <c:pt idx="404">
                  <c:v>42461</c:v>
                </c:pt>
                <c:pt idx="405">
                  <c:v>42461</c:v>
                </c:pt>
                <c:pt idx="406">
                  <c:v>42491</c:v>
                </c:pt>
                <c:pt idx="407">
                  <c:v>42491</c:v>
                </c:pt>
                <c:pt idx="408">
                  <c:v>42522</c:v>
                </c:pt>
                <c:pt idx="409">
                  <c:v>42522</c:v>
                </c:pt>
                <c:pt idx="410">
                  <c:v>42552</c:v>
                </c:pt>
                <c:pt idx="411">
                  <c:v>42552</c:v>
                </c:pt>
                <c:pt idx="412">
                  <c:v>42583</c:v>
                </c:pt>
                <c:pt idx="413">
                  <c:v>42583</c:v>
                </c:pt>
                <c:pt idx="414">
                  <c:v>42614</c:v>
                </c:pt>
                <c:pt idx="415">
                  <c:v>42614</c:v>
                </c:pt>
                <c:pt idx="416">
                  <c:v>42644</c:v>
                </c:pt>
                <c:pt idx="417">
                  <c:v>42644</c:v>
                </c:pt>
                <c:pt idx="418">
                  <c:v>42675</c:v>
                </c:pt>
                <c:pt idx="419">
                  <c:v>42675</c:v>
                </c:pt>
                <c:pt idx="420">
                  <c:v>42705</c:v>
                </c:pt>
                <c:pt idx="421">
                  <c:v>42705</c:v>
                </c:pt>
                <c:pt idx="422">
                  <c:v>42745</c:v>
                </c:pt>
                <c:pt idx="423">
                  <c:v>42740</c:v>
                </c:pt>
                <c:pt idx="424">
                  <c:v>42767</c:v>
                </c:pt>
                <c:pt idx="425">
                  <c:v>42767</c:v>
                </c:pt>
                <c:pt idx="426">
                  <c:v>42795</c:v>
                </c:pt>
                <c:pt idx="427">
                  <c:v>42795</c:v>
                </c:pt>
                <c:pt idx="428">
                  <c:v>42826</c:v>
                </c:pt>
                <c:pt idx="429">
                  <c:v>42826</c:v>
                </c:pt>
                <c:pt idx="430">
                  <c:v>42856</c:v>
                </c:pt>
                <c:pt idx="431">
                  <c:v>42856</c:v>
                </c:pt>
                <c:pt idx="432">
                  <c:v>42887</c:v>
                </c:pt>
                <c:pt idx="433">
                  <c:v>42887</c:v>
                </c:pt>
                <c:pt idx="434">
                  <c:v>42917</c:v>
                </c:pt>
                <c:pt idx="435">
                  <c:v>42917</c:v>
                </c:pt>
                <c:pt idx="436">
                  <c:v>42948</c:v>
                </c:pt>
                <c:pt idx="437">
                  <c:v>42948</c:v>
                </c:pt>
                <c:pt idx="438">
                  <c:v>42979</c:v>
                </c:pt>
                <c:pt idx="439">
                  <c:v>42979</c:v>
                </c:pt>
                <c:pt idx="440">
                  <c:v>43009</c:v>
                </c:pt>
                <c:pt idx="441">
                  <c:v>43009</c:v>
                </c:pt>
                <c:pt idx="442">
                  <c:v>43040</c:v>
                </c:pt>
                <c:pt idx="443">
                  <c:v>43040</c:v>
                </c:pt>
                <c:pt idx="444">
                  <c:v>43070</c:v>
                </c:pt>
                <c:pt idx="445">
                  <c:v>43070</c:v>
                </c:pt>
                <c:pt idx="446">
                  <c:v>43110</c:v>
                </c:pt>
                <c:pt idx="447">
                  <c:v>43105</c:v>
                </c:pt>
                <c:pt idx="448">
                  <c:v>43132</c:v>
                </c:pt>
                <c:pt idx="449">
                  <c:v>43132</c:v>
                </c:pt>
                <c:pt idx="450">
                  <c:v>43160</c:v>
                </c:pt>
                <c:pt idx="451">
                  <c:v>43160</c:v>
                </c:pt>
                <c:pt idx="452">
                  <c:v>43191</c:v>
                </c:pt>
                <c:pt idx="453">
                  <c:v>43191</c:v>
                </c:pt>
                <c:pt idx="454">
                  <c:v>43221</c:v>
                </c:pt>
                <c:pt idx="455">
                  <c:v>43221</c:v>
                </c:pt>
                <c:pt idx="456">
                  <c:v>43252</c:v>
                </c:pt>
                <c:pt idx="457">
                  <c:v>43252</c:v>
                </c:pt>
                <c:pt idx="458">
                  <c:v>43282</c:v>
                </c:pt>
                <c:pt idx="459">
                  <c:v>43282</c:v>
                </c:pt>
                <c:pt idx="460">
                  <c:v>43313</c:v>
                </c:pt>
                <c:pt idx="461">
                  <c:v>43313</c:v>
                </c:pt>
                <c:pt idx="462">
                  <c:v>43344</c:v>
                </c:pt>
                <c:pt idx="463">
                  <c:v>43344</c:v>
                </c:pt>
                <c:pt idx="464">
                  <c:v>43374</c:v>
                </c:pt>
                <c:pt idx="465">
                  <c:v>43374</c:v>
                </c:pt>
                <c:pt idx="466">
                  <c:v>43405</c:v>
                </c:pt>
                <c:pt idx="467">
                  <c:v>43405</c:v>
                </c:pt>
                <c:pt idx="468">
                  <c:v>43435</c:v>
                </c:pt>
                <c:pt idx="469">
                  <c:v>43435</c:v>
                </c:pt>
                <c:pt idx="470">
                  <c:v>43475</c:v>
                </c:pt>
                <c:pt idx="471">
                  <c:v>43470</c:v>
                </c:pt>
                <c:pt idx="472">
                  <c:v>43497</c:v>
                </c:pt>
                <c:pt idx="473">
                  <c:v>43497</c:v>
                </c:pt>
                <c:pt idx="474">
                  <c:v>43525</c:v>
                </c:pt>
                <c:pt idx="475">
                  <c:v>43525</c:v>
                </c:pt>
                <c:pt idx="476">
                  <c:v>43556</c:v>
                </c:pt>
                <c:pt idx="477">
                  <c:v>43556</c:v>
                </c:pt>
                <c:pt idx="478">
                  <c:v>43586</c:v>
                </c:pt>
                <c:pt idx="479">
                  <c:v>43586</c:v>
                </c:pt>
                <c:pt idx="480">
                  <c:v>43617</c:v>
                </c:pt>
                <c:pt idx="481">
                  <c:v>43617</c:v>
                </c:pt>
                <c:pt idx="482">
                  <c:v>43647</c:v>
                </c:pt>
                <c:pt idx="483">
                  <c:v>43647</c:v>
                </c:pt>
                <c:pt idx="484">
                  <c:v>43678</c:v>
                </c:pt>
                <c:pt idx="485">
                  <c:v>43678</c:v>
                </c:pt>
                <c:pt idx="486">
                  <c:v>43709</c:v>
                </c:pt>
                <c:pt idx="487">
                  <c:v>43709</c:v>
                </c:pt>
                <c:pt idx="488">
                  <c:v>43739</c:v>
                </c:pt>
                <c:pt idx="489">
                  <c:v>43739</c:v>
                </c:pt>
                <c:pt idx="490">
                  <c:v>43770</c:v>
                </c:pt>
                <c:pt idx="491">
                  <c:v>43770</c:v>
                </c:pt>
                <c:pt idx="492">
                  <c:v>43800</c:v>
                </c:pt>
                <c:pt idx="493">
                  <c:v>43800</c:v>
                </c:pt>
              </c:numCache>
            </c:numRef>
          </c:xVal>
          <c:yVal>
            <c:numRef>
              <c:f>'perid update'!$L$3:$L$496</c:f>
              <c:numCache>
                <c:formatCode>General</c:formatCode>
                <c:ptCount val="494"/>
                <c:pt idx="1">
                  <c:v>9.2491979710885679E-3</c:v>
                </c:pt>
                <c:pt idx="3">
                  <c:v>6.0104588094230483E-3</c:v>
                </c:pt>
                <c:pt idx="5">
                  <c:v>1.4038454944339465E-2</c:v>
                </c:pt>
                <c:pt idx="7">
                  <c:v>1.8485365003799381E-2</c:v>
                </c:pt>
                <c:pt idx="9">
                  <c:v>1.4715819577513702E-2</c:v>
                </c:pt>
                <c:pt idx="11">
                  <c:v>3.9982980718573655E-3</c:v>
                </c:pt>
                <c:pt idx="13">
                  <c:v>3.596604661677525E-2</c:v>
                </c:pt>
                <c:pt idx="15">
                  <c:v>6.359224130085505E-3</c:v>
                </c:pt>
                <c:pt idx="17">
                  <c:v>3.4417609975863538E-2</c:v>
                </c:pt>
                <c:pt idx="19">
                  <c:v>1.0253158464278132E-2</c:v>
                </c:pt>
                <c:pt idx="21">
                  <c:v>1.4976283952521142E-2</c:v>
                </c:pt>
                <c:pt idx="23">
                  <c:v>1.00326130798931E-2</c:v>
                </c:pt>
                <c:pt idx="25">
                  <c:v>5.6184123039502029E-2</c:v>
                </c:pt>
                <c:pt idx="27">
                  <c:v>2.1584382237925994E-2</c:v>
                </c:pt>
                <c:pt idx="29">
                  <c:v>4.0912072829675808E-2</c:v>
                </c:pt>
                <c:pt idx="31">
                  <c:v>5.5588143475311325E-2</c:v>
                </c:pt>
                <c:pt idx="33">
                  <c:v>2.7534012091917269E-2</c:v>
                </c:pt>
                <c:pt idx="35">
                  <c:v>0</c:v>
                </c:pt>
                <c:pt idx="37">
                  <c:v>0</c:v>
                </c:pt>
                <c:pt idx="39">
                  <c:v>1.7723785568150085E-2</c:v>
                </c:pt>
                <c:pt idx="41">
                  <c:v>7.438686946066279E-3</c:v>
                </c:pt>
                <c:pt idx="43">
                  <c:v>2.6212520966051964E-2</c:v>
                </c:pt>
                <c:pt idx="45">
                  <c:v>4.6008346020742989E-2</c:v>
                </c:pt>
                <c:pt idx="47">
                  <c:v>0</c:v>
                </c:pt>
                <c:pt idx="49">
                  <c:v>5.1959102614236759E-3</c:v>
                </c:pt>
                <c:pt idx="51">
                  <c:v>0</c:v>
                </c:pt>
                <c:pt idx="53">
                  <c:v>1.4314506821629294E-2</c:v>
                </c:pt>
                <c:pt idx="55">
                  <c:v>0.13614593768691005</c:v>
                </c:pt>
                <c:pt idx="57">
                  <c:v>2.5812552823153225E-2</c:v>
                </c:pt>
                <c:pt idx="61">
                  <c:v>3.5282139916947272E-2</c:v>
                </c:pt>
                <c:pt idx="73">
                  <c:v>0</c:v>
                </c:pt>
                <c:pt idx="75">
                  <c:v>6.6127887747899933E-2</c:v>
                </c:pt>
                <c:pt idx="77">
                  <c:v>1.3509653682230295E-2</c:v>
                </c:pt>
                <c:pt idx="79">
                  <c:v>3.9251779297114743E-2</c:v>
                </c:pt>
                <c:pt idx="81">
                  <c:v>3.3968601427996604E-2</c:v>
                </c:pt>
                <c:pt idx="83">
                  <c:v>3.8944701086791447E-2</c:v>
                </c:pt>
                <c:pt idx="85">
                  <c:v>6.693723880423632E-3</c:v>
                </c:pt>
                <c:pt idx="87">
                  <c:v>3.2931660315582874E-2</c:v>
                </c:pt>
                <c:pt idx="89">
                  <c:v>6.4984509250201848E-3</c:v>
                </c:pt>
                <c:pt idx="91">
                  <c:v>2.6842164174820638E-3</c:v>
                </c:pt>
                <c:pt idx="93">
                  <c:v>6.7019509500682471E-3</c:v>
                </c:pt>
                <c:pt idx="95">
                  <c:v>1.0258439810566308E-2</c:v>
                </c:pt>
                <c:pt idx="97">
                  <c:v>1.4675966072499443E-2</c:v>
                </c:pt>
                <c:pt idx="99">
                  <c:v>2.0708551111926651E-2</c:v>
                </c:pt>
                <c:pt idx="101">
                  <c:v>1.7334788840876702E-2</c:v>
                </c:pt>
                <c:pt idx="103">
                  <c:v>7.0697746416928074E-3</c:v>
                </c:pt>
                <c:pt idx="105">
                  <c:v>9.1970114973579688E-3</c:v>
                </c:pt>
                <c:pt idx="107">
                  <c:v>1.2550013445354755E-2</c:v>
                </c:pt>
                <c:pt idx="109">
                  <c:v>6.8861264029063925E-3</c:v>
                </c:pt>
                <c:pt idx="111">
                  <c:v>8.3303864233732691E-3</c:v>
                </c:pt>
                <c:pt idx="113">
                  <c:v>2.3617223300502815E-3</c:v>
                </c:pt>
                <c:pt idx="115">
                  <c:v>1.9006692157484618E-2</c:v>
                </c:pt>
                <c:pt idx="119">
                  <c:v>6.6323477611789907E-3</c:v>
                </c:pt>
                <c:pt idx="121">
                  <c:v>4.1132288466125336E-3</c:v>
                </c:pt>
                <c:pt idx="123">
                  <c:v>4.1882308870476968E-3</c:v>
                </c:pt>
                <c:pt idx="125">
                  <c:v>6.7484445979204985E-2</c:v>
                </c:pt>
                <c:pt idx="127">
                  <c:v>6.9468577701774625E-3</c:v>
                </c:pt>
                <c:pt idx="129">
                  <c:v>5.6923528263851775E-2</c:v>
                </c:pt>
                <c:pt idx="131">
                  <c:v>0.16857636489346042</c:v>
                </c:pt>
                <c:pt idx="133">
                  <c:v>4.0723873998531022E-3</c:v>
                </c:pt>
                <c:pt idx="135">
                  <c:v>5.8295894502764503E-3</c:v>
                </c:pt>
                <c:pt idx="137">
                  <c:v>3.5639559730693436E-3</c:v>
                </c:pt>
                <c:pt idx="139">
                  <c:v>1.7645692738645614E-2</c:v>
                </c:pt>
                <c:pt idx="141">
                  <c:v>1.5623479644587209E-2</c:v>
                </c:pt>
                <c:pt idx="143">
                  <c:v>2.6821736146824732E-2</c:v>
                </c:pt>
                <c:pt idx="145">
                  <c:v>4.2247863366254345E-3</c:v>
                </c:pt>
                <c:pt idx="147">
                  <c:v>1.4604558035451389E-3</c:v>
                </c:pt>
                <c:pt idx="149">
                  <c:v>7.6554029478497331E-3</c:v>
                </c:pt>
                <c:pt idx="151">
                  <c:v>1.251283784662186E-2</c:v>
                </c:pt>
                <c:pt idx="153">
                  <c:v>5.5590924305769776E-3</c:v>
                </c:pt>
                <c:pt idx="155">
                  <c:v>1.3835181482993103E-5</c:v>
                </c:pt>
                <c:pt idx="157">
                  <c:v>6.8262372555025598E-3</c:v>
                </c:pt>
                <c:pt idx="159">
                  <c:v>5.1594538095449897E-3</c:v>
                </c:pt>
                <c:pt idx="161">
                  <c:v>3.3115128291555055E-3</c:v>
                </c:pt>
                <c:pt idx="163">
                  <c:v>3.9760084803451747E-3</c:v>
                </c:pt>
                <c:pt idx="165">
                  <c:v>1.4422139933736111E-2</c:v>
                </c:pt>
                <c:pt idx="167">
                  <c:v>4.5144428227147761E-3</c:v>
                </c:pt>
                <c:pt idx="169">
                  <c:v>6.5171908098419422E-5</c:v>
                </c:pt>
                <c:pt idx="171">
                  <c:v>5.1287208366854386E-3</c:v>
                </c:pt>
                <c:pt idx="173">
                  <c:v>1.3861166555777333E-2</c:v>
                </c:pt>
                <c:pt idx="175">
                  <c:v>8.5094785294652052E-3</c:v>
                </c:pt>
                <c:pt idx="177">
                  <c:v>1.4326647564469911E-2</c:v>
                </c:pt>
                <c:pt idx="179">
                  <c:v>3.549501151189563E-2</c:v>
                </c:pt>
                <c:pt idx="181">
                  <c:v>4.5222884215059935E-3</c:v>
                </c:pt>
                <c:pt idx="183">
                  <c:v>7.686870471814807E-3</c:v>
                </c:pt>
                <c:pt idx="185">
                  <c:v>2.1022617436690506E-3</c:v>
                </c:pt>
                <c:pt idx="187">
                  <c:v>1.7306603914092521E-2</c:v>
                </c:pt>
                <c:pt idx="189">
                  <c:v>8.7851918440730609E-3</c:v>
                </c:pt>
                <c:pt idx="191">
                  <c:v>4.3944893832153697E-3</c:v>
                </c:pt>
                <c:pt idx="193">
                  <c:v>7.3452256033578172E-3</c:v>
                </c:pt>
                <c:pt idx="195">
                  <c:v>1.1197638753651411E-2</c:v>
                </c:pt>
                <c:pt idx="197">
                  <c:v>3.6910562180579214E-3</c:v>
                </c:pt>
                <c:pt idx="199">
                  <c:v>2.1742555538049477E-2</c:v>
                </c:pt>
                <c:pt idx="201">
                  <c:v>3.0515428669117016E-2</c:v>
                </c:pt>
                <c:pt idx="203">
                  <c:v>1.4164305949008499E-2</c:v>
                </c:pt>
                <c:pt idx="205">
                  <c:v>7.0813859382903377E-3</c:v>
                </c:pt>
                <c:pt idx="207">
                  <c:v>1.6862988220706761E-2</c:v>
                </c:pt>
                <c:pt idx="209">
                  <c:v>1.1149346180316586E-2</c:v>
                </c:pt>
                <c:pt idx="211">
                  <c:v>2.7981467294151983E-2</c:v>
                </c:pt>
                <c:pt idx="213">
                  <c:v>6.0978077571669474E-2</c:v>
                </c:pt>
                <c:pt idx="215">
                  <c:v>4.5306454897169621E-3</c:v>
                </c:pt>
                <c:pt idx="217">
                  <c:v>7.9525737420474262E-3</c:v>
                </c:pt>
                <c:pt idx="219">
                  <c:v>1.102877821816302E-2</c:v>
                </c:pt>
                <c:pt idx="221">
                  <c:v>2.7655385769194712E-2</c:v>
                </c:pt>
                <c:pt idx="223">
                  <c:v>1.3366234834464322E-2</c:v>
                </c:pt>
                <c:pt idx="225">
                  <c:v>7.7495666360762726E-3</c:v>
                </c:pt>
                <c:pt idx="227">
                  <c:v>3.9475359735133067E-3</c:v>
                </c:pt>
                <c:pt idx="229">
                  <c:v>6.346687822292741E-3</c:v>
                </c:pt>
                <c:pt idx="231">
                  <c:v>1.1520000000000001E-2</c:v>
                </c:pt>
                <c:pt idx="233">
                  <c:v>8.3792723263506064E-3</c:v>
                </c:pt>
                <c:pt idx="235">
                  <c:v>1.060724017127287E-2</c:v>
                </c:pt>
                <c:pt idx="237">
                  <c:v>1.1491457408645954E-2</c:v>
                </c:pt>
                <c:pt idx="239">
                  <c:v>1.8562401263823067E-2</c:v>
                </c:pt>
                <c:pt idx="241">
                  <c:v>9.5417282623303321E-3</c:v>
                </c:pt>
                <c:pt idx="243">
                  <c:v>5.552579896447063E-2</c:v>
                </c:pt>
                <c:pt idx="245">
                  <c:v>4.5148895292987511E-2</c:v>
                </c:pt>
                <c:pt idx="247">
                  <c:v>2.1122807739810623E-2</c:v>
                </c:pt>
                <c:pt idx="249">
                  <c:v>3.1281811829581507E-2</c:v>
                </c:pt>
                <c:pt idx="251">
                  <c:v>2.1455126404494377E-2</c:v>
                </c:pt>
                <c:pt idx="253">
                  <c:v>3.5100140772971591E-2</c:v>
                </c:pt>
                <c:pt idx="255">
                  <c:v>2.485182387222102E-2</c:v>
                </c:pt>
                <c:pt idx="257">
                  <c:v>2.1874974118296642E-2</c:v>
                </c:pt>
                <c:pt idx="259">
                  <c:v>4.1258629245699154E-2</c:v>
                </c:pt>
                <c:pt idx="261">
                  <c:v>2.5607466471182044E-2</c:v>
                </c:pt>
                <c:pt idx="263">
                  <c:v>8.5980343108717789E-3</c:v>
                </c:pt>
                <c:pt idx="265">
                  <c:v>5.4216804979253103E-3</c:v>
                </c:pt>
                <c:pt idx="267">
                  <c:v>0</c:v>
                </c:pt>
                <c:pt idx="269">
                  <c:v>1.2609965570007653E-2</c:v>
                </c:pt>
                <c:pt idx="272">
                  <c:v>1.1126505416134021E-2</c:v>
                </c:pt>
                <c:pt idx="274">
                  <c:v>1.4743804381603479E-2</c:v>
                </c:pt>
                <c:pt idx="276">
                  <c:v>4.7352596507352941E-3</c:v>
                </c:pt>
                <c:pt idx="278">
                  <c:v>2.2470482261640803E-2</c:v>
                </c:pt>
                <c:pt idx="280">
                  <c:v>3.2287940841865752E-2</c:v>
                </c:pt>
                <c:pt idx="282">
                  <c:v>1.8369825721758378E-2</c:v>
                </c:pt>
                <c:pt idx="284">
                  <c:v>0.19206107322155916</c:v>
                </c:pt>
                <c:pt idx="286">
                  <c:v>1.6491880849280629E-2</c:v>
                </c:pt>
                <c:pt idx="288">
                  <c:v>7.2248391433784673E-3</c:v>
                </c:pt>
                <c:pt idx="290">
                  <c:v>1.2802632139812444E-2</c:v>
                </c:pt>
                <c:pt idx="292">
                  <c:v>1.6083650190114072E-2</c:v>
                </c:pt>
                <c:pt idx="295">
                  <c:v>5.7972170764567191E-2</c:v>
                </c:pt>
                <c:pt idx="297">
                  <c:v>1.8283916435942616E-2</c:v>
                </c:pt>
                <c:pt idx="299">
                  <c:v>1.1338261368377135E-2</c:v>
                </c:pt>
                <c:pt idx="302">
                  <c:v>1.748766087717106E-2</c:v>
                </c:pt>
                <c:pt idx="304">
                  <c:v>6.9079600321888396E-2</c:v>
                </c:pt>
                <c:pt idx="306">
                  <c:v>5.1666671656089083E-2</c:v>
                </c:pt>
                <c:pt idx="308">
                  <c:v>3.9105695556602288E-2</c:v>
                </c:pt>
                <c:pt idx="311">
                  <c:v>1.5452154231902918E-2</c:v>
                </c:pt>
                <c:pt idx="314">
                  <c:v>5.9533086434867761E-3</c:v>
                </c:pt>
                <c:pt idx="316">
                  <c:v>2.2753607170129812E-3</c:v>
                </c:pt>
                <c:pt idx="318">
                  <c:v>3.6331997158514311E-2</c:v>
                </c:pt>
                <c:pt idx="320">
                  <c:v>5.0034436986575836E-2</c:v>
                </c:pt>
                <c:pt idx="322">
                  <c:v>8.5846055226824425E-2</c:v>
                </c:pt>
                <c:pt idx="324">
                  <c:v>0</c:v>
                </c:pt>
                <c:pt idx="326">
                  <c:v>6.6407091256048528E-3</c:v>
                </c:pt>
                <c:pt idx="328">
                  <c:v>1.4965533224562445E-2</c:v>
                </c:pt>
                <c:pt idx="330">
                  <c:v>0.54136848958333339</c:v>
                </c:pt>
                <c:pt idx="332">
                  <c:v>0.7134528176501862</c:v>
                </c:pt>
                <c:pt idx="334">
                  <c:v>0.26136070646970316</c:v>
                </c:pt>
                <c:pt idx="337">
                  <c:v>9.898629818857408E-3</c:v>
                </c:pt>
                <c:pt idx="339">
                  <c:v>6.3681914227578648E-3</c:v>
                </c:pt>
                <c:pt idx="341">
                  <c:v>1.1553252752816098E-2</c:v>
                </c:pt>
                <c:pt idx="343">
                  <c:v>1.4240676067474959E-2</c:v>
                </c:pt>
                <c:pt idx="345">
                  <c:v>4.3894517884914469E-2</c:v>
                </c:pt>
                <c:pt idx="347">
                  <c:v>1.0699447482342217E-2</c:v>
                </c:pt>
                <c:pt idx="349">
                  <c:v>2.3779753265602329E-3</c:v>
                </c:pt>
                <c:pt idx="351">
                  <c:v>3.8893570674177085E-2</c:v>
                </c:pt>
                <c:pt idx="353">
                  <c:v>2.3331363376660474E-2</c:v>
                </c:pt>
                <c:pt idx="355">
                  <c:v>0.15689646574154381</c:v>
                </c:pt>
                <c:pt idx="357">
                  <c:v>9.4409899742026265E-2</c:v>
                </c:pt>
                <c:pt idx="360">
                  <c:v>2.0918513966737114E-2</c:v>
                </c:pt>
                <c:pt idx="362">
                  <c:v>0</c:v>
                </c:pt>
                <c:pt idx="364">
                  <c:v>5.5888082505729571E-3</c:v>
                </c:pt>
                <c:pt idx="367">
                  <c:v>1.1782175978285457E-2</c:v>
                </c:pt>
                <c:pt idx="369">
                  <c:v>0</c:v>
                </c:pt>
                <c:pt idx="371">
                  <c:v>0</c:v>
                </c:pt>
                <c:pt idx="373">
                  <c:v>7.6898429990387698E-3</c:v>
                </c:pt>
                <c:pt idx="375">
                  <c:v>4.8433479642803088E-3</c:v>
                </c:pt>
                <c:pt idx="379">
                  <c:v>7.9020911631492718E-3</c:v>
                </c:pt>
                <c:pt idx="381">
                  <c:v>4.0522287257991896E-2</c:v>
                </c:pt>
                <c:pt idx="383">
                  <c:v>0.30234538784067083</c:v>
                </c:pt>
                <c:pt idx="385">
                  <c:v>3.5299257317605942E-2</c:v>
                </c:pt>
                <c:pt idx="387">
                  <c:v>6.3920281929760611E-2</c:v>
                </c:pt>
                <c:pt idx="389">
                  <c:v>4.070970411752535E-2</c:v>
                </c:pt>
                <c:pt idx="391">
                  <c:v>9.5348165270153148E-3</c:v>
                </c:pt>
                <c:pt idx="393">
                  <c:v>2.368220015278839E-2</c:v>
                </c:pt>
                <c:pt idx="395">
                  <c:v>1.7657192075796729E-2</c:v>
                </c:pt>
                <c:pt idx="397">
                  <c:v>6.3805104408352659E-2</c:v>
                </c:pt>
                <c:pt idx="399">
                  <c:v>9.8962680338619286E-3</c:v>
                </c:pt>
                <c:pt idx="401">
                  <c:v>0.10184442662389737</c:v>
                </c:pt>
                <c:pt idx="403">
                  <c:v>2.0942408376963352E-2</c:v>
                </c:pt>
                <c:pt idx="405">
                  <c:v>1.4912833438353288E-2</c:v>
                </c:pt>
                <c:pt idx="407">
                  <c:v>1.1301563382934639E-2</c:v>
                </c:pt>
                <c:pt idx="409">
                  <c:v>8.8041085840058694E-3</c:v>
                </c:pt>
                <c:pt idx="411">
                  <c:v>1.2176434044315593E-2</c:v>
                </c:pt>
                <c:pt idx="413">
                  <c:v>1.2113576896986143E-2</c:v>
                </c:pt>
                <c:pt idx="415">
                  <c:v>5.5860298928086163E-3</c:v>
                </c:pt>
                <c:pt idx="417">
                  <c:v>3.3996299722479188E-2</c:v>
                </c:pt>
                <c:pt idx="419">
                  <c:v>1.2040939193257074E-2</c:v>
                </c:pt>
                <c:pt idx="421">
                  <c:v>9.3572365544381281E-2</c:v>
                </c:pt>
                <c:pt idx="427">
                  <c:v>8.5936208891092391E-3</c:v>
                </c:pt>
                <c:pt idx="431">
                  <c:v>1.0507708926642443E-2</c:v>
                </c:pt>
                <c:pt idx="433">
                  <c:v>4.0377727124715074E-3</c:v>
                </c:pt>
                <c:pt idx="435">
                  <c:v>4.9757645948612364E-3</c:v>
                </c:pt>
                <c:pt idx="439">
                  <c:v>1.6927741283476502E-2</c:v>
                </c:pt>
                <c:pt idx="441">
                  <c:v>1.8853619909502267E-2</c:v>
                </c:pt>
                <c:pt idx="445">
                  <c:v>8.1529733137213692E-2</c:v>
                </c:pt>
                <c:pt idx="447">
                  <c:v>1.9290123456790126E-2</c:v>
                </c:pt>
                <c:pt idx="449">
                  <c:v>3.7910513555212695E-2</c:v>
                </c:pt>
                <c:pt idx="451">
                  <c:v>5.7854137447405328E-3</c:v>
                </c:pt>
                <c:pt idx="453">
                  <c:v>1.869970300296997E-3</c:v>
                </c:pt>
                <c:pt idx="455">
                  <c:v>4.3325526932084316E-3</c:v>
                </c:pt>
                <c:pt idx="457">
                  <c:v>5.8582677165354329E-3</c:v>
                </c:pt>
                <c:pt idx="459">
                  <c:v>3.9022076578130388E-3</c:v>
                </c:pt>
                <c:pt idx="461">
                  <c:v>1.2499930555555556E-3</c:v>
                </c:pt>
                <c:pt idx="463">
                  <c:v>6.3436888985444273E-3</c:v>
                </c:pt>
                <c:pt idx="465">
                  <c:v>1.2209168394379175E-2</c:v>
                </c:pt>
                <c:pt idx="467">
                  <c:v>3.2713754646840149E-2</c:v>
                </c:pt>
                <c:pt idx="475">
                  <c:v>2.4950495049504952E-2</c:v>
                </c:pt>
                <c:pt idx="477">
                  <c:v>5.2439912600145671E-3</c:v>
                </c:pt>
                <c:pt idx="479">
                  <c:v>1.4606848145689084E-2</c:v>
                </c:pt>
                <c:pt idx="481">
                  <c:v>1.1334516065444509E-2</c:v>
                </c:pt>
                <c:pt idx="483">
                  <c:v>1.9541099344427635E-2</c:v>
                </c:pt>
                <c:pt idx="487">
                  <c:v>2.5887378640776699E-4</c:v>
                </c:pt>
                <c:pt idx="489">
                  <c:v>6.378947368421053E-4</c:v>
                </c:pt>
                <c:pt idx="493">
                  <c:v>1.20259019426457E-2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C2-7D4E-8FB1-97DA8F6A1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71600"/>
        <c:axId val="1511710880"/>
      </c:scatterChart>
      <c:valAx>
        <c:axId val="1643771600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0880"/>
        <c:crosses val="autoZero"/>
        <c:crossBetween val="midCat"/>
        <c:majorUnit val="1095"/>
      </c:valAx>
      <c:valAx>
        <c:axId val="15117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77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</xdr:row>
      <xdr:rowOff>0</xdr:rowOff>
    </xdr:from>
    <xdr:to>
      <xdr:col>24</xdr:col>
      <xdr:colOff>152400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3C5774-A331-CB46-B79A-098BB8634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24</xdr:col>
      <xdr:colOff>152400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7AFB51-B002-694A-BCB5-7ECF52AA2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38</xdr:row>
      <xdr:rowOff>0</xdr:rowOff>
    </xdr:from>
    <xdr:to>
      <xdr:col>24</xdr:col>
      <xdr:colOff>152400</xdr:colOff>
      <xdr:row>52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6229D3-3BFE-784A-A288-B4CB38DB3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54</xdr:row>
      <xdr:rowOff>0</xdr:rowOff>
    </xdr:from>
    <xdr:to>
      <xdr:col>24</xdr:col>
      <xdr:colOff>152400</xdr:colOff>
      <xdr:row>68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6B98F2-2E55-134E-810C-923894293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</xdr:row>
      <xdr:rowOff>0</xdr:rowOff>
    </xdr:from>
    <xdr:to>
      <xdr:col>24</xdr:col>
      <xdr:colOff>152400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E6F1B-9E3E-4D42-BDC9-D02DF1654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24</xdr:col>
      <xdr:colOff>152400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682D08-2D1E-AC40-B9B5-62E2C2D624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24</xdr:col>
      <xdr:colOff>152400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07578-6D43-6246-870A-C17BF2985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24</xdr:col>
      <xdr:colOff>152400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F2ED27-8D30-4540-853E-584A7BB27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6350</xdr:colOff>
      <xdr:row>36</xdr:row>
      <xdr:rowOff>88900</xdr:rowOff>
    </xdr:from>
    <xdr:to>
      <xdr:col>20</xdr:col>
      <xdr:colOff>450850</xdr:colOff>
      <xdr:row>50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060850-4A23-A707-A2B0-771893F96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24</xdr:col>
      <xdr:colOff>152400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87D782-50E4-D54A-A83D-D9060169E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24</xdr:col>
      <xdr:colOff>152400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613558-322E-4047-9171-3D092DC12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A051-792E-8246-9530-380B85A09806}">
  <sheetPr>
    <tabColor theme="9" tint="0.39997558519241921"/>
  </sheetPr>
  <dimension ref="A1:AA620"/>
  <sheetViews>
    <sheetView tabSelected="1" workbookViewId="0">
      <pane ySplit="2" topLeftCell="A491" activePane="bottomLeft" state="frozen"/>
      <selection pane="bottomLeft" activeCell="O498" sqref="O498"/>
    </sheetView>
  </sheetViews>
  <sheetFormatPr defaultColWidth="11.42578125" defaultRowHeight="15"/>
  <cols>
    <col min="2" max="2" width="10.85546875" style="71"/>
    <col min="14" max="14" width="12.7109375" bestFit="1" customWidth="1"/>
  </cols>
  <sheetData>
    <row r="1" spans="1:27" ht="18">
      <c r="F1" s="1" t="s">
        <v>0</v>
      </c>
      <c r="G1" s="1" t="s">
        <v>1</v>
      </c>
      <c r="I1" s="1" t="s">
        <v>81</v>
      </c>
      <c r="Z1" t="s">
        <v>91</v>
      </c>
    </row>
    <row r="2" spans="1:27">
      <c r="A2" s="2" t="s">
        <v>2</v>
      </c>
      <c r="B2" s="72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11</v>
      </c>
      <c r="H2" s="7" t="s">
        <v>13</v>
      </c>
      <c r="I2" s="6" t="s">
        <v>7</v>
      </c>
      <c r="J2" s="6" t="s">
        <v>11</v>
      </c>
      <c r="L2" s="70" t="s">
        <v>83</v>
      </c>
      <c r="M2" s="70" t="s">
        <v>90</v>
      </c>
      <c r="N2" s="70" t="s">
        <v>82</v>
      </c>
      <c r="Z2" s="70" t="s">
        <v>90</v>
      </c>
      <c r="AA2" s="70" t="s">
        <v>82</v>
      </c>
    </row>
    <row r="3" spans="1:27">
      <c r="A3" s="8">
        <v>2</v>
      </c>
      <c r="B3" s="73">
        <v>36445</v>
      </c>
      <c r="C3" s="10">
        <v>1999</v>
      </c>
      <c r="D3" s="11" t="s">
        <v>14</v>
      </c>
      <c r="E3" s="12">
        <v>10</v>
      </c>
      <c r="F3" s="13">
        <v>1.3330102911201809</v>
      </c>
      <c r="G3" s="14">
        <v>3.3680958166666664E-2</v>
      </c>
      <c r="Q3" t="s">
        <v>111</v>
      </c>
    </row>
    <row r="4" spans="1:27">
      <c r="A4" s="8">
        <v>16</v>
      </c>
      <c r="B4" s="73">
        <v>36444</v>
      </c>
      <c r="C4" s="10">
        <v>1999</v>
      </c>
      <c r="D4" s="11" t="s">
        <v>14</v>
      </c>
      <c r="E4" s="12">
        <v>10</v>
      </c>
      <c r="F4" s="13">
        <v>1.6606092731436428</v>
      </c>
      <c r="G4" s="14">
        <v>1.4040328333333331E-2</v>
      </c>
      <c r="I4" s="29">
        <f>AVERAGE(F3:F4)</f>
        <v>1.496809782131912</v>
      </c>
      <c r="J4" s="29">
        <f>AVERAGE(G3:G4)</f>
        <v>2.3860643249999997E-2</v>
      </c>
      <c r="L4">
        <f>+J4/I4</f>
        <v>1.5940999006577302E-2</v>
      </c>
      <c r="M4">
        <f>+(L4-$L$619)/$L$620</f>
        <v>-0.38015780184751147</v>
      </c>
      <c r="N4">
        <f>+M4</f>
        <v>-0.38015780184751147</v>
      </c>
      <c r="Z4">
        <f>+(I4-$F$619)/$F$620</f>
        <v>-0.8542670323736351</v>
      </c>
      <c r="AA4">
        <f>+Z4</f>
        <v>-0.8542670323736351</v>
      </c>
    </row>
    <row r="5" spans="1:27">
      <c r="A5" s="8">
        <v>2</v>
      </c>
      <c r="B5" s="73">
        <v>36472</v>
      </c>
      <c r="C5" s="10">
        <v>1999</v>
      </c>
      <c r="D5" s="11" t="s">
        <v>16</v>
      </c>
      <c r="E5" s="10">
        <v>11</v>
      </c>
      <c r="F5" s="13">
        <v>4.285993642125038</v>
      </c>
      <c r="G5" s="14">
        <v>1.3361113166666667E-2</v>
      </c>
    </row>
    <row r="6" spans="1:27">
      <c r="A6" s="8">
        <v>16</v>
      </c>
      <c r="B6" s="73">
        <v>36472</v>
      </c>
      <c r="C6" s="10">
        <v>1999</v>
      </c>
      <c r="D6" s="11" t="s">
        <v>16</v>
      </c>
      <c r="E6" s="10">
        <v>11</v>
      </c>
      <c r="F6" s="13">
        <v>0.41591953889429528</v>
      </c>
      <c r="G6" s="14">
        <v>0</v>
      </c>
      <c r="I6" s="29">
        <f>AVERAGE(F5:F6)</f>
        <v>2.3509565905096665</v>
      </c>
      <c r="J6" s="29">
        <f>AVERAGE(G5:G6)</f>
        <v>6.6805565833333337E-3</v>
      </c>
      <c r="L6">
        <f>+J6/I6</f>
        <v>2.8416333207943443E-3</v>
      </c>
      <c r="M6">
        <f>+(L6-$L$619)/$L$620</f>
        <v>-0.66371199012355908</v>
      </c>
      <c r="N6">
        <f>+N4+M6</f>
        <v>-1.0438697919710704</v>
      </c>
      <c r="Z6">
        <f>+(I6-$F$619)/$F$620</f>
        <v>-0.68178009129346973</v>
      </c>
      <c r="AA6">
        <f>+AA4+Z6</f>
        <v>-1.5360471236671049</v>
      </c>
    </row>
    <row r="7" spans="1:27">
      <c r="A7" s="8">
        <v>2</v>
      </c>
      <c r="B7" s="73">
        <v>36501</v>
      </c>
      <c r="C7" s="10">
        <v>1999</v>
      </c>
      <c r="D7" s="11" t="s">
        <v>17</v>
      </c>
      <c r="E7" s="10">
        <v>12</v>
      </c>
      <c r="F7" s="13">
        <v>1.4014618639341168</v>
      </c>
      <c r="G7" s="14">
        <v>6.3514323333333338E-3</v>
      </c>
    </row>
    <row r="8" spans="1:27">
      <c r="A8" s="8">
        <v>16</v>
      </c>
      <c r="B8" s="73">
        <v>36501</v>
      </c>
      <c r="C8" s="10">
        <v>1999</v>
      </c>
      <c r="D8" s="11" t="s">
        <v>17</v>
      </c>
      <c r="E8" s="10">
        <v>12</v>
      </c>
      <c r="F8" s="13">
        <v>1.2786164862718898</v>
      </c>
      <c r="G8" s="14">
        <v>0</v>
      </c>
      <c r="I8" s="29">
        <f>AVERAGE(F7:F8)</f>
        <v>1.3400391751030032</v>
      </c>
      <c r="J8" s="29">
        <f>AVERAGE(G7:G8)</f>
        <v>3.1757161666666669E-3</v>
      </c>
      <c r="L8">
        <f>+J8/I8</f>
        <v>2.3698681543564298E-3</v>
      </c>
      <c r="M8">
        <f>+(L8-$L$619)/$L$620</f>
        <v>-0.67392401046370443</v>
      </c>
      <c r="N8">
        <f>+N6+M8</f>
        <v>-1.717793802434775</v>
      </c>
      <c r="Z8">
        <f>+(I8-$F$619)/$F$620</f>
        <v>-0.88592538687718325</v>
      </c>
      <c r="AA8">
        <f>+AA6+Z8</f>
        <v>-2.421972510544288</v>
      </c>
    </row>
    <row r="9" spans="1:27">
      <c r="A9" s="8">
        <v>2</v>
      </c>
      <c r="B9" s="73">
        <v>36530</v>
      </c>
      <c r="C9" s="12">
        <v>2000</v>
      </c>
      <c r="D9" s="11" t="s">
        <v>18</v>
      </c>
      <c r="E9" s="10">
        <v>1</v>
      </c>
      <c r="F9" s="13">
        <v>3.0782638208252844</v>
      </c>
      <c r="G9" s="14">
        <v>1.5582216999999999E-2</v>
      </c>
    </row>
    <row r="10" spans="1:27">
      <c r="A10" s="8">
        <v>16</v>
      </c>
      <c r="B10" s="73">
        <v>36530</v>
      </c>
      <c r="C10" s="12">
        <v>2000</v>
      </c>
      <c r="D10" s="11" t="s">
        <v>18</v>
      </c>
      <c r="E10" s="10">
        <v>1</v>
      </c>
      <c r="F10" s="13">
        <v>3.6585839039056487</v>
      </c>
      <c r="G10" s="14">
        <v>1.7815167E-2</v>
      </c>
      <c r="I10" s="29">
        <f>AVERAGE(F9:F10)</f>
        <v>3.3684238623654665</v>
      </c>
      <c r="J10" s="29">
        <f>AVERAGE(G9:G10)</f>
        <v>1.6698692000000001E-2</v>
      </c>
      <c r="L10">
        <f>+J10/I10</f>
        <v>4.9574200523188876E-3</v>
      </c>
      <c r="M10">
        <f>+(L10-$L$619)/$L$620</f>
        <v>-0.61791281147525223</v>
      </c>
      <c r="N10">
        <f>+N8+M10</f>
        <v>-2.3357066139100273</v>
      </c>
      <c r="Z10">
        <f>+(I10-$F$619)/$F$620</f>
        <v>-0.47631211359897074</v>
      </c>
      <c r="AA10">
        <f>+AA8+Z10</f>
        <v>-2.8982846241432587</v>
      </c>
    </row>
    <row r="11" spans="1:27">
      <c r="A11" s="8">
        <v>2</v>
      </c>
      <c r="B11" s="73">
        <v>36579</v>
      </c>
      <c r="C11" s="12">
        <v>2000</v>
      </c>
      <c r="D11" s="11" t="s">
        <v>19</v>
      </c>
      <c r="E11" s="12">
        <v>2</v>
      </c>
      <c r="F11" s="13">
        <v>2.5386928407093783</v>
      </c>
      <c r="G11" s="14">
        <v>2.8656925500000003E-2</v>
      </c>
    </row>
    <row r="12" spans="1:27">
      <c r="A12" s="8">
        <v>16</v>
      </c>
      <c r="B12" s="73">
        <v>36579</v>
      </c>
      <c r="C12" s="12">
        <v>2000</v>
      </c>
      <c r="D12" s="11" t="s">
        <v>19</v>
      </c>
      <c r="E12" s="12">
        <v>2</v>
      </c>
      <c r="F12" s="13">
        <v>2.3945823862849616</v>
      </c>
      <c r="G12" s="14">
        <v>2.7480485833333335E-2</v>
      </c>
      <c r="I12" s="29">
        <f>AVERAGE(F11:F12)</f>
        <v>2.4666376134971699</v>
      </c>
      <c r="J12" s="29">
        <f>AVERAGE(G11:G12)</f>
        <v>2.8068705666666669E-2</v>
      </c>
      <c r="L12">
        <f>+J12/I12</f>
        <v>1.1379339029404967E-2</v>
      </c>
      <c r="M12">
        <f>+(L12-$L$619)/$L$620</f>
        <v>-0.47890134585149913</v>
      </c>
      <c r="N12">
        <f>+N10+M12</f>
        <v>-2.8146079597615263</v>
      </c>
      <c r="Z12">
        <f>+(I12-$F$619)/$F$620</f>
        <v>-0.65841939310853415</v>
      </c>
      <c r="AA12">
        <f>+AA10+Z12</f>
        <v>-3.5567040172517927</v>
      </c>
    </row>
    <row r="13" spans="1:27">
      <c r="A13" s="8">
        <v>2</v>
      </c>
      <c r="B13" s="73">
        <v>36600</v>
      </c>
      <c r="C13" s="12">
        <v>2000</v>
      </c>
      <c r="D13" s="11" t="s">
        <v>20</v>
      </c>
      <c r="E13" s="12">
        <v>3</v>
      </c>
      <c r="F13" s="13">
        <v>1.9050536432870002</v>
      </c>
      <c r="G13" s="14">
        <v>4.5800005999999997E-2</v>
      </c>
    </row>
    <row r="14" spans="1:27">
      <c r="A14" s="8">
        <v>16</v>
      </c>
      <c r="B14" s="73">
        <v>36600</v>
      </c>
      <c r="C14" s="12">
        <v>2000</v>
      </c>
      <c r="D14" s="11" t="s">
        <v>20</v>
      </c>
      <c r="E14" s="12">
        <v>3</v>
      </c>
      <c r="F14" s="13">
        <v>1.5679274644511905</v>
      </c>
      <c r="G14" s="14">
        <v>3.5657590666666669E-2</v>
      </c>
      <c r="I14" s="29">
        <f>AVERAGE(F13:F14)</f>
        <v>1.7364905538690953</v>
      </c>
      <c r="J14" s="29">
        <f>AVERAGE(G13:G14)</f>
        <v>4.072879833333333E-2</v>
      </c>
      <c r="L14">
        <f>+J14/I14</f>
        <v>2.3454661611941974E-2</v>
      </c>
      <c r="M14">
        <f>+(L14-$L$619)/$L$620</f>
        <v>-0.21751401037319706</v>
      </c>
      <c r="N14">
        <f>+N12+M14</f>
        <v>-3.0321219701347233</v>
      </c>
      <c r="Z14">
        <f>+(I14-$F$619)/$F$620</f>
        <v>-0.80586574731679705</v>
      </c>
      <c r="AA14">
        <f>+AA12+Z14</f>
        <v>-4.3625697645685895</v>
      </c>
    </row>
    <row r="15" spans="1:27">
      <c r="A15" s="8">
        <v>2</v>
      </c>
      <c r="B15" s="73">
        <v>36628</v>
      </c>
      <c r="C15" s="12">
        <v>2000</v>
      </c>
      <c r="D15" s="16" t="s">
        <v>21</v>
      </c>
      <c r="E15" s="12">
        <v>4</v>
      </c>
      <c r="F15" s="13">
        <v>4.7973446625707457</v>
      </c>
      <c r="G15" s="14">
        <v>1.7523835166666668E-2</v>
      </c>
    </row>
    <row r="16" spans="1:27">
      <c r="A16" s="8">
        <v>16</v>
      </c>
      <c r="B16" s="73">
        <v>36628</v>
      </c>
      <c r="C16" s="12">
        <v>2000</v>
      </c>
      <c r="D16" s="16" t="s">
        <v>21</v>
      </c>
      <c r="E16" s="12">
        <v>4</v>
      </c>
      <c r="F16" s="13">
        <v>2.7664028879625464</v>
      </c>
      <c r="G16" s="14">
        <v>6.7782088333333346E-3</v>
      </c>
      <c r="I16" s="29">
        <f>AVERAGE(F15:F16)</f>
        <v>3.781873775266646</v>
      </c>
      <c r="J16" s="29">
        <f>AVERAGE(G15:G16)</f>
        <v>1.2151022000000001E-2</v>
      </c>
      <c r="L16">
        <f>+J16/I16</f>
        <v>3.2129633938253999E-3</v>
      </c>
      <c r="M16">
        <f>+(L16-$L$619)/$L$620</f>
        <v>-0.65567402859423995</v>
      </c>
      <c r="N16">
        <f>+N14+M16</f>
        <v>-3.687795998728963</v>
      </c>
      <c r="Z16">
        <f>+(I16-$F$619)/$F$620</f>
        <v>-0.39281977941624369</v>
      </c>
      <c r="AA16">
        <f>+AA14+Z16</f>
        <v>-4.7553895439848333</v>
      </c>
    </row>
    <row r="17" spans="1:27">
      <c r="A17" s="8">
        <v>2</v>
      </c>
      <c r="B17" s="73">
        <v>36661</v>
      </c>
      <c r="C17" s="12">
        <v>2000</v>
      </c>
      <c r="D17" s="16" t="s">
        <v>22</v>
      </c>
      <c r="E17" s="12">
        <v>5</v>
      </c>
      <c r="F17" s="13">
        <v>4.6886727747195547</v>
      </c>
      <c r="G17" s="14">
        <v>7.0320312999999995E-2</v>
      </c>
    </row>
    <row r="18" spans="1:27">
      <c r="A18" s="8">
        <v>16</v>
      </c>
      <c r="B18" s="73">
        <v>36661</v>
      </c>
      <c r="C18" s="12">
        <v>2000</v>
      </c>
      <c r="D18" s="16" t="s">
        <v>22</v>
      </c>
      <c r="E18" s="12">
        <v>5</v>
      </c>
      <c r="F18" s="13">
        <v>6.0927728226505344</v>
      </c>
      <c r="G18" s="14">
        <v>7.2132776499999995E-2</v>
      </c>
      <c r="I18" s="29">
        <f>AVERAGE(F17:F18)</f>
        <v>5.3907227986850446</v>
      </c>
      <c r="J18" s="29">
        <f>AVERAGE(G17:G18)</f>
        <v>7.1226544749999995E-2</v>
      </c>
      <c r="L18">
        <f>+J18/I18</f>
        <v>1.3212800474061519E-2</v>
      </c>
      <c r="M18">
        <f>+(L18-$L$619)/$L$620</f>
        <v>-0.43921349499325013</v>
      </c>
      <c r="N18">
        <f>+N16+M18</f>
        <v>-4.1270094937222135</v>
      </c>
      <c r="Z18">
        <f>+(I18-$F$619)/$F$620</f>
        <v>-6.7927800675135416E-2</v>
      </c>
      <c r="AA18">
        <f>+AA16+Z18</f>
        <v>-4.8233173446599684</v>
      </c>
    </row>
    <row r="19" spans="1:27">
      <c r="A19" s="8">
        <v>2</v>
      </c>
      <c r="B19" s="73">
        <v>36691</v>
      </c>
      <c r="C19" s="12">
        <v>2000</v>
      </c>
      <c r="D19" s="16" t="s">
        <v>23</v>
      </c>
      <c r="E19" s="12">
        <v>6</v>
      </c>
      <c r="F19" s="13">
        <v>1.6994240245561543</v>
      </c>
      <c r="G19" s="14">
        <v>1.5282603333333332E-2</v>
      </c>
    </row>
    <row r="20" spans="1:27">
      <c r="A20" s="8">
        <v>16</v>
      </c>
      <c r="B20" s="73">
        <v>36691</v>
      </c>
      <c r="C20" s="12">
        <v>2000</v>
      </c>
      <c r="D20" s="16" t="s">
        <v>23</v>
      </c>
      <c r="E20" s="12">
        <v>6</v>
      </c>
      <c r="F20" s="13">
        <v>4.4627459706507473</v>
      </c>
      <c r="G20" s="14">
        <v>4.7414963500000004E-2</v>
      </c>
      <c r="I20" s="29">
        <f>AVERAGE(F19:F20)</f>
        <v>3.0810849976034507</v>
      </c>
      <c r="J20" s="29">
        <f>AVERAGE(G19:G20)</f>
        <v>3.1348783416666665E-2</v>
      </c>
      <c r="L20">
        <f>+J20/I20</f>
        <v>1.0174592210552639E-2</v>
      </c>
      <c r="M20">
        <f>+(L20-$L$619)/$L$620</f>
        <v>-0.50497978464709514</v>
      </c>
      <c r="N20">
        <f>+N18+M20</f>
        <v>-4.6319892783693088</v>
      </c>
      <c r="Z20">
        <f>+(I20-$F$619)/$F$620</f>
        <v>-0.53433750378965572</v>
      </c>
      <c r="AA20">
        <f>+AA18+Z20</f>
        <v>-5.3576548484496245</v>
      </c>
    </row>
    <row r="21" spans="1:27">
      <c r="A21" s="8">
        <v>2</v>
      </c>
      <c r="B21" s="73">
        <v>36720</v>
      </c>
      <c r="C21" s="12">
        <v>2000</v>
      </c>
      <c r="D21" s="16" t="s">
        <v>24</v>
      </c>
      <c r="E21" s="12">
        <v>7</v>
      </c>
      <c r="F21" s="13">
        <v>10.384727236125432</v>
      </c>
      <c r="G21" s="14">
        <v>0.80691401283333331</v>
      </c>
    </row>
    <row r="22" spans="1:27">
      <c r="A22" s="8">
        <v>16</v>
      </c>
      <c r="B22" s="73">
        <v>36720</v>
      </c>
      <c r="C22" s="12">
        <v>2000</v>
      </c>
      <c r="D22" s="16" t="s">
        <v>24</v>
      </c>
      <c r="E22" s="12">
        <v>7</v>
      </c>
      <c r="F22" s="13">
        <v>9.8045028976455733</v>
      </c>
      <c r="G22" s="14">
        <v>1.0675680484999999</v>
      </c>
      <c r="I22" s="29">
        <f>AVERAGE(F21:F22)</f>
        <v>10.094615066885503</v>
      </c>
      <c r="J22" s="29">
        <f>AVERAGE(G21:G22)</f>
        <v>0.93724103066666653</v>
      </c>
      <c r="L22">
        <f>+J22/I22</f>
        <v>9.2845643390722585E-2</v>
      </c>
      <c r="M22">
        <f>+(L22-$L$619)/$L$620</f>
        <v>1.2845513555334189</v>
      </c>
      <c r="N22">
        <f>+N20+M22</f>
        <v>-3.3474379228358897</v>
      </c>
      <c r="Z22">
        <f>+(I22-$F$619)/$F$620</f>
        <v>0.88197914805364341</v>
      </c>
      <c r="AA22">
        <f>+AA20+Z22</f>
        <v>-4.4756757003959811</v>
      </c>
    </row>
    <row r="23" spans="1:27">
      <c r="A23" s="8">
        <v>2</v>
      </c>
      <c r="B23" s="73">
        <v>36754</v>
      </c>
      <c r="C23" s="12">
        <v>2000</v>
      </c>
      <c r="D23" s="16" t="s">
        <v>25</v>
      </c>
      <c r="E23" s="12">
        <v>8</v>
      </c>
      <c r="F23" s="13">
        <v>12.821283488842734</v>
      </c>
      <c r="G23" s="14">
        <v>1.498663786666667</v>
      </c>
    </row>
    <row r="24" spans="1:27">
      <c r="A24" s="8">
        <v>16</v>
      </c>
      <c r="B24" s="73">
        <v>36754</v>
      </c>
      <c r="C24" s="12">
        <v>2000</v>
      </c>
      <c r="D24" s="16" t="s">
        <v>25</v>
      </c>
      <c r="E24" s="12">
        <v>8</v>
      </c>
      <c r="F24" s="13">
        <v>14.668265930659848</v>
      </c>
      <c r="G24" s="14">
        <v>1.7610295409999999</v>
      </c>
      <c r="I24" s="29">
        <f>AVERAGE(F23:F24)</f>
        <v>13.74477470975129</v>
      </c>
      <c r="J24" s="29">
        <f>AVERAGE(G23:G24)</f>
        <v>1.6298466638333333</v>
      </c>
      <c r="L24">
        <f>+J24/I24</f>
        <v>0.11857936548621867</v>
      </c>
      <c r="M24">
        <f>+(L24-$L$619)/$L$620</f>
        <v>1.8415939524913221</v>
      </c>
      <c r="N24">
        <f>+N22+M24</f>
        <v>-1.5058439703445676</v>
      </c>
      <c r="Z24">
        <f>+(I24-$F$619)/$F$620</f>
        <v>1.6190946709085154</v>
      </c>
      <c r="AA24">
        <f>+AA22+Z24</f>
        <v>-2.8565810294874656</v>
      </c>
    </row>
    <row r="25" spans="1:27">
      <c r="A25" s="8">
        <v>2</v>
      </c>
      <c r="B25" s="73">
        <v>36782</v>
      </c>
      <c r="C25" s="12">
        <v>2000</v>
      </c>
      <c r="D25" s="16" t="s">
        <v>26</v>
      </c>
      <c r="E25" s="12">
        <v>9</v>
      </c>
      <c r="F25" s="13">
        <v>1.0846293683277899</v>
      </c>
      <c r="G25" s="14">
        <v>2.1051162333333338E-2</v>
      </c>
    </row>
    <row r="26" spans="1:27">
      <c r="A26" s="8">
        <v>16</v>
      </c>
      <c r="B26" s="73">
        <v>36782</v>
      </c>
      <c r="C26" s="12">
        <v>2000</v>
      </c>
      <c r="D26" s="16" t="s">
        <v>26</v>
      </c>
      <c r="E26" s="12">
        <v>9</v>
      </c>
      <c r="F26" s="13">
        <v>3.9030508702619744</v>
      </c>
      <c r="G26" s="14">
        <v>0.15255336183333332</v>
      </c>
      <c r="I26" s="29">
        <f>AVERAGE(F25:F26)</f>
        <v>2.493840119294882</v>
      </c>
      <c r="J26" s="29">
        <f>AVERAGE(G25:G26)</f>
        <v>8.6802262083333331E-2</v>
      </c>
      <c r="L26">
        <f>+J26/I26</f>
        <v>3.4806666799424228E-2</v>
      </c>
      <c r="M26">
        <f>+(L26-$L$619)/$L$620</f>
        <v>2.8216103088370605E-2</v>
      </c>
      <c r="N26">
        <f>+N24+M26</f>
        <v>-1.4776278672561971</v>
      </c>
      <c r="Z26">
        <f>+(I26-$F$619)/$F$620</f>
        <v>-0.65292610206214563</v>
      </c>
      <c r="AA26">
        <f>+AA24+Z26</f>
        <v>-3.5095071315496114</v>
      </c>
    </row>
    <row r="27" spans="1:27">
      <c r="A27" s="8">
        <v>2</v>
      </c>
      <c r="B27" s="73">
        <v>36818</v>
      </c>
      <c r="C27" s="12">
        <v>2000</v>
      </c>
      <c r="D27" s="16" t="s">
        <v>14</v>
      </c>
      <c r="E27" s="12">
        <v>10</v>
      </c>
      <c r="F27" s="17">
        <v>0.78369689681136157</v>
      </c>
      <c r="G27" s="15">
        <v>0</v>
      </c>
    </row>
    <row r="28" spans="1:27">
      <c r="A28" s="8">
        <v>16</v>
      </c>
      <c r="B28" s="73">
        <v>36818</v>
      </c>
      <c r="C28" s="12">
        <v>2000</v>
      </c>
      <c r="D28" s="16" t="s">
        <v>14</v>
      </c>
      <c r="E28" s="12">
        <v>10</v>
      </c>
      <c r="F28" s="17">
        <v>1.3435023165554583</v>
      </c>
      <c r="G28" s="15">
        <v>1.0305116666666664E-2</v>
      </c>
      <c r="I28" s="29">
        <f>AVERAGE(F27:F28)</f>
        <v>1.0635996066834099</v>
      </c>
      <c r="J28" s="29">
        <f>AVERAGE(G27:G28)</f>
        <v>5.1525583333333321E-3</v>
      </c>
      <c r="L28">
        <f>+J28/I28</f>
        <v>4.8444530262665257E-3</v>
      </c>
      <c r="M28">
        <f>+(L28-$L$619)/$L$620</f>
        <v>-0.62035814158837388</v>
      </c>
      <c r="N28">
        <f>+N26+M28</f>
        <v>-2.097986008844571</v>
      </c>
      <c r="Z28">
        <f>+(I28-$F$619)/$F$620</f>
        <v>-0.94174976634279006</v>
      </c>
      <c r="AA28">
        <f>+AA26+Z28</f>
        <v>-4.4512568978924012</v>
      </c>
    </row>
    <row r="29" spans="1:27">
      <c r="A29" s="8">
        <v>2</v>
      </c>
      <c r="B29" s="73">
        <v>36845</v>
      </c>
      <c r="C29" s="12">
        <v>2000</v>
      </c>
      <c r="D29" s="16" t="s">
        <v>16</v>
      </c>
      <c r="E29" s="12">
        <v>11</v>
      </c>
      <c r="F29" s="17">
        <v>0.70124637049035787</v>
      </c>
      <c r="G29" s="15">
        <v>0</v>
      </c>
    </row>
    <row r="30" spans="1:27">
      <c r="A30" s="8">
        <v>16</v>
      </c>
      <c r="B30" s="73">
        <v>36848</v>
      </c>
      <c r="C30" s="12">
        <v>2000</v>
      </c>
      <c r="D30" s="16" t="s">
        <v>16</v>
      </c>
      <c r="E30" s="12">
        <v>11</v>
      </c>
      <c r="F30" s="17">
        <v>0.33552353038791721</v>
      </c>
      <c r="G30" s="15">
        <v>0</v>
      </c>
      <c r="I30" s="29">
        <f>AVERAGE(F29:F30)</f>
        <v>0.51838495043913757</v>
      </c>
      <c r="J30" s="29">
        <f>AVERAGE(G29:G30)</f>
        <v>0</v>
      </c>
      <c r="L30">
        <f>+J30/I30</f>
        <v>0</v>
      </c>
      <c r="M30">
        <f>+(L30-$L$619)/$L$620</f>
        <v>-0.72522313875348976</v>
      </c>
      <c r="N30">
        <f>+N28+M30</f>
        <v>-2.8232091475980607</v>
      </c>
      <c r="Z30">
        <f>+(I30-$F$619)/$F$620</f>
        <v>-1.0518507552655951</v>
      </c>
      <c r="AA30">
        <f>+AA28+Z30</f>
        <v>-5.5031076531579961</v>
      </c>
    </row>
    <row r="31" spans="1:27">
      <c r="A31" s="8">
        <v>2</v>
      </c>
      <c r="B31" s="73">
        <v>36875</v>
      </c>
      <c r="C31" s="12">
        <v>2000</v>
      </c>
      <c r="D31" s="16" t="s">
        <v>17</v>
      </c>
      <c r="E31" s="12">
        <v>12</v>
      </c>
      <c r="F31" s="17">
        <v>2.9105063210533353</v>
      </c>
      <c r="G31" s="15">
        <v>2.1789503500000001E-2</v>
      </c>
    </row>
    <row r="32" spans="1:27">
      <c r="A32" s="8">
        <v>16</v>
      </c>
      <c r="B32" s="73">
        <v>36871</v>
      </c>
      <c r="C32" s="12">
        <v>2000</v>
      </c>
      <c r="D32" s="16" t="s">
        <v>17</v>
      </c>
      <c r="E32" s="12">
        <v>12</v>
      </c>
      <c r="F32" s="17">
        <v>1.7729309077984674</v>
      </c>
      <c r="G32" s="15">
        <v>1.6581488333333335E-2</v>
      </c>
      <c r="I32" s="29">
        <f>AVERAGE(F31:F32)</f>
        <v>2.3417186144259015</v>
      </c>
      <c r="J32" s="29">
        <f>AVERAGE(G31:G32)</f>
        <v>1.918549591666667E-2</v>
      </c>
      <c r="L32">
        <f>+J32/I32</f>
        <v>8.1929125892737584E-3</v>
      </c>
      <c r="M32">
        <f>+(L32-$L$619)/$L$620</f>
        <v>-0.54787602633647536</v>
      </c>
      <c r="N32">
        <f>+N30+M32</f>
        <v>-3.371085173934536</v>
      </c>
      <c r="Z32">
        <f>+(I32-$F$619)/$F$620</f>
        <v>-0.68364561396572177</v>
      </c>
      <c r="AA32">
        <f>+AA30+Z32</f>
        <v>-6.1867532671237182</v>
      </c>
    </row>
    <row r="33" spans="1:27">
      <c r="A33" s="8">
        <v>2</v>
      </c>
      <c r="B33" s="73">
        <v>36901</v>
      </c>
      <c r="C33" s="12">
        <v>2001</v>
      </c>
      <c r="D33" s="16" t="s">
        <v>18</v>
      </c>
      <c r="E33" s="12">
        <v>1</v>
      </c>
      <c r="F33" s="17">
        <v>3.3393668982479086</v>
      </c>
      <c r="G33" s="15">
        <v>1.5185737333333333E-2</v>
      </c>
    </row>
    <row r="34" spans="1:27">
      <c r="A34" s="8">
        <v>16</v>
      </c>
      <c r="B34" s="73">
        <v>36901</v>
      </c>
      <c r="C34" s="12">
        <v>2001</v>
      </c>
      <c r="D34" s="16" t="s">
        <v>18</v>
      </c>
      <c r="E34" s="12">
        <v>1</v>
      </c>
      <c r="F34" s="17">
        <v>5.8894314886091754</v>
      </c>
      <c r="G34" s="15">
        <v>5.1334418333333333E-2</v>
      </c>
      <c r="I34" s="29">
        <f>AVERAGE(F33:F34)</f>
        <v>4.6143991934285422</v>
      </c>
      <c r="J34" s="29">
        <f>AVERAGE(G33:G34)</f>
        <v>3.3260077833333332E-2</v>
      </c>
      <c r="L34">
        <f>+J34/I34</f>
        <v>7.207889139868885E-3</v>
      </c>
      <c r="M34">
        <f>+(L34-$L$619)/$L$620</f>
        <v>-0.56919824386430651</v>
      </c>
      <c r="N34">
        <f>+N32+M34</f>
        <v>-3.9402834177988426</v>
      </c>
      <c r="Z34">
        <f>+(I34-$F$619)/$F$620</f>
        <v>-0.22469907540873932</v>
      </c>
      <c r="AA34">
        <f>+AA32+Z34</f>
        <v>-6.4114523425324572</v>
      </c>
    </row>
    <row r="35" spans="1:27">
      <c r="A35" s="12">
        <v>2</v>
      </c>
      <c r="B35" s="73">
        <v>36928</v>
      </c>
      <c r="C35" s="12">
        <v>2001</v>
      </c>
      <c r="D35" s="11" t="s">
        <v>19</v>
      </c>
      <c r="E35" s="12">
        <v>2</v>
      </c>
      <c r="F35" s="17">
        <v>3.9397994994377648</v>
      </c>
      <c r="G35" s="15">
        <v>3.722128466666666E-2</v>
      </c>
    </row>
    <row r="36" spans="1:27">
      <c r="A36" s="12">
        <v>16</v>
      </c>
      <c r="B36" s="73">
        <v>36928</v>
      </c>
      <c r="C36" s="12">
        <v>2001</v>
      </c>
      <c r="D36" s="11" t="s">
        <v>19</v>
      </c>
      <c r="E36" s="12">
        <v>2</v>
      </c>
      <c r="F36" s="17">
        <v>2.9617176326205095</v>
      </c>
      <c r="G36" s="15">
        <v>4.3983244333333331E-2</v>
      </c>
      <c r="I36" s="29">
        <f>AVERAGE(F35:F36)</f>
        <v>3.4507585660291369</v>
      </c>
      <c r="J36" s="29">
        <f>AVERAGE(G35:G36)</f>
        <v>4.0602264499999999E-2</v>
      </c>
      <c r="L36">
        <f>+J36/I36</f>
        <v>1.1766185238140816E-2</v>
      </c>
      <c r="M36">
        <f>+(L36-$L$619)/$L$620</f>
        <v>-0.47052751574880858</v>
      </c>
      <c r="N36">
        <f>+N34+M36</f>
        <v>-4.4108109335476513</v>
      </c>
      <c r="Z36">
        <f>+(I36-$F$619)/$F$620</f>
        <v>-0.45968539200919978</v>
      </c>
      <c r="AA36">
        <f>+AA34+Z36</f>
        <v>-6.8711377345416569</v>
      </c>
    </row>
    <row r="37" spans="1:27">
      <c r="A37" s="8">
        <v>2</v>
      </c>
      <c r="B37" s="73">
        <v>36963</v>
      </c>
      <c r="C37" s="12">
        <v>2001</v>
      </c>
      <c r="D37" s="11" t="s">
        <v>20</v>
      </c>
      <c r="E37" s="12">
        <v>3</v>
      </c>
      <c r="F37" s="17">
        <v>1.7230646958731481</v>
      </c>
      <c r="G37" s="15">
        <v>0</v>
      </c>
    </row>
    <row r="38" spans="1:27">
      <c r="A38" s="8">
        <v>16</v>
      </c>
      <c r="B38" s="73">
        <v>36963</v>
      </c>
      <c r="C38" s="12">
        <v>2001</v>
      </c>
      <c r="D38" s="11" t="s">
        <v>20</v>
      </c>
      <c r="E38" s="12">
        <v>3</v>
      </c>
      <c r="F38" s="17">
        <v>2.1962590343929107</v>
      </c>
      <c r="G38" s="15">
        <v>1.8334406499999997E-2</v>
      </c>
      <c r="I38" s="29">
        <f>AVERAGE(F37:F38)</f>
        <v>1.9596618651330293</v>
      </c>
      <c r="J38" s="29">
        <f>AVERAGE(G37:G38)</f>
        <v>9.1672032499999986E-3</v>
      </c>
      <c r="L38">
        <f>+J38/I38</f>
        <v>4.6779515451650091E-3</v>
      </c>
      <c r="M38">
        <f>+(L38-$L$619)/$L$620</f>
        <v>-0.62396230025170063</v>
      </c>
      <c r="N38">
        <f>+N36+M38</f>
        <v>-5.0347732337993518</v>
      </c>
      <c r="Z38">
        <f>+(I38-$F$619)/$F$620</f>
        <v>-0.76079839304092534</v>
      </c>
      <c r="AA38">
        <f>+AA36+Z38</f>
        <v>-7.6319361275825823</v>
      </c>
    </row>
    <row r="39" spans="1:27">
      <c r="A39" s="8">
        <v>2</v>
      </c>
      <c r="B39" s="73">
        <v>37000</v>
      </c>
      <c r="C39" s="12">
        <v>2001</v>
      </c>
      <c r="D39" s="16" t="s">
        <v>21</v>
      </c>
      <c r="E39" s="12">
        <v>4</v>
      </c>
      <c r="F39" s="17">
        <v>0.48624479623327538</v>
      </c>
      <c r="G39" s="15">
        <v>0</v>
      </c>
    </row>
    <row r="40" spans="1:27">
      <c r="A40" s="8">
        <v>16</v>
      </c>
      <c r="B40" s="73">
        <v>37000</v>
      </c>
      <c r="C40" s="12">
        <v>2001</v>
      </c>
      <c r="D40" s="16" t="s">
        <v>21</v>
      </c>
      <c r="E40" s="12">
        <v>4</v>
      </c>
      <c r="F40" s="17">
        <v>0.94233141158054823</v>
      </c>
      <c r="G40" s="15">
        <v>2.0470490500000001E-2</v>
      </c>
      <c r="I40" s="29">
        <f>AVERAGE(F39:F40)</f>
        <v>0.71428810390691178</v>
      </c>
      <c r="J40" s="29">
        <f>AVERAGE(G39:G40)</f>
        <v>1.023524525E-2</v>
      </c>
      <c r="L40">
        <f>+J40/I40</f>
        <v>1.4329295411776716E-2</v>
      </c>
      <c r="M40">
        <f>+(L40-$L$619)/$L$620</f>
        <v>-0.41504539224902737</v>
      </c>
      <c r="N40">
        <f>+N38+M40</f>
        <v>-5.449818626048379</v>
      </c>
      <c r="Z40">
        <f>+(I40-$F$619)/$F$620</f>
        <v>-1.0122899498417688</v>
      </c>
      <c r="AA40">
        <f>+AA38+Z40</f>
        <v>-8.6442260774243511</v>
      </c>
    </row>
    <row r="41" spans="1:27">
      <c r="A41" s="8">
        <v>2</v>
      </c>
      <c r="B41" s="73">
        <v>37028</v>
      </c>
      <c r="C41" s="12">
        <v>2001</v>
      </c>
      <c r="D41" s="16" t="s">
        <v>22</v>
      </c>
      <c r="E41" s="12">
        <v>5</v>
      </c>
      <c r="F41" s="17">
        <v>0.71340617095896919</v>
      </c>
      <c r="G41" s="15">
        <v>0</v>
      </c>
    </row>
    <row r="42" spans="1:27">
      <c r="A42" s="8">
        <v>16</v>
      </c>
      <c r="B42" s="73">
        <v>37027</v>
      </c>
      <c r="C42" s="12">
        <v>2001</v>
      </c>
      <c r="D42" s="16" t="s">
        <v>22</v>
      </c>
      <c r="E42" s="12">
        <v>5</v>
      </c>
      <c r="F42" s="17">
        <v>1.9656313095361935</v>
      </c>
      <c r="G42" s="15">
        <v>2.4416102666666668E-2</v>
      </c>
      <c r="I42" s="29">
        <f>AVERAGE(F41:F42)</f>
        <v>1.3395187402475814</v>
      </c>
      <c r="J42" s="29">
        <f>AVERAGE(G41:G42)</f>
        <v>1.2208051333333334E-2</v>
      </c>
      <c r="L42">
        <f>+J42/I42</f>
        <v>9.1137592678075825E-3</v>
      </c>
      <c r="M42">
        <f>+(L42-$L$619)/$L$620</f>
        <v>-0.52794300524815341</v>
      </c>
      <c r="N42">
        <f>+N40+M42</f>
        <v>-5.9777616312965325</v>
      </c>
      <c r="Z42">
        <f>+(I42-$F$619)/$F$620</f>
        <v>-0.88603048381761862</v>
      </c>
      <c r="AA42">
        <f>+AA40+Z42</f>
        <v>-9.5302565612419698</v>
      </c>
    </row>
    <row r="43" spans="1:27">
      <c r="A43" s="8">
        <v>2</v>
      </c>
      <c r="B43" s="73">
        <v>37058</v>
      </c>
      <c r="C43" s="12">
        <v>2001</v>
      </c>
      <c r="D43" s="16" t="s">
        <v>23</v>
      </c>
      <c r="E43" s="12">
        <v>6</v>
      </c>
      <c r="F43" s="17">
        <v>12.295525135357376</v>
      </c>
      <c r="G43" s="15">
        <v>0.30074880199999998</v>
      </c>
    </row>
    <row r="44" spans="1:27">
      <c r="A44" s="8">
        <v>16</v>
      </c>
      <c r="B44" s="73">
        <v>37056</v>
      </c>
      <c r="C44" s="12">
        <v>2001</v>
      </c>
      <c r="D44" s="16" t="s">
        <v>23</v>
      </c>
      <c r="E44" s="12">
        <v>6</v>
      </c>
      <c r="F44" s="17">
        <v>17.841725850658584</v>
      </c>
      <c r="G44" s="15">
        <v>0.29544895283333333</v>
      </c>
      <c r="I44" s="29">
        <f>AVERAGE(F43:F44)</f>
        <v>15.06862549300798</v>
      </c>
      <c r="J44" s="29">
        <f>AVERAGE(G43:G44)</f>
        <v>0.29809887741666663</v>
      </c>
      <c r="L44">
        <f>+J44/I44</f>
        <v>1.9782751754961858E-2</v>
      </c>
      <c r="M44">
        <f>+(L44-$L$619)/$L$620</f>
        <v>-0.29699766201663791</v>
      </c>
      <c r="N44">
        <f>+N42+M44</f>
        <v>-6.2747592933131706</v>
      </c>
      <c r="Z44">
        <f>+(I44-$F$619)/$F$620</f>
        <v>1.8864339266556827</v>
      </c>
      <c r="AA44">
        <f>+AA42+Z44</f>
        <v>-7.6438226345862876</v>
      </c>
    </row>
    <row r="45" spans="1:27">
      <c r="A45" s="8">
        <v>2</v>
      </c>
      <c r="B45" s="73">
        <v>37089</v>
      </c>
      <c r="C45" s="12">
        <v>2001</v>
      </c>
      <c r="D45" s="16" t="s">
        <v>24</v>
      </c>
      <c r="E45" s="12">
        <v>7</v>
      </c>
      <c r="F45" s="17">
        <v>7.5105065548637011</v>
      </c>
      <c r="G45" s="15">
        <v>0.62690867983333332</v>
      </c>
    </row>
    <row r="46" spans="1:27">
      <c r="A46" s="8">
        <v>16</v>
      </c>
      <c r="B46" s="73">
        <v>37089</v>
      </c>
      <c r="C46" s="12">
        <v>2001</v>
      </c>
      <c r="D46" s="16" t="s">
        <v>24</v>
      </c>
      <c r="E46" s="12">
        <v>7</v>
      </c>
      <c r="F46" s="17">
        <v>6.8793581967375523</v>
      </c>
      <c r="G46" s="15">
        <v>1.2447645820000002</v>
      </c>
      <c r="I46" s="29">
        <f>AVERAGE(F45:F46)</f>
        <v>7.1949323758006267</v>
      </c>
      <c r="J46" s="29">
        <f>AVERAGE(G45:G46)</f>
        <v>0.9358366309166668</v>
      </c>
      <c r="L46">
        <f>+J46/I46</f>
        <v>0.13006885708394586</v>
      </c>
      <c r="M46">
        <f>+(L46-$L$619)/$L$620</f>
        <v>2.0903001526116736</v>
      </c>
      <c r="N46">
        <f>+N44+M46</f>
        <v>-4.184459140701497</v>
      </c>
      <c r="Z46">
        <f>+(I46-$F$619)/$F$620</f>
        <v>0.2964154105525218</v>
      </c>
      <c r="AA46">
        <f>+AA44+Z46</f>
        <v>-7.3474072240337662</v>
      </c>
    </row>
    <row r="47" spans="1:27">
      <c r="A47" s="8">
        <v>2</v>
      </c>
      <c r="B47" s="73">
        <v>37119</v>
      </c>
      <c r="C47" s="12">
        <v>2001</v>
      </c>
      <c r="D47" s="16" t="s">
        <v>25</v>
      </c>
      <c r="E47" s="12">
        <v>8</v>
      </c>
      <c r="F47" s="17">
        <v>2.8484052173891512</v>
      </c>
      <c r="G47" s="15">
        <v>6.9240529666666675E-2</v>
      </c>
    </row>
    <row r="48" spans="1:27">
      <c r="A48" s="8">
        <v>16</v>
      </c>
      <c r="B48" s="73">
        <v>37119</v>
      </c>
      <c r="C48" s="12">
        <v>2001</v>
      </c>
      <c r="D48" s="16" t="s">
        <v>25</v>
      </c>
      <c r="E48" s="12">
        <v>8</v>
      </c>
      <c r="F48" s="17">
        <v>2.349127100454246</v>
      </c>
      <c r="G48" s="15">
        <v>0.16268959200000002</v>
      </c>
      <c r="I48" s="29">
        <f>AVERAGE(F47:F48)</f>
        <v>2.5987661589216984</v>
      </c>
      <c r="J48" s="29">
        <f>AVERAGE(G47:G48)</f>
        <v>0.11596506083333336</v>
      </c>
      <c r="L48">
        <f>+J48/I48</f>
        <v>4.46231225673073E-2</v>
      </c>
      <c r="M48">
        <f>+(L48-$L$619)/$L$620</f>
        <v>0.24070709034516605</v>
      </c>
      <c r="N48">
        <f>+N46+M48</f>
        <v>-3.943752050356331</v>
      </c>
      <c r="Z48">
        <f>+(I48-$F$619)/$F$620</f>
        <v>-0.63173727194843343</v>
      </c>
      <c r="AA48">
        <f>+AA46+Z48</f>
        <v>-7.9791444959822</v>
      </c>
    </row>
    <row r="49" spans="1:27">
      <c r="A49" s="8">
        <v>2</v>
      </c>
      <c r="B49" s="73">
        <v>37152</v>
      </c>
      <c r="C49" s="12">
        <v>2001</v>
      </c>
      <c r="D49" s="16" t="s">
        <v>26</v>
      </c>
      <c r="E49" s="12">
        <v>9</v>
      </c>
      <c r="F49" s="17">
        <v>1.1426911228841896</v>
      </c>
      <c r="G49" s="15">
        <v>1.8718620666666668E-2</v>
      </c>
    </row>
    <row r="50" spans="1:27">
      <c r="A50" s="8">
        <v>16</v>
      </c>
      <c r="B50" s="73">
        <v>37152</v>
      </c>
      <c r="C50" s="12">
        <v>2001</v>
      </c>
      <c r="D50" s="16" t="s">
        <v>26</v>
      </c>
      <c r="E50" s="12">
        <v>9</v>
      </c>
      <c r="F50" s="17">
        <v>3.559456607124281</v>
      </c>
      <c r="G50" s="15">
        <v>5.3373480500000001E-2</v>
      </c>
      <c r="I50" s="29">
        <f>AVERAGE(F49:F50)</f>
        <v>2.3510738650042353</v>
      </c>
      <c r="J50" s="29">
        <f>AVERAGE(G49:G50)</f>
        <v>3.6046050583333336E-2</v>
      </c>
      <c r="L50">
        <f>+J50/I50</f>
        <v>1.5331738878934967E-2</v>
      </c>
      <c r="M50">
        <f>+(L50-$L$619)/$L$620</f>
        <v>-0.39334609394398157</v>
      </c>
      <c r="N50">
        <f>+N48+M50</f>
        <v>-4.3370981443003123</v>
      </c>
      <c r="Z50">
        <f>+(I50-$F$619)/$F$620</f>
        <v>-0.6817564088086363</v>
      </c>
      <c r="AA50">
        <f>+AA48+Z50</f>
        <v>-8.6609009047908359</v>
      </c>
    </row>
    <row r="51" spans="1:27">
      <c r="A51" s="8">
        <v>2</v>
      </c>
      <c r="B51" s="73">
        <v>37181</v>
      </c>
      <c r="C51" s="12">
        <v>2001</v>
      </c>
      <c r="D51" s="16" t="s">
        <v>14</v>
      </c>
      <c r="E51" s="12">
        <v>10</v>
      </c>
      <c r="F51" s="13">
        <v>0.88883623176181215</v>
      </c>
      <c r="G51" s="14">
        <v>1.068119441348549E-2</v>
      </c>
    </row>
    <row r="52" spans="1:27">
      <c r="A52" s="8">
        <v>16</v>
      </c>
      <c r="B52" s="73">
        <v>37181</v>
      </c>
      <c r="C52" s="12">
        <v>2001</v>
      </c>
      <c r="D52" s="16" t="s">
        <v>14</v>
      </c>
      <c r="E52" s="12">
        <v>10</v>
      </c>
      <c r="F52" s="13">
        <v>1.3553329324301133</v>
      </c>
      <c r="G52" s="14">
        <v>1.9280572716094277E-2</v>
      </c>
      <c r="I52" s="29">
        <f>AVERAGE(F51:F52)</f>
        <v>1.1220845820959626</v>
      </c>
      <c r="J52" s="29">
        <f>AVERAGE(G51:G52)</f>
        <v>1.4980883564789884E-2</v>
      </c>
      <c r="L52">
        <f>+J52/I52</f>
        <v>1.3350939674090177E-2</v>
      </c>
      <c r="M52">
        <f>+(L52-$L$619)/$L$620</f>
        <v>-0.43622327778176018</v>
      </c>
      <c r="N52">
        <f>+N50+M52</f>
        <v>-4.7733214220820726</v>
      </c>
      <c r="Z52">
        <f>+(I52-$F$619)/$F$620</f>
        <v>-0.92993927380320029</v>
      </c>
      <c r="AA52">
        <f>+AA50+Z52</f>
        <v>-9.5908401785940356</v>
      </c>
    </row>
    <row r="53" spans="1:27">
      <c r="A53" s="8">
        <v>2</v>
      </c>
      <c r="B53" s="73">
        <v>37203</v>
      </c>
      <c r="C53" s="12">
        <v>2001</v>
      </c>
      <c r="D53" s="16" t="s">
        <v>16</v>
      </c>
      <c r="E53" s="12">
        <v>11</v>
      </c>
      <c r="F53" s="13">
        <v>0.9134465601340287</v>
      </c>
      <c r="G53" s="14">
        <v>1.1237837137846197E-2</v>
      </c>
    </row>
    <row r="54" spans="1:27">
      <c r="A54" s="8">
        <v>16</v>
      </c>
      <c r="B54" s="73">
        <v>37203</v>
      </c>
      <c r="C54" s="12">
        <v>2001</v>
      </c>
      <c r="D54" s="16" t="s">
        <v>16</v>
      </c>
      <c r="E54" s="12">
        <v>11</v>
      </c>
      <c r="F54" s="13">
        <v>1.2287094678118828</v>
      </c>
      <c r="G54" s="14">
        <v>1.1371638052323519E-2</v>
      </c>
      <c r="I54" s="29">
        <f>AVERAGE(F53:F54)</f>
        <v>1.0710780139729557</v>
      </c>
      <c r="J54" s="29">
        <f>AVERAGE(G53:G54)</f>
        <v>1.1304737595084859E-2</v>
      </c>
      <c r="L54">
        <f>+J54/I54</f>
        <v>1.0554541730487149E-2</v>
      </c>
      <c r="M54">
        <f>+(L54-$L$619)/$L$620</f>
        <v>-0.49675524307041158</v>
      </c>
      <c r="N54">
        <f>+N52+M54</f>
        <v>-5.2700766651524837</v>
      </c>
      <c r="Z54">
        <f>+(I54-$F$619)/$F$620</f>
        <v>-0.94023957209412778</v>
      </c>
      <c r="AA54">
        <f>+AA52+Z54</f>
        <v>-10.531079750688164</v>
      </c>
    </row>
    <row r="55" spans="1:27">
      <c r="A55" s="8">
        <v>2</v>
      </c>
      <c r="B55" s="73">
        <v>37228</v>
      </c>
      <c r="C55" s="12">
        <v>2001</v>
      </c>
      <c r="D55" s="16" t="s">
        <v>17</v>
      </c>
      <c r="E55" s="12">
        <v>12</v>
      </c>
      <c r="F55" s="13">
        <v>2.6464825212013325</v>
      </c>
      <c r="G55" s="14">
        <v>2.2985246051573968E-2</v>
      </c>
    </row>
    <row r="56" spans="1:27">
      <c r="A56" s="8">
        <v>16</v>
      </c>
      <c r="B56" s="73">
        <v>37228</v>
      </c>
      <c r="C56" s="12">
        <v>2001</v>
      </c>
      <c r="D56" s="16" t="s">
        <v>17</v>
      </c>
      <c r="E56" s="12">
        <v>12</v>
      </c>
      <c r="F56" s="13">
        <v>0.65546728590943959</v>
      </c>
      <c r="G56" s="14">
        <v>0</v>
      </c>
      <c r="I56" s="29">
        <f>AVERAGE(F55:F56)</f>
        <v>1.650974903555386</v>
      </c>
      <c r="J56" s="29">
        <f>AVERAGE(G55:G56)</f>
        <v>1.1492623025786984E-2</v>
      </c>
      <c r="L56">
        <f>+J56/I56</f>
        <v>6.9611130981079962E-3</v>
      </c>
      <c r="M56">
        <f>+(L56-$L$619)/$L$620</f>
        <v>-0.57454005826097077</v>
      </c>
      <c r="N56">
        <f>+N54+M56</f>
        <v>-5.8446167234134547</v>
      </c>
      <c r="Z56">
        <f>+(I56-$F$619)/$F$620</f>
        <v>-0.82313483126397891</v>
      </c>
      <c r="AA56">
        <f>+AA54+Z56</f>
        <v>-11.354214581952142</v>
      </c>
    </row>
    <row r="57" spans="1:27">
      <c r="A57" s="8">
        <v>2</v>
      </c>
      <c r="B57" s="73">
        <v>37270</v>
      </c>
      <c r="C57" s="12">
        <v>2002</v>
      </c>
      <c r="D57" s="16" t="s">
        <v>18</v>
      </c>
      <c r="E57" s="12">
        <v>1</v>
      </c>
      <c r="F57" s="13">
        <v>2.5862509295428344</v>
      </c>
      <c r="G57" s="14">
        <v>2.9443650230871234E-2</v>
      </c>
    </row>
    <row r="58" spans="1:27">
      <c r="A58" s="8">
        <v>16</v>
      </c>
      <c r="B58" s="73">
        <v>37270</v>
      </c>
      <c r="C58" s="12">
        <v>2002</v>
      </c>
      <c r="D58" s="16" t="s">
        <v>18</v>
      </c>
      <c r="E58" s="12">
        <v>1</v>
      </c>
      <c r="F58" s="13">
        <v>2.4329208174935348</v>
      </c>
      <c r="G58" s="14">
        <v>3.0110671679812153E-2</v>
      </c>
      <c r="I58" s="29">
        <f>AVERAGE(F57:F58)</f>
        <v>2.5095858735181844</v>
      </c>
      <c r="J58" s="29">
        <f>AVERAGE(G57:G58)</f>
        <v>2.9777160955341692E-2</v>
      </c>
      <c r="L58">
        <f>+J58/I58</f>
        <v>1.1865368413792168E-2</v>
      </c>
      <c r="M58">
        <f>+(L58-$L$619)/$L$620</f>
        <v>-0.46838055645802529</v>
      </c>
      <c r="N58">
        <f>+N56+M58</f>
        <v>-6.31299727987148</v>
      </c>
      <c r="Z58">
        <f>+(I58-$F$619)/$F$620</f>
        <v>-0.64974639459928485</v>
      </c>
      <c r="AA58">
        <f>+AA56+Z58</f>
        <v>-12.003960976551427</v>
      </c>
    </row>
    <row r="59" spans="1:27">
      <c r="A59" s="8">
        <v>2</v>
      </c>
      <c r="B59" s="73">
        <v>37300</v>
      </c>
      <c r="C59" s="12">
        <v>2002</v>
      </c>
      <c r="D59" s="11" t="s">
        <v>19</v>
      </c>
      <c r="E59" s="12">
        <v>2</v>
      </c>
      <c r="F59" s="13">
        <v>3.8015700259641796</v>
      </c>
      <c r="G59" s="14">
        <v>3.5730959298625159E-2</v>
      </c>
    </row>
    <row r="60" spans="1:27">
      <c r="A60" s="8">
        <v>16</v>
      </c>
      <c r="B60" s="73">
        <v>37300</v>
      </c>
      <c r="C60" s="12">
        <v>2002</v>
      </c>
      <c r="D60" s="11" t="s">
        <v>19</v>
      </c>
      <c r="E60" s="12">
        <v>2</v>
      </c>
      <c r="F60" s="13">
        <v>1.8488222946788944</v>
      </c>
      <c r="G60" s="13">
        <v>2.0588270850320622E-2</v>
      </c>
      <c r="I60" s="29">
        <f>AVERAGE(F59:F60)</f>
        <v>2.825196160321537</v>
      </c>
      <c r="J60" s="29">
        <f>AVERAGE(G59:G60)</f>
        <v>2.8159615074472892E-2</v>
      </c>
      <c r="L60">
        <f>+J60/I60</f>
        <v>9.9673132329572579E-3</v>
      </c>
      <c r="M60">
        <f>+(L60-$L$619)/$L$620</f>
        <v>-0.50946662955612299</v>
      </c>
      <c r="N60">
        <f>+N58+M60</f>
        <v>-6.8224639094276025</v>
      </c>
      <c r="Z60">
        <f>+(I60-$F$619)/$F$620</f>
        <v>-0.5860118557469568</v>
      </c>
      <c r="AA60">
        <f>+AA58+Z60</f>
        <v>-12.589972832298384</v>
      </c>
    </row>
    <row r="61" spans="1:27">
      <c r="A61" s="8">
        <v>2</v>
      </c>
      <c r="B61" s="71">
        <v>37334</v>
      </c>
      <c r="C61" s="12">
        <v>2002</v>
      </c>
      <c r="D61" s="11" t="s">
        <v>20</v>
      </c>
      <c r="E61" s="12">
        <v>3</v>
      </c>
      <c r="F61" s="13">
        <v>2.5102946580494283</v>
      </c>
      <c r="G61" s="13">
        <v>1.6602869883041417E-2</v>
      </c>
    </row>
    <row r="62" spans="1:27">
      <c r="A62" s="8">
        <v>16</v>
      </c>
      <c r="B62" s="71">
        <v>37334</v>
      </c>
      <c r="C62" s="12">
        <v>2002</v>
      </c>
      <c r="D62" s="11" t="s">
        <v>20</v>
      </c>
      <c r="E62" s="12">
        <v>3</v>
      </c>
      <c r="F62" s="13">
        <v>2.2858305706399227</v>
      </c>
      <c r="G62" s="21"/>
      <c r="I62" s="29">
        <f>AVERAGE(F61:F62)</f>
        <v>2.3980626143446755</v>
      </c>
      <c r="J62" s="29">
        <f>AVERAGE(G61:G62)</f>
        <v>1.6602869883041417E-2</v>
      </c>
      <c r="L62">
        <f>+J62/I62</f>
        <v>6.9234513660013522E-3</v>
      </c>
      <c r="M62">
        <f>+(L62-$L$619)/$L$620</f>
        <v>-0.57535529940567443</v>
      </c>
      <c r="N62">
        <f>+N60+M62</f>
        <v>-7.397819208833277</v>
      </c>
      <c r="Z62">
        <f>+(I62-$F$619)/$F$620</f>
        <v>-0.67226747135734677</v>
      </c>
      <c r="AA62">
        <f>+AA60+Z62</f>
        <v>-13.262240303655732</v>
      </c>
    </row>
    <row r="63" spans="1:27">
      <c r="A63" s="8">
        <v>2</v>
      </c>
      <c r="B63" s="71">
        <v>37361</v>
      </c>
      <c r="C63" s="12">
        <v>2002</v>
      </c>
      <c r="D63" s="16" t="s">
        <v>21</v>
      </c>
      <c r="E63" s="12">
        <v>4</v>
      </c>
      <c r="F63" s="13">
        <v>2.1580438395184895</v>
      </c>
      <c r="G63" s="13">
        <v>1.6938593859584839E-2</v>
      </c>
    </row>
    <row r="64" spans="1:27">
      <c r="A64" s="8">
        <v>16</v>
      </c>
      <c r="B64" s="71">
        <v>37361</v>
      </c>
      <c r="C64" s="12">
        <v>2002</v>
      </c>
      <c r="D64" s="16" t="s">
        <v>21</v>
      </c>
      <c r="E64" s="12">
        <v>4</v>
      </c>
      <c r="F64" s="13">
        <v>1.774534540696767</v>
      </c>
      <c r="G64" s="13">
        <v>2.2219712879560968E-2</v>
      </c>
      <c r="I64" s="29">
        <f>AVERAGE(F63:F64)</f>
        <v>1.9662891901076283</v>
      </c>
      <c r="J64" s="29">
        <f>AVERAGE(G63:G64)</f>
        <v>1.9579153369572902E-2</v>
      </c>
      <c r="L64">
        <f>+J64/I64</f>
        <v>9.9574129116283255E-3</v>
      </c>
      <c r="M64">
        <f>+(L64-$L$619)/$L$620</f>
        <v>-0.50968093593136543</v>
      </c>
      <c r="N64">
        <f>+N62+M64</f>
        <v>-7.9075001447646427</v>
      </c>
      <c r="Z64">
        <f>+(I64-$F$619)/$F$620</f>
        <v>-0.75946006688762169</v>
      </c>
      <c r="AA64">
        <f>+AA62+Z64</f>
        <v>-14.021700370543353</v>
      </c>
    </row>
    <row r="65" spans="1:27">
      <c r="A65" s="8">
        <v>2</v>
      </c>
      <c r="B65" s="71">
        <v>37389</v>
      </c>
      <c r="C65" s="12">
        <v>2002</v>
      </c>
      <c r="D65" s="16" t="s">
        <v>22</v>
      </c>
      <c r="E65" s="12">
        <v>5</v>
      </c>
      <c r="F65" s="13">
        <v>3.4447134973659104</v>
      </c>
      <c r="G65" s="21"/>
    </row>
    <row r="66" spans="1:27">
      <c r="A66" s="8">
        <v>16</v>
      </c>
      <c r="B66" s="71">
        <v>37389</v>
      </c>
      <c r="C66" s="12">
        <v>2002</v>
      </c>
      <c r="D66" s="16" t="s">
        <v>22</v>
      </c>
      <c r="E66" s="12">
        <v>5</v>
      </c>
      <c r="F66" s="13">
        <v>8.881687495300195</v>
      </c>
      <c r="G66" s="21"/>
      <c r="I66" s="29">
        <f>AVERAGE(F65:F66)</f>
        <v>6.1632004963330527</v>
      </c>
      <c r="J66" s="29" t="e">
        <f>AVERAGE(G65:G66)</f>
        <v>#DIV/0!</v>
      </c>
      <c r="Z66">
        <f>+(I66-$F$619)/$F$620</f>
        <v>8.8066829068919175E-2</v>
      </c>
      <c r="AA66">
        <f>+AA64+Z66</f>
        <v>-13.933633541474434</v>
      </c>
    </row>
    <row r="67" spans="1:27">
      <c r="A67" s="8">
        <v>2</v>
      </c>
      <c r="B67" s="71">
        <v>37418</v>
      </c>
      <c r="C67" s="12">
        <v>2002</v>
      </c>
      <c r="D67" s="16" t="s">
        <v>23</v>
      </c>
      <c r="E67" s="12">
        <v>6</v>
      </c>
      <c r="F67" s="13">
        <v>10.009571909247931</v>
      </c>
      <c r="G67" s="21"/>
    </row>
    <row r="68" spans="1:27">
      <c r="A68" s="8">
        <v>16</v>
      </c>
      <c r="B68" s="71">
        <v>37418</v>
      </c>
      <c r="C68" s="12">
        <v>2002</v>
      </c>
      <c r="D68" s="16" t="s">
        <v>23</v>
      </c>
      <c r="E68" s="12">
        <v>6</v>
      </c>
      <c r="F68" s="13">
        <v>13.419695934897145</v>
      </c>
      <c r="G68" s="21"/>
      <c r="I68" s="29">
        <f>AVERAGE(F67:F68)</f>
        <v>11.714633922072538</v>
      </c>
      <c r="J68" s="29" t="e">
        <f>AVERAGE(G67:G68)</f>
        <v>#DIV/0!</v>
      </c>
      <c r="Z68">
        <f>+(I68-$F$619)/$F$620</f>
        <v>1.2091267696131234</v>
      </c>
      <c r="AA68">
        <f>+AA66+Z68</f>
        <v>-12.724506771861311</v>
      </c>
    </row>
    <row r="69" spans="1:27">
      <c r="A69" s="8">
        <v>2</v>
      </c>
      <c r="B69" s="71">
        <v>37455</v>
      </c>
      <c r="C69" s="12">
        <v>2002</v>
      </c>
      <c r="D69" s="16" t="s">
        <v>24</v>
      </c>
      <c r="E69" s="12">
        <v>7</v>
      </c>
      <c r="F69" s="13">
        <v>5.3211790943017867</v>
      </c>
      <c r="G69" s="21"/>
    </row>
    <row r="70" spans="1:27">
      <c r="A70" s="8">
        <v>16</v>
      </c>
      <c r="B70" s="71">
        <v>37455</v>
      </c>
      <c r="C70" s="12">
        <v>2002</v>
      </c>
      <c r="D70" s="16" t="s">
        <v>24</v>
      </c>
      <c r="E70" s="12">
        <v>7</v>
      </c>
      <c r="F70" s="13">
        <v>4.7489580401675386</v>
      </c>
      <c r="G70" s="21"/>
      <c r="I70" s="29">
        <f>AVERAGE(F69:F70)</f>
        <v>5.0350685672346627</v>
      </c>
      <c r="J70" s="29" t="e">
        <f>AVERAGE(G69:G70)</f>
        <v>#DIV/0!</v>
      </c>
      <c r="Z70">
        <f>+(I70-$F$619)/$F$620</f>
        <v>-0.13974883877232724</v>
      </c>
      <c r="AA70">
        <f>+AA68+Z70</f>
        <v>-12.864255610633638</v>
      </c>
    </row>
    <row r="71" spans="1:27">
      <c r="A71" s="8">
        <v>2</v>
      </c>
      <c r="B71" s="71">
        <v>37483</v>
      </c>
      <c r="C71" s="12">
        <v>2002</v>
      </c>
      <c r="D71" s="16" t="s">
        <v>25</v>
      </c>
      <c r="E71" s="12">
        <v>8</v>
      </c>
      <c r="F71" s="13">
        <v>8.9276388533360702</v>
      </c>
      <c r="G71" s="21"/>
    </row>
    <row r="72" spans="1:27">
      <c r="A72" s="8">
        <v>16</v>
      </c>
      <c r="B72" s="71">
        <v>37483</v>
      </c>
      <c r="C72" s="12">
        <v>2002</v>
      </c>
      <c r="D72" s="16" t="s">
        <v>25</v>
      </c>
      <c r="E72" s="12">
        <v>8</v>
      </c>
      <c r="F72" s="13">
        <v>6.9124704484348456</v>
      </c>
      <c r="G72" s="21"/>
      <c r="I72" s="29">
        <f>AVERAGE(F71:F72)</f>
        <v>7.9200546508854579</v>
      </c>
      <c r="J72" s="29" t="e">
        <f>AVERAGE(G71:G72)</f>
        <v>#DIV/0!</v>
      </c>
      <c r="Z72">
        <f>+(I72-$F$619)/$F$620</f>
        <v>0.44284705662519264</v>
      </c>
      <c r="AA72">
        <f>+AA70+Z72</f>
        <v>-12.421408554008446</v>
      </c>
    </row>
    <row r="73" spans="1:27">
      <c r="A73" s="8">
        <v>2</v>
      </c>
      <c r="B73" s="71">
        <v>37516</v>
      </c>
      <c r="C73" s="12">
        <v>2002</v>
      </c>
      <c r="D73" s="16" t="s">
        <v>26</v>
      </c>
      <c r="E73" s="12">
        <v>9</v>
      </c>
      <c r="F73" s="13">
        <v>3.173773117201462</v>
      </c>
      <c r="G73" s="21"/>
    </row>
    <row r="74" spans="1:27">
      <c r="A74" s="8">
        <v>16</v>
      </c>
      <c r="B74" s="71">
        <v>37516</v>
      </c>
      <c r="C74" s="12">
        <v>2002</v>
      </c>
      <c r="D74" s="16" t="s">
        <v>26</v>
      </c>
      <c r="E74" s="12">
        <v>9</v>
      </c>
      <c r="F74" s="13">
        <v>3.8178663332300089</v>
      </c>
      <c r="G74" s="21"/>
      <c r="I74" s="29">
        <f>AVERAGE(F73:F74)</f>
        <v>3.4958197252157355</v>
      </c>
      <c r="J74" s="29" t="e">
        <f>AVERAGE(G73:G74)</f>
        <v>#DIV/0!</v>
      </c>
      <c r="Z74">
        <f>+(I74-$F$619)/$F$620</f>
        <v>-0.45058571332002373</v>
      </c>
      <c r="AA74">
        <f>+AA72+Z74</f>
        <v>-12.87199426732847</v>
      </c>
    </row>
    <row r="75" spans="1:27">
      <c r="A75" s="8">
        <v>2</v>
      </c>
      <c r="B75" s="71">
        <v>37544</v>
      </c>
      <c r="C75" s="12">
        <v>2002</v>
      </c>
      <c r="D75" s="16" t="s">
        <v>14</v>
      </c>
      <c r="E75" s="12">
        <v>10</v>
      </c>
      <c r="F75" s="17">
        <v>0.59088981632737425</v>
      </c>
      <c r="G75" s="17">
        <v>4.791540442206743E-3</v>
      </c>
    </row>
    <row r="76" spans="1:27">
      <c r="A76" s="8">
        <v>16</v>
      </c>
      <c r="B76" s="71">
        <v>37544</v>
      </c>
      <c r="C76" s="12">
        <v>2002</v>
      </c>
      <c r="D76" s="16" t="s">
        <v>14</v>
      </c>
      <c r="E76" s="12">
        <v>10</v>
      </c>
      <c r="F76" s="17">
        <v>0.85666815903047522</v>
      </c>
      <c r="G76" s="17">
        <v>7.5313555753946451E-3</v>
      </c>
      <c r="I76" s="29">
        <f>AVERAGE(F75:F76)</f>
        <v>0.72377898767892468</v>
      </c>
      <c r="J76" s="29">
        <f>AVERAGE(G75:G76)</f>
        <v>6.1614480088006945E-3</v>
      </c>
      <c r="L76">
        <f>+J76/I76</f>
        <v>8.512885996538452E-3</v>
      </c>
      <c r="M76">
        <f>+(L76-$L$619)/$L$620</f>
        <v>-0.5409497520463139</v>
      </c>
      <c r="N76">
        <f>+N64+M76</f>
        <v>-8.4484498968109563</v>
      </c>
      <c r="Z76">
        <f>+(I76-$F$619)/$F$620</f>
        <v>-1.0103733548326614</v>
      </c>
      <c r="AA76">
        <f>+AA74+Z76</f>
        <v>-13.88236762216113</v>
      </c>
    </row>
    <row r="77" spans="1:27">
      <c r="A77" s="8">
        <v>2</v>
      </c>
      <c r="B77" s="71">
        <v>37575</v>
      </c>
      <c r="C77" s="12">
        <v>2002</v>
      </c>
      <c r="D77" s="16" t="s">
        <v>16</v>
      </c>
      <c r="E77" s="12">
        <v>11</v>
      </c>
      <c r="F77" s="17">
        <v>1.6548308255377724</v>
      </c>
      <c r="G77" s="17">
        <v>1.1887805018903486E-2</v>
      </c>
    </row>
    <row r="78" spans="1:27">
      <c r="A78" s="8">
        <v>16</v>
      </c>
      <c r="B78" s="71">
        <v>37575</v>
      </c>
      <c r="C78" s="12">
        <v>2002</v>
      </c>
      <c r="D78" s="16" t="s">
        <v>16</v>
      </c>
      <c r="E78" s="12">
        <v>11</v>
      </c>
      <c r="F78" s="17">
        <v>1.5187610701365515</v>
      </c>
      <c r="G78" s="17">
        <v>1.1062403183478833E-2</v>
      </c>
      <c r="I78" s="29">
        <f>AVERAGE(F77:F78)</f>
        <v>1.586795947837162</v>
      </c>
      <c r="J78" s="29">
        <f>AVERAGE(G77:G78)</f>
        <v>1.1475104101191159E-2</v>
      </c>
      <c r="L78">
        <f>+J78/I78</f>
        <v>7.2316192367594461E-3</v>
      </c>
      <c r="M78">
        <f>+(L78-$L$619)/$L$620</f>
        <v>-0.56868457255205218</v>
      </c>
      <c r="N78">
        <f>+N76+M78</f>
        <v>-9.0171344693630076</v>
      </c>
      <c r="Z78">
        <f>+(I78-$F$619)/$F$620</f>
        <v>-0.83609516975026399</v>
      </c>
      <c r="AA78">
        <f>+AA76+Z78</f>
        <v>-14.718462791911394</v>
      </c>
    </row>
    <row r="79" spans="1:27">
      <c r="A79" s="8">
        <v>2</v>
      </c>
      <c r="B79" s="71">
        <v>37609</v>
      </c>
      <c r="C79" s="12">
        <v>2002</v>
      </c>
      <c r="D79" s="16" t="s">
        <v>17</v>
      </c>
      <c r="E79" s="12">
        <v>12</v>
      </c>
      <c r="F79" s="17">
        <v>2.8975742868231502</v>
      </c>
      <c r="G79" s="17">
        <v>7.3420323127167163E-3</v>
      </c>
    </row>
    <row r="80" spans="1:27">
      <c r="A80" s="8">
        <v>16</v>
      </c>
      <c r="B80" s="71">
        <v>37609</v>
      </c>
      <c r="C80" s="12">
        <v>2002</v>
      </c>
      <c r="D80" s="16" t="s">
        <v>17</v>
      </c>
      <c r="E80" s="12">
        <v>12</v>
      </c>
      <c r="F80" s="17">
        <v>2.2313565544436207</v>
      </c>
      <c r="G80" s="17">
        <v>1.3937670776334541E-2</v>
      </c>
      <c r="I80" s="29">
        <f>AVERAGE(F79:F80)</f>
        <v>2.5644654206333852</v>
      </c>
      <c r="J80" s="29">
        <f>AVERAGE(G79:G80)</f>
        <v>1.0639851544525628E-2</v>
      </c>
      <c r="L80">
        <f>+J80/I80</f>
        <v>4.1489549669567159E-3</v>
      </c>
      <c r="M80">
        <f>+(L80-$L$619)/$L$620</f>
        <v>-0.63541317496828764</v>
      </c>
      <c r="N80">
        <f>+N78+M80</f>
        <v>-9.6525476443312961</v>
      </c>
      <c r="Z80">
        <f>+(I80-$F$619)/$F$620</f>
        <v>-0.63866398450664019</v>
      </c>
      <c r="AA80">
        <f>+AA78+Z80</f>
        <v>-15.357126776418035</v>
      </c>
    </row>
    <row r="81" spans="1:27">
      <c r="A81" s="8">
        <v>2</v>
      </c>
      <c r="B81" s="71">
        <v>37635</v>
      </c>
      <c r="C81" s="12">
        <v>2003</v>
      </c>
      <c r="D81" s="16" t="s">
        <v>18</v>
      </c>
      <c r="E81" s="12">
        <v>1</v>
      </c>
      <c r="F81" s="17">
        <v>7.3807167788437722</v>
      </c>
      <c r="G81" s="17">
        <v>4.831271317652161E-2</v>
      </c>
    </row>
    <row r="82" spans="1:27">
      <c r="A82" s="8">
        <v>16</v>
      </c>
      <c r="B82" s="71">
        <v>37635</v>
      </c>
      <c r="C82" s="12">
        <v>2003</v>
      </c>
      <c r="D82" s="16" t="s">
        <v>18</v>
      </c>
      <c r="E82" s="12">
        <v>1</v>
      </c>
      <c r="F82" s="17">
        <v>8.3268224592865661</v>
      </c>
      <c r="G82" s="17">
        <v>7.0156319650847399E-2</v>
      </c>
      <c r="I82" s="29">
        <f>AVERAGE(F81:F82)</f>
        <v>7.8537696190651687</v>
      </c>
      <c r="J82" s="29">
        <f>AVERAGE(G81:G82)</f>
        <v>5.9234516413684504E-2</v>
      </c>
      <c r="L82">
        <f>+J82/I82</f>
        <v>7.5421764689776027E-3</v>
      </c>
      <c r="M82">
        <f>+(L82-$L$619)/$L$620</f>
        <v>-0.56196212461013018</v>
      </c>
      <c r="N82">
        <f>+N80+M82</f>
        <v>-10.214509768941426</v>
      </c>
      <c r="Z82">
        <f>+(I82-$F$619)/$F$620</f>
        <v>0.4294614158126982</v>
      </c>
      <c r="AA82">
        <f>+AA80+Z82</f>
        <v>-14.927665360605337</v>
      </c>
    </row>
    <row r="83" spans="1:27">
      <c r="A83" s="8">
        <v>2</v>
      </c>
      <c r="B83" s="71">
        <v>37665</v>
      </c>
      <c r="C83" s="12">
        <v>2003</v>
      </c>
      <c r="D83" s="11" t="s">
        <v>19</v>
      </c>
      <c r="E83" s="12">
        <v>2</v>
      </c>
      <c r="F83" s="17">
        <v>7.0307100892642236</v>
      </c>
      <c r="G83" s="17">
        <v>7.6820003784483781E-2</v>
      </c>
    </row>
    <row r="84" spans="1:27">
      <c r="A84" s="8">
        <v>16</v>
      </c>
      <c r="B84" s="71">
        <v>37665</v>
      </c>
      <c r="C84" s="12">
        <v>2003</v>
      </c>
      <c r="D84" s="11" t="s">
        <v>19</v>
      </c>
      <c r="E84" s="12">
        <v>2</v>
      </c>
      <c r="F84" s="17">
        <v>5.7501164628940291</v>
      </c>
      <c r="G84" s="17">
        <v>8.4626537245197267E-2</v>
      </c>
      <c r="I84" s="29">
        <f>AVERAGE(F83:F84)</f>
        <v>6.3904132760791263</v>
      </c>
      <c r="J84" s="29">
        <f>AVERAGE(G83:G84)</f>
        <v>8.0723270514840517E-2</v>
      </c>
      <c r="L84">
        <f>+J84/I84</f>
        <v>1.2631932713492472E-2</v>
      </c>
      <c r="M84">
        <f>+(L84-$L$619)/$L$620</f>
        <v>-0.45178719438410253</v>
      </c>
      <c r="N84">
        <f>+N82+M84</f>
        <v>-10.666296963325529</v>
      </c>
      <c r="Z84">
        <f>+(I84-$F$619)/$F$620</f>
        <v>0.13395032001956253</v>
      </c>
      <c r="AA84">
        <f>+AA82+Z84</f>
        <v>-14.793715040585774</v>
      </c>
    </row>
    <row r="85" spans="1:27">
      <c r="A85" s="8">
        <v>2</v>
      </c>
      <c r="B85" s="71">
        <v>37690</v>
      </c>
      <c r="C85" s="12">
        <v>2003</v>
      </c>
      <c r="D85" s="11" t="s">
        <v>20</v>
      </c>
      <c r="E85" s="12">
        <v>3</v>
      </c>
      <c r="F85" s="17">
        <v>5.4394671209078842</v>
      </c>
      <c r="G85" s="17">
        <v>6.1647327367877536E-2</v>
      </c>
    </row>
    <row r="86" spans="1:27">
      <c r="A86" s="8">
        <v>16</v>
      </c>
      <c r="B86" s="71">
        <v>37692</v>
      </c>
      <c r="C86" s="12">
        <v>2003</v>
      </c>
      <c r="D86" s="11" t="s">
        <v>20</v>
      </c>
      <c r="E86" s="12">
        <v>3</v>
      </c>
      <c r="F86" s="17">
        <v>6.7191308328276174</v>
      </c>
      <c r="G86" s="17">
        <v>3.7315732980725012E-2</v>
      </c>
      <c r="I86" s="29">
        <f>AVERAGE(F85:F86)</f>
        <v>6.0792989768677508</v>
      </c>
      <c r="J86" s="29">
        <f>AVERAGE(G85:G86)</f>
        <v>4.9481530174301278E-2</v>
      </c>
      <c r="L86">
        <f>+J86/I86</f>
        <v>8.1393480338082906E-3</v>
      </c>
      <c r="M86">
        <f>+(L86-$L$619)/$L$620</f>
        <v>-0.54903550645251353</v>
      </c>
      <c r="N86">
        <f>+N84+M86</f>
        <v>-11.215332469778042</v>
      </c>
      <c r="Z86">
        <f>+(I86-$F$619)/$F$620</f>
        <v>7.1123703715522624E-2</v>
      </c>
      <c r="AA86">
        <f>+AA84+Z86</f>
        <v>-14.72259133687025</v>
      </c>
    </row>
    <row r="87" spans="1:27">
      <c r="A87" s="8">
        <v>2</v>
      </c>
      <c r="B87" s="71">
        <v>37725</v>
      </c>
      <c r="C87" s="12">
        <v>2003</v>
      </c>
      <c r="D87" s="11" t="s">
        <v>21</v>
      </c>
      <c r="E87" s="12">
        <v>4</v>
      </c>
      <c r="F87" s="17">
        <v>11.05539663202868</v>
      </c>
      <c r="G87" s="17">
        <v>6.4514350570017212E-2</v>
      </c>
    </row>
    <row r="88" spans="1:27">
      <c r="A88" s="8">
        <v>16</v>
      </c>
      <c r="B88" s="71">
        <v>37725</v>
      </c>
      <c r="C88" s="12">
        <v>2003</v>
      </c>
      <c r="D88" s="11" t="s">
        <v>21</v>
      </c>
      <c r="E88" s="12">
        <v>4</v>
      </c>
      <c r="F88" s="17">
        <v>6.8301543624819328</v>
      </c>
      <c r="G88" s="17">
        <v>6.5798600286557055E-2</v>
      </c>
      <c r="I88" s="29">
        <f>AVERAGE(F87:F88)</f>
        <v>8.9427754972553064</v>
      </c>
      <c r="J88" s="29">
        <f>AVERAGE(G87:G88)</f>
        <v>6.5156475428287133E-2</v>
      </c>
      <c r="L88">
        <f>+J88/I88</f>
        <v>7.2859343777873873E-3</v>
      </c>
      <c r="M88">
        <f>+(L88-$L$619)/$L$620</f>
        <v>-0.56750884495617393</v>
      </c>
      <c r="N88">
        <f>+N86+M88</f>
        <v>-11.782841314734217</v>
      </c>
      <c r="Z88">
        <f>+(I88-$F$619)/$F$620</f>
        <v>0.64937594444518398</v>
      </c>
      <c r="AA88">
        <f>+AA86+Z88</f>
        <v>-14.073215392425066</v>
      </c>
    </row>
    <row r="89" spans="1:27">
      <c r="A89" s="8">
        <v>2</v>
      </c>
      <c r="B89" s="71">
        <v>37753</v>
      </c>
      <c r="C89" s="12">
        <v>2003</v>
      </c>
      <c r="D89" s="11" t="s">
        <v>22</v>
      </c>
      <c r="E89" s="12">
        <v>5</v>
      </c>
      <c r="F89" s="17">
        <v>5.7161307948784339</v>
      </c>
      <c r="G89" s="17">
        <v>7.5447954944742976E-2</v>
      </c>
    </row>
    <row r="90" spans="1:27">
      <c r="A90" s="8">
        <v>16</v>
      </c>
      <c r="B90" s="71">
        <v>37753</v>
      </c>
      <c r="C90" s="12">
        <v>2003</v>
      </c>
      <c r="D90" s="11" t="s">
        <v>22</v>
      </c>
      <c r="E90" s="12">
        <v>5</v>
      </c>
      <c r="F90" s="17">
        <v>4.8233307954777436</v>
      </c>
      <c r="G90" s="17">
        <v>9.682159525919054E-2</v>
      </c>
      <c r="I90" s="29">
        <f>AVERAGE(F89:F90)</f>
        <v>5.2697307951780887</v>
      </c>
      <c r="J90" s="29">
        <f>AVERAGE(G89:G90)</f>
        <v>8.6134775101966765E-2</v>
      </c>
      <c r="L90">
        <f>+J90/I90</f>
        <v>1.6345194555437603E-2</v>
      </c>
      <c r="M90">
        <f>+(L90-$L$619)/$L$620</f>
        <v>-0.37140842088425885</v>
      </c>
      <c r="N90">
        <f>+N88+M90</f>
        <v>-12.154249735618476</v>
      </c>
      <c r="Z90">
        <f>+(I90-$F$619)/$F$620</f>
        <v>-9.2361001590224132E-2</v>
      </c>
      <c r="AA90">
        <f>+AA88+Z90</f>
        <v>-14.165576394015289</v>
      </c>
    </row>
    <row r="91" spans="1:27">
      <c r="A91" s="8">
        <v>2</v>
      </c>
      <c r="B91" s="71">
        <v>37792</v>
      </c>
      <c r="C91" s="12">
        <v>2003</v>
      </c>
      <c r="D91" s="11" t="s">
        <v>23</v>
      </c>
      <c r="E91" s="12">
        <v>6</v>
      </c>
      <c r="F91" s="17">
        <v>9.9054037962471089</v>
      </c>
      <c r="G91" s="17">
        <v>0.17170285024907414</v>
      </c>
    </row>
    <row r="92" spans="1:27">
      <c r="A92" s="8">
        <v>16</v>
      </c>
      <c r="B92" s="71">
        <v>37792</v>
      </c>
      <c r="C92" s="12">
        <v>2003</v>
      </c>
      <c r="D92" s="11" t="s">
        <v>23</v>
      </c>
      <c r="E92" s="12">
        <v>6</v>
      </c>
      <c r="F92" s="17">
        <v>19.594853935043346</v>
      </c>
      <c r="G92" s="17">
        <v>0.53181928202869644</v>
      </c>
      <c r="I92" s="29">
        <f>AVERAGE(F91:F92)</f>
        <v>14.750128865645227</v>
      </c>
      <c r="J92" s="29">
        <f>AVERAGE(G91:G92)</f>
        <v>0.3517610661388853</v>
      </c>
      <c r="L92">
        <f>+J92/I92</f>
        <v>2.3847999522104375E-2</v>
      </c>
      <c r="M92">
        <f>+(L92-$L$619)/$L$620</f>
        <v>-0.20899965826564842</v>
      </c>
      <c r="N92">
        <f>+N90+M92</f>
        <v>-12.363249393884125</v>
      </c>
      <c r="Z92">
        <f>+(I92-$F$619)/$F$620</f>
        <v>1.8221165183842767</v>
      </c>
      <c r="AA92">
        <f>+AA90+Z92</f>
        <v>-12.343459875631012</v>
      </c>
    </row>
    <row r="93" spans="1:27">
      <c r="A93" s="8">
        <v>2</v>
      </c>
      <c r="B93" s="71">
        <v>37817</v>
      </c>
      <c r="C93" s="12">
        <v>2003</v>
      </c>
      <c r="D93" s="16" t="s">
        <v>24</v>
      </c>
      <c r="E93" s="12">
        <v>7</v>
      </c>
      <c r="F93" s="17">
        <v>14.487619123674301</v>
      </c>
      <c r="G93" s="17">
        <v>1.5883515272942197</v>
      </c>
    </row>
    <row r="94" spans="1:27">
      <c r="A94" s="8">
        <v>16</v>
      </c>
      <c r="B94" s="71">
        <v>37817</v>
      </c>
      <c r="C94" s="12">
        <v>2003</v>
      </c>
      <c r="D94" s="16" t="s">
        <v>24</v>
      </c>
      <c r="E94" s="12">
        <v>7</v>
      </c>
      <c r="F94" s="17">
        <v>12.646929840868735</v>
      </c>
      <c r="G94" s="17">
        <v>1.3989971585090175</v>
      </c>
      <c r="I94" s="29">
        <f>AVERAGE(F93:F94)</f>
        <v>13.567274482271518</v>
      </c>
      <c r="J94" s="29">
        <f>AVERAGE(G93:G94)</f>
        <v>1.4936743429016186</v>
      </c>
      <c r="L94">
        <f>+J94/I94</f>
        <v>0.11009391347196643</v>
      </c>
      <c r="M94">
        <f>+(L94-$L$619)/$L$620</f>
        <v>1.6579144129035368</v>
      </c>
      <c r="N94">
        <f>+N92+M94</f>
        <v>-10.705334980980588</v>
      </c>
      <c r="Z94">
        <f>+(I94-$F$619)/$F$620</f>
        <v>1.5832501638767931</v>
      </c>
      <c r="AA94">
        <f>+AA92+Z94</f>
        <v>-10.76020971175422</v>
      </c>
    </row>
    <row r="95" spans="1:27">
      <c r="A95" s="8">
        <v>2</v>
      </c>
      <c r="B95" s="71">
        <v>37845</v>
      </c>
      <c r="C95" s="12">
        <v>2003</v>
      </c>
      <c r="D95" s="16" t="s">
        <v>25</v>
      </c>
      <c r="E95" s="12">
        <v>8</v>
      </c>
      <c r="F95" s="17">
        <v>19.537651800896953</v>
      </c>
      <c r="G95" s="17">
        <v>1.6479803163303393</v>
      </c>
    </row>
    <row r="96" spans="1:27">
      <c r="A96" s="8">
        <v>16</v>
      </c>
      <c r="B96" s="71">
        <v>37845</v>
      </c>
      <c r="C96" s="12">
        <v>2003</v>
      </c>
      <c r="D96" s="16" t="s">
        <v>25</v>
      </c>
      <c r="E96" s="12">
        <v>8</v>
      </c>
      <c r="F96" s="17">
        <v>20.502660158281593</v>
      </c>
      <c r="G96" s="17">
        <v>2.2523599888758055</v>
      </c>
      <c r="I96" s="29">
        <f>AVERAGE(F95:F96)</f>
        <v>20.020155979589273</v>
      </c>
      <c r="J96" s="29">
        <f>AVERAGE(G95:G96)</f>
        <v>1.9501701526030724</v>
      </c>
      <c r="L96">
        <f>+J96/I96</f>
        <v>9.7410337591339852E-2</v>
      </c>
      <c r="M96">
        <f>+(L96-$L$619)/$L$620</f>
        <v>1.3833605795700594</v>
      </c>
      <c r="N96">
        <f>+N94+M96</f>
        <v>-9.3219744014105288</v>
      </c>
      <c r="Z96">
        <f>+(I96-$F$619)/$F$620</f>
        <v>2.8863490921969532</v>
      </c>
      <c r="AA96">
        <f>+AA94+Z96</f>
        <v>-7.8738606195572665</v>
      </c>
    </row>
    <row r="97" spans="1:27">
      <c r="A97" s="8">
        <v>2</v>
      </c>
      <c r="B97" s="71">
        <v>37888</v>
      </c>
      <c r="C97" s="12">
        <v>2003</v>
      </c>
      <c r="D97" s="16" t="s">
        <v>26</v>
      </c>
      <c r="E97" s="12">
        <v>9</v>
      </c>
      <c r="F97" s="17">
        <v>3.6079961892922769</v>
      </c>
      <c r="G97" s="17">
        <v>0.3008309410747394</v>
      </c>
    </row>
    <row r="98" spans="1:27">
      <c r="A98" s="8">
        <v>16</v>
      </c>
      <c r="B98" s="71">
        <v>37888</v>
      </c>
      <c r="C98" s="12">
        <v>2003</v>
      </c>
      <c r="D98" s="16" t="s">
        <v>26</v>
      </c>
      <c r="E98" s="12">
        <v>9</v>
      </c>
      <c r="F98" s="17">
        <v>4.389143577658345</v>
      </c>
      <c r="G98" s="17">
        <v>0.23036489278971495</v>
      </c>
      <c r="I98" s="29">
        <f>AVERAGE(F97:F98)</f>
        <v>3.9985698834753109</v>
      </c>
      <c r="J98" s="29">
        <f>AVERAGE(G97:G98)</f>
        <v>0.26559791693222717</v>
      </c>
      <c r="L98">
        <f>+J98/I98</f>
        <v>6.6423227471864466E-2</v>
      </c>
      <c r="M98">
        <f>+(L98-$L$619)/$L$620</f>
        <v>0.71260101244960261</v>
      </c>
      <c r="N98">
        <f>+N96+M98</f>
        <v>-8.6093733889609254</v>
      </c>
      <c r="Z98">
        <f>+(I98-$F$619)/$F$620</f>
        <v>-0.34906003169807542</v>
      </c>
      <c r="AA98">
        <f>+AA96+Z98</f>
        <v>-8.2229206512553414</v>
      </c>
    </row>
    <row r="99" spans="1:27">
      <c r="A99" s="8">
        <v>2</v>
      </c>
      <c r="B99" s="71">
        <v>37908</v>
      </c>
      <c r="C99" s="12">
        <v>2003</v>
      </c>
      <c r="D99" s="16" t="s">
        <v>14</v>
      </c>
      <c r="E99" s="12">
        <v>10</v>
      </c>
      <c r="F99" s="13">
        <v>2.2682000000000002</v>
      </c>
      <c r="G99" s="17">
        <v>4.5589647962011662E-2</v>
      </c>
    </row>
    <row r="100" spans="1:27">
      <c r="A100" s="8">
        <v>16</v>
      </c>
      <c r="B100" s="71">
        <v>37908</v>
      </c>
      <c r="C100" s="12">
        <v>2003</v>
      </c>
      <c r="D100" s="16" t="s">
        <v>14</v>
      </c>
      <c r="E100" s="12">
        <v>10</v>
      </c>
      <c r="F100" s="13">
        <v>4.5435999999999996</v>
      </c>
      <c r="G100" s="17">
        <v>0.17876911264586298</v>
      </c>
      <c r="I100" s="29">
        <f>AVERAGE(F99:F100)</f>
        <v>3.4058999999999999</v>
      </c>
      <c r="J100" s="29">
        <f>AVERAGE(G99:G100)</f>
        <v>0.11217938030393731</v>
      </c>
      <c r="L100">
        <f>+J100/I100</f>
        <v>3.293678038225941E-2</v>
      </c>
      <c r="M100">
        <f>+(L100-$L$619)/$L$620</f>
        <v>-1.2260217514162876E-2</v>
      </c>
      <c r="N100">
        <f>+N98+M100</f>
        <v>-8.621633606475088</v>
      </c>
      <c r="Z100">
        <f>+(I100-$F$619)/$F$620</f>
        <v>-0.46874415890935833</v>
      </c>
      <c r="AA100">
        <f>+AA98+Z100</f>
        <v>-8.6916648101646992</v>
      </c>
    </row>
    <row r="101" spans="1:27">
      <c r="A101" s="8">
        <v>2</v>
      </c>
      <c r="B101" s="71">
        <v>37943</v>
      </c>
      <c r="C101" s="12">
        <v>2003</v>
      </c>
      <c r="D101" s="16" t="s">
        <v>16</v>
      </c>
      <c r="E101" s="12">
        <v>11</v>
      </c>
      <c r="F101" s="13">
        <v>1.7544</v>
      </c>
      <c r="G101" s="17">
        <v>1.9751001225855901E-2</v>
      </c>
    </row>
    <row r="102" spans="1:27">
      <c r="A102" s="8">
        <v>16</v>
      </c>
      <c r="B102" s="71">
        <v>37943</v>
      </c>
      <c r="C102" s="12">
        <v>2003</v>
      </c>
      <c r="D102" s="16" t="s">
        <v>16</v>
      </c>
      <c r="E102" s="12">
        <v>11</v>
      </c>
      <c r="F102" s="13">
        <v>2.1516000000000002</v>
      </c>
      <c r="G102" s="17">
        <v>2.3292149040411544E-2</v>
      </c>
      <c r="I102" s="29">
        <f>AVERAGE(F101:F102)</f>
        <v>1.9530000000000001</v>
      </c>
      <c r="J102" s="29">
        <f>AVERAGE(G101:G102)</f>
        <v>2.152157513313372E-2</v>
      </c>
      <c r="L102">
        <f>+J102/I102</f>
        <v>1.101975173227533E-2</v>
      </c>
      <c r="M102">
        <f>+(L102-$L$619)/$L$620</f>
        <v>-0.48668511848582091</v>
      </c>
      <c r="N102">
        <f>+N100+M102</f>
        <v>-9.1083187249609097</v>
      </c>
      <c r="Z102">
        <f>+(I102-$F$619)/$F$620</f>
        <v>-0.76214369425544037</v>
      </c>
      <c r="AA102">
        <f>+AA100+Z102</f>
        <v>-9.4538085044201399</v>
      </c>
    </row>
    <row r="103" spans="1:27">
      <c r="A103" s="8">
        <v>2</v>
      </c>
      <c r="B103" s="71">
        <v>37973</v>
      </c>
      <c r="C103" s="12">
        <v>2003</v>
      </c>
      <c r="D103" s="16" t="s">
        <v>17</v>
      </c>
      <c r="E103" s="12">
        <v>12</v>
      </c>
      <c r="F103" s="13">
        <v>6.9042000000000003</v>
      </c>
      <c r="G103" s="17">
        <v>6.0448130676380669E-2</v>
      </c>
    </row>
    <row r="104" spans="1:27">
      <c r="A104" s="8">
        <v>16</v>
      </c>
      <c r="B104" s="71">
        <v>37973</v>
      </c>
      <c r="C104" s="12">
        <v>2003</v>
      </c>
      <c r="D104" s="16" t="s">
        <v>17</v>
      </c>
      <c r="E104" s="12">
        <v>12</v>
      </c>
      <c r="F104" s="13">
        <v>8.3348999999999993</v>
      </c>
      <c r="G104" s="17">
        <v>5.7173341510828361E-2</v>
      </c>
      <c r="I104" s="29">
        <f>AVERAGE(F103:F104)</f>
        <v>7.6195500000000003</v>
      </c>
      <c r="J104" s="29">
        <f>AVERAGE(G103:G104)</f>
        <v>5.8810736093604515E-2</v>
      </c>
      <c r="L104">
        <f>+J104/I104</f>
        <v>7.7184001802737059E-3</v>
      </c>
      <c r="M104">
        <f>+(L104-$L$619)/$L$620</f>
        <v>-0.55814751460456391</v>
      </c>
      <c r="N104">
        <f>+N102+M104</f>
        <v>-9.666466239565473</v>
      </c>
      <c r="Z104">
        <f>+(I104-$F$619)/$F$620</f>
        <v>0.38216295934449201</v>
      </c>
      <c r="AA104">
        <f>+AA102+Z104</f>
        <v>-9.071645545075647</v>
      </c>
    </row>
    <row r="105" spans="1:27">
      <c r="A105" s="8">
        <v>2</v>
      </c>
      <c r="B105" s="71">
        <v>38000</v>
      </c>
      <c r="C105" s="12">
        <v>2004</v>
      </c>
      <c r="D105" s="16" t="s">
        <v>18</v>
      </c>
      <c r="E105" s="12">
        <v>1</v>
      </c>
      <c r="F105" s="13">
        <v>7.9244000000000003</v>
      </c>
      <c r="G105" s="13">
        <v>3.1286729623826386E-2</v>
      </c>
    </row>
    <row r="106" spans="1:27">
      <c r="A106" s="8">
        <v>16</v>
      </c>
      <c r="B106" s="71">
        <v>37999</v>
      </c>
      <c r="C106" s="12">
        <v>2004</v>
      </c>
      <c r="D106" s="16" t="s">
        <v>18</v>
      </c>
      <c r="E106" s="12">
        <v>1</v>
      </c>
      <c r="F106" s="13">
        <v>4.7584999999999997</v>
      </c>
      <c r="G106" s="13">
        <v>3.0557197562010176E-2</v>
      </c>
      <c r="I106" s="29">
        <f>AVERAGE(F105:F106)</f>
        <v>6.34145</v>
      </c>
      <c r="J106" s="29">
        <f>AVERAGE(G105:G106)</f>
        <v>3.0921963592918281E-2</v>
      </c>
      <c r="L106">
        <f>+J106/I106</f>
        <v>4.8761661123115814E-3</v>
      </c>
      <c r="M106">
        <f>+(L106-$L$619)/$L$620</f>
        <v>-0.6196716672516055</v>
      </c>
      <c r="N106">
        <f>+N104+M106</f>
        <v>-10.286137906817078</v>
      </c>
      <c r="Z106">
        <f>+(I106-$F$619)/$F$620</f>
        <v>0.124062645402839</v>
      </c>
      <c r="AA106">
        <f>+AA104+Z106</f>
        <v>-8.947582899672808</v>
      </c>
    </row>
    <row r="107" spans="1:27">
      <c r="A107" s="8">
        <v>2</v>
      </c>
      <c r="B107" s="71">
        <v>38027</v>
      </c>
      <c r="C107" s="12">
        <v>2004</v>
      </c>
      <c r="D107" s="11" t="s">
        <v>19</v>
      </c>
      <c r="E107" s="12">
        <v>2</v>
      </c>
      <c r="F107" s="13">
        <v>8.4512999999999998</v>
      </c>
      <c r="G107" s="13">
        <v>3.7833460229407395E-2</v>
      </c>
    </row>
    <row r="108" spans="1:27">
      <c r="A108" s="8">
        <v>16</v>
      </c>
      <c r="B108" s="71">
        <v>38027</v>
      </c>
      <c r="C108" s="12">
        <v>2004</v>
      </c>
      <c r="D108" s="11" t="s">
        <v>19</v>
      </c>
      <c r="E108" s="12">
        <v>2</v>
      </c>
      <c r="F108" s="13">
        <v>6.8272000000000004</v>
      </c>
      <c r="G108" s="13">
        <v>2.9879817604819E-2</v>
      </c>
      <c r="I108" s="29">
        <f>AVERAGE(F107:F108)</f>
        <v>7.6392500000000005</v>
      </c>
      <c r="J108" s="29">
        <f>AVERAGE(G107:G108)</f>
        <v>3.3856638917113199E-2</v>
      </c>
      <c r="L108">
        <f>+J108/I108</f>
        <v>4.4319323123491435E-3</v>
      </c>
      <c r="M108">
        <f>+(L108-$L$619)/$L$620</f>
        <v>-0.62928773245465919</v>
      </c>
      <c r="N108">
        <f>+N106+M108</f>
        <v>-10.915425639271737</v>
      </c>
      <c r="Z108">
        <f>+(I108-$F$619)/$F$620</f>
        <v>0.38614118967439626</v>
      </c>
      <c r="AA108">
        <f>+AA106+Z108</f>
        <v>-8.5614417099984124</v>
      </c>
    </row>
    <row r="109" spans="1:27">
      <c r="A109" s="8">
        <v>2</v>
      </c>
      <c r="B109" s="71">
        <v>38063</v>
      </c>
      <c r="C109" s="12">
        <v>2004</v>
      </c>
      <c r="D109" s="11" t="s">
        <v>20</v>
      </c>
      <c r="E109" s="12">
        <v>3</v>
      </c>
      <c r="F109" s="13">
        <v>5.9840999999999998</v>
      </c>
      <c r="G109" s="13">
        <v>2.4161048666527511E-2</v>
      </c>
    </row>
    <row r="110" spans="1:27">
      <c r="A110" s="8">
        <v>16</v>
      </c>
      <c r="B110" s="71">
        <v>38063</v>
      </c>
      <c r="C110" s="12">
        <v>2004</v>
      </c>
      <c r="D110" s="11" t="s">
        <v>20</v>
      </c>
      <c r="E110" s="12">
        <v>3</v>
      </c>
      <c r="F110" s="13">
        <v>5.5353000000000003</v>
      </c>
      <c r="G110" s="13">
        <v>4.2328048876012776E-2</v>
      </c>
      <c r="I110" s="29">
        <f>AVERAGE(F109:F110)</f>
        <v>5.7597000000000005</v>
      </c>
      <c r="J110" s="29">
        <f>AVERAGE(G109:G110)</f>
        <v>3.3244548771270144E-2</v>
      </c>
      <c r="L110">
        <f>+J110/I110</f>
        <v>5.7719236715922948E-3</v>
      </c>
      <c r="M110">
        <f>+(L110-$L$619)/$L$620</f>
        <v>-0.60028173542539165</v>
      </c>
      <c r="N110">
        <f>+N108+M110</f>
        <v>-11.515707374697129</v>
      </c>
      <c r="Z110">
        <f>+(I110-$F$619)/$F$620</f>
        <v>6.5836862951349894E-3</v>
      </c>
      <c r="AA110">
        <f>+AA108+Z110</f>
        <v>-8.554858023703277</v>
      </c>
    </row>
    <row r="111" spans="1:27">
      <c r="A111" s="8">
        <v>2</v>
      </c>
      <c r="B111" s="71">
        <v>38094</v>
      </c>
      <c r="C111" s="12">
        <v>2004</v>
      </c>
      <c r="D111" s="11" t="s">
        <v>21</v>
      </c>
      <c r="E111" s="12">
        <v>4</v>
      </c>
      <c r="F111" s="13">
        <v>5.3353000000000002</v>
      </c>
      <c r="G111" s="23">
        <v>4.5330781055786182E-2</v>
      </c>
    </row>
    <row r="112" spans="1:27">
      <c r="A112" s="8">
        <v>16</v>
      </c>
      <c r="B112" s="71">
        <v>38094</v>
      </c>
      <c r="C112" s="12">
        <v>2004</v>
      </c>
      <c r="D112" s="11" t="s">
        <v>21</v>
      </c>
      <c r="E112" s="12">
        <v>4</v>
      </c>
      <c r="F112" s="13">
        <v>6.4290000000000003</v>
      </c>
      <c r="G112" s="23">
        <v>5.5164507634608367E-2</v>
      </c>
      <c r="I112" s="29">
        <f>AVERAGE(F111:F112)</f>
        <v>5.8821500000000002</v>
      </c>
      <c r="J112" s="29">
        <f>AVERAGE(G111:G112)</f>
        <v>5.0247644345197275E-2</v>
      </c>
      <c r="L112">
        <f>+J112/I112</f>
        <v>8.5423942512852062E-3</v>
      </c>
      <c r="M112">
        <f>+(L112-$L$619)/$L$620</f>
        <v>-0.54031100438304036</v>
      </c>
      <c r="N112">
        <f>+N110+M112</f>
        <v>-12.05601837908017</v>
      </c>
      <c r="Z112">
        <f>+(I112-$F$619)/$F$620</f>
        <v>3.1311315934564876E-2</v>
      </c>
      <c r="AA112">
        <f>+AA110+Z112</f>
        <v>-8.5235467077687126</v>
      </c>
    </row>
    <row r="113" spans="1:27">
      <c r="A113" s="8">
        <v>2</v>
      </c>
      <c r="B113" s="71">
        <v>38118</v>
      </c>
      <c r="C113" s="12">
        <v>2004</v>
      </c>
      <c r="D113" s="11" t="s">
        <v>22</v>
      </c>
      <c r="E113" s="12">
        <v>5</v>
      </c>
      <c r="F113" s="13">
        <v>3.1080999999999999</v>
      </c>
      <c r="G113" s="23">
        <v>8.9438372881926312E-2</v>
      </c>
    </row>
    <row r="114" spans="1:27">
      <c r="A114" s="8">
        <v>16</v>
      </c>
      <c r="B114" s="71">
        <v>38118</v>
      </c>
      <c r="C114" s="12">
        <v>2004</v>
      </c>
      <c r="D114" s="11" t="s">
        <v>22</v>
      </c>
      <c r="E114" s="12">
        <v>5</v>
      </c>
      <c r="F114" s="13">
        <v>4.1181999999999999</v>
      </c>
      <c r="G114" s="23">
        <v>0.12093198016623749</v>
      </c>
      <c r="I114" s="29">
        <f>AVERAGE(F113:F114)</f>
        <v>3.6131500000000001</v>
      </c>
      <c r="J114" s="29">
        <f>AVERAGE(G113:G114)</f>
        <v>0.10518517652408191</v>
      </c>
      <c r="L114">
        <f>+J114/I114</f>
        <v>2.9111765778913664E-2</v>
      </c>
      <c r="M114">
        <f>+(L114-$L$619)/$L$620</f>
        <v>-9.5058036661457276E-2</v>
      </c>
      <c r="N114">
        <f>+N112+M114</f>
        <v>-12.151076415741628</v>
      </c>
      <c r="Z114">
        <f>+(I114-$F$619)/$F$620</f>
        <v>-0.42689196419501074</v>
      </c>
      <c r="AA114">
        <f>+AA112+Z114</f>
        <v>-8.9504386719637239</v>
      </c>
    </row>
    <row r="115" spans="1:27">
      <c r="A115" s="8">
        <v>2</v>
      </c>
      <c r="B115" s="71">
        <v>38153</v>
      </c>
      <c r="C115" s="12">
        <v>2004</v>
      </c>
      <c r="D115" s="11" t="s">
        <v>23</v>
      </c>
      <c r="E115" s="12">
        <v>6</v>
      </c>
      <c r="F115" s="13">
        <v>21.325199999999999</v>
      </c>
      <c r="G115" s="23">
        <v>1.1233502708113325</v>
      </c>
    </row>
    <row r="116" spans="1:27">
      <c r="A116" s="8">
        <v>16</v>
      </c>
      <c r="B116" s="71">
        <v>38153</v>
      </c>
      <c r="C116" s="12">
        <v>2004</v>
      </c>
      <c r="D116" s="11" t="s">
        <v>23</v>
      </c>
      <c r="E116" s="12">
        <v>6</v>
      </c>
      <c r="F116" s="13">
        <v>21.731999999999999</v>
      </c>
      <c r="G116" s="23">
        <v>0.78357596870982993</v>
      </c>
      <c r="I116" s="29">
        <f>AVERAGE(F115:F116)</f>
        <v>21.528599999999997</v>
      </c>
      <c r="J116" s="29">
        <f>AVERAGE(G115:G116)</f>
        <v>0.95346311976058118</v>
      </c>
      <c r="L116">
        <f>+J116/I116</f>
        <v>4.428820823279643E-2</v>
      </c>
      <c r="M116">
        <f>+(L116-$L$619)/$L$620</f>
        <v>0.23345739867747628</v>
      </c>
      <c r="N116">
        <f>+N114+M116</f>
        <v>-11.917619017064151</v>
      </c>
      <c r="Z116">
        <f>+(I116-$F$619)/$F$620</f>
        <v>3.1909652217888609</v>
      </c>
      <c r="AA116">
        <f>+AA114+Z116</f>
        <v>-5.7594734501748626</v>
      </c>
    </row>
    <row r="117" spans="1:27">
      <c r="A117" s="8">
        <v>2</v>
      </c>
      <c r="B117" s="71">
        <v>38181</v>
      </c>
      <c r="C117" s="12">
        <v>2004</v>
      </c>
      <c r="D117" s="16" t="s">
        <v>24</v>
      </c>
      <c r="E117" s="12">
        <v>7</v>
      </c>
      <c r="F117" s="13">
        <v>19.874500000000001</v>
      </c>
      <c r="G117" s="23">
        <v>2.3449651579625383</v>
      </c>
    </row>
    <row r="118" spans="1:27">
      <c r="A118" s="8">
        <v>16</v>
      </c>
      <c r="B118" s="71">
        <v>38181</v>
      </c>
      <c r="C118" s="12">
        <v>2004</v>
      </c>
      <c r="D118" s="16" t="s">
        <v>24</v>
      </c>
      <c r="E118" s="12">
        <v>7</v>
      </c>
      <c r="F118" s="13">
        <v>16.134699999999999</v>
      </c>
      <c r="G118" s="23">
        <v>2.1284722064524413</v>
      </c>
      <c r="I118" s="29">
        <f>AVERAGE(F117:F118)</f>
        <v>18.0046</v>
      </c>
      <c r="J118" s="29">
        <f>AVERAGE(G117:G118)</f>
        <v>2.2367186822074898</v>
      </c>
      <c r="L118">
        <f>+J118/I118</f>
        <v>0.12423040124232085</v>
      </c>
      <c r="M118">
        <f>+(L118-$L$619)/$L$620</f>
        <v>1.963918566917467</v>
      </c>
      <c r="N118">
        <f>+N116+M118</f>
        <v>-9.9537004501466839</v>
      </c>
      <c r="Z118">
        <f>+(I118-$F$619)/$F$620</f>
        <v>2.4793264561755408</v>
      </c>
      <c r="AA118">
        <f>+AA116+Z118</f>
        <v>-3.2801469939993217</v>
      </c>
    </row>
    <row r="119" spans="1:27">
      <c r="A119" s="8">
        <v>2</v>
      </c>
      <c r="B119" s="71">
        <v>38217</v>
      </c>
      <c r="C119" s="12">
        <v>2004</v>
      </c>
      <c r="D119" s="16" t="s">
        <v>25</v>
      </c>
      <c r="E119" s="12">
        <v>8</v>
      </c>
      <c r="F119" s="13">
        <v>16.3978</v>
      </c>
      <c r="G119" s="21"/>
    </row>
    <row r="120" spans="1:27">
      <c r="A120" s="8">
        <v>16</v>
      </c>
      <c r="B120" s="71">
        <v>38217</v>
      </c>
      <c r="C120" s="12">
        <v>2004</v>
      </c>
      <c r="D120" s="16" t="s">
        <v>25</v>
      </c>
      <c r="E120" s="12">
        <v>8</v>
      </c>
      <c r="F120" s="13">
        <v>14.690899999999999</v>
      </c>
      <c r="G120" s="21"/>
      <c r="I120" s="29">
        <f>AVERAGE(F119:F120)</f>
        <v>15.54435</v>
      </c>
      <c r="J120" s="29" t="e">
        <f>AVERAGE(G119:G120)</f>
        <v>#DIV/0!</v>
      </c>
    </row>
    <row r="121" spans="1:27">
      <c r="A121" s="8">
        <v>2</v>
      </c>
      <c r="B121" s="71">
        <v>38244</v>
      </c>
      <c r="C121" s="12">
        <v>2004</v>
      </c>
      <c r="D121" s="16" t="s">
        <v>26</v>
      </c>
      <c r="E121" s="12">
        <v>9</v>
      </c>
      <c r="F121" s="13">
        <v>9.6735000000000007</v>
      </c>
      <c r="G121" s="23">
        <v>0.27769424813168825</v>
      </c>
    </row>
    <row r="122" spans="1:27">
      <c r="A122" s="8">
        <v>16</v>
      </c>
      <c r="B122" s="71">
        <v>38244</v>
      </c>
      <c r="C122" s="12">
        <v>2004</v>
      </c>
      <c r="D122" s="16" t="s">
        <v>26</v>
      </c>
      <c r="E122" s="12">
        <v>9</v>
      </c>
      <c r="F122" s="13">
        <v>8.8986999999999998</v>
      </c>
      <c r="G122" s="23">
        <v>0.58207156159378493</v>
      </c>
      <c r="I122" s="29">
        <f>AVERAGE(F121:F122)</f>
        <v>9.2861000000000011</v>
      </c>
      <c r="J122" s="29">
        <f>AVERAGE(G121:G122)</f>
        <v>0.42988290486273661</v>
      </c>
      <c r="L122">
        <f>+J122/I122</f>
        <v>4.6293159115531446E-2</v>
      </c>
      <c r="M122">
        <f>+(L122-$L$619)/$L$620</f>
        <v>0.27685737954099943</v>
      </c>
      <c r="N122">
        <f>+N118+M122</f>
        <v>-9.6768430706056847</v>
      </c>
      <c r="Z122">
        <f>+(I122-$F$619)/$F$620</f>
        <v>0.71870710941057603</v>
      </c>
      <c r="AA122">
        <f>+AA118+Z122</f>
        <v>-2.5614398845887458</v>
      </c>
    </row>
    <row r="123" spans="1:27">
      <c r="A123" s="8">
        <v>2</v>
      </c>
      <c r="B123" s="71">
        <v>38272</v>
      </c>
      <c r="C123" s="12">
        <v>2004</v>
      </c>
      <c r="D123" s="16" t="s">
        <v>14</v>
      </c>
      <c r="E123" s="12">
        <v>10</v>
      </c>
      <c r="F123" s="17">
        <v>5.6414</v>
      </c>
      <c r="G123" s="17">
        <v>0.12182307577381461</v>
      </c>
    </row>
    <row r="124" spans="1:27">
      <c r="A124" s="8">
        <v>16</v>
      </c>
      <c r="B124" s="71">
        <v>38272</v>
      </c>
      <c r="C124" s="12">
        <v>2004</v>
      </c>
      <c r="D124" s="16" t="s">
        <v>14</v>
      </c>
      <c r="E124" s="12">
        <v>10</v>
      </c>
      <c r="F124" s="17">
        <v>3.5736300000000001</v>
      </c>
      <c r="G124" s="17">
        <v>0.30400715453116672</v>
      </c>
      <c r="I124" s="29">
        <f>AVERAGE(F123:F124)</f>
        <v>4.6075150000000002</v>
      </c>
      <c r="J124" s="29">
        <f>AVERAGE(G123:G124)</f>
        <v>0.21291511515249067</v>
      </c>
      <c r="L124">
        <f>+J124/I124</f>
        <v>4.6210400867385273E-2</v>
      </c>
      <c r="M124">
        <f>+(L124-$L$619)/$L$620</f>
        <v>0.27506596089988888</v>
      </c>
      <c r="N124">
        <f>+N122+M124</f>
        <v>-9.4017771097057956</v>
      </c>
      <c r="Z124">
        <f>+(I124-$F$619)/$F$620</f>
        <v>-0.2260892737384019</v>
      </c>
      <c r="AA124">
        <f>+AA122+Z124</f>
        <v>-2.7875291583271475</v>
      </c>
    </row>
    <row r="125" spans="1:27">
      <c r="A125" s="8">
        <v>2</v>
      </c>
      <c r="B125" s="71">
        <v>38306</v>
      </c>
      <c r="C125" s="12">
        <v>2004</v>
      </c>
      <c r="D125" s="16" t="s">
        <v>16</v>
      </c>
      <c r="E125" s="12">
        <v>11</v>
      </c>
      <c r="F125" s="17">
        <v>3.9119600000000001</v>
      </c>
      <c r="G125" s="17">
        <v>2.6320034750734682E-2</v>
      </c>
    </row>
    <row r="126" spans="1:27">
      <c r="A126" s="8">
        <v>16</v>
      </c>
      <c r="B126" s="71">
        <v>38306</v>
      </c>
      <c r="C126" s="12">
        <v>2004</v>
      </c>
      <c r="D126" s="16" t="s">
        <v>16</v>
      </c>
      <c r="E126" s="12">
        <v>11</v>
      </c>
      <c r="F126" s="17">
        <v>2.7208100000000002</v>
      </c>
      <c r="G126" s="17">
        <v>2.9495809973888537E-2</v>
      </c>
      <c r="I126" s="29">
        <f>AVERAGE(F125:F126)</f>
        <v>3.3163850000000004</v>
      </c>
      <c r="J126" s="29">
        <f>AVERAGE(G125:G126)</f>
        <v>2.7907922362311609E-2</v>
      </c>
      <c r="L126">
        <f>+J126/I126</f>
        <v>8.4151636080586553E-3</v>
      </c>
      <c r="M126">
        <f>+(L126-$L$619)/$L$620</f>
        <v>-0.54306509054486873</v>
      </c>
      <c r="N126">
        <f>+N124+M126</f>
        <v>-9.9448422002506636</v>
      </c>
      <c r="Z126">
        <f>+(I126-$F$619)/$F$620</f>
        <v>-0.48682087403531632</v>
      </c>
      <c r="AA126">
        <f>+AA124+Z126</f>
        <v>-3.2743500323624639</v>
      </c>
    </row>
    <row r="127" spans="1:27">
      <c r="A127" s="8">
        <v>2</v>
      </c>
      <c r="B127" s="71">
        <v>38335</v>
      </c>
      <c r="C127" s="12">
        <v>2004</v>
      </c>
      <c r="D127" s="16" t="s">
        <v>17</v>
      </c>
      <c r="E127" s="12">
        <v>12</v>
      </c>
      <c r="F127" s="17">
        <v>2.8012800000000002</v>
      </c>
      <c r="G127" s="17">
        <v>1.7869609825886642E-2</v>
      </c>
    </row>
    <row r="128" spans="1:27">
      <c r="A128" s="8">
        <v>16</v>
      </c>
      <c r="B128" s="71">
        <v>38335</v>
      </c>
      <c r="C128" s="12">
        <v>2004</v>
      </c>
      <c r="D128" s="16" t="s">
        <v>17</v>
      </c>
      <c r="E128" s="12">
        <v>12</v>
      </c>
      <c r="F128" s="15">
        <v>2.6802199999999998</v>
      </c>
      <c r="G128" s="15">
        <v>2.1135868774475011E-2</v>
      </c>
      <c r="I128" s="29">
        <f>AVERAGE(F127:F128)</f>
        <v>2.7407500000000002</v>
      </c>
      <c r="J128" s="29">
        <f>AVERAGE(G127:G128)</f>
        <v>1.9502739300180826E-2</v>
      </c>
      <c r="L128">
        <f>+J128/I128</f>
        <v>7.1158402992541545E-3</v>
      </c>
      <c r="M128">
        <f>+(L128-$L$619)/$L$620</f>
        <v>-0.57119077044218414</v>
      </c>
      <c r="N128">
        <f>+N126+M128</f>
        <v>-10.516032970692848</v>
      </c>
      <c r="Z128">
        <f>+(I128-$F$619)/$F$620</f>
        <v>-0.60306496621574313</v>
      </c>
      <c r="AA128">
        <f>+AA126+Z128</f>
        <v>-3.8774149985782072</v>
      </c>
    </row>
    <row r="129" spans="1:27">
      <c r="A129" s="8">
        <v>2</v>
      </c>
      <c r="B129" s="74">
        <v>38362</v>
      </c>
      <c r="C129" s="12">
        <v>2005</v>
      </c>
      <c r="D129" s="16" t="s">
        <v>18</v>
      </c>
      <c r="E129" s="12">
        <v>1</v>
      </c>
      <c r="F129" s="15">
        <v>10.834250000000001</v>
      </c>
      <c r="G129" s="15">
        <v>1.5587088604620008E-2</v>
      </c>
    </row>
    <row r="130" spans="1:27">
      <c r="A130" s="8">
        <v>16</v>
      </c>
      <c r="B130" s="74">
        <v>38362</v>
      </c>
      <c r="C130" s="12">
        <v>2005</v>
      </c>
      <c r="D130" s="16" t="s">
        <v>18</v>
      </c>
      <c r="E130" s="12">
        <v>1</v>
      </c>
      <c r="F130" s="15">
        <v>5.9218200000000003</v>
      </c>
      <c r="G130" s="15">
        <v>1.4376011471362516E-2</v>
      </c>
      <c r="I130" s="29">
        <f>AVERAGE(F129:F130)</f>
        <v>8.3780350000000006</v>
      </c>
      <c r="J130" s="29">
        <f>AVERAGE(G129:G130)</f>
        <v>1.4981550037991263E-2</v>
      </c>
      <c r="L130">
        <f>+J130/I130</f>
        <v>1.7881937755083693E-3</v>
      </c>
      <c r="M130">
        <f>+(L130-$L$619)/$L$620</f>
        <v>-0.6865151702413298</v>
      </c>
      <c r="N130">
        <f>+N128+M130</f>
        <v>-11.202548140934178</v>
      </c>
      <c r="Z130">
        <f>+(I130-$F$619)/$F$620</f>
        <v>0.53533189496770983</v>
      </c>
      <c r="AA130">
        <f>+AA128+Z130</f>
        <v>-3.3420831036104972</v>
      </c>
    </row>
    <row r="131" spans="1:27">
      <c r="A131" s="8">
        <v>2</v>
      </c>
      <c r="B131" s="74">
        <v>38399</v>
      </c>
      <c r="C131" s="12">
        <v>2005</v>
      </c>
      <c r="D131" s="11" t="s">
        <v>19</v>
      </c>
      <c r="E131" s="12">
        <v>2</v>
      </c>
      <c r="F131" s="15">
        <v>2.6156700000000002</v>
      </c>
      <c r="G131" s="15">
        <v>2.3465685387934178E-2</v>
      </c>
    </row>
    <row r="132" spans="1:27">
      <c r="A132" s="8">
        <v>16</v>
      </c>
      <c r="B132" s="74">
        <v>38399</v>
      </c>
      <c r="C132" s="12">
        <v>2005</v>
      </c>
      <c r="D132" s="11" t="s">
        <v>19</v>
      </c>
      <c r="E132" s="12">
        <v>2</v>
      </c>
      <c r="F132" s="15">
        <v>2.10026</v>
      </c>
      <c r="G132" s="15">
        <v>4.2600111359063254E-2</v>
      </c>
      <c r="I132" s="29">
        <f>AVERAGE(F131:F132)</f>
        <v>2.3579650000000001</v>
      </c>
      <c r="J132" s="29">
        <f>AVERAGE(G131:G132)</f>
        <v>3.3032898373498716E-2</v>
      </c>
      <c r="L132">
        <f>+J132/I132</f>
        <v>1.4009070691676388E-2</v>
      </c>
      <c r="M132">
        <f>+(L132-$L$619)/$L$620</f>
        <v>-0.42197710655886767</v>
      </c>
      <c r="N132">
        <f>+N130+M132</f>
        <v>-11.624525247493047</v>
      </c>
      <c r="Z132">
        <f>+(I132-$F$619)/$F$620</f>
        <v>-0.68036480869454419</v>
      </c>
      <c r="AA132">
        <f>+AA130+Z132</f>
        <v>-4.0224479123050418</v>
      </c>
    </row>
    <row r="133" spans="1:27">
      <c r="A133" s="8">
        <v>2</v>
      </c>
      <c r="B133" s="74">
        <v>38428</v>
      </c>
      <c r="C133" s="12">
        <v>2005</v>
      </c>
      <c r="D133" s="11" t="s">
        <v>20</v>
      </c>
      <c r="E133" s="12">
        <v>3</v>
      </c>
      <c r="F133" s="15">
        <v>1.12016</v>
      </c>
      <c r="G133" s="15">
        <v>7.7794234249698646E-3</v>
      </c>
    </row>
    <row r="134" spans="1:27">
      <c r="A134" s="8">
        <v>16</v>
      </c>
      <c r="B134" s="74">
        <v>38428</v>
      </c>
      <c r="C134" s="12">
        <v>2005</v>
      </c>
      <c r="D134" s="11" t="s">
        <v>20</v>
      </c>
      <c r="E134" s="12">
        <v>3</v>
      </c>
      <c r="F134" s="15">
        <v>1.08748</v>
      </c>
      <c r="G134" s="15">
        <v>5.8393801012338077E-3</v>
      </c>
      <c r="I134" s="29">
        <f>AVERAGE(F133:F134)</f>
        <v>1.10382</v>
      </c>
      <c r="J134" s="29">
        <f>AVERAGE(G133:G134)</f>
        <v>6.8094017631018366E-3</v>
      </c>
      <c r="L134">
        <f>+J134/I134</f>
        <v>6.1689421854123289E-3</v>
      </c>
      <c r="M134">
        <f>+(L134-$L$619)/$L$620</f>
        <v>-0.59168771147666077</v>
      </c>
      <c r="N134">
        <f>+N132+M134</f>
        <v>-12.216212958969708</v>
      </c>
      <c r="Z134">
        <f>+(I134-$F$619)/$F$620</f>
        <v>-0.93362763494315892</v>
      </c>
      <c r="AA134">
        <f>+AA132+Z134</f>
        <v>-4.9560755472482008</v>
      </c>
    </row>
    <row r="135" spans="1:27">
      <c r="A135" s="8">
        <v>2</v>
      </c>
      <c r="B135" s="74">
        <v>38468</v>
      </c>
      <c r="C135" s="12">
        <v>2005</v>
      </c>
      <c r="D135" s="11" t="s">
        <v>21</v>
      </c>
      <c r="E135" s="12">
        <v>4</v>
      </c>
      <c r="F135" s="15">
        <v>3.4178600000000001</v>
      </c>
      <c r="G135" s="15">
        <v>3.6286569352754851E-2</v>
      </c>
    </row>
    <row r="136" spans="1:27">
      <c r="A136" s="8">
        <v>16</v>
      </c>
      <c r="B136" s="74">
        <v>38468</v>
      </c>
      <c r="C136" s="12">
        <v>2005</v>
      </c>
      <c r="D136" s="11" t="s">
        <v>21</v>
      </c>
      <c r="E136" s="12">
        <v>4</v>
      </c>
      <c r="F136" s="15">
        <v>3.3993099999999998</v>
      </c>
      <c r="G136" s="15">
        <v>2.7612899764537419E-2</v>
      </c>
      <c r="I136" s="29">
        <f>AVERAGE(F135:F136)</f>
        <v>3.408585</v>
      </c>
      <c r="J136" s="29">
        <f>AVERAGE(G135:G136)</f>
        <v>3.1949734558646137E-2</v>
      </c>
      <c r="L136">
        <f>+J136/I136</f>
        <v>9.3733131368723792E-3</v>
      </c>
      <c r="M136">
        <f>+(L136-$L$619)/$L$620</f>
        <v>-0.52232459681357901</v>
      </c>
      <c r="N136">
        <f>+N134+M136</f>
        <v>-12.738537555783287</v>
      </c>
      <c r="Z136">
        <f>+(I136-$F$619)/$F$620</f>
        <v>-0.46820194832886119</v>
      </c>
      <c r="AA136">
        <f>+AA134+Z136</f>
        <v>-5.4242774955770621</v>
      </c>
    </row>
    <row r="137" spans="1:27">
      <c r="A137" s="8">
        <v>2</v>
      </c>
      <c r="B137" s="74">
        <v>38489</v>
      </c>
      <c r="C137" s="12">
        <v>2005</v>
      </c>
      <c r="D137" s="11" t="s">
        <v>22</v>
      </c>
      <c r="E137" s="12">
        <v>5</v>
      </c>
      <c r="F137" s="15">
        <v>8.4405800000000006</v>
      </c>
      <c r="G137" s="15">
        <v>7.579153429054783E-2</v>
      </c>
    </row>
    <row r="138" spans="1:27">
      <c r="A138" s="8">
        <v>16</v>
      </c>
      <c r="B138" s="74">
        <v>38489</v>
      </c>
      <c r="C138" s="12">
        <v>2005</v>
      </c>
      <c r="D138" s="11" t="s">
        <v>22</v>
      </c>
      <c r="E138" s="12">
        <v>5</v>
      </c>
      <c r="F138" s="15">
        <v>8.5562199999999997</v>
      </c>
      <c r="G138" s="15">
        <v>5.8748295306824107E-2</v>
      </c>
      <c r="I138" s="29">
        <f>AVERAGE(F137:F138)</f>
        <v>8.4984000000000002</v>
      </c>
      <c r="J138" s="29">
        <f>AVERAGE(G137:G138)</f>
        <v>6.7269914798685965E-2</v>
      </c>
      <c r="L138">
        <f>+J138/I138</f>
        <v>7.9155976182206014E-3</v>
      </c>
      <c r="M138">
        <f>+(L138-$L$619)/$L$620</f>
        <v>-0.55387889879610264</v>
      </c>
      <c r="N138">
        <f>+N136+M138</f>
        <v>-13.29241645457939</v>
      </c>
      <c r="Z138">
        <f>+(I138-$F$619)/$F$620</f>
        <v>0.55963847840217273</v>
      </c>
      <c r="AA138">
        <f>+AA136+Z138</f>
        <v>-4.8646390171748894</v>
      </c>
    </row>
    <row r="139" spans="1:27">
      <c r="A139" s="8">
        <v>2</v>
      </c>
      <c r="B139" s="74">
        <v>38517</v>
      </c>
      <c r="C139" s="12">
        <v>2005</v>
      </c>
      <c r="D139" s="11" t="s">
        <v>23</v>
      </c>
      <c r="E139" s="12">
        <v>6</v>
      </c>
      <c r="F139" s="15">
        <v>27.824159999999999</v>
      </c>
      <c r="G139" s="15">
        <v>0.92471339230740102</v>
      </c>
    </row>
    <row r="140" spans="1:27">
      <c r="A140" s="8">
        <v>16</v>
      </c>
      <c r="B140" s="74">
        <v>38518</v>
      </c>
      <c r="C140" s="12">
        <v>2005</v>
      </c>
      <c r="D140" s="11" t="s">
        <v>23</v>
      </c>
      <c r="E140" s="12">
        <v>6</v>
      </c>
      <c r="F140" s="15">
        <v>11.79562</v>
      </c>
      <c r="G140" s="15">
        <v>0.66825868617563433</v>
      </c>
      <c r="I140" s="29">
        <f>AVERAGE(F139:F140)</f>
        <v>19.809889999999999</v>
      </c>
      <c r="J140" s="29">
        <f>AVERAGE(G139:G140)</f>
        <v>0.79648603924151762</v>
      </c>
      <c r="L140">
        <f>+J140/I140</f>
        <v>4.0206484702414683E-2</v>
      </c>
      <c r="M140">
        <f>+(L140-$L$619)/$L$620</f>
        <v>0.14510275386587432</v>
      </c>
      <c r="N140">
        <f>+N138+M140</f>
        <v>-13.147313700713516</v>
      </c>
      <c r="Z140">
        <f>+(I140-$F$619)/$F$620</f>
        <v>2.8438878486766961</v>
      </c>
      <c r="AA140">
        <f>+AA138+Z140</f>
        <v>-2.0207511684981934</v>
      </c>
    </row>
    <row r="141" spans="1:27">
      <c r="A141" s="8">
        <v>2</v>
      </c>
      <c r="B141" s="74">
        <v>38547</v>
      </c>
      <c r="C141" s="12">
        <v>2005</v>
      </c>
      <c r="D141" s="16" t="s">
        <v>24</v>
      </c>
      <c r="E141" s="12">
        <v>7</v>
      </c>
      <c r="F141" s="15">
        <v>15.015750000000001</v>
      </c>
      <c r="G141" s="15">
        <v>1.3750777901535156</v>
      </c>
    </row>
    <row r="142" spans="1:27">
      <c r="A142" s="8">
        <v>16</v>
      </c>
      <c r="B142" s="74">
        <v>38547</v>
      </c>
      <c r="C142" s="12">
        <v>2005</v>
      </c>
      <c r="D142" s="16" t="s">
        <v>24</v>
      </c>
      <c r="E142" s="12">
        <v>7</v>
      </c>
      <c r="F142" s="15">
        <v>14.90771</v>
      </c>
      <c r="G142" s="15">
        <v>1.3329755896878075</v>
      </c>
      <c r="I142" s="29">
        <f>AVERAGE(F141:F142)</f>
        <v>14.961729999999999</v>
      </c>
      <c r="J142" s="29">
        <f>AVERAGE(G141:G142)</f>
        <v>1.3540266899206617</v>
      </c>
      <c r="L142">
        <f>+J142/I142</f>
        <v>9.0499339977439891E-2</v>
      </c>
      <c r="M142">
        <f>+(L142-$L$619)/$L$620</f>
        <v>1.2337623191967386</v>
      </c>
      <c r="N142">
        <f>+N140+M142</f>
        <v>-11.913551381516777</v>
      </c>
      <c r="Z142">
        <f>+(I142-$F$619)/$F$620</f>
        <v>1.86484738389353</v>
      </c>
      <c r="AA142">
        <f>+AA140+Z142</f>
        <v>-0.15590378460466336</v>
      </c>
    </row>
    <row r="143" spans="1:27">
      <c r="A143" s="8">
        <v>2</v>
      </c>
      <c r="B143" s="74">
        <v>38587</v>
      </c>
      <c r="C143" s="12">
        <v>2005</v>
      </c>
      <c r="D143" s="16" t="s">
        <v>25</v>
      </c>
      <c r="E143" s="12">
        <v>8</v>
      </c>
      <c r="F143" s="15">
        <v>15.00104</v>
      </c>
      <c r="G143" s="15">
        <v>1.0686465952721076</v>
      </c>
    </row>
    <row r="144" spans="1:27">
      <c r="A144" s="8">
        <v>16</v>
      </c>
      <c r="B144" s="74">
        <v>38588</v>
      </c>
      <c r="C144" s="12">
        <v>2005</v>
      </c>
      <c r="D144" s="16" t="s">
        <v>25</v>
      </c>
      <c r="E144" s="12">
        <v>8</v>
      </c>
      <c r="F144" s="15">
        <v>12.040520000000001</v>
      </c>
      <c r="G144" s="15">
        <v>0.91660257044702464</v>
      </c>
      <c r="I144" s="29">
        <f>AVERAGE(F143:F144)</f>
        <v>13.52078</v>
      </c>
      <c r="J144" s="29">
        <f>AVERAGE(G143:G144)</f>
        <v>0.99262458285956612</v>
      </c>
      <c r="L144">
        <f>+J144/I144</f>
        <v>7.3414742556240545E-2</v>
      </c>
      <c r="M144">
        <f>+(L144-$L$619)/$L$620</f>
        <v>0.86394218668078127</v>
      </c>
      <c r="N144">
        <f>+N142+M144</f>
        <v>-11.049609194835996</v>
      </c>
      <c r="Z144">
        <f>+(I144-$F$619)/$F$620</f>
        <v>1.5738610390267553</v>
      </c>
      <c r="AA144">
        <f>+AA142+Z144</f>
        <v>1.417957254422092</v>
      </c>
    </row>
    <row r="145" spans="1:27">
      <c r="A145" s="8">
        <v>2</v>
      </c>
      <c r="B145" s="74">
        <v>38608</v>
      </c>
      <c r="C145" s="12">
        <v>2005</v>
      </c>
      <c r="D145" s="16" t="s">
        <v>26</v>
      </c>
      <c r="E145" s="12">
        <v>9</v>
      </c>
      <c r="F145" s="15">
        <v>11.77708</v>
      </c>
      <c r="G145" s="15">
        <v>0.74574908534311946</v>
      </c>
    </row>
    <row r="146" spans="1:27">
      <c r="A146" s="8">
        <v>16</v>
      </c>
      <c r="B146" s="74">
        <v>38608</v>
      </c>
      <c r="C146" s="12">
        <v>2005</v>
      </c>
      <c r="D146" s="16" t="s">
        <v>26</v>
      </c>
      <c r="E146" s="12">
        <v>9</v>
      </c>
      <c r="F146" s="15">
        <v>13.10258</v>
      </c>
      <c r="G146" s="15">
        <v>0.55729083572926941</v>
      </c>
      <c r="I146" s="29">
        <f>AVERAGE(F145:F146)</f>
        <v>12.439830000000001</v>
      </c>
      <c r="J146" s="29">
        <f>AVERAGE(G145:G146)</f>
        <v>0.65151996053619443</v>
      </c>
      <c r="L146">
        <f>+J146/I146</f>
        <v>5.2373702899171003E-2</v>
      </c>
      <c r="M146">
        <f>+(L146-$L$619)/$L$620</f>
        <v>0.40847929912128539</v>
      </c>
      <c r="N146">
        <f>+N144+M146</f>
        <v>-10.641129895714711</v>
      </c>
      <c r="Z146">
        <f>+(I146-$F$619)/$F$620</f>
        <v>1.3555733194780271</v>
      </c>
      <c r="AA146">
        <f>+AA144+Z146</f>
        <v>2.773530573900119</v>
      </c>
    </row>
    <row r="147" spans="1:27">
      <c r="A147" s="8">
        <v>2</v>
      </c>
      <c r="B147" s="74">
        <v>38637</v>
      </c>
      <c r="C147" s="12">
        <v>2005</v>
      </c>
      <c r="D147" s="16" t="s">
        <v>14</v>
      </c>
      <c r="E147" s="12">
        <v>10</v>
      </c>
      <c r="F147" s="15">
        <v>3.4838</v>
      </c>
      <c r="G147" s="15">
        <v>0.114</v>
      </c>
    </row>
    <row r="148" spans="1:27">
      <c r="A148" s="8">
        <v>16</v>
      </c>
      <c r="B148" s="74">
        <v>38636</v>
      </c>
      <c r="C148" s="12">
        <v>2005</v>
      </c>
      <c r="D148" s="16" t="s">
        <v>14</v>
      </c>
      <c r="E148" s="12">
        <v>10</v>
      </c>
      <c r="F148" s="15">
        <v>3.7355</v>
      </c>
      <c r="G148" s="15">
        <v>5.04E-2</v>
      </c>
      <c r="I148" s="29">
        <f>AVERAGE(F147:F148)</f>
        <v>3.6096500000000002</v>
      </c>
      <c r="J148" s="29">
        <f>AVERAGE(G147:G148)</f>
        <v>8.2199999999999995E-2</v>
      </c>
      <c r="L148">
        <f>+J148/I148</f>
        <v>2.2772290942335127E-2</v>
      </c>
      <c r="M148">
        <f>+(L148-$L$619)/$L$620</f>
        <v>-0.23228488294558053</v>
      </c>
      <c r="N148">
        <f>+N146+M148</f>
        <v>-10.87341477866029</v>
      </c>
      <c r="Z148">
        <f>+(I148-$F$619)/$F$620</f>
        <v>-0.42759875638560285</v>
      </c>
      <c r="AA148">
        <f>+AA146+Z148</f>
        <v>2.3459318175145163</v>
      </c>
    </row>
    <row r="149" spans="1:27">
      <c r="A149" s="8">
        <v>2</v>
      </c>
      <c r="B149" s="74">
        <v>38671</v>
      </c>
      <c r="C149" s="12">
        <v>2005</v>
      </c>
      <c r="D149" s="16" t="s">
        <v>16</v>
      </c>
      <c r="E149" s="12">
        <v>11</v>
      </c>
      <c r="F149" s="15">
        <v>3.9666999999999999</v>
      </c>
      <c r="G149" s="15">
        <v>1.1599999999999999E-2</v>
      </c>
    </row>
    <row r="150" spans="1:27">
      <c r="A150" s="8">
        <v>16</v>
      </c>
      <c r="B150" s="74">
        <v>38671</v>
      </c>
      <c r="C150" s="12">
        <v>2005</v>
      </c>
      <c r="D150" s="16" t="s">
        <v>16</v>
      </c>
      <c r="E150" s="12">
        <v>11</v>
      </c>
      <c r="F150" s="15">
        <v>4.5237999999999996</v>
      </c>
      <c r="G150" s="15">
        <v>3.2300000000000002E-2</v>
      </c>
      <c r="I150" s="29">
        <f>AVERAGE(F149:F150)</f>
        <v>4.2452499999999995</v>
      </c>
      <c r="J150" s="29">
        <f>AVERAGE(G149:G150)</f>
        <v>2.1950000000000001E-2</v>
      </c>
      <c r="L150">
        <f>+J150/I150</f>
        <v>5.1704846593251287E-3</v>
      </c>
      <c r="M150">
        <f>+(L150-$L$619)/$L$620</f>
        <v>-0.6133007284828994</v>
      </c>
      <c r="N150">
        <f>+N148+M150</f>
        <v>-11.48671550714319</v>
      </c>
      <c r="Z150">
        <f>+(I150-$F$619)/$F$620</f>
        <v>-0.29924529457407445</v>
      </c>
      <c r="AA150">
        <f>+AA148+Z150</f>
        <v>2.0466865229404418</v>
      </c>
    </row>
    <row r="151" spans="1:27">
      <c r="A151" s="8">
        <v>2</v>
      </c>
      <c r="B151" s="74">
        <v>38707</v>
      </c>
      <c r="C151" s="12">
        <v>2005</v>
      </c>
      <c r="D151" s="16" t="s">
        <v>17</v>
      </c>
      <c r="E151" s="12">
        <v>12</v>
      </c>
      <c r="F151" s="15">
        <v>2.8999000000000001</v>
      </c>
      <c r="G151" s="15">
        <v>1.0500000000000001E-2</v>
      </c>
    </row>
    <row r="152" spans="1:27">
      <c r="A152" s="8">
        <v>16</v>
      </c>
      <c r="B152" s="74">
        <v>38707</v>
      </c>
      <c r="C152" s="12">
        <v>2005</v>
      </c>
      <c r="D152" s="16" t="s">
        <v>17</v>
      </c>
      <c r="E152" s="12">
        <v>12</v>
      </c>
      <c r="F152" s="15">
        <v>2.8738000000000001</v>
      </c>
      <c r="G152" s="15">
        <v>1.2699999999999999E-2</v>
      </c>
      <c r="I152" s="29">
        <f>AVERAGE(F151:F152)</f>
        <v>2.8868499999999999</v>
      </c>
      <c r="J152" s="29">
        <f>AVERAGE(G151:G152)</f>
        <v>1.1599999999999999E-2</v>
      </c>
      <c r="L152">
        <f>+J152/I152</f>
        <v>4.0182205518125291E-3</v>
      </c>
      <c r="M152">
        <f>+(L152-$L$619)/$L$620</f>
        <v>-0.63824310519965655</v>
      </c>
      <c r="N152">
        <f>+N150+M152</f>
        <v>-12.124958612342846</v>
      </c>
      <c r="Z152">
        <f>+(I152-$F$619)/$F$620</f>
        <v>-0.57356144077416937</v>
      </c>
      <c r="AA152">
        <f>+AA150+Z152</f>
        <v>1.4731250821662725</v>
      </c>
    </row>
    <row r="153" spans="1:27">
      <c r="A153" s="12">
        <v>2</v>
      </c>
      <c r="B153" s="74">
        <v>38734</v>
      </c>
      <c r="C153" s="12">
        <v>2006</v>
      </c>
      <c r="D153" s="11" t="s">
        <v>18</v>
      </c>
      <c r="E153" s="12">
        <v>1</v>
      </c>
      <c r="F153" s="15">
        <v>8.8552999999999997</v>
      </c>
      <c r="G153" s="15">
        <v>2.23E-2</v>
      </c>
    </row>
    <row r="154" spans="1:27">
      <c r="A154" s="12">
        <v>16</v>
      </c>
      <c r="B154" s="74">
        <v>38734</v>
      </c>
      <c r="C154" s="12">
        <v>2006</v>
      </c>
      <c r="D154" s="11" t="s">
        <v>18</v>
      </c>
      <c r="E154" s="12">
        <v>1</v>
      </c>
      <c r="F154" s="15">
        <v>6.5289000000000001</v>
      </c>
      <c r="G154" s="15">
        <v>3.2599999999999997E-2</v>
      </c>
      <c r="I154" s="29">
        <f>AVERAGE(F153:F154)</f>
        <v>7.6920999999999999</v>
      </c>
      <c r="J154" s="29">
        <f>AVERAGE(G153:G154)</f>
        <v>2.7449999999999999E-2</v>
      </c>
      <c r="L154">
        <f>+J154/I154</f>
        <v>3.5685963521015066E-3</v>
      </c>
      <c r="M154">
        <f>+(L154-$L$619)/$L$620</f>
        <v>-0.6479758531842934</v>
      </c>
      <c r="N154">
        <f>+N152+M154</f>
        <v>-12.77293446552714</v>
      </c>
      <c r="Z154">
        <f>+(I154-$F$619)/$F$620</f>
        <v>0.39681375175233713</v>
      </c>
      <c r="AA154">
        <f>+AA152+Z154</f>
        <v>1.8699388339186096</v>
      </c>
    </row>
    <row r="155" spans="1:27">
      <c r="A155" s="12">
        <v>2</v>
      </c>
      <c r="B155" s="74">
        <v>38762</v>
      </c>
      <c r="C155" s="16">
        <v>2006</v>
      </c>
      <c r="D155" s="11" t="s">
        <v>28</v>
      </c>
      <c r="E155" s="16">
        <v>2</v>
      </c>
      <c r="F155" s="15">
        <v>7.7049000000000003</v>
      </c>
      <c r="G155" s="15">
        <v>5.2600000000000001E-2</v>
      </c>
    </row>
    <row r="156" spans="1:27">
      <c r="A156" s="12">
        <v>16</v>
      </c>
      <c r="B156" s="74">
        <v>38762</v>
      </c>
      <c r="C156" s="16">
        <v>2006</v>
      </c>
      <c r="D156" s="11" t="s">
        <v>28</v>
      </c>
      <c r="E156" s="16">
        <v>2</v>
      </c>
      <c r="F156" s="15">
        <v>7.5313999999999997</v>
      </c>
      <c r="G156" s="15">
        <v>5.7000000000000002E-2</v>
      </c>
      <c r="I156" s="29">
        <f>AVERAGE(F155:F156)</f>
        <v>7.61815</v>
      </c>
      <c r="J156" s="29">
        <f>AVERAGE(G155:G156)</f>
        <v>5.4800000000000001E-2</v>
      </c>
      <c r="L156">
        <f>+J156/I156</f>
        <v>7.1933474662483673E-3</v>
      </c>
      <c r="M156">
        <f>+(L156-$L$619)/$L$620</f>
        <v>-0.56951301883574768</v>
      </c>
      <c r="N156">
        <f>+N154+M156</f>
        <v>-13.342447484362888</v>
      </c>
      <c r="Z156">
        <f>+(I156-$F$619)/$F$620</f>
        <v>0.38188024246825508</v>
      </c>
      <c r="AA156">
        <f>+AA154+Z156</f>
        <v>2.2518190763868646</v>
      </c>
    </row>
    <row r="157" spans="1:27">
      <c r="A157" s="12">
        <v>2</v>
      </c>
      <c r="B157" s="74">
        <v>38789</v>
      </c>
      <c r="C157" s="12">
        <v>2006</v>
      </c>
      <c r="D157" s="11" t="s">
        <v>29</v>
      </c>
      <c r="E157" s="16">
        <v>3</v>
      </c>
      <c r="F157" s="15">
        <v>7.3952</v>
      </c>
      <c r="G157" s="15">
        <v>4.3200000000000002E-2</v>
      </c>
    </row>
    <row r="158" spans="1:27">
      <c r="A158" s="12">
        <v>16</v>
      </c>
      <c r="B158" s="74">
        <v>38789</v>
      </c>
      <c r="C158" s="12">
        <v>2006</v>
      </c>
      <c r="D158" s="11" t="s">
        <v>29</v>
      </c>
      <c r="E158" s="16">
        <v>3</v>
      </c>
      <c r="F158" s="15">
        <v>7.0606999999999998</v>
      </c>
      <c r="G158" s="15">
        <v>3.2399999999999998E-2</v>
      </c>
      <c r="I158" s="29">
        <f>AVERAGE(F157:F158)</f>
        <v>7.2279499999999999</v>
      </c>
      <c r="J158" s="29">
        <f>AVERAGE(G157:G158)</f>
        <v>3.78E-2</v>
      </c>
      <c r="L158">
        <f>+J158/I158</f>
        <v>5.2296986005713935E-3</v>
      </c>
      <c r="M158">
        <f>+(L158-$L$619)/$L$620</f>
        <v>-0.61201895946847051</v>
      </c>
      <c r="N158">
        <f>+N156+M158</f>
        <v>-13.954466443831357</v>
      </c>
      <c r="Z158">
        <f>+(I158-$F$619)/$F$620</f>
        <v>0.30308301024852818</v>
      </c>
      <c r="AA158">
        <f>+AA156+Z158</f>
        <v>2.5549020866353929</v>
      </c>
    </row>
    <row r="159" spans="1:27">
      <c r="A159" s="12">
        <v>2</v>
      </c>
      <c r="B159" s="73">
        <v>38825</v>
      </c>
      <c r="C159" s="12">
        <v>2006</v>
      </c>
      <c r="D159" s="11" t="s">
        <v>30</v>
      </c>
      <c r="E159" s="12">
        <v>4</v>
      </c>
      <c r="F159" s="15">
        <v>2.0038999999999998</v>
      </c>
      <c r="G159" s="15">
        <v>3.2899999999999999E-2</v>
      </c>
    </row>
    <row r="160" spans="1:27">
      <c r="A160" s="12">
        <v>16</v>
      </c>
      <c r="B160" s="73">
        <v>38825</v>
      </c>
      <c r="C160" s="12">
        <v>2006</v>
      </c>
      <c r="D160" s="11" t="s">
        <v>30</v>
      </c>
      <c r="E160" s="12">
        <v>4</v>
      </c>
      <c r="F160" s="15">
        <v>2.5667</v>
      </c>
      <c r="G160" s="15">
        <v>4.4400000000000002E-2</v>
      </c>
      <c r="I160" s="29">
        <f>AVERAGE(F159:F160)</f>
        <v>2.2852999999999999</v>
      </c>
      <c r="J160" s="29">
        <f>AVERAGE(G159:G160)</f>
        <v>3.8650000000000004E-2</v>
      </c>
      <c r="L160">
        <f>+J160/I160</f>
        <v>1.6912440379818844E-2</v>
      </c>
      <c r="M160">
        <f>+(L160-$L$619)/$L$620</f>
        <v>-0.35912958745494483</v>
      </c>
      <c r="N160">
        <f>+N158+M160</f>
        <v>-14.313596031286302</v>
      </c>
      <c r="Z160">
        <f>+(I160-$F$619)/$F$620</f>
        <v>-0.69503882427436603</v>
      </c>
      <c r="AA160">
        <f>+AA158+Z160</f>
        <v>1.8598632623610269</v>
      </c>
    </row>
    <row r="161" spans="1:27">
      <c r="A161" s="12">
        <v>2</v>
      </c>
      <c r="B161" s="73">
        <v>38852</v>
      </c>
      <c r="C161" s="12">
        <v>2006</v>
      </c>
      <c r="D161" s="11" t="s">
        <v>31</v>
      </c>
      <c r="E161" s="12">
        <v>5</v>
      </c>
      <c r="F161" s="15">
        <v>0.93030000000000002</v>
      </c>
      <c r="G161" s="15">
        <v>8.9999999999999993E-3</v>
      </c>
    </row>
    <row r="162" spans="1:27">
      <c r="A162" s="12">
        <v>16</v>
      </c>
      <c r="B162" s="73">
        <v>38852</v>
      </c>
      <c r="C162" s="12">
        <v>2006</v>
      </c>
      <c r="D162" s="11" t="s">
        <v>31</v>
      </c>
      <c r="E162" s="12">
        <v>5</v>
      </c>
      <c r="F162" s="15">
        <v>1.3180000000000001</v>
      </c>
      <c r="G162" s="15">
        <v>8.3999999999999995E-3</v>
      </c>
      <c r="I162" s="29">
        <f>AVERAGE(F161:F162)</f>
        <v>1.12415</v>
      </c>
      <c r="J162" s="29">
        <f>AVERAGE(G161:G162)</f>
        <v>8.6999999999999994E-3</v>
      </c>
      <c r="L162">
        <f>+J162/I162</f>
        <v>7.7391807143174837E-3</v>
      </c>
      <c r="M162">
        <f>+(L162-$L$619)/$L$620</f>
        <v>-0.55769769072728093</v>
      </c>
      <c r="N162">
        <f>+N160+M162</f>
        <v>-14.871293722013583</v>
      </c>
      <c r="Z162">
        <f>+(I162-$F$619)/$F$620</f>
        <v>-0.92952218201894798</v>
      </c>
      <c r="AA162">
        <f>+AA160+Z162</f>
        <v>0.93034108034207896</v>
      </c>
    </row>
    <row r="163" spans="1:27">
      <c r="A163" s="12">
        <v>2</v>
      </c>
      <c r="B163" s="73">
        <v>38883</v>
      </c>
      <c r="C163" s="12">
        <v>2006</v>
      </c>
      <c r="D163" s="11" t="s">
        <v>32</v>
      </c>
      <c r="E163" s="12">
        <v>6</v>
      </c>
      <c r="F163" s="15">
        <v>13.7333</v>
      </c>
      <c r="G163" s="15">
        <v>0.3624</v>
      </c>
    </row>
    <row r="164" spans="1:27">
      <c r="A164" s="12">
        <v>16</v>
      </c>
      <c r="B164" s="73">
        <v>38883</v>
      </c>
      <c r="C164" s="12">
        <v>2006</v>
      </c>
      <c r="D164" s="11" t="s">
        <v>32</v>
      </c>
      <c r="E164" s="12">
        <v>6</v>
      </c>
      <c r="F164" s="15">
        <v>20.088100000000001</v>
      </c>
      <c r="G164" s="15">
        <v>0.45450000000000002</v>
      </c>
      <c r="I164" s="29">
        <f>AVERAGE(F163:F164)</f>
        <v>16.910699999999999</v>
      </c>
      <c r="J164" s="29">
        <f>AVERAGE(G163:G164)</f>
        <v>0.40844999999999998</v>
      </c>
      <c r="L164">
        <f>+J164/I164</f>
        <v>2.4153346697652966E-2</v>
      </c>
      <c r="M164">
        <f>+(L164-$L$619)/$L$620</f>
        <v>-0.2023899893257978</v>
      </c>
      <c r="N164">
        <f>+N162+M164</f>
        <v>-15.073683711339381</v>
      </c>
      <c r="Z164">
        <f>+(I164-$F$619)/$F$620</f>
        <v>2.2584236055216214</v>
      </c>
      <c r="AA164">
        <f>+AA162+Z164</f>
        <v>3.1887646858637004</v>
      </c>
    </row>
    <row r="165" spans="1:27">
      <c r="A165" s="12">
        <v>2</v>
      </c>
      <c r="B165" s="73">
        <v>38916</v>
      </c>
      <c r="C165" s="12">
        <v>2006</v>
      </c>
      <c r="D165" s="11" t="s">
        <v>33</v>
      </c>
      <c r="E165" s="12">
        <v>7</v>
      </c>
      <c r="F165" s="15">
        <v>16.374400000000001</v>
      </c>
      <c r="G165" s="15">
        <v>2.1</v>
      </c>
    </row>
    <row r="166" spans="1:27">
      <c r="A166" s="12">
        <v>16</v>
      </c>
      <c r="B166" s="73">
        <v>38916</v>
      </c>
      <c r="C166" s="12">
        <v>2006</v>
      </c>
      <c r="D166" s="11" t="s">
        <v>33</v>
      </c>
      <c r="E166" s="12">
        <v>7</v>
      </c>
      <c r="F166" s="15">
        <v>13.152699999999999</v>
      </c>
      <c r="G166" s="15">
        <v>1.8488</v>
      </c>
      <c r="I166" s="29">
        <f>AVERAGE(F165:F166)</f>
        <v>14.76355</v>
      </c>
      <c r="J166" s="29">
        <f>AVERAGE(G165:G166)</f>
        <v>1.9744000000000002</v>
      </c>
      <c r="L166">
        <f>+J166/I166</f>
        <v>0.13373477246326257</v>
      </c>
      <c r="M166">
        <f>+(L166-$L$619)/$L$620</f>
        <v>2.1696540453577176</v>
      </c>
      <c r="N166">
        <f>+N164+M166</f>
        <v>-12.904029665981664</v>
      </c>
      <c r="Z166">
        <f>+(I166-$F$619)/$F$620</f>
        <v>1.8248267906559454</v>
      </c>
      <c r="AA166">
        <f>+AA164+Z166</f>
        <v>5.0135914765196459</v>
      </c>
    </row>
    <row r="167" spans="1:27">
      <c r="A167" s="12">
        <v>2</v>
      </c>
      <c r="B167" s="73">
        <v>38953</v>
      </c>
      <c r="C167" s="12">
        <v>2006</v>
      </c>
      <c r="D167" s="11" t="s">
        <v>34</v>
      </c>
      <c r="E167" s="12">
        <v>8</v>
      </c>
      <c r="F167" s="15">
        <v>13.5991</v>
      </c>
      <c r="G167" s="15">
        <v>1.698</v>
      </c>
    </row>
    <row r="168" spans="1:27">
      <c r="A168" s="12">
        <v>16</v>
      </c>
      <c r="B168" s="73">
        <v>38953</v>
      </c>
      <c r="C168" s="12">
        <v>2006</v>
      </c>
      <c r="D168" s="11" t="s">
        <v>34</v>
      </c>
      <c r="E168" s="12">
        <v>8</v>
      </c>
      <c r="F168" s="15">
        <v>15.647600000000001</v>
      </c>
      <c r="G168" s="15">
        <v>1.3992</v>
      </c>
      <c r="I168" s="29">
        <f>AVERAGE(F167:F168)</f>
        <v>14.62335</v>
      </c>
      <c r="J168" s="29">
        <f>AVERAGE(G167:G168)</f>
        <v>1.5486</v>
      </c>
      <c r="L168">
        <f>+J168/I168</f>
        <v>0.105899127081004</v>
      </c>
      <c r="M168">
        <f>+(L168-$L$619)/$L$620</f>
        <v>1.5671123635057023</v>
      </c>
      <c r="N168">
        <f>+N166+M168</f>
        <v>-11.336917302475962</v>
      </c>
      <c r="Z168">
        <f>+(I168-$F$619)/$F$620</f>
        <v>1.7965147149070839</v>
      </c>
      <c r="AA168">
        <f>+AA166+Z168</f>
        <v>6.8101061914267298</v>
      </c>
    </row>
    <row r="169" spans="1:27">
      <c r="A169" s="12">
        <v>2</v>
      </c>
      <c r="B169" s="73">
        <v>38972</v>
      </c>
      <c r="C169" s="12">
        <v>2006</v>
      </c>
      <c r="D169" s="11" t="s">
        <v>35</v>
      </c>
      <c r="E169" s="12">
        <v>9</v>
      </c>
      <c r="F169" s="15">
        <v>3.3815</v>
      </c>
      <c r="G169" s="15">
        <v>5.9700000000000003E-2</v>
      </c>
    </row>
    <row r="170" spans="1:27">
      <c r="A170" s="12">
        <v>16</v>
      </c>
      <c r="B170" s="73">
        <v>38972</v>
      </c>
      <c r="C170" s="12">
        <v>2006</v>
      </c>
      <c r="D170" s="11" t="s">
        <v>35</v>
      </c>
      <c r="E170" s="12">
        <v>9</v>
      </c>
      <c r="F170" s="15">
        <v>5.4568000000000003</v>
      </c>
      <c r="G170" s="15">
        <v>6.2399999999999997E-2</v>
      </c>
      <c r="I170" s="29">
        <f>AVERAGE(F169:F170)</f>
        <v>4.4191500000000001</v>
      </c>
      <c r="J170" s="29">
        <f>AVERAGE(G169:G170)</f>
        <v>6.105E-2</v>
      </c>
      <c r="L170">
        <f>+J170/I170</f>
        <v>1.3814873901089576E-2</v>
      </c>
      <c r="M170">
        <f>+(L170-$L$619)/$L$620</f>
        <v>-0.4261807691362412</v>
      </c>
      <c r="N170">
        <f>+N168+M170</f>
        <v>-11.763098071612204</v>
      </c>
      <c r="Z170">
        <f>+(I170-$F$619)/$F$620</f>
        <v>-0.26412781973294025</v>
      </c>
      <c r="AA170">
        <f>+AA168+Z170</f>
        <v>6.5459783716937894</v>
      </c>
    </row>
    <row r="171" spans="1:27">
      <c r="A171" s="12">
        <v>2</v>
      </c>
      <c r="B171" s="73">
        <v>39009</v>
      </c>
      <c r="C171" s="12">
        <v>2006</v>
      </c>
      <c r="D171" s="11" t="s">
        <v>36</v>
      </c>
      <c r="E171" s="12">
        <v>10</v>
      </c>
      <c r="F171" s="15">
        <v>7.5449999999999999</v>
      </c>
      <c r="G171" s="15">
        <v>0.218</v>
      </c>
    </row>
    <row r="172" spans="1:27">
      <c r="A172" s="12">
        <v>16</v>
      </c>
      <c r="B172" s="73">
        <v>39008</v>
      </c>
      <c r="C172" s="12">
        <v>2006</v>
      </c>
      <c r="D172" s="11" t="s">
        <v>36</v>
      </c>
      <c r="E172" s="12">
        <v>10</v>
      </c>
      <c r="F172" s="15">
        <v>23.14</v>
      </c>
      <c r="G172" s="15">
        <v>1.0549999999999999</v>
      </c>
      <c r="I172" s="29">
        <f>AVERAGE(F171:F172)</f>
        <v>15.342500000000001</v>
      </c>
      <c r="J172" s="29">
        <f>AVERAGE(G171:G172)</f>
        <v>0.63649999999999995</v>
      </c>
      <c r="L172">
        <f>+J172/I172</f>
        <v>4.1486068111455103E-2</v>
      </c>
      <c r="M172">
        <f>+(L172-$L$619)/$L$620</f>
        <v>0.17280113587804635</v>
      </c>
      <c r="N172">
        <f>+N170+M172</f>
        <v>-11.590296935734157</v>
      </c>
      <c r="Z172">
        <f>+(I172-$F$619)/$F$620</f>
        <v>1.9417403160111764</v>
      </c>
      <c r="AA172">
        <f>+AA170+Z172</f>
        <v>8.487718687704966</v>
      </c>
    </row>
    <row r="173" spans="1:27">
      <c r="A173" s="12">
        <v>2</v>
      </c>
      <c r="B173" s="73">
        <v>39035</v>
      </c>
      <c r="C173" s="12">
        <v>2006</v>
      </c>
      <c r="D173" s="11" t="s">
        <v>37</v>
      </c>
      <c r="E173" s="12">
        <v>11</v>
      </c>
      <c r="F173" s="15">
        <v>2.8820000000000001</v>
      </c>
      <c r="G173" s="15">
        <v>0.04</v>
      </c>
    </row>
    <row r="174" spans="1:27">
      <c r="A174" s="12">
        <v>16</v>
      </c>
      <c r="B174" s="73">
        <v>39035</v>
      </c>
      <c r="C174" s="12">
        <v>2006</v>
      </c>
      <c r="D174" s="11" t="s">
        <v>37</v>
      </c>
      <c r="E174" s="12">
        <v>11</v>
      </c>
      <c r="F174" s="15">
        <v>7.0620000000000003</v>
      </c>
      <c r="G174" s="15">
        <v>0.10199999999999999</v>
      </c>
      <c r="I174" s="29">
        <f>AVERAGE(F173:F174)</f>
        <v>4.9720000000000004</v>
      </c>
      <c r="J174" s="29">
        <f>AVERAGE(G173:G174)</f>
        <v>7.0999999999999994E-2</v>
      </c>
      <c r="L174">
        <f>+J174/I174</f>
        <v>1.4279967819790827E-2</v>
      </c>
      <c r="M174">
        <f>+(L174-$L$619)/$L$620</f>
        <v>-0.41611315733328263</v>
      </c>
      <c r="N174">
        <f>+N172+M174</f>
        <v>-12.006410093067441</v>
      </c>
      <c r="Z174">
        <f>+(I174-$F$619)/$F$620</f>
        <v>-0.15248494471326815</v>
      </c>
      <c r="AA174">
        <f>+AA172+Z174</f>
        <v>8.3352337429916972</v>
      </c>
    </row>
    <row r="175" spans="1:27">
      <c r="A175" s="12">
        <v>2</v>
      </c>
      <c r="B175" s="74">
        <v>39063</v>
      </c>
      <c r="C175" s="16">
        <v>2006</v>
      </c>
      <c r="D175" s="11" t="s">
        <v>38</v>
      </c>
      <c r="E175" s="16">
        <v>12</v>
      </c>
      <c r="F175" s="15">
        <v>5.9379999999999997</v>
      </c>
      <c r="G175" s="15">
        <v>3.1E-2</v>
      </c>
    </row>
    <row r="176" spans="1:27">
      <c r="A176" s="12">
        <v>16</v>
      </c>
      <c r="B176" s="74">
        <v>39063</v>
      </c>
      <c r="C176" s="16">
        <v>2006</v>
      </c>
      <c r="D176" s="11" t="s">
        <v>38</v>
      </c>
      <c r="E176" s="16">
        <v>12</v>
      </c>
      <c r="F176" s="15">
        <v>12.098000000000001</v>
      </c>
      <c r="G176" s="15">
        <v>0.28999999999999998</v>
      </c>
      <c r="I176" s="29">
        <f>AVERAGE(F175:F176)</f>
        <v>9.0180000000000007</v>
      </c>
      <c r="J176" s="29">
        <f>AVERAGE(G175:G176)</f>
        <v>0.16049999999999998</v>
      </c>
      <c r="L176">
        <f>+J176/I176</f>
        <v>1.7797737857618092E-2</v>
      </c>
      <c r="M176">
        <f>+(L176-$L$619)/$L$620</f>
        <v>-0.33996607879951074</v>
      </c>
      <c r="N176">
        <f>+N174+M176</f>
        <v>-12.346376171866952</v>
      </c>
      <c r="Z176">
        <f>+(I176-$F$619)/$F$620</f>
        <v>0.66456682761121977</v>
      </c>
      <c r="AA176">
        <f>+AA174+Z176</f>
        <v>8.9998005706029165</v>
      </c>
    </row>
    <row r="177" spans="1:27">
      <c r="A177" s="16">
        <v>2</v>
      </c>
      <c r="B177" s="74">
        <v>39098</v>
      </c>
      <c r="C177" s="16">
        <v>2007</v>
      </c>
      <c r="D177" s="11" t="s">
        <v>39</v>
      </c>
      <c r="E177" s="16">
        <v>1</v>
      </c>
      <c r="F177" s="15">
        <v>15.638</v>
      </c>
      <c r="G177" s="15">
        <v>0.48</v>
      </c>
    </row>
    <row r="178" spans="1:27">
      <c r="A178" s="16">
        <v>16</v>
      </c>
      <c r="B178" s="74">
        <v>39098</v>
      </c>
      <c r="C178" s="16">
        <v>2007</v>
      </c>
      <c r="D178" s="11" t="s">
        <v>39</v>
      </c>
      <c r="E178" s="16">
        <v>1</v>
      </c>
      <c r="F178" s="15">
        <v>17.384</v>
      </c>
      <c r="G178" s="15">
        <v>0.442</v>
      </c>
      <c r="I178" s="29">
        <f>AVERAGE(F177:F178)</f>
        <v>16.510999999999999</v>
      </c>
      <c r="J178" s="29">
        <f>AVERAGE(G177:G178)</f>
        <v>0.46099999999999997</v>
      </c>
      <c r="L178">
        <f>+J178/I178</f>
        <v>2.792078008600327E-2</v>
      </c>
      <c r="M178">
        <f>+(L178-$L$619)/$L$620</f>
        <v>-0.1208385965375829</v>
      </c>
      <c r="N178">
        <f>+N176+M178</f>
        <v>-12.467214768404535</v>
      </c>
      <c r="Z178">
        <f>+(I178-$F$619)/$F$620</f>
        <v>2.1777079373560015</v>
      </c>
      <c r="AA178">
        <f>+AA176+Z178</f>
        <v>11.177508507958919</v>
      </c>
    </row>
    <row r="179" spans="1:27">
      <c r="A179" s="16">
        <v>2</v>
      </c>
      <c r="B179" s="74">
        <v>39133</v>
      </c>
      <c r="C179" s="16">
        <v>2007</v>
      </c>
      <c r="D179" s="11" t="s">
        <v>28</v>
      </c>
      <c r="E179" s="16">
        <v>2</v>
      </c>
      <c r="F179" s="15">
        <v>5.827</v>
      </c>
      <c r="G179" s="15">
        <v>3.6999999999999998E-2</v>
      </c>
    </row>
    <row r="180" spans="1:27">
      <c r="A180" s="16">
        <v>16</v>
      </c>
      <c r="B180" s="74">
        <v>39134</v>
      </c>
      <c r="C180" s="16">
        <v>2007</v>
      </c>
      <c r="D180" s="11" t="s">
        <v>28</v>
      </c>
      <c r="E180" s="16">
        <v>2</v>
      </c>
      <c r="F180" s="15">
        <v>3.9449999999999998</v>
      </c>
      <c r="G180" s="15">
        <v>3.7999999999999999E-2</v>
      </c>
      <c r="I180" s="29">
        <f>AVERAGE(F179:F180)</f>
        <v>4.8860000000000001</v>
      </c>
      <c r="J180" s="29">
        <f>AVERAGE(G179:G180)</f>
        <v>3.7499999999999999E-2</v>
      </c>
      <c r="L180">
        <f>+J180/I180</f>
        <v>7.6749897666803105E-3</v>
      </c>
      <c r="M180">
        <f>+(L180-$L$619)/$L$620</f>
        <v>-0.55908719404282581</v>
      </c>
      <c r="N180">
        <f>+N178+M180</f>
        <v>-13.026301962447361</v>
      </c>
      <c r="Z180">
        <f>+(I180-$F$619)/$F$620</f>
        <v>-0.16985183853924596</v>
      </c>
      <c r="AA180">
        <f>+AA178+Z180</f>
        <v>11.007656669419672</v>
      </c>
    </row>
    <row r="181" spans="1:27">
      <c r="A181" s="16">
        <v>2</v>
      </c>
      <c r="B181" s="74">
        <v>39154</v>
      </c>
      <c r="C181" s="16">
        <v>2007</v>
      </c>
      <c r="D181" s="11" t="s">
        <v>29</v>
      </c>
      <c r="E181" s="16">
        <v>3</v>
      </c>
      <c r="F181" s="15">
        <v>2.7410000000000001</v>
      </c>
      <c r="G181" s="15">
        <v>2.1999999999999999E-2</v>
      </c>
    </row>
    <row r="182" spans="1:27">
      <c r="A182" s="16">
        <v>16</v>
      </c>
      <c r="B182" s="74">
        <v>39154</v>
      </c>
      <c r="C182" s="16">
        <v>2007</v>
      </c>
      <c r="D182" s="11" t="s">
        <v>29</v>
      </c>
      <c r="E182" s="16">
        <v>3</v>
      </c>
      <c r="F182" s="15">
        <v>2.4710000000000001</v>
      </c>
      <c r="G182" s="15">
        <v>2.1000000000000001E-2</v>
      </c>
      <c r="I182" s="29">
        <f>AVERAGE(F181:F182)</f>
        <v>2.6059999999999999</v>
      </c>
      <c r="J182" s="29">
        <f>AVERAGE(G181:G182)</f>
        <v>2.1499999999999998E-2</v>
      </c>
      <c r="L182">
        <f>+J182/I182</f>
        <v>8.2501918649270905E-3</v>
      </c>
      <c r="M182">
        <f>+(L182-$L$619)/$L$620</f>
        <v>-0.5466361358789894</v>
      </c>
      <c r="N182">
        <f>+N180+M182</f>
        <v>-13.57293809832635</v>
      </c>
      <c r="Z182">
        <f>+(I182-$F$619)/$F$620</f>
        <v>-0.63027646555353967</v>
      </c>
      <c r="AA182">
        <f>+AA180+Z182</f>
        <v>10.377380203866133</v>
      </c>
    </row>
    <row r="183" spans="1:27">
      <c r="A183" s="16">
        <v>2</v>
      </c>
      <c r="B183" s="74">
        <v>39190</v>
      </c>
      <c r="C183" s="16">
        <v>2007</v>
      </c>
      <c r="D183" s="11" t="s">
        <v>30</v>
      </c>
      <c r="E183" s="16">
        <v>4</v>
      </c>
      <c r="F183" s="15">
        <v>5.0179999999999998</v>
      </c>
      <c r="G183" s="15">
        <v>1.2999999999999999E-2</v>
      </c>
    </row>
    <row r="184" spans="1:27">
      <c r="A184" s="16">
        <v>16</v>
      </c>
      <c r="B184" s="74">
        <v>39190</v>
      </c>
      <c r="C184" s="16">
        <v>2007</v>
      </c>
      <c r="D184" s="11" t="s">
        <v>30</v>
      </c>
      <c r="E184" s="16">
        <v>4</v>
      </c>
      <c r="F184" s="15">
        <v>8.9130000000000003</v>
      </c>
      <c r="G184" s="15">
        <v>2.1000000000000001E-2</v>
      </c>
      <c r="I184" s="29">
        <f>AVERAGE(F183:F184)</f>
        <v>6.9655000000000005</v>
      </c>
      <c r="J184" s="29">
        <f>AVERAGE(G183:G184)</f>
        <v>1.7000000000000001E-2</v>
      </c>
      <c r="L184">
        <f>+J184/I184</f>
        <v>2.4406001004952981E-3</v>
      </c>
      <c r="M184">
        <f>+(L184-$L$619)/$L$620</f>
        <v>-0.67239291803879719</v>
      </c>
      <c r="N184">
        <f>+N182+M184</f>
        <v>-14.245331016365148</v>
      </c>
      <c r="Z184">
        <f>+(I184-$F$619)/$F$620</f>
        <v>0.25008369298541366</v>
      </c>
      <c r="AA184">
        <f>+AA182+Z184</f>
        <v>10.627463896851546</v>
      </c>
    </row>
    <row r="185" spans="1:27">
      <c r="A185" s="16">
        <v>2</v>
      </c>
      <c r="B185" s="74">
        <v>39217</v>
      </c>
      <c r="C185" s="16">
        <v>2007</v>
      </c>
      <c r="D185" s="11" t="s">
        <v>31</v>
      </c>
      <c r="E185" s="16">
        <v>5</v>
      </c>
      <c r="F185" s="15">
        <v>3.7530000000000001</v>
      </c>
      <c r="G185" s="15">
        <v>2.7E-2</v>
      </c>
    </row>
    <row r="186" spans="1:27">
      <c r="A186" s="16">
        <v>16</v>
      </c>
      <c r="B186" s="74">
        <v>39217</v>
      </c>
      <c r="C186" s="16">
        <v>2007</v>
      </c>
      <c r="D186" s="11" t="s">
        <v>31</v>
      </c>
      <c r="E186" s="16">
        <v>5</v>
      </c>
      <c r="F186" s="15">
        <v>7.5650000000000004</v>
      </c>
      <c r="G186" s="15">
        <v>6.4000000000000001E-2</v>
      </c>
      <c r="I186" s="29">
        <f>AVERAGE(F185:F186)</f>
        <v>5.6590000000000007</v>
      </c>
      <c r="J186" s="29">
        <f>AVERAGE(G185:G186)</f>
        <v>4.5499999999999999E-2</v>
      </c>
      <c r="L186">
        <f>+J186/I186</f>
        <v>8.0402898038522703E-3</v>
      </c>
      <c r="M186">
        <f>+(L186-$L$619)/$L$620</f>
        <v>-0.5511797611180449</v>
      </c>
      <c r="N186">
        <f>+N184+M186</f>
        <v>-14.796510777483192</v>
      </c>
      <c r="Z186">
        <f>+(I186-$F$619)/$F$620</f>
        <v>-1.3751734731329606E-2</v>
      </c>
      <c r="AA186">
        <f>+AA184+Z186</f>
        <v>10.613712162120217</v>
      </c>
    </row>
    <row r="187" spans="1:27">
      <c r="A187" s="16">
        <v>2</v>
      </c>
      <c r="B187" s="74">
        <v>39245</v>
      </c>
      <c r="C187" s="16">
        <v>2007</v>
      </c>
      <c r="D187" s="11" t="s">
        <v>32</v>
      </c>
      <c r="E187" s="16">
        <v>6</v>
      </c>
      <c r="F187" s="15">
        <v>17.007000000000001</v>
      </c>
      <c r="G187" s="15">
        <v>0.30099999999999999</v>
      </c>
    </row>
    <row r="188" spans="1:27">
      <c r="A188" s="16">
        <v>16</v>
      </c>
      <c r="B188" s="74">
        <v>39245</v>
      </c>
      <c r="C188" s="16">
        <v>2007</v>
      </c>
      <c r="D188" s="11" t="s">
        <v>32</v>
      </c>
      <c r="E188" s="16">
        <v>6</v>
      </c>
      <c r="F188" s="15">
        <v>24.376999999999999</v>
      </c>
      <c r="G188" s="15">
        <v>0.45300000000000001</v>
      </c>
      <c r="I188" s="29">
        <f>AVERAGE(F187:F188)</f>
        <v>20.692</v>
      </c>
      <c r="J188" s="29">
        <f>AVERAGE(G187:G188)</f>
        <v>0.377</v>
      </c>
      <c r="L188">
        <f>+J188/I188</f>
        <v>1.8219601778465107E-2</v>
      </c>
      <c r="M188">
        <f>+(L188-$L$619)/$L$620</f>
        <v>-0.33083424108247123</v>
      </c>
      <c r="N188">
        <f>+N186+M188</f>
        <v>-15.127345018565663</v>
      </c>
      <c r="Z188">
        <f>+(I188-$F$619)/$F$620</f>
        <v>3.0220216941747569</v>
      </c>
      <c r="AA188">
        <f>+AA186+Z188</f>
        <v>13.635733856294975</v>
      </c>
    </row>
    <row r="189" spans="1:27">
      <c r="A189" s="16">
        <v>2</v>
      </c>
      <c r="B189" s="74">
        <v>39280</v>
      </c>
      <c r="C189" s="16">
        <v>2007</v>
      </c>
      <c r="D189" s="11" t="s">
        <v>33</v>
      </c>
      <c r="E189" s="16">
        <v>7</v>
      </c>
      <c r="F189" s="15">
        <v>16.196000000000002</v>
      </c>
      <c r="G189" s="15">
        <v>2.153</v>
      </c>
    </row>
    <row r="190" spans="1:27">
      <c r="A190" s="16">
        <v>16</v>
      </c>
      <c r="B190" s="74">
        <v>39280</v>
      </c>
      <c r="C190" s="16">
        <v>2007</v>
      </c>
      <c r="D190" s="11" t="s">
        <v>33</v>
      </c>
      <c r="E190" s="16">
        <v>7</v>
      </c>
      <c r="F190" s="15">
        <v>17.375</v>
      </c>
      <c r="G190" s="15">
        <v>2.0369999999999999</v>
      </c>
      <c r="I190" s="29">
        <f>AVERAGE(F189:F190)</f>
        <v>16.785499999999999</v>
      </c>
      <c r="J190" s="29">
        <f>AVERAGE(G189:G190)</f>
        <v>2.0949999999999998</v>
      </c>
      <c r="L190">
        <f>+J190/I190</f>
        <v>0.12481010395877394</v>
      </c>
      <c r="M190">
        <f>+(L190-$L$619)/$L$620</f>
        <v>1.9764670472903509</v>
      </c>
      <c r="N190">
        <f>+N188+M190</f>
        <v>-13.150877971275312</v>
      </c>
      <c r="Z190">
        <f>+(I190-$F$619)/$F$620</f>
        <v>2.2331406391610118</v>
      </c>
      <c r="AA190">
        <f>+AA188+Z190</f>
        <v>15.868874495455987</v>
      </c>
    </row>
    <row r="191" spans="1:27">
      <c r="A191" s="16">
        <v>2</v>
      </c>
      <c r="B191" s="74">
        <v>39308</v>
      </c>
      <c r="C191" s="16">
        <v>2007</v>
      </c>
      <c r="D191" s="11" t="s">
        <v>34</v>
      </c>
      <c r="E191" s="16">
        <v>8</v>
      </c>
      <c r="F191" s="15">
        <v>10.210000000000001</v>
      </c>
      <c r="G191" s="15">
        <v>0.51900000000000002</v>
      </c>
    </row>
    <row r="192" spans="1:27">
      <c r="A192" s="16">
        <v>16</v>
      </c>
      <c r="B192" s="74">
        <v>39308</v>
      </c>
      <c r="C192" s="16">
        <v>2007</v>
      </c>
      <c r="D192" s="11" t="s">
        <v>34</v>
      </c>
      <c r="E192" s="16">
        <v>8</v>
      </c>
      <c r="F192" s="15">
        <v>14.263</v>
      </c>
      <c r="G192" s="15">
        <v>1.7490000000000001</v>
      </c>
      <c r="I192" s="29">
        <f>AVERAGE(F191:F192)</f>
        <v>12.236499999999999</v>
      </c>
      <c r="J192" s="29">
        <f>AVERAGE(G191:G192)</f>
        <v>1.1340000000000001</v>
      </c>
      <c r="L192">
        <f>+J192/I192</f>
        <v>9.2673558615617227E-2</v>
      </c>
      <c r="M192">
        <f>+(L192-$L$619)/$L$620</f>
        <v>1.28082633862114</v>
      </c>
      <c r="N192">
        <f>+N190+M192</f>
        <v>-11.870051632654173</v>
      </c>
      <c r="Z192">
        <f>+(I192-$F$619)/$F$620</f>
        <v>1.3145127320171424</v>
      </c>
      <c r="AA192">
        <f>+AA190+Z192</f>
        <v>17.18338722747313</v>
      </c>
    </row>
    <row r="193" spans="1:27">
      <c r="A193" s="16">
        <v>2</v>
      </c>
      <c r="B193" s="74">
        <v>39337</v>
      </c>
      <c r="C193" s="16">
        <v>2007</v>
      </c>
      <c r="D193" s="11" t="s">
        <v>40</v>
      </c>
      <c r="E193" s="16">
        <v>9</v>
      </c>
      <c r="F193" s="15">
        <v>13.247999999999999</v>
      </c>
      <c r="G193" s="15">
        <v>1.8280000000000001</v>
      </c>
    </row>
    <row r="194" spans="1:27">
      <c r="A194" s="16">
        <v>16</v>
      </c>
      <c r="B194" s="74">
        <v>39336</v>
      </c>
      <c r="C194" s="16">
        <v>2007</v>
      </c>
      <c r="D194" s="11" t="s">
        <v>40</v>
      </c>
      <c r="E194" s="16">
        <v>9</v>
      </c>
      <c r="F194" s="15">
        <v>12.465999999999999</v>
      </c>
      <c r="G194" s="15">
        <v>1.7949999999999999</v>
      </c>
      <c r="I194" s="29">
        <f>AVERAGE(F193:F194)</f>
        <v>12.856999999999999</v>
      </c>
      <c r="J194" s="29">
        <f>AVERAGE(G193:G194)</f>
        <v>1.8115000000000001</v>
      </c>
      <c r="L194">
        <f>+J194/I194</f>
        <v>0.1408960099556662</v>
      </c>
      <c r="M194">
        <f>+(L194-$L$619)/$L$620</f>
        <v>2.3246690997442339</v>
      </c>
      <c r="N194">
        <f>+N192+M194</f>
        <v>-9.5453825329099384</v>
      </c>
      <c r="Z194">
        <f>+(I194-$F$619)/$F$620</f>
        <v>1.4398168903778306</v>
      </c>
      <c r="AA194">
        <f>+AA192+Z194</f>
        <v>18.62320411785096</v>
      </c>
    </row>
    <row r="195" spans="1:27">
      <c r="A195" s="16">
        <v>2</v>
      </c>
      <c r="B195" s="74">
        <v>39373</v>
      </c>
      <c r="C195" s="16">
        <v>2007</v>
      </c>
      <c r="D195" s="11" t="s">
        <v>36</v>
      </c>
      <c r="E195" s="16">
        <v>10</v>
      </c>
      <c r="F195" s="15">
        <v>2.7330000000000001</v>
      </c>
      <c r="G195" s="15">
        <v>0.05</v>
      </c>
    </row>
    <row r="196" spans="1:27">
      <c r="A196" s="16">
        <v>16</v>
      </c>
      <c r="B196" s="74">
        <v>39373</v>
      </c>
      <c r="C196" s="16">
        <v>2007</v>
      </c>
      <c r="D196" s="11" t="s">
        <v>36</v>
      </c>
      <c r="E196" s="16">
        <v>10</v>
      </c>
      <c r="F196" s="15">
        <v>4.891</v>
      </c>
      <c r="G196" s="15">
        <v>0.44500000000000001</v>
      </c>
      <c r="I196" s="29">
        <f>AVERAGE(F195:F196)</f>
        <v>3.8120000000000003</v>
      </c>
      <c r="J196" s="29">
        <f>AVERAGE(G195:G196)</f>
        <v>0.2475</v>
      </c>
      <c r="L196">
        <f>+J196/I196</f>
        <v>6.4926547743966417E-2</v>
      </c>
      <c r="M196">
        <f>+(L196-$L$619)/$L$620</f>
        <v>0.68020327537337555</v>
      </c>
      <c r="N196">
        <f>+N194+M196</f>
        <v>-8.8651792575365622</v>
      </c>
      <c r="Z196">
        <f>+(I196-$F$619)/$F$620</f>
        <v>-0.38673607073808425</v>
      </c>
      <c r="AA196">
        <f>+AA194+Z196</f>
        <v>18.236468047112876</v>
      </c>
    </row>
    <row r="197" spans="1:27">
      <c r="A197" s="16">
        <v>2</v>
      </c>
      <c r="B197" s="74">
        <v>39399</v>
      </c>
      <c r="C197" s="16">
        <v>2007</v>
      </c>
      <c r="D197" s="11" t="s">
        <v>37</v>
      </c>
      <c r="E197" s="16">
        <v>11</v>
      </c>
      <c r="F197" s="15">
        <v>0.96299999999999997</v>
      </c>
      <c r="G197" s="15">
        <v>4.0000000000000001E-3</v>
      </c>
    </row>
    <row r="198" spans="1:27">
      <c r="A198" s="16">
        <v>16</v>
      </c>
      <c r="B198" s="74">
        <v>39399</v>
      </c>
      <c r="C198" s="16">
        <v>2007</v>
      </c>
      <c r="D198" s="11" t="s">
        <v>37</v>
      </c>
      <c r="E198" s="16">
        <v>11</v>
      </c>
      <c r="F198" s="15">
        <v>3.145</v>
      </c>
      <c r="G198" s="15">
        <v>3.5000000000000003E-2</v>
      </c>
      <c r="I198" s="29">
        <f>AVERAGE(F197:F198)</f>
        <v>2.0539999999999998</v>
      </c>
      <c r="J198" s="29">
        <f>AVERAGE(G197:G198)</f>
        <v>1.9500000000000003E-2</v>
      </c>
      <c r="L198">
        <f>+J198/I198</f>
        <v>9.4936708860759514E-3</v>
      </c>
      <c r="M198">
        <f>+(L198-$L$619)/$L$620</f>
        <v>-0.51971928410632406</v>
      </c>
      <c r="N198">
        <f>+N196+M198</f>
        <v>-9.3848985416428867</v>
      </c>
      <c r="Z198">
        <f>+(I198-$F$619)/$F$620</f>
        <v>-0.74174769104121085</v>
      </c>
      <c r="AA198">
        <f>+AA196+Z198</f>
        <v>17.494720356071664</v>
      </c>
    </row>
    <row r="199" spans="1:27">
      <c r="A199" s="16">
        <v>2</v>
      </c>
      <c r="B199" s="74">
        <v>39426</v>
      </c>
      <c r="C199" s="16">
        <v>2007</v>
      </c>
      <c r="D199" s="11" t="s">
        <v>38</v>
      </c>
      <c r="E199" s="16">
        <v>12</v>
      </c>
      <c r="F199" s="15">
        <v>1.2290000000000001</v>
      </c>
      <c r="G199" s="15">
        <v>5.0000000000000001E-3</v>
      </c>
    </row>
    <row r="200" spans="1:27">
      <c r="A200" s="16">
        <v>16</v>
      </c>
      <c r="B200" s="74">
        <v>39427</v>
      </c>
      <c r="C200" s="16">
        <v>2007</v>
      </c>
      <c r="D200" s="11" t="s">
        <v>38</v>
      </c>
      <c r="E200" s="16">
        <v>12</v>
      </c>
      <c r="F200" s="15">
        <v>2.2930000000000001</v>
      </c>
      <c r="G200" s="15">
        <v>4.0000000000000001E-3</v>
      </c>
      <c r="I200" s="29">
        <f>AVERAGE(F199:F200)</f>
        <v>1.7610000000000001</v>
      </c>
      <c r="J200" s="29">
        <f>AVERAGE(G199:G200)</f>
        <v>4.5000000000000005E-3</v>
      </c>
      <c r="L200">
        <f>+J200/I200</f>
        <v>2.5553662691652473E-3</v>
      </c>
      <c r="M200">
        <f>+(L200-$L$619)/$L$620</f>
        <v>-0.66990864295408226</v>
      </c>
      <c r="N200">
        <f>+N198+M200</f>
        <v>-10.054807184596969</v>
      </c>
      <c r="Z200">
        <f>+(I200-$F$619)/$F$620</f>
        <v>-0.80091629442506518</v>
      </c>
      <c r="AA200">
        <f>+AA198+Z200</f>
        <v>16.693804061646599</v>
      </c>
    </row>
    <row r="201" spans="1:27">
      <c r="A201" s="16">
        <v>2</v>
      </c>
      <c r="B201" s="74">
        <v>39462</v>
      </c>
      <c r="C201" s="16">
        <v>2008</v>
      </c>
      <c r="D201" s="11" t="s">
        <v>39</v>
      </c>
      <c r="E201" s="16">
        <v>1</v>
      </c>
      <c r="F201" s="25">
        <v>3.5289999999999999</v>
      </c>
      <c r="G201" s="25">
        <v>8.9999999999999993E-3</v>
      </c>
    </row>
    <row r="202" spans="1:27">
      <c r="A202" s="16">
        <v>16</v>
      </c>
      <c r="B202" s="74">
        <v>39462</v>
      </c>
      <c r="C202" s="16">
        <v>2008</v>
      </c>
      <c r="D202" s="11" t="s">
        <v>39</v>
      </c>
      <c r="E202" s="16">
        <v>1</v>
      </c>
      <c r="F202" s="25">
        <v>2.8180000000000001</v>
      </c>
      <c r="G202" s="25">
        <v>1.0999999999999999E-2</v>
      </c>
      <c r="I202" s="29">
        <f>AVERAGE(F201:F202)</f>
        <v>3.1734999999999998</v>
      </c>
      <c r="J202" s="29">
        <f>AVERAGE(G201:G202)</f>
        <v>9.9999999999999985E-3</v>
      </c>
      <c r="L202">
        <f>+J202/I202</f>
        <v>3.1510950055144162E-3</v>
      </c>
      <c r="M202">
        <f>+(L202-$L$619)/$L$620</f>
        <v>-0.65701325684759793</v>
      </c>
      <c r="N202">
        <f>+N200+M202</f>
        <v>-10.711820441444567</v>
      </c>
      <c r="Z202">
        <f>+(I202-$F$619)/$F$620</f>
        <v>-0.51567516036467498</v>
      </c>
      <c r="AA202">
        <f>+AA200+Z202</f>
        <v>16.178128901281923</v>
      </c>
    </row>
    <row r="203" spans="1:27">
      <c r="A203" s="16">
        <v>2</v>
      </c>
      <c r="B203" s="74">
        <v>39490</v>
      </c>
      <c r="C203" s="16">
        <v>2008</v>
      </c>
      <c r="D203" s="11" t="s">
        <v>28</v>
      </c>
      <c r="E203" s="16">
        <v>2</v>
      </c>
      <c r="F203" s="25">
        <v>6.0679999999999996</v>
      </c>
      <c r="G203" s="25">
        <v>2.4E-2</v>
      </c>
    </row>
    <row r="204" spans="1:27">
      <c r="A204" s="16">
        <v>16</v>
      </c>
      <c r="B204" s="74">
        <v>39490</v>
      </c>
      <c r="C204" s="16">
        <v>2008</v>
      </c>
      <c r="D204" s="11" t="s">
        <v>28</v>
      </c>
      <c r="E204" s="16">
        <v>2</v>
      </c>
      <c r="F204" s="25">
        <v>5.6310000000000002</v>
      </c>
      <c r="G204" s="25">
        <v>0.129</v>
      </c>
      <c r="I204" s="29">
        <f>AVERAGE(F203:F204)</f>
        <v>5.8494999999999999</v>
      </c>
      <c r="J204" s="29">
        <f>AVERAGE(G203:G204)</f>
        <v>7.6499999999999999E-2</v>
      </c>
      <c r="L204">
        <f>+J204/I204</f>
        <v>1.3078040858193007E-2</v>
      </c>
      <c r="M204">
        <f>+(L204-$L$619)/$L$620</f>
        <v>-0.44213055635382115</v>
      </c>
      <c r="N204">
        <f>+N202+M204</f>
        <v>-11.153950997798388</v>
      </c>
      <c r="Z204">
        <f>+(I204-$F$619)/$F$620</f>
        <v>2.4717954499469775E-2</v>
      </c>
      <c r="AA204">
        <f>+AA202+Z204</f>
        <v>16.202846855781392</v>
      </c>
    </row>
    <row r="205" spans="1:27">
      <c r="A205" s="16">
        <v>2</v>
      </c>
      <c r="B205" s="74">
        <v>39520</v>
      </c>
      <c r="C205" s="16">
        <v>2008</v>
      </c>
      <c r="D205" s="11" t="s">
        <v>29</v>
      </c>
      <c r="E205" s="16">
        <v>3</v>
      </c>
      <c r="F205" s="26">
        <v>1.8859999999999999</v>
      </c>
      <c r="G205" s="25">
        <v>2.4E-2</v>
      </c>
    </row>
    <row r="206" spans="1:27">
      <c r="A206" s="16">
        <v>16</v>
      </c>
      <c r="B206" s="74">
        <v>39520</v>
      </c>
      <c r="C206" s="16">
        <v>2008</v>
      </c>
      <c r="D206" s="11" t="s">
        <v>29</v>
      </c>
      <c r="E206" s="16">
        <v>3</v>
      </c>
      <c r="F206" s="26">
        <v>1.9970000000000001</v>
      </c>
      <c r="G206" s="25">
        <v>5.0999999999999997E-2</v>
      </c>
      <c r="I206" s="29">
        <f>AVERAGE(F205:F206)</f>
        <v>1.9415</v>
      </c>
      <c r="J206" s="29">
        <f>AVERAGE(G205:G206)</f>
        <v>3.7499999999999999E-2</v>
      </c>
      <c r="L206">
        <f>+J206/I206</f>
        <v>1.9314962657738861E-2</v>
      </c>
      <c r="M206">
        <f>+(L206-$L$619)/$L$620</f>
        <v>-0.30712361474818223</v>
      </c>
      <c r="N206">
        <f>+N204+M206</f>
        <v>-11.46107461254657</v>
      </c>
      <c r="Z206">
        <f>+(I206-$F$619)/$F$620</f>
        <v>-0.76446601145310022</v>
      </c>
      <c r="AA206">
        <f>+AA204+Z206</f>
        <v>15.438380844328291</v>
      </c>
    </row>
    <row r="207" spans="1:27">
      <c r="A207" s="16">
        <v>2</v>
      </c>
      <c r="B207" s="74">
        <v>39553</v>
      </c>
      <c r="C207" s="16">
        <v>2008</v>
      </c>
      <c r="D207" s="11" t="s">
        <v>30</v>
      </c>
      <c r="E207" s="16">
        <v>4</v>
      </c>
      <c r="F207" s="26">
        <v>0.93100000000000005</v>
      </c>
      <c r="G207" s="25">
        <v>8.9999999999999993E-3</v>
      </c>
    </row>
    <row r="208" spans="1:27">
      <c r="A208" s="16">
        <v>16</v>
      </c>
      <c r="B208" s="74">
        <v>39553</v>
      </c>
      <c r="C208" s="16">
        <v>2008</v>
      </c>
      <c r="D208" s="11" t="s">
        <v>30</v>
      </c>
      <c r="E208" s="16">
        <v>4</v>
      </c>
      <c r="F208" s="26">
        <v>1.046</v>
      </c>
      <c r="G208" s="25">
        <v>1.2E-2</v>
      </c>
      <c r="I208" s="29">
        <f>AVERAGE(F207:F208)</f>
        <v>0.98850000000000005</v>
      </c>
      <c r="J208" s="29">
        <f>AVERAGE(G207:G208)</f>
        <v>1.0499999999999999E-2</v>
      </c>
      <c r="L208">
        <f>+J208/I208</f>
        <v>1.062215477996965E-2</v>
      </c>
      <c r="M208">
        <f>+(L208-$L$619)/$L$620</f>
        <v>-0.49529166354887139</v>
      </c>
      <c r="N208">
        <f>+N206+M208</f>
        <v>-11.956366276095441</v>
      </c>
      <c r="Z208">
        <f>+(I208-$F$619)/$F$620</f>
        <v>-0.9569154279200397</v>
      </c>
      <c r="AA208">
        <f>+AA206+Z208</f>
        <v>14.481465416408252</v>
      </c>
    </row>
    <row r="209" spans="1:27">
      <c r="A209" s="16">
        <v>2</v>
      </c>
      <c r="B209" s="74">
        <v>39582</v>
      </c>
      <c r="C209" s="16">
        <v>2008</v>
      </c>
      <c r="D209" s="11" t="s">
        <v>31</v>
      </c>
      <c r="E209" s="16">
        <v>5</v>
      </c>
      <c r="F209" s="26">
        <v>3.9430000000000001</v>
      </c>
      <c r="G209" s="25">
        <v>6.7000000000000004E-2</v>
      </c>
    </row>
    <row r="210" spans="1:27">
      <c r="A210" s="16">
        <v>16</v>
      </c>
      <c r="B210" s="74">
        <v>39583</v>
      </c>
      <c r="C210" s="16">
        <v>2008</v>
      </c>
      <c r="D210" s="11" t="s">
        <v>31</v>
      </c>
      <c r="E210" s="16">
        <v>5</v>
      </c>
      <c r="F210" s="26">
        <v>4.1219999999999999</v>
      </c>
      <c r="G210" s="25">
        <v>7.0999999999999994E-2</v>
      </c>
      <c r="I210" s="29">
        <f>AVERAGE(F209:F210)</f>
        <v>4.0324999999999998</v>
      </c>
      <c r="J210" s="29">
        <f>AVERAGE(G209:G210)</f>
        <v>6.9000000000000006E-2</v>
      </c>
      <c r="L210">
        <f>+J210/I210</f>
        <v>1.7110973341599507E-2</v>
      </c>
      <c r="M210">
        <f>+(L210-$L$619)/$L$620</f>
        <v>-0.35483206235532466</v>
      </c>
      <c r="N210">
        <f>+N208+M210</f>
        <v>-12.311198338450765</v>
      </c>
      <c r="Z210">
        <f>+(I210-$F$619)/$F$620</f>
        <v>-0.34220816273078097</v>
      </c>
      <c r="AA210">
        <f>+AA208+Z210</f>
        <v>14.139257253677471</v>
      </c>
    </row>
    <row r="211" spans="1:27">
      <c r="A211" s="16">
        <v>2</v>
      </c>
      <c r="B211" s="74">
        <v>39616</v>
      </c>
      <c r="C211" s="16">
        <v>2008</v>
      </c>
      <c r="D211" s="11" t="s">
        <v>32</v>
      </c>
      <c r="E211" s="16">
        <v>6</v>
      </c>
      <c r="F211" s="26">
        <v>10.725</v>
      </c>
      <c r="G211" s="25">
        <v>1.054</v>
      </c>
    </row>
    <row r="212" spans="1:27">
      <c r="A212" s="16">
        <v>16</v>
      </c>
      <c r="B212" s="74">
        <v>39616</v>
      </c>
      <c r="C212" s="16">
        <v>2008</v>
      </c>
      <c r="D212" s="11" t="s">
        <v>32</v>
      </c>
      <c r="E212" s="16">
        <v>6</v>
      </c>
      <c r="F212" s="26">
        <v>11.07</v>
      </c>
      <c r="G212" s="25">
        <v>0.76</v>
      </c>
      <c r="I212" s="29">
        <f>AVERAGE(F211:F212)</f>
        <v>10.897500000000001</v>
      </c>
      <c r="J212" s="29">
        <f>AVERAGE(G211:G212)</f>
        <v>0.90700000000000003</v>
      </c>
      <c r="L212">
        <f>+J212/I212</f>
        <v>8.323009864647854E-2</v>
      </c>
      <c r="M212">
        <f>+(L212-$L$619)/$L$620</f>
        <v>1.0764093698687771</v>
      </c>
      <c r="N212">
        <f>+N210+M212</f>
        <v>-11.234788968581988</v>
      </c>
      <c r="Z212">
        <f>+(I212-$F$619)/$F$620</f>
        <v>1.0441142339591869</v>
      </c>
      <c r="AA212">
        <f>+AA210+Z212</f>
        <v>15.183371487636657</v>
      </c>
    </row>
    <row r="213" spans="1:27">
      <c r="A213" s="16">
        <v>2</v>
      </c>
      <c r="B213" s="74">
        <v>39644</v>
      </c>
      <c r="C213" s="16">
        <v>2008</v>
      </c>
      <c r="D213" s="11" t="s">
        <v>33</v>
      </c>
      <c r="E213" s="16">
        <v>7</v>
      </c>
      <c r="F213" s="26">
        <v>12.685</v>
      </c>
      <c r="G213" s="25">
        <v>0.9</v>
      </c>
    </row>
    <row r="214" spans="1:27">
      <c r="A214" s="16">
        <v>16</v>
      </c>
      <c r="B214" s="74">
        <v>39644</v>
      </c>
      <c r="C214" s="16">
        <v>2008</v>
      </c>
      <c r="D214" s="11" t="s">
        <v>33</v>
      </c>
      <c r="E214" s="16">
        <v>7</v>
      </c>
      <c r="F214" s="26">
        <v>14.726000000000001</v>
      </c>
      <c r="G214" s="25">
        <v>1.3919999999999999</v>
      </c>
      <c r="I214" s="29">
        <f>AVERAGE(F213:F214)</f>
        <v>13.705500000000001</v>
      </c>
      <c r="J214" s="29">
        <f>AVERAGE(G213:G214)</f>
        <v>1.1459999999999999</v>
      </c>
      <c r="L214">
        <f>+J214/I214</f>
        <v>8.3616066542628861E-2</v>
      </c>
      <c r="M214">
        <f>+(L214-$L$619)/$L$620</f>
        <v>1.0847641876606264</v>
      </c>
      <c r="N214">
        <f>+N212+M214</f>
        <v>-10.150024780921362</v>
      </c>
      <c r="Z214">
        <f>+(I214-$F$619)/$F$620</f>
        <v>1.6111635114399485</v>
      </c>
      <c r="AA214">
        <f>+AA212+Z214</f>
        <v>16.794534999076607</v>
      </c>
    </row>
    <row r="215" spans="1:27">
      <c r="A215" s="16">
        <v>2</v>
      </c>
      <c r="B215" s="74">
        <v>39673</v>
      </c>
      <c r="C215" s="16">
        <v>2008</v>
      </c>
      <c r="D215" s="11" t="s">
        <v>34</v>
      </c>
      <c r="E215" s="16">
        <v>8</v>
      </c>
      <c r="F215" s="26">
        <v>7.4409999999999998</v>
      </c>
      <c r="G215" s="25">
        <v>0.49399999999999999</v>
      </c>
    </row>
    <row r="216" spans="1:27">
      <c r="A216" s="16">
        <v>16</v>
      </c>
      <c r="B216" s="74">
        <v>39673</v>
      </c>
      <c r="C216" s="16">
        <v>2008</v>
      </c>
      <c r="D216" s="11" t="s">
        <v>34</v>
      </c>
      <c r="E216" s="16">
        <v>8</v>
      </c>
      <c r="F216" s="26">
        <v>7.3840000000000003</v>
      </c>
      <c r="G216" s="25">
        <v>0.91</v>
      </c>
      <c r="I216" s="29">
        <f>AVERAGE(F215:F216)</f>
        <v>7.4124999999999996</v>
      </c>
      <c r="J216" s="29">
        <f>AVERAGE(G215:G216)</f>
        <v>0.70199999999999996</v>
      </c>
      <c r="L216">
        <f>+J216/I216</f>
        <v>9.4704890387858343E-2</v>
      </c>
      <c r="M216">
        <f>+(L216-$L$619)/$L$620</f>
        <v>1.3247973709301559</v>
      </c>
      <c r="N216">
        <f>+N214+M216</f>
        <v>-8.8252274099912054</v>
      </c>
      <c r="Z216">
        <f>+(I216-$F$619)/$F$620</f>
        <v>0.34035115275532107</v>
      </c>
      <c r="AA216">
        <f>+AA214+Z216</f>
        <v>17.134886151831928</v>
      </c>
    </row>
    <row r="217" spans="1:27">
      <c r="A217" s="16">
        <v>2</v>
      </c>
      <c r="B217" s="74">
        <v>39707</v>
      </c>
      <c r="C217" s="16">
        <v>2008</v>
      </c>
      <c r="D217" s="11" t="s">
        <v>40</v>
      </c>
      <c r="E217" s="16">
        <v>9</v>
      </c>
      <c r="F217" s="25">
        <v>22.388000000000002</v>
      </c>
      <c r="G217" s="25">
        <v>0.81499999999999995</v>
      </c>
    </row>
    <row r="218" spans="1:27">
      <c r="A218" s="16">
        <v>16</v>
      </c>
      <c r="B218" s="74">
        <v>39707</v>
      </c>
      <c r="C218" s="16">
        <v>2008</v>
      </c>
      <c r="D218" s="11" t="s">
        <v>40</v>
      </c>
      <c r="E218" s="16">
        <v>9</v>
      </c>
      <c r="F218" s="25">
        <v>16.899999999999999</v>
      </c>
      <c r="G218" s="25">
        <v>0.93600000000000005</v>
      </c>
      <c r="I218" s="29">
        <f>AVERAGE(F217:F218)</f>
        <v>19.643999999999998</v>
      </c>
      <c r="J218" s="29">
        <f>AVERAGE(G217:G218)</f>
        <v>0.87549999999999994</v>
      </c>
      <c r="L218">
        <f>+J218/I218</f>
        <v>4.4568316025249438E-2</v>
      </c>
      <c r="M218">
        <f>+(L218-$L$619)/$L$620</f>
        <v>0.239520725683074</v>
      </c>
      <c r="N218">
        <f>+N216+M218</f>
        <v>-8.585706684308132</v>
      </c>
      <c r="Z218">
        <f>+(I218-$F$619)/$F$620</f>
        <v>2.810387918248888</v>
      </c>
      <c r="AA218">
        <f>+AA216+Z218</f>
        <v>19.945274070080817</v>
      </c>
    </row>
    <row r="219" spans="1:27">
      <c r="A219" s="16">
        <v>2</v>
      </c>
      <c r="B219" s="74">
        <v>39737</v>
      </c>
      <c r="C219" s="16">
        <v>2008</v>
      </c>
      <c r="D219" s="11" t="s">
        <v>36</v>
      </c>
      <c r="E219" s="16">
        <v>10</v>
      </c>
      <c r="F219" s="25">
        <v>1.742</v>
      </c>
      <c r="G219" s="25">
        <v>2.5000000000000001E-2</v>
      </c>
    </row>
    <row r="220" spans="1:27">
      <c r="A220" s="16">
        <v>16</v>
      </c>
      <c r="B220" s="74">
        <v>39737</v>
      </c>
      <c r="C220" s="16">
        <v>2008</v>
      </c>
      <c r="D220" s="11" t="s">
        <v>36</v>
      </c>
      <c r="E220" s="16">
        <v>10</v>
      </c>
      <c r="F220" s="25">
        <v>5.1740000000000004</v>
      </c>
      <c r="G220" s="25">
        <v>0.34799999999999998</v>
      </c>
      <c r="I220" s="29">
        <f>AVERAGE(F219:F220)</f>
        <v>3.4580000000000002</v>
      </c>
      <c r="J220" s="29">
        <f>AVERAGE(G219:G220)</f>
        <v>0.1865</v>
      </c>
      <c r="L220">
        <f>+J220/I220</f>
        <v>5.3932909196067087E-2</v>
      </c>
      <c r="M220">
        <f>+(L220-$L$619)/$L$620</f>
        <v>0.44223051169725874</v>
      </c>
      <c r="N220">
        <f>+N218+M220</f>
        <v>-8.1434761726108729</v>
      </c>
      <c r="Z220">
        <f>+(I220-$F$619)/$F$620</f>
        <v>-0.45822305230082988</v>
      </c>
      <c r="AA220">
        <f>+AA218+Z220</f>
        <v>19.487051017779986</v>
      </c>
    </row>
    <row r="221" spans="1:27">
      <c r="A221" s="16">
        <v>2</v>
      </c>
      <c r="B221" s="74">
        <v>39763</v>
      </c>
      <c r="C221" s="16">
        <v>2008</v>
      </c>
      <c r="D221" s="11" t="s">
        <v>37</v>
      </c>
      <c r="E221" s="16">
        <v>11</v>
      </c>
      <c r="F221" s="25">
        <v>2.1349999999999998</v>
      </c>
      <c r="G221" s="25">
        <v>2.5999999999999999E-2</v>
      </c>
    </row>
    <row r="222" spans="1:27">
      <c r="A222" s="16">
        <v>16</v>
      </c>
      <c r="B222" s="74">
        <v>39763</v>
      </c>
      <c r="C222" s="16">
        <v>2008</v>
      </c>
      <c r="D222" s="11" t="s">
        <v>37</v>
      </c>
      <c r="E222" s="16">
        <v>11</v>
      </c>
      <c r="F222" s="25">
        <v>3.6680000000000001</v>
      </c>
      <c r="G222" s="25">
        <v>5.3999999999999999E-2</v>
      </c>
      <c r="I222" s="29">
        <f>AVERAGE(F221:F222)</f>
        <v>2.9015</v>
      </c>
      <c r="J222" s="29">
        <f>AVERAGE(G221:G222)</f>
        <v>0.04</v>
      </c>
      <c r="L222">
        <f>+J222/I222</f>
        <v>1.3785972772703775E-2</v>
      </c>
      <c r="M222">
        <f>+(L222-$L$619)/$L$620</f>
        <v>-0.4268063746957983</v>
      </c>
      <c r="N222">
        <f>+N220+M222</f>
        <v>-8.5702825473066717</v>
      </c>
      <c r="Z222">
        <f>+(I222-$F$619)/$F$620</f>
        <v>-0.57060301060497665</v>
      </c>
      <c r="AA222">
        <f>+AA220+Z222</f>
        <v>18.91644800717501</v>
      </c>
    </row>
    <row r="223" spans="1:27">
      <c r="A223" s="16">
        <v>2</v>
      </c>
      <c r="B223" s="74">
        <v>39799</v>
      </c>
      <c r="C223" s="16">
        <v>2008</v>
      </c>
      <c r="D223" s="11" t="s">
        <v>38</v>
      </c>
      <c r="E223" s="16">
        <v>12</v>
      </c>
      <c r="F223" s="25">
        <v>6.0270000000000001</v>
      </c>
      <c r="G223" s="25">
        <v>2.4E-2</v>
      </c>
    </row>
    <row r="224" spans="1:27">
      <c r="A224" s="16">
        <v>16</v>
      </c>
      <c r="B224" s="74">
        <v>39800</v>
      </c>
      <c r="C224" s="16">
        <v>2008</v>
      </c>
      <c r="D224" s="11" t="s">
        <v>38</v>
      </c>
      <c r="E224" s="16">
        <v>12</v>
      </c>
      <c r="F224" s="25">
        <v>4.6399999999999997</v>
      </c>
      <c r="G224" s="25">
        <v>6.9000000000000006E-2</v>
      </c>
      <c r="I224" s="29">
        <f>AVERAGE(F223:F224)</f>
        <v>5.3334999999999999</v>
      </c>
      <c r="J224" s="29">
        <f>AVERAGE(G223:G224)</f>
        <v>4.65E-2</v>
      </c>
      <c r="L224">
        <f>+J224/I224</f>
        <v>8.7184775475766391E-3</v>
      </c>
      <c r="M224">
        <f>+(L224-$L$619)/$L$620</f>
        <v>-0.53649943385767696</v>
      </c>
      <c r="N224">
        <f>+N222+M224</f>
        <v>-9.1067819811643496</v>
      </c>
      <c r="Z224">
        <f>+(I224-$F$619)/$F$620</f>
        <v>-7.948340845639669E-2</v>
      </c>
      <c r="AA224">
        <f>+AA222+Z224</f>
        <v>18.836964598718613</v>
      </c>
    </row>
    <row r="225" spans="1:27">
      <c r="A225" s="16">
        <v>2</v>
      </c>
      <c r="B225" s="74">
        <v>39825</v>
      </c>
      <c r="C225" s="16">
        <v>2009</v>
      </c>
      <c r="D225" s="11" t="s">
        <v>39</v>
      </c>
      <c r="E225" s="12">
        <v>1</v>
      </c>
      <c r="F225" s="25">
        <v>7.7110000000000003</v>
      </c>
      <c r="G225" s="25">
        <v>1.6E-2</v>
      </c>
    </row>
    <row r="226" spans="1:27">
      <c r="A226" s="16">
        <v>16</v>
      </c>
      <c r="B226" s="74">
        <v>39825</v>
      </c>
      <c r="C226" s="16">
        <v>2009</v>
      </c>
      <c r="D226" s="11" t="s">
        <v>39</v>
      </c>
      <c r="E226" s="12">
        <v>1</v>
      </c>
      <c r="F226" s="25">
        <v>6.8780000000000001</v>
      </c>
      <c r="G226" s="25">
        <v>2.7E-2</v>
      </c>
      <c r="I226" s="29">
        <f>AVERAGE(F225:F226)</f>
        <v>7.2945000000000002</v>
      </c>
      <c r="J226" s="29">
        <f>AVERAGE(G225:G226)</f>
        <v>2.1499999999999998E-2</v>
      </c>
      <c r="L226">
        <f>+J226/I226</f>
        <v>2.9474261429844402E-3</v>
      </c>
      <c r="M226">
        <f>+(L226-$L$619)/$L$620</f>
        <v>-0.66142195574013074</v>
      </c>
      <c r="N226">
        <f>+N224+M226</f>
        <v>-9.7682039369044809</v>
      </c>
      <c r="Z226">
        <f>+(I226-$F$619)/$F$620</f>
        <v>0.31652215890107266</v>
      </c>
      <c r="AA226">
        <f>+AA224+Z226</f>
        <v>19.153486757619685</v>
      </c>
    </row>
    <row r="227" spans="1:27">
      <c r="A227" s="12">
        <v>2</v>
      </c>
      <c r="B227" s="74">
        <v>39855</v>
      </c>
      <c r="C227" s="16">
        <v>2009</v>
      </c>
      <c r="D227" s="11" t="s">
        <v>28</v>
      </c>
      <c r="E227" s="12">
        <v>2</v>
      </c>
      <c r="F227" s="25">
        <v>5.3019999999999996</v>
      </c>
      <c r="G227" s="27">
        <v>3.5999999999999997E-2</v>
      </c>
    </row>
    <row r="228" spans="1:27">
      <c r="A228" s="12">
        <v>16</v>
      </c>
      <c r="B228" s="74">
        <v>39854</v>
      </c>
      <c r="C228" s="16">
        <v>2009</v>
      </c>
      <c r="D228" s="11" t="s">
        <v>28</v>
      </c>
      <c r="E228" s="12">
        <v>2</v>
      </c>
      <c r="F228" s="25">
        <v>4.5049999999999999</v>
      </c>
      <c r="G228" s="25">
        <v>2.7E-2</v>
      </c>
      <c r="I228" s="29">
        <f>AVERAGE(F227:F228)</f>
        <v>4.9034999999999993</v>
      </c>
      <c r="J228" s="29">
        <f>AVERAGE(G227:G228)</f>
        <v>3.15E-2</v>
      </c>
      <c r="L228">
        <f>+J228/I228</f>
        <v>6.4239828693790158E-3</v>
      </c>
      <c r="M228">
        <f>+(L228-$L$619)/$L$620</f>
        <v>-0.58616699727917632</v>
      </c>
      <c r="N228">
        <f>+N226+M228</f>
        <v>-10.354370934183658</v>
      </c>
      <c r="Z228">
        <f>+(I228-$F$619)/$F$620</f>
        <v>-0.16631787758628555</v>
      </c>
      <c r="AA228">
        <f>+AA226+Z228</f>
        <v>18.987168880033401</v>
      </c>
    </row>
    <row r="229" spans="1:27">
      <c r="A229" s="12">
        <v>2</v>
      </c>
      <c r="B229" s="74">
        <v>39890</v>
      </c>
      <c r="C229" s="16">
        <v>2009</v>
      </c>
      <c r="D229" s="11" t="s">
        <v>29</v>
      </c>
      <c r="E229" s="12">
        <v>3</v>
      </c>
      <c r="F229" s="25">
        <v>4.0570000000000004</v>
      </c>
      <c r="G229" s="27">
        <v>1.4999999999999999E-2</v>
      </c>
    </row>
    <row r="230" spans="1:27">
      <c r="A230" s="12">
        <v>16</v>
      </c>
      <c r="B230" s="74">
        <v>39890</v>
      </c>
      <c r="C230" s="16">
        <v>2009</v>
      </c>
      <c r="D230" s="11" t="s">
        <v>29</v>
      </c>
      <c r="E230" s="12">
        <v>3</v>
      </c>
      <c r="F230" s="25">
        <v>3.7959999999999998</v>
      </c>
      <c r="G230" s="27">
        <v>3.5999999999999997E-2</v>
      </c>
      <c r="I230" s="29">
        <f>AVERAGE(F229:F230)</f>
        <v>3.9264999999999999</v>
      </c>
      <c r="J230" s="29">
        <f>AVERAGE(G229:G230)</f>
        <v>2.5499999999999998E-2</v>
      </c>
      <c r="L230">
        <f>+J230/I230</f>
        <v>6.4943333757799563E-3</v>
      </c>
      <c r="M230">
        <f>+(L230-$L$619)/$L$620</f>
        <v>-0.58464416165370958</v>
      </c>
      <c r="N230">
        <f>+N228+M230</f>
        <v>-10.939015095837368</v>
      </c>
      <c r="Z230">
        <f>+(I230-$F$619)/$F$620</f>
        <v>-0.36361386907442794</v>
      </c>
      <c r="AA230">
        <f>+AA228+Z230</f>
        <v>18.623555010958974</v>
      </c>
    </row>
    <row r="231" spans="1:27">
      <c r="A231" s="12">
        <v>2</v>
      </c>
      <c r="B231" s="74">
        <v>39920</v>
      </c>
      <c r="C231" s="16">
        <v>2009</v>
      </c>
      <c r="D231" s="11" t="s">
        <v>30</v>
      </c>
      <c r="E231" s="12">
        <v>4</v>
      </c>
      <c r="F231" s="25">
        <v>2.726</v>
      </c>
      <c r="G231" s="27">
        <v>1.4E-2</v>
      </c>
    </row>
    <row r="232" spans="1:27">
      <c r="A232" s="12">
        <v>16</v>
      </c>
      <c r="B232" s="74">
        <v>39920</v>
      </c>
      <c r="C232" s="16">
        <v>2009</v>
      </c>
      <c r="D232" s="11" t="s">
        <v>30</v>
      </c>
      <c r="E232" s="12">
        <v>4</v>
      </c>
      <c r="F232" s="25">
        <v>2.3159999999999998</v>
      </c>
      <c r="G232" s="27">
        <v>1.4999999999999999E-2</v>
      </c>
      <c r="I232" s="29">
        <f>AVERAGE(F231:F232)</f>
        <v>2.5209999999999999</v>
      </c>
      <c r="J232" s="29">
        <f>AVERAGE(G231:G232)</f>
        <v>1.4499999999999999E-2</v>
      </c>
      <c r="L232">
        <f>+J232/I232</f>
        <v>5.7516858389527964E-3</v>
      </c>
      <c r="M232">
        <f>+(L232-$L$619)/$L$620</f>
        <v>-0.60071981176772837</v>
      </c>
      <c r="N232">
        <f>+N230+M232</f>
        <v>-11.539734907605096</v>
      </c>
      <c r="Z232">
        <f>+(I232-$F$619)/$F$620</f>
        <v>-0.64744141875363392</v>
      </c>
      <c r="AA232">
        <f>+AA230+Z232</f>
        <v>17.976113592205341</v>
      </c>
    </row>
    <row r="233" spans="1:27">
      <c r="A233" s="12">
        <v>2</v>
      </c>
      <c r="B233" s="74">
        <v>39945</v>
      </c>
      <c r="C233" s="16">
        <v>2009</v>
      </c>
      <c r="D233" s="11" t="s">
        <v>31</v>
      </c>
      <c r="E233" s="12">
        <v>5</v>
      </c>
      <c r="F233" s="25">
        <v>3.7349999999999999</v>
      </c>
      <c r="G233" s="27">
        <v>1.4E-2</v>
      </c>
    </row>
    <row r="234" spans="1:27">
      <c r="A234" s="12">
        <v>16</v>
      </c>
      <c r="B234" s="74">
        <v>39945</v>
      </c>
      <c r="C234" s="16">
        <v>2009</v>
      </c>
      <c r="D234" s="11" t="s">
        <v>31</v>
      </c>
      <c r="E234" s="12">
        <v>5</v>
      </c>
      <c r="F234" s="25">
        <v>8.7650000000000006</v>
      </c>
      <c r="G234" s="27">
        <v>6.9000000000000006E-2</v>
      </c>
      <c r="I234" s="29">
        <f>AVERAGE(F233:F234)</f>
        <v>6.25</v>
      </c>
      <c r="J234" s="29">
        <f>AVERAGE(G233:G234)</f>
        <v>4.1500000000000002E-2</v>
      </c>
      <c r="L234">
        <f>+J234/I234</f>
        <v>6.6400000000000001E-3</v>
      </c>
      <c r="M234">
        <f>+(L234-$L$619)/$L$620</f>
        <v>-0.58149100276186683</v>
      </c>
      <c r="N234">
        <f>+N232+M234</f>
        <v>-12.121225910366963</v>
      </c>
      <c r="Z234">
        <f>+(I234-$F$619)/$F$620</f>
        <v>0.10559517516579638</v>
      </c>
      <c r="AA234">
        <f>+AA232+Z234</f>
        <v>18.081708767371136</v>
      </c>
    </row>
    <row r="235" spans="1:27">
      <c r="A235" s="16">
        <v>2</v>
      </c>
      <c r="B235" s="74">
        <v>39980</v>
      </c>
      <c r="C235" s="16">
        <v>2009</v>
      </c>
      <c r="D235" s="11" t="s">
        <v>32</v>
      </c>
      <c r="E235" s="12">
        <v>6</v>
      </c>
      <c r="F235" s="25">
        <v>7.8079999999999998</v>
      </c>
      <c r="G235" s="27">
        <v>0.61099999999999999</v>
      </c>
    </row>
    <row r="236" spans="1:27">
      <c r="A236" s="16">
        <v>16</v>
      </c>
      <c r="B236" s="74">
        <v>39980</v>
      </c>
      <c r="C236" s="16">
        <v>2009</v>
      </c>
      <c r="D236" s="11" t="s">
        <v>32</v>
      </c>
      <c r="E236" s="12">
        <v>6</v>
      </c>
      <c r="F236" s="25">
        <v>14.867000000000001</v>
      </c>
      <c r="G236" s="27">
        <v>0.78200000000000003</v>
      </c>
      <c r="I236" s="29">
        <f>AVERAGE(F235:F236)</f>
        <v>11.3375</v>
      </c>
      <c r="J236" s="29">
        <f>AVERAGE(G235:G236)</f>
        <v>0.69650000000000001</v>
      </c>
      <c r="L236">
        <f>+J236/I236</f>
        <v>6.1433296582138919E-2</v>
      </c>
      <c r="M236">
        <f>+(L236-$L$619)/$L$620</f>
        <v>0.60458694238471811</v>
      </c>
      <c r="N236">
        <f>+N234+M236</f>
        <v>-11.516638967982246</v>
      </c>
      <c r="Z236">
        <f>+(I236-$F$619)/$F$620</f>
        <v>1.13296810934791</v>
      </c>
      <c r="AA236">
        <f>+AA234+Z236</f>
        <v>19.214676876719047</v>
      </c>
    </row>
    <row r="237" spans="1:27">
      <c r="A237" s="16">
        <v>2</v>
      </c>
      <c r="B237" s="74">
        <v>40009</v>
      </c>
      <c r="C237" s="16">
        <v>2009</v>
      </c>
      <c r="D237" s="11" t="s">
        <v>33</v>
      </c>
      <c r="E237" s="12">
        <v>7</v>
      </c>
      <c r="F237" s="25">
        <v>12.242000000000001</v>
      </c>
      <c r="G237" s="27">
        <v>2.2469999999999999</v>
      </c>
    </row>
    <row r="238" spans="1:27">
      <c r="A238" s="16">
        <v>16</v>
      </c>
      <c r="B238" s="74">
        <v>40009</v>
      </c>
      <c r="C238" s="16">
        <v>2009</v>
      </c>
      <c r="D238" s="11" t="s">
        <v>33</v>
      </c>
      <c r="E238" s="12">
        <v>7</v>
      </c>
      <c r="F238" s="25">
        <v>8.31</v>
      </c>
      <c r="G238" s="27">
        <v>2.097</v>
      </c>
      <c r="I238" s="29">
        <f>AVERAGE(F237:F238)</f>
        <v>10.276</v>
      </c>
      <c r="J238" s="29">
        <f>AVERAGE(G237:G238)</f>
        <v>2.1719999999999997</v>
      </c>
      <c r="L238">
        <f>+J238/I238</f>
        <v>0.21136629038536392</v>
      </c>
      <c r="M238">
        <f>+(L238-$L$619)/$L$620</f>
        <v>3.8500974024684993</v>
      </c>
      <c r="N238">
        <f>+N236+M238</f>
        <v>-7.6665415655137465</v>
      </c>
      <c r="Z238">
        <f>+(I238-$F$619)/$F$620</f>
        <v>0.91860813497261495</v>
      </c>
      <c r="AA238">
        <f>+AA236+Z238</f>
        <v>20.133285011691662</v>
      </c>
    </row>
    <row r="239" spans="1:27">
      <c r="A239" s="16">
        <v>2</v>
      </c>
      <c r="B239" s="74">
        <v>40043</v>
      </c>
      <c r="C239" s="16">
        <v>2009</v>
      </c>
      <c r="D239" s="11" t="s">
        <v>34</v>
      </c>
      <c r="E239" s="12">
        <v>8</v>
      </c>
      <c r="F239" s="25">
        <v>15.622999999999999</v>
      </c>
      <c r="G239" s="27">
        <v>1.58</v>
      </c>
    </row>
    <row r="240" spans="1:27">
      <c r="A240" s="16">
        <v>16</v>
      </c>
      <c r="B240" s="74">
        <v>40042</v>
      </c>
      <c r="C240" s="16">
        <v>2009</v>
      </c>
      <c r="D240" s="11" t="s">
        <v>34</v>
      </c>
      <c r="E240" s="12">
        <v>8</v>
      </c>
      <c r="F240" s="25">
        <v>17.271000000000001</v>
      </c>
      <c r="G240" s="27">
        <v>1.5209999999999999</v>
      </c>
      <c r="I240" s="29">
        <f>AVERAGE(F239:F240)</f>
        <v>16.446999999999999</v>
      </c>
      <c r="J240" s="29">
        <f>AVERAGE(G239:G240)</f>
        <v>1.5505</v>
      </c>
      <c r="L240">
        <f>+J240/I240</f>
        <v>9.427251170426218E-2</v>
      </c>
      <c r="M240">
        <f>+(L240-$L$619)/$L$620</f>
        <v>1.3154379263894145</v>
      </c>
      <c r="N240">
        <f>+N238+M240</f>
        <v>-6.3511036391243323</v>
      </c>
      <c r="Z240">
        <f>+(I240-$F$619)/$F$620</f>
        <v>2.1647837372994601</v>
      </c>
      <c r="AA240">
        <f>+AA238+Z240</f>
        <v>22.29806874899112</v>
      </c>
    </row>
    <row r="241" spans="1:27">
      <c r="A241" s="16">
        <v>2</v>
      </c>
      <c r="B241" s="74">
        <v>40070</v>
      </c>
      <c r="C241" s="16">
        <v>2009</v>
      </c>
      <c r="D241" s="11" t="s">
        <v>40</v>
      </c>
      <c r="E241" s="12">
        <v>9</v>
      </c>
      <c r="F241" s="25">
        <v>4.9349999999999996</v>
      </c>
      <c r="G241" s="27">
        <v>0.10100000000000001</v>
      </c>
    </row>
    <row r="242" spans="1:27">
      <c r="A242" s="16">
        <v>16</v>
      </c>
      <c r="B242" s="74">
        <v>40070</v>
      </c>
      <c r="C242" s="16">
        <v>2009</v>
      </c>
      <c r="D242" s="11" t="s">
        <v>40</v>
      </c>
      <c r="E242" s="12">
        <v>9</v>
      </c>
      <c r="F242" s="25">
        <v>22.917000000000002</v>
      </c>
      <c r="G242" s="27">
        <v>1.361</v>
      </c>
      <c r="I242" s="29">
        <f>AVERAGE(F241:F242)</f>
        <v>13.926</v>
      </c>
      <c r="J242" s="29">
        <f>AVERAGE(G241:G242)</f>
        <v>0.73099999999999998</v>
      </c>
      <c r="L242">
        <f>+J242/I242</f>
        <v>5.2491742065201782E-2</v>
      </c>
      <c r="M242">
        <f>+(L242-$L$619)/$L$620</f>
        <v>0.41103442283578445</v>
      </c>
      <c r="N242">
        <f>+N240+M242</f>
        <v>-5.9400692162885482</v>
      </c>
      <c r="Z242">
        <f>+(I242-$F$619)/$F$620</f>
        <v>1.6556914194472516</v>
      </c>
      <c r="AA242">
        <f>+AA240+Z242</f>
        <v>23.953760168438372</v>
      </c>
    </row>
    <row r="243" spans="1:27">
      <c r="A243" s="16">
        <v>2</v>
      </c>
      <c r="B243" s="74">
        <v>40099</v>
      </c>
      <c r="C243" s="16">
        <v>2009</v>
      </c>
      <c r="D243" s="11" t="s">
        <v>36</v>
      </c>
      <c r="E243" s="12">
        <v>10</v>
      </c>
      <c r="F243" s="25">
        <v>2.278</v>
      </c>
      <c r="G243" s="27">
        <v>9.1999999999999998E-2</v>
      </c>
    </row>
    <row r="244" spans="1:27">
      <c r="A244" s="16">
        <v>16</v>
      </c>
      <c r="B244" s="74">
        <v>40099</v>
      </c>
      <c r="C244" s="16">
        <v>2009</v>
      </c>
      <c r="D244" s="11" t="s">
        <v>36</v>
      </c>
      <c r="E244" s="12">
        <v>10</v>
      </c>
      <c r="F244" s="25">
        <v>5.1630000000000003</v>
      </c>
      <c r="G244" s="27">
        <v>0.46100000000000002</v>
      </c>
      <c r="I244" s="29">
        <f>AVERAGE(F243:F244)</f>
        <v>3.7205000000000004</v>
      </c>
      <c r="J244" s="29">
        <f>AVERAGE(G243:G244)</f>
        <v>0.27650000000000002</v>
      </c>
      <c r="L244">
        <f>+J244/I244</f>
        <v>7.4317968015051736E-2</v>
      </c>
      <c r="M244">
        <f>+(L244-$L$619)/$L$620</f>
        <v>0.88349377169236953</v>
      </c>
      <c r="N244">
        <f>+N242+M244</f>
        <v>-5.056575444596179</v>
      </c>
      <c r="Z244">
        <f>+(I244-$F$619)/$F$620</f>
        <v>-0.40521363800642102</v>
      </c>
      <c r="AA244">
        <f>+AA242+Z244</f>
        <v>23.548546530431949</v>
      </c>
    </row>
    <row r="245" spans="1:27">
      <c r="A245" s="16">
        <v>2</v>
      </c>
      <c r="B245" s="74">
        <v>40134</v>
      </c>
      <c r="C245" s="16">
        <v>2009</v>
      </c>
      <c r="D245" s="11" t="s">
        <v>37</v>
      </c>
      <c r="E245" s="12">
        <v>11</v>
      </c>
      <c r="F245" s="25">
        <v>2.2709999999999999</v>
      </c>
      <c r="G245" s="27">
        <v>2.1000000000000001E-2</v>
      </c>
    </row>
    <row r="246" spans="1:27">
      <c r="A246" s="16">
        <v>16</v>
      </c>
      <c r="B246" s="74">
        <v>40133</v>
      </c>
      <c r="C246" s="16">
        <v>2009</v>
      </c>
      <c r="D246" s="11" t="s">
        <v>37</v>
      </c>
      <c r="E246" s="12">
        <v>11</v>
      </c>
      <c r="F246" s="25">
        <v>3.33</v>
      </c>
      <c r="G246" s="27">
        <v>4.2000000000000003E-2</v>
      </c>
      <c r="I246" s="29">
        <f>AVERAGE(F245:F246)</f>
        <v>2.8005</v>
      </c>
      <c r="J246" s="29">
        <f>AVERAGE(G245:G246)</f>
        <v>3.15E-2</v>
      </c>
      <c r="L246">
        <f>+J246/I246</f>
        <v>1.1247991430101767E-2</v>
      </c>
      <c r="M246">
        <f>+(L246-$L$619)/$L$620</f>
        <v>-0.4817445493161408</v>
      </c>
      <c r="N246">
        <f>+N244+M246</f>
        <v>-5.53831999391232</v>
      </c>
      <c r="Z246">
        <f>+(I246-$F$619)/$F$620</f>
        <v>-0.59099901381920628</v>
      </c>
      <c r="AA246">
        <f>+AA244+Z246</f>
        <v>22.957547516612742</v>
      </c>
    </row>
    <row r="247" spans="1:27">
      <c r="A247" s="16">
        <v>2</v>
      </c>
      <c r="B247" s="74">
        <v>40161</v>
      </c>
      <c r="C247" s="16">
        <v>2009</v>
      </c>
      <c r="D247" s="11" t="s">
        <v>38</v>
      </c>
      <c r="E247" s="12">
        <v>12</v>
      </c>
      <c r="F247" s="25">
        <v>4.7210000000000001</v>
      </c>
      <c r="G247" s="27">
        <v>1.4999999999999999E-2</v>
      </c>
    </row>
    <row r="248" spans="1:27">
      <c r="A248" s="16">
        <v>16</v>
      </c>
      <c r="B248" s="74">
        <v>40161</v>
      </c>
      <c r="C248" s="16">
        <v>2009</v>
      </c>
      <c r="D248" s="11" t="s">
        <v>38</v>
      </c>
      <c r="E248" s="12">
        <v>12</v>
      </c>
      <c r="F248" s="25">
        <v>5.6890000000000001</v>
      </c>
      <c r="G248" s="27">
        <v>2.5000000000000001E-2</v>
      </c>
      <c r="I248" s="29">
        <f>AVERAGE(F247:F248)</f>
        <v>5.2050000000000001</v>
      </c>
      <c r="J248" s="29">
        <f>AVERAGE(G247:G248)</f>
        <v>0.02</v>
      </c>
      <c r="L248">
        <f>+J248/I248</f>
        <v>3.8424591738712775E-3</v>
      </c>
      <c r="M248">
        <f>+(L248-$L$619)/$L$620</f>
        <v>-0.64204770734970573</v>
      </c>
      <c r="N248">
        <f>+N246+M248</f>
        <v>-6.1803677012620257</v>
      </c>
      <c r="Z248">
        <f>+(I248-$F$619)/$F$620</f>
        <v>-0.10543277888242154</v>
      </c>
      <c r="AA248">
        <f>+AA246+Z248</f>
        <v>22.852114737730322</v>
      </c>
    </row>
    <row r="249" spans="1:27">
      <c r="A249" s="16">
        <v>2</v>
      </c>
      <c r="B249" s="71">
        <v>40198</v>
      </c>
      <c r="C249" s="16">
        <v>2010</v>
      </c>
      <c r="D249" s="11" t="s">
        <v>39</v>
      </c>
      <c r="E249" s="16">
        <v>1</v>
      </c>
      <c r="F249" s="28">
        <v>8.5489999999999995</v>
      </c>
      <c r="G249" s="29">
        <v>1.4557749999999998E-2</v>
      </c>
    </row>
    <row r="250" spans="1:27">
      <c r="A250" s="16">
        <v>16</v>
      </c>
      <c r="B250" s="71">
        <v>40198</v>
      </c>
      <c r="C250" s="16">
        <v>2010</v>
      </c>
      <c r="D250" s="11" t="s">
        <v>39</v>
      </c>
      <c r="E250" s="16">
        <v>1</v>
      </c>
      <c r="F250" s="28">
        <v>3.5960000000000001</v>
      </c>
      <c r="G250" s="29">
        <v>1.0241375E-2</v>
      </c>
      <c r="I250" s="29">
        <f>AVERAGE(F249:F250)</f>
        <v>6.0724999999999998</v>
      </c>
      <c r="J250" s="29">
        <f>AVERAGE(G249:G250)</f>
        <v>1.2399562499999999E-2</v>
      </c>
      <c r="L250">
        <f>+J250/I250</f>
        <v>2.0419205434335118E-3</v>
      </c>
      <c r="M250">
        <f>+(L250-$L$619)/$L$620</f>
        <v>-0.68102289760396062</v>
      </c>
      <c r="N250">
        <f>+N248+M250</f>
        <v>-6.8613905988659862</v>
      </c>
      <c r="Z250">
        <f>+(I250-$F$619)/$F$620</f>
        <v>6.9750714071481812E-2</v>
      </c>
      <c r="AA250">
        <f>+AA248+Z250</f>
        <v>22.921865451801803</v>
      </c>
    </row>
    <row r="251" spans="1:27">
      <c r="A251" s="16">
        <v>2</v>
      </c>
      <c r="B251" s="71">
        <v>40225</v>
      </c>
      <c r="C251" s="16">
        <v>2010</v>
      </c>
      <c r="D251" s="11" t="s">
        <v>28</v>
      </c>
      <c r="E251" s="16">
        <v>2</v>
      </c>
      <c r="F251" s="28">
        <v>8.0310000000000006</v>
      </c>
      <c r="G251" s="29">
        <v>3.7194999999999999E-2</v>
      </c>
    </row>
    <row r="252" spans="1:27">
      <c r="A252" s="16">
        <v>16</v>
      </c>
      <c r="B252" s="71">
        <v>40225</v>
      </c>
      <c r="C252" s="16">
        <v>2010</v>
      </c>
      <c r="D252" s="11" t="s">
        <v>28</v>
      </c>
      <c r="E252" s="16">
        <v>2</v>
      </c>
      <c r="F252" s="28">
        <v>5.2069999999999999</v>
      </c>
      <c r="G252" s="29">
        <v>5.2312374999999994E-2</v>
      </c>
      <c r="I252" s="29">
        <f>AVERAGE(F251:F252)</f>
        <v>6.6189999999999998</v>
      </c>
      <c r="J252" s="29">
        <f>AVERAGE(G251:G252)</f>
        <v>4.47536875E-2</v>
      </c>
      <c r="L252">
        <f>+J252/I252</f>
        <v>6.7613971143677294E-3</v>
      </c>
      <c r="M252">
        <f>+(L252-$L$619)/$L$620</f>
        <v>-0.57886319153426236</v>
      </c>
      <c r="N252">
        <f>+N250+M252</f>
        <v>-7.4402537904002486</v>
      </c>
      <c r="Z252">
        <f>+(I252-$F$619)/$F$620</f>
        <v>0.18011126611679387</v>
      </c>
      <c r="AA252">
        <f>+AA250+Z252</f>
        <v>23.101976717918596</v>
      </c>
    </row>
    <row r="253" spans="1:27">
      <c r="A253" s="16">
        <v>2</v>
      </c>
      <c r="B253" s="71">
        <v>40254</v>
      </c>
      <c r="C253" s="16">
        <v>2010</v>
      </c>
      <c r="D253" s="11" t="s">
        <v>29</v>
      </c>
      <c r="E253" s="16">
        <v>3</v>
      </c>
      <c r="F253" s="28">
        <v>1.774</v>
      </c>
      <c r="G253" s="29">
        <v>1.5207874999999997E-2</v>
      </c>
    </row>
    <row r="254" spans="1:27">
      <c r="A254" s="16">
        <v>16</v>
      </c>
      <c r="B254" s="71">
        <v>40254</v>
      </c>
      <c r="C254" s="16">
        <v>2010</v>
      </c>
      <c r="D254" s="11" t="s">
        <v>29</v>
      </c>
      <c r="E254" s="16">
        <v>3</v>
      </c>
      <c r="F254" s="28">
        <v>1.786</v>
      </c>
      <c r="G254" s="29">
        <v>2.3378625E-2</v>
      </c>
      <c r="I254" s="29">
        <f>AVERAGE(F253:F254)</f>
        <v>1.78</v>
      </c>
      <c r="J254" s="29">
        <f>AVERAGE(G253:G254)</f>
        <v>1.9293249999999998E-2</v>
      </c>
      <c r="L254">
        <f>+J254/I254</f>
        <v>1.0838904494382021E-2</v>
      </c>
      <c r="M254">
        <f>+(L254-$L$619)/$L$620</f>
        <v>-0.49059981122536772</v>
      </c>
      <c r="N254">
        <f>+N252+M254</f>
        <v>-7.9308536016256159</v>
      </c>
      <c r="Z254">
        <f>+(I254-$F$619)/$F$620</f>
        <v>-0.79707942253327935</v>
      </c>
      <c r="AA254">
        <f>+AA252+Z254</f>
        <v>22.304897295385317</v>
      </c>
    </row>
    <row r="255" spans="1:27">
      <c r="A255" s="16">
        <v>2</v>
      </c>
      <c r="B255" s="71">
        <v>40282</v>
      </c>
      <c r="C255" s="16">
        <v>2010</v>
      </c>
      <c r="D255" s="11" t="s">
        <v>30</v>
      </c>
      <c r="E255" s="16">
        <v>4</v>
      </c>
      <c r="F255" s="28">
        <v>1.8720000000000001</v>
      </c>
      <c r="G255" s="29">
        <v>2.3276749999999995E-2</v>
      </c>
    </row>
    <row r="256" spans="1:27">
      <c r="A256" s="16">
        <v>16</v>
      </c>
      <c r="B256" s="71">
        <v>40282</v>
      </c>
      <c r="C256" s="16">
        <v>2010</v>
      </c>
      <c r="D256" s="11" t="s">
        <v>30</v>
      </c>
      <c r="E256" s="16">
        <v>4</v>
      </c>
      <c r="F256" s="28">
        <v>2.0350000000000001</v>
      </c>
      <c r="G256" s="29">
        <v>1.7507000000000002E-2</v>
      </c>
      <c r="I256" s="29">
        <f>AVERAGE(F255:F256)</f>
        <v>1.9535</v>
      </c>
      <c r="J256" s="29">
        <f>AVERAGE(G255:G256)</f>
        <v>2.0391874999999997E-2</v>
      </c>
      <c r="L256">
        <f>+J256/I256</f>
        <v>1.0438635781929868E-2</v>
      </c>
      <c r="M256">
        <f>+(L256-$L$619)/$L$620</f>
        <v>-0.49926419029334429</v>
      </c>
      <c r="N256">
        <f>+N254+M256</f>
        <v>-8.4301177919189598</v>
      </c>
      <c r="Z256">
        <f>+(I256-$F$619)/$F$620</f>
        <v>-0.76204272394249872</v>
      </c>
      <c r="AA256">
        <f>+AA254+Z256</f>
        <v>21.542854571442817</v>
      </c>
    </row>
    <row r="257" spans="1:27">
      <c r="A257" s="16">
        <v>2</v>
      </c>
      <c r="B257" s="74">
        <v>40315</v>
      </c>
      <c r="C257" s="16">
        <v>2010</v>
      </c>
      <c r="D257" s="11" t="s">
        <v>31</v>
      </c>
      <c r="E257" s="16">
        <v>5</v>
      </c>
      <c r="F257" s="30">
        <v>1.4510000000000001</v>
      </c>
      <c r="G257" s="29">
        <v>1.87885E-2</v>
      </c>
    </row>
    <row r="258" spans="1:27">
      <c r="A258" s="16">
        <v>16</v>
      </c>
      <c r="B258" s="74">
        <v>40315</v>
      </c>
      <c r="C258" s="16">
        <v>2010</v>
      </c>
      <c r="D258" s="11" t="s">
        <v>31</v>
      </c>
      <c r="E258" s="16">
        <v>5</v>
      </c>
      <c r="F258" s="30">
        <v>3.1819999999999999</v>
      </c>
      <c r="G258" s="29">
        <v>6.5391500000000005E-2</v>
      </c>
      <c r="I258" s="29">
        <f>AVERAGE(F257:F258)</f>
        <v>2.3165</v>
      </c>
      <c r="J258" s="29">
        <f>AVERAGE(G257:G258)</f>
        <v>4.2090000000000002E-2</v>
      </c>
      <c r="L258">
        <f>+J258/I258</f>
        <v>1.8169652492985109E-2</v>
      </c>
      <c r="M258">
        <f>+(L258-$L$619)/$L$620</f>
        <v>-0.33191546359652174</v>
      </c>
      <c r="N258">
        <f>+N256+M258</f>
        <v>-8.7620332555154814</v>
      </c>
      <c r="Z258">
        <f>+(I258-$F$619)/$F$620</f>
        <v>-0.68873827674680199</v>
      </c>
      <c r="AA258">
        <f>+AA256+Z258</f>
        <v>20.854116294696016</v>
      </c>
    </row>
    <row r="259" spans="1:27">
      <c r="A259" s="16">
        <v>2</v>
      </c>
      <c r="B259" s="74">
        <v>40344</v>
      </c>
      <c r="C259" s="16">
        <v>2010</v>
      </c>
      <c r="D259" s="11" t="s">
        <v>32</v>
      </c>
      <c r="E259" s="16">
        <v>6</v>
      </c>
      <c r="F259" s="30">
        <v>6.09</v>
      </c>
      <c r="G259" s="29">
        <v>0.94931462499999986</v>
      </c>
    </row>
    <row r="260" spans="1:27">
      <c r="A260" s="16">
        <v>16</v>
      </c>
      <c r="B260" s="74">
        <v>40344</v>
      </c>
      <c r="C260" s="16">
        <v>2010</v>
      </c>
      <c r="D260" s="11" t="s">
        <v>32</v>
      </c>
      <c r="E260" s="16">
        <v>6</v>
      </c>
      <c r="F260" s="30">
        <v>8.3989999999999991</v>
      </c>
      <c r="G260" s="29">
        <v>2.1816978749999998</v>
      </c>
      <c r="I260" s="29">
        <f>AVERAGE(F259:F260)</f>
        <v>7.2444999999999995</v>
      </c>
      <c r="J260" s="29">
        <f>AVERAGE(G259:G260)</f>
        <v>1.5655062499999999</v>
      </c>
      <c r="L260">
        <f>+J260/I260</f>
        <v>0.21609583132031196</v>
      </c>
      <c r="M260">
        <f>+(L260-$L$619)/$L$620</f>
        <v>3.9524749658480025</v>
      </c>
      <c r="N260">
        <f>+N258+M260</f>
        <v>-4.8095582896674784</v>
      </c>
      <c r="Z260">
        <f>+(I260-$F$619)/$F$620</f>
        <v>0.30642512760689938</v>
      </c>
      <c r="AA260">
        <f>+AA258+Z260</f>
        <v>21.160541422302916</v>
      </c>
    </row>
    <row r="261" spans="1:27">
      <c r="A261" s="16">
        <v>2</v>
      </c>
      <c r="B261" s="74">
        <v>40371</v>
      </c>
      <c r="C261" s="16">
        <v>2010</v>
      </c>
      <c r="D261" s="11" t="s">
        <v>33</v>
      </c>
      <c r="E261" s="16">
        <v>7</v>
      </c>
      <c r="F261" s="30">
        <v>9.2140000000000004</v>
      </c>
      <c r="G261" s="29">
        <v>0.32747687499999995</v>
      </c>
    </row>
    <row r="262" spans="1:27">
      <c r="A262" s="16">
        <v>16</v>
      </c>
      <c r="B262" s="74">
        <v>40371</v>
      </c>
      <c r="C262" s="16">
        <v>2010</v>
      </c>
      <c r="D262" s="11" t="s">
        <v>33</v>
      </c>
      <c r="E262" s="16">
        <v>7</v>
      </c>
      <c r="F262" s="30">
        <v>13.456</v>
      </c>
      <c r="G262" s="29">
        <v>2.4358744999999997</v>
      </c>
      <c r="I262" s="29">
        <f>AVERAGE(F261:F262)</f>
        <v>11.335000000000001</v>
      </c>
      <c r="J262" s="29">
        <f>AVERAGE(G261:G262)</f>
        <v>1.3816756874999998</v>
      </c>
      <c r="L262">
        <f>+J262/I262</f>
        <v>0.12189463498014995</v>
      </c>
      <c r="M262">
        <f>+(L262-$L$619)/$L$620</f>
        <v>1.9133576220320765</v>
      </c>
      <c r="N262">
        <f>+N260+M262</f>
        <v>-2.896200667635402</v>
      </c>
      <c r="Z262">
        <f>+(I262-$F$619)/$F$620</f>
        <v>1.1324632577832014</v>
      </c>
      <c r="AA262">
        <f>+AA260+Z262</f>
        <v>22.293004680086117</v>
      </c>
    </row>
    <row r="263" spans="1:27">
      <c r="A263" s="16">
        <v>2</v>
      </c>
      <c r="B263" s="74">
        <v>40407</v>
      </c>
      <c r="C263" s="16">
        <v>2010</v>
      </c>
      <c r="D263" s="11" t="s">
        <v>34</v>
      </c>
      <c r="E263" s="16">
        <v>8</v>
      </c>
      <c r="F263" s="30">
        <v>10.113</v>
      </c>
      <c r="G263" s="29">
        <v>0.92951324999999985</v>
      </c>
    </row>
    <row r="264" spans="1:27">
      <c r="A264" s="16">
        <v>16</v>
      </c>
      <c r="B264" s="74">
        <v>40407</v>
      </c>
      <c r="C264" s="16">
        <v>2010</v>
      </c>
      <c r="D264" s="11" t="s">
        <v>34</v>
      </c>
      <c r="E264" s="16">
        <v>8</v>
      </c>
      <c r="F264" s="30">
        <v>10.69</v>
      </c>
      <c r="G264" s="29">
        <v>0.90516687499999993</v>
      </c>
      <c r="I264" s="29">
        <f>AVERAGE(F263:F264)</f>
        <v>10.401499999999999</v>
      </c>
      <c r="J264" s="29">
        <f>AVERAGE(G263:G264)</f>
        <v>0.91734006249999989</v>
      </c>
      <c r="L264">
        <f>+J264/I264</f>
        <v>8.8193055088208433E-2</v>
      </c>
      <c r="M264">
        <f>+(L264-$L$619)/$L$620</f>
        <v>1.1838395400801058</v>
      </c>
      <c r="N264">
        <f>+N262+M264</f>
        <v>-1.7123611275552961</v>
      </c>
      <c r="Z264">
        <f>+(I264-$F$619)/$F$620</f>
        <v>0.94395168352098924</v>
      </c>
      <c r="AA264">
        <f>+AA262+Z264</f>
        <v>23.236956363607106</v>
      </c>
    </row>
    <row r="265" spans="1:27">
      <c r="A265" s="16">
        <v>2</v>
      </c>
      <c r="B265" s="74">
        <v>40436</v>
      </c>
      <c r="C265" s="16">
        <v>2010</v>
      </c>
      <c r="D265" s="11" t="s">
        <v>40</v>
      </c>
      <c r="E265" s="16">
        <v>9</v>
      </c>
      <c r="F265" s="30">
        <v>15.021000000000001</v>
      </c>
      <c r="G265" s="29">
        <v>0.27267437500000002</v>
      </c>
    </row>
    <row r="266" spans="1:27">
      <c r="A266" s="16">
        <v>16</v>
      </c>
      <c r="B266" s="74">
        <v>40436</v>
      </c>
      <c r="C266" s="16">
        <v>2010</v>
      </c>
      <c r="D266" s="11" t="s">
        <v>40</v>
      </c>
      <c r="E266" s="16">
        <v>9</v>
      </c>
      <c r="F266" s="30">
        <v>12.462999999999999</v>
      </c>
      <c r="G266" s="29">
        <v>0.73649462499999985</v>
      </c>
      <c r="I266" s="29">
        <f>AVERAGE(F265:F266)</f>
        <v>13.742000000000001</v>
      </c>
      <c r="J266" s="29">
        <f>AVERAGE(G265:G266)</f>
        <v>0.50458449999999999</v>
      </c>
      <c r="L266">
        <f>+J266/I266</f>
        <v>3.6718417988647938E-2</v>
      </c>
      <c r="M266">
        <f>+(L266-$L$619)/$L$620</f>
        <v>6.9598645544944285E-2</v>
      </c>
      <c r="N266">
        <f>+N264+M266</f>
        <v>-1.6427624820103519</v>
      </c>
      <c r="Z266">
        <f>+(I266-$F$619)/$F$620</f>
        <v>1.6185343442846951</v>
      </c>
      <c r="AA266">
        <f>+AA264+Z266</f>
        <v>24.8554907078918</v>
      </c>
    </row>
    <row r="267" spans="1:27">
      <c r="A267" s="16">
        <v>2</v>
      </c>
      <c r="B267" s="74">
        <v>40464</v>
      </c>
      <c r="C267" s="16">
        <v>2010</v>
      </c>
      <c r="D267" s="11" t="s">
        <v>36</v>
      </c>
      <c r="E267" s="16">
        <v>10</v>
      </c>
      <c r="F267" s="28">
        <v>3.5270000000000001</v>
      </c>
      <c r="G267" s="29">
        <v>6.1223999999999994E-2</v>
      </c>
    </row>
    <row r="268" spans="1:27">
      <c r="A268" s="16">
        <v>16</v>
      </c>
      <c r="B268" s="74">
        <v>40464</v>
      </c>
      <c r="C268" s="16">
        <v>2010</v>
      </c>
      <c r="D268" s="11" t="s">
        <v>36</v>
      </c>
      <c r="E268" s="16">
        <v>10</v>
      </c>
      <c r="F268" s="28">
        <v>2.2570000000000001</v>
      </c>
      <c r="G268" s="29">
        <v>6.5480750000000004E-2</v>
      </c>
      <c r="I268" s="29">
        <f>AVERAGE(F267:F268)</f>
        <v>2.8920000000000003</v>
      </c>
      <c r="J268" s="29">
        <f>AVERAGE(G267:G268)</f>
        <v>6.3352375000000002E-2</v>
      </c>
      <c r="L268">
        <f>+J268/I268</f>
        <v>2.1906077109266942E-2</v>
      </c>
      <c r="M268">
        <f>+(L268-$L$619)/$L$620</f>
        <v>-0.2510352992787705</v>
      </c>
      <c r="N268">
        <f>+N266+M268</f>
        <v>-1.8937977812891225</v>
      </c>
      <c r="Z268">
        <f>+(I268-$F$619)/$F$620</f>
        <v>-0.57252144655086945</v>
      </c>
      <c r="AA268">
        <f>+AA266+Z268</f>
        <v>24.282969261340931</v>
      </c>
    </row>
    <row r="269" spans="1:27">
      <c r="A269" s="16">
        <v>2</v>
      </c>
      <c r="B269" s="74">
        <v>40498</v>
      </c>
      <c r="C269" s="16">
        <v>2010</v>
      </c>
      <c r="D269" s="11" t="s">
        <v>37</v>
      </c>
      <c r="E269" s="16">
        <v>11</v>
      </c>
      <c r="F269" s="28">
        <v>0.999</v>
      </c>
      <c r="G269" s="29">
        <v>0</v>
      </c>
    </row>
    <row r="270" spans="1:27">
      <c r="A270" s="16">
        <v>16</v>
      </c>
      <c r="B270" s="74">
        <v>40498</v>
      </c>
      <c r="C270" s="16">
        <v>2010</v>
      </c>
      <c r="D270" s="11" t="s">
        <v>37</v>
      </c>
      <c r="E270" s="16">
        <v>11</v>
      </c>
      <c r="F270" s="28">
        <v>1.748</v>
      </c>
      <c r="G270" s="29">
        <v>0.15645562499999999</v>
      </c>
      <c r="I270" s="29">
        <f>AVERAGE(F269:F270)</f>
        <v>1.3734999999999999</v>
      </c>
      <c r="J270" s="29">
        <f>AVERAGE(G269:G270)</f>
        <v>7.8227812499999994E-2</v>
      </c>
      <c r="L270">
        <f>+J270/I270</f>
        <v>5.6955087368037859E-2</v>
      </c>
      <c r="M270">
        <f>+(L270-$L$619)/$L$620</f>
        <v>0.50764980748108668</v>
      </c>
      <c r="N270">
        <f>+N268+M270</f>
        <v>-1.3861479738080358</v>
      </c>
      <c r="Z270">
        <f>+(I270-$F$619)/$F$620</f>
        <v>-0.87916828695490679</v>
      </c>
      <c r="AA270">
        <f>+AA268+Z270</f>
        <v>23.403800974386023</v>
      </c>
    </row>
    <row r="271" spans="1:27">
      <c r="A271" s="16">
        <v>2</v>
      </c>
      <c r="B271" s="74">
        <v>40520</v>
      </c>
      <c r="C271" s="16">
        <v>2010</v>
      </c>
      <c r="D271" s="11" t="s">
        <v>38</v>
      </c>
      <c r="E271" s="16">
        <v>12</v>
      </c>
      <c r="F271" s="28">
        <v>3.78</v>
      </c>
      <c r="G271" s="29">
        <v>0.14647699999999997</v>
      </c>
    </row>
    <row r="272" spans="1:27">
      <c r="A272" s="16">
        <v>16</v>
      </c>
      <c r="B272" s="74">
        <v>40520</v>
      </c>
      <c r="C272" s="16">
        <v>2010</v>
      </c>
      <c r="D272" s="11" t="s">
        <v>38</v>
      </c>
      <c r="E272" s="16">
        <v>12</v>
      </c>
      <c r="F272" s="28">
        <v>2.7549999999999999</v>
      </c>
      <c r="G272" s="29">
        <v>7.2767625000000002E-2</v>
      </c>
      <c r="I272" s="29">
        <f>AVERAGE(F271:F272)</f>
        <v>3.2675000000000001</v>
      </c>
      <c r="J272" s="29">
        <f>AVERAGE(G271:G272)</f>
        <v>0.10962231249999999</v>
      </c>
      <c r="L272">
        <f>+J272/I272</f>
        <v>3.3549292272379488E-2</v>
      </c>
      <c r="M272">
        <f>+(L272-$L$619)/$L$620</f>
        <v>9.9846355319030216E-4</v>
      </c>
      <c r="N272">
        <f>+N270+M272</f>
        <v>-1.3851495102548455</v>
      </c>
      <c r="Z272">
        <f>+(I272-$F$619)/$F$620</f>
        <v>-0.49669274153162946</v>
      </c>
      <c r="AA272">
        <f>+AA270+Z272</f>
        <v>22.907108232854394</v>
      </c>
    </row>
    <row r="273" spans="1:27">
      <c r="A273" s="16">
        <v>2</v>
      </c>
      <c r="B273" s="74">
        <v>40562</v>
      </c>
      <c r="C273" s="16">
        <v>2011</v>
      </c>
      <c r="D273" s="11" t="s">
        <v>39</v>
      </c>
      <c r="E273" s="16">
        <v>1</v>
      </c>
      <c r="F273" s="28">
        <v>6.5730000000000004</v>
      </c>
      <c r="G273" s="29">
        <v>2.2323875E-2</v>
      </c>
    </row>
    <row r="274" spans="1:27">
      <c r="A274" s="16">
        <v>16</v>
      </c>
      <c r="B274" s="74">
        <v>40562</v>
      </c>
      <c r="C274" s="16">
        <v>2011</v>
      </c>
      <c r="D274" s="11" t="s">
        <v>39</v>
      </c>
      <c r="E274" s="16">
        <v>1</v>
      </c>
      <c r="F274" s="28">
        <v>4.1449999999999996</v>
      </c>
      <c r="G274" s="29">
        <v>1.7066125000000001E-2</v>
      </c>
      <c r="I274" s="29"/>
      <c r="J274" s="29"/>
    </row>
    <row r="275" spans="1:27">
      <c r="A275" s="16">
        <v>16</v>
      </c>
      <c r="B275" s="74">
        <v>40562</v>
      </c>
      <c r="C275" s="16">
        <v>2011</v>
      </c>
      <c r="D275" s="11" t="s">
        <v>39</v>
      </c>
      <c r="E275" s="16">
        <v>1</v>
      </c>
      <c r="F275" s="28">
        <v>4.1449999999999996</v>
      </c>
      <c r="G275" s="29">
        <v>1.4728374999999998E-2</v>
      </c>
      <c r="H275" t="s">
        <v>41</v>
      </c>
      <c r="I275" s="29">
        <f>AVERAGE(F274:F275)</f>
        <v>4.1449999999999996</v>
      </c>
      <c r="J275" s="29">
        <f>AVERAGE(G273:G275)</f>
        <v>1.8039458333333331E-2</v>
      </c>
      <c r="L275">
        <f>+J275/I275</f>
        <v>4.3521009248090065E-3</v>
      </c>
      <c r="M275">
        <f>+(L275-$L$619)/$L$620</f>
        <v>-0.63101579508271932</v>
      </c>
      <c r="N275">
        <f>+N272+M275</f>
        <v>-2.016165305337565</v>
      </c>
      <c r="Z275">
        <f>+(I275-$F$619)/$F$620</f>
        <v>-0.31948984231889149</v>
      </c>
      <c r="AA275">
        <f>+AA272+Z275</f>
        <v>22.587618390535503</v>
      </c>
    </row>
    <row r="276" spans="1:27">
      <c r="A276" s="16">
        <v>2</v>
      </c>
      <c r="B276" s="74">
        <v>40591</v>
      </c>
      <c r="C276" s="16">
        <v>2011</v>
      </c>
      <c r="D276" s="11" t="s">
        <v>28</v>
      </c>
      <c r="E276" s="16">
        <v>2</v>
      </c>
      <c r="F276" s="28">
        <v>3.4020000000000001</v>
      </c>
      <c r="G276" s="29">
        <v>2.0115124999999998E-2</v>
      </c>
    </row>
    <row r="277" spans="1:27">
      <c r="A277" s="16">
        <v>16</v>
      </c>
      <c r="B277" s="74">
        <v>40591</v>
      </c>
      <c r="C277" s="16">
        <v>2011</v>
      </c>
      <c r="D277" s="11" t="s">
        <v>28</v>
      </c>
      <c r="E277" s="16">
        <v>2</v>
      </c>
      <c r="F277" s="28">
        <v>3.0339999999999998</v>
      </c>
      <c r="G277" s="29">
        <v>2.2108749999999996E-2</v>
      </c>
      <c r="I277" s="29">
        <f>AVERAGE(F276:F277)</f>
        <v>3.218</v>
      </c>
      <c r="J277" s="29">
        <f>AVERAGE(G276:G277)</f>
        <v>2.1111937499999997E-2</v>
      </c>
      <c r="L277">
        <f>+J277/I277</f>
        <v>6.560577221876941E-3</v>
      </c>
      <c r="M277">
        <f>+(L277-$L$619)/$L$620</f>
        <v>-0.58321022046458004</v>
      </c>
      <c r="N277">
        <f>+N275+M277</f>
        <v>-2.5993755258021451</v>
      </c>
      <c r="Z277">
        <f>+(I277-$F$619)/$F$620</f>
        <v>-0.50668880251286086</v>
      </c>
      <c r="AA277">
        <f>+AA275+Z277</f>
        <v>22.080929588022641</v>
      </c>
    </row>
    <row r="278" spans="1:27">
      <c r="A278" s="16">
        <v>2</v>
      </c>
      <c r="B278" s="74">
        <v>40619</v>
      </c>
      <c r="C278" s="16">
        <v>2011</v>
      </c>
      <c r="D278" s="11" t="s">
        <v>29</v>
      </c>
      <c r="E278" s="16">
        <v>3</v>
      </c>
      <c r="F278" s="28">
        <v>8.7029999999999994</v>
      </c>
      <c r="G278" s="29">
        <v>1.7829749999999998E-2</v>
      </c>
    </row>
    <row r="279" spans="1:27">
      <c r="A279" s="16">
        <v>16</v>
      </c>
      <c r="B279" s="74">
        <v>40619</v>
      </c>
      <c r="C279" s="16">
        <v>2011</v>
      </c>
      <c r="D279" s="11" t="s">
        <v>29</v>
      </c>
      <c r="E279" s="16">
        <v>3</v>
      </c>
      <c r="F279" s="28">
        <v>2.177</v>
      </c>
      <c r="G279" s="29">
        <v>0</v>
      </c>
      <c r="I279" s="29">
        <f>AVERAGE(F278:F279)</f>
        <v>5.4399999999999995</v>
      </c>
      <c r="J279" s="29">
        <f>AVERAGE(G278:G279)</f>
        <v>8.9148749999999992E-3</v>
      </c>
      <c r="L279">
        <f>+J279/I279</f>
        <v>1.6387637867647058E-3</v>
      </c>
      <c r="M279">
        <f>+(L279-$L$619)/$L$620</f>
        <v>-0.68974979244966272</v>
      </c>
      <c r="N279">
        <f>+N277+M279</f>
        <v>-3.2891253182518079</v>
      </c>
      <c r="Z279">
        <f>+(I279-$F$619)/$F$620</f>
        <v>-5.7976731799808057E-2</v>
      </c>
      <c r="AA279">
        <f>+AA277+Z279</f>
        <v>22.022952856222833</v>
      </c>
    </row>
    <row r="280" spans="1:27">
      <c r="A280" s="16">
        <v>2</v>
      </c>
      <c r="B280" s="74">
        <v>40646</v>
      </c>
      <c r="C280" s="16">
        <v>2011</v>
      </c>
      <c r="D280" s="11" t="s">
        <v>30</v>
      </c>
      <c r="E280" s="16">
        <v>4</v>
      </c>
      <c r="F280" s="28">
        <v>2.101</v>
      </c>
      <c r="G280" s="29">
        <v>7.8059999999999996E-3</v>
      </c>
    </row>
    <row r="281" spans="1:27">
      <c r="A281" s="16">
        <v>16</v>
      </c>
      <c r="B281" s="74">
        <v>40646</v>
      </c>
      <c r="C281" s="16">
        <v>2011</v>
      </c>
      <c r="D281" s="11" t="s">
        <v>30</v>
      </c>
      <c r="E281" s="16">
        <v>4</v>
      </c>
      <c r="F281" s="28">
        <v>1.5069999999999999</v>
      </c>
      <c r="G281" s="29">
        <v>8.3463749999999996E-3</v>
      </c>
      <c r="I281" s="29">
        <f>AVERAGE(F280:F281)</f>
        <v>1.8039999999999998</v>
      </c>
      <c r="J281" s="29">
        <f>AVERAGE(G280:G281)</f>
        <v>8.0761875E-3</v>
      </c>
      <c r="L281">
        <f>+J281/I281</f>
        <v>4.47682233924612E-3</v>
      </c>
      <c r="M281">
        <f>+(L281-$L$619)/$L$620</f>
        <v>-0.62831602470607129</v>
      </c>
      <c r="N281">
        <f>+N279+M281</f>
        <v>-3.9174413429578792</v>
      </c>
      <c r="Z281">
        <f>+(I281-$F$619)/$F$620</f>
        <v>-0.79223284751207634</v>
      </c>
      <c r="AA281">
        <f>+AA279+Z281</f>
        <v>21.230720008710758</v>
      </c>
    </row>
    <row r="282" spans="1:27">
      <c r="A282" s="16">
        <v>2</v>
      </c>
      <c r="B282" s="74">
        <v>40681</v>
      </c>
      <c r="C282" s="16">
        <v>2011</v>
      </c>
      <c r="D282" s="11" t="s">
        <v>31</v>
      </c>
      <c r="E282" s="16">
        <v>5</v>
      </c>
      <c r="F282" s="28">
        <v>4.0069999999999997</v>
      </c>
      <c r="G282" s="29">
        <v>0.31554275000000004</v>
      </c>
    </row>
    <row r="283" spans="1:27">
      <c r="A283" s="16">
        <v>16</v>
      </c>
      <c r="B283" s="74">
        <v>40681</v>
      </c>
      <c r="C283" s="16">
        <v>2011</v>
      </c>
      <c r="D283" s="11" t="s">
        <v>31</v>
      </c>
      <c r="E283" s="16">
        <v>5</v>
      </c>
      <c r="F283" s="28">
        <v>4.7830000000000004</v>
      </c>
      <c r="G283" s="29">
        <v>0.30502287500000003</v>
      </c>
      <c r="I283" s="29">
        <f>AVERAGE(F282:F283)</f>
        <v>4.3949999999999996</v>
      </c>
      <c r="J283" s="29">
        <f>AVERAGE(G282:G283)</f>
        <v>0.3102828125</v>
      </c>
      <c r="L283">
        <f>+J283/I283</f>
        <v>7.0599047212741767E-2</v>
      </c>
      <c r="M283">
        <f>+(L283-$L$619)/$L$620</f>
        <v>0.80299250203880146</v>
      </c>
      <c r="N283">
        <f>+N281+M283</f>
        <v>-3.1144488409190778</v>
      </c>
      <c r="Z283">
        <f>+(I283-$F$619)/$F$620</f>
        <v>-0.269004685848026</v>
      </c>
      <c r="AA283">
        <f>+AA281+Z283</f>
        <v>20.961715322862734</v>
      </c>
    </row>
    <row r="284" spans="1:27">
      <c r="A284" s="16">
        <v>2</v>
      </c>
      <c r="B284" s="74">
        <v>40708</v>
      </c>
      <c r="C284" s="16">
        <v>2011</v>
      </c>
      <c r="D284" s="11" t="s">
        <v>32</v>
      </c>
      <c r="E284" s="16">
        <v>6</v>
      </c>
      <c r="F284" s="28">
        <v>10.315</v>
      </c>
      <c r="G284" s="29">
        <v>0.94100474999999983</v>
      </c>
    </row>
    <row r="285" spans="1:27">
      <c r="A285" s="16">
        <v>16</v>
      </c>
      <c r="B285" s="74">
        <v>40708</v>
      </c>
      <c r="C285" s="16">
        <v>2011</v>
      </c>
      <c r="D285" s="11" t="s">
        <v>32</v>
      </c>
      <c r="E285" s="16">
        <v>6</v>
      </c>
      <c r="F285" s="28">
        <v>9.5670000000000002</v>
      </c>
      <c r="G285" s="29">
        <v>1.295104875</v>
      </c>
      <c r="I285" s="29">
        <f>AVERAGE(F284:F285)</f>
        <v>9.9409999999999989</v>
      </c>
      <c r="J285" s="29">
        <f>AVERAGE(G284:G285)</f>
        <v>1.1180548125000001</v>
      </c>
      <c r="L285">
        <f>+J285/I285</f>
        <v>0.11246904863695807</v>
      </c>
      <c r="M285">
        <f>+(L285-$L$619)/$L$620</f>
        <v>1.7093275530440586</v>
      </c>
      <c r="N285">
        <f>+N283+M285</f>
        <v>-1.4051212878750192</v>
      </c>
      <c r="Z285">
        <f>+(I285-$F$619)/$F$620</f>
        <v>0.85095802530165499</v>
      </c>
      <c r="AA285">
        <f>+AA283+Z285</f>
        <v>21.812673348164388</v>
      </c>
    </row>
    <row r="286" spans="1:27">
      <c r="A286" s="16">
        <v>2</v>
      </c>
      <c r="B286" s="74">
        <v>40735</v>
      </c>
      <c r="C286" s="16">
        <v>2011</v>
      </c>
      <c r="D286" s="11" t="s">
        <v>33</v>
      </c>
      <c r="E286" s="16">
        <v>7</v>
      </c>
      <c r="F286" s="28">
        <v>3.8050000000000002</v>
      </c>
      <c r="G286" s="29">
        <v>0.79859975000000005</v>
      </c>
    </row>
    <row r="287" spans="1:27">
      <c r="A287" s="16">
        <v>16</v>
      </c>
      <c r="B287" s="74">
        <v>40735</v>
      </c>
      <c r="C287" s="16">
        <v>2011</v>
      </c>
      <c r="D287" s="11" t="s">
        <v>33</v>
      </c>
      <c r="E287" s="16">
        <v>7</v>
      </c>
      <c r="F287" s="28">
        <v>6.7519999999999998</v>
      </c>
      <c r="G287" s="29">
        <v>1.5391929999999998</v>
      </c>
      <c r="I287" s="29">
        <f>AVERAGE(F286:F287)</f>
        <v>5.2785000000000002</v>
      </c>
      <c r="J287" s="29">
        <f>AVERAGE(G286:G287)</f>
        <v>1.1688963749999999</v>
      </c>
      <c r="L287">
        <f>+J287/I287</f>
        <v>0.221444799658994</v>
      </c>
      <c r="M287">
        <f>+(L287-$L$619)/$L$620</f>
        <v>4.0682609063104014</v>
      </c>
      <c r="N287">
        <f>+N285+M287</f>
        <v>2.6631396184353822</v>
      </c>
      <c r="Z287">
        <f>+(I287-$F$619)/$F$620</f>
        <v>-9.0590142879987054E-2</v>
      </c>
      <c r="AA287">
        <f>+AA285+Z287</f>
        <v>21.722083205284402</v>
      </c>
    </row>
    <row r="288" spans="1:27">
      <c r="A288" s="16">
        <v>2</v>
      </c>
      <c r="B288" s="74">
        <v>40771</v>
      </c>
      <c r="C288" s="16">
        <v>2011</v>
      </c>
      <c r="D288" s="11" t="s">
        <v>34</v>
      </c>
      <c r="E288" s="16">
        <v>8</v>
      </c>
      <c r="F288" s="28">
        <v>15.933999999999999</v>
      </c>
      <c r="G288" s="29">
        <v>2.2523906249999994</v>
      </c>
    </row>
    <row r="289" spans="1:27">
      <c r="A289" s="16">
        <v>16</v>
      </c>
      <c r="B289" s="74">
        <v>40771</v>
      </c>
      <c r="C289" s="16">
        <v>2011</v>
      </c>
      <c r="D289" s="11" t="s">
        <v>34</v>
      </c>
      <c r="E289" s="16">
        <v>8</v>
      </c>
      <c r="F289" s="28">
        <v>12.702</v>
      </c>
      <c r="G289" s="29">
        <v>2.6617537499999999</v>
      </c>
      <c r="I289" s="29">
        <f>AVERAGE(F288:F289)</f>
        <v>14.318</v>
      </c>
      <c r="J289" s="29">
        <f>AVERAGE(G288:G289)</f>
        <v>2.4570721874999997</v>
      </c>
      <c r="L289">
        <f>+J289/I289</f>
        <v>0.17160722080597848</v>
      </c>
      <c r="M289">
        <f>+(L289-$L$619)/$L$620</f>
        <v>2.989456439262983</v>
      </c>
      <c r="N289">
        <f>+N287+M289</f>
        <v>5.6525960576983652</v>
      </c>
      <c r="Z289">
        <f>+(I289-$F$619)/$F$620</f>
        <v>1.7348521447935688</v>
      </c>
      <c r="AA289">
        <f>+AA287+Z289</f>
        <v>23.45693535007797</v>
      </c>
    </row>
    <row r="290" spans="1:27">
      <c r="A290" s="16">
        <v>2</v>
      </c>
      <c r="B290" s="74">
        <v>40799</v>
      </c>
      <c r="C290" s="16">
        <v>2011</v>
      </c>
      <c r="D290" s="11" t="s">
        <v>40</v>
      </c>
      <c r="E290" s="16">
        <v>9</v>
      </c>
      <c r="F290" s="28">
        <v>11.798999999999999</v>
      </c>
      <c r="G290" s="29">
        <v>1.3197622499999999</v>
      </c>
    </row>
    <row r="291" spans="1:27">
      <c r="A291" s="16">
        <v>16</v>
      </c>
      <c r="B291" s="74">
        <v>40799</v>
      </c>
      <c r="C291" s="16">
        <v>2011</v>
      </c>
      <c r="D291" s="11" t="s">
        <v>40</v>
      </c>
      <c r="E291" s="16">
        <v>9</v>
      </c>
      <c r="F291" s="28">
        <v>9.0269999999999992</v>
      </c>
      <c r="G291" s="29">
        <v>1.53077025</v>
      </c>
      <c r="I291" s="29">
        <f>AVERAGE(F290:F291)</f>
        <v>10.413</v>
      </c>
      <c r="J291" s="29">
        <f>AVERAGE(G290:G291)</f>
        <v>1.42526625</v>
      </c>
      <c r="L291">
        <f>+J291/I291</f>
        <v>0.13687373955632381</v>
      </c>
      <c r="M291">
        <f>+(L291-$L$619)/$L$620</f>
        <v>2.2376014015464389</v>
      </c>
      <c r="N291">
        <f>+N289+M291</f>
        <v>7.8901974592448045</v>
      </c>
      <c r="Z291">
        <f>+(I291-$F$619)/$F$620</f>
        <v>0.94627400071864931</v>
      </c>
      <c r="AA291">
        <f>+AA289+Z291</f>
        <v>24.403209350796619</v>
      </c>
    </row>
    <row r="292" spans="1:27">
      <c r="A292" s="16">
        <v>2</v>
      </c>
      <c r="B292" s="74">
        <v>40827</v>
      </c>
      <c r="C292" s="16">
        <v>2011</v>
      </c>
      <c r="D292" s="11" t="s">
        <v>36</v>
      </c>
      <c r="E292" s="16">
        <v>10</v>
      </c>
      <c r="F292" s="30">
        <v>8.0350000000000001</v>
      </c>
      <c r="G292" s="29">
        <v>0</v>
      </c>
    </row>
    <row r="293" spans="1:27">
      <c r="A293" s="16">
        <v>16</v>
      </c>
      <c r="B293" s="74">
        <v>40827</v>
      </c>
      <c r="C293" s="16">
        <v>2011</v>
      </c>
      <c r="D293" s="11" t="s">
        <v>36</v>
      </c>
      <c r="E293" s="16">
        <v>10</v>
      </c>
      <c r="F293" s="30">
        <v>3.6949999999999998</v>
      </c>
      <c r="G293" s="29">
        <v>2.7034124999999999E-2</v>
      </c>
      <c r="I293" s="29">
        <f>AVERAGE(F292:F293)</f>
        <v>5.8650000000000002</v>
      </c>
      <c r="J293" s="29">
        <f>AVERAGE(G292:G293)</f>
        <v>1.35170625E-2</v>
      </c>
      <c r="L293">
        <f>+J293/I293</f>
        <v>2.3046994884910483E-3</v>
      </c>
      <c r="M293">
        <f>+(L293-$L$619)/$L$620</f>
        <v>-0.6753346778649929</v>
      </c>
      <c r="N293">
        <f>+N291+M293</f>
        <v>7.2148627813798116</v>
      </c>
      <c r="Z293">
        <f>+(I293-$F$619)/$F$620</f>
        <v>2.7848034200663497E-2</v>
      </c>
      <c r="AA293">
        <f>+AA291+Z293</f>
        <v>24.431057384997281</v>
      </c>
    </row>
    <row r="294" spans="1:27">
      <c r="A294" s="16">
        <v>2</v>
      </c>
      <c r="B294" s="75">
        <v>40862</v>
      </c>
      <c r="C294" s="16">
        <v>2011</v>
      </c>
      <c r="D294" s="11" t="s">
        <v>37</v>
      </c>
      <c r="E294" s="16">
        <v>11</v>
      </c>
      <c r="F294" s="30">
        <v>3.5640000000000001</v>
      </c>
      <c r="G294" s="29">
        <v>8.6628499999999983E-2</v>
      </c>
    </row>
    <row r="295" spans="1:27">
      <c r="A295" s="16">
        <v>16</v>
      </c>
      <c r="B295" s="75">
        <v>40862</v>
      </c>
      <c r="C295" s="16">
        <v>2011</v>
      </c>
      <c r="D295" s="11" t="s">
        <v>37</v>
      </c>
      <c r="E295" s="16">
        <v>11</v>
      </c>
      <c r="F295" s="30">
        <v>2.222</v>
      </c>
      <c r="G295" s="29">
        <v>3.6646499999999999E-2</v>
      </c>
      <c r="I295" s="29">
        <f>AVERAGE(F294:F295)</f>
        <v>2.8929999999999998</v>
      </c>
      <c r="J295" s="29">
        <f>AVERAGE(G294:G295)</f>
        <v>6.1637499999999991E-2</v>
      </c>
      <c r="L295">
        <f>+J295/I295</f>
        <v>2.1305737988247492E-2</v>
      </c>
      <c r="M295">
        <f>+(L295-$L$619)/$L$620</f>
        <v>-0.26403048364374926</v>
      </c>
      <c r="N295">
        <f>+N293+M295</f>
        <v>6.9508322977360626</v>
      </c>
      <c r="Z295">
        <f>+(I295-$F$619)/$F$620</f>
        <v>-0.57231950592498604</v>
      </c>
      <c r="AA295">
        <f>+AA293+Z295</f>
        <v>23.858737879072294</v>
      </c>
    </row>
    <row r="296" spans="1:27">
      <c r="A296" s="16">
        <v>2</v>
      </c>
      <c r="B296" s="75">
        <v>40891</v>
      </c>
      <c r="C296" s="16">
        <v>2011</v>
      </c>
      <c r="D296" s="11" t="s">
        <v>38</v>
      </c>
      <c r="E296" s="16">
        <v>12</v>
      </c>
      <c r="F296" s="30">
        <v>1.893</v>
      </c>
      <c r="G296" s="29">
        <v>1.322125E-2</v>
      </c>
    </row>
    <row r="297" spans="1:27">
      <c r="A297" s="16">
        <v>16</v>
      </c>
      <c r="B297" s="75">
        <v>40890</v>
      </c>
      <c r="C297" s="16">
        <v>2011</v>
      </c>
      <c r="D297" s="11" t="s">
        <v>38</v>
      </c>
      <c r="E297" s="16">
        <v>12</v>
      </c>
      <c r="F297" s="30">
        <v>0.53800000000000003</v>
      </c>
      <c r="G297" s="29">
        <v>0</v>
      </c>
      <c r="I297" s="29"/>
      <c r="J297" s="29"/>
    </row>
    <row r="298" spans="1:27">
      <c r="A298" s="16">
        <v>16</v>
      </c>
      <c r="B298" s="75">
        <v>40890</v>
      </c>
      <c r="C298" s="16">
        <v>2011</v>
      </c>
      <c r="D298" s="11" t="s">
        <v>38</v>
      </c>
      <c r="E298" s="16">
        <v>12</v>
      </c>
      <c r="F298" s="30">
        <v>0.53800000000000003</v>
      </c>
      <c r="G298" s="29">
        <v>0</v>
      </c>
      <c r="H298" t="s">
        <v>41</v>
      </c>
      <c r="I298" s="29">
        <f>AVERAGE(F296:F298)</f>
        <v>0.98966666666666681</v>
      </c>
      <c r="J298" s="29">
        <f>AVERAGE(G296:G298)</f>
        <v>4.4070833333333332E-3</v>
      </c>
      <c r="L298">
        <f>+J298/I298</f>
        <v>4.4530986864264053E-3</v>
      </c>
      <c r="M298">
        <f>+(L298-$L$619)/$L$620</f>
        <v>-0.62882955652735162</v>
      </c>
      <c r="N298">
        <f>+N295+M298</f>
        <v>6.3220027412087108</v>
      </c>
      <c r="Z298">
        <f>+(I298-$F$619)/$F$620</f>
        <v>-0.95667983052317573</v>
      </c>
      <c r="AA298">
        <f>+AA295+Z298</f>
        <v>22.902058048549119</v>
      </c>
    </row>
    <row r="299" spans="1:27">
      <c r="A299" s="16">
        <v>2</v>
      </c>
      <c r="B299" s="74">
        <v>40917</v>
      </c>
      <c r="C299" s="16">
        <v>2012</v>
      </c>
      <c r="D299" s="11" t="s">
        <v>39</v>
      </c>
      <c r="E299" s="16">
        <v>1</v>
      </c>
      <c r="F299" s="32">
        <v>2.3969999999999998</v>
      </c>
      <c r="G299" s="29">
        <v>1.361775E-2</v>
      </c>
      <c r="I299" s="29"/>
      <c r="J299" s="29"/>
    </row>
    <row r="300" spans="1:27">
      <c r="A300" s="16">
        <v>16</v>
      </c>
      <c r="B300" s="74">
        <v>40917</v>
      </c>
      <c r="C300" s="16">
        <v>2012</v>
      </c>
      <c r="D300" s="11" t="s">
        <v>39</v>
      </c>
      <c r="E300" s="16">
        <v>1</v>
      </c>
      <c r="F300" s="32">
        <v>1.5760000000000001</v>
      </c>
      <c r="G300" s="29">
        <v>8.1927499999999986E-3</v>
      </c>
      <c r="I300" s="29">
        <f>AVERAGE(F299:F300)</f>
        <v>1.9864999999999999</v>
      </c>
      <c r="J300" s="29">
        <f>AVERAGE(G299:G300)</f>
        <v>1.0905249999999998E-2</v>
      </c>
      <c r="L300">
        <f>+J300/I300</f>
        <v>5.4896803423105959E-3</v>
      </c>
      <c r="M300">
        <f>+(L300-$L$619)/$L$620</f>
        <v>-0.6063912891282599</v>
      </c>
      <c r="N300">
        <f>+N298+M300</f>
        <v>5.7156114520804504</v>
      </c>
      <c r="Z300">
        <f>+(I300-$F$619)/$F$620</f>
        <v>-0.75537868328834445</v>
      </c>
      <c r="AA300">
        <f>+AA298+Z300</f>
        <v>22.146679365260773</v>
      </c>
    </row>
    <row r="301" spans="1:27">
      <c r="A301" s="16">
        <v>2</v>
      </c>
      <c r="B301" s="74">
        <v>40962</v>
      </c>
      <c r="C301" s="16">
        <v>2012</v>
      </c>
      <c r="D301" s="11" t="s">
        <v>28</v>
      </c>
      <c r="E301" s="16">
        <v>2</v>
      </c>
      <c r="F301" s="32">
        <v>2.3370000000000002</v>
      </c>
      <c r="G301" s="29">
        <v>3.528425000000001E-2</v>
      </c>
    </row>
    <row r="302" spans="1:27">
      <c r="A302" s="16">
        <v>16</v>
      </c>
      <c r="B302" s="74">
        <v>40962</v>
      </c>
      <c r="C302" s="16">
        <v>2012</v>
      </c>
      <c r="D302" s="11" t="s">
        <v>28</v>
      </c>
      <c r="E302" s="16">
        <v>2</v>
      </c>
      <c r="F302" s="32">
        <v>2.4569999999999999</v>
      </c>
      <c r="G302" s="29">
        <v>2.9786499999999997E-2</v>
      </c>
      <c r="I302" s="29">
        <f>AVERAGE(F301:F302)</f>
        <v>2.3970000000000002</v>
      </c>
      <c r="J302" s="29">
        <f>AVERAGE(G301:G302)</f>
        <v>3.2535375000000005E-2</v>
      </c>
      <c r="L302">
        <f>+J302/I302</f>
        <v>1.357337296620776E-2</v>
      </c>
      <c r="M302">
        <f>+(L302-$L$619)/$L$620</f>
        <v>-0.43140839642758722</v>
      </c>
      <c r="N302">
        <f>+N300+M302</f>
        <v>5.2842030556528634</v>
      </c>
      <c r="Z302">
        <f>+(I302-$F$619)/$F$620</f>
        <v>-0.67248205636318326</v>
      </c>
      <c r="AA302">
        <f>+AA300+Z302</f>
        <v>21.47419730889759</v>
      </c>
    </row>
    <row r="303" spans="1:27">
      <c r="A303" s="16">
        <v>2</v>
      </c>
      <c r="B303" s="74">
        <v>40980</v>
      </c>
      <c r="C303" s="16">
        <v>2012</v>
      </c>
      <c r="D303" s="11" t="s">
        <v>29</v>
      </c>
      <c r="E303" s="16">
        <v>3</v>
      </c>
      <c r="F303" s="32">
        <v>2.5830000000000002</v>
      </c>
      <c r="G303" s="29">
        <v>8.0484499999999987E-2</v>
      </c>
    </row>
    <row r="304" spans="1:27">
      <c r="A304" s="16">
        <v>16</v>
      </c>
      <c r="B304" s="74">
        <v>40980</v>
      </c>
      <c r="C304" s="16">
        <v>2012</v>
      </c>
      <c r="D304" s="11" t="s">
        <v>29</v>
      </c>
      <c r="E304" s="16">
        <v>3</v>
      </c>
      <c r="F304" s="32">
        <v>2.71</v>
      </c>
      <c r="G304" s="29">
        <v>8.5160750000000007E-2</v>
      </c>
    </row>
    <row r="305" spans="1:27">
      <c r="A305" s="16">
        <v>16</v>
      </c>
      <c r="B305" s="74">
        <v>40980</v>
      </c>
      <c r="C305" s="16">
        <v>2012</v>
      </c>
      <c r="D305" s="11" t="s">
        <v>29</v>
      </c>
      <c r="E305" s="16">
        <v>3</v>
      </c>
      <c r="F305" s="32">
        <v>2.71</v>
      </c>
      <c r="G305" s="29">
        <v>8.3294624999999997E-2</v>
      </c>
      <c r="H305" t="s">
        <v>41</v>
      </c>
      <c r="I305" s="29">
        <f>AVERAGE(F303:F305)</f>
        <v>2.6676666666666669</v>
      </c>
      <c r="J305" s="29">
        <f>AVERAGE(G303:G305)</f>
        <v>8.2979958333333326E-2</v>
      </c>
      <c r="L305">
        <f>+J305/I305</f>
        <v>3.1105819692615264E-2</v>
      </c>
      <c r="M305">
        <f>+(L305-$L$619)/$L$620</f>
        <v>-5.189393601404968E-2</v>
      </c>
      <c r="N305">
        <f>+N302+M305</f>
        <v>5.2323091196388134</v>
      </c>
      <c r="Z305">
        <f>+(I305-$F$619)/$F$620</f>
        <v>-0.6178234602907261</v>
      </c>
      <c r="AA305">
        <f>+AA302+Z305</f>
        <v>20.856373848606864</v>
      </c>
    </row>
    <row r="306" spans="1:27">
      <c r="A306" s="16">
        <v>2</v>
      </c>
      <c r="B306" s="74">
        <v>41015</v>
      </c>
      <c r="C306" s="16">
        <v>2012</v>
      </c>
      <c r="D306" s="11" t="s">
        <v>30</v>
      </c>
      <c r="E306" s="16">
        <v>4</v>
      </c>
      <c r="F306" s="28">
        <v>2.3580000000000001</v>
      </c>
      <c r="G306" s="29">
        <v>3.5394124999999999E-2</v>
      </c>
    </row>
    <row r="307" spans="1:27">
      <c r="A307" s="16">
        <v>16</v>
      </c>
      <c r="B307" s="74">
        <v>41015</v>
      </c>
      <c r="C307" s="16">
        <v>2012</v>
      </c>
      <c r="D307" s="11" t="s">
        <v>30</v>
      </c>
      <c r="E307" s="16">
        <v>4</v>
      </c>
      <c r="F307" s="28">
        <v>1.37</v>
      </c>
      <c r="G307" s="29">
        <v>1.8219875E-2</v>
      </c>
      <c r="I307" s="29">
        <f>AVERAGE(F306:F307)</f>
        <v>1.8640000000000001</v>
      </c>
      <c r="J307" s="29">
        <f>AVERAGE(G306:G307)</f>
        <v>2.6806999999999997E-2</v>
      </c>
      <c r="L307">
        <f>+J307/I307</f>
        <v>1.4381437768240342E-2</v>
      </c>
      <c r="M307">
        <f>+(L307-$L$619)/$L$620</f>
        <v>-0.41391669763002831</v>
      </c>
      <c r="N307">
        <f>+N305+M307</f>
        <v>4.8183924220087855</v>
      </c>
      <c r="Z307">
        <f>+(I307-$F$619)/$F$620</f>
        <v>-0.78011640995906861</v>
      </c>
      <c r="AA307">
        <f>+AA305+Z307</f>
        <v>20.076257438647797</v>
      </c>
    </row>
    <row r="308" spans="1:27">
      <c r="A308" s="16">
        <v>2</v>
      </c>
      <c r="B308" s="74">
        <v>41045</v>
      </c>
      <c r="C308" s="16">
        <v>2012</v>
      </c>
      <c r="D308" s="11" t="s">
        <v>31</v>
      </c>
      <c r="E308" s="16">
        <v>5</v>
      </c>
      <c r="F308" s="28">
        <v>4.6139999999999999</v>
      </c>
      <c r="G308" s="29">
        <v>6.553287499999999E-2</v>
      </c>
    </row>
    <row r="309" spans="1:27">
      <c r="A309" s="16">
        <v>16</v>
      </c>
      <c r="B309" s="74">
        <v>41045</v>
      </c>
      <c r="C309" s="16">
        <v>2012</v>
      </c>
      <c r="D309" s="11" t="s">
        <v>31</v>
      </c>
      <c r="E309" s="16">
        <v>5</v>
      </c>
      <c r="F309" s="28">
        <v>3.7370000000000001</v>
      </c>
      <c r="G309" s="29">
        <v>5.1675624999999989E-2</v>
      </c>
      <c r="I309" s="29">
        <f>AVERAGE(F308:F309)</f>
        <v>4.1754999999999995</v>
      </c>
      <c r="J309" s="29">
        <f>AVERAGE(G308:G309)</f>
        <v>5.860424999999999E-2</v>
      </c>
      <c r="L309">
        <f>+J309/I309</f>
        <v>1.4035265237696083E-2</v>
      </c>
      <c r="M309">
        <f>+(L309-$L$619)/$L$620</f>
        <v>-0.42141008878014152</v>
      </c>
      <c r="N309">
        <f>+N307+M309</f>
        <v>4.3969823332286442</v>
      </c>
      <c r="Z309">
        <f>+(I309-$F$619)/$F$620</f>
        <v>-0.31333065322944592</v>
      </c>
      <c r="AA309">
        <f>+AA307+Z309</f>
        <v>19.762926785418351</v>
      </c>
    </row>
    <row r="310" spans="1:27">
      <c r="A310" s="16">
        <v>2</v>
      </c>
      <c r="B310" s="74">
        <v>41073</v>
      </c>
      <c r="C310" s="16">
        <v>2012</v>
      </c>
      <c r="D310" s="11" t="s">
        <v>32</v>
      </c>
      <c r="E310" s="16">
        <v>6</v>
      </c>
      <c r="F310" s="28">
        <v>9.9949999999999992</v>
      </c>
      <c r="G310" s="29">
        <v>0.42628212499999996</v>
      </c>
    </row>
    <row r="311" spans="1:27">
      <c r="A311" s="16">
        <v>16</v>
      </c>
      <c r="B311" s="74">
        <v>41073</v>
      </c>
      <c r="C311" s="16">
        <v>2012</v>
      </c>
      <c r="D311" s="11" t="s">
        <v>32</v>
      </c>
      <c r="E311" s="16">
        <v>6</v>
      </c>
      <c r="F311" s="28">
        <v>12.074999999999999</v>
      </c>
      <c r="G311" s="29">
        <v>0.37448062499999996</v>
      </c>
      <c r="I311" s="29">
        <f>AVERAGE(F310:F312)</f>
        <v>10.615</v>
      </c>
      <c r="J311" s="29">
        <f>AVERAGE(G310:G312)</f>
        <v>0.47781370833333331</v>
      </c>
      <c r="L311">
        <f>+J311/I311</f>
        <v>4.5013067200502431E-2</v>
      </c>
      <c r="M311">
        <f>+(L311-$L$619)/$L$620</f>
        <v>0.24914799020173325</v>
      </c>
      <c r="N311">
        <f>+N309+M311</f>
        <v>4.646130323430377</v>
      </c>
      <c r="Z311">
        <f>+(I311-$F$619)/$F$620</f>
        <v>0.98706600714710868</v>
      </c>
      <c r="AA311">
        <f>+AA309+Z311</f>
        <v>20.749992792565461</v>
      </c>
    </row>
    <row r="312" spans="1:27">
      <c r="A312" s="16">
        <v>2</v>
      </c>
      <c r="B312" s="74">
        <v>41107</v>
      </c>
      <c r="C312" s="16">
        <v>2012</v>
      </c>
      <c r="D312" s="11" t="s">
        <v>33</v>
      </c>
      <c r="E312" s="16">
        <v>7</v>
      </c>
      <c r="F312" s="28">
        <v>9.7750000000000004</v>
      </c>
      <c r="G312" s="29">
        <v>0.63267837500000002</v>
      </c>
    </row>
    <row r="313" spans="1:27">
      <c r="A313" s="16">
        <v>2</v>
      </c>
      <c r="B313" s="74">
        <v>41107</v>
      </c>
      <c r="C313" s="16">
        <v>2012</v>
      </c>
      <c r="D313" s="11" t="s">
        <v>33</v>
      </c>
      <c r="E313" s="16">
        <v>7</v>
      </c>
      <c r="F313" s="28">
        <v>9.7750000000000004</v>
      </c>
      <c r="G313" s="29">
        <v>0.64168499999999995</v>
      </c>
      <c r="H313" t="s">
        <v>41</v>
      </c>
    </row>
    <row r="314" spans="1:27">
      <c r="A314" s="16">
        <v>16</v>
      </c>
      <c r="B314" s="74">
        <v>41107</v>
      </c>
      <c r="C314" s="16">
        <v>2012</v>
      </c>
      <c r="D314" s="11" t="s">
        <v>33</v>
      </c>
      <c r="E314" s="16">
        <v>7</v>
      </c>
      <c r="F314" s="28">
        <v>6.5730000000000004</v>
      </c>
      <c r="G314" s="29">
        <v>0.97094249999999993</v>
      </c>
      <c r="I314" s="29">
        <f>AVERAGE(F312:F314)</f>
        <v>8.7076666666666664</v>
      </c>
      <c r="J314" s="29">
        <f>AVERAGE(G312:G314)</f>
        <v>0.74843529166666667</v>
      </c>
      <c r="L314">
        <f>+J314/I314</f>
        <v>8.5951302492056805E-2</v>
      </c>
      <c r="M314">
        <f>+(L314-$L$619)/$L$620</f>
        <v>1.1353136531810637</v>
      </c>
      <c r="N314">
        <f>+N311+M314</f>
        <v>5.7814439766114409</v>
      </c>
      <c r="Z314">
        <f>+(I314-$F$619)/$F$620</f>
        <v>0.60189792004538512</v>
      </c>
      <c r="AA314">
        <f>+AA311+Z314</f>
        <v>21.351890712610846</v>
      </c>
    </row>
    <row r="315" spans="1:27">
      <c r="A315" s="16">
        <v>2</v>
      </c>
      <c r="B315" s="74">
        <v>41135</v>
      </c>
      <c r="C315" s="16">
        <v>2012</v>
      </c>
      <c r="D315" s="11" t="s">
        <v>34</v>
      </c>
      <c r="E315" s="16">
        <v>8</v>
      </c>
      <c r="F315" s="28">
        <v>14.991</v>
      </c>
      <c r="G315" s="29">
        <v>1.7980672499999997</v>
      </c>
    </row>
    <row r="316" spans="1:27">
      <c r="A316" s="16">
        <v>2</v>
      </c>
      <c r="B316" s="74">
        <v>41135</v>
      </c>
      <c r="C316" s="16">
        <v>2012</v>
      </c>
      <c r="D316" s="11" t="s">
        <v>34</v>
      </c>
      <c r="E316" s="16">
        <v>8</v>
      </c>
      <c r="F316" s="28">
        <v>14.991</v>
      </c>
      <c r="G316" s="29">
        <v>1.8566452499999999</v>
      </c>
      <c r="H316" t="s">
        <v>41</v>
      </c>
    </row>
    <row r="317" spans="1:27">
      <c r="A317" s="16">
        <v>16</v>
      </c>
      <c r="B317" s="74">
        <v>41135</v>
      </c>
      <c r="C317" s="16">
        <v>2012</v>
      </c>
      <c r="D317" s="11" t="s">
        <v>34</v>
      </c>
      <c r="E317" s="16">
        <v>8</v>
      </c>
      <c r="F317" s="28">
        <v>10.858000000000001</v>
      </c>
      <c r="G317" s="29">
        <v>1.117968375</v>
      </c>
      <c r="I317" s="29">
        <f>AVERAGE(F315:F317)</f>
        <v>13.613333333333335</v>
      </c>
      <c r="J317" s="29">
        <f>AVERAGE(G315:G317)</f>
        <v>1.5908936249999999</v>
      </c>
      <c r="L317">
        <f>+J317/I317</f>
        <v>0.1168629009549461</v>
      </c>
      <c r="M317">
        <f>+(L317-$L$619)/$L$620</f>
        <v>1.8044386643236012</v>
      </c>
      <c r="N317">
        <f>+N314+M317</f>
        <v>7.5858826409350417</v>
      </c>
      <c r="Z317">
        <f>+(I317-$F$619)/$F$620</f>
        <v>1.5925513170876897</v>
      </c>
      <c r="AA317">
        <f>+AA314+Z317</f>
        <v>22.944442029698536</v>
      </c>
    </row>
    <row r="318" spans="1:27">
      <c r="A318" s="16">
        <v>2</v>
      </c>
      <c r="B318" s="74">
        <v>41164</v>
      </c>
      <c r="C318" s="16">
        <v>2012</v>
      </c>
      <c r="D318" s="11" t="s">
        <v>40</v>
      </c>
      <c r="E318" s="16">
        <v>9</v>
      </c>
      <c r="F318" s="28">
        <v>16.704000000000001</v>
      </c>
      <c r="G318" s="29">
        <v>0.51851749999999985</v>
      </c>
    </row>
    <row r="319" spans="1:27">
      <c r="A319" s="16">
        <v>16</v>
      </c>
      <c r="B319" s="74">
        <v>41164</v>
      </c>
      <c r="C319" s="16">
        <v>2012</v>
      </c>
      <c r="D319" s="11" t="s">
        <v>40</v>
      </c>
      <c r="E319" s="16">
        <v>9</v>
      </c>
      <c r="F319" s="28">
        <v>8.1769999999999996</v>
      </c>
      <c r="G319" s="29">
        <v>0.44327062499999997</v>
      </c>
      <c r="I319" s="29">
        <f>AVERAGE(F318:F319)</f>
        <v>12.4405</v>
      </c>
      <c r="J319" s="29">
        <f>AVERAGE(G318:G319)</f>
        <v>0.48089406249999989</v>
      </c>
      <c r="L319">
        <f>+J319/I319</f>
        <v>3.8655525300430038E-2</v>
      </c>
      <c r="M319">
        <f>+(L319-$L$619)/$L$620</f>
        <v>0.11153005692558166</v>
      </c>
      <c r="N319">
        <f>+N317+M319</f>
        <v>7.6974126978606234</v>
      </c>
      <c r="Z319">
        <f>+(I319-$F$619)/$F$620</f>
        <v>1.3557086196973689</v>
      </c>
      <c r="AA319">
        <f>+AA317+Z319</f>
        <v>24.300150649395903</v>
      </c>
    </row>
    <row r="320" spans="1:27">
      <c r="A320" s="16">
        <v>2</v>
      </c>
      <c r="B320" s="74">
        <v>41200</v>
      </c>
      <c r="C320" s="16">
        <v>2012</v>
      </c>
      <c r="D320" s="11" t="s">
        <v>36</v>
      </c>
      <c r="E320" s="16">
        <v>10</v>
      </c>
      <c r="F320" s="28">
        <v>2.794</v>
      </c>
      <c r="G320" s="29">
        <v>6.305899999999999E-2</v>
      </c>
    </row>
    <row r="321" spans="1:27">
      <c r="A321" s="16">
        <v>16</v>
      </c>
      <c r="B321" s="74">
        <v>41200</v>
      </c>
      <c r="C321" s="16">
        <v>2012</v>
      </c>
      <c r="D321" s="11" t="s">
        <v>36</v>
      </c>
      <c r="E321" s="16">
        <v>10</v>
      </c>
      <c r="F321" s="28">
        <v>2.133</v>
      </c>
      <c r="G321" s="29">
        <v>4.2762374999999991E-2</v>
      </c>
      <c r="I321" s="29">
        <f>AVERAGE(F320:F321)</f>
        <v>2.4634999999999998</v>
      </c>
      <c r="J321" s="29">
        <f>AVERAGE(G320:G321)</f>
        <v>5.2910687499999991E-2</v>
      </c>
      <c r="L321">
        <f>+J321/I321</f>
        <v>2.147785163385427E-2</v>
      </c>
      <c r="M321">
        <f>+(L321-$L$619)/$L$620</f>
        <v>-0.26030484178887464</v>
      </c>
      <c r="N321">
        <f>+N319+M321</f>
        <v>7.4371078560717487</v>
      </c>
      <c r="Z321">
        <f>+(I321-$F$619)/$F$620</f>
        <v>-0.65905300474193307</v>
      </c>
      <c r="AA321">
        <f>+AA319+Z321</f>
        <v>23.641097644653971</v>
      </c>
    </row>
    <row r="322" spans="1:27">
      <c r="A322" s="16">
        <v>2</v>
      </c>
      <c r="B322" s="74">
        <v>41226</v>
      </c>
      <c r="C322" s="16">
        <v>2012</v>
      </c>
      <c r="D322" s="11" t="s">
        <v>37</v>
      </c>
      <c r="E322" s="16">
        <v>11</v>
      </c>
      <c r="F322" s="28">
        <v>2.4950000000000001</v>
      </c>
      <c r="G322" s="29">
        <v>2.4771749999999995E-2</v>
      </c>
    </row>
    <row r="323" spans="1:27">
      <c r="A323" s="16">
        <v>16</v>
      </c>
      <c r="B323" s="74">
        <v>41226</v>
      </c>
      <c r="C323" s="16">
        <v>2012</v>
      </c>
      <c r="D323" s="11" t="s">
        <v>37</v>
      </c>
      <c r="E323" s="16">
        <v>11</v>
      </c>
      <c r="F323" s="28">
        <v>2.496</v>
      </c>
      <c r="G323" s="29">
        <v>0</v>
      </c>
      <c r="I323" s="29">
        <f>AVERAGE(F322:F323)</f>
        <v>2.4954999999999998</v>
      </c>
      <c r="J323" s="29">
        <f>AVERAGE(G322:G323)</f>
        <v>1.2385874999999998E-2</v>
      </c>
      <c r="L323">
        <f>+J323/I323</f>
        <v>4.9632839110398709E-3</v>
      </c>
      <c r="M323">
        <f>+(L323-$L$619)/$L$620</f>
        <v>-0.61778588000851731</v>
      </c>
      <c r="N323">
        <f>+N321+M323</f>
        <v>6.8193219760632315</v>
      </c>
      <c r="Z323">
        <f>+(I323-$F$619)/$F$620</f>
        <v>-0.65259090471366232</v>
      </c>
      <c r="AA323">
        <f>+AA321+Z323</f>
        <v>22.988506739940309</v>
      </c>
    </row>
    <row r="324" spans="1:27">
      <c r="A324" s="16">
        <v>2</v>
      </c>
      <c r="B324" s="74">
        <v>41254</v>
      </c>
      <c r="C324" s="16">
        <v>2012</v>
      </c>
      <c r="D324" s="11" t="s">
        <v>38</v>
      </c>
      <c r="E324" s="16">
        <v>12</v>
      </c>
      <c r="F324" s="28">
        <v>1.611</v>
      </c>
      <c r="G324" s="29">
        <v>0</v>
      </c>
    </row>
    <row r="325" spans="1:27">
      <c r="A325" s="16">
        <v>16</v>
      </c>
      <c r="B325" s="74">
        <v>41254</v>
      </c>
      <c r="C325" s="16">
        <v>2012</v>
      </c>
      <c r="D325" s="11" t="s">
        <v>38</v>
      </c>
      <c r="E325" s="16">
        <v>12</v>
      </c>
      <c r="F325" s="28">
        <v>0.92400000000000004</v>
      </c>
      <c r="G325" s="29">
        <v>0</v>
      </c>
      <c r="I325" s="29">
        <f>AVERAGE(F324:F325)</f>
        <v>1.2675000000000001</v>
      </c>
      <c r="J325" s="29">
        <f>AVERAGE(G324:G325)</f>
        <v>0</v>
      </c>
      <c r="L325">
        <f>+J325/I325</f>
        <v>0</v>
      </c>
      <c r="M325">
        <f>+(L325-$L$619)/$L$620</f>
        <v>-0.72522313875348976</v>
      </c>
      <c r="N325">
        <f>+N323+M325</f>
        <v>6.0940988373097422</v>
      </c>
      <c r="Z325">
        <f>+(I325-$F$619)/$F$620</f>
        <v>-0.9005739932985537</v>
      </c>
      <c r="AA325">
        <f>+AA323+Z325</f>
        <v>22.087932746641755</v>
      </c>
    </row>
    <row r="326" spans="1:27">
      <c r="A326" s="16">
        <v>2</v>
      </c>
      <c r="B326" s="74">
        <v>41288</v>
      </c>
      <c r="C326" s="16">
        <v>2013</v>
      </c>
      <c r="D326" s="11" t="s">
        <v>39</v>
      </c>
      <c r="E326" s="16">
        <v>1</v>
      </c>
      <c r="F326" s="28">
        <v>2.032</v>
      </c>
      <c r="G326" s="29">
        <v>0</v>
      </c>
    </row>
    <row r="327" spans="1:27">
      <c r="A327" s="16">
        <v>16</v>
      </c>
      <c r="B327" s="74">
        <v>41288</v>
      </c>
      <c r="C327" s="16">
        <v>2013</v>
      </c>
      <c r="D327" s="11" t="s">
        <v>39</v>
      </c>
      <c r="E327" s="16">
        <v>1</v>
      </c>
      <c r="F327" s="28">
        <v>2.7450000000000001</v>
      </c>
      <c r="G327" s="29">
        <v>1.638125E-2</v>
      </c>
      <c r="I327" s="29">
        <f>AVERAGE(F327:F328)</f>
        <v>5.3710000000000004</v>
      </c>
      <c r="J327" s="29">
        <f>AVERAGE(G327:G328)</f>
        <v>8.190625E-3</v>
      </c>
      <c r="L327">
        <f>+J327/I327</f>
        <v>1.5249720722398062E-3</v>
      </c>
      <c r="M327">
        <f>+(L327-$L$619)/$L$620</f>
        <v>-0.69221297410430327</v>
      </c>
      <c r="N327">
        <f>+N325+M327</f>
        <v>5.4018858632054387</v>
      </c>
      <c r="Z327">
        <f>+(I327-$F$619)/$F$620</f>
        <v>-7.1910634985766761E-2</v>
      </c>
      <c r="AA327">
        <f>+AA325+Z327</f>
        <v>22.016022111655989</v>
      </c>
    </row>
    <row r="328" spans="1:27">
      <c r="A328" s="16">
        <v>2</v>
      </c>
      <c r="B328" s="74">
        <v>41318</v>
      </c>
      <c r="C328" s="16">
        <v>2013</v>
      </c>
      <c r="D328" s="11" t="s">
        <v>28</v>
      </c>
      <c r="E328" s="16">
        <v>2</v>
      </c>
      <c r="F328" s="33">
        <v>7.9969999999999999</v>
      </c>
      <c r="G328" s="29">
        <v>0</v>
      </c>
    </row>
    <row r="329" spans="1:27">
      <c r="A329" s="16">
        <v>16</v>
      </c>
      <c r="B329" s="74">
        <v>41318</v>
      </c>
      <c r="C329" s="16">
        <v>2013</v>
      </c>
      <c r="D329" s="11" t="s">
        <v>28</v>
      </c>
      <c r="E329" s="16">
        <v>2</v>
      </c>
      <c r="F329" s="33">
        <v>8.891</v>
      </c>
      <c r="G329" s="29">
        <v>2.4691749999999998E-2</v>
      </c>
      <c r="I329" s="29">
        <f>AVERAGE(F329:F330)</f>
        <v>7.3365</v>
      </c>
      <c r="J329" s="29">
        <f>AVERAGE(G329:G330)</f>
        <v>2.1961812499999997E-2</v>
      </c>
      <c r="L329">
        <f>+J329/I329</f>
        <v>2.9934999659238051E-3</v>
      </c>
      <c r="M329">
        <f>+(L329-$L$619)/$L$620</f>
        <v>-0.66042462306176097</v>
      </c>
      <c r="N329">
        <f>+N327+M329</f>
        <v>4.7414612401436775</v>
      </c>
      <c r="Z329">
        <f>+(I329-$F$619)/$F$620</f>
        <v>0.32500366518817803</v>
      </c>
      <c r="AA329">
        <f>+AA327+Z329</f>
        <v>22.341025776844166</v>
      </c>
    </row>
    <row r="330" spans="1:27">
      <c r="A330" s="16">
        <v>2</v>
      </c>
      <c r="B330" s="74">
        <v>41344</v>
      </c>
      <c r="C330" s="16">
        <v>2013</v>
      </c>
      <c r="D330" s="11" t="s">
        <v>29</v>
      </c>
      <c r="E330" s="16">
        <v>3</v>
      </c>
      <c r="F330" s="33">
        <v>5.782</v>
      </c>
      <c r="G330" s="29">
        <v>1.9231874999999996E-2</v>
      </c>
    </row>
    <row r="331" spans="1:27">
      <c r="A331" s="16">
        <v>16</v>
      </c>
      <c r="B331" s="74">
        <v>41344</v>
      </c>
      <c r="C331" s="16">
        <v>2013</v>
      </c>
      <c r="D331" s="11" t="s">
        <v>29</v>
      </c>
      <c r="E331" s="16">
        <v>3</v>
      </c>
      <c r="F331" s="33">
        <v>6.2729999999999997</v>
      </c>
      <c r="G331" s="29">
        <v>3.6736124999999994E-2</v>
      </c>
      <c r="I331" s="29">
        <f>AVERAGE(F331:F332)</f>
        <v>3.371</v>
      </c>
      <c r="J331" s="29">
        <f>AVERAGE(G331:G332)</f>
        <v>2.2769249999999998E-2</v>
      </c>
      <c r="L331">
        <f>+J331/I331</f>
        <v>6.7544497181845145E-3</v>
      </c>
      <c r="M331">
        <f>+(L331-$L$619)/$L$620</f>
        <v>-0.57901357769284578</v>
      </c>
      <c r="N331">
        <f>+N329+M331</f>
        <v>4.1624476624508322</v>
      </c>
      <c r="Z331">
        <f>+(I331-$F$619)/$F$620</f>
        <v>-0.47579188675269113</v>
      </c>
      <c r="AA331">
        <f>+AA329+Z331</f>
        <v>21.865233890091474</v>
      </c>
    </row>
    <row r="332" spans="1:27">
      <c r="A332" s="16">
        <v>2</v>
      </c>
      <c r="B332" s="74">
        <v>41381</v>
      </c>
      <c r="C332" s="16">
        <v>2013</v>
      </c>
      <c r="D332" s="11" t="s">
        <v>30</v>
      </c>
      <c r="E332" s="16">
        <v>4</v>
      </c>
      <c r="F332" s="34">
        <v>0.46899999999999997</v>
      </c>
      <c r="G332" s="29">
        <v>8.8023749999999994E-3</v>
      </c>
    </row>
    <row r="333" spans="1:27">
      <c r="A333" s="16">
        <v>16</v>
      </c>
      <c r="B333" s="74">
        <v>41379</v>
      </c>
      <c r="C333" s="16">
        <v>2013</v>
      </c>
      <c r="D333" s="11" t="s">
        <v>30</v>
      </c>
      <c r="E333" s="16">
        <v>4</v>
      </c>
      <c r="F333" s="34">
        <v>0.188</v>
      </c>
      <c r="G333" s="29">
        <v>0</v>
      </c>
      <c r="I333" s="29">
        <f>AVERAGE(F333:F334)</f>
        <v>0.67199999999999993</v>
      </c>
      <c r="J333" s="29">
        <f>AVERAGE(G333:G334)</f>
        <v>1.0925125000000001E-2</v>
      </c>
      <c r="L333">
        <f>+J333/I333</f>
        <v>1.6257626488095242E-2</v>
      </c>
      <c r="M333">
        <f>+(L333-$L$619)/$L$620</f>
        <v>-0.3733039548245865</v>
      </c>
      <c r="N333">
        <f>+N331+M333</f>
        <v>3.7891437076262457</v>
      </c>
      <c r="Z333">
        <f>+(I333-$F$619)/$F$620</f>
        <v>-1.0208296360121556</v>
      </c>
      <c r="AA333">
        <f>+AA331+Z333</f>
        <v>20.844404254079318</v>
      </c>
    </row>
    <row r="334" spans="1:27">
      <c r="A334" s="16">
        <v>2</v>
      </c>
      <c r="B334" s="74">
        <v>41408</v>
      </c>
      <c r="C334" s="16">
        <v>2013</v>
      </c>
      <c r="D334" s="11" t="s">
        <v>31</v>
      </c>
      <c r="E334" s="16">
        <v>5</v>
      </c>
      <c r="F334" s="34">
        <v>1.1559999999999999</v>
      </c>
      <c r="G334" s="29">
        <v>2.1850250000000002E-2</v>
      </c>
      <c r="I334" s="29"/>
      <c r="J334" s="29"/>
    </row>
    <row r="335" spans="1:27">
      <c r="A335" s="16">
        <v>16</v>
      </c>
      <c r="B335" s="74">
        <v>41408</v>
      </c>
      <c r="C335" s="16">
        <v>2013</v>
      </c>
      <c r="D335" s="11" t="s">
        <v>31</v>
      </c>
      <c r="E335" s="16">
        <v>5</v>
      </c>
      <c r="F335" s="34">
        <v>0.72499999999999998</v>
      </c>
      <c r="G335" s="29">
        <v>1.4923250000000001E-2</v>
      </c>
      <c r="I335" s="29">
        <f>AVERAGE(F334:F335)</f>
        <v>0.94049999999999989</v>
      </c>
      <c r="J335" s="29">
        <f>AVERAGE(G334:G335)</f>
        <v>1.838675E-2</v>
      </c>
      <c r="L335">
        <f>+J335/I335</f>
        <v>1.9549973418394474E-2</v>
      </c>
      <c r="M335">
        <f>+(L335-$L$619)/$L$620</f>
        <v>-0.30203647640329556</v>
      </c>
      <c r="N335">
        <f>+N333+M335</f>
        <v>3.4871072312229501</v>
      </c>
      <c r="Z335">
        <f>+(I335-$F$619)/$F$620</f>
        <v>-0.96660857796244581</v>
      </c>
      <c r="AA335">
        <f>+AA333+Z335</f>
        <v>19.877795676116872</v>
      </c>
    </row>
    <row r="336" spans="1:27">
      <c r="A336" s="16">
        <v>2</v>
      </c>
      <c r="B336" s="74">
        <v>41436</v>
      </c>
      <c r="C336" s="16">
        <v>2013</v>
      </c>
      <c r="D336" s="11" t="s">
        <v>32</v>
      </c>
      <c r="E336" s="16">
        <v>6</v>
      </c>
      <c r="F336" s="34">
        <v>4.1029999999999998</v>
      </c>
      <c r="G336" s="29">
        <v>8.5822499999999996E-2</v>
      </c>
    </row>
    <row r="337" spans="1:27">
      <c r="A337" s="16">
        <v>16</v>
      </c>
      <c r="B337" s="74">
        <v>41437</v>
      </c>
      <c r="C337" s="16">
        <v>2013</v>
      </c>
      <c r="D337" s="11" t="s">
        <v>32</v>
      </c>
      <c r="E337" s="16">
        <v>6</v>
      </c>
      <c r="F337" s="34">
        <v>3.2080000000000002</v>
      </c>
      <c r="G337" s="29">
        <v>5.189524999999999E-2</v>
      </c>
      <c r="I337" s="29">
        <f>AVERAGE(F336:F337)</f>
        <v>3.6555</v>
      </c>
      <c r="J337" s="29">
        <f>AVERAGE(G336:G337)</f>
        <v>6.8858874999999986E-2</v>
      </c>
      <c r="L337">
        <f>+J337/I337</f>
        <v>1.883706059362604E-2</v>
      </c>
      <c r="M337">
        <f>+(L337-$L$619)/$L$620</f>
        <v>-0.31746847686711915</v>
      </c>
      <c r="N337">
        <f>+N335+M337</f>
        <v>3.1696387543558311</v>
      </c>
      <c r="Z337">
        <f>+(I337-$F$619)/$F$620</f>
        <v>-0.41833977868884614</v>
      </c>
      <c r="AA337">
        <f>+AA335+Z337</f>
        <v>19.459455897428025</v>
      </c>
    </row>
    <row r="338" spans="1:27">
      <c r="A338" s="16">
        <v>2</v>
      </c>
      <c r="B338" s="74">
        <v>41471</v>
      </c>
      <c r="C338" s="16">
        <v>2013</v>
      </c>
      <c r="D338" s="11" t="s">
        <v>33</v>
      </c>
      <c r="E338" s="16">
        <v>7</v>
      </c>
      <c r="F338" s="34">
        <v>7.593</v>
      </c>
      <c r="G338" s="29">
        <v>0.30018362500000001</v>
      </c>
    </row>
    <row r="339" spans="1:27">
      <c r="A339" s="16">
        <v>2</v>
      </c>
      <c r="B339" s="74">
        <v>41471</v>
      </c>
      <c r="C339" s="16">
        <v>2013</v>
      </c>
      <c r="D339" s="11" t="s">
        <v>33</v>
      </c>
      <c r="E339" s="16">
        <v>7</v>
      </c>
      <c r="F339" s="34">
        <v>7.593</v>
      </c>
      <c r="G339" s="29">
        <v>0.30742424999999995</v>
      </c>
      <c r="H339" t="s">
        <v>41</v>
      </c>
    </row>
    <row r="340" spans="1:27">
      <c r="A340" s="16">
        <v>16</v>
      </c>
      <c r="B340" s="74">
        <v>41471</v>
      </c>
      <c r="C340" s="16">
        <v>2013</v>
      </c>
      <c r="D340" s="11" t="s">
        <v>33</v>
      </c>
      <c r="E340" s="16">
        <v>7</v>
      </c>
      <c r="F340" s="34">
        <v>10.65</v>
      </c>
      <c r="G340" s="29">
        <v>0.68329187499999999</v>
      </c>
      <c r="I340" s="29">
        <f>AVERAGE(F338:F340)</f>
        <v>8.6120000000000001</v>
      </c>
      <c r="J340" s="29">
        <f>AVERAGE(G338:G340)</f>
        <v>0.43029991666666662</v>
      </c>
      <c r="L340">
        <f>+J340/I340</f>
        <v>4.9965155209784791E-2</v>
      </c>
      <c r="M340">
        <f>+(L340-$L$619)/$L$620</f>
        <v>0.35634289791147089</v>
      </c>
      <c r="N340">
        <f>+N337+M340</f>
        <v>3.5259816522673022</v>
      </c>
      <c r="Z340">
        <f>+(I340-$F$619)/$F$620</f>
        <v>0.58257893350253398</v>
      </c>
      <c r="AA340">
        <f>+AA337+Z340</f>
        <v>20.042034830930561</v>
      </c>
    </row>
    <row r="341" spans="1:27">
      <c r="A341" s="16">
        <v>2</v>
      </c>
      <c r="B341" s="74">
        <v>41499</v>
      </c>
      <c r="C341" s="16">
        <v>2013</v>
      </c>
      <c r="D341" s="11" t="s">
        <v>34</v>
      </c>
      <c r="E341" s="16">
        <v>8</v>
      </c>
      <c r="F341" s="34">
        <v>6.907</v>
      </c>
      <c r="G341" s="29">
        <v>0.53124662500000008</v>
      </c>
    </row>
    <row r="342" spans="1:27">
      <c r="A342" s="16">
        <v>16</v>
      </c>
      <c r="B342" s="74">
        <v>41499</v>
      </c>
      <c r="C342" s="16">
        <v>2013</v>
      </c>
      <c r="D342" s="11" t="s">
        <v>34</v>
      </c>
      <c r="E342" s="16">
        <v>8</v>
      </c>
      <c r="F342" s="34">
        <v>5.8710000000000004</v>
      </c>
      <c r="G342" s="29">
        <v>0.50217149999999999</v>
      </c>
      <c r="I342" s="29">
        <f>AVERAGE(F341:F342)</f>
        <v>6.3890000000000002</v>
      </c>
      <c r="J342" s="29">
        <f>AVERAGE(G341:G342)</f>
        <v>0.51670906250000004</v>
      </c>
      <c r="L342">
        <f>+J342/I342</f>
        <v>8.0874794568790112E-2</v>
      </c>
      <c r="M342">
        <f>+(L342-$L$619)/$L$620</f>
        <v>1.0254255014958951</v>
      </c>
      <c r="N342">
        <f>+N340+M342</f>
        <v>4.551407153763197</v>
      </c>
      <c r="Z342">
        <f>+(I342-$F$619)/$F$620</f>
        <v>0.13366492216359765</v>
      </c>
      <c r="AA342">
        <f>+AA340+Z342</f>
        <v>20.175699753094158</v>
      </c>
    </row>
    <row r="343" spans="1:27">
      <c r="A343" s="16">
        <v>2</v>
      </c>
      <c r="B343" s="74">
        <v>41533</v>
      </c>
      <c r="C343" s="16">
        <v>2013</v>
      </c>
      <c r="D343" s="11" t="s">
        <v>40</v>
      </c>
      <c r="E343" s="16">
        <v>9</v>
      </c>
      <c r="F343" s="34">
        <v>4.5720000000000001</v>
      </c>
      <c r="G343" s="29">
        <v>6.5026125000000004E-2</v>
      </c>
    </row>
    <row r="344" spans="1:27">
      <c r="A344" s="16">
        <v>16</v>
      </c>
      <c r="B344" s="74">
        <v>41533</v>
      </c>
      <c r="C344" s="16">
        <v>2013</v>
      </c>
      <c r="D344" s="11" t="s">
        <v>40</v>
      </c>
      <c r="E344" s="16">
        <v>9</v>
      </c>
      <c r="F344" s="34">
        <v>3.3290000000000002</v>
      </c>
      <c r="G344" s="29">
        <v>6.3891375E-2</v>
      </c>
      <c r="I344" s="29">
        <f>AVERAGE(F343:F344)</f>
        <v>3.9504999999999999</v>
      </c>
      <c r="J344" s="29">
        <f>AVERAGE(G343:G344)</f>
        <v>6.4458750000000009E-2</v>
      </c>
      <c r="L344">
        <f>+J344/I344</f>
        <v>1.6316605492975575E-2</v>
      </c>
      <c r="M344">
        <f>+(L344-$L$619)/$L$620</f>
        <v>-0.37202727133812408</v>
      </c>
      <c r="N344">
        <f>+N342+M344</f>
        <v>4.1793798824250725</v>
      </c>
      <c r="Z344">
        <f>+(I344-$F$619)/$F$620</f>
        <v>-0.35876729405322483</v>
      </c>
      <c r="AA344">
        <f>+AA342+Z344</f>
        <v>19.816932459040931</v>
      </c>
    </row>
    <row r="345" spans="1:27">
      <c r="A345" s="16">
        <v>2</v>
      </c>
      <c r="B345" s="74">
        <v>41569</v>
      </c>
      <c r="C345" s="16">
        <v>2013</v>
      </c>
      <c r="D345" s="11" t="s">
        <v>36</v>
      </c>
      <c r="E345" s="16">
        <v>10</v>
      </c>
      <c r="F345" s="28">
        <v>1.8440000000000001</v>
      </c>
      <c r="G345" s="29">
        <v>0</v>
      </c>
    </row>
    <row r="346" spans="1:27">
      <c r="A346" s="16">
        <v>16</v>
      </c>
      <c r="B346" s="74">
        <v>41569</v>
      </c>
      <c r="C346" s="16">
        <v>2013</v>
      </c>
      <c r="D346" s="11" t="s">
        <v>36</v>
      </c>
      <c r="E346" s="16">
        <v>10</v>
      </c>
      <c r="F346" s="28">
        <v>1.95</v>
      </c>
      <c r="G346" s="29">
        <v>0</v>
      </c>
      <c r="I346" s="29">
        <f>AVERAGE(F345:F346)</f>
        <v>1.897</v>
      </c>
      <c r="J346" s="29">
        <f>AVERAGE(G345:G346)</f>
        <v>0</v>
      </c>
      <c r="L346">
        <f>+J346/I346</f>
        <v>0</v>
      </c>
      <c r="M346">
        <f>+(L346-$L$619)/$L$620</f>
        <v>-0.72522313875348976</v>
      </c>
      <c r="N346">
        <f>+N344+M346</f>
        <v>3.4541567436715828</v>
      </c>
      <c r="Z346">
        <f>+(I346-$F$619)/$F$620</f>
        <v>-0.77345236930491423</v>
      </c>
      <c r="AA346">
        <f>+AA344+Z346</f>
        <v>19.043480089736018</v>
      </c>
    </row>
    <row r="347" spans="1:27">
      <c r="A347" s="16">
        <v>2</v>
      </c>
      <c r="B347" s="74">
        <v>41597</v>
      </c>
      <c r="C347" s="16">
        <v>2013</v>
      </c>
      <c r="D347" s="11" t="s">
        <v>37</v>
      </c>
      <c r="E347" s="16">
        <v>11</v>
      </c>
      <c r="F347" s="28">
        <v>0.54600000000000004</v>
      </c>
      <c r="G347" s="29">
        <v>0</v>
      </c>
    </row>
    <row r="348" spans="1:27">
      <c r="A348" s="16">
        <v>16</v>
      </c>
      <c r="B348" s="74">
        <v>41597</v>
      </c>
      <c r="C348" s="16">
        <v>2013</v>
      </c>
      <c r="D348" s="11" t="s">
        <v>37</v>
      </c>
      <c r="E348" s="16">
        <v>11</v>
      </c>
      <c r="F348" s="28">
        <v>0.90700000000000003</v>
      </c>
      <c r="G348" s="29">
        <v>0</v>
      </c>
      <c r="I348" s="29">
        <f>AVERAGE(F348:F349)</f>
        <v>1.6074999999999999</v>
      </c>
      <c r="J348" s="29">
        <f>AVERAGE(G348:G349)</f>
        <v>4.3170624999999997E-3</v>
      </c>
      <c r="L348">
        <f>+J348/I348</f>
        <v>2.6855754276827373E-3</v>
      </c>
      <c r="M348">
        <f>+(L348-$L$619)/$L$620</f>
        <v>-0.66709008264092107</v>
      </c>
      <c r="N348">
        <f>+N346+M348</f>
        <v>2.7870666610306616</v>
      </c>
      <c r="Z348">
        <f>+(I348-$F$619)/$F$620</f>
        <v>-0.83191418049817667</v>
      </c>
      <c r="AA348">
        <f>+AA346+Z348</f>
        <v>18.211565909237841</v>
      </c>
    </row>
    <row r="349" spans="1:27">
      <c r="A349" s="16">
        <v>2</v>
      </c>
      <c r="B349" s="74">
        <v>41624</v>
      </c>
      <c r="C349" s="16">
        <v>2013</v>
      </c>
      <c r="D349" s="11" t="s">
        <v>38</v>
      </c>
      <c r="E349" s="16">
        <v>12</v>
      </c>
      <c r="F349" s="28">
        <v>2.3079999999999998</v>
      </c>
      <c r="G349" s="29">
        <v>8.6341249999999994E-3</v>
      </c>
    </row>
    <row r="350" spans="1:27">
      <c r="A350" s="16">
        <v>16</v>
      </c>
      <c r="B350" s="74">
        <v>41624</v>
      </c>
      <c r="C350" s="16">
        <v>2013</v>
      </c>
      <c r="D350" s="11" t="s">
        <v>38</v>
      </c>
      <c r="E350" s="16">
        <v>12</v>
      </c>
      <c r="F350" s="28">
        <v>2.0470000000000002</v>
      </c>
      <c r="G350" s="29">
        <v>0</v>
      </c>
      <c r="I350" s="29">
        <f>AVERAGE(F350:F351)</f>
        <v>2.1945000000000001</v>
      </c>
      <c r="J350" s="29">
        <f>AVERAGE(G350:G351)</f>
        <v>5.1223749999999985E-3</v>
      </c>
      <c r="L350">
        <f>+J350/I350</f>
        <v>2.3341877420824781E-3</v>
      </c>
      <c r="M350">
        <f>+(L350-$L$619)/$L$620</f>
        <v>-0.67469636315484849</v>
      </c>
      <c r="N350">
        <f>+N348+M350</f>
        <v>2.1123702978758132</v>
      </c>
      <c r="Z350">
        <f>+(I350-$F$619)/$F$620</f>
        <v>-0.71337503310458428</v>
      </c>
      <c r="AA350">
        <f>+AA348+Z350</f>
        <v>17.498190876133258</v>
      </c>
    </row>
    <row r="351" spans="1:27">
      <c r="A351" s="16">
        <v>2</v>
      </c>
      <c r="B351" s="74">
        <v>41654</v>
      </c>
      <c r="C351" s="16">
        <v>2014</v>
      </c>
      <c r="D351" s="11" t="s">
        <v>39</v>
      </c>
      <c r="E351" s="16">
        <v>1</v>
      </c>
      <c r="F351" s="28">
        <v>2.3420000000000001</v>
      </c>
      <c r="G351" s="29">
        <v>1.0244749999999997E-2</v>
      </c>
    </row>
    <row r="352" spans="1:27">
      <c r="A352" s="16">
        <v>16</v>
      </c>
      <c r="B352" s="74">
        <v>41654</v>
      </c>
      <c r="C352" s="16">
        <v>2014</v>
      </c>
      <c r="D352" s="11" t="s">
        <v>39</v>
      </c>
      <c r="E352" s="16">
        <v>1</v>
      </c>
      <c r="F352" s="28">
        <v>2.7210000000000001</v>
      </c>
      <c r="G352" s="29">
        <v>1.5335999999999997E-2</v>
      </c>
      <c r="I352" s="29">
        <f>AVERAGE(F352:F353)</f>
        <v>3.4449999999999998</v>
      </c>
      <c r="J352" s="29">
        <f>AVERAGE(G352:G353)</f>
        <v>1.69311875E-2</v>
      </c>
      <c r="L352">
        <f>+J352/I352</f>
        <v>4.9147133526850507E-3</v>
      </c>
      <c r="M352">
        <f>+(L352-$L$619)/$L$620</f>
        <v>-0.61883725803542156</v>
      </c>
      <c r="N352">
        <f>+N350+M352</f>
        <v>1.4935330398403917</v>
      </c>
      <c r="Z352">
        <f>+(I352-$F$619)/$F$620</f>
        <v>-0.46084828043731496</v>
      </c>
      <c r="AA352">
        <f>+AA350+Z352</f>
        <v>17.037342595695943</v>
      </c>
    </row>
    <row r="353" spans="1:27">
      <c r="A353" s="16">
        <v>2</v>
      </c>
      <c r="B353" s="74">
        <v>41688</v>
      </c>
      <c r="C353" s="16">
        <v>2014</v>
      </c>
      <c r="D353" s="11" t="s">
        <v>28</v>
      </c>
      <c r="E353" s="16">
        <v>2</v>
      </c>
      <c r="F353" s="28">
        <v>4.1689999999999996</v>
      </c>
      <c r="G353" s="29">
        <v>1.8526375000000001E-2</v>
      </c>
    </row>
    <row r="354" spans="1:27">
      <c r="A354" s="16">
        <v>16</v>
      </c>
      <c r="B354" s="74">
        <v>41690</v>
      </c>
      <c r="C354" s="16">
        <v>2014</v>
      </c>
      <c r="D354" s="11" t="s">
        <v>28</v>
      </c>
      <c r="E354" s="16">
        <v>2</v>
      </c>
      <c r="F354" s="28">
        <v>4.2729999999999997</v>
      </c>
      <c r="G354" s="29">
        <v>1.9015000000000001E-2</v>
      </c>
      <c r="I354" s="29">
        <f>AVERAGE(F354:F355)</f>
        <v>2.8404999999999996</v>
      </c>
      <c r="J354" s="29">
        <f>AVERAGE(G354:G355)</f>
        <v>3.7290249999999997E-2</v>
      </c>
      <c r="L354">
        <f>+J354/I354</f>
        <v>1.3128058440415421E-2</v>
      </c>
      <c r="M354">
        <f>+(L354-$L$619)/$L$620</f>
        <v>-0.44104785546075431</v>
      </c>
      <c r="N354">
        <f>+N352+M354</f>
        <v>1.0524851843796372</v>
      </c>
      <c r="Z354">
        <f>+(I354-$F$619)/$F$620</f>
        <v>-0.5829213887838679</v>
      </c>
      <c r="AA354">
        <f>+AA352+Z354</f>
        <v>16.454421206912077</v>
      </c>
    </row>
    <row r="355" spans="1:27">
      <c r="A355" s="16">
        <v>2</v>
      </c>
      <c r="B355" s="74">
        <v>41719</v>
      </c>
      <c r="C355" s="16">
        <v>2014</v>
      </c>
      <c r="D355" s="11" t="s">
        <v>29</v>
      </c>
      <c r="E355" s="16">
        <v>3</v>
      </c>
      <c r="F355" s="28">
        <v>1.4079999999999999</v>
      </c>
      <c r="G355" s="29">
        <v>5.5565499999999997E-2</v>
      </c>
    </row>
    <row r="356" spans="1:27">
      <c r="A356" s="16">
        <v>16</v>
      </c>
      <c r="B356" s="74">
        <v>41719</v>
      </c>
      <c r="C356" s="16">
        <v>2014</v>
      </c>
      <c r="D356" s="11" t="s">
        <v>29</v>
      </c>
      <c r="E356" s="16">
        <v>3</v>
      </c>
      <c r="F356" s="28">
        <v>1.734</v>
      </c>
      <c r="G356" s="29">
        <v>3.5028249999999997E-2</v>
      </c>
      <c r="I356" s="29">
        <f>AVERAGE(F356:F357)</f>
        <v>3.5005000000000002</v>
      </c>
      <c r="J356" s="29">
        <f>AVERAGE(G356:G357)</f>
        <v>3.5259187499999997E-2</v>
      </c>
      <c r="L356">
        <f>+J356/I356</f>
        <v>1.0072614626481929E-2</v>
      </c>
      <c r="M356">
        <f>+(L356-$L$619)/$L$620</f>
        <v>-0.50718723283711753</v>
      </c>
      <c r="N356">
        <f>+N354+M356</f>
        <v>0.5452979515425197</v>
      </c>
      <c r="Z356">
        <f>+(I356-$F$619)/$F$620</f>
        <v>-0.44964057570078275</v>
      </c>
      <c r="AA356">
        <f>+AA354+Z356</f>
        <v>16.004780631211293</v>
      </c>
    </row>
    <row r="357" spans="1:27">
      <c r="A357" s="16">
        <v>2</v>
      </c>
      <c r="B357" s="74">
        <v>41747</v>
      </c>
      <c r="C357" s="16">
        <v>2014</v>
      </c>
      <c r="D357" s="11" t="s">
        <v>30</v>
      </c>
      <c r="E357" s="16">
        <v>4</v>
      </c>
      <c r="F357" s="35">
        <v>5.2670000000000003</v>
      </c>
      <c r="G357" s="29">
        <v>3.5490124999999997E-2</v>
      </c>
    </row>
    <row r="358" spans="1:27">
      <c r="A358" s="16">
        <v>16</v>
      </c>
      <c r="B358" s="74">
        <v>41747</v>
      </c>
      <c r="C358" s="16">
        <v>2014</v>
      </c>
      <c r="D358" s="11" t="s">
        <v>30</v>
      </c>
      <c r="E358" s="16">
        <v>4</v>
      </c>
      <c r="F358" s="35">
        <v>2.0419999999999998</v>
      </c>
      <c r="G358" s="29">
        <v>2.0927874999999999E-2</v>
      </c>
      <c r="I358" s="29">
        <f>AVERAGE(F358:F359)</f>
        <v>2.306</v>
      </c>
      <c r="J358" s="29">
        <f>AVERAGE(G358:G359)</f>
        <v>2.6054250000000001E-2</v>
      </c>
      <c r="L358">
        <f>+J358/I358</f>
        <v>1.1298460537727668E-2</v>
      </c>
      <c r="M358">
        <f>+(L358-$L$619)/$L$620</f>
        <v>-0.4806520745208604</v>
      </c>
      <c r="N358">
        <f>+N356+M358</f>
        <v>6.4645877021659304E-2</v>
      </c>
      <c r="Z358">
        <f>+(I358-$F$619)/$F$620</f>
        <v>-0.69085865331857832</v>
      </c>
      <c r="AA358">
        <f>+AA356+Z358</f>
        <v>15.313921977892715</v>
      </c>
    </row>
    <row r="359" spans="1:27">
      <c r="A359" s="16">
        <v>2</v>
      </c>
      <c r="B359" s="74">
        <v>41772</v>
      </c>
      <c r="C359" s="16">
        <v>2014</v>
      </c>
      <c r="D359" s="11" t="s">
        <v>31</v>
      </c>
      <c r="E359" s="16">
        <v>5</v>
      </c>
      <c r="F359" s="35">
        <v>2.57</v>
      </c>
      <c r="G359" s="29">
        <v>3.1180625E-2</v>
      </c>
    </row>
    <row r="360" spans="1:27">
      <c r="A360" s="16">
        <v>16</v>
      </c>
      <c r="B360" s="74">
        <v>41772</v>
      </c>
      <c r="C360" s="16">
        <v>2014</v>
      </c>
      <c r="D360" s="11" t="s">
        <v>31</v>
      </c>
      <c r="E360" s="16">
        <v>5</v>
      </c>
      <c r="F360" s="35">
        <v>1.5649999999999999</v>
      </c>
      <c r="G360" s="29">
        <v>1.5259375E-2</v>
      </c>
      <c r="I360" s="29">
        <f>AVERAGE(F360:F361)</f>
        <v>4.2640000000000002</v>
      </c>
      <c r="J360" s="29">
        <f>AVERAGE(G360:G361)</f>
        <v>0.35159849999999992</v>
      </c>
      <c r="L360">
        <f>+J360/I360</f>
        <v>8.2457434333958704E-2</v>
      </c>
      <c r="M360">
        <f>+(L360-$L$619)/$L$620</f>
        <v>1.0596839644406182</v>
      </c>
      <c r="N360">
        <f>+N358+M360</f>
        <v>1.1243298414622775</v>
      </c>
      <c r="Z360">
        <f>+(I360-$F$619)/$F$620</f>
        <v>-0.29545890783875939</v>
      </c>
      <c r="AA360">
        <f>+AA358+Z360</f>
        <v>15.018463070053956</v>
      </c>
    </row>
    <row r="361" spans="1:27">
      <c r="A361" s="16">
        <v>2</v>
      </c>
      <c r="B361" s="74">
        <v>41808</v>
      </c>
      <c r="C361" s="16">
        <v>2014</v>
      </c>
      <c r="D361" s="11" t="s">
        <v>32</v>
      </c>
      <c r="E361" s="16">
        <v>6</v>
      </c>
      <c r="F361" s="35">
        <v>6.9630000000000001</v>
      </c>
      <c r="G361" s="29">
        <v>0.68793762499999989</v>
      </c>
    </row>
    <row r="362" spans="1:27">
      <c r="A362" s="16">
        <v>2</v>
      </c>
      <c r="B362" s="74">
        <v>41808</v>
      </c>
      <c r="C362" s="16">
        <v>2014</v>
      </c>
      <c r="D362" s="11" t="s">
        <v>32</v>
      </c>
      <c r="E362" s="16">
        <v>6</v>
      </c>
      <c r="F362" s="35">
        <v>6.9630000000000001</v>
      </c>
      <c r="G362" s="29">
        <v>0.69858324999999999</v>
      </c>
      <c r="H362" t="s">
        <v>41</v>
      </c>
    </row>
    <row r="363" spans="1:27">
      <c r="A363" s="16">
        <v>16</v>
      </c>
      <c r="B363" s="74">
        <v>41808</v>
      </c>
      <c r="C363" s="16">
        <v>2014</v>
      </c>
      <c r="D363" s="11" t="s">
        <v>32</v>
      </c>
      <c r="E363" s="16">
        <v>6</v>
      </c>
      <c r="F363" s="35">
        <v>7.84</v>
      </c>
      <c r="G363" s="29">
        <v>0.99409162500000003</v>
      </c>
      <c r="I363" s="29">
        <f>AVERAGE(F361:F363)</f>
        <v>7.2553333333333327</v>
      </c>
      <c r="J363" s="29">
        <f>AVERAGE(G361:G363)</f>
        <v>0.7935374999999999</v>
      </c>
      <c r="L363">
        <f>+J363/I363</f>
        <v>0.1093729899843793</v>
      </c>
      <c r="M363">
        <f>+(L363-$L$619)/$L$620</f>
        <v>1.6423090103798277</v>
      </c>
      <c r="N363">
        <f>+N360+M363</f>
        <v>2.7666388518421052</v>
      </c>
      <c r="Z363">
        <f>+(I363-$F$619)/$F$620</f>
        <v>0.30861281772063687</v>
      </c>
      <c r="AA363">
        <f>+AA360+Z363</f>
        <v>15.327075887774592</v>
      </c>
    </row>
    <row r="364" spans="1:27">
      <c r="A364" s="16">
        <v>2</v>
      </c>
      <c r="B364" s="74">
        <v>41834</v>
      </c>
      <c r="C364" s="16">
        <v>2014</v>
      </c>
      <c r="D364" s="11" t="s">
        <v>33</v>
      </c>
      <c r="E364" s="16">
        <v>7</v>
      </c>
      <c r="F364" s="35">
        <v>5.8369999999999997</v>
      </c>
      <c r="G364" s="29">
        <v>0.27418824999999997</v>
      </c>
    </row>
    <row r="365" spans="1:27">
      <c r="A365" s="16">
        <v>16</v>
      </c>
      <c r="B365" s="74">
        <v>41834</v>
      </c>
      <c r="C365" s="16">
        <v>2014</v>
      </c>
      <c r="D365" s="11" t="s">
        <v>33</v>
      </c>
      <c r="E365" s="16">
        <v>7</v>
      </c>
      <c r="F365" s="35">
        <v>7.7990000000000004</v>
      </c>
      <c r="G365" s="29">
        <v>0.74946875000000013</v>
      </c>
      <c r="I365" s="29">
        <f>AVERAGE(F365:F366)</f>
        <v>6.3004999999999995</v>
      </c>
      <c r="J365" s="29">
        <f>AVERAGE(G365:G366)</f>
        <v>0.52104337500000009</v>
      </c>
      <c r="L365">
        <f>+J365/I365</f>
        <v>8.2698734227442283E-2</v>
      </c>
      <c r="M365">
        <f>+(L365-$L$619)/$L$620</f>
        <v>1.0649072399082307</v>
      </c>
      <c r="N365">
        <f>+N363+M365</f>
        <v>3.8315460917503357</v>
      </c>
      <c r="Z365">
        <f>+(I365-$F$619)/$F$620</f>
        <v>0.11579317677291112</v>
      </c>
      <c r="AA365">
        <f>+AA363+Z365</f>
        <v>15.442869064547503</v>
      </c>
    </row>
    <row r="366" spans="1:27">
      <c r="A366" s="16">
        <v>2</v>
      </c>
      <c r="B366" s="74">
        <v>41864</v>
      </c>
      <c r="C366" s="16">
        <v>2014</v>
      </c>
      <c r="D366" s="11" t="s">
        <v>34</v>
      </c>
      <c r="E366" s="16">
        <v>8</v>
      </c>
      <c r="F366" s="35">
        <v>4.8019999999999996</v>
      </c>
      <c r="G366" s="29">
        <v>0.29261799999999999</v>
      </c>
    </row>
    <row r="367" spans="1:27">
      <c r="A367" s="16">
        <v>16</v>
      </c>
      <c r="B367" s="74">
        <v>41862</v>
      </c>
      <c r="C367" s="16">
        <v>2014</v>
      </c>
      <c r="D367" s="11" t="s">
        <v>34</v>
      </c>
      <c r="E367" s="16">
        <v>8</v>
      </c>
      <c r="F367" s="35">
        <v>11.37</v>
      </c>
      <c r="G367" s="29">
        <v>0.61387637500000003</v>
      </c>
      <c r="I367" s="29">
        <f>AVERAGE(F367:F368)</f>
        <v>8.5084999999999997</v>
      </c>
      <c r="J367" s="29">
        <f>AVERAGE(G367:G368)</f>
        <v>0.34797050000000002</v>
      </c>
      <c r="L367">
        <f>+J367/I367</f>
        <v>4.0896809073279666E-2</v>
      </c>
      <c r="M367">
        <f>+(L367-$L$619)/$L$620</f>
        <v>0.16004579548507575</v>
      </c>
      <c r="N367">
        <f>+N365+M367</f>
        <v>3.9915918872354115</v>
      </c>
      <c r="Z367">
        <f>+(I367-$F$619)/$F$620</f>
        <v>0.56167807872359554</v>
      </c>
      <c r="AA367">
        <f>+AA365+Z367</f>
        <v>16.0045471432711</v>
      </c>
    </row>
    <row r="368" spans="1:27">
      <c r="A368" s="16">
        <v>2</v>
      </c>
      <c r="B368" s="74">
        <v>41898</v>
      </c>
      <c r="C368" s="16">
        <v>2014</v>
      </c>
      <c r="D368" s="11" t="s">
        <v>40</v>
      </c>
      <c r="E368" s="16">
        <v>9</v>
      </c>
      <c r="F368" s="35">
        <v>5.6470000000000002</v>
      </c>
      <c r="G368" s="29">
        <v>8.2064624999999988E-2</v>
      </c>
    </row>
    <row r="369" spans="1:27">
      <c r="A369" s="16">
        <v>16</v>
      </c>
      <c r="B369" s="74">
        <v>41898</v>
      </c>
      <c r="C369" s="16">
        <v>2014</v>
      </c>
      <c r="D369" s="11" t="s">
        <v>40</v>
      </c>
      <c r="E369" s="16">
        <v>9</v>
      </c>
      <c r="F369" s="35">
        <v>3.8079999999999998</v>
      </c>
      <c r="G369" s="29">
        <v>5.3126874999999983E-2</v>
      </c>
    </row>
    <row r="370" spans="1:27">
      <c r="A370" s="16">
        <v>16</v>
      </c>
      <c r="B370" s="74">
        <v>41898</v>
      </c>
      <c r="C370" s="16">
        <v>2014</v>
      </c>
      <c r="D370" s="11" t="s">
        <v>40</v>
      </c>
      <c r="E370" s="16">
        <v>9</v>
      </c>
      <c r="F370" s="35">
        <v>3.8079999999999998</v>
      </c>
      <c r="G370" s="29">
        <v>5.3516624999999991E-2</v>
      </c>
      <c r="H370" t="s">
        <v>41</v>
      </c>
      <c r="I370" s="29">
        <f>AVERAGE(F368:F370)</f>
        <v>4.4210000000000003</v>
      </c>
      <c r="J370" s="29">
        <f>AVERAGE(G368:G370)</f>
        <v>6.2902708333333321E-2</v>
      </c>
      <c r="L370">
        <f>+J370/I370</f>
        <v>1.4228162934479375E-2</v>
      </c>
      <c r="M370">
        <f>+(L370-$L$619)/$L$620</f>
        <v>-0.41723454691470069</v>
      </c>
      <c r="N370">
        <f>+N367+M370</f>
        <v>3.5743573403207107</v>
      </c>
      <c r="Z370">
        <f>+(I370-$F$619)/$F$620</f>
        <v>-0.26375422957505584</v>
      </c>
      <c r="AA370">
        <f>+AA367+Z370</f>
        <v>15.740792913696044</v>
      </c>
    </row>
    <row r="371" spans="1:27">
      <c r="A371" s="16">
        <v>2</v>
      </c>
      <c r="B371" s="74">
        <v>41929</v>
      </c>
      <c r="C371" s="16">
        <v>2014</v>
      </c>
      <c r="D371" s="11" t="s">
        <v>36</v>
      </c>
      <c r="E371" s="16">
        <v>10</v>
      </c>
      <c r="F371" s="28">
        <v>1.911</v>
      </c>
      <c r="G371" s="29">
        <v>1.3363874999999997E-2</v>
      </c>
    </row>
    <row r="372" spans="1:27">
      <c r="A372" s="16">
        <v>16</v>
      </c>
      <c r="B372" s="74">
        <v>41929</v>
      </c>
      <c r="C372" s="16">
        <v>2014</v>
      </c>
      <c r="D372" s="11" t="s">
        <v>36</v>
      </c>
      <c r="E372" s="16">
        <v>10</v>
      </c>
      <c r="F372" s="28">
        <v>1.1919999999999999</v>
      </c>
      <c r="G372" s="29">
        <v>0</v>
      </c>
      <c r="I372" s="29">
        <f>AVERAGE(F372:F373)</f>
        <v>0.96550000000000002</v>
      </c>
      <c r="J372" s="29">
        <f>AVERAGE(G372:G373)</f>
        <v>0</v>
      </c>
      <c r="L372">
        <f>+J372/I372</f>
        <v>0</v>
      </c>
      <c r="M372">
        <f>+(L372-$L$619)/$L$620</f>
        <v>-0.72522313875348976</v>
      </c>
      <c r="N372">
        <f>+N370+M372</f>
        <v>2.849134201567221</v>
      </c>
      <c r="Z372">
        <f>+(I372-$F$619)/$F$620</f>
        <v>-0.9615600623153594</v>
      </c>
      <c r="AA372">
        <f>+AA370+Z372</f>
        <v>14.779232851380685</v>
      </c>
    </row>
    <row r="373" spans="1:27">
      <c r="A373" s="16">
        <v>2</v>
      </c>
      <c r="B373" s="74">
        <v>41953</v>
      </c>
      <c r="C373" s="16">
        <v>2014</v>
      </c>
      <c r="D373" s="11" t="s">
        <v>37</v>
      </c>
      <c r="E373" s="16">
        <v>11</v>
      </c>
      <c r="F373" s="28">
        <v>0.73899999999999999</v>
      </c>
      <c r="G373" s="29">
        <v>0</v>
      </c>
    </row>
    <row r="374" spans="1:27">
      <c r="A374" s="16">
        <v>16</v>
      </c>
      <c r="B374" s="74">
        <v>41953</v>
      </c>
      <c r="C374" s="16">
        <v>2014</v>
      </c>
      <c r="D374" s="11" t="s">
        <v>37</v>
      </c>
      <c r="E374" s="16">
        <v>11</v>
      </c>
      <c r="F374" s="28">
        <v>0.96599999999999997</v>
      </c>
      <c r="G374" s="29">
        <v>1.0116374999999999E-2</v>
      </c>
      <c r="I374" s="29">
        <f>AVERAGE(F374:F375)</f>
        <v>1.4449999999999998</v>
      </c>
      <c r="J374" s="29">
        <f>AVERAGE(G374:G375)</f>
        <v>5.0581874999999993E-3</v>
      </c>
      <c r="L374">
        <f>+J374/I374</f>
        <v>3.5004757785467126E-3</v>
      </c>
      <c r="M374">
        <f>+(L374-$L$619)/$L$620</f>
        <v>-0.64945041877796894</v>
      </c>
      <c r="N374">
        <f>+N372+M374</f>
        <v>2.1996837827892519</v>
      </c>
      <c r="Z374">
        <f>+(I374-$F$619)/$F$620</f>
        <v>-0.86472953220423932</v>
      </c>
      <c r="AA374">
        <f>+AA372+Z374</f>
        <v>13.914503319176447</v>
      </c>
    </row>
    <row r="375" spans="1:27">
      <c r="A375" s="16">
        <v>2</v>
      </c>
      <c r="B375" s="74">
        <v>41988</v>
      </c>
      <c r="C375" s="16">
        <v>2014</v>
      </c>
      <c r="D375" s="11" t="s">
        <v>38</v>
      </c>
      <c r="E375" s="16">
        <v>12</v>
      </c>
      <c r="F375" s="28">
        <v>1.9239999999999999</v>
      </c>
      <c r="G375" s="29">
        <v>0</v>
      </c>
    </row>
    <row r="376" spans="1:27">
      <c r="A376" s="16">
        <v>16</v>
      </c>
      <c r="B376" s="74">
        <v>41988</v>
      </c>
      <c r="C376" s="16">
        <v>2014</v>
      </c>
      <c r="D376" s="11" t="s">
        <v>38</v>
      </c>
      <c r="E376" s="16">
        <v>12</v>
      </c>
      <c r="F376" s="28">
        <v>2.33</v>
      </c>
      <c r="G376" s="29">
        <v>0</v>
      </c>
      <c r="I376" s="29">
        <f>AVERAGE(F376:F377)</f>
        <v>4.6814999999999998</v>
      </c>
      <c r="J376" s="29">
        <f>AVERAGE(G376:G377)</f>
        <v>4.4999999999999997E-3</v>
      </c>
      <c r="L376">
        <f>+J376/I376</f>
        <v>9.6123037487984622E-4</v>
      </c>
      <c r="M376">
        <f>+(L376-$L$619)/$L$620</f>
        <v>-0.70441595577735905</v>
      </c>
      <c r="N376">
        <f>+N374+M376</f>
        <v>1.4952678270118929</v>
      </c>
      <c r="Z376">
        <f>+(I376-$F$619)/$F$620</f>
        <v>-0.21114869653241403</v>
      </c>
      <c r="AA376">
        <f>+AA374+Z376</f>
        <v>13.703354622644033</v>
      </c>
    </row>
    <row r="377" spans="1:27">
      <c r="A377" s="16">
        <v>2</v>
      </c>
      <c r="B377" s="71">
        <v>42014</v>
      </c>
      <c r="C377" s="16"/>
      <c r="D377" s="11"/>
      <c r="E377" s="16">
        <v>1</v>
      </c>
      <c r="F377" s="80">
        <v>7.0330000000000004</v>
      </c>
      <c r="G377" s="80">
        <v>8.9999999999999993E-3</v>
      </c>
    </row>
    <row r="378" spans="1:27">
      <c r="A378" s="16">
        <v>16</v>
      </c>
      <c r="B378" s="71">
        <v>42009</v>
      </c>
      <c r="C378" s="16"/>
      <c r="D378" s="11"/>
      <c r="E378" s="16">
        <v>1</v>
      </c>
      <c r="F378" s="80">
        <v>6.181</v>
      </c>
      <c r="G378" s="80">
        <v>8.0000000000000002E-3</v>
      </c>
      <c r="I378" s="29">
        <f>AVERAGE(F377:F378)</f>
        <v>6.6070000000000002</v>
      </c>
      <c r="J378" s="29">
        <f>AVERAGE(G377:G378)</f>
        <v>8.5000000000000006E-3</v>
      </c>
      <c r="L378">
        <f>+J378/I378</f>
        <v>1.286514303011957E-3</v>
      </c>
      <c r="M378">
        <f>+(L378-$L$619)/$L$620</f>
        <v>-0.6973747277963086</v>
      </c>
      <c r="N378">
        <f>+N376+M378</f>
        <v>0.79789309921558427</v>
      </c>
      <c r="Z378">
        <f>+(I378-$F$619)/$F$620</f>
        <v>0.1776879786061924</v>
      </c>
      <c r="AA378">
        <f>+AA376+Z378</f>
        <v>13.881042601250225</v>
      </c>
    </row>
    <row r="379" spans="1:27">
      <c r="A379" s="16">
        <v>2</v>
      </c>
      <c r="B379" s="76">
        <v>42036</v>
      </c>
      <c r="C379" s="16"/>
      <c r="D379" s="11"/>
      <c r="E379" s="16">
        <v>2</v>
      </c>
    </row>
    <row r="380" spans="1:27">
      <c r="A380" s="16">
        <v>16</v>
      </c>
      <c r="B380" s="76">
        <v>42036</v>
      </c>
      <c r="C380" s="16"/>
      <c r="D380" s="11"/>
      <c r="E380" s="16">
        <v>2</v>
      </c>
      <c r="I380" s="29"/>
      <c r="J380" s="29"/>
    </row>
    <row r="381" spans="1:27">
      <c r="A381" s="16">
        <v>2</v>
      </c>
      <c r="B381" s="76">
        <v>42064</v>
      </c>
      <c r="C381" s="16"/>
      <c r="D381" s="11"/>
      <c r="E381" s="16">
        <v>3</v>
      </c>
      <c r="F381" s="80">
        <v>10.528</v>
      </c>
      <c r="G381" s="80">
        <v>3.6999999999999998E-2</v>
      </c>
    </row>
    <row r="382" spans="1:27">
      <c r="A382" s="16">
        <v>16</v>
      </c>
      <c r="B382" s="76">
        <v>42064</v>
      </c>
      <c r="C382" s="16"/>
      <c r="D382" s="11"/>
      <c r="E382" s="16">
        <v>3</v>
      </c>
      <c r="F382" s="80">
        <v>10.226000000000001</v>
      </c>
      <c r="G382" s="80">
        <v>5.3999999999999999E-2</v>
      </c>
      <c r="I382" s="29">
        <f>AVERAGE(F381:F382)</f>
        <v>10.377000000000001</v>
      </c>
      <c r="J382" s="29">
        <f>AVERAGE(G381:G382)</f>
        <v>4.5499999999999999E-2</v>
      </c>
      <c r="L382">
        <f>+J382/I382</f>
        <v>4.384696925893803E-3</v>
      </c>
      <c r="M382">
        <f>+(L382-$L$619)/$L$620</f>
        <v>-0.63031020880851696</v>
      </c>
      <c r="N382">
        <f>+N378+M382</f>
        <v>0.16758289040706731</v>
      </c>
      <c r="Z382">
        <f>+(I382-$F$619)/$F$620</f>
        <v>0.93900413818684481</v>
      </c>
      <c r="AA382">
        <f>+AA378+Z382</f>
        <v>14.820046739437071</v>
      </c>
    </row>
    <row r="383" spans="1:27">
      <c r="A383" s="16">
        <v>2</v>
      </c>
      <c r="B383" s="76">
        <v>42095</v>
      </c>
      <c r="C383" s="16"/>
      <c r="D383" s="11"/>
      <c r="E383" s="16">
        <v>4</v>
      </c>
      <c r="F383" s="80">
        <v>0.98799999999999999</v>
      </c>
      <c r="G383" s="80">
        <v>1.2E-2</v>
      </c>
    </row>
    <row r="384" spans="1:27">
      <c r="A384" s="16">
        <v>16</v>
      </c>
      <c r="B384" s="76">
        <v>42095</v>
      </c>
      <c r="C384" s="16"/>
      <c r="D384" s="11"/>
      <c r="E384" s="16">
        <v>4</v>
      </c>
      <c r="F384" s="80">
        <v>1.2330000000000001</v>
      </c>
      <c r="G384" s="80">
        <v>2.4E-2</v>
      </c>
      <c r="I384" s="29">
        <f>AVERAGE(F383:F384)</f>
        <v>1.1105</v>
      </c>
      <c r="J384" s="29">
        <f>AVERAGE(G383:G384)</f>
        <v>1.8000000000000002E-2</v>
      </c>
      <c r="L384">
        <f>+J384/I384</f>
        <v>1.6208914903196758E-2</v>
      </c>
      <c r="M384">
        <f>+(L384-$L$619)/$L$620</f>
        <v>-0.37435838556931489</v>
      </c>
      <c r="N384">
        <f>+N382+M384</f>
        <v>-0.20677549516224758</v>
      </c>
      <c r="Z384">
        <f>+(I384-$F$619)/$F$620</f>
        <v>-0.9322786715622573</v>
      </c>
      <c r="AA384">
        <f>+AA382+Z384</f>
        <v>13.887768067874815</v>
      </c>
    </row>
    <row r="385" spans="1:27">
      <c r="A385" s="16">
        <v>2</v>
      </c>
      <c r="B385" s="76">
        <v>42125</v>
      </c>
      <c r="C385" s="16"/>
      <c r="D385" s="11"/>
      <c r="E385" s="16">
        <v>5</v>
      </c>
      <c r="F385" s="80">
        <v>6.3710000000000004</v>
      </c>
      <c r="G385" s="80">
        <v>1.7000000000000001E-2</v>
      </c>
    </row>
    <row r="386" spans="1:27">
      <c r="A386" s="16">
        <v>16</v>
      </c>
      <c r="B386" s="76">
        <v>42125</v>
      </c>
      <c r="C386" s="16"/>
      <c r="D386" s="11"/>
      <c r="E386" s="16">
        <v>5</v>
      </c>
      <c r="F386" s="80">
        <v>8.8930000000000007</v>
      </c>
      <c r="G386" s="80">
        <v>1.7000000000000001E-2</v>
      </c>
      <c r="I386" s="29">
        <f>AVERAGE(F385:F386)</f>
        <v>7.6320000000000006</v>
      </c>
      <c r="J386" s="29">
        <f>AVERAGE(G385:G386)</f>
        <v>1.7000000000000001E-2</v>
      </c>
      <c r="L386">
        <f>+J386/I386</f>
        <v>2.2274633123689725E-3</v>
      </c>
      <c r="M386">
        <f>+(L386-$L$619)/$L$620</f>
        <v>-0.6770065634929826</v>
      </c>
      <c r="N386">
        <f>+N384+M386</f>
        <v>-0.88378205865523018</v>
      </c>
      <c r="Z386">
        <f>+(I386-$F$619)/$F$620</f>
        <v>0.38467712013674116</v>
      </c>
      <c r="AA386">
        <f>+AA384+Z386</f>
        <v>14.272445188011556</v>
      </c>
    </row>
    <row r="387" spans="1:27">
      <c r="A387" s="16">
        <v>2</v>
      </c>
      <c r="B387" s="76">
        <v>42156</v>
      </c>
      <c r="C387" s="16"/>
      <c r="D387" s="11"/>
      <c r="E387" s="16">
        <v>6</v>
      </c>
      <c r="F387" s="80">
        <v>13.632999999999999</v>
      </c>
      <c r="G387" s="80">
        <v>7.8E-2</v>
      </c>
    </row>
    <row r="388" spans="1:27">
      <c r="A388" s="16">
        <v>16</v>
      </c>
      <c r="B388" s="76">
        <v>42156</v>
      </c>
      <c r="C388" s="16"/>
      <c r="D388" s="11"/>
      <c r="E388" s="16">
        <v>6</v>
      </c>
      <c r="F388" s="80">
        <v>9.2569999999999997</v>
      </c>
      <c r="G388" s="80">
        <v>8.5999999999999993E-2</v>
      </c>
      <c r="I388" s="29">
        <f>AVERAGE(F387:F388)</f>
        <v>11.445</v>
      </c>
      <c r="J388" s="29">
        <f>AVERAGE(G387:G388)</f>
        <v>8.199999999999999E-2</v>
      </c>
      <c r="L388">
        <f>+J388/I388</f>
        <v>7.1647007426823926E-3</v>
      </c>
      <c r="M388">
        <f>+(L388-$L$619)/$L$620</f>
        <v>-0.57013311744528083</v>
      </c>
      <c r="N388">
        <f>+N386+M388</f>
        <v>-1.4539151761005109</v>
      </c>
      <c r="Z388">
        <f>+(I388-$F$619)/$F$620</f>
        <v>1.1546767266303823</v>
      </c>
      <c r="AA388">
        <f>+AA386+Z388</f>
        <v>15.427121914641939</v>
      </c>
    </row>
    <row r="389" spans="1:27">
      <c r="A389" s="16">
        <v>2</v>
      </c>
      <c r="B389" s="76">
        <v>42186</v>
      </c>
      <c r="C389" s="16"/>
      <c r="D389" s="11"/>
      <c r="E389" s="16">
        <v>7</v>
      </c>
      <c r="F389" s="80">
        <v>8.4420000000000002</v>
      </c>
      <c r="G389" s="80">
        <v>0.13</v>
      </c>
    </row>
    <row r="390" spans="1:27">
      <c r="A390" s="16">
        <v>16</v>
      </c>
      <c r="B390" s="76">
        <v>42186</v>
      </c>
      <c r="C390" s="16"/>
      <c r="D390" s="11"/>
      <c r="E390" s="16">
        <v>7</v>
      </c>
      <c r="F390" s="80">
        <v>8.016</v>
      </c>
      <c r="G390" s="80">
        <v>0.193</v>
      </c>
      <c r="I390" s="29">
        <f>AVERAGE(F389:F390)</f>
        <v>8.2289999999999992</v>
      </c>
      <c r="J390" s="29">
        <f>AVERAGE(G389:G390)</f>
        <v>0.1615</v>
      </c>
      <c r="L390">
        <f>+J390/I390</f>
        <v>1.9625713938510151E-2</v>
      </c>
      <c r="M390">
        <f>+(L390-$L$619)/$L$620</f>
        <v>-0.30039696635249097</v>
      </c>
      <c r="N390">
        <f>+N388+M390</f>
        <v>-1.7543121424530019</v>
      </c>
      <c r="Z390">
        <f>+(I390-$F$619)/$F$620</f>
        <v>0.50523567378916778</v>
      </c>
      <c r="AA390">
        <f>+AA388+Z390</f>
        <v>15.932357588431106</v>
      </c>
    </row>
    <row r="391" spans="1:27">
      <c r="A391" s="16">
        <v>2</v>
      </c>
      <c r="B391" s="76">
        <v>42217</v>
      </c>
      <c r="C391" s="16"/>
      <c r="D391" s="11"/>
      <c r="E391" s="16">
        <v>8</v>
      </c>
      <c r="F391" s="80">
        <v>7.8170000000000002</v>
      </c>
      <c r="G391" s="80">
        <v>8.3000000000000004E-2</v>
      </c>
    </row>
    <row r="392" spans="1:27">
      <c r="A392" s="16">
        <v>16</v>
      </c>
      <c r="B392" s="76">
        <v>42217</v>
      </c>
      <c r="C392" s="16"/>
      <c r="D392" s="11"/>
      <c r="E392" s="16">
        <v>8</v>
      </c>
      <c r="F392" s="80">
        <v>11.515000000000001</v>
      </c>
      <c r="G392" s="80">
        <v>0.14399999999999999</v>
      </c>
      <c r="I392" s="29">
        <f>AVERAGE(F391:F392)</f>
        <v>9.6660000000000004</v>
      </c>
      <c r="J392" s="29">
        <f>AVERAGE(G391:G392)</f>
        <v>0.11349999999999999</v>
      </c>
      <c r="L392">
        <f>+J392/I392</f>
        <v>1.1742189116490791E-2</v>
      </c>
      <c r="M392">
        <f>+(L392-$L$619)/$L$620</f>
        <v>-0.47104694554101845</v>
      </c>
      <c r="N392">
        <f>+N390+M392</f>
        <v>-2.2253590879940202</v>
      </c>
      <c r="Z392">
        <f>+(I392-$F$619)/$F$620</f>
        <v>0.79542435318370319</v>
      </c>
      <c r="AA392">
        <f>+AA390+Z392</f>
        <v>16.727781941614808</v>
      </c>
    </row>
    <row r="393" spans="1:27">
      <c r="A393" s="16">
        <v>2</v>
      </c>
      <c r="B393" s="76">
        <v>42248</v>
      </c>
      <c r="C393" s="16"/>
      <c r="D393" s="11"/>
      <c r="E393" s="16">
        <v>9</v>
      </c>
      <c r="F393" s="80">
        <v>5.4390000000000001</v>
      </c>
      <c r="G393" s="80">
        <v>0.25</v>
      </c>
    </row>
    <row r="394" spans="1:27">
      <c r="A394" s="16">
        <v>16</v>
      </c>
      <c r="B394" s="76">
        <v>42248</v>
      </c>
      <c r="C394" s="16"/>
      <c r="D394" s="11"/>
      <c r="E394" s="16">
        <v>9</v>
      </c>
      <c r="F394" s="80">
        <v>4.944</v>
      </c>
      <c r="G394" s="80">
        <v>0.378</v>
      </c>
      <c r="I394" s="29">
        <f>AVERAGE(F393:F394)</f>
        <v>5.1914999999999996</v>
      </c>
      <c r="J394" s="29">
        <f>AVERAGE(G393:G394)</f>
        <v>0.314</v>
      </c>
      <c r="L394">
        <f>+J394/I394</f>
        <v>6.0483482615814314E-2</v>
      </c>
      <c r="M394">
        <f>+(L394-$L$619)/$L$620</f>
        <v>0.58402688362349664</v>
      </c>
      <c r="N394">
        <f>+N392+M394</f>
        <v>-1.6413322043705234</v>
      </c>
      <c r="Z394">
        <f>+(I394-$F$619)/$F$620</f>
        <v>-0.10815897733184839</v>
      </c>
      <c r="AA394">
        <f>+AA392+Z394</f>
        <v>16.619622964282961</v>
      </c>
    </row>
    <row r="395" spans="1:27">
      <c r="A395" s="16">
        <v>2</v>
      </c>
      <c r="B395" s="76">
        <v>42278</v>
      </c>
      <c r="C395" s="16"/>
      <c r="D395" s="11"/>
      <c r="E395" s="16">
        <v>10</v>
      </c>
      <c r="F395" s="80">
        <v>2.5089999999999999</v>
      </c>
      <c r="G395" s="80">
        <v>5.0000000000000001E-3</v>
      </c>
    </row>
    <row r="396" spans="1:27">
      <c r="A396" s="16">
        <v>16</v>
      </c>
      <c r="B396" s="76">
        <v>42278</v>
      </c>
      <c r="C396" s="16"/>
      <c r="D396" s="11"/>
      <c r="E396" s="16">
        <v>10</v>
      </c>
      <c r="F396" s="80">
        <v>2.7269999999999999</v>
      </c>
      <c r="G396" s="80">
        <v>5.0000000000000001E-3</v>
      </c>
      <c r="I396" s="29">
        <f>AVERAGE(F395:F396)</f>
        <v>2.6179999999999999</v>
      </c>
      <c r="J396" s="29">
        <f>AVERAGE(G395:G396)</f>
        <v>5.0000000000000001E-3</v>
      </c>
      <c r="L396">
        <f>+J396/I396</f>
        <v>1.9098548510313217E-3</v>
      </c>
      <c r="M396">
        <f>+(L396-$L$619)/$L$620</f>
        <v>-0.68388164520338512</v>
      </c>
      <c r="N396">
        <f>+N394+M396</f>
        <v>-2.3252138495739088</v>
      </c>
      <c r="Z396">
        <f>+(I396-$F$619)/$F$620</f>
        <v>-0.62785317804293816</v>
      </c>
      <c r="AA396">
        <f>+AA394+Z396</f>
        <v>15.991769786240022</v>
      </c>
    </row>
    <row r="397" spans="1:27">
      <c r="A397" s="16">
        <v>2</v>
      </c>
      <c r="B397" s="76">
        <v>42309</v>
      </c>
      <c r="C397" s="16"/>
      <c r="D397" s="11"/>
      <c r="E397" s="16">
        <v>11</v>
      </c>
      <c r="F397" s="80">
        <v>1.4650000000000001</v>
      </c>
      <c r="G397" s="80">
        <v>5.0000000000000001E-3</v>
      </c>
    </row>
    <row r="398" spans="1:27">
      <c r="A398" s="16">
        <v>16</v>
      </c>
      <c r="B398" s="76">
        <v>42309</v>
      </c>
      <c r="C398" s="16"/>
      <c r="D398" s="11"/>
      <c r="E398" s="16">
        <v>11</v>
      </c>
      <c r="F398" s="80">
        <v>0.85699999999999998</v>
      </c>
      <c r="G398" s="80">
        <v>5.0000000000000001E-3</v>
      </c>
      <c r="I398" s="29">
        <f>AVERAGE(F397:F398)</f>
        <v>1.161</v>
      </c>
      <c r="J398" s="29">
        <f>AVERAGE(G397:G398)</f>
        <v>5.0000000000000001E-3</v>
      </c>
      <c r="L398">
        <f>+J398/I398</f>
        <v>4.3066322136089581E-3</v>
      </c>
      <c r="M398">
        <f>+(L398-$L$619)/$L$620</f>
        <v>-0.63200002926669052</v>
      </c>
      <c r="N398">
        <f>+N396+M398</f>
        <v>-2.9572138788405993</v>
      </c>
      <c r="Z398">
        <f>+(I398-$F$619)/$F$620</f>
        <v>-0.92208066995514237</v>
      </c>
      <c r="AA398">
        <f>+AA396+Z398</f>
        <v>15.069689116284879</v>
      </c>
    </row>
    <row r="399" spans="1:27">
      <c r="A399" s="99">
        <v>2</v>
      </c>
      <c r="B399" s="100">
        <v>42339</v>
      </c>
      <c r="C399" s="99" t="s">
        <v>97</v>
      </c>
      <c r="D399" s="101"/>
      <c r="E399" s="16">
        <v>12</v>
      </c>
      <c r="F399" s="80">
        <v>1.0980000000000001</v>
      </c>
      <c r="G399" s="80">
        <v>4.0000000000000001E-3</v>
      </c>
    </row>
    <row r="400" spans="1:27">
      <c r="A400" s="99">
        <v>2</v>
      </c>
      <c r="B400" s="102">
        <v>42339</v>
      </c>
      <c r="C400" s="99" t="s">
        <v>100</v>
      </c>
      <c r="D400" s="101"/>
      <c r="E400" s="16">
        <v>12</v>
      </c>
      <c r="F400" s="80">
        <v>1.488</v>
      </c>
      <c r="G400" s="80">
        <v>8.0000000000000002E-3</v>
      </c>
      <c r="I400" s="29">
        <f>AVERAGE(F399:F400)</f>
        <v>1.2930000000000001</v>
      </c>
      <c r="J400" s="29">
        <f>AVERAGE(G399:G400)</f>
        <v>6.0000000000000001E-3</v>
      </c>
      <c r="L400">
        <f>+J400/I400</f>
        <v>4.6403712296983757E-3</v>
      </c>
      <c r="M400">
        <f>+(L400-$L$619)/$L$620</f>
        <v>-0.62477577901875758</v>
      </c>
      <c r="N400">
        <f>+N398+M400</f>
        <v>-3.5819896578593569</v>
      </c>
      <c r="Z400">
        <f>+(I400-$F$619)/$F$620</f>
        <v>-0.89542450733852541</v>
      </c>
      <c r="AA400">
        <f>+AA398+Z400</f>
        <v>14.174264608946354</v>
      </c>
    </row>
    <row r="401" spans="1:27">
      <c r="A401" s="16">
        <v>16</v>
      </c>
      <c r="B401" s="71">
        <v>42379</v>
      </c>
      <c r="C401" s="103" t="s">
        <v>99</v>
      </c>
      <c r="D401" s="11"/>
      <c r="E401" s="16">
        <v>1</v>
      </c>
      <c r="F401" s="82">
        <v>3.5179999999999998</v>
      </c>
      <c r="G401" s="81">
        <v>1.9E-2</v>
      </c>
    </row>
    <row r="402" spans="1:27">
      <c r="A402" s="16">
        <v>2</v>
      </c>
      <c r="B402" s="71">
        <v>42374</v>
      </c>
      <c r="C402" s="103" t="s">
        <v>98</v>
      </c>
      <c r="D402" s="11"/>
      <c r="E402" s="16">
        <v>1</v>
      </c>
      <c r="F402" s="83">
        <v>4.8689999999999998</v>
      </c>
      <c r="G402" s="81">
        <v>2.3E-2</v>
      </c>
      <c r="I402" s="29">
        <f>AVERAGE(F401:F402)</f>
        <v>4.1935000000000002</v>
      </c>
      <c r="J402" s="29">
        <f>AVERAGE(G401:G402)</f>
        <v>2.0999999999999998E-2</v>
      </c>
      <c r="L402">
        <f>+J402/I402</f>
        <v>5.0077500894241079E-3</v>
      </c>
      <c r="M402">
        <f>+(L402-$L$619)/$L$620</f>
        <v>-0.61682334705692832</v>
      </c>
      <c r="N402">
        <f>+N400+M402</f>
        <v>-4.1988130049162855</v>
      </c>
      <c r="Z402">
        <f>+(I402-$F$619)/$F$620</f>
        <v>-0.30969572196354345</v>
      </c>
      <c r="AA402">
        <f>+AA400+Z402</f>
        <v>13.864568886982811</v>
      </c>
    </row>
    <row r="403" spans="1:27">
      <c r="A403" s="16">
        <v>16</v>
      </c>
      <c r="B403" s="76">
        <v>42401</v>
      </c>
      <c r="C403" s="103"/>
      <c r="D403" s="11"/>
      <c r="E403" s="16">
        <v>2</v>
      </c>
      <c r="F403" s="83">
        <v>3.6659999999999999</v>
      </c>
      <c r="G403" s="81">
        <v>1.4999999999999999E-2</v>
      </c>
    </row>
    <row r="404" spans="1:27">
      <c r="A404" s="16">
        <v>2</v>
      </c>
      <c r="B404" s="76">
        <v>42401</v>
      </c>
      <c r="C404" s="103"/>
      <c r="D404" s="11"/>
      <c r="E404" s="16">
        <v>2</v>
      </c>
      <c r="F404" s="83">
        <v>3.8159999999999998</v>
      </c>
      <c r="G404" s="81">
        <v>1.4999999999999999E-2</v>
      </c>
      <c r="I404" s="29">
        <f>AVERAGE(F403:F404)</f>
        <v>3.7409999999999997</v>
      </c>
      <c r="J404" s="29">
        <f>AVERAGE(G403:G404)</f>
        <v>1.4999999999999999E-2</v>
      </c>
      <c r="L404">
        <f>+J404/I404</f>
        <v>4.0096230954290296E-3</v>
      </c>
      <c r="M404">
        <f>+(L404-$L$619)/$L$620</f>
        <v>-0.63842920923129742</v>
      </c>
      <c r="N404">
        <f>+N402+M404</f>
        <v>-4.837242214147583</v>
      </c>
      <c r="Z404">
        <f>+(I404-$F$619)/$F$620</f>
        <v>-0.40107385517581023</v>
      </c>
      <c r="AA404">
        <f>+AA402+Z404</f>
        <v>13.463495031807001</v>
      </c>
    </row>
    <row r="405" spans="1:27">
      <c r="A405" s="16">
        <v>16</v>
      </c>
      <c r="B405" s="76">
        <v>42430</v>
      </c>
      <c r="C405" s="103"/>
      <c r="D405" s="11"/>
      <c r="E405" s="16">
        <v>3</v>
      </c>
      <c r="F405" s="83">
        <v>5.2290000000000001</v>
      </c>
      <c r="G405" s="81">
        <v>1.2999999999999999E-2</v>
      </c>
    </row>
    <row r="406" spans="1:27">
      <c r="A406" s="16">
        <v>2</v>
      </c>
      <c r="B406" s="76">
        <v>42430</v>
      </c>
      <c r="C406" s="103"/>
      <c r="D406" s="11"/>
      <c r="E406" s="16">
        <v>3</v>
      </c>
      <c r="F406" s="83">
        <v>1.456</v>
      </c>
      <c r="G406" s="81">
        <v>4.0000000000000001E-3</v>
      </c>
      <c r="I406" s="29">
        <f>AVERAGE(F405:F406)</f>
        <v>3.3425000000000002</v>
      </c>
      <c r="J406" s="29">
        <f>AVERAGE(G405:G406)</f>
        <v>8.5000000000000006E-3</v>
      </c>
      <c r="L406">
        <f>+J406/I406</f>
        <v>2.5430067314884067E-3</v>
      </c>
      <c r="M406">
        <f>+(L406-$L$619)/$L$620</f>
        <v>-0.67017618252488975</v>
      </c>
      <c r="N406">
        <f>+N404+M406</f>
        <v>-5.507418396672473</v>
      </c>
      <c r="Z406">
        <f>+(I406-$F$619)/$F$620</f>
        <v>-0.48154719459036976</v>
      </c>
      <c r="AA406">
        <f>+AA404+Z406</f>
        <v>12.981947837216632</v>
      </c>
    </row>
    <row r="407" spans="1:27">
      <c r="A407" s="16">
        <v>16</v>
      </c>
      <c r="B407" s="76">
        <v>42461</v>
      </c>
      <c r="C407" s="103"/>
      <c r="D407" s="11"/>
      <c r="E407" s="16">
        <v>4</v>
      </c>
      <c r="F407" s="83">
        <v>2.37</v>
      </c>
      <c r="G407" s="81">
        <v>8.0000000000000002E-3</v>
      </c>
    </row>
    <row r="408" spans="1:27">
      <c r="A408" s="16">
        <v>2</v>
      </c>
      <c r="B408" s="76">
        <v>42461</v>
      </c>
      <c r="C408" s="103"/>
      <c r="D408" s="11"/>
      <c r="E408" s="16">
        <v>4</v>
      </c>
      <c r="F408" s="83">
        <v>2.391</v>
      </c>
      <c r="G408" s="81">
        <v>8.0000000000000002E-3</v>
      </c>
      <c r="I408" s="29">
        <f>AVERAGE(F407:F408)</f>
        <v>2.3805000000000001</v>
      </c>
      <c r="J408" s="29">
        <f>AVERAGE(G407:G408)</f>
        <v>8.0000000000000002E-3</v>
      </c>
      <c r="L408">
        <f>+J408/I408</f>
        <v>3.3606385213190504E-3</v>
      </c>
      <c r="M408">
        <f>+(L408-$L$619)/$L$620</f>
        <v>-0.65247739282503847</v>
      </c>
      <c r="N408">
        <f>+N406+M408</f>
        <v>-6.1598957894975115</v>
      </c>
      <c r="Z408">
        <f>+(I408-$F$619)/$F$620</f>
        <v>-0.67581407669026039</v>
      </c>
      <c r="AA408">
        <f>+AA406+Z408</f>
        <v>12.306133760526372</v>
      </c>
    </row>
    <row r="409" spans="1:27">
      <c r="A409" s="16">
        <v>16</v>
      </c>
      <c r="B409" s="76">
        <v>42491</v>
      </c>
      <c r="C409" s="103"/>
      <c r="D409" s="11"/>
      <c r="E409" s="16">
        <v>5</v>
      </c>
      <c r="F409" s="83">
        <v>7.3920000000000003</v>
      </c>
      <c r="G409" s="81">
        <v>6.9000000000000006E-2</v>
      </c>
    </row>
    <row r="410" spans="1:27">
      <c r="A410" s="16">
        <v>2</v>
      </c>
      <c r="B410" s="76">
        <v>42491</v>
      </c>
      <c r="C410" s="103"/>
      <c r="D410" s="11"/>
      <c r="E410" s="16">
        <v>5</v>
      </c>
      <c r="F410" s="83">
        <v>8.5350000000000001</v>
      </c>
      <c r="G410" s="81">
        <v>5.1999999999999998E-2</v>
      </c>
      <c r="I410" s="29">
        <f>AVERAGE(F409:F410)</f>
        <v>7.9634999999999998</v>
      </c>
      <c r="J410" s="29">
        <f>AVERAGE(G409:G410)</f>
        <v>6.0499999999999998E-2</v>
      </c>
      <c r="L410">
        <f>+J410/I410</f>
        <v>7.5971620518616185E-3</v>
      </c>
      <c r="M410">
        <f>+(L410-$L$619)/$L$620</f>
        <v>-0.5607718843576206</v>
      </c>
      <c r="N410">
        <f>+N408+M410</f>
        <v>-6.7206676738551323</v>
      </c>
      <c r="Z410">
        <f>+(I410-$F$619)/$F$620</f>
        <v>0.45162043761710874</v>
      </c>
      <c r="AA410">
        <f>+AA408+Z410</f>
        <v>12.757754198143481</v>
      </c>
    </row>
    <row r="411" spans="1:27">
      <c r="A411" s="16">
        <v>16</v>
      </c>
      <c r="B411" s="76">
        <v>42522</v>
      </c>
      <c r="C411" s="103"/>
      <c r="D411" s="11"/>
      <c r="E411" s="16">
        <v>6</v>
      </c>
      <c r="F411" s="83">
        <v>15.529</v>
      </c>
      <c r="G411" s="81">
        <v>1.1599999999999999</v>
      </c>
    </row>
    <row r="412" spans="1:27">
      <c r="A412" s="16">
        <v>2</v>
      </c>
      <c r="B412" s="76">
        <v>42522</v>
      </c>
      <c r="C412" s="103"/>
      <c r="D412" s="11"/>
      <c r="E412" s="16">
        <v>6</v>
      </c>
      <c r="F412" s="83">
        <v>14.457000000000001</v>
      </c>
      <c r="G412" s="81">
        <v>1.133</v>
      </c>
      <c r="I412" s="29">
        <f>AVERAGE(F411:F412)</f>
        <v>14.993</v>
      </c>
      <c r="J412" s="29">
        <f>AVERAGE(G411:G412)</f>
        <v>1.1465000000000001</v>
      </c>
      <c r="L412">
        <f>+J412/I412</f>
        <v>7.646901887547522E-2</v>
      </c>
      <c r="M412">
        <f>+(L412-$L$619)/$L$620</f>
        <v>0.93005629199286444</v>
      </c>
      <c r="N412">
        <f>+N410+M412</f>
        <v>-5.7906113818622682</v>
      </c>
      <c r="Z412">
        <f>+(I412-$F$619)/$F$620</f>
        <v>1.8711620672649059</v>
      </c>
      <c r="AA412">
        <f>+AA410+Z412</f>
        <v>14.628916265408387</v>
      </c>
    </row>
    <row r="413" spans="1:27">
      <c r="A413" s="16">
        <v>16</v>
      </c>
      <c r="B413" s="76">
        <v>42552</v>
      </c>
      <c r="C413" s="103"/>
      <c r="D413" s="11"/>
      <c r="E413" s="16">
        <v>7</v>
      </c>
      <c r="F413" s="83">
        <v>13.766999999999999</v>
      </c>
      <c r="G413" s="81">
        <v>1.6919999999999999</v>
      </c>
    </row>
    <row r="414" spans="1:27">
      <c r="A414" s="16">
        <v>2</v>
      </c>
      <c r="B414" s="76">
        <v>42552</v>
      </c>
      <c r="C414" s="103"/>
      <c r="D414" s="11"/>
      <c r="E414" s="16">
        <v>7</v>
      </c>
      <c r="F414" s="83">
        <v>10.378</v>
      </c>
      <c r="G414" s="81">
        <v>1.1220000000000001</v>
      </c>
      <c r="I414" s="29">
        <f>AVERAGE(F413:F414)</f>
        <v>12.0725</v>
      </c>
      <c r="J414" s="29">
        <f>AVERAGE(G413:G414)</f>
        <v>1.407</v>
      </c>
      <c r="L414">
        <f>+J414/I414</f>
        <v>0.11654586870987782</v>
      </c>
      <c r="M414">
        <f>+(L414-$L$619)/$L$620</f>
        <v>1.7975760556245224</v>
      </c>
      <c r="N414">
        <f>+N412+M414</f>
        <v>-3.993035326237746</v>
      </c>
      <c r="Z414">
        <f>+(I414-$F$619)/$F$620</f>
        <v>1.2813944693722548</v>
      </c>
      <c r="AA414">
        <f>+AA412+Z414</f>
        <v>15.910310734780643</v>
      </c>
    </row>
    <row r="415" spans="1:27">
      <c r="A415" s="16">
        <v>16</v>
      </c>
      <c r="B415" s="76">
        <v>42583</v>
      </c>
      <c r="C415" s="103"/>
      <c r="D415" s="11"/>
      <c r="E415" s="16">
        <v>8</v>
      </c>
      <c r="F415" s="83">
        <v>9.4060000000000006</v>
      </c>
      <c r="G415" s="81">
        <v>1.0780000000000001</v>
      </c>
    </row>
    <row r="416" spans="1:27">
      <c r="A416" s="16">
        <v>2</v>
      </c>
      <c r="B416" s="76">
        <v>42583</v>
      </c>
      <c r="C416" s="103"/>
      <c r="D416" s="11"/>
      <c r="E416" s="16">
        <v>8</v>
      </c>
      <c r="F416" s="83">
        <v>11.231999999999999</v>
      </c>
      <c r="G416" s="81">
        <v>1.8580000000000001</v>
      </c>
      <c r="I416" s="29">
        <f>AVERAGE(F415:F416)</f>
        <v>10.318999999999999</v>
      </c>
      <c r="J416" s="29">
        <f>AVERAGE(G415:G416)</f>
        <v>1.468</v>
      </c>
      <c r="L416">
        <f>+J416/I416</f>
        <v>0.14226184707820527</v>
      </c>
      <c r="M416">
        <f>+(L416-$L$619)/$L$620</f>
        <v>2.3542345646597749</v>
      </c>
      <c r="N416">
        <f>+N414+M416</f>
        <v>-1.6388007615779712</v>
      </c>
      <c r="Z416">
        <f>+(I416-$F$619)/$F$620</f>
        <v>0.92729158188560368</v>
      </c>
      <c r="AA416">
        <f>+AA414+Z416</f>
        <v>16.837602316666246</v>
      </c>
    </row>
    <row r="417" spans="1:27">
      <c r="A417" s="16">
        <v>16</v>
      </c>
      <c r="B417" s="76">
        <v>42614</v>
      </c>
      <c r="C417" s="103"/>
      <c r="D417" s="11"/>
      <c r="E417" s="16">
        <v>9</v>
      </c>
      <c r="F417" s="83">
        <v>8.6259999999999994</v>
      </c>
      <c r="G417" s="81">
        <v>0.191</v>
      </c>
    </row>
    <row r="418" spans="1:27">
      <c r="A418" s="16">
        <v>2</v>
      </c>
      <c r="B418" s="76">
        <v>42614</v>
      </c>
      <c r="C418" s="103"/>
      <c r="D418" s="11"/>
      <c r="E418" s="16">
        <v>9</v>
      </c>
      <c r="F418" s="83">
        <v>11.244999999999999</v>
      </c>
      <c r="G418" s="81">
        <v>0.33700000000000002</v>
      </c>
      <c r="I418" s="29">
        <f>AVERAGE(F417:F418)</f>
        <v>9.9354999999999993</v>
      </c>
      <c r="J418" s="29">
        <f>AVERAGE(G417:G418)</f>
        <v>0.26400000000000001</v>
      </c>
      <c r="L418">
        <f>+J418/I418</f>
        <v>2.6571385436062606E-2</v>
      </c>
      <c r="M418">
        <f>+(L418-$L$619)/$L$620</f>
        <v>-0.15004814101523953</v>
      </c>
      <c r="N418">
        <f>+N416+M418</f>
        <v>-1.7888489025932106</v>
      </c>
      <c r="Z418">
        <f>+(I418-$F$619)/$F$620</f>
        <v>0.84984735185929594</v>
      </c>
      <c r="AA418">
        <f>+AA416+Z418</f>
        <v>17.687449668525542</v>
      </c>
    </row>
    <row r="419" spans="1:27">
      <c r="A419" s="16">
        <v>16</v>
      </c>
      <c r="B419" s="76">
        <v>42644</v>
      </c>
      <c r="C419" s="103"/>
      <c r="D419" s="11"/>
      <c r="E419" s="16">
        <v>10</v>
      </c>
      <c r="F419" s="83">
        <v>1.5129999999999999</v>
      </c>
      <c r="G419" s="81">
        <v>8.9999999999999993E-3</v>
      </c>
    </row>
    <row r="420" spans="1:27">
      <c r="A420" s="16">
        <v>2</v>
      </c>
      <c r="B420" s="76">
        <v>42644</v>
      </c>
      <c r="C420" s="103"/>
      <c r="D420" s="11"/>
      <c r="E420" s="16">
        <v>10</v>
      </c>
      <c r="F420" s="83">
        <v>2.8109999999999999</v>
      </c>
      <c r="G420" s="81">
        <v>3.7999999999999999E-2</v>
      </c>
      <c r="I420" s="29">
        <f>AVERAGE(F419:F420)</f>
        <v>2.1619999999999999</v>
      </c>
      <c r="J420" s="29">
        <f>AVERAGE(G419:G420)</f>
        <v>2.35E-2</v>
      </c>
      <c r="L420">
        <f>+J420/I420</f>
        <v>1.0869565217391304E-2</v>
      </c>
      <c r="M420">
        <f>+(L420-$L$619)/$L$620</f>
        <v>-0.48993611676615512</v>
      </c>
      <c r="N420">
        <f>+N418+M420</f>
        <v>-2.2787850193593657</v>
      </c>
      <c r="Z420">
        <f>+(I420-$F$619)/$F$620</f>
        <v>-0.7199381034457969</v>
      </c>
      <c r="AA420">
        <f>+AA418+Z420</f>
        <v>16.967511565079743</v>
      </c>
    </row>
    <row r="421" spans="1:27">
      <c r="A421" s="16">
        <v>16</v>
      </c>
      <c r="B421" s="76">
        <v>42675</v>
      </c>
      <c r="C421" s="103"/>
      <c r="D421" s="11"/>
      <c r="E421" s="16">
        <v>11</v>
      </c>
      <c r="F421" s="83">
        <v>0.70799999999999996</v>
      </c>
      <c r="G421" s="81">
        <v>4.0000000000000001E-3</v>
      </c>
    </row>
    <row r="422" spans="1:27">
      <c r="A422" s="16">
        <v>2</v>
      </c>
      <c r="B422" s="76">
        <v>42675</v>
      </c>
      <c r="C422" s="103"/>
      <c r="D422" s="11"/>
      <c r="E422" s="16">
        <v>11</v>
      </c>
      <c r="F422" s="83">
        <v>0.95299999999999996</v>
      </c>
      <c r="G422" s="81">
        <v>3.0000000000000001E-3</v>
      </c>
      <c r="I422" s="29">
        <f>AVERAGE(F421:F422)</f>
        <v>0.83050000000000002</v>
      </c>
      <c r="J422" s="29">
        <f>AVERAGE(G421:G422)</f>
        <v>3.5000000000000001E-3</v>
      </c>
      <c r="L422">
        <f>+J422/I422</f>
        <v>4.2143287176399759E-3</v>
      </c>
      <c r="M422">
        <f>+(L422-$L$619)/$L$620</f>
        <v>-0.63399806821776217</v>
      </c>
      <c r="N422">
        <f>+N420+M422</f>
        <v>-2.9127830875771279</v>
      </c>
      <c r="Z422">
        <f>+(I422-$F$619)/$F$620</f>
        <v>-0.98882204680962671</v>
      </c>
      <c r="AA422">
        <f>+AA420+Z422</f>
        <v>15.978689518270116</v>
      </c>
    </row>
    <row r="423" spans="1:27">
      <c r="A423" s="16">
        <v>16</v>
      </c>
      <c r="B423" s="77">
        <v>42705</v>
      </c>
      <c r="C423" s="103"/>
      <c r="D423" s="11"/>
      <c r="E423" s="16">
        <v>12</v>
      </c>
      <c r="F423" s="83">
        <v>2.5630000000000002</v>
      </c>
      <c r="G423" s="81">
        <v>1.2999999999999999E-2</v>
      </c>
    </row>
    <row r="424" spans="1:27">
      <c r="A424" s="16">
        <v>2</v>
      </c>
      <c r="B424" s="76">
        <v>42705</v>
      </c>
      <c r="C424" s="103"/>
      <c r="D424" s="11"/>
      <c r="E424" s="16">
        <v>12</v>
      </c>
      <c r="F424" s="83">
        <v>2.0110000000000001</v>
      </c>
      <c r="G424" s="81">
        <v>7.0000000000000001E-3</v>
      </c>
      <c r="I424" s="29">
        <f>AVERAGE(F423:F424)</f>
        <v>2.2869999999999999</v>
      </c>
      <c r="J424" s="29">
        <f>AVERAGE(G423:G424)</f>
        <v>0.01</v>
      </c>
      <c r="L424">
        <f>+J424/I424</f>
        <v>4.3725404459991259E-3</v>
      </c>
      <c r="M424">
        <f>+(L424-$L$619)/$L$620</f>
        <v>-0.63057335290812555</v>
      </c>
      <c r="N424">
        <f>+N422+M424</f>
        <v>-3.5433564404852533</v>
      </c>
      <c r="Z424">
        <f>+(I424-$F$619)/$F$620</f>
        <v>-0.69469552521036415</v>
      </c>
      <c r="AA424">
        <f>+AA422+Z424</f>
        <v>15.283993993059752</v>
      </c>
    </row>
    <row r="425" spans="1:27">
      <c r="A425" s="16">
        <v>16</v>
      </c>
      <c r="B425" s="71">
        <v>42745</v>
      </c>
      <c r="C425" s="103"/>
      <c r="D425" s="11"/>
      <c r="E425" s="16">
        <v>1</v>
      </c>
    </row>
    <row r="426" spans="1:27">
      <c r="A426" s="16">
        <v>2</v>
      </c>
      <c r="B426" s="71">
        <v>42740</v>
      </c>
      <c r="C426" s="103"/>
      <c r="D426" s="11"/>
      <c r="E426" s="16">
        <v>1</v>
      </c>
    </row>
    <row r="427" spans="1:27">
      <c r="A427" s="16">
        <v>16</v>
      </c>
      <c r="B427" s="76">
        <v>42767</v>
      </c>
      <c r="C427" s="103"/>
      <c r="D427" s="11"/>
      <c r="E427" s="16">
        <v>2</v>
      </c>
    </row>
    <row r="428" spans="1:27">
      <c r="A428" s="16">
        <v>2</v>
      </c>
      <c r="B428" s="76">
        <v>42767</v>
      </c>
      <c r="C428" s="103"/>
      <c r="D428" s="11"/>
      <c r="E428" s="16">
        <v>2</v>
      </c>
    </row>
    <row r="429" spans="1:27">
      <c r="A429" s="16">
        <v>16</v>
      </c>
      <c r="B429" s="76">
        <v>42795</v>
      </c>
      <c r="C429" s="103"/>
      <c r="D429" s="11"/>
      <c r="E429" s="16">
        <v>3</v>
      </c>
      <c r="F429" s="81">
        <v>4.5289999999999999</v>
      </c>
      <c r="G429" s="81">
        <v>3.3000000000000002E-2</v>
      </c>
    </row>
    <row r="430" spans="1:27">
      <c r="A430" s="16">
        <v>2</v>
      </c>
      <c r="B430" s="76">
        <v>42795</v>
      </c>
      <c r="C430" s="103"/>
      <c r="D430" s="11"/>
      <c r="E430" s="16">
        <v>3</v>
      </c>
      <c r="F430" s="81">
        <v>1.522</v>
      </c>
      <c r="G430" s="81">
        <v>2.3E-2</v>
      </c>
      <c r="I430" s="29">
        <f>AVERAGE(F429:F430)</f>
        <v>3.0255000000000001</v>
      </c>
      <c r="J430" s="29">
        <f>AVERAGE(G429:G430)</f>
        <v>2.8000000000000001E-2</v>
      </c>
      <c r="L430">
        <f>+J430/I430</f>
        <v>9.2546686498099495E-3</v>
      </c>
      <c r="M430">
        <f>+(L430-$L$619)/$L$620</f>
        <v>-0.52489282355290334</v>
      </c>
      <c r="N430">
        <f>+N424+M430</f>
        <v>-4.0682492640381565</v>
      </c>
      <c r="Z430">
        <f>+(I430-$F$619)/$F$620</f>
        <v>-0.54556237299542731</v>
      </c>
      <c r="AA430">
        <f>+AA424+Z430</f>
        <v>14.738431620064326</v>
      </c>
    </row>
    <row r="431" spans="1:27">
      <c r="A431" s="16">
        <v>2</v>
      </c>
      <c r="B431" s="76">
        <v>42826</v>
      </c>
      <c r="C431" s="16"/>
      <c r="D431" s="11"/>
      <c r="E431" s="16">
        <v>4</v>
      </c>
    </row>
    <row r="432" spans="1:27">
      <c r="A432" s="16">
        <v>16</v>
      </c>
      <c r="B432" s="76">
        <v>42826</v>
      </c>
      <c r="C432" s="16"/>
      <c r="D432" s="11"/>
      <c r="E432" s="16">
        <v>4</v>
      </c>
      <c r="I432" s="29"/>
      <c r="J432" s="29"/>
    </row>
    <row r="433" spans="1:27">
      <c r="A433" s="16">
        <v>2</v>
      </c>
      <c r="B433" s="76">
        <v>42856</v>
      </c>
      <c r="C433" s="16"/>
      <c r="D433" s="11"/>
      <c r="E433" s="16">
        <v>5</v>
      </c>
      <c r="F433" s="81">
        <v>6.6849999999999996</v>
      </c>
      <c r="G433" s="81">
        <v>7.0999999999999994E-2</v>
      </c>
    </row>
    <row r="434" spans="1:27">
      <c r="A434" s="16">
        <v>16</v>
      </c>
      <c r="B434" s="76">
        <v>42856</v>
      </c>
      <c r="C434" s="16"/>
      <c r="D434" s="11"/>
      <c r="E434" s="16">
        <v>5</v>
      </c>
      <c r="F434" s="81">
        <v>13.680999999999999</v>
      </c>
      <c r="G434" s="81">
        <v>0.20599999999999999</v>
      </c>
      <c r="I434" s="29">
        <f>AVERAGE(F433:F434)</f>
        <v>10.183</v>
      </c>
      <c r="J434" s="29">
        <f>AVERAGE(G433:G434)</f>
        <v>0.13849999999999998</v>
      </c>
      <c r="L434">
        <f>+J434/I434</f>
        <v>1.3601099872336245E-2</v>
      </c>
      <c r="M434">
        <f>+(L434-$L$619)/$L$620</f>
        <v>-0.43080820855977303</v>
      </c>
      <c r="N434">
        <f>+N430+M434</f>
        <v>-4.4990574725979293</v>
      </c>
      <c r="Z434">
        <f>+(I434-$F$619)/$F$620</f>
        <v>0.89982765676545295</v>
      </c>
      <c r="AA434">
        <f>+AA430+Z434</f>
        <v>15.638259276829778</v>
      </c>
    </row>
    <row r="435" spans="1:27">
      <c r="A435" s="16">
        <v>2</v>
      </c>
      <c r="B435" s="76">
        <v>42887</v>
      </c>
      <c r="C435" s="16"/>
      <c r="D435" s="11"/>
      <c r="E435" s="16">
        <v>6</v>
      </c>
      <c r="F435" s="81">
        <v>8.0250000000000004</v>
      </c>
      <c r="G435" s="81">
        <v>1.3089999999999999</v>
      </c>
    </row>
    <row r="436" spans="1:27">
      <c r="A436" s="16">
        <v>16</v>
      </c>
      <c r="B436" s="76">
        <v>42887</v>
      </c>
      <c r="C436" s="16"/>
      <c r="D436" s="11"/>
      <c r="E436" s="16">
        <v>6</v>
      </c>
      <c r="F436" s="81">
        <v>7.33</v>
      </c>
      <c r="G436" s="81">
        <v>1.9059999999999999</v>
      </c>
      <c r="I436" s="29">
        <f>AVERAGE(F435:F436)</f>
        <v>7.6775000000000002</v>
      </c>
      <c r="J436" s="29">
        <f>AVERAGE(G435:G436)</f>
        <v>1.6074999999999999</v>
      </c>
      <c r="L436">
        <f>+J436/I436</f>
        <v>0.20937805275154672</v>
      </c>
      <c r="M436">
        <f>+(L436-$L$619)/$L$620</f>
        <v>3.8070592033770119</v>
      </c>
      <c r="N436">
        <f>+N434+M436</f>
        <v>-0.69199826922091745</v>
      </c>
      <c r="Z436">
        <f>+(I436-$F$619)/$F$620</f>
        <v>0.39386541861443863</v>
      </c>
      <c r="AA436">
        <f>+AA434+Z436</f>
        <v>16.032124695444217</v>
      </c>
    </row>
    <row r="437" spans="1:27">
      <c r="A437" s="16">
        <v>2</v>
      </c>
      <c r="B437" s="76">
        <v>42917</v>
      </c>
      <c r="C437" s="16"/>
      <c r="D437" s="11"/>
      <c r="E437" s="16">
        <v>7</v>
      </c>
      <c r="F437" s="81">
        <v>13.879</v>
      </c>
      <c r="G437" s="81">
        <v>1.1930000000000001</v>
      </c>
    </row>
    <row r="438" spans="1:27">
      <c r="A438" s="16">
        <v>16</v>
      </c>
      <c r="B438" s="76">
        <v>42917</v>
      </c>
      <c r="C438" s="16"/>
      <c r="D438" s="11"/>
      <c r="E438" s="16">
        <v>7</v>
      </c>
      <c r="F438" s="81">
        <v>9.4339999999999993</v>
      </c>
      <c r="G438" s="81">
        <v>1.5</v>
      </c>
      <c r="I438" s="29">
        <f>AVERAGE(F437:F438)</f>
        <v>11.656499999999999</v>
      </c>
      <c r="J438" s="29">
        <f>AVERAGE(G437:G438)</f>
        <v>1.3465</v>
      </c>
      <c r="L438">
        <f>+J438/I438</f>
        <v>0.11551494874104577</v>
      </c>
      <c r="M438">
        <f>+(L438-$L$619)/$L$620</f>
        <v>1.7752603434021357</v>
      </c>
      <c r="N438">
        <f>+N436+M438</f>
        <v>1.0832620741812182</v>
      </c>
      <c r="Z438">
        <f>+(I438-$F$619)/$F$620</f>
        <v>1.1973871690047344</v>
      </c>
      <c r="AA438">
        <f>+AA436+Z438</f>
        <v>17.229511864448952</v>
      </c>
    </row>
    <row r="439" spans="1:27">
      <c r="A439" s="16">
        <v>2</v>
      </c>
      <c r="B439" s="76">
        <v>42948</v>
      </c>
      <c r="C439" s="16"/>
      <c r="D439" s="11"/>
      <c r="E439" s="16">
        <v>8</v>
      </c>
    </row>
    <row r="440" spans="1:27">
      <c r="A440" s="16">
        <v>16</v>
      </c>
      <c r="B440" s="76">
        <v>42948</v>
      </c>
      <c r="C440" s="16"/>
      <c r="D440" s="11"/>
      <c r="E440" s="16">
        <v>8</v>
      </c>
      <c r="I440" s="29"/>
      <c r="J440" s="29"/>
    </row>
    <row r="441" spans="1:27">
      <c r="A441" s="16">
        <v>2</v>
      </c>
      <c r="B441" s="76">
        <v>42979</v>
      </c>
      <c r="C441" s="16"/>
      <c r="D441" s="11"/>
      <c r="E441" s="16">
        <v>9</v>
      </c>
      <c r="F441" s="81">
        <v>1.897</v>
      </c>
      <c r="G441" s="81">
        <v>2.8000000000000001E-2</v>
      </c>
    </row>
    <row r="442" spans="1:27">
      <c r="A442" s="16">
        <v>16</v>
      </c>
      <c r="B442" s="76">
        <v>42979</v>
      </c>
      <c r="C442" s="16"/>
      <c r="D442" s="11"/>
      <c r="E442" s="16">
        <v>9</v>
      </c>
      <c r="F442" s="81">
        <v>2.0609999999999999</v>
      </c>
      <c r="G442" s="81">
        <v>3.3000000000000002E-2</v>
      </c>
      <c r="I442" s="29">
        <f>AVERAGE(F441:F442)</f>
        <v>1.9790000000000001</v>
      </c>
      <c r="J442" s="29">
        <f>AVERAGE(G441:G442)</f>
        <v>3.0499999999999999E-2</v>
      </c>
      <c r="L442">
        <f>+J442/I442</f>
        <v>1.5411824153612934E-2</v>
      </c>
      <c r="M442">
        <f>+(L442-$L$619)/$L$620</f>
        <v>-0.39161253557185211</v>
      </c>
      <c r="N442">
        <f>+N438+M442</f>
        <v>0.69164953860936618</v>
      </c>
      <c r="Z442">
        <f>+(I442-$F$619)/$F$620</f>
        <v>-0.75689323798247043</v>
      </c>
      <c r="AA442">
        <f>+AA438+Z442</f>
        <v>16.472618626466481</v>
      </c>
    </row>
    <row r="443" spans="1:27">
      <c r="A443" s="16">
        <v>2</v>
      </c>
      <c r="B443" s="76">
        <v>43009</v>
      </c>
      <c r="C443" s="16"/>
      <c r="D443" s="11"/>
      <c r="E443" s="16">
        <v>10</v>
      </c>
      <c r="F443" s="81">
        <v>1.0269999999999999</v>
      </c>
      <c r="G443" s="81">
        <v>1.2E-2</v>
      </c>
    </row>
    <row r="444" spans="1:27">
      <c r="A444" s="16">
        <v>16</v>
      </c>
      <c r="B444" s="76">
        <v>43009</v>
      </c>
      <c r="C444" s="16"/>
      <c r="D444" s="11"/>
      <c r="E444" s="16">
        <v>10</v>
      </c>
      <c r="F444" s="81">
        <v>0.29899999999999999</v>
      </c>
      <c r="G444" s="81">
        <v>4.0000000000000001E-3</v>
      </c>
      <c r="I444" s="29">
        <f>AVERAGE(F443:F444)</f>
        <v>0.66299999999999992</v>
      </c>
      <c r="J444" s="29">
        <f>AVERAGE(G443:G444)</f>
        <v>8.0000000000000002E-3</v>
      </c>
      <c r="L444">
        <f>+J444/I444</f>
        <v>1.206636500754148E-2</v>
      </c>
      <c r="M444">
        <f>+(L444-$L$619)/$L$620</f>
        <v>-0.4640297025805209</v>
      </c>
      <c r="N444">
        <f>+N442+M444</f>
        <v>0.22761983602884528</v>
      </c>
      <c r="Z444">
        <f>+(I444-$F$619)/$F$620</f>
        <v>-1.0226471016451066</v>
      </c>
      <c r="AA444">
        <f>+AA442+Z444</f>
        <v>15.449971524821375</v>
      </c>
    </row>
    <row r="445" spans="1:27">
      <c r="A445" s="16">
        <v>2</v>
      </c>
      <c r="B445" s="76">
        <v>43040</v>
      </c>
      <c r="C445" s="16"/>
      <c r="D445" s="11"/>
      <c r="E445" s="16">
        <v>11</v>
      </c>
    </row>
    <row r="446" spans="1:27">
      <c r="A446" s="16">
        <v>16</v>
      </c>
      <c r="B446" s="76">
        <v>43040</v>
      </c>
      <c r="C446" s="16"/>
      <c r="D446" s="11"/>
      <c r="E446" s="16">
        <v>11</v>
      </c>
      <c r="I446" s="29"/>
      <c r="J446" s="29"/>
    </row>
    <row r="447" spans="1:27">
      <c r="A447" s="16">
        <v>2</v>
      </c>
      <c r="B447" s="77">
        <v>43070</v>
      </c>
      <c r="C447" s="16"/>
      <c r="D447" s="11"/>
      <c r="E447" s="16">
        <v>12</v>
      </c>
      <c r="F447" s="81">
        <v>2.335</v>
      </c>
      <c r="G447" s="81">
        <v>6.0000000000000001E-3</v>
      </c>
    </row>
    <row r="448" spans="1:27">
      <c r="A448" s="16">
        <v>16</v>
      </c>
      <c r="B448" s="76">
        <v>43070</v>
      </c>
      <c r="C448" s="16"/>
      <c r="D448" s="11"/>
      <c r="E448" s="16">
        <v>12</v>
      </c>
      <c r="F448" s="81">
        <v>2.4239999999999999</v>
      </c>
      <c r="G448" s="81">
        <v>7.0000000000000001E-3</v>
      </c>
      <c r="I448" s="29">
        <f>AVERAGE(F447:F448)</f>
        <v>2.3795000000000002</v>
      </c>
      <c r="J448" s="29">
        <f>AVERAGE(G447:G448)</f>
        <v>6.5000000000000006E-3</v>
      </c>
      <c r="L448">
        <f>+J448/I448</f>
        <v>2.7316663164530363E-3</v>
      </c>
      <c r="M448">
        <f>+(L448-$L$619)/$L$620</f>
        <v>-0.66609238054864583</v>
      </c>
      <c r="N448">
        <f>+N444+M448</f>
        <v>-0.43847254451980056</v>
      </c>
      <c r="Z448">
        <f>+(I448-$F$619)/$F$620</f>
        <v>-0.6760160173161438</v>
      </c>
      <c r="AA448">
        <f>+AA444+Z448</f>
        <v>14.773955507505232</v>
      </c>
    </row>
    <row r="449" spans="1:27">
      <c r="A449" s="16">
        <v>2</v>
      </c>
      <c r="B449" s="71">
        <v>43110</v>
      </c>
      <c r="C449" s="16"/>
      <c r="D449" s="11"/>
      <c r="E449" s="16">
        <v>1</v>
      </c>
      <c r="F449" s="78">
        <v>2.2909999999999999</v>
      </c>
      <c r="G449" s="78">
        <v>0.01</v>
      </c>
    </row>
    <row r="450" spans="1:27">
      <c r="A450" s="16">
        <v>16</v>
      </c>
      <c r="B450" s="71">
        <v>43105</v>
      </c>
      <c r="C450" s="16"/>
      <c r="D450" s="11"/>
      <c r="E450" s="16">
        <v>1</v>
      </c>
      <c r="F450" s="78">
        <v>2.8929999999999998</v>
      </c>
      <c r="G450" s="78">
        <v>1.2999999999999999E-2</v>
      </c>
      <c r="I450">
        <v>2.5919999999999996</v>
      </c>
      <c r="J450">
        <v>1.15E-2</v>
      </c>
      <c r="L450">
        <v>4.436728395061729E-3</v>
      </c>
      <c r="M450">
        <f>+(L450-$L$619)/$L$620</f>
        <v>-0.62918391450094346</v>
      </c>
      <c r="N450">
        <f>+N448+M450</f>
        <v>-1.067656459020744</v>
      </c>
      <c r="Z450">
        <f>+(I450-$F$619)/$F$620</f>
        <v>-0.63310363431590821</v>
      </c>
      <c r="AA450">
        <f>+AA448+Z450</f>
        <v>14.140851873189323</v>
      </c>
    </row>
    <row r="451" spans="1:27">
      <c r="A451" s="16">
        <v>2</v>
      </c>
      <c r="B451" s="76">
        <v>43132</v>
      </c>
      <c r="C451" s="16"/>
      <c r="D451" s="11"/>
      <c r="E451" s="16">
        <v>2</v>
      </c>
      <c r="F451" s="78">
        <v>2.5449999999999999</v>
      </c>
      <c r="G451" s="78">
        <v>0.03</v>
      </c>
    </row>
    <row r="452" spans="1:27">
      <c r="A452" s="16">
        <v>16</v>
      </c>
      <c r="B452" s="76">
        <v>43132</v>
      </c>
      <c r="C452" s="16"/>
      <c r="D452" s="11"/>
      <c r="E452" s="16">
        <v>2</v>
      </c>
      <c r="F452" s="78">
        <v>1.992</v>
      </c>
      <c r="G452" s="78">
        <v>2.3E-2</v>
      </c>
      <c r="I452">
        <v>2.2685</v>
      </c>
      <c r="J452">
        <v>2.6499999999999999E-2</v>
      </c>
      <c r="L452">
        <v>1.1681728014106238E-2</v>
      </c>
      <c r="M452">
        <f>+(L452-$L$619)/$L$620</f>
        <v>-0.47235571111182256</v>
      </c>
      <c r="N452">
        <f>+N450+M452</f>
        <v>-1.5400121701325666</v>
      </c>
      <c r="Z452">
        <f>+(I452-$F$619)/$F$620</f>
        <v>-0.69843142678920811</v>
      </c>
      <c r="AA452">
        <f>+AA450+Z452</f>
        <v>13.442420446400115</v>
      </c>
    </row>
    <row r="453" spans="1:27">
      <c r="A453" s="16">
        <v>2</v>
      </c>
      <c r="B453" s="76">
        <v>43160</v>
      </c>
      <c r="C453" s="16"/>
      <c r="D453" s="11"/>
      <c r="E453" s="16">
        <v>3</v>
      </c>
      <c r="F453" s="78">
        <v>6.8920000000000003</v>
      </c>
      <c r="G453" s="78">
        <v>8.0000000000000002E-3</v>
      </c>
    </row>
    <row r="454" spans="1:27">
      <c r="A454" s="16">
        <v>16</v>
      </c>
      <c r="B454" s="76">
        <v>43160</v>
      </c>
      <c r="C454" s="16"/>
      <c r="D454" s="11"/>
      <c r="E454" s="16">
        <v>3</v>
      </c>
      <c r="F454" s="78">
        <v>4.516</v>
      </c>
      <c r="G454" s="78">
        <v>8.9999999999999993E-3</v>
      </c>
      <c r="I454">
        <v>5.7040000000000006</v>
      </c>
      <c r="J454">
        <v>8.5000000000000006E-3</v>
      </c>
      <c r="L454">
        <v>1.4901823281907433E-3</v>
      </c>
      <c r="M454">
        <f>+(L454-$L$619)/$L$620</f>
        <v>-0.69296604702941966</v>
      </c>
      <c r="N454">
        <f>+N452+M454</f>
        <v>-2.2329782171619863</v>
      </c>
      <c r="Z454">
        <f>+(I454-$F$619)/$F$620</f>
        <v>-4.6644065665738237E-3</v>
      </c>
      <c r="AA454">
        <f>+AA452+Z454</f>
        <v>13.437756039833541</v>
      </c>
    </row>
    <row r="455" spans="1:27">
      <c r="A455" s="16">
        <v>2</v>
      </c>
      <c r="B455" s="76">
        <v>43191</v>
      </c>
      <c r="C455" s="16"/>
      <c r="D455" s="11"/>
      <c r="E455" s="16">
        <v>4</v>
      </c>
      <c r="F455" s="78">
        <v>4.34</v>
      </c>
      <c r="G455" s="78">
        <v>2.1000000000000001E-2</v>
      </c>
    </row>
    <row r="456" spans="1:27">
      <c r="A456" s="16">
        <v>16</v>
      </c>
      <c r="B456" s="76">
        <v>43191</v>
      </c>
      <c r="C456" s="16"/>
      <c r="D456" s="11"/>
      <c r="E456" s="16">
        <v>4</v>
      </c>
      <c r="F456" s="79">
        <v>4.7510000000000003</v>
      </c>
      <c r="G456" s="79">
        <v>6.3E-2</v>
      </c>
      <c r="I456">
        <v>4.5455000000000005</v>
      </c>
      <c r="J456">
        <v>4.2000000000000003E-2</v>
      </c>
      <c r="L456">
        <v>9.2399076009239897E-3</v>
      </c>
      <c r="M456">
        <f>+(L456-$L$619)/$L$620</f>
        <v>-0.52521234721041177</v>
      </c>
      <c r="N456">
        <f>+N454+M456</f>
        <v>-2.7581905643723981</v>
      </c>
      <c r="Z456">
        <f>+(I456-$F$619)/$F$620</f>
        <v>-0.23861262165256475</v>
      </c>
      <c r="AA456">
        <f>+AA454+Z456</f>
        <v>13.199143418180977</v>
      </c>
    </row>
    <row r="457" spans="1:27">
      <c r="A457" s="16">
        <v>2</v>
      </c>
      <c r="B457" s="76">
        <v>43221</v>
      </c>
      <c r="C457" s="16"/>
      <c r="D457" s="11"/>
      <c r="E457" s="16">
        <v>5</v>
      </c>
      <c r="F457" s="79">
        <v>14.69</v>
      </c>
      <c r="G457" s="79">
        <v>0.182</v>
      </c>
    </row>
    <row r="458" spans="1:27">
      <c r="A458" s="16">
        <v>16</v>
      </c>
      <c r="B458" s="76">
        <v>43221</v>
      </c>
      <c r="C458" s="16"/>
      <c r="D458" s="11"/>
      <c r="E458" s="16">
        <v>5</v>
      </c>
      <c r="F458" s="79">
        <v>19.47</v>
      </c>
      <c r="G458" s="79">
        <v>0.308</v>
      </c>
      <c r="I458">
        <v>17.079999999999998</v>
      </c>
      <c r="J458">
        <v>0.245</v>
      </c>
      <c r="L458">
        <v>1.4344262295081968E-2</v>
      </c>
      <c r="M458">
        <f>+(L458-$L$619)/$L$620</f>
        <v>-0.41472141301610543</v>
      </c>
      <c r="N458">
        <f>+N456+M458</f>
        <v>-3.1729119773885035</v>
      </c>
      <c r="Z458">
        <f>+(I458-$F$619)/$F$620</f>
        <v>2.2926121534836912</v>
      </c>
      <c r="AA458">
        <f>+AA456+Z458</f>
        <v>15.491755571664669</v>
      </c>
    </row>
    <row r="459" spans="1:27">
      <c r="A459" s="16">
        <v>2</v>
      </c>
      <c r="B459" s="76">
        <v>43252</v>
      </c>
      <c r="C459" s="16"/>
      <c r="D459" s="11"/>
      <c r="E459" s="16">
        <v>6</v>
      </c>
      <c r="F459" s="79">
        <v>8.5050000000000008</v>
      </c>
      <c r="G459" s="79">
        <v>1.425</v>
      </c>
    </row>
    <row r="460" spans="1:27">
      <c r="A460" s="16">
        <v>16</v>
      </c>
      <c r="B460" s="76">
        <v>43252</v>
      </c>
      <c r="C460" s="16"/>
      <c r="D460" s="11"/>
      <c r="E460" s="16">
        <v>6</v>
      </c>
      <c r="F460" s="79">
        <v>7.37</v>
      </c>
      <c r="G460" s="79">
        <v>1.1200000000000001</v>
      </c>
      <c r="I460">
        <v>7.9375</v>
      </c>
      <c r="J460">
        <v>1.2725</v>
      </c>
      <c r="L460">
        <v>0.16031496062992126</v>
      </c>
      <c r="M460">
        <f>+(L460-$L$619)/$L$620</f>
        <v>2.7450195905765602</v>
      </c>
      <c r="N460">
        <f>+N458+M460</f>
        <v>-0.4278923868119433</v>
      </c>
      <c r="Z460">
        <f>+(I460-$F$619)/$F$620</f>
        <v>0.44636998134413874</v>
      </c>
      <c r="AA460">
        <f>+AA458+Z460</f>
        <v>15.938125553008808</v>
      </c>
    </row>
    <row r="461" spans="1:27">
      <c r="A461" s="105">
        <v>2</v>
      </c>
      <c r="B461" s="106">
        <v>43282</v>
      </c>
      <c r="C461" s="99" t="s">
        <v>97</v>
      </c>
      <c r="D461" s="104"/>
      <c r="E461" s="16">
        <v>7</v>
      </c>
      <c r="F461" s="79">
        <v>25.248000000000001</v>
      </c>
      <c r="G461" s="79">
        <v>1.2769999999999999</v>
      </c>
    </row>
    <row r="462" spans="1:27">
      <c r="A462" s="105">
        <v>2</v>
      </c>
      <c r="B462" s="106">
        <v>43282</v>
      </c>
      <c r="C462" s="99" t="s">
        <v>100</v>
      </c>
      <c r="D462" s="104"/>
      <c r="E462" s="16">
        <v>7</v>
      </c>
      <c r="F462" s="79">
        <v>21.135999999999999</v>
      </c>
      <c r="G462" s="79">
        <v>1.3420000000000001</v>
      </c>
      <c r="I462">
        <v>23.192</v>
      </c>
      <c r="J462">
        <v>1.3094999999999999</v>
      </c>
      <c r="L462">
        <v>5.6463435667471536E-2</v>
      </c>
      <c r="M462">
        <f>+(L462-$L$619)/$L$620</f>
        <v>0.49700731514881086</v>
      </c>
      <c r="N462">
        <f>+N460+M462</f>
        <v>6.9114928336867554E-2</v>
      </c>
      <c r="Z462">
        <f>+(I462-$F$619)/$F$620</f>
        <v>3.5268732588834122</v>
      </c>
      <c r="AA462">
        <f>+AA460+Z462</f>
        <v>19.464998811892219</v>
      </c>
    </row>
    <row r="463" spans="1:27">
      <c r="A463" s="16">
        <v>16</v>
      </c>
      <c r="B463" s="76">
        <v>43313</v>
      </c>
      <c r="C463" s="103" t="s">
        <v>102</v>
      </c>
      <c r="D463" s="11"/>
      <c r="E463" s="16">
        <v>8</v>
      </c>
      <c r="F463" s="79">
        <v>7.7830000000000004</v>
      </c>
      <c r="G463" s="79">
        <v>1.375</v>
      </c>
    </row>
    <row r="464" spans="1:27">
      <c r="A464" s="16">
        <v>2</v>
      </c>
      <c r="B464" s="76">
        <v>43313</v>
      </c>
      <c r="C464" s="103" t="s">
        <v>98</v>
      </c>
      <c r="D464" s="11"/>
      <c r="E464" s="16">
        <v>8</v>
      </c>
      <c r="F464" s="79">
        <v>6.617</v>
      </c>
      <c r="G464" s="79">
        <v>1.363</v>
      </c>
      <c r="I464">
        <v>7.2</v>
      </c>
      <c r="J464">
        <v>1.369</v>
      </c>
      <c r="L464">
        <v>0.19013888888888889</v>
      </c>
      <c r="M464">
        <f>+(L464-$L$619)/$L$620</f>
        <v>3.3906004508660699</v>
      </c>
      <c r="N464">
        <f>+N462+M464</f>
        <v>3.4597153792029376</v>
      </c>
      <c r="Z464">
        <f>+(I464-$F$619)/$F$620</f>
        <v>0.29743876975508543</v>
      </c>
      <c r="AA464">
        <f>+AA462+Z464</f>
        <v>19.762437581647305</v>
      </c>
    </row>
    <row r="465" spans="1:27">
      <c r="A465" s="16">
        <v>16</v>
      </c>
      <c r="B465" s="76">
        <v>43344</v>
      </c>
      <c r="C465" s="103"/>
      <c r="D465" s="11"/>
      <c r="E465" s="16">
        <v>9</v>
      </c>
      <c r="F465" s="79">
        <v>10.451000000000001</v>
      </c>
      <c r="G465" s="79">
        <v>0.27300000000000002</v>
      </c>
    </row>
    <row r="466" spans="1:27">
      <c r="A466" s="16">
        <v>2</v>
      </c>
      <c r="B466" s="76">
        <v>43344</v>
      </c>
      <c r="C466" s="103"/>
      <c r="D466" s="11"/>
      <c r="E466" s="16">
        <v>9</v>
      </c>
      <c r="F466" s="79">
        <v>12.564</v>
      </c>
      <c r="G466" s="79">
        <v>0.33200000000000002</v>
      </c>
      <c r="I466">
        <v>11.5075</v>
      </c>
      <c r="J466">
        <v>0.30249999999999999</v>
      </c>
      <c r="L466">
        <v>2.6287203997393004E-2</v>
      </c>
      <c r="M466">
        <f>+(L466-$L$619)/$L$620</f>
        <v>-0.15619964782083506</v>
      </c>
      <c r="N466">
        <f>+N464+M466</f>
        <v>3.3035157313821024</v>
      </c>
      <c r="Z466">
        <f>+(I466-$F$619)/$F$620</f>
        <v>1.1672980157480988</v>
      </c>
      <c r="AA466">
        <f>+AA464+Z466</f>
        <v>20.929735597395403</v>
      </c>
    </row>
    <row r="467" spans="1:27">
      <c r="A467" s="16">
        <v>16</v>
      </c>
      <c r="B467" s="76">
        <v>43374</v>
      </c>
      <c r="C467" s="103"/>
      <c r="D467" s="11"/>
      <c r="E467" s="16">
        <v>10</v>
      </c>
      <c r="F467" s="79">
        <v>1.891</v>
      </c>
      <c r="G467" s="79">
        <v>4.5999999999999999E-2</v>
      </c>
    </row>
    <row r="468" spans="1:27">
      <c r="A468" s="16">
        <v>2</v>
      </c>
      <c r="B468" s="76">
        <v>43374</v>
      </c>
      <c r="C468" s="103"/>
      <c r="D468" s="11"/>
      <c r="E468" s="16">
        <v>10</v>
      </c>
      <c r="F468" s="79">
        <v>2.4500000000000002</v>
      </c>
      <c r="G468" s="79">
        <v>6.9000000000000006E-2</v>
      </c>
      <c r="I468">
        <v>2.1705000000000001</v>
      </c>
      <c r="J468">
        <v>5.7500000000000002E-2</v>
      </c>
      <c r="L468">
        <v>2.6491591799124626E-2</v>
      </c>
      <c r="M468">
        <f>+(L468-$L$619)/$L$620</f>
        <v>-0.15177538647843772</v>
      </c>
      <c r="N468">
        <f>+N466+M468</f>
        <v>3.1517403449036645</v>
      </c>
      <c r="Z468">
        <f>+(I468-$F$619)/$F$620</f>
        <v>-0.71822160812578739</v>
      </c>
      <c r="AA468">
        <f>+AA466+Z468</f>
        <v>20.211513989269616</v>
      </c>
    </row>
    <row r="469" spans="1:27">
      <c r="A469" s="16">
        <v>16</v>
      </c>
      <c r="B469" s="76">
        <v>43405</v>
      </c>
      <c r="C469" s="103"/>
      <c r="D469" s="11"/>
      <c r="E469" s="16">
        <v>11</v>
      </c>
      <c r="F469" s="79">
        <v>3.0779999999999998</v>
      </c>
      <c r="G469" s="79">
        <v>8.9999999999999993E-3</v>
      </c>
    </row>
    <row r="470" spans="1:27">
      <c r="A470" s="16">
        <v>2</v>
      </c>
      <c r="B470" s="76">
        <v>43405</v>
      </c>
      <c r="C470" s="103"/>
      <c r="D470" s="11"/>
      <c r="E470" s="16">
        <v>11</v>
      </c>
      <c r="F470" s="79">
        <v>2.302</v>
      </c>
      <c r="G470" s="79">
        <v>8.9999999999999993E-3</v>
      </c>
      <c r="I470">
        <v>2.69</v>
      </c>
      <c r="J470">
        <v>8.9999999999999993E-3</v>
      </c>
      <c r="L470">
        <v>3.3457249070631967E-3</v>
      </c>
      <c r="M470">
        <f>+(L470-$L$619)/$L$620</f>
        <v>-0.6528002189744887</v>
      </c>
      <c r="N470">
        <f>+N468+M470</f>
        <v>2.4989401259291757</v>
      </c>
      <c r="Z470">
        <f>+(I470-$F$619)/$F$620</f>
        <v>-0.61331345297932882</v>
      </c>
      <c r="AA470">
        <f>+AA468+Z470</f>
        <v>19.598200536290285</v>
      </c>
    </row>
    <row r="471" spans="1:27">
      <c r="A471" s="16">
        <v>16</v>
      </c>
      <c r="B471" s="77">
        <v>43435</v>
      </c>
      <c r="C471" s="103"/>
      <c r="D471" s="11"/>
      <c r="E471" s="16">
        <v>12</v>
      </c>
      <c r="F471" s="79"/>
      <c r="G471" s="79"/>
    </row>
    <row r="472" spans="1:27">
      <c r="A472" s="16">
        <v>2</v>
      </c>
      <c r="B472" s="76">
        <v>43435</v>
      </c>
      <c r="C472" s="103"/>
      <c r="D472" s="11"/>
      <c r="E472" s="16">
        <v>12</v>
      </c>
      <c r="F472" s="79"/>
      <c r="G472" s="79"/>
    </row>
    <row r="473" spans="1:27">
      <c r="A473" s="16">
        <v>16</v>
      </c>
      <c r="B473" s="71">
        <v>43475</v>
      </c>
      <c r="C473" s="103"/>
      <c r="D473" s="11"/>
      <c r="E473" s="16">
        <v>1</v>
      </c>
      <c r="F473" s="79"/>
      <c r="G473" s="79"/>
    </row>
    <row r="474" spans="1:27">
      <c r="A474" s="16">
        <v>2</v>
      </c>
      <c r="B474" s="71">
        <v>43470</v>
      </c>
      <c r="C474" s="103"/>
      <c r="D474" s="11"/>
      <c r="E474" s="16">
        <v>1</v>
      </c>
      <c r="F474" s="79"/>
      <c r="G474" s="79"/>
    </row>
    <row r="475" spans="1:27">
      <c r="A475" s="16">
        <v>16</v>
      </c>
      <c r="B475" s="76">
        <v>43497</v>
      </c>
      <c r="C475" s="103"/>
      <c r="D475" s="11"/>
      <c r="E475" s="16">
        <v>2</v>
      </c>
      <c r="F475" s="79"/>
      <c r="G475" s="79"/>
    </row>
    <row r="476" spans="1:27">
      <c r="A476" s="16">
        <v>2</v>
      </c>
      <c r="B476" s="76">
        <v>43497</v>
      </c>
      <c r="C476" s="103"/>
      <c r="D476" s="11"/>
      <c r="E476" s="16">
        <v>2</v>
      </c>
      <c r="F476" s="79"/>
      <c r="G476" s="79"/>
    </row>
    <row r="477" spans="1:27">
      <c r="A477" s="16">
        <v>16</v>
      </c>
      <c r="B477" s="76">
        <v>43525</v>
      </c>
      <c r="C477" s="103"/>
      <c r="D477" s="11"/>
      <c r="E477" s="16">
        <v>3</v>
      </c>
      <c r="F477" s="84">
        <v>1.867</v>
      </c>
      <c r="G477" s="84">
        <v>7.0000000000000001E-3</v>
      </c>
    </row>
    <row r="478" spans="1:27">
      <c r="A478" s="16">
        <v>2</v>
      </c>
      <c r="B478" s="76">
        <v>43525</v>
      </c>
      <c r="C478" s="103"/>
      <c r="D478" s="11"/>
      <c r="E478" s="16">
        <v>3</v>
      </c>
      <c r="F478" s="84">
        <v>0.65800000000000003</v>
      </c>
      <c r="G478" s="84">
        <v>5.0000000000000001E-3</v>
      </c>
      <c r="I478" s="29">
        <f>AVERAGE(F477:F478)</f>
        <v>1.2625</v>
      </c>
      <c r="J478" s="29">
        <f>AVERAGE(G477:G478)</f>
        <v>6.0000000000000001E-3</v>
      </c>
      <c r="L478">
        <f>+J478/I478</f>
        <v>4.7524752475247524E-3</v>
      </c>
      <c r="M478">
        <f>+(L478-$L$619)/$L$620</f>
        <v>-0.62234912993209668</v>
      </c>
      <c r="N478">
        <f>+N470+M478</f>
        <v>1.876590995997079</v>
      </c>
      <c r="Z478">
        <f>+(I478-$F$619)/$F$620</f>
        <v>-0.90158369642797098</v>
      </c>
      <c r="AA478">
        <f>+AA470+Z478</f>
        <v>18.696616839862315</v>
      </c>
    </row>
    <row r="479" spans="1:27">
      <c r="A479" s="16">
        <v>16</v>
      </c>
      <c r="B479" s="76">
        <v>43556</v>
      </c>
      <c r="C479" s="103"/>
      <c r="D479" s="11"/>
      <c r="E479" s="16">
        <v>4</v>
      </c>
      <c r="F479" s="85">
        <v>3.7320000000000002</v>
      </c>
      <c r="G479" s="85">
        <v>3.6999999999999998E-2</v>
      </c>
    </row>
    <row r="480" spans="1:27">
      <c r="A480" s="16">
        <v>2</v>
      </c>
      <c r="B480" s="76">
        <v>43556</v>
      </c>
      <c r="C480" s="103"/>
      <c r="D480" s="11"/>
      <c r="E480" s="16">
        <v>4</v>
      </c>
      <c r="F480" s="85">
        <v>3.133</v>
      </c>
      <c r="G480" s="85">
        <v>5.7000000000000002E-2</v>
      </c>
      <c r="I480" s="29">
        <f>AVERAGE(F479:F480)</f>
        <v>3.4325000000000001</v>
      </c>
      <c r="J480" s="29">
        <f>AVERAGE(G479:G480)</f>
        <v>4.7E-2</v>
      </c>
      <c r="L480">
        <f>+J480/I480</f>
        <v>1.3692643845593591E-2</v>
      </c>
      <c r="M480">
        <f>+(L480-$L$619)/$L$620</f>
        <v>-0.42882661054570093</v>
      </c>
      <c r="N480">
        <f>+N478+M480</f>
        <v>1.4477643854513782</v>
      </c>
      <c r="Z480">
        <f>+(I480-$F$619)/$F$620</f>
        <v>-0.46337253826085817</v>
      </c>
      <c r="AA480">
        <f>+AA478+Z480</f>
        <v>18.233244301601456</v>
      </c>
    </row>
    <row r="481" spans="1:27">
      <c r="A481" s="16">
        <v>16</v>
      </c>
      <c r="B481" s="76">
        <v>43586</v>
      </c>
      <c r="C481" s="103"/>
      <c r="D481" s="11"/>
      <c r="E481" s="16">
        <v>5</v>
      </c>
      <c r="F481" s="85">
        <v>5.5910000000000002</v>
      </c>
      <c r="G481" s="85">
        <v>0.34799999999999998</v>
      </c>
    </row>
    <row r="482" spans="1:27">
      <c r="A482" s="16">
        <v>2</v>
      </c>
      <c r="B482" s="76">
        <v>43586</v>
      </c>
      <c r="C482" s="103"/>
      <c r="D482" s="11"/>
      <c r="E482" s="16">
        <v>5</v>
      </c>
      <c r="F482" s="85">
        <v>4.952</v>
      </c>
      <c r="G482" s="85">
        <v>0.23300000000000001</v>
      </c>
      <c r="I482" s="29">
        <f>AVERAGE(F481:F482)</f>
        <v>5.2714999999999996</v>
      </c>
      <c r="J482" s="29">
        <f>AVERAGE(G481:G482)</f>
        <v>0.29049999999999998</v>
      </c>
      <c r="L482">
        <f>+J482/I482</f>
        <v>5.5107654367826997E-2</v>
      </c>
      <c r="M482">
        <f>+(L482-$L$619)/$L$620</f>
        <v>0.46765952265853855</v>
      </c>
      <c r="N482">
        <f>+N480+M482</f>
        <v>1.9154239081099167</v>
      </c>
      <c r="Z482">
        <f>+(I482-$F$619)/$F$620</f>
        <v>-9.2003727261171397E-2</v>
      </c>
      <c r="AA482">
        <f>+AA480+Z482</f>
        <v>18.141240574340284</v>
      </c>
    </row>
    <row r="483" spans="1:27">
      <c r="A483" s="16">
        <v>16</v>
      </c>
      <c r="B483" s="76">
        <v>43617</v>
      </c>
      <c r="C483" s="103"/>
      <c r="D483" s="11"/>
      <c r="E483" s="16">
        <v>6</v>
      </c>
      <c r="F483" s="85">
        <v>5.7869999999999999</v>
      </c>
      <c r="G483" s="85">
        <v>0.96499999999999997</v>
      </c>
    </row>
    <row r="484" spans="1:27">
      <c r="A484" s="16">
        <v>2</v>
      </c>
      <c r="B484" s="76">
        <v>43617</v>
      </c>
      <c r="C484" s="103"/>
      <c r="D484" s="11"/>
      <c r="E484" s="16">
        <v>6</v>
      </c>
      <c r="F484" s="86">
        <v>4.359</v>
      </c>
      <c r="G484" s="86">
        <v>0.84699999999999998</v>
      </c>
      <c r="I484" s="29">
        <f>AVERAGE(F483:F484)</f>
        <v>5.0730000000000004</v>
      </c>
      <c r="J484" s="29">
        <f>AVERAGE(G483:G484)</f>
        <v>0.90599999999999992</v>
      </c>
      <c r="L484">
        <f>+J484/I484</f>
        <v>0.17859254878769956</v>
      </c>
      <c r="M484">
        <f>+(L484-$L$619)/$L$620</f>
        <v>3.1406636849579863</v>
      </c>
      <c r="N484">
        <f>+N482+M484</f>
        <v>5.056087593067903</v>
      </c>
      <c r="Z484">
        <f>+(I484-$F$619)/$F$620</f>
        <v>-0.13208894149903849</v>
      </c>
      <c r="AA484">
        <f>+AA482+Z484</f>
        <v>18.009151632841245</v>
      </c>
    </row>
    <row r="485" spans="1:27">
      <c r="A485" s="16">
        <v>16</v>
      </c>
      <c r="B485" s="76">
        <v>43647</v>
      </c>
      <c r="C485" s="103"/>
      <c r="D485" s="11"/>
      <c r="E485" s="16">
        <v>7</v>
      </c>
      <c r="F485" s="79">
        <v>4.468</v>
      </c>
      <c r="G485" s="79">
        <v>0.45700000000000002</v>
      </c>
    </row>
    <row r="486" spans="1:27">
      <c r="A486" s="16">
        <v>2</v>
      </c>
      <c r="B486" s="76">
        <v>43647</v>
      </c>
      <c r="C486" s="103"/>
      <c r="D486" s="11"/>
      <c r="E486" s="16">
        <v>7</v>
      </c>
      <c r="F486" s="79">
        <v>3.464</v>
      </c>
      <c r="G486" s="79">
        <v>0.38800000000000001</v>
      </c>
      <c r="I486" s="29">
        <f>AVERAGE(F485:F486)</f>
        <v>3.9660000000000002</v>
      </c>
      <c r="J486" s="29">
        <f>AVERAGE(G485:G486)</f>
        <v>0.42249999999999999</v>
      </c>
      <c r="L486">
        <f>+J486/I486</f>
        <v>0.10653050932929903</v>
      </c>
      <c r="M486">
        <f>+(L486-$L$619)/$L$620</f>
        <v>1.5807795200079067</v>
      </c>
      <c r="N486">
        <f>+N484+M486</f>
        <v>6.6368671130758097</v>
      </c>
      <c r="Z486">
        <f>+(I486-$F$619)/$F$620</f>
        <v>-0.35563721435203111</v>
      </c>
      <c r="AA486">
        <f>+AA484+Z486</f>
        <v>17.653514418489213</v>
      </c>
    </row>
    <row r="487" spans="1:27">
      <c r="A487" s="16">
        <v>16</v>
      </c>
      <c r="B487" s="76">
        <v>43678</v>
      </c>
      <c r="C487" s="103"/>
      <c r="D487" s="11"/>
      <c r="E487" s="16">
        <v>8</v>
      </c>
    </row>
    <row r="488" spans="1:27">
      <c r="A488" s="16">
        <v>2</v>
      </c>
      <c r="B488" s="76">
        <v>43678</v>
      </c>
      <c r="C488" s="103"/>
      <c r="D488" s="11"/>
      <c r="E488" s="16">
        <v>8</v>
      </c>
      <c r="I488" s="29"/>
      <c r="J488" s="29"/>
    </row>
    <row r="489" spans="1:27">
      <c r="A489" s="16">
        <v>16</v>
      </c>
      <c r="B489" s="76">
        <v>43709</v>
      </c>
      <c r="C489" s="103"/>
      <c r="D489" s="11"/>
      <c r="E489" s="16">
        <v>9</v>
      </c>
      <c r="F489" s="79">
        <v>4.1150000000000002</v>
      </c>
      <c r="G489" s="79">
        <v>0.373</v>
      </c>
    </row>
    <row r="490" spans="1:27">
      <c r="A490" s="16">
        <v>2</v>
      </c>
      <c r="B490" s="76">
        <v>43709</v>
      </c>
      <c r="C490" s="103"/>
      <c r="D490" s="11"/>
      <c r="E490" s="16">
        <v>9</v>
      </c>
      <c r="F490" s="79">
        <v>3.61</v>
      </c>
      <c r="G490" s="79">
        <v>0.33300000000000002</v>
      </c>
      <c r="I490" s="29">
        <f>AVERAGE(F489:F490)</f>
        <v>3.8624999999999998</v>
      </c>
      <c r="J490" s="29">
        <f>AVERAGE(G489:G490)</f>
        <v>0.35299999999999998</v>
      </c>
      <c r="L490">
        <f>+J490/I490</f>
        <v>9.1391585760517799E-2</v>
      </c>
      <c r="M490">
        <f>+(L490-$L$619)/$L$620</f>
        <v>1.253076233689405</v>
      </c>
      <c r="N490">
        <f>+N486+M490</f>
        <v>7.8899433467652145</v>
      </c>
      <c r="Z490">
        <f>+(I490-$F$619)/$F$620</f>
        <v>-0.37653806913096954</v>
      </c>
      <c r="AA490">
        <f>+AA486+Z490</f>
        <v>17.276976349358243</v>
      </c>
    </row>
    <row r="491" spans="1:27">
      <c r="A491" s="16">
        <v>16</v>
      </c>
      <c r="B491" s="76">
        <v>43739</v>
      </c>
      <c r="C491" s="103"/>
      <c r="D491" s="11"/>
      <c r="E491" s="16">
        <v>10</v>
      </c>
      <c r="F491" s="79">
        <v>1.8440000000000001</v>
      </c>
      <c r="G491" s="79">
        <v>0.03</v>
      </c>
    </row>
    <row r="492" spans="1:27">
      <c r="A492" s="16">
        <v>2</v>
      </c>
      <c r="B492" s="76">
        <v>43739</v>
      </c>
      <c r="C492" s="103"/>
      <c r="D492" s="11"/>
      <c r="E492" s="16">
        <v>10</v>
      </c>
      <c r="F492" s="79">
        <v>1.2909999999999999</v>
      </c>
      <c r="G492" s="79">
        <v>1.0999999999999999E-2</v>
      </c>
      <c r="I492" s="29">
        <f>AVERAGE(F491:F492)</f>
        <v>1.5674999999999999</v>
      </c>
      <c r="J492" s="29">
        <f>AVERAGE(G491:G492)</f>
        <v>2.0499999999999997E-2</v>
      </c>
      <c r="L492">
        <f>+J492/I492</f>
        <v>1.3078149920255182E-2</v>
      </c>
      <c r="M492">
        <f>+(L492-$L$619)/$L$620</f>
        <v>-0.44212819555214167</v>
      </c>
      <c r="N492">
        <f>+N490+M492</f>
        <v>7.4478151512130726</v>
      </c>
      <c r="Z492">
        <f>+(I492-$F$619)/$F$620</f>
        <v>-0.83999180553351516</v>
      </c>
      <c r="AA492">
        <f>+AA490+Z492</f>
        <v>16.436984543824728</v>
      </c>
    </row>
    <row r="493" spans="1:27">
      <c r="A493" s="16">
        <v>16</v>
      </c>
      <c r="B493" s="76">
        <v>43770</v>
      </c>
      <c r="C493" s="103"/>
      <c r="D493" s="11"/>
      <c r="E493" s="16">
        <v>11</v>
      </c>
      <c r="G493" s="79">
        <v>1.4E-2</v>
      </c>
    </row>
    <row r="494" spans="1:27">
      <c r="A494" s="16">
        <v>2</v>
      </c>
      <c r="B494" s="76">
        <v>43770</v>
      </c>
      <c r="C494" s="103"/>
      <c r="D494" s="11"/>
      <c r="E494" s="16">
        <v>11</v>
      </c>
      <c r="G494" s="79">
        <v>1.4E-2</v>
      </c>
      <c r="I494" s="29"/>
      <c r="J494" s="29"/>
    </row>
    <row r="495" spans="1:27">
      <c r="A495" s="16">
        <v>16</v>
      </c>
      <c r="B495" s="77">
        <v>43800</v>
      </c>
      <c r="C495" s="103"/>
      <c r="D495" s="11"/>
      <c r="E495" s="16">
        <v>12</v>
      </c>
      <c r="F495" s="79">
        <v>1.1419999999999999</v>
      </c>
      <c r="G495" s="79">
        <v>1.4E-2</v>
      </c>
    </row>
    <row r="496" spans="1:27">
      <c r="A496" s="16">
        <v>2</v>
      </c>
      <c r="B496" s="76">
        <v>43800</v>
      </c>
      <c r="C496" s="103"/>
      <c r="D496" s="11"/>
      <c r="E496" s="16">
        <v>12</v>
      </c>
      <c r="F496" s="79">
        <v>1.02</v>
      </c>
      <c r="G496" s="79">
        <v>1.4E-2</v>
      </c>
      <c r="I496" s="29">
        <f>AVERAGE(F495:F496)</f>
        <v>1.081</v>
      </c>
      <c r="J496" s="29">
        <f>AVERAGE(G495:G496)</f>
        <v>1.4E-2</v>
      </c>
      <c r="L496">
        <f>+J496/I496</f>
        <v>1.2950971322849215E-2</v>
      </c>
      <c r="M496">
        <f>+(L496-$L$619)/$L$620</f>
        <v>-0.44488115510900589</v>
      </c>
      <c r="N496">
        <f>+N492+M496</f>
        <v>7.0029339961040664</v>
      </c>
      <c r="Z496">
        <f>+(I496-$F$619)/$F$620</f>
        <v>-0.93823592002581935</v>
      </c>
      <c r="AA496">
        <f>+AA492+Z496</f>
        <v>15.498748623798908</v>
      </c>
    </row>
    <row r="497" spans="1:14">
      <c r="A497" s="91">
        <v>2</v>
      </c>
      <c r="B497" s="92">
        <v>43831</v>
      </c>
      <c r="C497" s="93">
        <v>2020</v>
      </c>
      <c r="D497" s="94" t="s">
        <v>39</v>
      </c>
      <c r="E497" s="91">
        <v>1</v>
      </c>
    </row>
    <row r="498" spans="1:14">
      <c r="A498" s="16">
        <v>16</v>
      </c>
      <c r="B498" s="72">
        <v>43831</v>
      </c>
      <c r="C498">
        <v>2020</v>
      </c>
      <c r="D498" s="11" t="s">
        <v>39</v>
      </c>
      <c r="E498" s="16">
        <v>1</v>
      </c>
      <c r="I498" s="29"/>
      <c r="J498" s="29"/>
    </row>
    <row r="499" spans="1:14">
      <c r="A499" s="16">
        <v>2</v>
      </c>
      <c r="B499" s="76">
        <v>43862</v>
      </c>
      <c r="C499">
        <v>2020</v>
      </c>
      <c r="D499" s="11" t="s">
        <v>28</v>
      </c>
      <c r="E499" s="16">
        <v>2</v>
      </c>
      <c r="F499" s="107">
        <v>1.6419999999999999</v>
      </c>
      <c r="G499" s="107">
        <v>9.9989999999999996E-4</v>
      </c>
    </row>
    <row r="500" spans="1:14">
      <c r="A500" s="16">
        <v>16</v>
      </c>
      <c r="B500" s="76">
        <v>43862</v>
      </c>
      <c r="C500">
        <v>2020</v>
      </c>
      <c r="D500" s="11" t="s">
        <v>28</v>
      </c>
      <c r="E500" s="16">
        <v>2</v>
      </c>
      <c r="F500" s="107">
        <v>0.47299999999999998</v>
      </c>
      <c r="G500" s="107">
        <v>9.9989999999999996E-4</v>
      </c>
      <c r="I500" s="29">
        <f>AVERAGE(F499:F500)</f>
        <v>1.0574999999999999</v>
      </c>
      <c r="J500" s="29">
        <f>AVERAGE(G499:G500)</f>
        <v>9.9989999999999996E-4</v>
      </c>
      <c r="L500">
        <f>+J500/I500</f>
        <v>9.4553191489361713E-4</v>
      </c>
      <c r="M500">
        <f>+(L500-$L$619)/$L$620</f>
        <v>-0.70475577101615405</v>
      </c>
      <c r="N500">
        <f>+N496+M500</f>
        <v>6.2981782250879128</v>
      </c>
    </row>
    <row r="501" spans="1:14">
      <c r="A501" s="16">
        <v>2</v>
      </c>
      <c r="B501" s="76">
        <v>43891</v>
      </c>
      <c r="C501">
        <v>2020</v>
      </c>
      <c r="D501" s="11" t="s">
        <v>29</v>
      </c>
      <c r="E501" s="16">
        <v>3</v>
      </c>
    </row>
    <row r="502" spans="1:14">
      <c r="A502" s="16">
        <v>16</v>
      </c>
      <c r="B502" s="76">
        <v>43891</v>
      </c>
      <c r="C502">
        <v>2020</v>
      </c>
      <c r="D502" s="11" t="s">
        <v>29</v>
      </c>
      <c r="E502" s="16">
        <v>3</v>
      </c>
    </row>
    <row r="503" spans="1:14">
      <c r="A503" s="16">
        <v>2</v>
      </c>
      <c r="B503" s="76">
        <v>43922</v>
      </c>
      <c r="C503">
        <v>2020</v>
      </c>
      <c r="D503" s="11" t="s">
        <v>30</v>
      </c>
      <c r="E503" s="16">
        <v>4</v>
      </c>
    </row>
    <row r="504" spans="1:14">
      <c r="A504" s="16">
        <v>16</v>
      </c>
      <c r="B504" s="76">
        <v>43922</v>
      </c>
      <c r="C504">
        <v>2020</v>
      </c>
      <c r="D504" s="11" t="s">
        <v>30</v>
      </c>
      <c r="E504" s="16">
        <v>4</v>
      </c>
    </row>
    <row r="505" spans="1:14">
      <c r="A505" s="16">
        <v>2</v>
      </c>
      <c r="B505" s="76">
        <v>43952</v>
      </c>
      <c r="C505">
        <v>2020</v>
      </c>
      <c r="D505" s="11" t="s">
        <v>31</v>
      </c>
      <c r="E505" s="16">
        <v>5</v>
      </c>
    </row>
    <row r="506" spans="1:14">
      <c r="A506" s="16">
        <v>16</v>
      </c>
      <c r="B506" s="76">
        <v>43952</v>
      </c>
      <c r="C506">
        <v>2020</v>
      </c>
      <c r="D506" s="11" t="s">
        <v>31</v>
      </c>
      <c r="E506" s="16">
        <v>5</v>
      </c>
    </row>
    <row r="507" spans="1:14">
      <c r="A507" s="16">
        <v>2</v>
      </c>
      <c r="B507" s="76">
        <v>43983</v>
      </c>
      <c r="C507">
        <v>2020</v>
      </c>
      <c r="D507" s="11" t="s">
        <v>32</v>
      </c>
      <c r="E507" s="16">
        <v>6</v>
      </c>
      <c r="F507" s="107">
        <v>3.1960000000000002</v>
      </c>
      <c r="G507" s="107">
        <v>5.8000000000000003E-2</v>
      </c>
    </row>
    <row r="508" spans="1:14">
      <c r="A508" s="16">
        <v>16</v>
      </c>
      <c r="B508" s="76">
        <v>43983</v>
      </c>
      <c r="C508">
        <v>2020</v>
      </c>
      <c r="D508" s="11" t="s">
        <v>32</v>
      </c>
      <c r="E508" s="16">
        <v>6</v>
      </c>
      <c r="F508" s="107">
        <v>6.8529999999999998</v>
      </c>
      <c r="G508" s="107">
        <v>9.0999999999999998E-2</v>
      </c>
      <c r="I508" s="29">
        <f>AVERAGE(F507:F508)</f>
        <v>5.0244999999999997</v>
      </c>
      <c r="J508" s="29">
        <f>AVERAGE(G507:G508)</f>
        <v>7.4499999999999997E-2</v>
      </c>
      <c r="L508">
        <f>+J508/I508</f>
        <v>1.4827346004577569E-2</v>
      </c>
      <c r="M508">
        <f>+(L508-$L$619)/$L$620</f>
        <v>-0.40426438689734651</v>
      </c>
      <c r="N508">
        <f>+N500+M508</f>
        <v>5.8939138381905662</v>
      </c>
    </row>
    <row r="509" spans="1:14">
      <c r="A509" s="16">
        <v>2</v>
      </c>
      <c r="B509" s="76">
        <v>44013</v>
      </c>
      <c r="C509">
        <v>2020</v>
      </c>
      <c r="D509" s="11" t="s">
        <v>33</v>
      </c>
      <c r="E509" s="16">
        <v>7</v>
      </c>
      <c r="F509" s="107">
        <v>9.3040000000000003</v>
      </c>
      <c r="G509" s="107">
        <v>0.96350000000000002</v>
      </c>
      <c r="H509" s="108" t="s">
        <v>103</v>
      </c>
    </row>
    <row r="510" spans="1:14">
      <c r="A510" s="16">
        <v>16</v>
      </c>
      <c r="B510" s="76">
        <v>44013</v>
      </c>
      <c r="C510">
        <v>2020</v>
      </c>
      <c r="D510" s="11" t="s">
        <v>33</v>
      </c>
      <c r="E510" s="16">
        <v>7</v>
      </c>
      <c r="F510" s="107">
        <v>5.8360000000000003</v>
      </c>
      <c r="G510" s="107">
        <v>1.0629999999999999</v>
      </c>
      <c r="I510" s="29">
        <f t="shared" ref="I510" si="0">AVERAGE(F509:F510)</f>
        <v>7.57</v>
      </c>
      <c r="J510" s="29">
        <f t="shared" ref="J510" si="1">AVERAGE(G509:G510)</f>
        <v>1.01325</v>
      </c>
      <c r="L510">
        <f t="shared" ref="L510" si="2">+J510/I510</f>
        <v>0.13385072655217964</v>
      </c>
      <c r="M510">
        <f t="shared" ref="M510" si="3">+(L510-$L$619)/$L$620</f>
        <v>2.1721640346464244</v>
      </c>
      <c r="N510">
        <f>+N508+M510</f>
        <v>8.0660778728369902</v>
      </c>
    </row>
    <row r="511" spans="1:14">
      <c r="A511" s="16">
        <v>2</v>
      </c>
      <c r="B511" s="76">
        <v>44044</v>
      </c>
      <c r="C511">
        <v>2020</v>
      </c>
      <c r="D511" s="11" t="s">
        <v>34</v>
      </c>
      <c r="E511" s="16">
        <v>8</v>
      </c>
      <c r="F511" s="107">
        <v>6.1509999999999998</v>
      </c>
      <c r="G511" s="107">
        <v>0.371</v>
      </c>
    </row>
    <row r="512" spans="1:14">
      <c r="A512" s="16">
        <v>16</v>
      </c>
      <c r="B512" s="76">
        <v>44044</v>
      </c>
      <c r="C512">
        <v>2020</v>
      </c>
      <c r="D512" s="11" t="s">
        <v>34</v>
      </c>
      <c r="E512" s="16">
        <v>8</v>
      </c>
      <c r="F512" s="107">
        <v>8.2629999999999999</v>
      </c>
      <c r="G512" s="107">
        <v>0.52700000000000002</v>
      </c>
      <c r="I512" s="29">
        <f t="shared" ref="I512" si="4">AVERAGE(F511:F512)</f>
        <v>7.2069999999999999</v>
      </c>
      <c r="J512" s="29">
        <f t="shared" ref="J512" si="5">AVERAGE(G511:G512)</f>
        <v>0.44900000000000001</v>
      </c>
      <c r="L512">
        <f t="shared" ref="L512" si="6">+J512/I512</f>
        <v>6.2300541140557796E-2</v>
      </c>
      <c r="M512">
        <f t="shared" ref="M512" si="7">+(L512-$L$619)/$L$620</f>
        <v>0.62335967021734717</v>
      </c>
      <c r="N512">
        <f>+N510+M512</f>
        <v>8.6894375430543374</v>
      </c>
    </row>
    <row r="513" spans="1:14">
      <c r="A513" s="16">
        <v>2</v>
      </c>
      <c r="B513" s="76">
        <v>44075</v>
      </c>
      <c r="C513">
        <v>2020</v>
      </c>
      <c r="D513" s="11" t="s">
        <v>40</v>
      </c>
      <c r="E513" s="16">
        <v>9</v>
      </c>
      <c r="F513" s="107">
        <v>3.258</v>
      </c>
      <c r="G513" s="107">
        <v>4.1000000000000002E-2</v>
      </c>
    </row>
    <row r="514" spans="1:14">
      <c r="A514" s="16">
        <v>16</v>
      </c>
      <c r="B514" s="76">
        <v>44075</v>
      </c>
      <c r="C514">
        <v>2020</v>
      </c>
      <c r="D514" s="11" t="s">
        <v>40</v>
      </c>
      <c r="E514" s="16">
        <v>9</v>
      </c>
      <c r="F514" s="107">
        <v>2.2799999999999998</v>
      </c>
      <c r="G514" s="107">
        <v>3.5999999999999997E-2</v>
      </c>
      <c r="I514" s="29">
        <f t="shared" ref="I514" si="8">AVERAGE(F513:F514)</f>
        <v>2.7690000000000001</v>
      </c>
      <c r="J514" s="29">
        <f t="shared" ref="J514" si="9">AVERAGE(G513:G514)</f>
        <v>3.85E-2</v>
      </c>
      <c r="L514">
        <f t="shared" ref="L514" si="10">+J514/I514</f>
        <v>1.3903936439147706E-2</v>
      </c>
      <c r="M514">
        <f t="shared" ref="M514" si="11">+(L514-$L$619)/$L$620</f>
        <v>-0.42425288527601074</v>
      </c>
      <c r="N514">
        <f>+N512+M514</f>
        <v>8.2651846577783274</v>
      </c>
    </row>
    <row r="515" spans="1:14">
      <c r="A515" s="16">
        <v>2</v>
      </c>
      <c r="B515" s="76">
        <v>44105</v>
      </c>
      <c r="C515">
        <v>2020</v>
      </c>
      <c r="D515" s="11" t="s">
        <v>36</v>
      </c>
      <c r="E515" s="16">
        <v>10</v>
      </c>
      <c r="F515" s="107">
        <v>1.345</v>
      </c>
      <c r="G515" s="107">
        <v>0.01</v>
      </c>
    </row>
    <row r="516" spans="1:14">
      <c r="A516" s="16">
        <v>16</v>
      </c>
      <c r="B516" s="76">
        <v>44105</v>
      </c>
      <c r="C516">
        <v>2020</v>
      </c>
      <c r="D516" s="11" t="s">
        <v>36</v>
      </c>
      <c r="E516" s="16">
        <v>10</v>
      </c>
      <c r="F516" s="107">
        <v>1.117</v>
      </c>
      <c r="G516" s="107">
        <v>5.0000000000000001E-3</v>
      </c>
      <c r="I516" s="29">
        <f t="shared" ref="I516" si="12">AVERAGE(F515:F516)</f>
        <v>1.2309999999999999</v>
      </c>
      <c r="J516" s="29">
        <f t="shared" ref="J516" si="13">AVERAGE(G515:G516)</f>
        <v>7.4999999999999997E-3</v>
      </c>
      <c r="L516">
        <f t="shared" ref="L516" si="14">+J516/I516</f>
        <v>6.0926076360682379E-3</v>
      </c>
      <c r="M516">
        <f t="shared" ref="M516" si="15">+(L516-$L$619)/$L$620</f>
        <v>-0.59334008012533301</v>
      </c>
      <c r="N516">
        <f>+N514+M516</f>
        <v>7.671844577652994</v>
      </c>
    </row>
    <row r="517" spans="1:14">
      <c r="A517" s="16">
        <v>2</v>
      </c>
      <c r="B517" s="76">
        <v>44136</v>
      </c>
      <c r="C517">
        <v>2020</v>
      </c>
      <c r="D517" s="11" t="s">
        <v>37</v>
      </c>
      <c r="E517" s="16">
        <v>11</v>
      </c>
      <c r="F517" s="109">
        <v>1.9065000000000001</v>
      </c>
      <c r="G517" s="109">
        <v>8.0000000000000002E-3</v>
      </c>
      <c r="H517" s="108" t="s">
        <v>103</v>
      </c>
    </row>
    <row r="518" spans="1:14">
      <c r="A518" s="16">
        <v>16</v>
      </c>
      <c r="B518" s="76">
        <v>44136</v>
      </c>
      <c r="C518">
        <v>2020</v>
      </c>
      <c r="D518" s="11" t="s">
        <v>37</v>
      </c>
      <c r="E518" s="16">
        <v>11</v>
      </c>
      <c r="F518" s="107">
        <v>1.268</v>
      </c>
      <c r="G518" s="107">
        <v>0.01</v>
      </c>
      <c r="I518" s="29">
        <f t="shared" ref="I518:J518" si="16">AVERAGE(F517:F518)</f>
        <v>1.58725</v>
      </c>
      <c r="J518" s="29">
        <f t="shared" si="16"/>
        <v>9.0000000000000011E-3</v>
      </c>
      <c r="L518">
        <f>+J518/I518</f>
        <v>5.670184280989133E-3</v>
      </c>
      <c r="M518">
        <f t="shared" ref="M518" si="17">+(L518-$L$619)/$L$620</f>
        <v>-0.60248402758290343</v>
      </c>
      <c r="N518">
        <f>+N516+M518</f>
        <v>7.0693605500700905</v>
      </c>
    </row>
    <row r="519" spans="1:14">
      <c r="A519" s="16">
        <v>2</v>
      </c>
      <c r="B519" s="77">
        <v>44166</v>
      </c>
      <c r="C519">
        <v>2020</v>
      </c>
      <c r="D519" s="11" t="s">
        <v>38</v>
      </c>
      <c r="E519" s="16">
        <v>12</v>
      </c>
    </row>
    <row r="520" spans="1:14">
      <c r="A520" s="16">
        <v>16</v>
      </c>
      <c r="B520" s="76">
        <v>44166</v>
      </c>
      <c r="C520">
        <v>2020</v>
      </c>
      <c r="D520" s="11" t="s">
        <v>38</v>
      </c>
      <c r="E520" s="16">
        <v>12</v>
      </c>
    </row>
    <row r="521" spans="1:14">
      <c r="A521" s="91">
        <v>2</v>
      </c>
      <c r="B521" s="92">
        <v>44197</v>
      </c>
      <c r="C521" s="93">
        <v>2021</v>
      </c>
      <c r="D521" s="94" t="s">
        <v>39</v>
      </c>
      <c r="E521" s="91">
        <v>1</v>
      </c>
    </row>
    <row r="522" spans="1:14">
      <c r="A522" s="16">
        <v>16</v>
      </c>
      <c r="B522" s="72">
        <v>44197</v>
      </c>
      <c r="C522">
        <v>2021</v>
      </c>
      <c r="D522" s="11" t="s">
        <v>39</v>
      </c>
      <c r="E522" s="16">
        <v>1</v>
      </c>
    </row>
    <row r="523" spans="1:14">
      <c r="A523" s="16">
        <v>2</v>
      </c>
      <c r="B523" s="76">
        <v>44228</v>
      </c>
      <c r="C523">
        <v>2021</v>
      </c>
      <c r="D523" s="11" t="s">
        <v>28</v>
      </c>
      <c r="E523" s="16">
        <v>2</v>
      </c>
      <c r="F523" s="111">
        <v>7.3609999999999998</v>
      </c>
      <c r="G523" s="113">
        <v>0.02</v>
      </c>
    </row>
    <row r="524" spans="1:14">
      <c r="A524" s="16">
        <v>16</v>
      </c>
      <c r="B524" s="76">
        <v>44228</v>
      </c>
      <c r="C524">
        <v>2021</v>
      </c>
      <c r="D524" s="11" t="s">
        <v>28</v>
      </c>
      <c r="E524" s="16">
        <v>2</v>
      </c>
      <c r="F524" s="113">
        <v>3.9689999999999999</v>
      </c>
      <c r="G524" s="113">
        <v>2.1999999999999999E-2</v>
      </c>
      <c r="I524" s="29">
        <f>AVERAGE(F523:F524)</f>
        <v>5.665</v>
      </c>
      <c r="J524" s="29">
        <f>AVERAGE(G523:G524)</f>
        <v>2.0999999999999998E-2</v>
      </c>
      <c r="L524">
        <f>+J524/I524</f>
        <v>3.7069726390114737E-3</v>
      </c>
      <c r="M524">
        <f>+(L524-$L$619)/$L$620</f>
        <v>-0.64498050389390804</v>
      </c>
      <c r="N524">
        <f>+N518+M524</f>
        <v>6.4243800461761822</v>
      </c>
    </row>
    <row r="525" spans="1:14">
      <c r="A525" s="16">
        <v>2</v>
      </c>
      <c r="B525" s="76">
        <v>44256</v>
      </c>
      <c r="C525">
        <v>2021</v>
      </c>
      <c r="D525" s="11" t="s">
        <v>29</v>
      </c>
      <c r="E525" s="16">
        <v>3</v>
      </c>
      <c r="F525" s="113">
        <v>2.6480000000000001</v>
      </c>
      <c r="G525" s="113">
        <v>0.01</v>
      </c>
    </row>
    <row r="526" spans="1:14">
      <c r="A526" s="16">
        <v>16</v>
      </c>
      <c r="B526" s="76">
        <v>44256</v>
      </c>
      <c r="C526">
        <v>2021</v>
      </c>
      <c r="D526" s="11" t="s">
        <v>29</v>
      </c>
      <c r="E526" s="16">
        <v>3</v>
      </c>
      <c r="F526" s="113">
        <v>1.1379999999999999</v>
      </c>
      <c r="G526" s="113">
        <v>1.2E-2</v>
      </c>
      <c r="I526" s="29">
        <f t="shared" ref="I526" si="18">AVERAGE(F525:F526)</f>
        <v>1.893</v>
      </c>
      <c r="J526" s="29">
        <f t="shared" ref="J526" si="19">AVERAGE(G525:G526)</f>
        <v>1.0999999999999999E-2</v>
      </c>
      <c r="L526">
        <f t="shared" ref="L526" si="20">+J526/I526</f>
        <v>5.8108821975699941E-3</v>
      </c>
      <c r="M526">
        <f t="shared" ref="M526" si="21">+(L526-$L$619)/$L$620</f>
        <v>-0.59943842335402719</v>
      </c>
      <c r="N526">
        <f>+N524+M526</f>
        <v>5.8249416228221547</v>
      </c>
    </row>
    <row r="527" spans="1:14">
      <c r="A527" s="16">
        <v>2</v>
      </c>
      <c r="B527" s="76">
        <v>44287</v>
      </c>
      <c r="C527">
        <v>2021</v>
      </c>
      <c r="D527" s="11" t="s">
        <v>30</v>
      </c>
      <c r="E527" s="16">
        <v>4</v>
      </c>
      <c r="F527" s="113">
        <v>1.4339999999999999</v>
      </c>
      <c r="G527" s="113">
        <v>3.2000000000000001E-2</v>
      </c>
    </row>
    <row r="528" spans="1:14">
      <c r="A528" s="16">
        <v>16</v>
      </c>
      <c r="B528" s="76">
        <v>44287</v>
      </c>
      <c r="C528">
        <v>2021</v>
      </c>
      <c r="D528" s="11" t="s">
        <v>30</v>
      </c>
      <c r="E528" s="16">
        <v>4</v>
      </c>
      <c r="F528" s="113">
        <v>1.1919999999999999</v>
      </c>
      <c r="G528" s="113">
        <v>9.9989999999999996E-4</v>
      </c>
      <c r="I528" s="29">
        <f t="shared" ref="I528" si="22">AVERAGE(F527:F528)</f>
        <v>1.3129999999999999</v>
      </c>
      <c r="J528" s="29">
        <f t="shared" ref="J528" si="23">AVERAGE(G527:G528)</f>
        <v>1.6499949999999999E-2</v>
      </c>
      <c r="L528">
        <f t="shared" ref="L528" si="24">+J528/I528</f>
        <v>1.2566603198781416E-2</v>
      </c>
      <c r="M528">
        <f t="shared" ref="M528" si="25">+(L528-$L$619)/$L$620</f>
        <v>-0.45320134358481279</v>
      </c>
      <c r="N528">
        <f>+N526+M528</f>
        <v>5.3717402792373417</v>
      </c>
    </row>
    <row r="529" spans="1:14">
      <c r="A529" s="16">
        <v>2</v>
      </c>
      <c r="B529" s="76">
        <v>44317</v>
      </c>
      <c r="C529">
        <v>2021</v>
      </c>
      <c r="D529" s="11" t="s">
        <v>31</v>
      </c>
      <c r="E529" s="16">
        <v>5</v>
      </c>
      <c r="F529" s="113">
        <v>5.2290000000000001</v>
      </c>
      <c r="G529" s="113">
        <v>7.1999999999999995E-2</v>
      </c>
    </row>
    <row r="530" spans="1:14">
      <c r="A530" s="16">
        <v>16</v>
      </c>
      <c r="B530" s="76">
        <v>44317</v>
      </c>
      <c r="C530">
        <v>2021</v>
      </c>
      <c r="D530" s="11" t="s">
        <v>31</v>
      </c>
      <c r="E530" s="16">
        <v>5</v>
      </c>
      <c r="F530" s="113">
        <v>2.319</v>
      </c>
      <c r="G530" s="113">
        <v>2.3E-2</v>
      </c>
      <c r="I530" s="29">
        <f t="shared" ref="I530" si="26">AVERAGE(F529:F530)</f>
        <v>3.774</v>
      </c>
      <c r="J530" s="29">
        <f t="shared" ref="J530" si="27">AVERAGE(G529:G530)</f>
        <v>4.7500000000000001E-2</v>
      </c>
      <c r="L530">
        <f t="shared" ref="L530" si="28">+J530/I530</f>
        <v>1.2586115527291998E-2</v>
      </c>
      <c r="M530">
        <f t="shared" ref="M530" si="29">+(L530-$L$619)/$L$620</f>
        <v>-0.45277897179942184</v>
      </c>
      <c r="N530">
        <f>+N528+M530</f>
        <v>4.9189613074379199</v>
      </c>
    </row>
    <row r="531" spans="1:14">
      <c r="A531" s="16">
        <v>2</v>
      </c>
      <c r="B531" s="76">
        <v>44348</v>
      </c>
      <c r="C531">
        <v>2021</v>
      </c>
      <c r="D531" s="11" t="s">
        <v>32</v>
      </c>
      <c r="E531" s="16">
        <v>6</v>
      </c>
      <c r="F531" s="113">
        <v>4.7839999999999998</v>
      </c>
      <c r="G531" s="113">
        <v>1.472</v>
      </c>
    </row>
    <row r="532" spans="1:14">
      <c r="A532" s="16">
        <v>16</v>
      </c>
      <c r="B532" s="76">
        <v>44348</v>
      </c>
      <c r="C532">
        <v>2021</v>
      </c>
      <c r="D532" s="11" t="s">
        <v>32</v>
      </c>
      <c r="E532" s="16">
        <v>6</v>
      </c>
      <c r="F532" s="113">
        <v>5.3979999999999997</v>
      </c>
      <c r="G532" s="113">
        <v>0.30099999999999999</v>
      </c>
      <c r="I532" s="29">
        <f t="shared" ref="I532:J532" si="30">AVERAGE(F531:F532)</f>
        <v>5.0909999999999993</v>
      </c>
      <c r="J532" s="29">
        <f t="shared" si="30"/>
        <v>0.88649999999999995</v>
      </c>
      <c r="L532">
        <f t="shared" ref="L532" si="31">+J532/I532</f>
        <v>0.17413081909251621</v>
      </c>
      <c r="M532">
        <f t="shared" ref="M532" si="32">+(L532-$L$619)/$L$620</f>
        <v>3.0440832724119087</v>
      </c>
      <c r="N532">
        <f>+N530+M532</f>
        <v>7.9630445798498286</v>
      </c>
    </row>
    <row r="533" spans="1:14">
      <c r="A533" s="16">
        <v>2</v>
      </c>
      <c r="B533" s="76">
        <v>44378</v>
      </c>
      <c r="C533">
        <v>2021</v>
      </c>
      <c r="D533" s="11" t="s">
        <v>33</v>
      </c>
      <c r="E533" s="16">
        <v>7</v>
      </c>
      <c r="H533" s="108" t="s">
        <v>109</v>
      </c>
    </row>
    <row r="534" spans="1:14">
      <c r="A534" s="16">
        <v>16</v>
      </c>
      <c r="B534" s="76">
        <v>44378</v>
      </c>
      <c r="C534">
        <v>2021</v>
      </c>
      <c r="D534" s="11" t="s">
        <v>33</v>
      </c>
      <c r="E534" s="16">
        <v>7</v>
      </c>
      <c r="H534" s="108" t="s">
        <v>110</v>
      </c>
    </row>
    <row r="535" spans="1:14">
      <c r="A535" s="16">
        <v>2</v>
      </c>
      <c r="B535" s="76">
        <v>44409</v>
      </c>
      <c r="C535">
        <v>2021</v>
      </c>
      <c r="D535" s="11" t="s">
        <v>34</v>
      </c>
      <c r="E535" s="16">
        <v>8</v>
      </c>
      <c r="F535" s="113">
        <v>5.032</v>
      </c>
      <c r="G535" s="113">
        <v>0.253</v>
      </c>
    </row>
    <row r="536" spans="1:14">
      <c r="A536" s="16">
        <v>16</v>
      </c>
      <c r="B536" s="76">
        <v>44409</v>
      </c>
      <c r="C536">
        <v>2021</v>
      </c>
      <c r="D536" s="11" t="s">
        <v>34</v>
      </c>
      <c r="E536" s="16">
        <v>8</v>
      </c>
      <c r="F536" s="113">
        <v>4.444</v>
      </c>
      <c r="G536" s="113">
        <v>0.219</v>
      </c>
      <c r="I536" s="29">
        <f>AVERAGE(F535:F536)</f>
        <v>4.7379999999999995</v>
      </c>
      <c r="J536" s="29">
        <f>AVERAGE(G535:G536)</f>
        <v>0.23599999999999999</v>
      </c>
      <c r="L536">
        <f>+J536/I536</f>
        <v>4.9810046433094134E-2</v>
      </c>
      <c r="M536">
        <f>+(L536-$L$619)/$L$620</f>
        <v>0.35298535035351969</v>
      </c>
      <c r="N536">
        <f>+N532+M536</f>
        <v>8.3160299302033476</v>
      </c>
    </row>
    <row r="537" spans="1:14">
      <c r="A537" s="16">
        <v>2</v>
      </c>
      <c r="B537" s="76">
        <v>44440</v>
      </c>
      <c r="C537">
        <v>2021</v>
      </c>
      <c r="D537" s="11" t="s">
        <v>40</v>
      </c>
      <c r="E537" s="16">
        <v>9</v>
      </c>
      <c r="F537" s="113">
        <v>2.3610000000000002</v>
      </c>
      <c r="G537" s="113">
        <v>7.0999999999999994E-2</v>
      </c>
    </row>
    <row r="538" spans="1:14">
      <c r="A538" s="16">
        <v>16</v>
      </c>
      <c r="B538" s="76">
        <v>44440</v>
      </c>
      <c r="C538">
        <v>2021</v>
      </c>
      <c r="D538" s="11" t="s">
        <v>40</v>
      </c>
      <c r="E538" s="16">
        <v>9</v>
      </c>
      <c r="F538" s="113">
        <v>2.036</v>
      </c>
      <c r="G538" s="113">
        <v>5.8000000000000003E-2</v>
      </c>
      <c r="I538" s="29">
        <f t="shared" ref="I538" si="33">AVERAGE(F537:F538)</f>
        <v>2.1985000000000001</v>
      </c>
      <c r="J538" s="29">
        <f t="shared" ref="J538" si="34">AVERAGE(G537:G538)</f>
        <v>6.4500000000000002E-2</v>
      </c>
      <c r="L538">
        <f t="shared" ref="L538" si="35">+J538/I538</f>
        <v>2.9338185126222424E-2</v>
      </c>
      <c r="M538">
        <f t="shared" ref="M538" si="36">+(L538-$L$619)/$L$620</f>
        <v>-9.0156871538186606E-2</v>
      </c>
      <c r="N538">
        <f>+N536+M538</f>
        <v>8.2258730586651616</v>
      </c>
    </row>
    <row r="539" spans="1:14">
      <c r="A539" s="16">
        <v>2</v>
      </c>
      <c r="B539" s="76">
        <v>44470</v>
      </c>
      <c r="C539">
        <v>2021</v>
      </c>
      <c r="D539" s="11" t="s">
        <v>36</v>
      </c>
      <c r="E539" s="16">
        <v>10</v>
      </c>
      <c r="F539" s="113">
        <v>0.96599999999999997</v>
      </c>
      <c r="G539" s="113">
        <v>7.0000000000000001E-3</v>
      </c>
    </row>
    <row r="540" spans="1:14">
      <c r="A540" s="16">
        <v>16</v>
      </c>
      <c r="B540" s="76">
        <v>44470</v>
      </c>
      <c r="C540">
        <v>2021</v>
      </c>
      <c r="D540" s="11" t="s">
        <v>36</v>
      </c>
      <c r="E540" s="16">
        <v>10</v>
      </c>
      <c r="F540" s="113">
        <v>1.0189999999999999</v>
      </c>
      <c r="G540" s="113">
        <v>6.0000000000000001E-3</v>
      </c>
      <c r="I540" s="29">
        <f t="shared" ref="I540" si="37">AVERAGE(F539:F540)</f>
        <v>0.99249999999999994</v>
      </c>
      <c r="J540" s="29">
        <f t="shared" ref="J540" si="38">AVERAGE(G539:G540)</f>
        <v>6.5000000000000006E-3</v>
      </c>
      <c r="L540">
        <f t="shared" ref="L540" si="39">+J540/I540</f>
        <v>6.5491183879093206E-3</v>
      </c>
      <c r="M540">
        <f t="shared" ref="M540" si="40">+(L540-$L$619)/$L$620</f>
        <v>-0.58345826303719139</v>
      </c>
      <c r="N540">
        <f t="shared" ref="N540" si="41">+N538+M540</f>
        <v>7.6424147956279702</v>
      </c>
    </row>
    <row r="541" spans="1:14">
      <c r="A541" s="16">
        <v>2</v>
      </c>
      <c r="B541" s="76">
        <v>44501</v>
      </c>
      <c r="C541">
        <v>2021</v>
      </c>
      <c r="D541" s="11" t="s">
        <v>37</v>
      </c>
      <c r="E541" s="16">
        <v>11</v>
      </c>
      <c r="F541" s="110">
        <v>1.0035000000000001</v>
      </c>
      <c r="G541" s="110">
        <v>3.5000000000000001E-3</v>
      </c>
    </row>
    <row r="542" spans="1:14">
      <c r="A542" s="16">
        <v>16</v>
      </c>
      <c r="B542" s="76">
        <v>44501</v>
      </c>
      <c r="C542">
        <v>2021</v>
      </c>
      <c r="D542" s="11" t="s">
        <v>37</v>
      </c>
      <c r="E542" s="16">
        <v>11</v>
      </c>
      <c r="F542" s="113">
        <v>0.98499999999999999</v>
      </c>
      <c r="G542" s="113">
        <v>5.0000000000000001E-3</v>
      </c>
      <c r="I542" s="29">
        <f t="shared" ref="I542" si="42">AVERAGE(F541:F542)</f>
        <v>0.99425000000000008</v>
      </c>
      <c r="J542" s="29">
        <f t="shared" ref="J542" si="43">AVERAGE(G541:G542)</f>
        <v>4.2500000000000003E-3</v>
      </c>
      <c r="L542">
        <f t="shared" ref="L542" si="44">+J542/I542</f>
        <v>4.2745788282625092E-3</v>
      </c>
      <c r="M542">
        <f t="shared" ref="M542" si="45">+(L542-$L$619)/$L$620</f>
        <v>-0.63269386986030618</v>
      </c>
      <c r="N542">
        <f t="shared" ref="N542" si="46">+N540+M542</f>
        <v>7.009720925767664</v>
      </c>
    </row>
    <row r="543" spans="1:14">
      <c r="A543" s="16">
        <v>2</v>
      </c>
      <c r="B543" s="77">
        <v>44531</v>
      </c>
      <c r="C543">
        <v>2021</v>
      </c>
      <c r="D543" s="11" t="s">
        <v>38</v>
      </c>
      <c r="E543" s="16">
        <v>12</v>
      </c>
      <c r="F543" s="113">
        <v>1.1919999999999999</v>
      </c>
      <c r="G543" s="113">
        <v>4.0000000000000001E-3</v>
      </c>
    </row>
    <row r="544" spans="1:14">
      <c r="A544" s="16">
        <v>16</v>
      </c>
      <c r="B544" s="76">
        <v>44531</v>
      </c>
      <c r="C544">
        <v>2021</v>
      </c>
      <c r="D544" s="11" t="s">
        <v>38</v>
      </c>
      <c r="E544" s="16">
        <v>12</v>
      </c>
      <c r="F544" s="113">
        <v>1.1439999999999999</v>
      </c>
      <c r="G544" s="113">
        <v>4.0000000000000001E-3</v>
      </c>
      <c r="I544" s="29">
        <f t="shared" ref="I544:J544" si="47">AVERAGE(F543:F544)</f>
        <v>1.1679999999999999</v>
      </c>
      <c r="J544" s="29">
        <f t="shared" si="47"/>
        <v>4.0000000000000001E-3</v>
      </c>
      <c r="L544">
        <f t="shared" ref="L544" si="48">+J544/I544</f>
        <v>3.4246575342465756E-3</v>
      </c>
      <c r="M544">
        <f t="shared" ref="M544" si="49">+(L544-$L$619)/$L$620</f>
        <v>-0.65109161127802817</v>
      </c>
      <c r="N544">
        <f t="shared" ref="N544" si="50">+N542+M544</f>
        <v>6.3586293144896358</v>
      </c>
    </row>
    <row r="545" spans="1:8">
      <c r="A545" s="91">
        <v>2</v>
      </c>
      <c r="B545" s="92">
        <v>44562</v>
      </c>
      <c r="C545" s="93">
        <v>2022</v>
      </c>
      <c r="D545" s="94" t="s">
        <v>39</v>
      </c>
      <c r="E545" s="91">
        <v>1</v>
      </c>
      <c r="H545" s="108" t="s">
        <v>106</v>
      </c>
    </row>
    <row r="546" spans="1:8">
      <c r="A546" s="16">
        <v>16</v>
      </c>
      <c r="B546" s="72">
        <v>44562</v>
      </c>
      <c r="C546">
        <v>2022</v>
      </c>
      <c r="D546" s="11" t="s">
        <v>39</v>
      </c>
      <c r="E546" s="16">
        <v>1</v>
      </c>
      <c r="H546" s="108" t="s">
        <v>107</v>
      </c>
    </row>
    <row r="547" spans="1:8">
      <c r="A547" s="16">
        <v>2</v>
      </c>
      <c r="B547" s="76">
        <v>44593</v>
      </c>
      <c r="C547">
        <v>2022</v>
      </c>
      <c r="D547" s="11" t="s">
        <v>28</v>
      </c>
      <c r="E547" s="16">
        <v>2</v>
      </c>
      <c r="H547" s="108" t="s">
        <v>108</v>
      </c>
    </row>
    <row r="548" spans="1:8">
      <c r="A548" s="16">
        <v>16</v>
      </c>
      <c r="B548" s="76">
        <v>44593</v>
      </c>
      <c r="C548">
        <v>2022</v>
      </c>
      <c r="D548" s="11" t="s">
        <v>28</v>
      </c>
      <c r="E548" s="16">
        <v>2</v>
      </c>
    </row>
    <row r="549" spans="1:8">
      <c r="A549" s="16">
        <v>2</v>
      </c>
      <c r="B549" s="76">
        <v>44621</v>
      </c>
      <c r="C549">
        <v>2022</v>
      </c>
      <c r="D549" s="11" t="s">
        <v>29</v>
      </c>
      <c r="E549" s="16">
        <v>3</v>
      </c>
    </row>
    <row r="550" spans="1:8">
      <c r="A550" s="16">
        <v>16</v>
      </c>
      <c r="B550" s="76">
        <v>44621</v>
      </c>
      <c r="C550">
        <v>2022</v>
      </c>
      <c r="D550" s="11" t="s">
        <v>29</v>
      </c>
      <c r="E550" s="16">
        <v>3</v>
      </c>
    </row>
    <row r="551" spans="1:8">
      <c r="A551" s="16">
        <v>2</v>
      </c>
      <c r="B551" s="76">
        <v>44652</v>
      </c>
      <c r="C551">
        <v>2022</v>
      </c>
      <c r="D551" s="11" t="s">
        <v>30</v>
      </c>
      <c r="E551" s="16">
        <v>4</v>
      </c>
    </row>
    <row r="552" spans="1:8">
      <c r="A552" s="16">
        <v>16</v>
      </c>
      <c r="B552" s="76">
        <v>44652</v>
      </c>
      <c r="C552">
        <v>2022</v>
      </c>
      <c r="D552" s="11" t="s">
        <v>30</v>
      </c>
      <c r="E552" s="16">
        <v>4</v>
      </c>
    </row>
    <row r="553" spans="1:8">
      <c r="A553" s="16">
        <v>2</v>
      </c>
      <c r="B553" s="76">
        <v>44682</v>
      </c>
      <c r="C553">
        <v>2022</v>
      </c>
      <c r="D553" s="11" t="s">
        <v>31</v>
      </c>
      <c r="E553" s="16">
        <v>5</v>
      </c>
    </row>
    <row r="554" spans="1:8">
      <c r="A554" s="16">
        <v>16</v>
      </c>
      <c r="B554" s="76">
        <v>44682</v>
      </c>
      <c r="C554">
        <v>2022</v>
      </c>
      <c r="D554" s="11" t="s">
        <v>31</v>
      </c>
      <c r="E554" s="16">
        <v>5</v>
      </c>
    </row>
    <row r="555" spans="1:8">
      <c r="A555" s="16">
        <v>2</v>
      </c>
      <c r="B555" s="76">
        <v>44713</v>
      </c>
      <c r="C555">
        <v>2022</v>
      </c>
      <c r="D555" s="11" t="s">
        <v>32</v>
      </c>
      <c r="E555" s="16">
        <v>6</v>
      </c>
    </row>
    <row r="556" spans="1:8">
      <c r="A556" s="16">
        <v>16</v>
      </c>
      <c r="B556" s="76">
        <v>44713</v>
      </c>
      <c r="C556">
        <v>2022</v>
      </c>
      <c r="D556" s="11" t="s">
        <v>32</v>
      </c>
      <c r="E556" s="16">
        <v>6</v>
      </c>
    </row>
    <row r="557" spans="1:8">
      <c r="A557" s="16">
        <v>2</v>
      </c>
      <c r="B557" s="76">
        <v>44743</v>
      </c>
      <c r="C557">
        <v>2022</v>
      </c>
      <c r="D557" s="11" t="s">
        <v>33</v>
      </c>
      <c r="E557" s="16">
        <v>7</v>
      </c>
    </row>
    <row r="558" spans="1:8">
      <c r="A558" s="16">
        <v>16</v>
      </c>
      <c r="B558" s="76">
        <v>44743</v>
      </c>
      <c r="C558">
        <v>2022</v>
      </c>
      <c r="D558" s="11" t="s">
        <v>33</v>
      </c>
      <c r="E558" s="16">
        <v>7</v>
      </c>
    </row>
    <row r="559" spans="1:8">
      <c r="A559" s="16">
        <v>2</v>
      </c>
      <c r="B559" s="76">
        <v>44774</v>
      </c>
      <c r="C559">
        <v>2022</v>
      </c>
      <c r="D559" s="11" t="s">
        <v>34</v>
      </c>
      <c r="E559" s="16">
        <v>8</v>
      </c>
    </row>
    <row r="560" spans="1:8">
      <c r="A560" s="16">
        <v>16</v>
      </c>
      <c r="B560" s="76">
        <v>44774</v>
      </c>
      <c r="C560">
        <v>2022</v>
      </c>
      <c r="D560" s="11" t="s">
        <v>34</v>
      </c>
      <c r="E560" s="16">
        <v>8</v>
      </c>
    </row>
    <row r="561" spans="1:14">
      <c r="A561" s="16">
        <v>2</v>
      </c>
      <c r="B561" s="76">
        <v>44805</v>
      </c>
      <c r="C561">
        <v>2022</v>
      </c>
      <c r="D561" s="11" t="s">
        <v>40</v>
      </c>
      <c r="E561" s="16">
        <v>9</v>
      </c>
    </row>
    <row r="562" spans="1:14">
      <c r="A562" s="16">
        <v>16</v>
      </c>
      <c r="B562" s="76">
        <v>44805</v>
      </c>
      <c r="C562">
        <v>2022</v>
      </c>
      <c r="D562" s="11" t="s">
        <v>40</v>
      </c>
      <c r="E562" s="16">
        <v>9</v>
      </c>
    </row>
    <row r="563" spans="1:14">
      <c r="A563" s="16">
        <v>2</v>
      </c>
      <c r="B563" s="76">
        <v>44835</v>
      </c>
      <c r="C563">
        <v>2022</v>
      </c>
      <c r="D563" s="11" t="s">
        <v>36</v>
      </c>
      <c r="E563" s="16">
        <v>10</v>
      </c>
    </row>
    <row r="564" spans="1:14">
      <c r="A564" s="16">
        <v>16</v>
      </c>
      <c r="B564" s="76">
        <v>44835</v>
      </c>
      <c r="C564">
        <v>2022</v>
      </c>
      <c r="D564" s="11" t="s">
        <v>36</v>
      </c>
      <c r="E564" s="16">
        <v>10</v>
      </c>
    </row>
    <row r="565" spans="1:14">
      <c r="A565" s="16">
        <v>2</v>
      </c>
      <c r="B565" s="76">
        <v>44866</v>
      </c>
      <c r="C565">
        <v>2022</v>
      </c>
      <c r="D565" s="11" t="s">
        <v>37</v>
      </c>
      <c r="E565" s="16">
        <v>11</v>
      </c>
    </row>
    <row r="566" spans="1:14">
      <c r="A566" s="16">
        <v>16</v>
      </c>
      <c r="B566" s="76">
        <v>44866</v>
      </c>
      <c r="C566">
        <v>2022</v>
      </c>
      <c r="D566" s="11" t="s">
        <v>37</v>
      </c>
      <c r="E566" s="16">
        <v>11</v>
      </c>
    </row>
    <row r="567" spans="1:14">
      <c r="A567" s="16">
        <v>2</v>
      </c>
      <c r="B567" s="77">
        <v>44896</v>
      </c>
      <c r="C567">
        <v>2022</v>
      </c>
      <c r="D567" s="11" t="s">
        <v>38</v>
      </c>
      <c r="E567" s="16">
        <v>12</v>
      </c>
    </row>
    <row r="568" spans="1:14">
      <c r="A568" s="16">
        <v>16</v>
      </c>
      <c r="B568" s="76">
        <v>44896</v>
      </c>
      <c r="C568">
        <v>2022</v>
      </c>
      <c r="D568" s="11" t="s">
        <v>38</v>
      </c>
      <c r="E568" s="16">
        <v>12</v>
      </c>
    </row>
    <row r="569" spans="1:14">
      <c r="A569" s="91">
        <v>2</v>
      </c>
      <c r="B569" s="92">
        <v>44927</v>
      </c>
      <c r="C569" s="93">
        <v>2023</v>
      </c>
      <c r="D569" s="94" t="s">
        <v>39</v>
      </c>
      <c r="E569" s="91">
        <v>1</v>
      </c>
      <c r="F569" s="114">
        <v>3.903</v>
      </c>
      <c r="G569" s="113">
        <v>0.01</v>
      </c>
    </row>
    <row r="570" spans="1:14">
      <c r="A570" s="16">
        <v>16</v>
      </c>
      <c r="B570" s="72">
        <v>44927</v>
      </c>
      <c r="C570">
        <v>2023</v>
      </c>
      <c r="D570" s="11" t="s">
        <v>39</v>
      </c>
      <c r="E570" s="16">
        <v>1</v>
      </c>
      <c r="F570" s="114">
        <v>3.43</v>
      </c>
      <c r="G570" s="113">
        <v>2.5999999999999999E-2</v>
      </c>
      <c r="I570" s="29">
        <f>AVERAGE(F569:F570)</f>
        <v>3.6665000000000001</v>
      </c>
      <c r="J570" s="29">
        <f>AVERAGE(G569:G570)</f>
        <v>1.7999999999999999E-2</v>
      </c>
      <c r="L570">
        <f>+J570/I570</f>
        <v>4.9093140597299871E-3</v>
      </c>
      <c r="M570">
        <f>+(L570-$L$619)/$L$620</f>
        <v>-0.61895413332296312</v>
      </c>
      <c r="N570">
        <f>+N544+M570</f>
        <v>5.7396751811666729</v>
      </c>
    </row>
    <row r="571" spans="1:14">
      <c r="A571" s="16">
        <v>2</v>
      </c>
      <c r="B571" s="76">
        <v>44958</v>
      </c>
      <c r="C571">
        <v>2023</v>
      </c>
      <c r="D571" s="11" t="s">
        <v>28</v>
      </c>
      <c r="E571" s="16">
        <v>2</v>
      </c>
      <c r="F571" s="115">
        <v>1.373</v>
      </c>
      <c r="G571" s="115">
        <v>1.6E-2</v>
      </c>
    </row>
    <row r="572" spans="1:14">
      <c r="A572" s="16">
        <v>16</v>
      </c>
      <c r="B572" s="76">
        <v>44958</v>
      </c>
      <c r="C572">
        <v>2023</v>
      </c>
      <c r="D572" s="11" t="s">
        <v>28</v>
      </c>
      <c r="E572" s="16">
        <v>2</v>
      </c>
      <c r="F572" s="115">
        <v>2.0139999999999998</v>
      </c>
      <c r="G572" s="115">
        <v>2.1999999999999999E-2</v>
      </c>
      <c r="I572" s="29">
        <f t="shared" ref="I572" si="51">AVERAGE(F571:F572)</f>
        <v>1.6934999999999998</v>
      </c>
      <c r="J572" s="29">
        <f t="shared" ref="J572" si="52">AVERAGE(G571:G572)</f>
        <v>1.9E-2</v>
      </c>
      <c r="L572">
        <f t="shared" ref="L572" si="53">+J572/I572</f>
        <v>1.1219368172423975E-2</v>
      </c>
      <c r="M572">
        <f t="shared" ref="M572" si="54">+(L572-$L$619)/$L$620</f>
        <v>-0.4823641399735305</v>
      </c>
      <c r="N572">
        <f>+N570+M572</f>
        <v>5.2573110411931427</v>
      </c>
    </row>
    <row r="573" spans="1:14">
      <c r="A573" s="16">
        <v>2</v>
      </c>
      <c r="B573" s="76">
        <v>44986</v>
      </c>
      <c r="C573">
        <v>2023</v>
      </c>
      <c r="D573" s="11" t="s">
        <v>29</v>
      </c>
      <c r="E573" s="16">
        <v>3</v>
      </c>
      <c r="F573" s="115">
        <v>4.9329999999999998</v>
      </c>
      <c r="G573" s="115">
        <v>3.5999999999999997E-2</v>
      </c>
    </row>
    <row r="574" spans="1:14">
      <c r="A574" s="16">
        <v>16</v>
      </c>
      <c r="B574" s="76">
        <v>44986</v>
      </c>
      <c r="C574">
        <v>2023</v>
      </c>
      <c r="D574" s="11" t="s">
        <v>29</v>
      </c>
      <c r="E574" s="16">
        <v>3</v>
      </c>
      <c r="F574" s="115">
        <v>4.423</v>
      </c>
      <c r="G574" s="115">
        <v>3.7999999999999999E-2</v>
      </c>
      <c r="I574" s="29">
        <f t="shared" ref="I574" si="55">AVERAGE(F573:F574)</f>
        <v>4.6779999999999999</v>
      </c>
      <c r="J574" s="29">
        <f t="shared" ref="J574" si="56">AVERAGE(G573:G574)</f>
        <v>3.6999999999999998E-2</v>
      </c>
      <c r="L574">
        <f t="shared" ref="L574" si="57">+J574/I574</f>
        <v>7.9093629756306107E-3</v>
      </c>
      <c r="M574">
        <f t="shared" ref="M574" si="58">+(L574-$L$619)/$L$620</f>
        <v>-0.55401385640101286</v>
      </c>
      <c r="N574">
        <f t="shared" ref="N574" si="59">+N572+M574</f>
        <v>4.7032971847921301</v>
      </c>
    </row>
    <row r="575" spans="1:14">
      <c r="A575" s="16">
        <v>2</v>
      </c>
      <c r="B575" s="76">
        <v>45017</v>
      </c>
      <c r="C575">
        <v>2023</v>
      </c>
      <c r="D575" s="11" t="s">
        <v>30</v>
      </c>
      <c r="E575" s="16">
        <v>4</v>
      </c>
      <c r="F575" s="115">
        <v>5.367</v>
      </c>
      <c r="G575" s="115">
        <v>4.1000000000000002E-2</v>
      </c>
    </row>
    <row r="576" spans="1:14">
      <c r="A576" s="16">
        <v>16</v>
      </c>
      <c r="B576" s="76">
        <v>45017</v>
      </c>
      <c r="C576">
        <v>2023</v>
      </c>
      <c r="D576" s="11" t="s">
        <v>30</v>
      </c>
      <c r="E576" s="16">
        <v>4</v>
      </c>
      <c r="F576" s="115">
        <v>4.3739999999999997</v>
      </c>
      <c r="G576" s="115">
        <v>3.9E-2</v>
      </c>
      <c r="I576" s="29">
        <f t="shared" ref="I576" si="60">AVERAGE(F575:F576)</f>
        <v>4.8704999999999998</v>
      </c>
      <c r="J576" s="29">
        <f t="shared" ref="J576" si="61">AVERAGE(G575:G576)</f>
        <v>0.04</v>
      </c>
      <c r="L576">
        <f t="shared" ref="L576" si="62">+J576/I576</f>
        <v>8.2127091674366083E-3</v>
      </c>
      <c r="M576">
        <f t="shared" ref="M576" si="63">+(L576-$L$619)/$L$620</f>
        <v>-0.5474475015676995</v>
      </c>
      <c r="N576">
        <f t="shared" ref="N576" si="64">+N574+M576</f>
        <v>4.1558496832244307</v>
      </c>
    </row>
    <row r="577" spans="1:14">
      <c r="A577" s="16">
        <v>2</v>
      </c>
      <c r="B577" s="76">
        <v>45047</v>
      </c>
      <c r="C577">
        <v>2023</v>
      </c>
      <c r="D577" s="11" t="s">
        <v>31</v>
      </c>
      <c r="E577" s="16">
        <v>5</v>
      </c>
      <c r="F577" s="115">
        <v>1.7250000000000001</v>
      </c>
      <c r="G577" s="116">
        <v>2.5000000000000001E-2</v>
      </c>
    </row>
    <row r="578" spans="1:14">
      <c r="A578" s="16">
        <v>16</v>
      </c>
      <c r="B578" s="76">
        <v>45047</v>
      </c>
      <c r="C578">
        <v>2023</v>
      </c>
      <c r="D578" s="11" t="s">
        <v>31</v>
      </c>
      <c r="E578" s="16">
        <v>5</v>
      </c>
      <c r="F578" s="115">
        <v>2.133</v>
      </c>
      <c r="G578" s="116">
        <v>2.3E-2</v>
      </c>
      <c r="I578" s="29">
        <f t="shared" ref="I578" si="65">AVERAGE(F577:F578)</f>
        <v>1.929</v>
      </c>
      <c r="J578" s="29">
        <f t="shared" ref="J578" si="66">AVERAGE(G577:G578)</f>
        <v>2.4E-2</v>
      </c>
      <c r="L578">
        <f t="shared" ref="L578" si="67">+J578/I578</f>
        <v>1.2441679626749611E-2</v>
      </c>
      <c r="M578">
        <f t="shared" ref="M578" si="68">+(L578-$L$619)/$L$620</f>
        <v>-0.45590548994683611</v>
      </c>
      <c r="N578">
        <f t="shared" ref="N578" si="69">+N576+M578</f>
        <v>3.6999441932775947</v>
      </c>
    </row>
    <row r="579" spans="1:14">
      <c r="A579" s="16">
        <v>2</v>
      </c>
      <c r="B579" s="76">
        <v>45078</v>
      </c>
      <c r="C579">
        <v>2023</v>
      </c>
      <c r="D579" s="11" t="s">
        <v>32</v>
      </c>
      <c r="E579" s="16">
        <v>6</v>
      </c>
      <c r="F579" s="115">
        <v>4.9729999999999999</v>
      </c>
      <c r="G579" s="116">
        <v>0.39500000000000002</v>
      </c>
    </row>
    <row r="580" spans="1:14">
      <c r="A580" s="16">
        <v>16</v>
      </c>
      <c r="B580" s="76">
        <v>45078</v>
      </c>
      <c r="C580">
        <v>2023</v>
      </c>
      <c r="D580" s="11" t="s">
        <v>32</v>
      </c>
      <c r="E580" s="16">
        <v>6</v>
      </c>
      <c r="F580" s="115">
        <v>4.6719999999999997</v>
      </c>
      <c r="G580" s="116">
        <v>0.36299999999999999</v>
      </c>
      <c r="I580" s="29">
        <f t="shared" ref="I580" si="70">AVERAGE(F579:F580)</f>
        <v>4.8224999999999998</v>
      </c>
      <c r="J580" s="29">
        <f t="shared" ref="J580" si="71">AVERAGE(G579:G580)</f>
        <v>0.379</v>
      </c>
      <c r="L580">
        <f t="shared" ref="L580" si="72">+J580/I580</f>
        <v>7.8589942975635055E-2</v>
      </c>
      <c r="M580">
        <f t="shared" ref="M580" si="73">+(L580-$L$619)/$L$620</f>
        <v>0.97596667620853972</v>
      </c>
      <c r="N580">
        <f t="shared" ref="N580" si="74">+N578+M580</f>
        <v>4.6759108694861347</v>
      </c>
    </row>
    <row r="581" spans="1:14">
      <c r="A581" s="16">
        <v>2</v>
      </c>
      <c r="B581" s="76">
        <v>45108</v>
      </c>
      <c r="C581">
        <v>2023</v>
      </c>
      <c r="D581" s="11" t="s">
        <v>33</v>
      </c>
      <c r="E581" s="16">
        <v>7</v>
      </c>
      <c r="F581" s="115">
        <v>5.7270000000000003</v>
      </c>
      <c r="G581" s="116">
        <v>0.22900000000000001</v>
      </c>
    </row>
    <row r="582" spans="1:14">
      <c r="A582" s="16">
        <v>16</v>
      </c>
      <c r="B582" s="76">
        <v>45108</v>
      </c>
      <c r="C582">
        <v>2023</v>
      </c>
      <c r="D582" s="11" t="s">
        <v>33</v>
      </c>
      <c r="E582" s="16">
        <v>7</v>
      </c>
      <c r="F582" s="115">
        <v>7.0720000000000001</v>
      </c>
      <c r="G582" s="116">
        <v>0.35299999999999998</v>
      </c>
      <c r="I582" s="29">
        <f t="shared" ref="I582" si="75">AVERAGE(F581:F582)</f>
        <v>6.3994999999999997</v>
      </c>
      <c r="J582" s="29">
        <f t="shared" ref="J582" si="76">AVERAGE(G581:G582)</f>
        <v>0.29099999999999998</v>
      </c>
      <c r="L582">
        <f t="shared" ref="L582" si="77">+J582/I582</f>
        <v>4.5472302523634656E-2</v>
      </c>
      <c r="M582">
        <f t="shared" ref="M582" si="78">+(L582-$L$619)/$L$620</f>
        <v>0.25908878446628114</v>
      </c>
      <c r="N582">
        <f t="shared" ref="N582" si="79">+N580+M582</f>
        <v>4.9349996539524161</v>
      </c>
    </row>
    <row r="583" spans="1:14">
      <c r="A583" s="16">
        <v>2</v>
      </c>
      <c r="B583" s="76">
        <v>45139</v>
      </c>
      <c r="C583">
        <v>2023</v>
      </c>
      <c r="D583" s="11" t="s">
        <v>34</v>
      </c>
      <c r="E583" s="16">
        <v>8</v>
      </c>
      <c r="F583" s="115">
        <v>3.31</v>
      </c>
      <c r="G583" s="116">
        <v>6.3E-2</v>
      </c>
    </row>
    <row r="584" spans="1:14">
      <c r="A584" s="16">
        <v>16</v>
      </c>
      <c r="B584" s="76">
        <v>45139</v>
      </c>
      <c r="C584">
        <v>2023</v>
      </c>
      <c r="D584" s="11" t="s">
        <v>34</v>
      </c>
      <c r="E584" s="16">
        <v>8</v>
      </c>
      <c r="F584" s="115">
        <v>6.7450000000000001</v>
      </c>
      <c r="G584" s="116">
        <v>0.22700000000000001</v>
      </c>
      <c r="I584" s="29">
        <f t="shared" ref="I584" si="80">AVERAGE(F583:F584)</f>
        <v>5.0274999999999999</v>
      </c>
      <c r="J584" s="29">
        <f t="shared" ref="J584" si="81">AVERAGE(G583:G584)</f>
        <v>0.14500000000000002</v>
      </c>
      <c r="L584">
        <f t="shared" ref="L584" si="82">+J584/I584</f>
        <v>2.8841372451516661E-2</v>
      </c>
      <c r="M584">
        <f t="shared" ref="M584" si="83">+(L584-$L$619)/$L$620</f>
        <v>-0.10091108041215809</v>
      </c>
      <c r="N584">
        <f t="shared" ref="N584" si="84">+N582+M584</f>
        <v>4.8340885735402583</v>
      </c>
    </row>
    <row r="585" spans="1:14">
      <c r="A585" s="16">
        <v>2</v>
      </c>
      <c r="B585" s="76">
        <v>45170</v>
      </c>
      <c r="C585">
        <v>2023</v>
      </c>
      <c r="D585" s="11" t="s">
        <v>40</v>
      </c>
      <c r="E585" s="16">
        <v>9</v>
      </c>
      <c r="F585" s="115">
        <v>1.849</v>
      </c>
      <c r="G585" s="116">
        <v>1.7000000000000001E-2</v>
      </c>
    </row>
    <row r="586" spans="1:14">
      <c r="A586" s="16">
        <v>16</v>
      </c>
      <c r="B586" s="76">
        <v>45170</v>
      </c>
      <c r="C586">
        <v>2023</v>
      </c>
      <c r="D586" s="11" t="s">
        <v>40</v>
      </c>
      <c r="E586" s="16">
        <v>9</v>
      </c>
      <c r="F586" s="115">
        <v>1.9390000000000001</v>
      </c>
      <c r="G586" s="116">
        <v>1.9E-2</v>
      </c>
      <c r="I586" s="29">
        <f t="shared" ref="I586" si="85">AVERAGE(F585:F586)</f>
        <v>1.8940000000000001</v>
      </c>
      <c r="J586" s="29">
        <f t="shared" ref="J586" si="86">AVERAGE(G585:G586)</f>
        <v>1.8000000000000002E-2</v>
      </c>
      <c r="L586">
        <f t="shared" ref="L586" si="87">+J586/I586</f>
        <v>9.5036958817317843E-3</v>
      </c>
      <c r="M586">
        <f t="shared" ref="M586" si="88">+(L586-$L$619)/$L$620</f>
        <v>-0.51950227897998069</v>
      </c>
      <c r="N586">
        <f t="shared" ref="N586" si="89">+N584+M586</f>
        <v>4.3145862945602778</v>
      </c>
    </row>
    <row r="587" spans="1:14">
      <c r="A587" s="16">
        <v>2</v>
      </c>
      <c r="B587" s="76">
        <v>45200</v>
      </c>
      <c r="C587">
        <v>2023</v>
      </c>
      <c r="D587" s="11" t="s">
        <v>36</v>
      </c>
      <c r="E587" s="16">
        <v>10</v>
      </c>
      <c r="F587" s="116">
        <v>0.50900000000000001</v>
      </c>
      <c r="G587" s="116">
        <v>9.9989999999999996E-4</v>
      </c>
    </row>
    <row r="588" spans="1:14">
      <c r="A588" s="16">
        <v>16</v>
      </c>
      <c r="B588" s="76">
        <v>45200</v>
      </c>
      <c r="C588">
        <v>2023</v>
      </c>
      <c r="D588" s="11" t="s">
        <v>36</v>
      </c>
      <c r="E588" s="16">
        <v>10</v>
      </c>
      <c r="F588" s="115">
        <v>0.65300000000000002</v>
      </c>
      <c r="G588" s="116">
        <v>9.9989999999999996E-4</v>
      </c>
      <c r="I588" s="29">
        <f t="shared" ref="I588" si="90">AVERAGE(F587:F588)</f>
        <v>0.58099999999999996</v>
      </c>
      <c r="J588" s="29">
        <f t="shared" ref="J588" si="91">AVERAGE(G587:G588)</f>
        <v>9.9989999999999996E-4</v>
      </c>
      <c r="L588">
        <f t="shared" ref="L588" si="92">+J588/I588</f>
        <v>1.7209982788296042E-3</v>
      </c>
      <c r="M588">
        <f t="shared" ref="M588" si="93">+(L588-$L$619)/$L$620</f>
        <v>-0.68796971124534434</v>
      </c>
      <c r="N588">
        <f t="shared" ref="N588" si="94">+N586+M588</f>
        <v>3.6266165833149335</v>
      </c>
    </row>
    <row r="589" spans="1:14">
      <c r="A589" s="16">
        <v>2</v>
      </c>
      <c r="B589" s="76">
        <v>45231</v>
      </c>
      <c r="C589">
        <v>2023</v>
      </c>
      <c r="D589" s="11" t="s">
        <v>37</v>
      </c>
      <c r="E589" s="16">
        <v>11</v>
      </c>
      <c r="F589" s="115">
        <v>0.56699999999999995</v>
      </c>
      <c r="G589" s="116">
        <v>9.9989999999999996E-4</v>
      </c>
    </row>
    <row r="590" spans="1:14">
      <c r="A590" s="16">
        <v>16</v>
      </c>
      <c r="B590" s="76">
        <v>45231</v>
      </c>
      <c r="C590">
        <v>2023</v>
      </c>
      <c r="D590" s="11" t="s">
        <v>37</v>
      </c>
      <c r="E590" s="16">
        <v>11</v>
      </c>
      <c r="F590" s="115">
        <v>0.41399999999999998</v>
      </c>
      <c r="G590" s="116">
        <v>9.9989999999999996E-4</v>
      </c>
      <c r="I590" s="29">
        <f t="shared" ref="I590" si="95">AVERAGE(F589:F590)</f>
        <v>0.49049999999999994</v>
      </c>
      <c r="J590" s="29">
        <f t="shared" ref="J590" si="96">AVERAGE(G589:G590)</f>
        <v>9.9989999999999996E-4</v>
      </c>
      <c r="L590">
        <f t="shared" ref="L590" si="97">+J590/I590</f>
        <v>2.0385321100917435E-3</v>
      </c>
      <c r="M590">
        <f t="shared" ref="M590" si="98">+(L590-$L$619)/$L$620</f>
        <v>-0.68109624500785781</v>
      </c>
      <c r="N590">
        <f t="shared" ref="N590" si="99">+N588+M590</f>
        <v>2.9455203383070758</v>
      </c>
    </row>
    <row r="591" spans="1:14">
      <c r="A591" s="16">
        <v>2</v>
      </c>
      <c r="B591" s="77">
        <v>45261</v>
      </c>
      <c r="C591">
        <v>2023</v>
      </c>
      <c r="D591" s="11" t="s">
        <v>38</v>
      </c>
      <c r="E591" s="16">
        <v>12</v>
      </c>
      <c r="F591" s="115">
        <v>0.66700000000000004</v>
      </c>
      <c r="G591" s="116">
        <v>8.9999999999999993E-3</v>
      </c>
    </row>
    <row r="592" spans="1:14">
      <c r="A592" s="16">
        <v>16</v>
      </c>
      <c r="B592" s="76">
        <v>45261</v>
      </c>
      <c r="C592">
        <v>2023</v>
      </c>
      <c r="D592" s="11" t="s">
        <v>38</v>
      </c>
      <c r="E592" s="16">
        <v>12</v>
      </c>
      <c r="F592" s="115">
        <v>0.69799999999999995</v>
      </c>
      <c r="G592" s="116">
        <v>1.0999999999999999E-2</v>
      </c>
      <c r="I592" s="29">
        <f t="shared" ref="I592" si="100">AVERAGE(F591:F592)</f>
        <v>0.6825</v>
      </c>
      <c r="J592" s="29">
        <f t="shared" ref="J592" si="101">AVERAGE(G591:G592)</f>
        <v>9.9999999999999985E-3</v>
      </c>
      <c r="L592">
        <f t="shared" ref="L592" si="102">+J592/I592</f>
        <v>1.465201465201465E-2</v>
      </c>
      <c r="M592">
        <f t="shared" ref="M592" si="103">+(L592-$L$619)/$L$620</f>
        <v>-0.40805968054345632</v>
      </c>
      <c r="N592">
        <f t="shared" ref="N592" si="104">+N590+M592</f>
        <v>2.5374606577636194</v>
      </c>
    </row>
    <row r="593" spans="1:14">
      <c r="A593" s="91">
        <v>2</v>
      </c>
      <c r="B593" s="92">
        <v>45292</v>
      </c>
      <c r="C593" s="93">
        <v>2024</v>
      </c>
      <c r="D593" s="94" t="s">
        <v>39</v>
      </c>
      <c r="E593" s="91">
        <v>1</v>
      </c>
      <c r="F593" s="115">
        <v>3.1520000000000001</v>
      </c>
      <c r="G593" s="116">
        <v>1.0999999999999999E-2</v>
      </c>
    </row>
    <row r="594" spans="1:14">
      <c r="A594" s="16">
        <v>16</v>
      </c>
      <c r="B594" s="72">
        <v>45292</v>
      </c>
      <c r="C594">
        <v>2024</v>
      </c>
      <c r="D594" s="11" t="s">
        <v>39</v>
      </c>
      <c r="E594" s="16">
        <v>1</v>
      </c>
      <c r="F594" s="115">
        <v>1.6479999999999999</v>
      </c>
      <c r="G594" s="116">
        <v>8.9999999999999993E-3</v>
      </c>
      <c r="I594" s="29">
        <f t="shared" ref="I594" si="105">AVERAGE(F593:F594)</f>
        <v>2.4</v>
      </c>
      <c r="J594" s="29">
        <f t="shared" ref="J594" si="106">AVERAGE(G593:G594)</f>
        <v>9.9999999999999985E-3</v>
      </c>
      <c r="L594">
        <f t="shared" ref="L594" si="107">+J594/I594</f>
        <v>4.1666666666666666E-3</v>
      </c>
      <c r="M594">
        <f t="shared" ref="M594" si="108">+(L594-$L$619)/$L$620</f>
        <v>-0.63502978032501156</v>
      </c>
      <c r="N594">
        <f t="shared" ref="N594" si="109">+N592+M594</f>
        <v>1.9024308774386078</v>
      </c>
    </row>
    <row r="595" spans="1:14">
      <c r="A595" s="16">
        <v>2</v>
      </c>
      <c r="B595" s="76">
        <v>45323</v>
      </c>
      <c r="C595">
        <v>2024</v>
      </c>
      <c r="D595" s="11" t="s">
        <v>28</v>
      </c>
      <c r="E595" s="16">
        <v>2</v>
      </c>
      <c r="F595" s="115">
        <v>4.9139999999999997</v>
      </c>
      <c r="G595" s="116">
        <v>9.9989999999999996E-4</v>
      </c>
    </row>
    <row r="596" spans="1:14">
      <c r="A596" s="16">
        <v>16</v>
      </c>
      <c r="B596" s="76">
        <v>45323</v>
      </c>
      <c r="C596">
        <v>2024</v>
      </c>
      <c r="D596" s="11" t="s">
        <v>28</v>
      </c>
      <c r="E596" s="16">
        <v>2</v>
      </c>
      <c r="F596" s="115">
        <v>2.052</v>
      </c>
      <c r="G596" s="116">
        <v>3.0000000000000001E-3</v>
      </c>
      <c r="I596" s="29">
        <f t="shared" ref="I596" si="110">AVERAGE(F595:F596)</f>
        <v>3.4829999999999997</v>
      </c>
      <c r="J596" s="29">
        <f t="shared" ref="J596" si="111">AVERAGE(G595:G596)</f>
        <v>1.9999499999999999E-3</v>
      </c>
      <c r="L596">
        <f t="shared" ref="L596" si="112">+J596/I596</f>
        <v>5.7420327304048239E-4</v>
      </c>
      <c r="M596">
        <f t="shared" ref="M596" si="113">+(L596-$L$619)/$L$620</f>
        <v>-0.71279370156561483</v>
      </c>
      <c r="N596">
        <f t="shared" ref="N596" si="114">+N594+M596</f>
        <v>1.1896371758729929</v>
      </c>
    </row>
    <row r="597" spans="1:14">
      <c r="A597" s="16">
        <v>2</v>
      </c>
      <c r="B597" s="76">
        <v>45352</v>
      </c>
      <c r="C597">
        <v>2024</v>
      </c>
      <c r="D597" s="11" t="s">
        <v>29</v>
      </c>
      <c r="E597" s="16">
        <v>3</v>
      </c>
    </row>
    <row r="598" spans="1:14">
      <c r="A598" s="16">
        <v>16</v>
      </c>
      <c r="B598" s="76">
        <v>45352</v>
      </c>
      <c r="C598">
        <v>2024</v>
      </c>
      <c r="D598" s="11" t="s">
        <v>29</v>
      </c>
      <c r="E598" s="16">
        <v>3</v>
      </c>
      <c r="I598" s="29"/>
      <c r="J598" s="29"/>
    </row>
    <row r="599" spans="1:14">
      <c r="A599" s="16">
        <v>2</v>
      </c>
      <c r="B599" s="76">
        <v>45383</v>
      </c>
      <c r="C599">
        <v>2024</v>
      </c>
      <c r="D599" s="11" t="s">
        <v>30</v>
      </c>
      <c r="E599" s="16">
        <v>4</v>
      </c>
      <c r="F599" s="115">
        <v>1.42</v>
      </c>
      <c r="G599" s="116">
        <v>1.2999999999999999E-2</v>
      </c>
    </row>
    <row r="600" spans="1:14">
      <c r="A600" s="16">
        <v>16</v>
      </c>
      <c r="B600" s="76">
        <v>45383</v>
      </c>
      <c r="C600">
        <v>2024</v>
      </c>
      <c r="D600" s="11" t="s">
        <v>30</v>
      </c>
      <c r="E600" s="16">
        <v>4</v>
      </c>
      <c r="F600" s="115">
        <v>1.0109999999999999</v>
      </c>
      <c r="G600" s="116">
        <v>7.0000000000000001E-3</v>
      </c>
      <c r="I600" s="29">
        <f t="shared" ref="I600" si="115">AVERAGE(F599:F600)</f>
        <v>1.2155</v>
      </c>
      <c r="J600" s="29">
        <f t="shared" ref="J600" si="116">AVERAGE(G599:G600)</f>
        <v>0.01</v>
      </c>
      <c r="L600">
        <f t="shared" ref="L600" si="117">+J600/I600</f>
        <v>8.2270670505964621E-3</v>
      </c>
      <c r="M600">
        <f t="shared" ref="M600" si="118">+(L600-$L$619)/$L$620</f>
        <v>-0.54713670499919287</v>
      </c>
      <c r="N600">
        <f>+N596+M600</f>
        <v>0.64250047087380002</v>
      </c>
    </row>
    <row r="601" spans="1:14">
      <c r="A601" s="16">
        <v>2</v>
      </c>
      <c r="B601" s="76">
        <v>45413</v>
      </c>
      <c r="C601">
        <v>2024</v>
      </c>
      <c r="D601" s="11" t="s">
        <v>31</v>
      </c>
      <c r="E601" s="16">
        <v>5</v>
      </c>
      <c r="F601" s="115">
        <v>7.2709999999999999</v>
      </c>
      <c r="G601" s="116">
        <v>2.3E-2</v>
      </c>
    </row>
    <row r="602" spans="1:14">
      <c r="A602" s="16">
        <v>16</v>
      </c>
      <c r="B602" s="76">
        <v>45413</v>
      </c>
      <c r="C602">
        <v>2024</v>
      </c>
      <c r="D602" s="11" t="s">
        <v>31</v>
      </c>
      <c r="E602" s="16">
        <v>5</v>
      </c>
      <c r="F602" s="115">
        <v>3.9809999999999999</v>
      </c>
      <c r="G602" s="116">
        <v>0.02</v>
      </c>
      <c r="I602" s="29">
        <f t="shared" ref="I602:J602" si="119">AVERAGE(F601:F602)</f>
        <v>5.6259999999999994</v>
      </c>
      <c r="J602" s="29">
        <f t="shared" si="119"/>
        <v>2.1499999999999998E-2</v>
      </c>
      <c r="L602">
        <f t="shared" ref="L602" si="120">+J602/I602</f>
        <v>3.8215428368290083E-3</v>
      </c>
      <c r="M602">
        <f t="shared" ref="M602" si="121">+(L602-$L$619)/$L$620</f>
        <v>-0.64250047087383322</v>
      </c>
      <c r="N602">
        <f t="shared" ref="N602" si="122">+N600+M602</f>
        <v>-3.3195668436292181E-14</v>
      </c>
    </row>
    <row r="603" spans="1:14">
      <c r="A603" s="16">
        <v>2</v>
      </c>
      <c r="B603" s="76">
        <v>45444</v>
      </c>
      <c r="C603">
        <v>2024</v>
      </c>
      <c r="D603" s="11" t="s">
        <v>32</v>
      </c>
      <c r="E603" s="16">
        <v>6</v>
      </c>
      <c r="H603" s="108" t="s">
        <v>104</v>
      </c>
    </row>
    <row r="604" spans="1:14">
      <c r="A604" s="16">
        <v>16</v>
      </c>
      <c r="B604" s="76">
        <v>45444</v>
      </c>
      <c r="C604">
        <v>2024</v>
      </c>
      <c r="D604" s="11" t="s">
        <v>32</v>
      </c>
      <c r="E604" s="16">
        <v>6</v>
      </c>
      <c r="H604" s="108" t="s">
        <v>105</v>
      </c>
    </row>
    <row r="605" spans="1:14">
      <c r="A605" s="16">
        <v>2</v>
      </c>
      <c r="B605" s="76">
        <v>45474</v>
      </c>
      <c r="C605">
        <v>2024</v>
      </c>
      <c r="D605" s="11" t="s">
        <v>33</v>
      </c>
      <c r="E605" s="16">
        <v>7</v>
      </c>
    </row>
    <row r="606" spans="1:14">
      <c r="A606" s="16">
        <v>16</v>
      </c>
      <c r="B606" s="76">
        <v>45474</v>
      </c>
      <c r="C606">
        <v>2024</v>
      </c>
      <c r="D606" s="11" t="s">
        <v>33</v>
      </c>
      <c r="E606" s="16">
        <v>7</v>
      </c>
    </row>
    <row r="607" spans="1:14">
      <c r="A607" s="16">
        <v>2</v>
      </c>
      <c r="B607" s="76">
        <v>45505</v>
      </c>
      <c r="C607">
        <v>2024</v>
      </c>
      <c r="D607" s="11" t="s">
        <v>34</v>
      </c>
      <c r="E607" s="16">
        <v>8</v>
      </c>
    </row>
    <row r="608" spans="1:14">
      <c r="A608" s="16">
        <v>16</v>
      </c>
      <c r="B608" s="76">
        <v>45505</v>
      </c>
      <c r="C608">
        <v>2024</v>
      </c>
      <c r="D608" s="11" t="s">
        <v>34</v>
      </c>
      <c r="E608" s="16">
        <v>8</v>
      </c>
    </row>
    <row r="609" spans="1:12">
      <c r="A609" s="16">
        <v>2</v>
      </c>
      <c r="B609" s="76">
        <v>45536</v>
      </c>
      <c r="C609">
        <v>2024</v>
      </c>
      <c r="D609" s="11" t="s">
        <v>40</v>
      </c>
      <c r="E609" s="16">
        <v>9</v>
      </c>
    </row>
    <row r="610" spans="1:12">
      <c r="A610" s="16">
        <v>16</v>
      </c>
      <c r="B610" s="76">
        <v>45536</v>
      </c>
      <c r="C610">
        <v>2024</v>
      </c>
      <c r="D610" s="11" t="s">
        <v>40</v>
      </c>
      <c r="E610" s="16">
        <v>9</v>
      </c>
    </row>
    <row r="611" spans="1:12">
      <c r="A611" s="16">
        <v>2</v>
      </c>
      <c r="B611" s="76">
        <v>45566</v>
      </c>
      <c r="C611">
        <v>2024</v>
      </c>
      <c r="D611" s="11" t="s">
        <v>36</v>
      </c>
      <c r="E611" s="16">
        <v>10</v>
      </c>
    </row>
    <row r="612" spans="1:12">
      <c r="A612" s="16">
        <v>16</v>
      </c>
      <c r="B612" s="76">
        <v>45566</v>
      </c>
      <c r="C612">
        <v>2024</v>
      </c>
      <c r="D612" s="11" t="s">
        <v>36</v>
      </c>
      <c r="E612" s="16">
        <v>10</v>
      </c>
    </row>
    <row r="613" spans="1:12">
      <c r="A613" s="16">
        <v>2</v>
      </c>
      <c r="B613" s="76">
        <v>45597</v>
      </c>
      <c r="C613">
        <v>2024</v>
      </c>
      <c r="D613" s="11" t="s">
        <v>37</v>
      </c>
      <c r="E613" s="16">
        <v>11</v>
      </c>
    </row>
    <row r="614" spans="1:12">
      <c r="A614" s="16">
        <v>16</v>
      </c>
      <c r="B614" s="76">
        <v>45597</v>
      </c>
      <c r="C614">
        <v>2024</v>
      </c>
      <c r="D614" s="11" t="s">
        <v>37</v>
      </c>
      <c r="E614" s="16">
        <v>11</v>
      </c>
    </row>
    <row r="615" spans="1:12">
      <c r="A615" s="16">
        <v>2</v>
      </c>
      <c r="B615" s="77">
        <v>45627</v>
      </c>
      <c r="C615">
        <v>2024</v>
      </c>
      <c r="D615" s="11" t="s">
        <v>38</v>
      </c>
      <c r="E615" s="16">
        <v>12</v>
      </c>
    </row>
    <row r="616" spans="1:12">
      <c r="A616" s="16">
        <v>16</v>
      </c>
      <c r="B616" s="76">
        <v>45627</v>
      </c>
      <c r="C616">
        <v>2024</v>
      </c>
      <c r="D616" s="11" t="s">
        <v>38</v>
      </c>
      <c r="E616" s="16">
        <v>12</v>
      </c>
    </row>
    <row r="619" spans="1:12">
      <c r="E619" s="89" t="s">
        <v>87</v>
      </c>
      <c r="F619" s="95">
        <f>AVERAGE(F3:F616)</f>
        <v>5.7270979108149627</v>
      </c>
      <c r="K619" s="89" t="s">
        <v>87</v>
      </c>
      <c r="L619" s="89">
        <f>AVERAGE(L4:L616)</f>
        <v>3.3503166206364787E-2</v>
      </c>
    </row>
    <row r="620" spans="1:12">
      <c r="E620" s="89" t="s">
        <v>88</v>
      </c>
      <c r="F620" s="89">
        <f>STDEV(F3:F616)</f>
        <v>4.9519505826286272</v>
      </c>
      <c r="K620" s="89" t="s">
        <v>88</v>
      </c>
      <c r="L620" s="89">
        <f>STDEV(L4:L616)</f>
        <v>4.6197045317596837E-2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B193-4F87-4942-973E-0352204BB897}">
  <sheetPr>
    <tabColor theme="9" tint="0.39997558519241921"/>
  </sheetPr>
  <dimension ref="A1:Q620"/>
  <sheetViews>
    <sheetView workbookViewId="0">
      <pane ySplit="2" topLeftCell="A490" activePane="bottomLeft" state="frozen"/>
      <selection pane="bottomLeft" activeCell="O497" sqref="O497"/>
    </sheetView>
  </sheetViews>
  <sheetFormatPr defaultColWidth="11.42578125" defaultRowHeight="15"/>
  <cols>
    <col min="2" max="2" width="10.85546875" style="71"/>
    <col min="14" max="14" width="12" bestFit="1" customWidth="1"/>
  </cols>
  <sheetData>
    <row r="1" spans="1:17" ht="18">
      <c r="F1" s="1" t="s">
        <v>0</v>
      </c>
      <c r="G1" s="1" t="s">
        <v>1</v>
      </c>
      <c r="I1" s="1" t="s">
        <v>81</v>
      </c>
    </row>
    <row r="2" spans="1:17">
      <c r="A2" s="2" t="s">
        <v>2</v>
      </c>
      <c r="B2" s="72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10</v>
      </c>
      <c r="H2" s="7" t="s">
        <v>13</v>
      </c>
      <c r="I2" s="6" t="s">
        <v>7</v>
      </c>
      <c r="J2" s="6" t="s">
        <v>10</v>
      </c>
      <c r="L2" s="70" t="s">
        <v>84</v>
      </c>
      <c r="M2" s="70" t="s">
        <v>90</v>
      </c>
      <c r="N2" s="70" t="s">
        <v>82</v>
      </c>
    </row>
    <row r="3" spans="1:17">
      <c r="A3" s="8">
        <v>2</v>
      </c>
      <c r="B3" s="73">
        <v>36445</v>
      </c>
      <c r="C3" s="10">
        <v>1999</v>
      </c>
      <c r="D3" s="11" t="s">
        <v>14</v>
      </c>
      <c r="E3" s="12">
        <v>10</v>
      </c>
      <c r="F3" s="13">
        <v>1.3330102911201809</v>
      </c>
      <c r="G3" s="14">
        <v>0.2248281875</v>
      </c>
      <c r="Q3" t="s">
        <v>111</v>
      </c>
    </row>
    <row r="4" spans="1:17">
      <c r="A4" s="8">
        <v>16</v>
      </c>
      <c r="B4" s="73">
        <v>36444</v>
      </c>
      <c r="C4" s="10">
        <v>1999</v>
      </c>
      <c r="D4" s="11" t="s">
        <v>14</v>
      </c>
      <c r="E4" s="12">
        <v>10</v>
      </c>
      <c r="F4" s="13">
        <v>1.6606092731436428</v>
      </c>
      <c r="G4" s="14">
        <v>0.12100544750000002</v>
      </c>
      <c r="I4" s="29">
        <f>AVERAGE(F3:F4)</f>
        <v>1.496809782131912</v>
      </c>
      <c r="J4" s="29">
        <f>AVERAGE(G3:G4)</f>
        <v>0.17291681750000001</v>
      </c>
      <c r="L4">
        <f>+J4/I4</f>
        <v>0.11552357524929716</v>
      </c>
      <c r="M4">
        <f>+(L4-$L$619)/$L$620</f>
        <v>-1.4213862911366677</v>
      </c>
      <c r="N4">
        <f>+M4</f>
        <v>-1.4213862911366677</v>
      </c>
    </row>
    <row r="5" spans="1:17">
      <c r="A5" s="8">
        <v>2</v>
      </c>
      <c r="B5" s="73">
        <v>36472</v>
      </c>
      <c r="C5" s="10">
        <v>1999</v>
      </c>
      <c r="D5" s="11" t="s">
        <v>16</v>
      </c>
      <c r="E5" s="10">
        <v>11</v>
      </c>
      <c r="F5" s="13">
        <v>4.285993642125038</v>
      </c>
      <c r="G5" s="14">
        <v>1.5377500563333333</v>
      </c>
    </row>
    <row r="6" spans="1:17">
      <c r="A6" s="8">
        <v>16</v>
      </c>
      <c r="B6" s="73">
        <v>36472</v>
      </c>
      <c r="C6" s="10">
        <v>1999</v>
      </c>
      <c r="D6" s="11" t="s">
        <v>16</v>
      </c>
      <c r="E6" s="10">
        <v>11</v>
      </c>
      <c r="F6" s="13">
        <v>0.41591953889429528</v>
      </c>
      <c r="G6" s="14">
        <v>8.3146671333333325E-2</v>
      </c>
      <c r="I6" s="29">
        <f>AVERAGE(F5:F6)</f>
        <v>2.3509565905096665</v>
      </c>
      <c r="J6" s="29">
        <f>AVERAGE(G5:G6)</f>
        <v>0.8104483638333333</v>
      </c>
      <c r="L6">
        <f>+J6/I6</f>
        <v>0.34473131792605122</v>
      </c>
      <c r="M6">
        <f>+(L6-$L$619)/$L$620</f>
        <v>0.630529399316338</v>
      </c>
      <c r="N6">
        <f>+N4+M6</f>
        <v>-0.7908568918203297</v>
      </c>
    </row>
    <row r="7" spans="1:17">
      <c r="A7" s="8">
        <v>2</v>
      </c>
      <c r="B7" s="73">
        <v>36501</v>
      </c>
      <c r="C7" s="10">
        <v>1999</v>
      </c>
      <c r="D7" s="11" t="s">
        <v>17</v>
      </c>
      <c r="E7" s="10">
        <v>12</v>
      </c>
      <c r="F7" s="13">
        <v>1.4014618639341168</v>
      </c>
      <c r="G7" s="14">
        <v>0.41018652016666662</v>
      </c>
    </row>
    <row r="8" spans="1:17">
      <c r="A8" s="8">
        <v>16</v>
      </c>
      <c r="B8" s="73">
        <v>36501</v>
      </c>
      <c r="C8" s="10">
        <v>1999</v>
      </c>
      <c r="D8" s="11" t="s">
        <v>17</v>
      </c>
      <c r="E8" s="10">
        <v>12</v>
      </c>
      <c r="F8" s="13">
        <v>1.2786164862718898</v>
      </c>
      <c r="G8" s="14">
        <v>0.32387618850000005</v>
      </c>
      <c r="I8" s="29">
        <f>AVERAGE(F7:F8)</f>
        <v>1.3400391751030032</v>
      </c>
      <c r="J8" s="29">
        <f>AVERAGE(G7:G8)</f>
        <v>0.36703135433333334</v>
      </c>
      <c r="L8">
        <f>+J8/I8</f>
        <v>0.27389598838043011</v>
      </c>
      <c r="M8">
        <f>+(L8-$L$619)/$L$620</f>
        <v>-3.6032981032694455E-3</v>
      </c>
      <c r="N8">
        <f>+N6+M8</f>
        <v>-0.79446018992359912</v>
      </c>
    </row>
    <row r="9" spans="1:17">
      <c r="A9" s="8">
        <v>2</v>
      </c>
      <c r="B9" s="73">
        <v>36530</v>
      </c>
      <c r="C9" s="12">
        <v>2000</v>
      </c>
      <c r="D9" s="11" t="s">
        <v>18</v>
      </c>
      <c r="E9" s="10">
        <v>1</v>
      </c>
      <c r="F9" s="13">
        <v>3.0782638208252844</v>
      </c>
      <c r="G9" s="14">
        <v>1.1697250916666666</v>
      </c>
    </row>
    <row r="10" spans="1:17">
      <c r="A10" s="8">
        <v>16</v>
      </c>
      <c r="B10" s="73">
        <v>36530</v>
      </c>
      <c r="C10" s="12">
        <v>2000</v>
      </c>
      <c r="D10" s="11" t="s">
        <v>18</v>
      </c>
      <c r="E10" s="10">
        <v>1</v>
      </c>
      <c r="F10" s="13">
        <v>3.6585839039056487</v>
      </c>
      <c r="G10" s="14">
        <v>1.3798645566666667</v>
      </c>
      <c r="I10" s="29">
        <f>AVERAGE(F9:F10)</f>
        <v>3.3684238623654665</v>
      </c>
      <c r="J10" s="29">
        <f>AVERAGE(G9:G10)</f>
        <v>1.2747948241666667</v>
      </c>
      <c r="L10">
        <f>+J10/I10</f>
        <v>0.37845439774062323</v>
      </c>
      <c r="M10">
        <f>+(L10-$L$619)/$L$620</f>
        <v>0.93242546876764809</v>
      </c>
      <c r="N10">
        <f>+N8+M10</f>
        <v>0.13796527884404897</v>
      </c>
    </row>
    <row r="11" spans="1:17">
      <c r="A11" s="8">
        <v>2</v>
      </c>
      <c r="B11" s="73">
        <v>36579</v>
      </c>
      <c r="C11" s="12">
        <v>2000</v>
      </c>
      <c r="D11" s="11" t="s">
        <v>19</v>
      </c>
      <c r="E11" s="12">
        <v>2</v>
      </c>
      <c r="F11" s="13">
        <v>2.5386928407093783</v>
      </c>
      <c r="G11" s="14">
        <v>0.94186166466666676</v>
      </c>
    </row>
    <row r="12" spans="1:17">
      <c r="A12" s="8">
        <v>16</v>
      </c>
      <c r="B12" s="73">
        <v>36579</v>
      </c>
      <c r="C12" s="12">
        <v>2000</v>
      </c>
      <c r="D12" s="11" t="s">
        <v>19</v>
      </c>
      <c r="E12" s="12">
        <v>2</v>
      </c>
      <c r="F12" s="13">
        <v>2.3945823862849616</v>
      </c>
      <c r="G12" s="14">
        <v>0.92685990983333344</v>
      </c>
      <c r="I12" s="29">
        <f>AVERAGE(F11:F12)</f>
        <v>2.4666376134971699</v>
      </c>
      <c r="J12" s="29">
        <f>AVERAGE(G11:G12)</f>
        <v>0.93436078725000016</v>
      </c>
      <c r="L12">
        <f>+J12/I12</f>
        <v>0.3787993753672127</v>
      </c>
      <c r="M12">
        <f>+(L12-$L$619)/$L$620</f>
        <v>0.93551378069196411</v>
      </c>
      <c r="N12">
        <f>+N10+M12</f>
        <v>1.0734790595360131</v>
      </c>
    </row>
    <row r="13" spans="1:17">
      <c r="A13" s="8">
        <v>2</v>
      </c>
      <c r="B13" s="73">
        <v>36600</v>
      </c>
      <c r="C13" s="12">
        <v>2000</v>
      </c>
      <c r="D13" s="11" t="s">
        <v>20</v>
      </c>
      <c r="E13" s="12">
        <v>3</v>
      </c>
      <c r="F13" s="13">
        <v>1.9050536432870002</v>
      </c>
      <c r="G13" s="14">
        <v>0.5894079095000001</v>
      </c>
    </row>
    <row r="14" spans="1:17">
      <c r="A14" s="8">
        <v>16</v>
      </c>
      <c r="B14" s="73">
        <v>36600</v>
      </c>
      <c r="C14" s="12">
        <v>2000</v>
      </c>
      <c r="D14" s="11" t="s">
        <v>20</v>
      </c>
      <c r="E14" s="12">
        <v>3</v>
      </c>
      <c r="F14" s="13">
        <v>1.5679274644511905</v>
      </c>
      <c r="G14" s="14">
        <v>0.44869054550000004</v>
      </c>
      <c r="I14" s="29">
        <f>AVERAGE(F13:F14)</f>
        <v>1.7364905538690953</v>
      </c>
      <c r="J14" s="29">
        <f>AVERAGE(G13:G14)</f>
        <v>0.51904922750000004</v>
      </c>
      <c r="L14">
        <f>+J14/I14</f>
        <v>0.29890702621071003</v>
      </c>
      <c r="M14">
        <f>+(L14-$L$619)/$L$620</f>
        <v>0.22030074789067908</v>
      </c>
      <c r="N14">
        <f>+N12+M14</f>
        <v>1.2937798074266922</v>
      </c>
    </row>
    <row r="15" spans="1:17">
      <c r="A15" s="8">
        <v>2</v>
      </c>
      <c r="B15" s="73">
        <v>36628</v>
      </c>
      <c r="C15" s="12">
        <v>2000</v>
      </c>
      <c r="D15" s="16" t="s">
        <v>21</v>
      </c>
      <c r="E15" s="12">
        <v>4</v>
      </c>
      <c r="F15" s="13">
        <v>4.7973446625707457</v>
      </c>
      <c r="G15" s="14">
        <v>1.3127073798333333</v>
      </c>
    </row>
    <row r="16" spans="1:17">
      <c r="A16" s="8">
        <v>16</v>
      </c>
      <c r="B16" s="73">
        <v>36628</v>
      </c>
      <c r="C16" s="12">
        <v>2000</v>
      </c>
      <c r="D16" s="16" t="s">
        <v>21</v>
      </c>
      <c r="E16" s="12">
        <v>4</v>
      </c>
      <c r="F16" s="13">
        <v>2.7664028879625464</v>
      </c>
      <c r="G16" s="14">
        <v>0.51445784200000011</v>
      </c>
      <c r="I16" s="29">
        <f>AVERAGE(F15:F16)</f>
        <v>3.781873775266646</v>
      </c>
      <c r="J16" s="29">
        <f>AVERAGE(G15:G16)</f>
        <v>0.9135826109166667</v>
      </c>
      <c r="L16">
        <f>+J16/I16</f>
        <v>0.24156877389495987</v>
      </c>
      <c r="M16">
        <f>+(L16-$L$619)/$L$620</f>
        <v>-0.29300328894443162</v>
      </c>
      <c r="N16">
        <f>+N14+M16</f>
        <v>1.0007765184822606</v>
      </c>
    </row>
    <row r="17" spans="1:14">
      <c r="A17" s="8">
        <v>2</v>
      </c>
      <c r="B17" s="73">
        <v>36661</v>
      </c>
      <c r="C17" s="12">
        <v>2000</v>
      </c>
      <c r="D17" s="16" t="s">
        <v>22</v>
      </c>
      <c r="E17" s="12">
        <v>5</v>
      </c>
      <c r="F17" s="13">
        <v>4.6886727747195547</v>
      </c>
      <c r="G17" s="14">
        <v>2.1653510554999995</v>
      </c>
    </row>
    <row r="18" spans="1:14">
      <c r="A18" s="8">
        <v>16</v>
      </c>
      <c r="B18" s="73">
        <v>36661</v>
      </c>
      <c r="C18" s="12">
        <v>2000</v>
      </c>
      <c r="D18" s="16" t="s">
        <v>22</v>
      </c>
      <c r="E18" s="12">
        <v>5</v>
      </c>
      <c r="F18" s="13">
        <v>6.0927728226505344</v>
      </c>
      <c r="G18" s="14">
        <v>2.4888738508333335</v>
      </c>
      <c r="I18" s="29">
        <f>AVERAGE(F17:F18)</f>
        <v>5.3907227986850446</v>
      </c>
      <c r="J18" s="29">
        <f>AVERAGE(G17:G18)</f>
        <v>2.3271124531666665</v>
      </c>
      <c r="L18">
        <f>+J18/I18</f>
        <v>0.4316883913478759</v>
      </c>
      <c r="M18">
        <f>+(L18-$L$619)/$L$620</f>
        <v>1.4089873225364513</v>
      </c>
      <c r="N18">
        <f>+N16+M18</f>
        <v>2.4097638410187119</v>
      </c>
    </row>
    <row r="19" spans="1:14">
      <c r="A19" s="8">
        <v>2</v>
      </c>
      <c r="B19" s="73">
        <v>36691</v>
      </c>
      <c r="C19" s="12">
        <v>2000</v>
      </c>
      <c r="D19" s="16" t="s">
        <v>23</v>
      </c>
      <c r="E19" s="12">
        <v>6</v>
      </c>
      <c r="F19" s="13">
        <v>1.6994240245561543</v>
      </c>
      <c r="G19" s="14">
        <v>0.50014777750000006</v>
      </c>
    </row>
    <row r="20" spans="1:14">
      <c r="A20" s="8">
        <v>16</v>
      </c>
      <c r="B20" s="73">
        <v>36691</v>
      </c>
      <c r="C20" s="12">
        <v>2000</v>
      </c>
      <c r="D20" s="16" t="s">
        <v>23</v>
      </c>
      <c r="E20" s="12">
        <v>6</v>
      </c>
      <c r="F20" s="13">
        <v>4.4627459706507473</v>
      </c>
      <c r="G20" s="14">
        <v>1.5665815293333332</v>
      </c>
      <c r="I20" s="29">
        <f>AVERAGE(F19:F20)</f>
        <v>3.0810849976034507</v>
      </c>
      <c r="J20" s="29">
        <f>AVERAGE(G19:G20)</f>
        <v>1.0333646534166667</v>
      </c>
      <c r="L20">
        <f>+J20/I20</f>
        <v>0.33538985591778386</v>
      </c>
      <c r="M20">
        <f>+(L20-$L$619)/$L$620</f>
        <v>0.54690267605347498</v>
      </c>
      <c r="N20">
        <f>+N18+M20</f>
        <v>2.9566665170721871</v>
      </c>
    </row>
    <row r="21" spans="1:14">
      <c r="A21" s="8">
        <v>2</v>
      </c>
      <c r="B21" s="73">
        <v>36720</v>
      </c>
      <c r="C21" s="12">
        <v>2000</v>
      </c>
      <c r="D21" s="16" t="s">
        <v>24</v>
      </c>
      <c r="E21" s="12">
        <v>7</v>
      </c>
      <c r="F21" s="13">
        <v>10.384727236125432</v>
      </c>
      <c r="G21" s="14">
        <v>1.5211288361666666</v>
      </c>
    </row>
    <row r="22" spans="1:14">
      <c r="A22" s="8">
        <v>16</v>
      </c>
      <c r="B22" s="73">
        <v>36720</v>
      </c>
      <c r="C22" s="12">
        <v>2000</v>
      </c>
      <c r="D22" s="16" t="s">
        <v>24</v>
      </c>
      <c r="E22" s="12">
        <v>7</v>
      </c>
      <c r="F22" s="13">
        <v>9.8045028976455733</v>
      </c>
      <c r="G22" s="14">
        <v>1.3389058588333329</v>
      </c>
      <c r="I22" s="29">
        <f>AVERAGE(F21:F22)</f>
        <v>10.094615066885503</v>
      </c>
      <c r="J22" s="29">
        <f>AVERAGE(G21:G22)</f>
        <v>1.4300173474999998</v>
      </c>
      <c r="L22">
        <f>+J22/I22</f>
        <v>0.14166140442452788</v>
      </c>
      <c r="M22">
        <f>+(L22-$L$619)/$L$620</f>
        <v>-1.1873949731615459</v>
      </c>
      <c r="N22">
        <f>+N20+M22</f>
        <v>1.7692715439106412</v>
      </c>
    </row>
    <row r="23" spans="1:14">
      <c r="A23" s="8">
        <v>2</v>
      </c>
      <c r="B23" s="73">
        <v>36754</v>
      </c>
      <c r="C23" s="12">
        <v>2000</v>
      </c>
      <c r="D23" s="16" t="s">
        <v>25</v>
      </c>
      <c r="E23" s="12">
        <v>8</v>
      </c>
      <c r="F23" s="13">
        <v>12.821283488842734</v>
      </c>
      <c r="G23" s="14">
        <v>2.6009346038333332</v>
      </c>
    </row>
    <row r="24" spans="1:14">
      <c r="A24" s="8">
        <v>16</v>
      </c>
      <c r="B24" s="73">
        <v>36754</v>
      </c>
      <c r="C24" s="12">
        <v>2000</v>
      </c>
      <c r="D24" s="16" t="s">
        <v>25</v>
      </c>
      <c r="E24" s="12">
        <v>8</v>
      </c>
      <c r="F24" s="13">
        <v>14.668265930659848</v>
      </c>
      <c r="G24" s="14">
        <v>2.6780168764999996</v>
      </c>
      <c r="I24" s="29">
        <f>AVERAGE(F23:F24)</f>
        <v>13.74477470975129</v>
      </c>
      <c r="J24" s="29">
        <f>AVERAGE(G23:G24)</f>
        <v>2.6394757401666666</v>
      </c>
      <c r="L24">
        <f>+J24/I24</f>
        <v>0.19203484930852152</v>
      </c>
      <c r="M24">
        <f>+(L24-$L$619)/$L$620</f>
        <v>-0.73644135033648639</v>
      </c>
      <c r="N24">
        <f>+N22+M24</f>
        <v>1.0328301935741548</v>
      </c>
    </row>
    <row r="25" spans="1:14">
      <c r="A25" s="8">
        <v>2</v>
      </c>
      <c r="B25" s="73">
        <v>36782</v>
      </c>
      <c r="C25" s="12">
        <v>2000</v>
      </c>
      <c r="D25" s="16" t="s">
        <v>26</v>
      </c>
      <c r="E25" s="12">
        <v>9</v>
      </c>
      <c r="F25" s="13">
        <v>1.0846293683277899</v>
      </c>
      <c r="G25" s="14">
        <v>0.29662036050000001</v>
      </c>
    </row>
    <row r="26" spans="1:14">
      <c r="A26" s="8">
        <v>16</v>
      </c>
      <c r="B26" s="73">
        <v>36782</v>
      </c>
      <c r="C26" s="12">
        <v>2000</v>
      </c>
      <c r="D26" s="16" t="s">
        <v>26</v>
      </c>
      <c r="E26" s="12">
        <v>9</v>
      </c>
      <c r="F26" s="13">
        <v>3.9030508702619744</v>
      </c>
      <c r="G26" s="14">
        <v>1.2469303338333333</v>
      </c>
      <c r="I26" s="29">
        <f>AVERAGE(F25:F26)</f>
        <v>2.493840119294882</v>
      </c>
      <c r="J26" s="29">
        <f>AVERAGE(G25:G26)</f>
        <v>0.77177534716666663</v>
      </c>
      <c r="L26">
        <f>+J26/I26</f>
        <v>0.3094726647451968</v>
      </c>
      <c r="M26">
        <f>+(L26-$L$619)/$L$620</f>
        <v>0.31488655566220275</v>
      </c>
      <c r="N26">
        <f>+N24+M26</f>
        <v>1.3477167492363575</v>
      </c>
    </row>
    <row r="27" spans="1:14">
      <c r="A27" s="8">
        <v>2</v>
      </c>
      <c r="B27" s="73">
        <v>36818</v>
      </c>
      <c r="C27" s="12">
        <v>2000</v>
      </c>
      <c r="D27" s="16" t="s">
        <v>14</v>
      </c>
      <c r="E27" s="12">
        <v>10</v>
      </c>
      <c r="F27" s="17">
        <v>0.78369689681136157</v>
      </c>
      <c r="G27" s="15">
        <v>0.14521576233333333</v>
      </c>
    </row>
    <row r="28" spans="1:14">
      <c r="A28" s="8">
        <v>16</v>
      </c>
      <c r="B28" s="73">
        <v>36818</v>
      </c>
      <c r="C28" s="12">
        <v>2000</v>
      </c>
      <c r="D28" s="16" t="s">
        <v>14</v>
      </c>
      <c r="E28" s="12">
        <v>10</v>
      </c>
      <c r="F28" s="17">
        <v>1.3435023165554583</v>
      </c>
      <c r="G28" s="15">
        <v>9.0443385833333334E-2</v>
      </c>
      <c r="I28" s="29">
        <f>AVERAGE(F27:F28)</f>
        <v>1.0635996066834099</v>
      </c>
      <c r="J28" s="29">
        <f>AVERAGE(G27:G28)</f>
        <v>0.11782957408333333</v>
      </c>
      <c r="L28">
        <f>+J28/I28</f>
        <v>0.1107837698913388</v>
      </c>
      <c r="M28">
        <f>+(L28-$L$619)/$L$620</f>
        <v>-1.4638180208422555</v>
      </c>
      <c r="N28">
        <f>+N26+M28</f>
        <v>-0.116101271605898</v>
      </c>
    </row>
    <row r="29" spans="1:14">
      <c r="A29" s="8">
        <v>2</v>
      </c>
      <c r="B29" s="73">
        <v>36845</v>
      </c>
      <c r="C29" s="12">
        <v>2000</v>
      </c>
      <c r="D29" s="16" t="s">
        <v>16</v>
      </c>
      <c r="E29" s="12">
        <v>11</v>
      </c>
      <c r="F29" s="17">
        <v>0.70124637049035787</v>
      </c>
      <c r="G29" s="15">
        <v>0.18300450983333336</v>
      </c>
    </row>
    <row r="30" spans="1:14">
      <c r="A30" s="8">
        <v>16</v>
      </c>
      <c r="B30" s="73">
        <v>36848</v>
      </c>
      <c r="C30" s="12">
        <v>2000</v>
      </c>
      <c r="D30" s="16" t="s">
        <v>16</v>
      </c>
      <c r="E30" s="12">
        <v>11</v>
      </c>
      <c r="F30" s="17">
        <v>0.33552353038791721</v>
      </c>
      <c r="G30" s="15">
        <v>3.920169116666667E-2</v>
      </c>
      <c r="I30" s="29">
        <f>AVERAGE(F29:F30)</f>
        <v>0.51838495043913757</v>
      </c>
      <c r="J30" s="29">
        <f>AVERAGE(G29:G30)</f>
        <v>0.11110310050000001</v>
      </c>
      <c r="L30">
        <f>+J30/I30</f>
        <v>0.21432547454528075</v>
      </c>
      <c r="M30">
        <f>+(L30-$L$619)/$L$620</f>
        <v>-0.53689100731941886</v>
      </c>
      <c r="N30">
        <f>+N28+M30</f>
        <v>-0.65299227892531686</v>
      </c>
    </row>
    <row r="31" spans="1:14">
      <c r="A31" s="8">
        <v>2</v>
      </c>
      <c r="B31" s="73">
        <v>36875</v>
      </c>
      <c r="C31" s="12">
        <v>2000</v>
      </c>
      <c r="D31" s="16" t="s">
        <v>17</v>
      </c>
      <c r="E31" s="12">
        <v>12</v>
      </c>
      <c r="F31" s="17">
        <v>2.9105063210533353</v>
      </c>
      <c r="G31" s="15">
        <v>0.70021202533333327</v>
      </c>
    </row>
    <row r="32" spans="1:14">
      <c r="A32" s="8">
        <v>16</v>
      </c>
      <c r="B32" s="73">
        <v>36871</v>
      </c>
      <c r="C32" s="12">
        <v>2000</v>
      </c>
      <c r="D32" s="16" t="s">
        <v>17</v>
      </c>
      <c r="E32" s="12">
        <v>12</v>
      </c>
      <c r="F32" s="17">
        <v>1.7729309077984674</v>
      </c>
      <c r="G32" s="15">
        <v>0.38842752316666662</v>
      </c>
      <c r="I32" s="29">
        <f>AVERAGE(F31:F32)</f>
        <v>2.3417186144259015</v>
      </c>
      <c r="J32" s="29">
        <f>AVERAGE(G31:G32)</f>
        <v>0.54431977424999989</v>
      </c>
      <c r="L32">
        <f>+J32/I32</f>
        <v>0.23244456908561834</v>
      </c>
      <c r="M32">
        <f>+(L32-$L$619)/$L$620</f>
        <v>-0.37468508028600062</v>
      </c>
      <c r="N32">
        <f>+N30+M32</f>
        <v>-1.0276773592113175</v>
      </c>
    </row>
    <row r="33" spans="1:14">
      <c r="A33" s="8">
        <v>2</v>
      </c>
      <c r="B33" s="73">
        <v>36901</v>
      </c>
      <c r="C33" s="12">
        <v>2001</v>
      </c>
      <c r="D33" s="16" t="s">
        <v>18</v>
      </c>
      <c r="E33" s="12">
        <v>1</v>
      </c>
      <c r="F33" s="17">
        <v>3.3393668982479086</v>
      </c>
      <c r="G33" s="15">
        <v>1.0492803976666665</v>
      </c>
    </row>
    <row r="34" spans="1:14">
      <c r="A34" s="8">
        <v>16</v>
      </c>
      <c r="B34" s="73">
        <v>36901</v>
      </c>
      <c r="C34" s="12">
        <v>2001</v>
      </c>
      <c r="D34" s="16" t="s">
        <v>18</v>
      </c>
      <c r="E34" s="12">
        <v>1</v>
      </c>
      <c r="F34" s="17">
        <v>5.8894314886091754</v>
      </c>
      <c r="G34" s="15">
        <v>1.3861628690000001</v>
      </c>
      <c r="I34" s="29">
        <f>AVERAGE(F33:F34)</f>
        <v>4.6143991934285422</v>
      </c>
      <c r="J34" s="29">
        <f>AVERAGE(G33:G34)</f>
        <v>1.2177216333333334</v>
      </c>
      <c r="L34">
        <f>+J34/I34</f>
        <v>0.26389603115992111</v>
      </c>
      <c r="M34">
        <f>+(L34-$L$619)/$L$620</f>
        <v>-9.3125008343044297E-2</v>
      </c>
      <c r="N34">
        <f>+N32+M34</f>
        <v>-1.1208023675543619</v>
      </c>
    </row>
    <row r="35" spans="1:14">
      <c r="A35" s="12">
        <v>2</v>
      </c>
      <c r="B35" s="73">
        <v>36928</v>
      </c>
      <c r="C35" s="12">
        <v>2001</v>
      </c>
      <c r="D35" s="11" t="s">
        <v>19</v>
      </c>
      <c r="E35" s="12">
        <v>2</v>
      </c>
      <c r="F35" s="17">
        <v>3.9397994994377648</v>
      </c>
      <c r="G35" s="15">
        <v>1.5827543773333335</v>
      </c>
    </row>
    <row r="36" spans="1:14">
      <c r="A36" s="12">
        <v>16</v>
      </c>
      <c r="B36" s="73">
        <v>36928</v>
      </c>
      <c r="C36" s="12">
        <v>2001</v>
      </c>
      <c r="D36" s="11" t="s">
        <v>19</v>
      </c>
      <c r="E36" s="12">
        <v>2</v>
      </c>
      <c r="F36" s="17">
        <v>2.9617176326205095</v>
      </c>
      <c r="G36" s="15">
        <v>1.0459840183333331</v>
      </c>
      <c r="I36" s="29">
        <f>AVERAGE(F35:F36)</f>
        <v>3.4507585660291369</v>
      </c>
      <c r="J36" s="29">
        <f>AVERAGE(G35:G36)</f>
        <v>1.3143691978333334</v>
      </c>
      <c r="L36">
        <f>+J36/I36</f>
        <v>0.38089283057139717</v>
      </c>
      <c r="M36">
        <f>+(L36-$L$619)/$L$620</f>
        <v>0.9542548298841137</v>
      </c>
      <c r="N36">
        <f>+N34+M36</f>
        <v>-0.16654753767024821</v>
      </c>
    </row>
    <row r="37" spans="1:14">
      <c r="A37" s="8">
        <v>2</v>
      </c>
      <c r="B37" s="73">
        <v>36963</v>
      </c>
      <c r="C37" s="12">
        <v>2001</v>
      </c>
      <c r="D37" s="11" t="s">
        <v>20</v>
      </c>
      <c r="E37" s="12">
        <v>3</v>
      </c>
      <c r="F37" s="17">
        <v>1.7230646958731481</v>
      </c>
      <c r="G37" s="15">
        <v>0.37886955366666669</v>
      </c>
    </row>
    <row r="38" spans="1:14">
      <c r="A38" s="8">
        <v>16</v>
      </c>
      <c r="B38" s="73">
        <v>36963</v>
      </c>
      <c r="C38" s="12">
        <v>2001</v>
      </c>
      <c r="D38" s="11" t="s">
        <v>20</v>
      </c>
      <c r="E38" s="12">
        <v>3</v>
      </c>
      <c r="F38" s="17">
        <v>2.1962590343929107</v>
      </c>
      <c r="G38" s="15">
        <v>0.65994847733333328</v>
      </c>
      <c r="I38" s="29">
        <f>AVERAGE(F37:F38)</f>
        <v>1.9596618651330293</v>
      </c>
      <c r="J38" s="29">
        <f>AVERAGE(G37:G38)</f>
        <v>0.51940901549999996</v>
      </c>
      <c r="L38">
        <f>+J38/I38</f>
        <v>0.26505032564112302</v>
      </c>
      <c r="M38">
        <f>+(L38-$L$619)/$L$620</f>
        <v>-8.2791522529165079E-2</v>
      </c>
      <c r="N38">
        <f>+N36+M38</f>
        <v>-0.24933906019941329</v>
      </c>
    </row>
    <row r="39" spans="1:14">
      <c r="A39" s="8">
        <v>2</v>
      </c>
      <c r="B39" s="73">
        <v>37000</v>
      </c>
      <c r="C39" s="12">
        <v>2001</v>
      </c>
      <c r="D39" s="16" t="s">
        <v>21</v>
      </c>
      <c r="E39" s="12">
        <v>4</v>
      </c>
      <c r="F39" s="17">
        <v>0.48624479623327538</v>
      </c>
      <c r="G39" s="15">
        <v>6.1269422333333337E-2</v>
      </c>
    </row>
    <row r="40" spans="1:14">
      <c r="A40" s="8">
        <v>16</v>
      </c>
      <c r="B40" s="73">
        <v>37000</v>
      </c>
      <c r="C40" s="12">
        <v>2001</v>
      </c>
      <c r="D40" s="16" t="s">
        <v>21</v>
      </c>
      <c r="E40" s="12">
        <v>4</v>
      </c>
      <c r="F40" s="17">
        <v>0.94233141158054823</v>
      </c>
      <c r="G40" s="15">
        <v>0.11752477116666667</v>
      </c>
      <c r="I40" s="29">
        <f>AVERAGE(F39:F40)</f>
        <v>0.71428810390691178</v>
      </c>
      <c r="J40" s="29">
        <f>AVERAGE(G39:G40)</f>
        <v>8.9397096750000002E-2</v>
      </c>
      <c r="L40">
        <f>+J40/I40</f>
        <v>0.12515551674601388</v>
      </c>
      <c r="M40">
        <f>+(L40-$L$619)/$L$620</f>
        <v>-1.3351591346897276</v>
      </c>
      <c r="N40">
        <f>+N38+M40</f>
        <v>-1.5844981948891408</v>
      </c>
    </row>
    <row r="41" spans="1:14">
      <c r="A41" s="8">
        <v>2</v>
      </c>
      <c r="B41" s="73">
        <v>37028</v>
      </c>
      <c r="C41" s="12">
        <v>2001</v>
      </c>
      <c r="D41" s="16" t="s">
        <v>22</v>
      </c>
      <c r="E41" s="12">
        <v>5</v>
      </c>
      <c r="F41" s="17">
        <v>0.71340617095896919</v>
      </c>
      <c r="G41" s="15">
        <v>0.11190172083333333</v>
      </c>
    </row>
    <row r="42" spans="1:14">
      <c r="A42" s="8">
        <v>16</v>
      </c>
      <c r="B42" s="73">
        <v>37027</v>
      </c>
      <c r="C42" s="12">
        <v>2001</v>
      </c>
      <c r="D42" s="16" t="s">
        <v>22</v>
      </c>
      <c r="E42" s="12">
        <v>5</v>
      </c>
      <c r="F42" s="17">
        <v>1.9656313095361935</v>
      </c>
      <c r="G42" s="15">
        <v>0.47340122983333333</v>
      </c>
      <c r="I42" s="29">
        <f>AVERAGE(F41:F42)</f>
        <v>1.3395187402475814</v>
      </c>
      <c r="J42" s="29">
        <f>AVERAGE(G41:G42)</f>
        <v>0.29265147533333336</v>
      </c>
      <c r="L42">
        <f>+J42/I42</f>
        <v>0.21847508850771508</v>
      </c>
      <c r="M42">
        <f>+(L42-$L$619)/$L$620</f>
        <v>-0.49974279452605846</v>
      </c>
      <c r="N42">
        <f>+N40+M42</f>
        <v>-2.0842409894151994</v>
      </c>
    </row>
    <row r="43" spans="1:14">
      <c r="A43" s="8">
        <v>2</v>
      </c>
      <c r="B43" s="73">
        <v>37058</v>
      </c>
      <c r="C43" s="12">
        <v>2001</v>
      </c>
      <c r="D43" s="16" t="s">
        <v>23</v>
      </c>
      <c r="E43" s="12">
        <v>6</v>
      </c>
      <c r="F43" s="17">
        <v>12.295525135357376</v>
      </c>
      <c r="G43" s="15">
        <v>4.2329559303333335</v>
      </c>
    </row>
    <row r="44" spans="1:14">
      <c r="A44" s="8">
        <v>16</v>
      </c>
      <c r="B44" s="73">
        <v>37056</v>
      </c>
      <c r="C44" s="12">
        <v>2001</v>
      </c>
      <c r="D44" s="16" t="s">
        <v>23</v>
      </c>
      <c r="E44" s="12">
        <v>6</v>
      </c>
      <c r="F44" s="17">
        <v>17.841725850658584</v>
      </c>
      <c r="G44" s="15">
        <v>6.3776925591666664</v>
      </c>
      <c r="I44" s="29">
        <f>AVERAGE(F43:F44)</f>
        <v>15.06862549300798</v>
      </c>
      <c r="J44" s="29">
        <f>AVERAGE(G43:G44)</f>
        <v>5.3053242447500004</v>
      </c>
      <c r="L44">
        <f>+J44/I44</f>
        <v>0.35207751677229843</v>
      </c>
      <c r="M44">
        <f>+(L44-$L$619)/$L$620</f>
        <v>0.69629410910217016</v>
      </c>
      <c r="N44">
        <f>+N42+M44</f>
        <v>-1.3879468803130293</v>
      </c>
    </row>
    <row r="45" spans="1:14">
      <c r="A45" s="8">
        <v>2</v>
      </c>
      <c r="B45" s="73">
        <v>37089</v>
      </c>
      <c r="C45" s="12">
        <v>2001</v>
      </c>
      <c r="D45" s="16" t="s">
        <v>24</v>
      </c>
      <c r="E45" s="12">
        <v>7</v>
      </c>
      <c r="F45" s="17">
        <v>7.5105065548637011</v>
      </c>
      <c r="G45" s="15">
        <v>1.5703031126666667</v>
      </c>
    </row>
    <row r="46" spans="1:14">
      <c r="A46" s="8">
        <v>16</v>
      </c>
      <c r="B46" s="73">
        <v>37089</v>
      </c>
      <c r="C46" s="12">
        <v>2001</v>
      </c>
      <c r="D46" s="16" t="s">
        <v>24</v>
      </c>
      <c r="E46" s="12">
        <v>7</v>
      </c>
      <c r="F46" s="17">
        <v>6.8793581967375523</v>
      </c>
      <c r="G46" s="15">
        <v>0.8407431004999999</v>
      </c>
      <c r="I46" s="29">
        <f>AVERAGE(F45:F46)</f>
        <v>7.1949323758006267</v>
      </c>
      <c r="J46" s="29">
        <f>AVERAGE(G45:G46)</f>
        <v>1.2055231065833332</v>
      </c>
      <c r="L46">
        <f>+J46/I46</f>
        <v>0.16755169383356253</v>
      </c>
      <c r="M46">
        <f>+(L46-$L$619)/$L$620</f>
        <v>-0.95561968298870092</v>
      </c>
      <c r="N46">
        <f>+N44+M46</f>
        <v>-2.3435665633017302</v>
      </c>
    </row>
    <row r="47" spans="1:14">
      <c r="A47" s="8">
        <v>2</v>
      </c>
      <c r="B47" s="73">
        <v>37119</v>
      </c>
      <c r="C47" s="12">
        <v>2001</v>
      </c>
      <c r="D47" s="16" t="s">
        <v>25</v>
      </c>
      <c r="E47" s="12">
        <v>8</v>
      </c>
      <c r="F47" s="17">
        <v>2.8484052173891512</v>
      </c>
      <c r="G47" s="15">
        <v>0.52956191416666676</v>
      </c>
    </row>
    <row r="48" spans="1:14">
      <c r="A48" s="8">
        <v>16</v>
      </c>
      <c r="B48" s="73">
        <v>37119</v>
      </c>
      <c r="C48" s="12">
        <v>2001</v>
      </c>
      <c r="D48" s="16" t="s">
        <v>25</v>
      </c>
      <c r="E48" s="12">
        <v>8</v>
      </c>
      <c r="F48" s="17">
        <v>2.349127100454246</v>
      </c>
      <c r="G48" s="15">
        <v>0.43156444800000004</v>
      </c>
      <c r="I48" s="29">
        <f>AVERAGE(F47:F48)</f>
        <v>2.5987661589216984</v>
      </c>
      <c r="J48" s="29">
        <f>AVERAGE(G47:G48)</f>
        <v>0.4805631810833334</v>
      </c>
      <c r="L48">
        <f>+J48/I48</f>
        <v>0.18491974717830428</v>
      </c>
      <c r="M48">
        <f>+(L48-$L$619)/$L$620</f>
        <v>-0.80013723394700564</v>
      </c>
      <c r="N48">
        <f>+N46+M48</f>
        <v>-3.1437037972487358</v>
      </c>
    </row>
    <row r="49" spans="1:14">
      <c r="A49" s="8">
        <v>2</v>
      </c>
      <c r="B49" s="73">
        <v>37152</v>
      </c>
      <c r="C49" s="12">
        <v>2001</v>
      </c>
      <c r="D49" s="16" t="s">
        <v>26</v>
      </c>
      <c r="E49" s="12">
        <v>9</v>
      </c>
      <c r="F49" s="17">
        <v>1.1426911228841896</v>
      </c>
      <c r="G49" s="15">
        <v>0.23569447700000001</v>
      </c>
    </row>
    <row r="50" spans="1:14">
      <c r="A50" s="8">
        <v>16</v>
      </c>
      <c r="B50" s="73">
        <v>37152</v>
      </c>
      <c r="C50" s="12">
        <v>2001</v>
      </c>
      <c r="D50" s="16" t="s">
        <v>26</v>
      </c>
      <c r="E50" s="12">
        <v>9</v>
      </c>
      <c r="F50" s="17">
        <v>3.559456607124281</v>
      </c>
      <c r="G50" s="15">
        <v>0.75686636983333333</v>
      </c>
      <c r="I50" s="29">
        <f>AVERAGE(F49:F50)</f>
        <v>2.3510738650042353</v>
      </c>
      <c r="J50" s="29">
        <f>AVERAGE(G49:G50)</f>
        <v>0.49628042341666667</v>
      </c>
      <c r="L50">
        <f>+J50/I50</f>
        <v>0.21108669991351917</v>
      </c>
      <c r="M50">
        <f>+(L50-$L$619)/$L$620</f>
        <v>-0.56588519576673069</v>
      </c>
      <c r="N50">
        <f>+N48+M50</f>
        <v>-3.7095889930154664</v>
      </c>
    </row>
    <row r="51" spans="1:14">
      <c r="A51" s="8">
        <v>2</v>
      </c>
      <c r="B51" s="73">
        <v>37181</v>
      </c>
      <c r="C51" s="12">
        <v>2001</v>
      </c>
      <c r="D51" s="16" t="s">
        <v>14</v>
      </c>
      <c r="E51" s="12">
        <v>10</v>
      </c>
      <c r="F51" s="13">
        <v>0.88883623176181215</v>
      </c>
      <c r="G51" s="14">
        <v>0.1067178285299776</v>
      </c>
    </row>
    <row r="52" spans="1:14">
      <c r="A52" s="8">
        <v>16</v>
      </c>
      <c r="B52" s="73">
        <v>37181</v>
      </c>
      <c r="C52" s="12">
        <v>2001</v>
      </c>
      <c r="D52" s="16" t="s">
        <v>14</v>
      </c>
      <c r="E52" s="12">
        <v>10</v>
      </c>
      <c r="F52" s="13">
        <v>1.3553329324301133</v>
      </c>
      <c r="G52" s="14">
        <v>0.21249617766617682</v>
      </c>
      <c r="I52" s="29">
        <f>AVERAGE(F51:F52)</f>
        <v>1.1220845820959626</v>
      </c>
      <c r="J52" s="29">
        <f>AVERAGE(G51:G52)</f>
        <v>0.15960700309807721</v>
      </c>
      <c r="L52">
        <f>+J52/I52</f>
        <v>0.14224150803315053</v>
      </c>
      <c r="M52">
        <f>+(L52-$L$619)/$L$620</f>
        <v>-1.1822017642292459</v>
      </c>
      <c r="N52">
        <f>+N50+M52</f>
        <v>-4.8917907572447126</v>
      </c>
    </row>
    <row r="53" spans="1:14">
      <c r="A53" s="8">
        <v>2</v>
      </c>
      <c r="B53" s="73">
        <v>37203</v>
      </c>
      <c r="C53" s="12">
        <v>2001</v>
      </c>
      <c r="D53" s="16" t="s">
        <v>16</v>
      </c>
      <c r="E53" s="12">
        <v>11</v>
      </c>
      <c r="F53" s="13">
        <v>0.9134465601340287</v>
      </c>
      <c r="G53" s="14">
        <v>0.1924377386615021</v>
      </c>
    </row>
    <row r="54" spans="1:14">
      <c r="A54" s="8">
        <v>16</v>
      </c>
      <c r="B54" s="73">
        <v>37203</v>
      </c>
      <c r="C54" s="12">
        <v>2001</v>
      </c>
      <c r="D54" s="16" t="s">
        <v>16</v>
      </c>
      <c r="E54" s="12">
        <v>11</v>
      </c>
      <c r="F54" s="13">
        <v>1.2287094678118828</v>
      </c>
      <c r="G54" s="14">
        <v>0.1083110675135235</v>
      </c>
      <c r="I54" s="29">
        <f>AVERAGE(F53:F54)</f>
        <v>1.0710780139729557</v>
      </c>
      <c r="J54" s="29">
        <f>AVERAGE(G53:G54)</f>
        <v>0.15037440308751279</v>
      </c>
      <c r="L54">
        <f>+J54/I54</f>
        <v>0.14039537841854133</v>
      </c>
      <c r="M54">
        <f>+(L54-$L$619)/$L$620</f>
        <v>-1.19872870297306</v>
      </c>
      <c r="N54">
        <f>+N52+M54</f>
        <v>-6.0905194602177728</v>
      </c>
    </row>
    <row r="55" spans="1:14">
      <c r="A55" s="8">
        <v>2</v>
      </c>
      <c r="B55" s="73">
        <v>37228</v>
      </c>
      <c r="C55" s="12">
        <v>2001</v>
      </c>
      <c r="D55" s="16" t="s">
        <v>17</v>
      </c>
      <c r="E55" s="12">
        <v>12</v>
      </c>
      <c r="F55" s="13">
        <v>2.6464825212013325</v>
      </c>
      <c r="G55" s="14">
        <v>1.2139048247193502</v>
      </c>
    </row>
    <row r="56" spans="1:14">
      <c r="A56" s="8">
        <v>16</v>
      </c>
      <c r="B56" s="73">
        <v>37228</v>
      </c>
      <c r="C56" s="12">
        <v>2001</v>
      </c>
      <c r="D56" s="16" t="s">
        <v>17</v>
      </c>
      <c r="E56" s="12">
        <v>12</v>
      </c>
      <c r="F56" s="13">
        <v>0.65546728590943959</v>
      </c>
      <c r="G56" s="14">
        <v>0.12099235111096489</v>
      </c>
      <c r="I56" s="29">
        <f>AVERAGE(F55:F56)</f>
        <v>1.650974903555386</v>
      </c>
      <c r="J56" s="29">
        <f>AVERAGE(G55:G56)</f>
        <v>0.6674485879151576</v>
      </c>
      <c r="L56">
        <f>+J56/I56</f>
        <v>0.40427542931016236</v>
      </c>
      <c r="M56">
        <f>+(L56-$L$619)/$L$620</f>
        <v>1.163580748264204</v>
      </c>
      <c r="N56">
        <f>+N54+M56</f>
        <v>-4.9269387119535688</v>
      </c>
    </row>
    <row r="57" spans="1:14">
      <c r="A57" s="8">
        <v>2</v>
      </c>
      <c r="B57" s="73">
        <v>37270</v>
      </c>
      <c r="C57" s="12">
        <v>2002</v>
      </c>
      <c r="D57" s="16" t="s">
        <v>18</v>
      </c>
      <c r="E57" s="12">
        <v>1</v>
      </c>
      <c r="F57" s="13">
        <v>2.5862509295428344</v>
      </c>
      <c r="G57" s="14">
        <v>0.38473754074266103</v>
      </c>
    </row>
    <row r="58" spans="1:14">
      <c r="A58" s="8">
        <v>16</v>
      </c>
      <c r="B58" s="73">
        <v>37270</v>
      </c>
      <c r="C58" s="12">
        <v>2002</v>
      </c>
      <c r="D58" s="16" t="s">
        <v>18</v>
      </c>
      <c r="E58" s="12">
        <v>1</v>
      </c>
      <c r="F58" s="13">
        <v>2.4329208174935348</v>
      </c>
      <c r="G58" s="14">
        <v>0.36395449015153003</v>
      </c>
      <c r="I58" s="29">
        <f>AVERAGE(F57:F58)</f>
        <v>2.5095858735181844</v>
      </c>
      <c r="J58" s="29">
        <f>AVERAGE(G57:G58)</f>
        <v>0.37434601544709556</v>
      </c>
      <c r="L58">
        <f>+J58/I58</f>
        <v>0.14916644989011693</v>
      </c>
      <c r="M58">
        <f>+(L58-$L$619)/$L$620</f>
        <v>-1.1202082351894207</v>
      </c>
      <c r="N58">
        <f>+N56+M58</f>
        <v>-6.0471469471429895</v>
      </c>
    </row>
    <row r="59" spans="1:14">
      <c r="A59" s="8">
        <v>2</v>
      </c>
      <c r="B59" s="73">
        <v>37300</v>
      </c>
      <c r="C59" s="12">
        <v>2002</v>
      </c>
      <c r="D59" s="11" t="s">
        <v>19</v>
      </c>
      <c r="E59" s="12">
        <v>2</v>
      </c>
      <c r="F59" s="13">
        <v>3.8015700259641796</v>
      </c>
      <c r="G59" s="14">
        <v>1.306592674565118</v>
      </c>
    </row>
    <row r="60" spans="1:14">
      <c r="A60" s="8">
        <v>16</v>
      </c>
      <c r="B60" s="73">
        <v>37300</v>
      </c>
      <c r="C60" s="12">
        <v>2002</v>
      </c>
      <c r="D60" s="11" t="s">
        <v>19</v>
      </c>
      <c r="E60" s="12">
        <v>2</v>
      </c>
      <c r="F60" s="13">
        <v>1.8488222946788944</v>
      </c>
      <c r="G60" s="13">
        <v>0.68152197141055593</v>
      </c>
      <c r="I60" s="29">
        <f>AVERAGE(F59:F60)</f>
        <v>2.825196160321537</v>
      </c>
      <c r="J60" s="29">
        <f>AVERAGE(G59:G60)</f>
        <v>0.99405732298783689</v>
      </c>
      <c r="L60">
        <f>+J60/I60</f>
        <v>0.35185426659885549</v>
      </c>
      <c r="M60">
        <f>+(L60-$L$619)/$L$620</f>
        <v>0.69429552681854312</v>
      </c>
      <c r="N60">
        <f>+N58+M60</f>
        <v>-5.3528514203244466</v>
      </c>
    </row>
    <row r="61" spans="1:14">
      <c r="A61" s="8">
        <v>2</v>
      </c>
      <c r="B61" s="71">
        <v>37334</v>
      </c>
      <c r="C61" s="12">
        <v>2002</v>
      </c>
      <c r="D61" s="11" t="s">
        <v>20</v>
      </c>
      <c r="E61" s="12">
        <v>3</v>
      </c>
      <c r="F61" s="13">
        <v>2.5102946580494283</v>
      </c>
      <c r="G61" s="13">
        <v>0.8216695953244052</v>
      </c>
    </row>
    <row r="62" spans="1:14">
      <c r="A62" s="8">
        <v>16</v>
      </c>
      <c r="B62" s="71">
        <v>37334</v>
      </c>
      <c r="C62" s="12">
        <v>2002</v>
      </c>
      <c r="D62" s="11" t="s">
        <v>20</v>
      </c>
      <c r="E62" s="12">
        <v>3</v>
      </c>
      <c r="F62" s="13">
        <v>2.2858305706399227</v>
      </c>
      <c r="G62" s="21"/>
      <c r="I62" s="29">
        <f>AVERAGE(F61:F62)</f>
        <v>2.3980626143446755</v>
      </c>
      <c r="J62" s="29">
        <f>AVERAGE(G61:G62)</f>
        <v>0.8216695953244052</v>
      </c>
      <c r="L62">
        <f>+J62/I62</f>
        <v>0.34263892460912448</v>
      </c>
      <c r="M62">
        <f>+(L62-$L$619)/$L$620</f>
        <v>0.6117978563611951</v>
      </c>
      <c r="N62">
        <f>+N60+M62</f>
        <v>-4.7410535639632512</v>
      </c>
    </row>
    <row r="63" spans="1:14">
      <c r="A63" s="8">
        <v>2</v>
      </c>
      <c r="B63" s="71">
        <v>37361</v>
      </c>
      <c r="C63" s="12">
        <v>2002</v>
      </c>
      <c r="D63" s="16" t="s">
        <v>21</v>
      </c>
      <c r="E63" s="12">
        <v>4</v>
      </c>
      <c r="F63" s="13">
        <v>2.1580438395184895</v>
      </c>
      <c r="G63" s="13">
        <v>0.40112858776119326</v>
      </c>
    </row>
    <row r="64" spans="1:14">
      <c r="A64" s="8">
        <v>16</v>
      </c>
      <c r="B64" s="71">
        <v>37361</v>
      </c>
      <c r="C64" s="12">
        <v>2002</v>
      </c>
      <c r="D64" s="16" t="s">
        <v>21</v>
      </c>
      <c r="E64" s="12">
        <v>4</v>
      </c>
      <c r="F64" s="13">
        <v>1.774534540696767</v>
      </c>
      <c r="G64" s="13">
        <v>0.40847283622906355</v>
      </c>
      <c r="I64" s="29">
        <f>AVERAGE(F63:F64)</f>
        <v>1.9662891901076283</v>
      </c>
      <c r="J64" s="29">
        <f>AVERAGE(G63:G64)</f>
        <v>0.4048007119951284</v>
      </c>
      <c r="L64">
        <f>+J64/I64</f>
        <v>0.20587038469807736</v>
      </c>
      <c r="M64">
        <f>+(L64-$L$619)/$L$620</f>
        <v>-0.61258274146006519</v>
      </c>
      <c r="N64">
        <f>+N62+M64</f>
        <v>-5.3536363054233167</v>
      </c>
    </row>
    <row r="65" spans="1:14">
      <c r="A65" s="8">
        <v>2</v>
      </c>
      <c r="B65" s="71">
        <v>37389</v>
      </c>
      <c r="C65" s="12">
        <v>2002</v>
      </c>
      <c r="D65" s="16" t="s">
        <v>22</v>
      </c>
      <c r="E65" s="12">
        <v>5</v>
      </c>
      <c r="F65" s="13">
        <v>3.4447134973659104</v>
      </c>
      <c r="G65" s="21"/>
    </row>
    <row r="66" spans="1:14">
      <c r="A66" s="8">
        <v>16</v>
      </c>
      <c r="B66" s="71">
        <v>37389</v>
      </c>
      <c r="C66" s="12">
        <v>2002</v>
      </c>
      <c r="D66" s="16" t="s">
        <v>22</v>
      </c>
      <c r="E66" s="12">
        <v>5</v>
      </c>
      <c r="F66" s="13">
        <v>8.881687495300195</v>
      </c>
      <c r="G66" s="21"/>
      <c r="I66" s="29">
        <f>AVERAGE(F65:F66)</f>
        <v>6.1632004963330527</v>
      </c>
      <c r="J66" s="29" t="e">
        <f>AVERAGE(G65:G66)</f>
        <v>#DIV/0!</v>
      </c>
    </row>
    <row r="67" spans="1:14">
      <c r="A67" s="8">
        <v>2</v>
      </c>
      <c r="B67" s="71">
        <v>37418</v>
      </c>
      <c r="C67" s="12">
        <v>2002</v>
      </c>
      <c r="D67" s="16" t="s">
        <v>23</v>
      </c>
      <c r="E67" s="12">
        <v>6</v>
      </c>
      <c r="F67" s="13">
        <v>10.009571909247931</v>
      </c>
      <c r="G67" s="21"/>
    </row>
    <row r="68" spans="1:14">
      <c r="A68" s="8">
        <v>16</v>
      </c>
      <c r="B68" s="71">
        <v>37418</v>
      </c>
      <c r="C68" s="12">
        <v>2002</v>
      </c>
      <c r="D68" s="16" t="s">
        <v>23</v>
      </c>
      <c r="E68" s="12">
        <v>6</v>
      </c>
      <c r="F68" s="13">
        <v>13.419695934897145</v>
      </c>
      <c r="G68" s="21"/>
      <c r="I68" s="29">
        <f>AVERAGE(F67:F68)</f>
        <v>11.714633922072538</v>
      </c>
      <c r="J68" s="29" t="e">
        <f>AVERAGE(G67:G68)</f>
        <v>#DIV/0!</v>
      </c>
    </row>
    <row r="69" spans="1:14">
      <c r="A69" s="8">
        <v>2</v>
      </c>
      <c r="B69" s="71">
        <v>37455</v>
      </c>
      <c r="C69" s="12">
        <v>2002</v>
      </c>
      <c r="D69" s="16" t="s">
        <v>24</v>
      </c>
      <c r="E69" s="12">
        <v>7</v>
      </c>
      <c r="F69" s="13">
        <v>5.3211790943017867</v>
      </c>
      <c r="G69" s="21"/>
    </row>
    <row r="70" spans="1:14">
      <c r="A70" s="8">
        <v>16</v>
      </c>
      <c r="B70" s="71">
        <v>37455</v>
      </c>
      <c r="C70" s="12">
        <v>2002</v>
      </c>
      <c r="D70" s="16" t="s">
        <v>24</v>
      </c>
      <c r="E70" s="12">
        <v>7</v>
      </c>
      <c r="F70" s="13">
        <v>4.7489580401675386</v>
      </c>
      <c r="G70" s="21"/>
      <c r="I70" s="29">
        <f>AVERAGE(F69:F70)</f>
        <v>5.0350685672346627</v>
      </c>
      <c r="J70" s="29" t="e">
        <f>AVERAGE(G69:G70)</f>
        <v>#DIV/0!</v>
      </c>
    </row>
    <row r="71" spans="1:14">
      <c r="A71" s="8">
        <v>2</v>
      </c>
      <c r="B71" s="71">
        <v>37483</v>
      </c>
      <c r="C71" s="12">
        <v>2002</v>
      </c>
      <c r="D71" s="16" t="s">
        <v>25</v>
      </c>
      <c r="E71" s="12">
        <v>8</v>
      </c>
      <c r="F71" s="13">
        <v>8.9276388533360702</v>
      </c>
      <c r="G71" s="21"/>
    </row>
    <row r="72" spans="1:14">
      <c r="A72" s="8">
        <v>16</v>
      </c>
      <c r="B72" s="71">
        <v>37483</v>
      </c>
      <c r="C72" s="12">
        <v>2002</v>
      </c>
      <c r="D72" s="16" t="s">
        <v>25</v>
      </c>
      <c r="E72" s="12">
        <v>8</v>
      </c>
      <c r="F72" s="13">
        <v>6.9124704484348456</v>
      </c>
      <c r="G72" s="21"/>
      <c r="I72" s="29">
        <f>AVERAGE(F71:F72)</f>
        <v>7.9200546508854579</v>
      </c>
      <c r="J72" s="29" t="e">
        <f>AVERAGE(G71:G72)</f>
        <v>#DIV/0!</v>
      </c>
    </row>
    <row r="73" spans="1:14">
      <c r="A73" s="8">
        <v>2</v>
      </c>
      <c r="B73" s="71">
        <v>37516</v>
      </c>
      <c r="C73" s="12">
        <v>2002</v>
      </c>
      <c r="D73" s="16" t="s">
        <v>26</v>
      </c>
      <c r="E73" s="12">
        <v>9</v>
      </c>
      <c r="F73" s="13">
        <v>3.173773117201462</v>
      </c>
      <c r="G73" s="21"/>
    </row>
    <row r="74" spans="1:14">
      <c r="A74" s="8">
        <v>16</v>
      </c>
      <c r="B74" s="71">
        <v>37516</v>
      </c>
      <c r="C74" s="12">
        <v>2002</v>
      </c>
      <c r="D74" s="16" t="s">
        <v>26</v>
      </c>
      <c r="E74" s="12">
        <v>9</v>
      </c>
      <c r="F74" s="13">
        <v>3.8178663332300089</v>
      </c>
      <c r="G74" s="21"/>
      <c r="I74" s="29">
        <f>AVERAGE(F73:F74)</f>
        <v>3.4958197252157355</v>
      </c>
      <c r="J74" s="29" t="e">
        <f>AVERAGE(G73:G74)</f>
        <v>#DIV/0!</v>
      </c>
    </row>
    <row r="75" spans="1:14">
      <c r="A75" s="8">
        <v>2</v>
      </c>
      <c r="B75" s="71">
        <v>37544</v>
      </c>
      <c r="C75" s="12">
        <v>2002</v>
      </c>
      <c r="D75" s="16" t="s">
        <v>14</v>
      </c>
      <c r="E75" s="12">
        <v>10</v>
      </c>
      <c r="F75" s="17">
        <v>0.59088981632737425</v>
      </c>
      <c r="G75" s="17">
        <v>0.16742750348797616</v>
      </c>
    </row>
    <row r="76" spans="1:14">
      <c r="A76" s="8">
        <v>16</v>
      </c>
      <c r="B76" s="71">
        <v>37544</v>
      </c>
      <c r="C76" s="12">
        <v>2002</v>
      </c>
      <c r="D76" s="16" t="s">
        <v>14</v>
      </c>
      <c r="E76" s="12">
        <v>10</v>
      </c>
      <c r="F76" s="17">
        <v>0.85666815903047522</v>
      </c>
      <c r="G76" s="17">
        <v>0.13748606800473298</v>
      </c>
      <c r="I76" s="29">
        <f>AVERAGE(F75:F76)</f>
        <v>0.72377898767892468</v>
      </c>
      <c r="J76" s="29">
        <f>AVERAGE(G75:G76)</f>
        <v>0.15245678574635457</v>
      </c>
      <c r="L76">
        <f>+J76/I76</f>
        <v>0.21063997206559673</v>
      </c>
      <c r="M76">
        <f>+(L76-$L$619)/$L$620</f>
        <v>-0.56988439697088489</v>
      </c>
      <c r="N76">
        <f>+N64+M76</f>
        <v>-5.9235207023942014</v>
      </c>
    </row>
    <row r="77" spans="1:14">
      <c r="A77" s="8">
        <v>2</v>
      </c>
      <c r="B77" s="71">
        <v>37575</v>
      </c>
      <c r="C77" s="12">
        <v>2002</v>
      </c>
      <c r="D77" s="16" t="s">
        <v>16</v>
      </c>
      <c r="E77" s="12">
        <v>11</v>
      </c>
      <c r="F77" s="17">
        <v>1.6548308255377724</v>
      </c>
      <c r="G77" s="17">
        <v>0.275401129091774</v>
      </c>
    </row>
    <row r="78" spans="1:14">
      <c r="A78" s="8">
        <v>16</v>
      </c>
      <c r="B78" s="71">
        <v>37575</v>
      </c>
      <c r="C78" s="12">
        <v>2002</v>
      </c>
      <c r="D78" s="16" t="s">
        <v>16</v>
      </c>
      <c r="E78" s="12">
        <v>11</v>
      </c>
      <c r="F78" s="17">
        <v>1.5187610701365515</v>
      </c>
      <c r="G78" s="17">
        <v>0.1885345558854275</v>
      </c>
      <c r="I78" s="29">
        <f>AVERAGE(F77:F78)</f>
        <v>1.586795947837162</v>
      </c>
      <c r="J78" s="29">
        <f>AVERAGE(G77:G78)</f>
        <v>0.23196784248860075</v>
      </c>
      <c r="L78">
        <f>+J78/I78</f>
        <v>0.14618630883496903</v>
      </c>
      <c r="M78">
        <f>+(L78-$L$619)/$L$620</f>
        <v>-1.1468870817214289</v>
      </c>
      <c r="N78">
        <f>+N76+M78</f>
        <v>-7.0704077841156305</v>
      </c>
    </row>
    <row r="79" spans="1:14">
      <c r="A79" s="8">
        <v>2</v>
      </c>
      <c r="B79" s="71">
        <v>37609</v>
      </c>
      <c r="C79" s="12">
        <v>2002</v>
      </c>
      <c r="D79" s="16" t="s">
        <v>17</v>
      </c>
      <c r="E79" s="12">
        <v>12</v>
      </c>
      <c r="F79" s="17">
        <v>2.8975742868231502</v>
      </c>
      <c r="G79" s="17">
        <v>0.87987315910174091</v>
      </c>
    </row>
    <row r="80" spans="1:14">
      <c r="A80" s="8">
        <v>16</v>
      </c>
      <c r="B80" s="71">
        <v>37609</v>
      </c>
      <c r="C80" s="12">
        <v>2002</v>
      </c>
      <c r="D80" s="16" t="s">
        <v>17</v>
      </c>
      <c r="E80" s="12">
        <v>12</v>
      </c>
      <c r="F80" s="17">
        <v>2.2313565544436207</v>
      </c>
      <c r="G80" s="17">
        <v>0.41413982747815586</v>
      </c>
      <c r="I80" s="29">
        <f>AVERAGE(F79:F80)</f>
        <v>2.5644654206333852</v>
      </c>
      <c r="J80" s="29">
        <f>AVERAGE(G79:G80)</f>
        <v>0.64700649328994841</v>
      </c>
      <c r="L80">
        <f>+J80/I80</f>
        <v>0.25229682883778065</v>
      </c>
      <c r="M80">
        <f>+(L80-$L$619)/$L$620</f>
        <v>-0.19696349548832504</v>
      </c>
      <c r="N80">
        <f>+N78+M80</f>
        <v>-7.2673712796039558</v>
      </c>
    </row>
    <row r="81" spans="1:14">
      <c r="A81" s="8">
        <v>2</v>
      </c>
      <c r="B81" s="71">
        <v>37635</v>
      </c>
      <c r="C81" s="12">
        <v>2003</v>
      </c>
      <c r="D81" s="16" t="s">
        <v>18</v>
      </c>
      <c r="E81" s="12">
        <v>1</v>
      </c>
      <c r="F81" s="17">
        <v>7.3807167788437722</v>
      </c>
      <c r="G81" s="17">
        <v>1.5939515615038713</v>
      </c>
    </row>
    <row r="82" spans="1:14">
      <c r="A82" s="8">
        <v>16</v>
      </c>
      <c r="B82" s="71">
        <v>37635</v>
      </c>
      <c r="C82" s="12">
        <v>2003</v>
      </c>
      <c r="D82" s="16" t="s">
        <v>18</v>
      </c>
      <c r="E82" s="12">
        <v>1</v>
      </c>
      <c r="F82" s="17">
        <v>8.3268224592865661</v>
      </c>
      <c r="G82" s="17">
        <v>1.6394506053540789</v>
      </c>
      <c r="I82" s="29">
        <f>AVERAGE(F81:F82)</f>
        <v>7.8537696190651687</v>
      </c>
      <c r="J82" s="29">
        <f>AVERAGE(G81:G82)</f>
        <v>1.6167010834289752</v>
      </c>
      <c r="L82">
        <f>+J82/I82</f>
        <v>0.20585033198636282</v>
      </c>
      <c r="M82">
        <f>+(L82-$L$619)/$L$620</f>
        <v>-0.6127622575327889</v>
      </c>
      <c r="N82">
        <f>+N80+M82</f>
        <v>-7.8801335371367447</v>
      </c>
    </row>
    <row r="83" spans="1:14">
      <c r="A83" s="8">
        <v>2</v>
      </c>
      <c r="B83" s="71">
        <v>37665</v>
      </c>
      <c r="C83" s="12">
        <v>2003</v>
      </c>
      <c r="D83" s="11" t="s">
        <v>19</v>
      </c>
      <c r="E83" s="12">
        <v>2</v>
      </c>
      <c r="F83" s="17">
        <v>7.0307100892642236</v>
      </c>
      <c r="G83" s="17">
        <v>2.518194460657488</v>
      </c>
    </row>
    <row r="84" spans="1:14">
      <c r="A84" s="8">
        <v>16</v>
      </c>
      <c r="B84" s="71">
        <v>37665</v>
      </c>
      <c r="C84" s="12">
        <v>2003</v>
      </c>
      <c r="D84" s="11" t="s">
        <v>19</v>
      </c>
      <c r="E84" s="12">
        <v>2</v>
      </c>
      <c r="F84" s="17">
        <v>5.7501164628940291</v>
      </c>
      <c r="G84" s="17">
        <v>2.0982849166212052</v>
      </c>
      <c r="I84" s="29">
        <f>AVERAGE(F83:F84)</f>
        <v>6.3904132760791263</v>
      </c>
      <c r="J84" s="29">
        <f>AVERAGE(G83:G84)</f>
        <v>2.3082396886393468</v>
      </c>
      <c r="L84">
        <f>+J84/I84</f>
        <v>0.36120350733490902</v>
      </c>
      <c r="M84">
        <f>+(L84-$L$619)/$L$620</f>
        <v>0.77799188688079957</v>
      </c>
      <c r="N84">
        <f>+N82+M84</f>
        <v>-7.1021416502559447</v>
      </c>
    </row>
    <row r="85" spans="1:14">
      <c r="A85" s="8">
        <v>2</v>
      </c>
      <c r="B85" s="71">
        <v>37690</v>
      </c>
      <c r="C85" s="12">
        <v>2003</v>
      </c>
      <c r="D85" s="11" t="s">
        <v>20</v>
      </c>
      <c r="E85" s="12">
        <v>3</v>
      </c>
      <c r="F85" s="17">
        <v>5.4394671209078842</v>
      </c>
      <c r="G85" s="17">
        <v>2.0529188246809227</v>
      </c>
    </row>
    <row r="86" spans="1:14">
      <c r="A86" s="8">
        <v>16</v>
      </c>
      <c r="B86" s="71">
        <v>37692</v>
      </c>
      <c r="C86" s="12">
        <v>2003</v>
      </c>
      <c r="D86" s="11" t="s">
        <v>20</v>
      </c>
      <c r="E86" s="12">
        <v>3</v>
      </c>
      <c r="F86" s="17">
        <v>6.7191308328276174</v>
      </c>
      <c r="G86" s="17">
        <v>2.3962652413433645</v>
      </c>
      <c r="I86" s="29">
        <f>AVERAGE(F85:F86)</f>
        <v>6.0792989768677508</v>
      </c>
      <c r="J86" s="29">
        <f>AVERAGE(G85:G86)</f>
        <v>2.2245920330121436</v>
      </c>
      <c r="L86">
        <f>+J86/I86</f>
        <v>0.36592903910087421</v>
      </c>
      <c r="M86">
        <f>+(L86-$L$619)/$L$620</f>
        <v>0.82029583640310111</v>
      </c>
      <c r="N86">
        <f>+N84+M86</f>
        <v>-6.2818458138528435</v>
      </c>
    </row>
    <row r="87" spans="1:14">
      <c r="A87" s="8">
        <v>2</v>
      </c>
      <c r="B87" s="71">
        <v>37725</v>
      </c>
      <c r="C87" s="12">
        <v>2003</v>
      </c>
      <c r="D87" s="11" t="s">
        <v>21</v>
      </c>
      <c r="E87" s="12">
        <v>4</v>
      </c>
      <c r="F87" s="17">
        <v>11.05539663202868</v>
      </c>
      <c r="G87" s="17">
        <v>4.1425907004633089</v>
      </c>
    </row>
    <row r="88" spans="1:14">
      <c r="A88" s="8">
        <v>16</v>
      </c>
      <c r="B88" s="71">
        <v>37725</v>
      </c>
      <c r="C88" s="12">
        <v>2003</v>
      </c>
      <c r="D88" s="11" t="s">
        <v>21</v>
      </c>
      <c r="E88" s="12">
        <v>4</v>
      </c>
      <c r="F88" s="17">
        <v>6.8301543624819328</v>
      </c>
      <c r="G88" s="17">
        <v>2.6557837799560433</v>
      </c>
      <c r="I88" s="29">
        <f>AVERAGE(F87:F88)</f>
        <v>8.9427754972553064</v>
      </c>
      <c r="J88" s="29">
        <f>AVERAGE(G87:G88)</f>
        <v>3.3991872402096761</v>
      </c>
      <c r="L88">
        <f>+J88/I88</f>
        <v>0.38010427984611106</v>
      </c>
      <c r="M88">
        <f>+(L88-$L$619)/$L$620</f>
        <v>0.94719555873106831</v>
      </c>
      <c r="N88">
        <f>+N86+M88</f>
        <v>-5.3346502551217752</v>
      </c>
    </row>
    <row r="89" spans="1:14">
      <c r="A89" s="8">
        <v>2</v>
      </c>
      <c r="B89" s="71">
        <v>37753</v>
      </c>
      <c r="C89" s="12">
        <v>2003</v>
      </c>
      <c r="D89" s="11" t="s">
        <v>22</v>
      </c>
      <c r="E89" s="12">
        <v>5</v>
      </c>
      <c r="F89" s="17">
        <v>5.7161307948784339</v>
      </c>
      <c r="G89" s="17">
        <v>2.7439324492822754</v>
      </c>
    </row>
    <row r="90" spans="1:14">
      <c r="A90" s="8">
        <v>16</v>
      </c>
      <c r="B90" s="71">
        <v>37753</v>
      </c>
      <c r="C90" s="12">
        <v>2003</v>
      </c>
      <c r="D90" s="11" t="s">
        <v>22</v>
      </c>
      <c r="E90" s="12">
        <v>5</v>
      </c>
      <c r="F90" s="17">
        <v>4.8233307954777436</v>
      </c>
      <c r="G90" s="17">
        <v>1.8906373248426707</v>
      </c>
      <c r="I90" s="29">
        <f>AVERAGE(F89:F90)</f>
        <v>5.2697307951780887</v>
      </c>
      <c r="J90" s="29">
        <f>AVERAGE(G89:G90)</f>
        <v>2.3172848870624732</v>
      </c>
      <c r="L90">
        <f>+J90/I90</f>
        <v>0.43973496505416104</v>
      </c>
      <c r="M90">
        <f>+(L90-$L$619)/$L$620</f>
        <v>1.4810219346725606</v>
      </c>
      <c r="N90">
        <f>+N88+M90</f>
        <v>-3.8536283204492143</v>
      </c>
    </row>
    <row r="91" spans="1:14">
      <c r="A91" s="8">
        <v>2</v>
      </c>
      <c r="B91" s="71">
        <v>37792</v>
      </c>
      <c r="C91" s="12">
        <v>2003</v>
      </c>
      <c r="D91" s="11" t="s">
        <v>23</v>
      </c>
      <c r="E91" s="12">
        <v>6</v>
      </c>
      <c r="F91" s="17">
        <v>9.9054037962471089</v>
      </c>
      <c r="G91" s="17">
        <v>4.4420833048860686</v>
      </c>
    </row>
    <row r="92" spans="1:14">
      <c r="A92" s="8">
        <v>16</v>
      </c>
      <c r="B92" s="71">
        <v>37792</v>
      </c>
      <c r="C92" s="12">
        <v>2003</v>
      </c>
      <c r="D92" s="11" t="s">
        <v>23</v>
      </c>
      <c r="E92" s="12">
        <v>6</v>
      </c>
      <c r="F92" s="17">
        <v>19.594853935043346</v>
      </c>
      <c r="G92" s="17">
        <v>9.1565451289376032</v>
      </c>
      <c r="I92" s="29">
        <f>AVERAGE(F91:F92)</f>
        <v>14.750128865645227</v>
      </c>
      <c r="J92" s="29">
        <f>AVERAGE(G91:G92)</f>
        <v>6.7993142169118359</v>
      </c>
      <c r="L92">
        <f>+J92/I92</f>
        <v>0.46096642807970534</v>
      </c>
      <c r="M92">
        <f>+(L92-$L$619)/$L$620</f>
        <v>1.6710904358698611</v>
      </c>
      <c r="N92">
        <f>+N90+M92</f>
        <v>-2.1825378845793533</v>
      </c>
    </row>
    <row r="93" spans="1:14">
      <c r="A93" s="8">
        <v>2</v>
      </c>
      <c r="B93" s="71">
        <v>37817</v>
      </c>
      <c r="C93" s="12">
        <v>2003</v>
      </c>
      <c r="D93" s="16" t="s">
        <v>24</v>
      </c>
      <c r="E93" s="12">
        <v>7</v>
      </c>
      <c r="F93" s="17">
        <v>14.487619123674301</v>
      </c>
      <c r="G93" s="17">
        <v>1.5187089819661199</v>
      </c>
    </row>
    <row r="94" spans="1:14">
      <c r="A94" s="8">
        <v>16</v>
      </c>
      <c r="B94" s="71">
        <v>37817</v>
      </c>
      <c r="C94" s="12">
        <v>2003</v>
      </c>
      <c r="D94" s="16" t="s">
        <v>24</v>
      </c>
      <c r="E94" s="12">
        <v>7</v>
      </c>
      <c r="F94" s="17">
        <v>12.646929840868735</v>
      </c>
      <c r="G94" s="17">
        <v>0.81330394610459533</v>
      </c>
      <c r="I94" s="29">
        <f>AVERAGE(F93:F94)</f>
        <v>13.567274482271518</v>
      </c>
      <c r="J94" s="29">
        <f>AVERAGE(G93:G94)</f>
        <v>1.1660064640353576</v>
      </c>
      <c r="L94">
        <f>+J94/I94</f>
        <v>8.5942571999924444E-2</v>
      </c>
      <c r="M94">
        <f>+(L94-$L$619)/$L$620</f>
        <v>-1.6862016241524014</v>
      </c>
      <c r="N94">
        <f>+N92+M94</f>
        <v>-3.8687395087317547</v>
      </c>
    </row>
    <row r="95" spans="1:14">
      <c r="A95" s="8">
        <v>2</v>
      </c>
      <c r="B95" s="71">
        <v>37845</v>
      </c>
      <c r="C95" s="12">
        <v>2003</v>
      </c>
      <c r="D95" s="16" t="s">
        <v>25</v>
      </c>
      <c r="E95" s="12">
        <v>8</v>
      </c>
      <c r="F95" s="17">
        <v>19.537651800896953</v>
      </c>
      <c r="G95" s="17">
        <v>2.2782867328957348</v>
      </c>
    </row>
    <row r="96" spans="1:14">
      <c r="A96" s="8">
        <v>16</v>
      </c>
      <c r="B96" s="71">
        <v>37845</v>
      </c>
      <c r="C96" s="12">
        <v>2003</v>
      </c>
      <c r="D96" s="16" t="s">
        <v>25</v>
      </c>
      <c r="E96" s="12">
        <v>8</v>
      </c>
      <c r="F96" s="17">
        <v>20.502660158281593</v>
      </c>
      <c r="G96" s="17">
        <v>1.9303375580033511</v>
      </c>
      <c r="I96" s="29">
        <f>AVERAGE(F95:F96)</f>
        <v>20.020155979589273</v>
      </c>
      <c r="J96" s="29">
        <f>AVERAGE(G95:G96)</f>
        <v>2.1043121454495428</v>
      </c>
      <c r="L96">
        <f>+J96/I96</f>
        <v>0.10510967784641177</v>
      </c>
      <c r="M96">
        <f>+(L96-$L$619)/$L$620</f>
        <v>-1.5146136805354791</v>
      </c>
      <c r="N96">
        <f>+N94+M96</f>
        <v>-5.3833531892672335</v>
      </c>
    </row>
    <row r="97" spans="1:14">
      <c r="A97" s="8">
        <v>2</v>
      </c>
      <c r="B97" s="71">
        <v>37888</v>
      </c>
      <c r="C97" s="12">
        <v>2003</v>
      </c>
      <c r="D97" s="16" t="s">
        <v>26</v>
      </c>
      <c r="E97" s="12">
        <v>9</v>
      </c>
      <c r="F97" s="17">
        <v>3.6079961892922769</v>
      </c>
      <c r="G97" s="17">
        <v>0.58998941386310078</v>
      </c>
    </row>
    <row r="98" spans="1:14">
      <c r="A98" s="8">
        <v>16</v>
      </c>
      <c r="B98" s="71">
        <v>37888</v>
      </c>
      <c r="C98" s="12">
        <v>2003</v>
      </c>
      <c r="D98" s="16" t="s">
        <v>26</v>
      </c>
      <c r="E98" s="12">
        <v>9</v>
      </c>
      <c r="F98" s="17">
        <v>4.389143577658345</v>
      </c>
      <c r="G98" s="17">
        <v>1.0287609995914782</v>
      </c>
      <c r="I98" s="29">
        <f>AVERAGE(F97:F98)</f>
        <v>3.9985698834753109</v>
      </c>
      <c r="J98" s="29">
        <f>AVERAGE(G97:G98)</f>
        <v>0.80937520672728946</v>
      </c>
      <c r="L98">
        <f>+J98/I98</f>
        <v>0.20241617135970383</v>
      </c>
      <c r="M98">
        <f>+(L98-$L$619)/$L$620</f>
        <v>-0.64350558230482846</v>
      </c>
      <c r="N98">
        <f>+N96+M98</f>
        <v>-6.0268587715720621</v>
      </c>
    </row>
    <row r="99" spans="1:14">
      <c r="A99" s="8">
        <v>2</v>
      </c>
      <c r="B99" s="71">
        <v>37908</v>
      </c>
      <c r="C99" s="12">
        <v>2003</v>
      </c>
      <c r="D99" s="16" t="s">
        <v>14</v>
      </c>
      <c r="E99" s="12">
        <v>10</v>
      </c>
      <c r="F99" s="13">
        <v>2.2682000000000002</v>
      </c>
      <c r="G99" s="17">
        <v>0.38630853874783067</v>
      </c>
    </row>
    <row r="100" spans="1:14">
      <c r="A100" s="8">
        <v>16</v>
      </c>
      <c r="B100" s="71">
        <v>37908</v>
      </c>
      <c r="C100" s="12">
        <v>2003</v>
      </c>
      <c r="D100" s="16" t="s">
        <v>14</v>
      </c>
      <c r="E100" s="12">
        <v>10</v>
      </c>
      <c r="F100" s="13">
        <v>4.5435999999999996</v>
      </c>
      <c r="G100" s="17">
        <v>0.56843939941998611</v>
      </c>
      <c r="I100" s="29">
        <f>AVERAGE(F99:F100)</f>
        <v>3.4058999999999999</v>
      </c>
      <c r="J100" s="29">
        <f>AVERAGE(G99:G100)</f>
        <v>0.47737396908390839</v>
      </c>
      <c r="L100">
        <f>+J100/I100</f>
        <v>0.14016088818929165</v>
      </c>
      <c r="M100">
        <f>+(L100-$L$619)/$L$620</f>
        <v>-1.2008279085890494</v>
      </c>
      <c r="N100">
        <f>+N98+M100</f>
        <v>-7.2276866801611117</v>
      </c>
    </row>
    <row r="101" spans="1:14">
      <c r="A101" s="8">
        <v>2</v>
      </c>
      <c r="B101" s="71">
        <v>37943</v>
      </c>
      <c r="C101" s="12">
        <v>2003</v>
      </c>
      <c r="D101" s="16" t="s">
        <v>16</v>
      </c>
      <c r="E101" s="12">
        <v>11</v>
      </c>
      <c r="F101" s="13">
        <v>1.7544</v>
      </c>
      <c r="G101" s="17">
        <v>0.45697952891881594</v>
      </c>
    </row>
    <row r="102" spans="1:14">
      <c r="A102" s="8">
        <v>16</v>
      </c>
      <c r="B102" s="71">
        <v>37943</v>
      </c>
      <c r="C102" s="12">
        <v>2003</v>
      </c>
      <c r="D102" s="16" t="s">
        <v>16</v>
      </c>
      <c r="E102" s="12">
        <v>11</v>
      </c>
      <c r="F102" s="13">
        <v>2.1516000000000002</v>
      </c>
      <c r="G102" s="17">
        <v>0.37417733881173781</v>
      </c>
      <c r="I102" s="29">
        <f>AVERAGE(F101:F102)</f>
        <v>1.9530000000000001</v>
      </c>
      <c r="J102" s="29">
        <f>AVERAGE(G101:G102)</f>
        <v>0.41557843386527688</v>
      </c>
      <c r="L102">
        <f>+J102/I102</f>
        <v>0.21278977668472956</v>
      </c>
      <c r="M102">
        <f>+(L102-$L$619)/$L$620</f>
        <v>-0.55063889602099758</v>
      </c>
      <c r="N102">
        <f>+N100+M102</f>
        <v>-7.7783255761821088</v>
      </c>
    </row>
    <row r="103" spans="1:14">
      <c r="A103" s="8">
        <v>2</v>
      </c>
      <c r="B103" s="71">
        <v>37973</v>
      </c>
      <c r="C103" s="12">
        <v>2003</v>
      </c>
      <c r="D103" s="16" t="s">
        <v>17</v>
      </c>
      <c r="E103" s="12">
        <v>12</v>
      </c>
      <c r="F103" s="13">
        <v>6.9042000000000003</v>
      </c>
      <c r="G103" s="17">
        <v>1.9167876880213932</v>
      </c>
    </row>
    <row r="104" spans="1:14">
      <c r="A104" s="8">
        <v>16</v>
      </c>
      <c r="B104" s="71">
        <v>37973</v>
      </c>
      <c r="C104" s="12">
        <v>2003</v>
      </c>
      <c r="D104" s="16" t="s">
        <v>17</v>
      </c>
      <c r="E104" s="12">
        <v>12</v>
      </c>
      <c r="F104" s="13">
        <v>8.3348999999999993</v>
      </c>
      <c r="G104" s="17">
        <v>2.3124631306178207</v>
      </c>
      <c r="I104" s="29">
        <f>AVERAGE(F103:F104)</f>
        <v>7.6195500000000003</v>
      </c>
      <c r="J104" s="29">
        <f>AVERAGE(G103:G104)</f>
        <v>2.1146254093196069</v>
      </c>
      <c r="L104">
        <f>+J104/I104</f>
        <v>0.2775262855837427</v>
      </c>
      <c r="M104">
        <f>+(L104-$L$619)/$L$620</f>
        <v>2.8895882358491852E-2</v>
      </c>
      <c r="N104">
        <f>+N102+M104</f>
        <v>-7.7494296938236173</v>
      </c>
    </row>
    <row r="105" spans="1:14">
      <c r="A105" s="8">
        <v>2</v>
      </c>
      <c r="B105" s="71">
        <v>38000</v>
      </c>
      <c r="C105" s="12">
        <v>2004</v>
      </c>
      <c r="D105" s="16" t="s">
        <v>18</v>
      </c>
      <c r="E105" s="12">
        <v>1</v>
      </c>
      <c r="F105" s="13">
        <v>7.9244000000000003</v>
      </c>
      <c r="G105" s="13">
        <v>2.658166202296588</v>
      </c>
    </row>
    <row r="106" spans="1:14">
      <c r="A106" s="8">
        <v>16</v>
      </c>
      <c r="B106" s="71">
        <v>37999</v>
      </c>
      <c r="C106" s="12">
        <v>2004</v>
      </c>
      <c r="D106" s="16" t="s">
        <v>18</v>
      </c>
      <c r="E106" s="12">
        <v>1</v>
      </c>
      <c r="F106" s="13">
        <v>4.7584999999999997</v>
      </c>
      <c r="G106" s="13">
        <v>1.7826682150826958</v>
      </c>
      <c r="I106" s="29">
        <f>AVERAGE(F105:F106)</f>
        <v>6.34145</v>
      </c>
      <c r="J106" s="29">
        <f>AVERAGE(G105:G106)</f>
        <v>2.2204172086896419</v>
      </c>
      <c r="L106">
        <f>+J106/I106</f>
        <v>0.35014345436605854</v>
      </c>
      <c r="M106">
        <f>+(L106-$L$619)/$L$620</f>
        <v>0.67897997760149198</v>
      </c>
      <c r="N106">
        <f>+N104+M106</f>
        <v>-7.0704497162221251</v>
      </c>
    </row>
    <row r="107" spans="1:14">
      <c r="A107" s="8">
        <v>2</v>
      </c>
      <c r="B107" s="71">
        <v>38027</v>
      </c>
      <c r="C107" s="12">
        <v>2004</v>
      </c>
      <c r="D107" s="11" t="s">
        <v>19</v>
      </c>
      <c r="E107" s="12">
        <v>2</v>
      </c>
      <c r="F107" s="13">
        <v>8.4512999999999998</v>
      </c>
      <c r="G107" s="13">
        <v>3.4366160320971737</v>
      </c>
    </row>
    <row r="108" spans="1:14">
      <c r="A108" s="8">
        <v>16</v>
      </c>
      <c r="B108" s="71">
        <v>38027</v>
      </c>
      <c r="C108" s="12">
        <v>2004</v>
      </c>
      <c r="D108" s="11" t="s">
        <v>19</v>
      </c>
      <c r="E108" s="12">
        <v>2</v>
      </c>
      <c r="F108" s="13">
        <v>6.8272000000000004</v>
      </c>
      <c r="G108" s="13">
        <v>2.627782684980164</v>
      </c>
      <c r="I108" s="29">
        <f>AVERAGE(F107:F108)</f>
        <v>7.6392500000000005</v>
      </c>
      <c r="J108" s="29">
        <f>AVERAGE(G107:G108)</f>
        <v>3.0321993585386688</v>
      </c>
      <c r="L108">
        <f>+J108/I108</f>
        <v>0.3969236978157108</v>
      </c>
      <c r="M108">
        <f>+(L108-$L$619)/$L$620</f>
        <v>1.0977665090535467</v>
      </c>
      <c r="N108">
        <f>+N106+M108</f>
        <v>-5.9726832071685783</v>
      </c>
    </row>
    <row r="109" spans="1:14">
      <c r="A109" s="8">
        <v>2</v>
      </c>
      <c r="B109" s="71">
        <v>38063</v>
      </c>
      <c r="C109" s="12">
        <v>2004</v>
      </c>
      <c r="D109" s="11" t="s">
        <v>20</v>
      </c>
      <c r="E109" s="12">
        <v>3</v>
      </c>
      <c r="F109" s="13">
        <v>5.9840999999999998</v>
      </c>
      <c r="G109" s="13">
        <v>2.2269674446284151</v>
      </c>
    </row>
    <row r="110" spans="1:14">
      <c r="A110" s="8">
        <v>16</v>
      </c>
      <c r="B110" s="71">
        <v>38063</v>
      </c>
      <c r="C110" s="12">
        <v>2004</v>
      </c>
      <c r="D110" s="11" t="s">
        <v>20</v>
      </c>
      <c r="E110" s="12">
        <v>3</v>
      </c>
      <c r="F110" s="13">
        <v>5.5353000000000003</v>
      </c>
      <c r="G110" s="13">
        <v>2.1785938216464897</v>
      </c>
      <c r="I110" s="29">
        <f>AVERAGE(F109:F110)</f>
        <v>5.7597000000000005</v>
      </c>
      <c r="J110" s="29">
        <f>AVERAGE(G109:G110)</f>
        <v>2.2027806331374524</v>
      </c>
      <c r="L110">
        <f>+J110/I110</f>
        <v>0.38244711237346601</v>
      </c>
      <c r="M110">
        <f>+(L110-$L$619)/$L$620</f>
        <v>0.96816908592016904</v>
      </c>
      <c r="N110">
        <f>+N108+M110</f>
        <v>-5.004514121248409</v>
      </c>
    </row>
    <row r="111" spans="1:14">
      <c r="A111" s="8">
        <v>2</v>
      </c>
      <c r="B111" s="71">
        <v>38094</v>
      </c>
      <c r="C111" s="12">
        <v>2004</v>
      </c>
      <c r="D111" s="11" t="s">
        <v>21</v>
      </c>
      <c r="E111" s="12">
        <v>4</v>
      </c>
      <c r="F111" s="13">
        <v>5.3353000000000002</v>
      </c>
      <c r="G111" s="23">
        <v>1.9262581044497677</v>
      </c>
    </row>
    <row r="112" spans="1:14">
      <c r="A112" s="8">
        <v>16</v>
      </c>
      <c r="B112" s="71">
        <v>38094</v>
      </c>
      <c r="C112" s="12">
        <v>2004</v>
      </c>
      <c r="D112" s="11" t="s">
        <v>21</v>
      </c>
      <c r="E112" s="12">
        <v>4</v>
      </c>
      <c r="F112" s="13">
        <v>6.4290000000000003</v>
      </c>
      <c r="G112" s="23">
        <v>2.3503058093316689</v>
      </c>
      <c r="I112" s="29">
        <f>AVERAGE(F111:F112)</f>
        <v>5.8821500000000002</v>
      </c>
      <c r="J112" s="29">
        <f>AVERAGE(G111:G112)</f>
        <v>2.1382819568907183</v>
      </c>
      <c r="L112">
        <f>+J112/I112</f>
        <v>0.36352047412777949</v>
      </c>
      <c r="M112">
        <f>+(L112-$L$619)/$L$620</f>
        <v>0.7987338586005519</v>
      </c>
      <c r="N112">
        <f>+N110+M112</f>
        <v>-4.2057802626478571</v>
      </c>
    </row>
    <row r="113" spans="1:14">
      <c r="A113" s="8">
        <v>2</v>
      </c>
      <c r="B113" s="71">
        <v>38118</v>
      </c>
      <c r="C113" s="12">
        <v>2004</v>
      </c>
      <c r="D113" s="11" t="s">
        <v>22</v>
      </c>
      <c r="E113" s="12">
        <v>5</v>
      </c>
      <c r="F113" s="13">
        <v>3.1080999999999999</v>
      </c>
      <c r="G113" s="23">
        <v>0.89779515353207762</v>
      </c>
    </row>
    <row r="114" spans="1:14">
      <c r="A114" s="8">
        <v>16</v>
      </c>
      <c r="B114" s="71">
        <v>38118</v>
      </c>
      <c r="C114" s="12">
        <v>2004</v>
      </c>
      <c r="D114" s="11" t="s">
        <v>22</v>
      </c>
      <c r="E114" s="12">
        <v>5</v>
      </c>
      <c r="F114" s="13">
        <v>4.1181999999999999</v>
      </c>
      <c r="G114" s="23">
        <v>1.258275822638689</v>
      </c>
      <c r="I114" s="29">
        <f>AVERAGE(F113:F114)</f>
        <v>3.6131500000000001</v>
      </c>
      <c r="J114" s="29">
        <f>AVERAGE(G113:G114)</f>
        <v>1.0780354880853833</v>
      </c>
      <c r="L114">
        <f>+J114/I114</f>
        <v>0.29836444323800099</v>
      </c>
      <c r="M114">
        <f>+(L114-$L$619)/$L$620</f>
        <v>0.21544343154493756</v>
      </c>
      <c r="N114">
        <f>+N112+M114</f>
        <v>-3.9903368311029195</v>
      </c>
    </row>
    <row r="115" spans="1:14">
      <c r="A115" s="8">
        <v>2</v>
      </c>
      <c r="B115" s="71">
        <v>38153</v>
      </c>
      <c r="C115" s="12">
        <v>2004</v>
      </c>
      <c r="D115" s="11" t="s">
        <v>23</v>
      </c>
      <c r="E115" s="12">
        <v>6</v>
      </c>
      <c r="F115" s="13">
        <v>21.325199999999999</v>
      </c>
      <c r="G115" s="23">
        <v>6.8347429983009533</v>
      </c>
    </row>
    <row r="116" spans="1:14">
      <c r="A116" s="8">
        <v>16</v>
      </c>
      <c r="B116" s="71">
        <v>38153</v>
      </c>
      <c r="C116" s="12">
        <v>2004</v>
      </c>
      <c r="D116" s="11" t="s">
        <v>23</v>
      </c>
      <c r="E116" s="12">
        <v>6</v>
      </c>
      <c r="F116" s="13">
        <v>21.731999999999999</v>
      </c>
      <c r="G116" s="23">
        <v>7.3968172160911374</v>
      </c>
      <c r="I116" s="29">
        <f>AVERAGE(F115:F116)</f>
        <v>21.528599999999997</v>
      </c>
      <c r="J116" s="29">
        <f>AVERAGE(G115:G116)</f>
        <v>7.1157801071960449</v>
      </c>
      <c r="L116">
        <f>+J116/I116</f>
        <v>0.33052683905112484</v>
      </c>
      <c r="M116">
        <f>+(L116-$L$619)/$L$620</f>
        <v>0.50336793113123346</v>
      </c>
      <c r="N116">
        <f>+N114+M116</f>
        <v>-3.4869688999716861</v>
      </c>
    </row>
    <row r="117" spans="1:14">
      <c r="A117" s="8">
        <v>2</v>
      </c>
      <c r="B117" s="71">
        <v>38181</v>
      </c>
      <c r="C117" s="12">
        <v>2004</v>
      </c>
      <c r="D117" s="16" t="s">
        <v>24</v>
      </c>
      <c r="E117" s="12">
        <v>7</v>
      </c>
      <c r="F117" s="13">
        <v>19.874500000000001</v>
      </c>
      <c r="G117" s="23">
        <v>2.0537356233112702</v>
      </c>
    </row>
    <row r="118" spans="1:14">
      <c r="A118" s="8">
        <v>16</v>
      </c>
      <c r="B118" s="71">
        <v>38181</v>
      </c>
      <c r="C118" s="12">
        <v>2004</v>
      </c>
      <c r="D118" s="16" t="s">
        <v>24</v>
      </c>
      <c r="E118" s="12">
        <v>7</v>
      </c>
      <c r="F118" s="13">
        <v>16.134699999999999</v>
      </c>
      <c r="G118" s="23">
        <v>1.6482818492262057</v>
      </c>
      <c r="I118" s="29">
        <f>AVERAGE(F117:F118)</f>
        <v>18.0046</v>
      </c>
      <c r="J118" s="29">
        <f>AVERAGE(G117:G118)</f>
        <v>1.851008736268738</v>
      </c>
      <c r="L118">
        <f>+J118/I118</f>
        <v>0.10280754564215468</v>
      </c>
      <c r="M118">
        <f>+(L118-$L$619)/$L$620</f>
        <v>-1.5352228499127727</v>
      </c>
      <c r="N118">
        <f>+N116+M118</f>
        <v>-5.0221917498844588</v>
      </c>
    </row>
    <row r="119" spans="1:14">
      <c r="A119" s="8">
        <v>2</v>
      </c>
      <c r="B119" s="71">
        <v>38217</v>
      </c>
      <c r="C119" s="12">
        <v>2004</v>
      </c>
      <c r="D119" s="16" t="s">
        <v>25</v>
      </c>
      <c r="E119" s="12">
        <v>8</v>
      </c>
      <c r="F119" s="13">
        <v>16.3978</v>
      </c>
      <c r="G119" s="21"/>
    </row>
    <row r="120" spans="1:14">
      <c r="A120" s="8">
        <v>16</v>
      </c>
      <c r="B120" s="71">
        <v>38217</v>
      </c>
      <c r="C120" s="12">
        <v>2004</v>
      </c>
      <c r="D120" s="16" t="s">
        <v>25</v>
      </c>
      <c r="E120" s="12">
        <v>8</v>
      </c>
      <c r="F120" s="13">
        <v>14.690899999999999</v>
      </c>
      <c r="G120" s="21"/>
      <c r="I120" s="29">
        <f>AVERAGE(F119:F120)</f>
        <v>15.54435</v>
      </c>
      <c r="J120" s="29" t="e">
        <f>AVERAGE(G119:G120)</f>
        <v>#DIV/0!</v>
      </c>
    </row>
    <row r="121" spans="1:14">
      <c r="A121" s="8">
        <v>2</v>
      </c>
      <c r="B121" s="71">
        <v>38244</v>
      </c>
      <c r="C121" s="12">
        <v>2004</v>
      </c>
      <c r="D121" s="16" t="s">
        <v>26</v>
      </c>
      <c r="E121" s="12">
        <v>9</v>
      </c>
      <c r="F121" s="13">
        <v>9.6735000000000007</v>
      </c>
      <c r="G121" s="23">
        <v>3.1648309505247276</v>
      </c>
    </row>
    <row r="122" spans="1:14">
      <c r="A122" s="8">
        <v>16</v>
      </c>
      <c r="B122" s="71">
        <v>38244</v>
      </c>
      <c r="C122" s="12">
        <v>2004</v>
      </c>
      <c r="D122" s="16" t="s">
        <v>26</v>
      </c>
      <c r="E122" s="12">
        <v>9</v>
      </c>
      <c r="F122" s="13">
        <v>8.8986999999999998</v>
      </c>
      <c r="G122" s="23">
        <v>2.5730708134478908</v>
      </c>
      <c r="I122" s="29">
        <f>AVERAGE(F121:F122)</f>
        <v>9.2861000000000011</v>
      </c>
      <c r="J122" s="29">
        <f>AVERAGE(G121:G122)</f>
        <v>2.8689508819863092</v>
      </c>
      <c r="L122">
        <f>+J122/I122</f>
        <v>0.30895110778327917</v>
      </c>
      <c r="M122">
        <f>+(L122-$L$619)/$L$620</f>
        <v>0.31021746856625299</v>
      </c>
      <c r="N122">
        <f>+N118+M122</f>
        <v>-4.7119742813182057</v>
      </c>
    </row>
    <row r="123" spans="1:14">
      <c r="A123" s="8">
        <v>2</v>
      </c>
      <c r="B123" s="71">
        <v>38272</v>
      </c>
      <c r="C123" s="12">
        <v>2004</v>
      </c>
      <c r="D123" s="16" t="s">
        <v>14</v>
      </c>
      <c r="E123" s="12">
        <v>10</v>
      </c>
      <c r="F123" s="17">
        <v>5.6414</v>
      </c>
      <c r="G123" s="17">
        <v>1.4353386392692853</v>
      </c>
    </row>
    <row r="124" spans="1:14">
      <c r="A124" s="8">
        <v>16</v>
      </c>
      <c r="B124" s="71">
        <v>38272</v>
      </c>
      <c r="C124" s="12">
        <v>2004</v>
      </c>
      <c r="D124" s="16" t="s">
        <v>14</v>
      </c>
      <c r="E124" s="12">
        <v>10</v>
      </c>
      <c r="F124" s="17">
        <v>3.5736300000000001</v>
      </c>
      <c r="G124" s="17">
        <v>0.56432032434767199</v>
      </c>
      <c r="I124" s="29">
        <f>AVERAGE(F123:F124)</f>
        <v>4.6075150000000002</v>
      </c>
      <c r="J124" s="29">
        <f>AVERAGE(G123:G124)</f>
        <v>0.99982948180847864</v>
      </c>
      <c r="L124">
        <f>+J124/I124</f>
        <v>0.2169997236706725</v>
      </c>
      <c r="M124">
        <f>+(L124-$L$619)/$L$620</f>
        <v>-0.51295056937221484</v>
      </c>
      <c r="N124">
        <f>+N122+M124</f>
        <v>-5.2249248506904209</v>
      </c>
    </row>
    <row r="125" spans="1:14">
      <c r="A125" s="8">
        <v>2</v>
      </c>
      <c r="B125" s="71">
        <v>38306</v>
      </c>
      <c r="C125" s="12">
        <v>2004</v>
      </c>
      <c r="D125" s="16" t="s">
        <v>16</v>
      </c>
      <c r="E125" s="12">
        <v>11</v>
      </c>
      <c r="F125" s="17">
        <v>3.9119600000000001</v>
      </c>
      <c r="G125" s="17">
        <v>1.3540303823378843</v>
      </c>
    </row>
    <row r="126" spans="1:14">
      <c r="A126" s="8">
        <v>16</v>
      </c>
      <c r="B126" s="71">
        <v>38306</v>
      </c>
      <c r="C126" s="12">
        <v>2004</v>
      </c>
      <c r="D126" s="16" t="s">
        <v>16</v>
      </c>
      <c r="E126" s="12">
        <v>11</v>
      </c>
      <c r="F126" s="17">
        <v>2.7208100000000002</v>
      </c>
      <c r="G126" s="17">
        <v>0.93094196113316885</v>
      </c>
      <c r="I126" s="29">
        <f>AVERAGE(F125:F126)</f>
        <v>3.3163850000000004</v>
      </c>
      <c r="J126" s="29">
        <f>AVERAGE(G125:G126)</f>
        <v>1.1424861717355266</v>
      </c>
      <c r="L126">
        <f>+J126/I126</f>
        <v>0.34449744879907684</v>
      </c>
      <c r="M126">
        <f>+(L126-$L$619)/$L$620</f>
        <v>0.62843575393792683</v>
      </c>
      <c r="N126">
        <f>+N124+M126</f>
        <v>-4.5964890967524941</v>
      </c>
    </row>
    <row r="127" spans="1:14">
      <c r="A127" s="8">
        <v>2</v>
      </c>
      <c r="B127" s="71">
        <v>38335</v>
      </c>
      <c r="C127" s="12">
        <v>2004</v>
      </c>
      <c r="D127" s="16" t="s">
        <v>17</v>
      </c>
      <c r="E127" s="12">
        <v>12</v>
      </c>
      <c r="F127" s="17">
        <v>2.8012800000000002</v>
      </c>
      <c r="G127" s="17">
        <v>0.41641287662626703</v>
      </c>
    </row>
    <row r="128" spans="1:14">
      <c r="A128" s="8">
        <v>16</v>
      </c>
      <c r="B128" s="71">
        <v>38335</v>
      </c>
      <c r="C128" s="12">
        <v>2004</v>
      </c>
      <c r="D128" s="16" t="s">
        <v>17</v>
      </c>
      <c r="E128" s="12">
        <v>12</v>
      </c>
      <c r="F128" s="15">
        <v>2.6802199999999998</v>
      </c>
      <c r="G128" s="15">
        <v>0.3832539185692459</v>
      </c>
      <c r="I128" s="29">
        <f>AVERAGE(F127:F128)</f>
        <v>2.7407500000000002</v>
      </c>
      <c r="J128" s="29">
        <f>AVERAGE(G127:G128)</f>
        <v>0.39983339759775649</v>
      </c>
      <c r="L128">
        <f>+J128/I128</f>
        <v>0.14588466572936476</v>
      </c>
      <c r="M128">
        <f>+(L128-$L$619)/$L$620</f>
        <v>-1.1495874539430571</v>
      </c>
      <c r="N128">
        <f>+N126+M128</f>
        <v>-5.7460765506955509</v>
      </c>
    </row>
    <row r="129" spans="1:14">
      <c r="A129" s="8">
        <v>2</v>
      </c>
      <c r="B129" s="74">
        <v>38362</v>
      </c>
      <c r="C129" s="12">
        <v>2005</v>
      </c>
      <c r="D129" s="16" t="s">
        <v>18</v>
      </c>
      <c r="E129" s="12">
        <v>1</v>
      </c>
      <c r="F129" s="15">
        <v>10.834250000000001</v>
      </c>
      <c r="G129" s="15">
        <v>4.0634113018595022</v>
      </c>
    </row>
    <row r="130" spans="1:14">
      <c r="A130" s="8">
        <v>16</v>
      </c>
      <c r="B130" s="74">
        <v>38362</v>
      </c>
      <c r="C130" s="12">
        <v>2005</v>
      </c>
      <c r="D130" s="16" t="s">
        <v>18</v>
      </c>
      <c r="E130" s="12">
        <v>1</v>
      </c>
      <c r="F130" s="15">
        <v>5.9218200000000003</v>
      </c>
      <c r="G130" s="15">
        <v>2.0905064811457255</v>
      </c>
      <c r="I130" s="29">
        <f>AVERAGE(F129:F130)</f>
        <v>8.3780350000000006</v>
      </c>
      <c r="J130" s="29">
        <f>AVERAGE(G129:G130)</f>
        <v>3.0769588915026138</v>
      </c>
      <c r="L130">
        <f>+J130/I130</f>
        <v>0.36726498415232373</v>
      </c>
      <c r="M130">
        <f>+(L130-$L$619)/$L$620</f>
        <v>0.83225549614512917</v>
      </c>
      <c r="N130">
        <f>+N128+M130</f>
        <v>-4.9138210545504215</v>
      </c>
    </row>
    <row r="131" spans="1:14">
      <c r="A131" s="8">
        <v>2</v>
      </c>
      <c r="B131" s="74">
        <v>38399</v>
      </c>
      <c r="C131" s="12">
        <v>2005</v>
      </c>
      <c r="D131" s="11" t="s">
        <v>19</v>
      </c>
      <c r="E131" s="12">
        <v>2</v>
      </c>
      <c r="F131" s="15">
        <v>2.6156700000000002</v>
      </c>
      <c r="G131" s="15">
        <v>0.64993405818447247</v>
      </c>
    </row>
    <row r="132" spans="1:14">
      <c r="A132" s="8">
        <v>16</v>
      </c>
      <c r="B132" s="74">
        <v>38399</v>
      </c>
      <c r="C132" s="12">
        <v>2005</v>
      </c>
      <c r="D132" s="11" t="s">
        <v>19</v>
      </c>
      <c r="E132" s="12">
        <v>2</v>
      </c>
      <c r="F132" s="15">
        <v>2.10026</v>
      </c>
      <c r="G132" s="15">
        <v>0.50445582463619298</v>
      </c>
      <c r="I132" s="29">
        <f>AVERAGE(F131:F132)</f>
        <v>2.3579650000000001</v>
      </c>
      <c r="J132" s="29">
        <f>AVERAGE(G131:G132)</f>
        <v>0.57719494141033278</v>
      </c>
      <c r="L132">
        <f>+J132/I132</f>
        <v>0.24478520309263826</v>
      </c>
      <c r="M132">
        <f>+(L132-$L$619)/$L$620</f>
        <v>-0.26420914150040281</v>
      </c>
      <c r="N132">
        <f>+N130+M132</f>
        <v>-5.1780301960508242</v>
      </c>
    </row>
    <row r="133" spans="1:14">
      <c r="A133" s="8">
        <v>2</v>
      </c>
      <c r="B133" s="74">
        <v>38428</v>
      </c>
      <c r="C133" s="12">
        <v>2005</v>
      </c>
      <c r="D133" s="11" t="s">
        <v>20</v>
      </c>
      <c r="E133" s="12">
        <v>3</v>
      </c>
      <c r="F133" s="15">
        <v>1.12016</v>
      </c>
      <c r="G133" s="15">
        <v>0.24335266181546064</v>
      </c>
    </row>
    <row r="134" spans="1:14">
      <c r="A134" s="8">
        <v>16</v>
      </c>
      <c r="B134" s="74">
        <v>38428</v>
      </c>
      <c r="C134" s="12">
        <v>2005</v>
      </c>
      <c r="D134" s="11" t="s">
        <v>20</v>
      </c>
      <c r="E134" s="12">
        <v>3</v>
      </c>
      <c r="F134" s="15">
        <v>1.08748</v>
      </c>
      <c r="G134" s="15">
        <v>0.11852538681527564</v>
      </c>
      <c r="I134" s="29">
        <f>AVERAGE(F133:F134)</f>
        <v>1.10382</v>
      </c>
      <c r="J134" s="29">
        <f>AVERAGE(G133:G134)</f>
        <v>0.18093902431536812</v>
      </c>
      <c r="L134">
        <f>+J134/I134</f>
        <v>0.16392076997641655</v>
      </c>
      <c r="M134">
        <f>+(L134-$L$619)/$L$620</f>
        <v>-0.98812447338675047</v>
      </c>
      <c r="N134">
        <f>+N132+M134</f>
        <v>-6.1661546694375744</v>
      </c>
    </row>
    <row r="135" spans="1:14">
      <c r="A135" s="8">
        <v>2</v>
      </c>
      <c r="B135" s="74">
        <v>38468</v>
      </c>
      <c r="C135" s="12">
        <v>2005</v>
      </c>
      <c r="D135" s="11" t="s">
        <v>21</v>
      </c>
      <c r="E135" s="12">
        <v>4</v>
      </c>
      <c r="F135" s="15">
        <v>3.4178600000000001</v>
      </c>
      <c r="G135" s="15">
        <v>1.4967194201384131</v>
      </c>
    </row>
    <row r="136" spans="1:14">
      <c r="A136" s="8">
        <v>16</v>
      </c>
      <c r="B136" s="74">
        <v>38468</v>
      </c>
      <c r="C136" s="12">
        <v>2005</v>
      </c>
      <c r="D136" s="11" t="s">
        <v>21</v>
      </c>
      <c r="E136" s="12">
        <v>4</v>
      </c>
      <c r="F136" s="15">
        <v>3.3993099999999998</v>
      </c>
      <c r="G136" s="15">
        <v>1.5139602861847938</v>
      </c>
      <c r="I136" s="29">
        <f>AVERAGE(F135:F136)</f>
        <v>3.408585</v>
      </c>
      <c r="J136" s="29">
        <f>AVERAGE(G135:G136)</f>
        <v>1.5053398531616033</v>
      </c>
      <c r="L136">
        <f>+J136/I136</f>
        <v>0.44163189510063661</v>
      </c>
      <c r="M136">
        <f>+(L136-$L$619)/$L$620</f>
        <v>1.4980036495160431</v>
      </c>
      <c r="N136">
        <f>+N134+M136</f>
        <v>-4.668151019921531</v>
      </c>
    </row>
    <row r="137" spans="1:14">
      <c r="A137" s="8">
        <v>2</v>
      </c>
      <c r="B137" s="74">
        <v>38489</v>
      </c>
      <c r="C137" s="12">
        <v>2005</v>
      </c>
      <c r="D137" s="11" t="s">
        <v>22</v>
      </c>
      <c r="E137" s="12">
        <v>5</v>
      </c>
      <c r="F137" s="15">
        <v>8.4405800000000006</v>
      </c>
      <c r="G137" s="15">
        <v>3.787496655811974</v>
      </c>
    </row>
    <row r="138" spans="1:14">
      <c r="A138" s="8">
        <v>16</v>
      </c>
      <c r="B138" s="74">
        <v>38489</v>
      </c>
      <c r="C138" s="12">
        <v>2005</v>
      </c>
      <c r="D138" s="11" t="s">
        <v>22</v>
      </c>
      <c r="E138" s="12">
        <v>5</v>
      </c>
      <c r="F138" s="15">
        <v>8.5562199999999997</v>
      </c>
      <c r="G138" s="15">
        <v>4.0693693429275539</v>
      </c>
      <c r="I138" s="29">
        <f>AVERAGE(F137:F138)</f>
        <v>8.4984000000000002</v>
      </c>
      <c r="J138" s="29">
        <f>AVERAGE(G137:G138)</f>
        <v>3.9284329993697638</v>
      </c>
      <c r="L138">
        <f>+J138/I138</f>
        <v>0.46225560098015672</v>
      </c>
      <c r="M138">
        <f>+(L138-$L$619)/$L$620</f>
        <v>1.682631381525757</v>
      </c>
      <c r="N138">
        <f>+N136+M138</f>
        <v>-2.9855196383957741</v>
      </c>
    </row>
    <row r="139" spans="1:14">
      <c r="A139" s="8">
        <v>2</v>
      </c>
      <c r="B139" s="74">
        <v>38517</v>
      </c>
      <c r="C139" s="12">
        <v>2005</v>
      </c>
      <c r="D139" s="11" t="s">
        <v>23</v>
      </c>
      <c r="E139" s="12">
        <v>6</v>
      </c>
      <c r="F139" s="15">
        <v>27.824159999999999</v>
      </c>
      <c r="G139" s="15">
        <v>7.2676147152786852</v>
      </c>
    </row>
    <row r="140" spans="1:14">
      <c r="A140" s="8">
        <v>16</v>
      </c>
      <c r="B140" s="74">
        <v>38518</v>
      </c>
      <c r="C140" s="12">
        <v>2005</v>
      </c>
      <c r="D140" s="11" t="s">
        <v>23</v>
      </c>
      <c r="E140" s="12">
        <v>6</v>
      </c>
      <c r="F140" s="15">
        <v>11.79562</v>
      </c>
      <c r="G140" s="15">
        <v>2.3434671466644907</v>
      </c>
      <c r="I140" s="29">
        <f>AVERAGE(F139:F140)</f>
        <v>19.809889999999999</v>
      </c>
      <c r="J140" s="29">
        <f>AVERAGE(G139:G140)</f>
        <v>4.8055409309715884</v>
      </c>
      <c r="L140">
        <f>+J140/I140</f>
        <v>0.24258291848019289</v>
      </c>
      <c r="M140">
        <f>+(L140-$L$619)/$L$620</f>
        <v>-0.28392445433559255</v>
      </c>
      <c r="N140">
        <f>+N138+M140</f>
        <v>-3.2694440927313666</v>
      </c>
    </row>
    <row r="141" spans="1:14">
      <c r="A141" s="8">
        <v>2</v>
      </c>
      <c r="B141" s="74">
        <v>38547</v>
      </c>
      <c r="C141" s="12">
        <v>2005</v>
      </c>
      <c r="D141" s="16" t="s">
        <v>24</v>
      </c>
      <c r="E141" s="12">
        <v>7</v>
      </c>
      <c r="F141" s="15">
        <v>15.015750000000001</v>
      </c>
      <c r="G141" s="15">
        <v>1.8213964749577989</v>
      </c>
    </row>
    <row r="142" spans="1:14">
      <c r="A142" s="8">
        <v>16</v>
      </c>
      <c r="B142" s="74">
        <v>38547</v>
      </c>
      <c r="C142" s="12">
        <v>2005</v>
      </c>
      <c r="D142" s="16" t="s">
        <v>24</v>
      </c>
      <c r="E142" s="12">
        <v>7</v>
      </c>
      <c r="F142" s="15">
        <v>14.90771</v>
      </c>
      <c r="G142" s="15">
        <v>1.8933633202295186</v>
      </c>
      <c r="I142" s="29">
        <f>AVERAGE(F141:F142)</f>
        <v>14.961729999999999</v>
      </c>
      <c r="J142" s="29">
        <f>AVERAGE(G141:G142)</f>
        <v>1.8573798975936588</v>
      </c>
      <c r="L142">
        <f>+J142/I142</f>
        <v>0.12414205426736473</v>
      </c>
      <c r="M142">
        <f>+(L142-$L$619)/$L$620</f>
        <v>-1.3442318629376486</v>
      </c>
      <c r="N142">
        <f>+N140+M142</f>
        <v>-4.6136759556690148</v>
      </c>
    </row>
    <row r="143" spans="1:14">
      <c r="A143" s="8">
        <v>2</v>
      </c>
      <c r="B143" s="74">
        <v>38587</v>
      </c>
      <c r="C143" s="12">
        <v>2005</v>
      </c>
      <c r="D143" s="16" t="s">
        <v>25</v>
      </c>
      <c r="E143" s="12">
        <v>8</v>
      </c>
      <c r="F143" s="15">
        <v>15.00104</v>
      </c>
      <c r="G143" s="15">
        <v>3.3326864957936828</v>
      </c>
    </row>
    <row r="144" spans="1:14">
      <c r="A144" s="8">
        <v>16</v>
      </c>
      <c r="B144" s="74">
        <v>38588</v>
      </c>
      <c r="C144" s="12">
        <v>2005</v>
      </c>
      <c r="D144" s="16" t="s">
        <v>25</v>
      </c>
      <c r="E144" s="12">
        <v>8</v>
      </c>
      <c r="F144" s="15">
        <v>12.040520000000001</v>
      </c>
      <c r="G144" s="15">
        <v>2.6079020243684865</v>
      </c>
      <c r="I144" s="29">
        <f>AVERAGE(F143:F144)</f>
        <v>13.52078</v>
      </c>
      <c r="J144" s="29">
        <f>AVERAGE(G143:G144)</f>
        <v>2.9702942600810847</v>
      </c>
      <c r="L144">
        <f>+J144/I144</f>
        <v>0.21968364695535941</v>
      </c>
      <c r="M144">
        <f>+(L144-$L$619)/$L$620</f>
        <v>-0.48892352632599501</v>
      </c>
      <c r="N144">
        <f>+N142+M144</f>
        <v>-5.1025994819950098</v>
      </c>
    </row>
    <row r="145" spans="1:14">
      <c r="A145" s="8">
        <v>2</v>
      </c>
      <c r="B145" s="74">
        <v>38608</v>
      </c>
      <c r="C145" s="12">
        <v>2005</v>
      </c>
      <c r="D145" s="16" t="s">
        <v>26</v>
      </c>
      <c r="E145" s="12">
        <v>9</v>
      </c>
      <c r="F145" s="15">
        <v>11.77708</v>
      </c>
      <c r="G145" s="15">
        <v>2.8904033210730491</v>
      </c>
    </row>
    <row r="146" spans="1:14">
      <c r="A146" s="8">
        <v>16</v>
      </c>
      <c r="B146" s="74">
        <v>38608</v>
      </c>
      <c r="C146" s="12">
        <v>2005</v>
      </c>
      <c r="D146" s="16" t="s">
        <v>26</v>
      </c>
      <c r="E146" s="12">
        <v>9</v>
      </c>
      <c r="F146" s="15">
        <v>13.10258</v>
      </c>
      <c r="G146" s="15">
        <v>3.1396457665300233</v>
      </c>
      <c r="I146" s="29">
        <f>AVERAGE(F145:F146)</f>
        <v>12.439830000000001</v>
      </c>
      <c r="J146" s="29">
        <f>AVERAGE(G145:G146)</f>
        <v>3.0150245438015362</v>
      </c>
      <c r="L146">
        <f>+J146/I146</f>
        <v>0.24236862913733836</v>
      </c>
      <c r="M146">
        <f>+(L146-$L$619)/$L$620</f>
        <v>-0.28584281738810152</v>
      </c>
      <c r="N146">
        <f>+N144+M146</f>
        <v>-5.3884422993831116</v>
      </c>
    </row>
    <row r="147" spans="1:14">
      <c r="A147" s="8">
        <v>2</v>
      </c>
      <c r="B147" s="74">
        <v>38637</v>
      </c>
      <c r="C147" s="12">
        <v>2005</v>
      </c>
      <c r="D147" s="16" t="s">
        <v>14</v>
      </c>
      <c r="E147" s="12">
        <v>10</v>
      </c>
      <c r="F147" s="15">
        <v>3.4838</v>
      </c>
      <c r="G147" s="15">
        <v>1.2817000000000001</v>
      </c>
    </row>
    <row r="148" spans="1:14">
      <c r="A148" s="8">
        <v>16</v>
      </c>
      <c r="B148" s="74">
        <v>38636</v>
      </c>
      <c r="C148" s="12">
        <v>2005</v>
      </c>
      <c r="D148" s="16" t="s">
        <v>14</v>
      </c>
      <c r="E148" s="12">
        <v>10</v>
      </c>
      <c r="F148" s="15">
        <v>3.7355</v>
      </c>
      <c r="G148" s="15">
        <v>1.4303999999999999</v>
      </c>
      <c r="I148" s="29">
        <f>AVERAGE(F147:F148)</f>
        <v>3.6096500000000002</v>
      </c>
      <c r="J148" s="29">
        <f>AVERAGE(G147:G148)</f>
        <v>1.35605</v>
      </c>
      <c r="L148">
        <f>+J148/I148</f>
        <v>0.37567354175612588</v>
      </c>
      <c r="M148">
        <f>+(L148-$L$619)/$L$620</f>
        <v>0.90753066390266857</v>
      </c>
      <c r="N148">
        <f>+N146+M148</f>
        <v>-4.4809116354804432</v>
      </c>
    </row>
    <row r="149" spans="1:14">
      <c r="A149" s="8">
        <v>2</v>
      </c>
      <c r="B149" s="74">
        <v>38671</v>
      </c>
      <c r="C149" s="12">
        <v>2005</v>
      </c>
      <c r="D149" s="16" t="s">
        <v>16</v>
      </c>
      <c r="E149" s="12">
        <v>11</v>
      </c>
      <c r="F149" s="15">
        <v>3.9666999999999999</v>
      </c>
      <c r="G149" s="15">
        <v>1.1249</v>
      </c>
    </row>
    <row r="150" spans="1:14">
      <c r="A150" s="8">
        <v>16</v>
      </c>
      <c r="B150" s="74">
        <v>38671</v>
      </c>
      <c r="C150" s="12">
        <v>2005</v>
      </c>
      <c r="D150" s="16" t="s">
        <v>16</v>
      </c>
      <c r="E150" s="12">
        <v>11</v>
      </c>
      <c r="F150" s="15">
        <v>4.5237999999999996</v>
      </c>
      <c r="G150" s="15">
        <v>1.798</v>
      </c>
      <c r="I150" s="29">
        <f>AVERAGE(F149:F150)</f>
        <v>4.2452499999999995</v>
      </c>
      <c r="J150" s="29">
        <f>AVERAGE(G149:G150)</f>
        <v>1.4614500000000001</v>
      </c>
      <c r="L150">
        <f>+J150/I150</f>
        <v>0.34425534420823278</v>
      </c>
      <c r="M150">
        <f>+(L150-$L$619)/$L$620</f>
        <v>0.62626838296309795</v>
      </c>
      <c r="N150">
        <f>+N148+M150</f>
        <v>-3.8546432525173451</v>
      </c>
    </row>
    <row r="151" spans="1:14">
      <c r="A151" s="8">
        <v>2</v>
      </c>
      <c r="B151" s="74">
        <v>38707</v>
      </c>
      <c r="C151" s="12">
        <v>2005</v>
      </c>
      <c r="D151" s="16" t="s">
        <v>17</v>
      </c>
      <c r="E151" s="12">
        <v>12</v>
      </c>
      <c r="F151" s="15">
        <v>2.8999000000000001</v>
      </c>
      <c r="G151" s="15">
        <v>0.84099999999999997</v>
      </c>
    </row>
    <row r="152" spans="1:14">
      <c r="A152" s="8">
        <v>16</v>
      </c>
      <c r="B152" s="74">
        <v>38707</v>
      </c>
      <c r="C152" s="12">
        <v>2005</v>
      </c>
      <c r="D152" s="16" t="s">
        <v>17</v>
      </c>
      <c r="E152" s="12">
        <v>12</v>
      </c>
      <c r="F152" s="15">
        <v>2.8738000000000001</v>
      </c>
      <c r="G152" s="15">
        <v>0.72509999999999997</v>
      </c>
      <c r="I152" s="29">
        <f>AVERAGE(F151:F152)</f>
        <v>2.8868499999999999</v>
      </c>
      <c r="J152" s="29">
        <f>AVERAGE(G151:G152)</f>
        <v>0.78305000000000002</v>
      </c>
      <c r="L152">
        <f>+J152/I152</f>
        <v>0.27124720716351736</v>
      </c>
      <c r="M152">
        <f>+(L152-$L$619)/$L$620</f>
        <v>-2.7315742002799657E-2</v>
      </c>
      <c r="N152">
        <f>+N150+M152</f>
        <v>-3.8819589945201449</v>
      </c>
    </row>
    <row r="153" spans="1:14">
      <c r="A153" s="12">
        <v>2</v>
      </c>
      <c r="B153" s="74">
        <v>38734</v>
      </c>
      <c r="C153" s="12">
        <v>2006</v>
      </c>
      <c r="D153" s="11" t="s">
        <v>18</v>
      </c>
      <c r="E153" s="12">
        <v>1</v>
      </c>
      <c r="F153" s="15">
        <v>8.8552999999999997</v>
      </c>
      <c r="G153" s="15">
        <v>3.2823000000000002</v>
      </c>
    </row>
    <row r="154" spans="1:14">
      <c r="A154" s="12">
        <v>16</v>
      </c>
      <c r="B154" s="74">
        <v>38734</v>
      </c>
      <c r="C154" s="12">
        <v>2006</v>
      </c>
      <c r="D154" s="11" t="s">
        <v>18</v>
      </c>
      <c r="E154" s="12">
        <v>1</v>
      </c>
      <c r="F154" s="15">
        <v>6.5289000000000001</v>
      </c>
      <c r="G154" s="15">
        <v>2.4308000000000001</v>
      </c>
      <c r="I154" s="29">
        <f>AVERAGE(F153:F154)</f>
        <v>7.6920999999999999</v>
      </c>
      <c r="J154" s="29">
        <f>AVERAGE(G153:G154)</f>
        <v>2.8565500000000004</v>
      </c>
      <c r="L154">
        <f>+J154/I154</f>
        <v>0.37136152676122258</v>
      </c>
      <c r="M154">
        <f>+(L154-$L$619)/$L$620</f>
        <v>0.86892860307268738</v>
      </c>
      <c r="N154">
        <f>+N152+M154</f>
        <v>-3.0130303914474577</v>
      </c>
    </row>
    <row r="155" spans="1:14">
      <c r="A155" s="12">
        <v>2</v>
      </c>
      <c r="B155" s="74">
        <v>38762</v>
      </c>
      <c r="C155" s="16">
        <v>2006</v>
      </c>
      <c r="D155" s="11" t="s">
        <v>28</v>
      </c>
      <c r="E155" s="16">
        <v>2</v>
      </c>
      <c r="F155" s="15">
        <v>7.7049000000000003</v>
      </c>
      <c r="G155" s="15">
        <v>2.3563999999999998</v>
      </c>
    </row>
    <row r="156" spans="1:14">
      <c r="A156" s="12">
        <v>16</v>
      </c>
      <c r="B156" s="74">
        <v>38762</v>
      </c>
      <c r="C156" s="16">
        <v>2006</v>
      </c>
      <c r="D156" s="11" t="s">
        <v>28</v>
      </c>
      <c r="E156" s="16">
        <v>2</v>
      </c>
      <c r="F156" s="15">
        <v>7.5313999999999997</v>
      </c>
      <c r="G156" s="15">
        <v>2.2690000000000001</v>
      </c>
      <c r="I156" s="29">
        <f>AVERAGE(F155:F156)</f>
        <v>7.61815</v>
      </c>
      <c r="J156" s="29">
        <f>AVERAGE(G155:G156)</f>
        <v>2.3127</v>
      </c>
      <c r="L156">
        <f>+J156/I156</f>
        <v>0.30357764024074085</v>
      </c>
      <c r="M156">
        <f>+(L156-$L$619)/$L$620</f>
        <v>0.26211306234545673</v>
      </c>
      <c r="N156">
        <f>+N154+M156</f>
        <v>-2.750917329102001</v>
      </c>
    </row>
    <row r="157" spans="1:14">
      <c r="A157" s="12">
        <v>2</v>
      </c>
      <c r="B157" s="74">
        <v>38789</v>
      </c>
      <c r="C157" s="12">
        <v>2006</v>
      </c>
      <c r="D157" s="11" t="s">
        <v>29</v>
      </c>
      <c r="E157" s="16">
        <v>3</v>
      </c>
      <c r="F157" s="15">
        <v>7.3952</v>
      </c>
      <c r="G157" s="15">
        <v>2.6539999999999999</v>
      </c>
    </row>
    <row r="158" spans="1:14">
      <c r="A158" s="12">
        <v>16</v>
      </c>
      <c r="B158" s="74">
        <v>38789</v>
      </c>
      <c r="C158" s="12">
        <v>2006</v>
      </c>
      <c r="D158" s="11" t="s">
        <v>29</v>
      </c>
      <c r="E158" s="16">
        <v>3</v>
      </c>
      <c r="F158" s="15">
        <v>7.0606999999999998</v>
      </c>
      <c r="G158" s="15">
        <v>2.5817999999999999</v>
      </c>
      <c r="I158" s="29">
        <f>AVERAGE(F157:F158)</f>
        <v>7.2279499999999999</v>
      </c>
      <c r="J158" s="29">
        <f>AVERAGE(G157:G158)</f>
        <v>2.6178999999999997</v>
      </c>
      <c r="L158">
        <f>+J158/I158</f>
        <v>0.36219121604327642</v>
      </c>
      <c r="M158">
        <f>+(L158-$L$619)/$L$620</f>
        <v>0.78683406198635153</v>
      </c>
      <c r="N158">
        <f>+N156+M158</f>
        <v>-1.9640832671156496</v>
      </c>
    </row>
    <row r="159" spans="1:14">
      <c r="A159" s="12">
        <v>2</v>
      </c>
      <c r="B159" s="73">
        <v>38825</v>
      </c>
      <c r="C159" s="12">
        <v>2006</v>
      </c>
      <c r="D159" s="11" t="s">
        <v>30</v>
      </c>
      <c r="E159" s="12">
        <v>4</v>
      </c>
      <c r="F159" s="15">
        <v>2.0038999999999998</v>
      </c>
      <c r="G159" s="15">
        <v>0.75600000000000001</v>
      </c>
    </row>
    <row r="160" spans="1:14">
      <c r="A160" s="12">
        <v>16</v>
      </c>
      <c r="B160" s="73">
        <v>38825</v>
      </c>
      <c r="C160" s="12">
        <v>2006</v>
      </c>
      <c r="D160" s="11" t="s">
        <v>30</v>
      </c>
      <c r="E160" s="12">
        <v>4</v>
      </c>
      <c r="F160" s="15">
        <v>2.5667</v>
      </c>
      <c r="G160" s="15">
        <v>0.755</v>
      </c>
      <c r="I160" s="29">
        <f>AVERAGE(F159:F160)</f>
        <v>2.2852999999999999</v>
      </c>
      <c r="J160" s="29">
        <f>AVERAGE(G159:G160)</f>
        <v>0.75550000000000006</v>
      </c>
      <c r="L160">
        <f>+J160/I160</f>
        <v>0.33059116964949903</v>
      </c>
      <c r="M160">
        <f>+(L160-$L$619)/$L$620</f>
        <v>0.50394383211362914</v>
      </c>
      <c r="N160">
        <f>+N158+M160</f>
        <v>-1.4601394350020205</v>
      </c>
    </row>
    <row r="161" spans="1:14">
      <c r="A161" s="12">
        <v>2</v>
      </c>
      <c r="B161" s="73">
        <v>38852</v>
      </c>
      <c r="C161" s="12">
        <v>2006</v>
      </c>
      <c r="D161" s="11" t="s">
        <v>31</v>
      </c>
      <c r="E161" s="12">
        <v>5</v>
      </c>
      <c r="F161" s="15">
        <v>0.93030000000000002</v>
      </c>
      <c r="G161" s="15">
        <v>0.19259999999999999</v>
      </c>
    </row>
    <row r="162" spans="1:14">
      <c r="A162" s="12">
        <v>16</v>
      </c>
      <c r="B162" s="73">
        <v>38852</v>
      </c>
      <c r="C162" s="12">
        <v>2006</v>
      </c>
      <c r="D162" s="11" t="s">
        <v>31</v>
      </c>
      <c r="E162" s="12">
        <v>5</v>
      </c>
      <c r="F162" s="15">
        <v>1.3180000000000001</v>
      </c>
      <c r="G162" s="15">
        <v>0.23050000000000001</v>
      </c>
      <c r="I162" s="29">
        <f>AVERAGE(F161:F162)</f>
        <v>1.12415</v>
      </c>
      <c r="J162" s="29">
        <f>AVERAGE(G161:G162)</f>
        <v>0.21155000000000002</v>
      </c>
      <c r="L162">
        <f>+J162/I162</f>
        <v>0.18818662989814527</v>
      </c>
      <c r="M162">
        <f>+(L162-$L$619)/$L$620</f>
        <v>-0.77089141601159183</v>
      </c>
      <c r="N162">
        <f>+N160+M162</f>
        <v>-2.2310308510136121</v>
      </c>
    </row>
    <row r="163" spans="1:14">
      <c r="A163" s="12">
        <v>2</v>
      </c>
      <c r="B163" s="73">
        <v>38883</v>
      </c>
      <c r="C163" s="12">
        <v>2006</v>
      </c>
      <c r="D163" s="11" t="s">
        <v>32</v>
      </c>
      <c r="E163" s="12">
        <v>6</v>
      </c>
      <c r="F163" s="15">
        <v>13.7333</v>
      </c>
      <c r="G163" s="15">
        <v>6.03</v>
      </c>
    </row>
    <row r="164" spans="1:14">
      <c r="A164" s="12">
        <v>16</v>
      </c>
      <c r="B164" s="73">
        <v>38883</v>
      </c>
      <c r="C164" s="12">
        <v>2006</v>
      </c>
      <c r="D164" s="11" t="s">
        <v>32</v>
      </c>
      <c r="E164" s="12">
        <v>6</v>
      </c>
      <c r="F164" s="15">
        <v>20.088100000000001</v>
      </c>
      <c r="G164" s="15">
        <v>9.5981000000000005</v>
      </c>
      <c r="I164" s="29">
        <f>AVERAGE(F163:F164)</f>
        <v>16.910699999999999</v>
      </c>
      <c r="J164" s="29">
        <f>AVERAGE(G163:G164)</f>
        <v>7.8140499999999999</v>
      </c>
      <c r="L164">
        <f>+J164/I164</f>
        <v>0.46207726469040317</v>
      </c>
      <c r="M164">
        <f>+(L164-$L$619)/$L$620</f>
        <v>1.6810348777303397</v>
      </c>
      <c r="N164">
        <f>+N162+M164</f>
        <v>-0.54999597328327243</v>
      </c>
    </row>
    <row r="165" spans="1:14">
      <c r="A165" s="12">
        <v>2</v>
      </c>
      <c r="B165" s="73">
        <v>38916</v>
      </c>
      <c r="C165" s="12">
        <v>2006</v>
      </c>
      <c r="D165" s="11" t="s">
        <v>33</v>
      </c>
      <c r="E165" s="12">
        <v>7</v>
      </c>
      <c r="F165" s="15">
        <v>16.374400000000001</v>
      </c>
      <c r="G165" s="15">
        <v>1.3028</v>
      </c>
    </row>
    <row r="166" spans="1:14">
      <c r="A166" s="12">
        <v>16</v>
      </c>
      <c r="B166" s="73">
        <v>38916</v>
      </c>
      <c r="C166" s="12">
        <v>2006</v>
      </c>
      <c r="D166" s="11" t="s">
        <v>33</v>
      </c>
      <c r="E166" s="12">
        <v>7</v>
      </c>
      <c r="F166" s="15">
        <v>13.152699999999999</v>
      </c>
      <c r="G166" s="15">
        <v>1.2091000000000001</v>
      </c>
      <c r="I166" s="29">
        <f>AVERAGE(F165:F166)</f>
        <v>14.76355</v>
      </c>
      <c r="J166" s="29">
        <f>AVERAGE(G165:G166)</f>
        <v>1.2559499999999999</v>
      </c>
      <c r="L166">
        <f>+J166/I166</f>
        <v>8.5071002570519957E-2</v>
      </c>
      <c r="M166">
        <f>+(L166-$L$619)/$L$620</f>
        <v>-1.6940040961222786</v>
      </c>
      <c r="N166">
        <f>+N164+M166</f>
        <v>-2.2440000694055513</v>
      </c>
    </row>
    <row r="167" spans="1:14">
      <c r="A167" s="12">
        <v>2</v>
      </c>
      <c r="B167" s="73">
        <v>38953</v>
      </c>
      <c r="C167" s="12">
        <v>2006</v>
      </c>
      <c r="D167" s="11" t="s">
        <v>34</v>
      </c>
      <c r="E167" s="12">
        <v>8</v>
      </c>
      <c r="F167" s="15">
        <v>13.5991</v>
      </c>
      <c r="G167" s="15">
        <v>2.0367000000000002</v>
      </c>
    </row>
    <row r="168" spans="1:14">
      <c r="A168" s="12">
        <v>16</v>
      </c>
      <c r="B168" s="73">
        <v>38953</v>
      </c>
      <c r="C168" s="12">
        <v>2006</v>
      </c>
      <c r="D168" s="11" t="s">
        <v>34</v>
      </c>
      <c r="E168" s="12">
        <v>8</v>
      </c>
      <c r="F168" s="15">
        <v>15.647600000000001</v>
      </c>
      <c r="G168" s="15">
        <v>3.7646000000000002</v>
      </c>
      <c r="I168" s="29">
        <f>AVERAGE(F167:F168)</f>
        <v>14.62335</v>
      </c>
      <c r="J168" s="29">
        <f>AVERAGE(G167:G168)</f>
        <v>2.9006500000000002</v>
      </c>
      <c r="L168">
        <f>+J168/I168</f>
        <v>0.19835742152106051</v>
      </c>
      <c r="M168">
        <f>+(L168-$L$619)/$L$620</f>
        <v>-0.67984036044223595</v>
      </c>
      <c r="N168">
        <f>+N166+M168</f>
        <v>-2.9238404298477874</v>
      </c>
    </row>
    <row r="169" spans="1:14">
      <c r="A169" s="12">
        <v>2</v>
      </c>
      <c r="B169" s="73">
        <v>38972</v>
      </c>
      <c r="C169" s="12">
        <v>2006</v>
      </c>
      <c r="D169" s="11" t="s">
        <v>35</v>
      </c>
      <c r="E169" s="12">
        <v>9</v>
      </c>
      <c r="F169" s="15">
        <v>3.3815</v>
      </c>
      <c r="G169" s="15">
        <v>1.1519999999999999</v>
      </c>
    </row>
    <row r="170" spans="1:14">
      <c r="A170" s="12">
        <v>16</v>
      </c>
      <c r="B170" s="73">
        <v>38972</v>
      </c>
      <c r="C170" s="12">
        <v>2006</v>
      </c>
      <c r="D170" s="11" t="s">
        <v>35</v>
      </c>
      <c r="E170" s="12">
        <v>9</v>
      </c>
      <c r="F170" s="15">
        <v>5.4568000000000003</v>
      </c>
      <c r="G170" s="15">
        <v>1.9071</v>
      </c>
      <c r="I170" s="29">
        <f>AVERAGE(F169:F170)</f>
        <v>4.4191500000000001</v>
      </c>
      <c r="J170" s="29">
        <f>AVERAGE(G169:G170)</f>
        <v>1.52955</v>
      </c>
      <c r="L170">
        <f>+J170/I170</f>
        <v>0.3461185974678388</v>
      </c>
      <c r="M170">
        <f>+(L170-$L$619)/$L$620</f>
        <v>0.64294861616126309</v>
      </c>
      <c r="N170">
        <f>+N168+M170</f>
        <v>-2.2808918136865244</v>
      </c>
    </row>
    <row r="171" spans="1:14">
      <c r="A171" s="12">
        <v>2</v>
      </c>
      <c r="B171" s="73">
        <v>39009</v>
      </c>
      <c r="C171" s="12">
        <v>2006</v>
      </c>
      <c r="D171" s="11" t="s">
        <v>36</v>
      </c>
      <c r="E171" s="12">
        <v>10</v>
      </c>
      <c r="F171" s="15">
        <v>7.5449999999999999</v>
      </c>
      <c r="G171" s="15">
        <v>3.82</v>
      </c>
    </row>
    <row r="172" spans="1:14">
      <c r="A172" s="12">
        <v>16</v>
      </c>
      <c r="B172" s="73">
        <v>39008</v>
      </c>
      <c r="C172" s="12">
        <v>2006</v>
      </c>
      <c r="D172" s="11" t="s">
        <v>36</v>
      </c>
      <c r="E172" s="12">
        <v>10</v>
      </c>
      <c r="F172" s="15">
        <v>23.14</v>
      </c>
      <c r="G172" s="15">
        <v>10.865</v>
      </c>
      <c r="I172" s="29">
        <f>AVERAGE(F171:F172)</f>
        <v>15.342500000000001</v>
      </c>
      <c r="J172" s="29">
        <f>AVERAGE(G171:G172)</f>
        <v>7.3425000000000002</v>
      </c>
      <c r="L172">
        <f>+J172/I172</f>
        <v>0.47857259247189177</v>
      </c>
      <c r="M172">
        <f>+(L172-$L$619)/$L$620</f>
        <v>1.8287045048499411</v>
      </c>
      <c r="N172">
        <f>+N170+M172</f>
        <v>-0.45218730883658331</v>
      </c>
    </row>
    <row r="173" spans="1:14">
      <c r="A173" s="12">
        <v>2</v>
      </c>
      <c r="B173" s="73">
        <v>39035</v>
      </c>
      <c r="C173" s="12">
        <v>2006</v>
      </c>
      <c r="D173" s="11" t="s">
        <v>37</v>
      </c>
      <c r="E173" s="12">
        <v>11</v>
      </c>
      <c r="F173" s="15">
        <v>2.8820000000000001</v>
      </c>
      <c r="G173" s="15">
        <v>0.79300000000000004</v>
      </c>
    </row>
    <row r="174" spans="1:14">
      <c r="A174" s="12">
        <v>16</v>
      </c>
      <c r="B174" s="73">
        <v>39035</v>
      </c>
      <c r="C174" s="12">
        <v>2006</v>
      </c>
      <c r="D174" s="11" t="s">
        <v>37</v>
      </c>
      <c r="E174" s="12">
        <v>11</v>
      </c>
      <c r="F174" s="15">
        <v>7.0620000000000003</v>
      </c>
      <c r="G174" s="15">
        <v>3.1930000000000001</v>
      </c>
      <c r="I174" s="29">
        <f>AVERAGE(F173:F174)</f>
        <v>4.9720000000000004</v>
      </c>
      <c r="J174" s="29">
        <f>AVERAGE(G173:G174)</f>
        <v>1.9930000000000001</v>
      </c>
      <c r="L174">
        <f>+J174/I174</f>
        <v>0.4008447304907482</v>
      </c>
      <c r="M174">
        <f>+(L174-$L$619)/$L$620</f>
        <v>1.1328684143152494</v>
      </c>
      <c r="N174">
        <f>+N172+M174</f>
        <v>0.68068110547866612</v>
      </c>
    </row>
    <row r="175" spans="1:14">
      <c r="A175" s="12">
        <v>2</v>
      </c>
      <c r="B175" s="74">
        <v>39063</v>
      </c>
      <c r="C175" s="16">
        <v>2006</v>
      </c>
      <c r="D175" s="11" t="s">
        <v>38</v>
      </c>
      <c r="E175" s="16">
        <v>12</v>
      </c>
      <c r="F175" s="15">
        <v>5.9379999999999997</v>
      </c>
      <c r="G175" s="15">
        <v>2.1909999999999998</v>
      </c>
    </row>
    <row r="176" spans="1:14">
      <c r="A176" s="12">
        <v>16</v>
      </c>
      <c r="B176" s="74">
        <v>39063</v>
      </c>
      <c r="C176" s="16">
        <v>2006</v>
      </c>
      <c r="D176" s="11" t="s">
        <v>38</v>
      </c>
      <c r="E176" s="16">
        <v>12</v>
      </c>
      <c r="F176" s="15">
        <v>12.098000000000001</v>
      </c>
      <c r="G176" s="15">
        <v>4.7249999999999996</v>
      </c>
      <c r="I176" s="29">
        <f>AVERAGE(F175:F176)</f>
        <v>9.0180000000000007</v>
      </c>
      <c r="J176" s="29">
        <f>AVERAGE(G175:G176)</f>
        <v>3.4579999999999997</v>
      </c>
      <c r="L176">
        <f>+J176/I176</f>
        <v>0.38345531159902413</v>
      </c>
      <c r="M176">
        <f>+(L176-$L$619)/$L$620</f>
        <v>0.97719469642470924</v>
      </c>
      <c r="N176">
        <f>+N174+M176</f>
        <v>1.6578758019033755</v>
      </c>
    </row>
    <row r="177" spans="1:14">
      <c r="A177" s="16">
        <v>2</v>
      </c>
      <c r="B177" s="74">
        <v>39098</v>
      </c>
      <c r="C177" s="16">
        <v>2007</v>
      </c>
      <c r="D177" s="11" t="s">
        <v>39</v>
      </c>
      <c r="E177" s="16">
        <v>1</v>
      </c>
      <c r="F177" s="15">
        <v>15.638</v>
      </c>
      <c r="G177" s="15">
        <v>7.25</v>
      </c>
    </row>
    <row r="178" spans="1:14">
      <c r="A178" s="16">
        <v>16</v>
      </c>
      <c r="B178" s="74">
        <v>39098</v>
      </c>
      <c r="C178" s="16">
        <v>2007</v>
      </c>
      <c r="D178" s="11" t="s">
        <v>39</v>
      </c>
      <c r="E178" s="16">
        <v>1</v>
      </c>
      <c r="F178" s="15">
        <v>17.384</v>
      </c>
      <c r="G178" s="15">
        <v>7.4429999999999996</v>
      </c>
      <c r="I178" s="29">
        <f>AVERAGE(F177:F178)</f>
        <v>16.510999999999999</v>
      </c>
      <c r="J178" s="29">
        <f>AVERAGE(G177:G178)</f>
        <v>7.3464999999999998</v>
      </c>
      <c r="L178">
        <f>+J178/I178</f>
        <v>0.44494579371328208</v>
      </c>
      <c r="M178">
        <f>+(L178-$L$619)/$L$620</f>
        <v>1.5276703635652598</v>
      </c>
      <c r="N178">
        <f>+N176+M178</f>
        <v>3.1855461654686352</v>
      </c>
    </row>
    <row r="179" spans="1:14">
      <c r="A179" s="16">
        <v>2</v>
      </c>
      <c r="B179" s="74">
        <v>39133</v>
      </c>
      <c r="C179" s="16">
        <v>2007</v>
      </c>
      <c r="D179" s="11" t="s">
        <v>28</v>
      </c>
      <c r="E179" s="16">
        <v>2</v>
      </c>
      <c r="F179" s="15">
        <v>5.827</v>
      </c>
      <c r="G179" s="15">
        <v>1.764</v>
      </c>
    </row>
    <row r="180" spans="1:14">
      <c r="A180" s="16">
        <v>16</v>
      </c>
      <c r="B180" s="74">
        <v>39134</v>
      </c>
      <c r="C180" s="16">
        <v>2007</v>
      </c>
      <c r="D180" s="11" t="s">
        <v>28</v>
      </c>
      <c r="E180" s="16">
        <v>2</v>
      </c>
      <c r="F180" s="15">
        <v>3.9449999999999998</v>
      </c>
      <c r="G180" s="15">
        <v>1.099</v>
      </c>
      <c r="I180" s="29">
        <f>AVERAGE(F179:F180)</f>
        <v>4.8860000000000001</v>
      </c>
      <c r="J180" s="29">
        <f>AVERAGE(G179:G180)</f>
        <v>1.4315</v>
      </c>
      <c r="L180">
        <f>+J180/I180</f>
        <v>0.29297994269340971</v>
      </c>
      <c r="M180">
        <f>+(L180-$L$619)/$L$620</f>
        <v>0.16724025558032335</v>
      </c>
      <c r="N180">
        <f>+N178+M180</f>
        <v>3.3527864210489584</v>
      </c>
    </row>
    <row r="181" spans="1:14">
      <c r="A181" s="16">
        <v>2</v>
      </c>
      <c r="B181" s="74">
        <v>39154</v>
      </c>
      <c r="C181" s="16">
        <v>2007</v>
      </c>
      <c r="D181" s="11" t="s">
        <v>29</v>
      </c>
      <c r="E181" s="16">
        <v>3</v>
      </c>
      <c r="F181" s="15">
        <v>2.7410000000000001</v>
      </c>
      <c r="G181" s="15">
        <v>1.0429999999999999</v>
      </c>
    </row>
    <row r="182" spans="1:14">
      <c r="A182" s="16">
        <v>16</v>
      </c>
      <c r="B182" s="74">
        <v>39154</v>
      </c>
      <c r="C182" s="16">
        <v>2007</v>
      </c>
      <c r="D182" s="11" t="s">
        <v>29</v>
      </c>
      <c r="E182" s="16">
        <v>3</v>
      </c>
      <c r="F182" s="15">
        <v>2.4710000000000001</v>
      </c>
      <c r="G182" s="15">
        <v>0.84199999999999997</v>
      </c>
      <c r="I182" s="29">
        <f>AVERAGE(F181:F182)</f>
        <v>2.6059999999999999</v>
      </c>
      <c r="J182" s="29">
        <f>AVERAGE(G181:G182)</f>
        <v>0.94249999999999989</v>
      </c>
      <c r="L182">
        <f>+J182/I182</f>
        <v>0.36166538756715272</v>
      </c>
      <c r="M182">
        <f>+(L182-$L$619)/$L$620</f>
        <v>0.78212673540111111</v>
      </c>
      <c r="N182">
        <f>+N180+M182</f>
        <v>4.1349131564500698</v>
      </c>
    </row>
    <row r="183" spans="1:14">
      <c r="A183" s="16">
        <v>2</v>
      </c>
      <c r="B183" s="74">
        <v>39190</v>
      </c>
      <c r="C183" s="16">
        <v>2007</v>
      </c>
      <c r="D183" s="11" t="s">
        <v>30</v>
      </c>
      <c r="E183" s="16">
        <v>4</v>
      </c>
      <c r="F183" s="15">
        <v>5.0179999999999998</v>
      </c>
      <c r="G183" s="15">
        <v>2.0830000000000002</v>
      </c>
    </row>
    <row r="184" spans="1:14">
      <c r="A184" s="16">
        <v>16</v>
      </c>
      <c r="B184" s="74">
        <v>39190</v>
      </c>
      <c r="C184" s="16">
        <v>2007</v>
      </c>
      <c r="D184" s="11" t="s">
        <v>30</v>
      </c>
      <c r="E184" s="16">
        <v>4</v>
      </c>
      <c r="F184" s="15">
        <v>8.9130000000000003</v>
      </c>
      <c r="G184" s="15">
        <v>4.2300000000000004</v>
      </c>
      <c r="I184" s="29">
        <f>AVERAGE(F183:F184)</f>
        <v>6.9655000000000005</v>
      </c>
      <c r="J184" s="29">
        <f>AVERAGE(G183:G184)</f>
        <v>3.1565000000000003</v>
      </c>
      <c r="L184">
        <f>+J184/I184</f>
        <v>0.45316201277725937</v>
      </c>
      <c r="M184">
        <f>+(L184-$L$619)/$L$620</f>
        <v>1.6012236764537773</v>
      </c>
      <c r="N184">
        <f>+N182+M184</f>
        <v>5.7361368329038473</v>
      </c>
    </row>
    <row r="185" spans="1:14">
      <c r="A185" s="16">
        <v>2</v>
      </c>
      <c r="B185" s="74">
        <v>39217</v>
      </c>
      <c r="C185" s="16">
        <v>2007</v>
      </c>
      <c r="D185" s="11" t="s">
        <v>31</v>
      </c>
      <c r="E185" s="16">
        <v>5</v>
      </c>
      <c r="F185" s="15">
        <v>3.7530000000000001</v>
      </c>
      <c r="G185" s="15">
        <v>1.022</v>
      </c>
    </row>
    <row r="186" spans="1:14">
      <c r="A186" s="16">
        <v>16</v>
      </c>
      <c r="B186" s="74">
        <v>39217</v>
      </c>
      <c r="C186" s="16">
        <v>2007</v>
      </c>
      <c r="D186" s="11" t="s">
        <v>31</v>
      </c>
      <c r="E186" s="16">
        <v>5</v>
      </c>
      <c r="F186" s="15">
        <v>7.5650000000000004</v>
      </c>
      <c r="G186" s="15">
        <v>3.3319999999999999</v>
      </c>
      <c r="I186" s="29">
        <f>AVERAGE(F185:F186)</f>
        <v>5.6590000000000007</v>
      </c>
      <c r="J186" s="29">
        <f>AVERAGE(G185:G186)</f>
        <v>2.177</v>
      </c>
      <c r="L186">
        <f>+J186/I186</f>
        <v>0.38469694292277784</v>
      </c>
      <c r="M186">
        <f>+(L186-$L$619)/$L$620</f>
        <v>0.9883100399345538</v>
      </c>
      <c r="N186">
        <f>+N184+M186</f>
        <v>6.724446872838401</v>
      </c>
    </row>
    <row r="187" spans="1:14">
      <c r="A187" s="16">
        <v>2</v>
      </c>
      <c r="B187" s="74">
        <v>39245</v>
      </c>
      <c r="C187" s="16">
        <v>2007</v>
      </c>
      <c r="D187" s="11" t="s">
        <v>32</v>
      </c>
      <c r="E187" s="16">
        <v>6</v>
      </c>
      <c r="F187" s="15">
        <v>17.007000000000001</v>
      </c>
      <c r="G187" s="15">
        <v>5.7590000000000003</v>
      </c>
    </row>
    <row r="188" spans="1:14">
      <c r="A188" s="16">
        <v>16</v>
      </c>
      <c r="B188" s="74">
        <v>39245</v>
      </c>
      <c r="C188" s="16">
        <v>2007</v>
      </c>
      <c r="D188" s="11" t="s">
        <v>32</v>
      </c>
      <c r="E188" s="16">
        <v>6</v>
      </c>
      <c r="F188" s="15">
        <v>24.376999999999999</v>
      </c>
      <c r="G188" s="15">
        <v>8.9410000000000007</v>
      </c>
      <c r="I188" s="29">
        <f>AVERAGE(F187:F188)</f>
        <v>20.692</v>
      </c>
      <c r="J188" s="29">
        <f>AVERAGE(G187:G188)</f>
        <v>7.3500000000000005</v>
      </c>
      <c r="L188">
        <f>+J188/I188</f>
        <v>0.35520974289580515</v>
      </c>
      <c r="M188">
        <f>+(L188-$L$619)/$L$620</f>
        <v>0.72433445300073629</v>
      </c>
      <c r="N188">
        <f>+N186+M188</f>
        <v>7.4487813258391373</v>
      </c>
    </row>
    <row r="189" spans="1:14">
      <c r="A189" s="16">
        <v>2</v>
      </c>
      <c r="B189" s="74">
        <v>39280</v>
      </c>
      <c r="C189" s="16">
        <v>2007</v>
      </c>
      <c r="D189" s="11" t="s">
        <v>33</v>
      </c>
      <c r="E189" s="16">
        <v>7</v>
      </c>
      <c r="F189" s="15">
        <v>16.196000000000002</v>
      </c>
      <c r="G189" s="15">
        <v>1.9139999999999999</v>
      </c>
    </row>
    <row r="190" spans="1:14">
      <c r="A190" s="16">
        <v>16</v>
      </c>
      <c r="B190" s="74">
        <v>39280</v>
      </c>
      <c r="C190" s="16">
        <v>2007</v>
      </c>
      <c r="D190" s="11" t="s">
        <v>33</v>
      </c>
      <c r="E190" s="16">
        <v>7</v>
      </c>
      <c r="F190" s="15">
        <v>17.375</v>
      </c>
      <c r="G190" s="15">
        <v>2.012</v>
      </c>
      <c r="I190" s="29">
        <f>AVERAGE(F189:F190)</f>
        <v>16.785499999999999</v>
      </c>
      <c r="J190" s="29">
        <f>AVERAGE(G189:G190)</f>
        <v>1.9630000000000001</v>
      </c>
      <c r="L190">
        <f>+J190/I190</f>
        <v>0.11694617378094189</v>
      </c>
      <c r="M190">
        <f>+(L190-$L$619)/$L$620</f>
        <v>-1.4086508913015325</v>
      </c>
      <c r="N190">
        <f>+N188+M190</f>
        <v>6.0401304345376046</v>
      </c>
    </row>
    <row r="191" spans="1:14">
      <c r="A191" s="16">
        <v>2</v>
      </c>
      <c r="B191" s="74">
        <v>39308</v>
      </c>
      <c r="C191" s="16">
        <v>2007</v>
      </c>
      <c r="D191" s="11" t="s">
        <v>34</v>
      </c>
      <c r="E191" s="16">
        <v>8</v>
      </c>
      <c r="F191" s="15">
        <v>10.210000000000001</v>
      </c>
      <c r="G191" s="15">
        <v>3.3119999999999998</v>
      </c>
    </row>
    <row r="192" spans="1:14">
      <c r="A192" s="16">
        <v>16</v>
      </c>
      <c r="B192" s="74">
        <v>39308</v>
      </c>
      <c r="C192" s="16">
        <v>2007</v>
      </c>
      <c r="D192" s="11" t="s">
        <v>34</v>
      </c>
      <c r="E192" s="16">
        <v>8</v>
      </c>
      <c r="F192" s="15">
        <v>14.263</v>
      </c>
      <c r="G192" s="15">
        <v>1.31</v>
      </c>
      <c r="I192" s="29">
        <f>AVERAGE(F191:F192)</f>
        <v>12.236499999999999</v>
      </c>
      <c r="J192" s="29">
        <f>AVERAGE(G191:G192)</f>
        <v>2.3109999999999999</v>
      </c>
      <c r="L192">
        <f>+J192/I192</f>
        <v>0.18886119396886364</v>
      </c>
      <c r="M192">
        <f>+(L192-$L$619)/$L$620</f>
        <v>-0.76485257725004574</v>
      </c>
      <c r="N192">
        <f>+N190+M192</f>
        <v>5.2752778572875592</v>
      </c>
    </row>
    <row r="193" spans="1:14">
      <c r="A193" s="16">
        <v>2</v>
      </c>
      <c r="B193" s="74">
        <v>39337</v>
      </c>
      <c r="C193" s="16">
        <v>2007</v>
      </c>
      <c r="D193" s="11" t="s">
        <v>40</v>
      </c>
      <c r="E193" s="16">
        <v>9</v>
      </c>
      <c r="F193" s="15">
        <v>13.247999999999999</v>
      </c>
      <c r="G193" s="15">
        <v>1.29</v>
      </c>
    </row>
    <row r="194" spans="1:14">
      <c r="A194" s="16">
        <v>16</v>
      </c>
      <c r="B194" s="74">
        <v>39336</v>
      </c>
      <c r="C194" s="16">
        <v>2007</v>
      </c>
      <c r="D194" s="11" t="s">
        <v>40</v>
      </c>
      <c r="E194" s="16">
        <v>9</v>
      </c>
      <c r="F194" s="15">
        <v>12.465999999999999</v>
      </c>
      <c r="G194" s="15">
        <v>1.464</v>
      </c>
      <c r="I194" s="29">
        <f>AVERAGE(F193:F194)</f>
        <v>12.856999999999999</v>
      </c>
      <c r="J194" s="29">
        <f>AVERAGE(G193:G194)</f>
        <v>1.377</v>
      </c>
      <c r="L194">
        <f>+J194/I194</f>
        <v>0.10710119001322238</v>
      </c>
      <c r="M194">
        <f>+(L194-$L$619)/$L$620</f>
        <v>-1.4967852467527265</v>
      </c>
      <c r="N194">
        <f>+N192+M194</f>
        <v>3.7784926105348324</v>
      </c>
    </row>
    <row r="195" spans="1:14">
      <c r="A195" s="16">
        <v>2</v>
      </c>
      <c r="B195" s="74">
        <v>39373</v>
      </c>
      <c r="C195" s="16">
        <v>2007</v>
      </c>
      <c r="D195" s="11" t="s">
        <v>36</v>
      </c>
      <c r="E195" s="16">
        <v>10</v>
      </c>
      <c r="F195" s="15">
        <v>2.7330000000000001</v>
      </c>
      <c r="G195" s="15">
        <v>0.32400000000000001</v>
      </c>
    </row>
    <row r="196" spans="1:14">
      <c r="A196" s="16">
        <v>16</v>
      </c>
      <c r="B196" s="74">
        <v>39373</v>
      </c>
      <c r="C196" s="16">
        <v>2007</v>
      </c>
      <c r="D196" s="11" t="s">
        <v>36</v>
      </c>
      <c r="E196" s="16">
        <v>10</v>
      </c>
      <c r="F196" s="15">
        <v>4.891</v>
      </c>
      <c r="G196" s="15">
        <v>0.97099999999999997</v>
      </c>
      <c r="I196" s="29">
        <f>AVERAGE(F195:F196)</f>
        <v>3.8120000000000003</v>
      </c>
      <c r="J196" s="29">
        <f>AVERAGE(G195:G196)</f>
        <v>0.64749999999999996</v>
      </c>
      <c r="L196">
        <f>+J196/I196</f>
        <v>0.16985834207764949</v>
      </c>
      <c r="M196">
        <f>+(L196-$L$619)/$L$620</f>
        <v>-0.9349700850775482</v>
      </c>
      <c r="N196">
        <f>+N194+M196</f>
        <v>2.843522525457284</v>
      </c>
    </row>
    <row r="197" spans="1:14">
      <c r="A197" s="16">
        <v>2</v>
      </c>
      <c r="B197" s="74">
        <v>39399</v>
      </c>
      <c r="C197" s="16">
        <v>2007</v>
      </c>
      <c r="D197" s="11" t="s">
        <v>37</v>
      </c>
      <c r="E197" s="16">
        <v>11</v>
      </c>
      <c r="F197" s="15">
        <v>0.96299999999999997</v>
      </c>
      <c r="G197" s="15">
        <v>0.123</v>
      </c>
    </row>
    <row r="198" spans="1:14">
      <c r="A198" s="16">
        <v>16</v>
      </c>
      <c r="B198" s="74">
        <v>39399</v>
      </c>
      <c r="C198" s="16">
        <v>2007</v>
      </c>
      <c r="D198" s="11" t="s">
        <v>37</v>
      </c>
      <c r="E198" s="16">
        <v>11</v>
      </c>
      <c r="F198" s="15">
        <v>3.145</v>
      </c>
      <c r="G198" s="15">
        <v>0.64200000000000002</v>
      </c>
      <c r="I198" s="29">
        <f>AVERAGE(F197:F198)</f>
        <v>2.0539999999999998</v>
      </c>
      <c r="J198" s="29">
        <f>AVERAGE(G197:G198)</f>
        <v>0.38250000000000001</v>
      </c>
      <c r="L198">
        <f>+J198/I198</f>
        <v>0.18622200584225904</v>
      </c>
      <c r="M198">
        <f>+(L198-$L$619)/$L$620</f>
        <v>-0.78847914179710143</v>
      </c>
      <c r="N198">
        <f>+N196+M198</f>
        <v>2.0550433836601827</v>
      </c>
    </row>
    <row r="199" spans="1:14">
      <c r="A199" s="16">
        <v>2</v>
      </c>
      <c r="B199" s="74">
        <v>39426</v>
      </c>
      <c r="C199" s="16">
        <v>2007</v>
      </c>
      <c r="D199" s="11" t="s">
        <v>38</v>
      </c>
      <c r="E199" s="16">
        <v>12</v>
      </c>
      <c r="F199" s="15">
        <v>1.2290000000000001</v>
      </c>
      <c r="G199" s="15">
        <v>0.36099999999999999</v>
      </c>
    </row>
    <row r="200" spans="1:14">
      <c r="A200" s="16">
        <v>16</v>
      </c>
      <c r="B200" s="74">
        <v>39427</v>
      </c>
      <c r="C200" s="16">
        <v>2007</v>
      </c>
      <c r="D200" s="11" t="s">
        <v>38</v>
      </c>
      <c r="E200" s="16">
        <v>12</v>
      </c>
      <c r="F200" s="15">
        <v>2.2930000000000001</v>
      </c>
      <c r="G200" s="15">
        <v>0.68</v>
      </c>
      <c r="I200" s="29">
        <f>AVERAGE(F199:F200)</f>
        <v>1.7610000000000001</v>
      </c>
      <c r="J200" s="29">
        <f>AVERAGE(G199:G200)</f>
        <v>0.52049999999999996</v>
      </c>
      <c r="L200">
        <f>+J200/I200</f>
        <v>0.29557069846678019</v>
      </c>
      <c r="M200">
        <f>+(L200-$L$619)/$L$620</f>
        <v>0.19043324356331498</v>
      </c>
      <c r="N200">
        <f>+N198+M200</f>
        <v>2.2454766272234976</v>
      </c>
    </row>
    <row r="201" spans="1:14">
      <c r="A201" s="16">
        <v>2</v>
      </c>
      <c r="B201" s="74">
        <v>39462</v>
      </c>
      <c r="C201" s="16">
        <v>2008</v>
      </c>
      <c r="D201" s="11" t="s">
        <v>39</v>
      </c>
      <c r="E201" s="16">
        <v>1</v>
      </c>
      <c r="F201" s="25">
        <v>3.5289999999999999</v>
      </c>
      <c r="G201" s="25">
        <v>1.107</v>
      </c>
    </row>
    <row r="202" spans="1:14">
      <c r="A202" s="16">
        <v>16</v>
      </c>
      <c r="B202" s="74">
        <v>39462</v>
      </c>
      <c r="C202" s="16">
        <v>2008</v>
      </c>
      <c r="D202" s="11" t="s">
        <v>39</v>
      </c>
      <c r="E202" s="16">
        <v>1</v>
      </c>
      <c r="F202" s="25">
        <v>2.8180000000000001</v>
      </c>
      <c r="G202" s="25">
        <v>0.77900000000000003</v>
      </c>
      <c r="I202" s="29">
        <f>AVERAGE(F201:F202)</f>
        <v>3.1734999999999998</v>
      </c>
      <c r="J202" s="29">
        <f>AVERAGE(G201:G202)</f>
        <v>0.94300000000000006</v>
      </c>
      <c r="L202">
        <f>+J202/I202</f>
        <v>0.29714825902000952</v>
      </c>
      <c r="M202">
        <f>+(L202-$L$619)/$L$620</f>
        <v>0.20455589585249212</v>
      </c>
      <c r="N202">
        <f>+N200+M202</f>
        <v>2.4500325230759898</v>
      </c>
    </row>
    <row r="203" spans="1:14">
      <c r="A203" s="16">
        <v>2</v>
      </c>
      <c r="B203" s="74">
        <v>39490</v>
      </c>
      <c r="C203" s="16">
        <v>2008</v>
      </c>
      <c r="D203" s="11" t="s">
        <v>28</v>
      </c>
      <c r="E203" s="16">
        <v>2</v>
      </c>
      <c r="F203" s="25">
        <v>6.0679999999999996</v>
      </c>
      <c r="G203" s="25">
        <v>1.8260000000000001</v>
      </c>
    </row>
    <row r="204" spans="1:14">
      <c r="A204" s="16">
        <v>16</v>
      </c>
      <c r="B204" s="74">
        <v>39490</v>
      </c>
      <c r="C204" s="16">
        <v>2008</v>
      </c>
      <c r="D204" s="11" t="s">
        <v>28</v>
      </c>
      <c r="E204" s="16">
        <v>2</v>
      </c>
      <c r="F204" s="25">
        <v>5.6310000000000002</v>
      </c>
      <c r="G204" s="25">
        <v>1.0289999999999999</v>
      </c>
      <c r="I204" s="29">
        <f>AVERAGE(F203:F204)</f>
        <v>5.8494999999999999</v>
      </c>
      <c r="J204" s="29">
        <f>AVERAGE(G203:G204)</f>
        <v>1.4275</v>
      </c>
      <c r="L204">
        <f>+J204/I204</f>
        <v>0.24403795196170613</v>
      </c>
      <c r="M204">
        <f>+(L204-$L$619)/$L$620</f>
        <v>-0.27089869003991596</v>
      </c>
      <c r="N204">
        <f>+N202+M204</f>
        <v>2.1791338330360741</v>
      </c>
    </row>
    <row r="205" spans="1:14">
      <c r="A205" s="16">
        <v>2</v>
      </c>
      <c r="B205" s="74">
        <v>39520</v>
      </c>
      <c r="C205" s="16">
        <v>2008</v>
      </c>
      <c r="D205" s="11" t="s">
        <v>29</v>
      </c>
      <c r="E205" s="16">
        <v>3</v>
      </c>
      <c r="F205" s="26">
        <v>1.8859999999999999</v>
      </c>
      <c r="G205" s="25">
        <v>0.61099999999999999</v>
      </c>
    </row>
    <row r="206" spans="1:14">
      <c r="A206" s="16">
        <v>16</v>
      </c>
      <c r="B206" s="74">
        <v>39520</v>
      </c>
      <c r="C206" s="16">
        <v>2008</v>
      </c>
      <c r="D206" s="11" t="s">
        <v>29</v>
      </c>
      <c r="E206" s="16">
        <v>3</v>
      </c>
      <c r="F206" s="26">
        <v>1.9970000000000001</v>
      </c>
      <c r="G206" s="25">
        <v>0.73499999999999999</v>
      </c>
      <c r="I206" s="29">
        <f>AVERAGE(F205:F206)</f>
        <v>1.9415</v>
      </c>
      <c r="J206" s="29">
        <f>AVERAGE(G205:G206)</f>
        <v>0.67300000000000004</v>
      </c>
      <c r="L206">
        <f>+J206/I206</f>
        <v>0.34663919649755348</v>
      </c>
      <c r="M206">
        <f>+(L206-$L$619)/$L$620</f>
        <v>0.64760912764761658</v>
      </c>
      <c r="N206">
        <f>+N204+M206</f>
        <v>2.8267429606836907</v>
      </c>
    </row>
    <row r="207" spans="1:14">
      <c r="A207" s="16">
        <v>2</v>
      </c>
      <c r="B207" s="74">
        <v>39553</v>
      </c>
      <c r="C207" s="16">
        <v>2008</v>
      </c>
      <c r="D207" s="11" t="s">
        <v>30</v>
      </c>
      <c r="E207" s="16">
        <v>4</v>
      </c>
      <c r="F207" s="26">
        <v>0.93100000000000005</v>
      </c>
      <c r="G207" s="25">
        <v>0.30299999999999999</v>
      </c>
    </row>
    <row r="208" spans="1:14">
      <c r="A208" s="16">
        <v>16</v>
      </c>
      <c r="B208" s="74">
        <v>39553</v>
      </c>
      <c r="C208" s="16">
        <v>2008</v>
      </c>
      <c r="D208" s="11" t="s">
        <v>30</v>
      </c>
      <c r="E208" s="16">
        <v>4</v>
      </c>
      <c r="F208" s="26">
        <v>1.046</v>
      </c>
      <c r="G208" s="25">
        <v>0.16800000000000001</v>
      </c>
      <c r="I208" s="29">
        <f>AVERAGE(F207:F208)</f>
        <v>0.98850000000000005</v>
      </c>
      <c r="J208" s="29">
        <f>AVERAGE(G207:G208)</f>
        <v>0.23549999999999999</v>
      </c>
      <c r="L208">
        <f>+J208/I208</f>
        <v>0.23823975720789073</v>
      </c>
      <c r="M208">
        <f>+(L208-$L$619)/$L$620</f>
        <v>-0.32280534316042053</v>
      </c>
      <c r="N208">
        <f>+N206+M208</f>
        <v>2.5039376175232704</v>
      </c>
    </row>
    <row r="209" spans="1:14">
      <c r="A209" s="16">
        <v>2</v>
      </c>
      <c r="B209" s="74">
        <v>39582</v>
      </c>
      <c r="C209" s="16">
        <v>2008</v>
      </c>
      <c r="D209" s="11" t="s">
        <v>31</v>
      </c>
      <c r="E209" s="16">
        <v>5</v>
      </c>
      <c r="F209" s="26">
        <v>3.9430000000000001</v>
      </c>
      <c r="G209" s="25">
        <v>1.577</v>
      </c>
    </row>
    <row r="210" spans="1:14">
      <c r="A210" s="16">
        <v>16</v>
      </c>
      <c r="B210" s="74">
        <v>39583</v>
      </c>
      <c r="C210" s="16">
        <v>2008</v>
      </c>
      <c r="D210" s="11" t="s">
        <v>31</v>
      </c>
      <c r="E210" s="16">
        <v>5</v>
      </c>
      <c r="F210" s="26">
        <v>4.1219999999999999</v>
      </c>
      <c r="G210" s="25">
        <v>1.4490000000000001</v>
      </c>
      <c r="I210" s="29">
        <f>AVERAGE(F209:F210)</f>
        <v>4.0324999999999998</v>
      </c>
      <c r="J210" s="29">
        <f>AVERAGE(G209:G210)</f>
        <v>1.5129999999999999</v>
      </c>
      <c r="L210">
        <f>+J210/I210</f>
        <v>0.37520148791072533</v>
      </c>
      <c r="M210">
        <f>+(L210-$L$619)/$L$620</f>
        <v>0.90330473906782516</v>
      </c>
      <c r="N210">
        <f>+N208+M210</f>
        <v>3.4072423565910954</v>
      </c>
    </row>
    <row r="211" spans="1:14">
      <c r="A211" s="16">
        <v>2</v>
      </c>
      <c r="B211" s="74">
        <v>39616</v>
      </c>
      <c r="C211" s="16">
        <v>2008</v>
      </c>
      <c r="D211" s="11" t="s">
        <v>32</v>
      </c>
      <c r="E211" s="16">
        <v>6</v>
      </c>
      <c r="F211" s="26">
        <v>10.725</v>
      </c>
      <c r="G211" s="25">
        <v>1.2070000000000001</v>
      </c>
    </row>
    <row r="212" spans="1:14">
      <c r="A212" s="16">
        <v>16</v>
      </c>
      <c r="B212" s="74">
        <v>39616</v>
      </c>
      <c r="C212" s="16">
        <v>2008</v>
      </c>
      <c r="D212" s="11" t="s">
        <v>32</v>
      </c>
      <c r="E212" s="16">
        <v>6</v>
      </c>
      <c r="F212" s="26">
        <v>11.07</v>
      </c>
      <c r="G212" s="25">
        <v>2.073</v>
      </c>
      <c r="I212" s="29">
        <f>AVERAGE(F211:F212)</f>
        <v>10.897500000000001</v>
      </c>
      <c r="J212" s="29">
        <f>AVERAGE(G211:G212)</f>
        <v>1.6400000000000001</v>
      </c>
      <c r="L212">
        <f>+J212/I212</f>
        <v>0.15049323239275064</v>
      </c>
      <c r="M212">
        <f>+(L212-$L$619)/$L$620</f>
        <v>-1.1083306005023064</v>
      </c>
      <c r="N212">
        <f>+N210+M212</f>
        <v>2.2989117560887893</v>
      </c>
    </row>
    <row r="213" spans="1:14">
      <c r="A213" s="16">
        <v>2</v>
      </c>
      <c r="B213" s="74">
        <v>39644</v>
      </c>
      <c r="C213" s="16">
        <v>2008</v>
      </c>
      <c r="D213" s="11" t="s">
        <v>33</v>
      </c>
      <c r="E213" s="16">
        <v>7</v>
      </c>
      <c r="F213" s="26">
        <v>12.685</v>
      </c>
      <c r="G213" s="25">
        <v>2.702</v>
      </c>
    </row>
    <row r="214" spans="1:14">
      <c r="A214" s="16">
        <v>16</v>
      </c>
      <c r="B214" s="74">
        <v>39644</v>
      </c>
      <c r="C214" s="16">
        <v>2008</v>
      </c>
      <c r="D214" s="11" t="s">
        <v>33</v>
      </c>
      <c r="E214" s="16">
        <v>7</v>
      </c>
      <c r="F214" s="26">
        <v>14.726000000000001</v>
      </c>
      <c r="G214" s="25">
        <v>2.9039999999999999</v>
      </c>
      <c r="I214" s="29">
        <f>AVERAGE(F213:F214)</f>
        <v>13.705500000000001</v>
      </c>
      <c r="J214" s="29">
        <f>AVERAGE(G213:G214)</f>
        <v>2.8029999999999999</v>
      </c>
      <c r="L214">
        <f>+J214/I214</f>
        <v>0.20451643500784356</v>
      </c>
      <c r="M214">
        <f>+(L214-$L$619)/$L$620</f>
        <v>-0.62470358249724067</v>
      </c>
      <c r="N214">
        <f>+N212+M214</f>
        <v>1.6742081735915486</v>
      </c>
    </row>
    <row r="215" spans="1:14">
      <c r="A215" s="16">
        <v>2</v>
      </c>
      <c r="B215" s="74">
        <v>39673</v>
      </c>
      <c r="C215" s="16">
        <v>2008</v>
      </c>
      <c r="D215" s="11" t="s">
        <v>34</v>
      </c>
      <c r="E215" s="16">
        <v>8</v>
      </c>
      <c r="F215" s="26">
        <v>7.4409999999999998</v>
      </c>
      <c r="G215" s="25">
        <v>1.1910000000000001</v>
      </c>
    </row>
    <row r="216" spans="1:14">
      <c r="A216" s="16">
        <v>16</v>
      </c>
      <c r="B216" s="74">
        <v>39673</v>
      </c>
      <c r="C216" s="16">
        <v>2008</v>
      </c>
      <c r="D216" s="11" t="s">
        <v>34</v>
      </c>
      <c r="E216" s="16">
        <v>8</v>
      </c>
      <c r="F216" s="26">
        <v>7.3840000000000003</v>
      </c>
      <c r="G216" s="25">
        <v>0.96199999999999997</v>
      </c>
      <c r="I216" s="29">
        <f>AVERAGE(F215:F216)</f>
        <v>7.4124999999999996</v>
      </c>
      <c r="J216" s="29">
        <f>AVERAGE(G215:G216)</f>
        <v>1.0765</v>
      </c>
      <c r="L216">
        <f>+J216/I216</f>
        <v>0.14522765598650927</v>
      </c>
      <c r="M216">
        <f>+(L216-$L$619)/$L$620</f>
        <v>-1.155469142687084</v>
      </c>
      <c r="N216">
        <f>+N214+M216</f>
        <v>0.5187390309044646</v>
      </c>
    </row>
    <row r="217" spans="1:14">
      <c r="A217" s="16">
        <v>2</v>
      </c>
      <c r="B217" s="74">
        <v>39707</v>
      </c>
      <c r="C217" s="16">
        <v>2008</v>
      </c>
      <c r="D217" s="11" t="s">
        <v>40</v>
      </c>
      <c r="E217" s="16">
        <v>9</v>
      </c>
      <c r="F217" s="25">
        <v>22.388000000000002</v>
      </c>
      <c r="G217" s="25">
        <v>9.2729999999999997</v>
      </c>
    </row>
    <row r="218" spans="1:14">
      <c r="A218" s="16">
        <v>16</v>
      </c>
      <c r="B218" s="74">
        <v>39707</v>
      </c>
      <c r="C218" s="16">
        <v>2008</v>
      </c>
      <c r="D218" s="11" t="s">
        <v>40</v>
      </c>
      <c r="E218" s="16">
        <v>9</v>
      </c>
      <c r="F218" s="25">
        <v>16.899999999999999</v>
      </c>
      <c r="G218" s="25">
        <v>6.1479999999999997</v>
      </c>
      <c r="I218" s="29">
        <f>AVERAGE(F217:F218)</f>
        <v>19.643999999999998</v>
      </c>
      <c r="J218" s="29">
        <f>AVERAGE(G217:G218)</f>
        <v>7.7104999999999997</v>
      </c>
      <c r="L218">
        <f>+J218/I218</f>
        <v>0.39251170840969252</v>
      </c>
      <c r="M218">
        <f>+(L218-$L$619)/$L$620</f>
        <v>1.0582694563685131</v>
      </c>
      <c r="N218">
        <f>+N216+M218</f>
        <v>1.5770084872729777</v>
      </c>
    </row>
    <row r="219" spans="1:14">
      <c r="A219" s="16">
        <v>2</v>
      </c>
      <c r="B219" s="74">
        <v>39737</v>
      </c>
      <c r="C219" s="16">
        <v>2008</v>
      </c>
      <c r="D219" s="11" t="s">
        <v>36</v>
      </c>
      <c r="E219" s="16">
        <v>10</v>
      </c>
      <c r="F219" s="25">
        <v>1.742</v>
      </c>
      <c r="G219" s="25">
        <v>0.32500000000000001</v>
      </c>
    </row>
    <row r="220" spans="1:14">
      <c r="A220" s="16">
        <v>16</v>
      </c>
      <c r="B220" s="74">
        <v>39737</v>
      </c>
      <c r="C220" s="16">
        <v>2008</v>
      </c>
      <c r="D220" s="11" t="s">
        <v>36</v>
      </c>
      <c r="E220" s="16">
        <v>10</v>
      </c>
      <c r="F220" s="25">
        <v>5.1740000000000004</v>
      </c>
      <c r="G220" s="25">
        <v>2.028</v>
      </c>
      <c r="I220" s="29">
        <f>AVERAGE(F219:F220)</f>
        <v>3.4580000000000002</v>
      </c>
      <c r="J220" s="29">
        <f>AVERAGE(G219:G220)</f>
        <v>1.1765000000000001</v>
      </c>
      <c r="L220">
        <f>+J220/I220</f>
        <v>0.34022556390977443</v>
      </c>
      <c r="M220">
        <f>+(L220-$L$619)/$L$620</f>
        <v>0.5901929462133616</v>
      </c>
      <c r="N220">
        <f>+N218+M220</f>
        <v>2.1672014334863392</v>
      </c>
    </row>
    <row r="221" spans="1:14">
      <c r="A221" s="16">
        <v>2</v>
      </c>
      <c r="B221" s="74">
        <v>39763</v>
      </c>
      <c r="C221" s="16">
        <v>2008</v>
      </c>
      <c r="D221" s="11" t="s">
        <v>37</v>
      </c>
      <c r="E221" s="16">
        <v>11</v>
      </c>
      <c r="F221" s="25">
        <v>2.1349999999999998</v>
      </c>
      <c r="G221" s="25">
        <v>0.56699999999999995</v>
      </c>
    </row>
    <row r="222" spans="1:14">
      <c r="A222" s="16">
        <v>16</v>
      </c>
      <c r="B222" s="74">
        <v>39763</v>
      </c>
      <c r="C222" s="16">
        <v>2008</v>
      </c>
      <c r="D222" s="11" t="s">
        <v>37</v>
      </c>
      <c r="E222" s="16">
        <v>11</v>
      </c>
      <c r="F222" s="25">
        <v>3.6680000000000001</v>
      </c>
      <c r="G222" s="25">
        <v>1.1859999999999999</v>
      </c>
      <c r="I222" s="29">
        <f>AVERAGE(F221:F222)</f>
        <v>2.9015</v>
      </c>
      <c r="J222" s="29">
        <f>AVERAGE(G221:G222)</f>
        <v>0.87649999999999995</v>
      </c>
      <c r="L222">
        <f>+J222/I222</f>
        <v>0.3020851283818714</v>
      </c>
      <c r="M222">
        <f>+(L222-$L$619)/$L$620</f>
        <v>0.24875178377067322</v>
      </c>
      <c r="N222">
        <f>+N220+M222</f>
        <v>2.4159532172570124</v>
      </c>
    </row>
    <row r="223" spans="1:14">
      <c r="A223" s="16">
        <v>2</v>
      </c>
      <c r="B223" s="74">
        <v>39799</v>
      </c>
      <c r="C223" s="16">
        <v>2008</v>
      </c>
      <c r="D223" s="11" t="s">
        <v>38</v>
      </c>
      <c r="E223" s="16">
        <v>12</v>
      </c>
      <c r="F223" s="25">
        <v>6.0270000000000001</v>
      </c>
      <c r="G223" s="25">
        <v>2.09</v>
      </c>
    </row>
    <row r="224" spans="1:14">
      <c r="A224" s="16">
        <v>16</v>
      </c>
      <c r="B224" s="74">
        <v>39800</v>
      </c>
      <c r="C224" s="16">
        <v>2008</v>
      </c>
      <c r="D224" s="11" t="s">
        <v>38</v>
      </c>
      <c r="E224" s="16">
        <v>12</v>
      </c>
      <c r="F224" s="25">
        <v>4.6399999999999997</v>
      </c>
      <c r="G224" s="25">
        <v>1.4750000000000001</v>
      </c>
      <c r="I224" s="29">
        <f>AVERAGE(F223:F224)</f>
        <v>5.3334999999999999</v>
      </c>
      <c r="J224" s="29">
        <f>AVERAGE(G223:G224)</f>
        <v>1.7825</v>
      </c>
      <c r="L224">
        <f>+J224/I224</f>
        <v>0.33420830599043783</v>
      </c>
      <c r="M224">
        <f>+(L224-$L$619)/$L$620</f>
        <v>0.53632519378057431</v>
      </c>
      <c r="N224">
        <f>+N222+M224</f>
        <v>2.9522784110375868</v>
      </c>
    </row>
    <row r="225" spans="1:14">
      <c r="A225" s="16">
        <v>2</v>
      </c>
      <c r="B225" s="74">
        <v>39825</v>
      </c>
      <c r="C225" s="16">
        <v>2009</v>
      </c>
      <c r="D225" s="11" t="s">
        <v>39</v>
      </c>
      <c r="E225" s="12">
        <v>1</v>
      </c>
      <c r="F225" s="25">
        <v>7.7110000000000003</v>
      </c>
      <c r="G225" s="25">
        <v>3.0720000000000001</v>
      </c>
    </row>
    <row r="226" spans="1:14">
      <c r="A226" s="16">
        <v>16</v>
      </c>
      <c r="B226" s="74">
        <v>39825</v>
      </c>
      <c r="C226" s="16">
        <v>2009</v>
      </c>
      <c r="D226" s="11" t="s">
        <v>39</v>
      </c>
      <c r="E226" s="12">
        <v>1</v>
      </c>
      <c r="F226" s="25">
        <v>6.8780000000000001</v>
      </c>
      <c r="G226" s="25">
        <v>2.302</v>
      </c>
      <c r="I226" s="29">
        <f>AVERAGE(F225:F226)</f>
        <v>7.2945000000000002</v>
      </c>
      <c r="J226" s="29">
        <f>AVERAGE(G225:G226)</f>
        <v>2.6870000000000003</v>
      </c>
      <c r="L226">
        <f>+J226/I226</f>
        <v>0.3683597230790322</v>
      </c>
      <c r="M226">
        <f>+(L226-$L$619)/$L$620</f>
        <v>0.84205582816895053</v>
      </c>
      <c r="N226">
        <f>+N224+M226</f>
        <v>3.7943342392065373</v>
      </c>
    </row>
    <row r="227" spans="1:14">
      <c r="A227" s="12">
        <v>2</v>
      </c>
      <c r="B227" s="74">
        <v>39855</v>
      </c>
      <c r="C227" s="16">
        <v>2009</v>
      </c>
      <c r="D227" s="11" t="s">
        <v>28</v>
      </c>
      <c r="E227" s="12">
        <v>2</v>
      </c>
      <c r="F227" s="25">
        <v>5.3019999999999996</v>
      </c>
      <c r="G227" s="27">
        <v>2.1419999999999999</v>
      </c>
    </row>
    <row r="228" spans="1:14">
      <c r="A228" s="12">
        <v>16</v>
      </c>
      <c r="B228" s="74">
        <v>39854</v>
      </c>
      <c r="C228" s="16">
        <v>2009</v>
      </c>
      <c r="D228" s="11" t="s">
        <v>28</v>
      </c>
      <c r="E228" s="12">
        <v>2</v>
      </c>
      <c r="F228" s="25">
        <v>4.5049999999999999</v>
      </c>
      <c r="G228" s="25">
        <v>1.804</v>
      </c>
      <c r="I228" s="29">
        <f>AVERAGE(F227:F228)</f>
        <v>4.9034999999999993</v>
      </c>
      <c r="J228" s="29">
        <f>AVERAGE(G227:G228)</f>
        <v>1.9729999999999999</v>
      </c>
      <c r="L228">
        <f>+J228/I228</f>
        <v>0.40236565718364437</v>
      </c>
      <c r="M228">
        <f>+(L228-$L$619)/$L$620</f>
        <v>1.1464840684320636</v>
      </c>
      <c r="N228">
        <f>+N226+M228</f>
        <v>4.940818307638601</v>
      </c>
    </row>
    <row r="229" spans="1:14">
      <c r="A229" s="12">
        <v>2</v>
      </c>
      <c r="B229" s="74">
        <v>39890</v>
      </c>
      <c r="C229" s="16">
        <v>2009</v>
      </c>
      <c r="D229" s="11" t="s">
        <v>29</v>
      </c>
      <c r="E229" s="12">
        <v>3</v>
      </c>
      <c r="F229" s="25">
        <v>4.0570000000000004</v>
      </c>
      <c r="G229" s="27">
        <v>1.752</v>
      </c>
    </row>
    <row r="230" spans="1:14">
      <c r="A230" s="12">
        <v>16</v>
      </c>
      <c r="B230" s="74">
        <v>39890</v>
      </c>
      <c r="C230" s="16">
        <v>2009</v>
      </c>
      <c r="D230" s="11" t="s">
        <v>29</v>
      </c>
      <c r="E230" s="12">
        <v>3</v>
      </c>
      <c r="F230" s="25">
        <v>3.7959999999999998</v>
      </c>
      <c r="G230" s="27">
        <v>1.6439999999999999</v>
      </c>
      <c r="I230" s="29">
        <f>AVERAGE(F229:F230)</f>
        <v>3.9264999999999999</v>
      </c>
      <c r="J230" s="29">
        <f>AVERAGE(G229:G230)</f>
        <v>1.698</v>
      </c>
      <c r="L230">
        <f>+J230/I230</f>
        <v>0.43244619890487712</v>
      </c>
      <c r="M230">
        <f>+(L230-$L$619)/$L$620</f>
        <v>1.4157713744118174</v>
      </c>
      <c r="N230">
        <f>+N228+M230</f>
        <v>6.3565896820504184</v>
      </c>
    </row>
    <row r="231" spans="1:14">
      <c r="A231" s="12">
        <v>2</v>
      </c>
      <c r="B231" s="74">
        <v>39920</v>
      </c>
      <c r="C231" s="16">
        <v>2009</v>
      </c>
      <c r="D231" s="11" t="s">
        <v>30</v>
      </c>
      <c r="E231" s="12">
        <v>4</v>
      </c>
      <c r="F231" s="25">
        <v>2.726</v>
      </c>
      <c r="G231" s="27">
        <v>1.1160000000000001</v>
      </c>
    </row>
    <row r="232" spans="1:14">
      <c r="A232" s="12">
        <v>16</v>
      </c>
      <c r="B232" s="74">
        <v>39920</v>
      </c>
      <c r="C232" s="16">
        <v>2009</v>
      </c>
      <c r="D232" s="11" t="s">
        <v>30</v>
      </c>
      <c r="E232" s="12">
        <v>4</v>
      </c>
      <c r="F232" s="25">
        <v>2.3159999999999998</v>
      </c>
      <c r="G232" s="27">
        <v>0.98</v>
      </c>
      <c r="I232" s="29">
        <f>AVERAGE(F231:F232)</f>
        <v>2.5209999999999999</v>
      </c>
      <c r="J232" s="29">
        <f>AVERAGE(G231:G232)</f>
        <v>1.048</v>
      </c>
      <c r="L232">
        <f>+J232/I232</f>
        <v>0.41570805236017455</v>
      </c>
      <c r="M232">
        <f>+(L232-$L$619)/$L$620</f>
        <v>1.2659279828968404</v>
      </c>
      <c r="N232">
        <f>+N230+M232</f>
        <v>7.6225176649472584</v>
      </c>
    </row>
    <row r="233" spans="1:14">
      <c r="A233" s="12">
        <v>2</v>
      </c>
      <c r="B233" s="74">
        <v>39945</v>
      </c>
      <c r="C233" s="16">
        <v>2009</v>
      </c>
      <c r="D233" s="11" t="s">
        <v>31</v>
      </c>
      <c r="E233" s="12">
        <v>5</v>
      </c>
      <c r="F233" s="25">
        <v>3.7349999999999999</v>
      </c>
      <c r="G233" s="27">
        <v>0.85899999999999999</v>
      </c>
    </row>
    <row r="234" spans="1:14">
      <c r="A234" s="12">
        <v>16</v>
      </c>
      <c r="B234" s="74">
        <v>39945</v>
      </c>
      <c r="C234" s="16">
        <v>2009</v>
      </c>
      <c r="D234" s="11" t="s">
        <v>31</v>
      </c>
      <c r="E234" s="12">
        <v>5</v>
      </c>
      <c r="F234" s="25">
        <v>8.7650000000000006</v>
      </c>
      <c r="G234" s="27">
        <v>3.9329999999999998</v>
      </c>
      <c r="I234" s="29">
        <f>AVERAGE(F233:F234)</f>
        <v>6.25</v>
      </c>
      <c r="J234" s="29">
        <f>AVERAGE(G233:G234)</f>
        <v>2.3959999999999999</v>
      </c>
      <c r="L234">
        <f>+J234/I234</f>
        <v>0.38335999999999998</v>
      </c>
      <c r="M234">
        <f>+(L234-$L$619)/$L$620</f>
        <v>0.97634144703951886</v>
      </c>
      <c r="N234">
        <f>+N232+M234</f>
        <v>8.5988591119867763</v>
      </c>
    </row>
    <row r="235" spans="1:14">
      <c r="A235" s="16">
        <v>2</v>
      </c>
      <c r="B235" s="74">
        <v>39980</v>
      </c>
      <c r="C235" s="16">
        <v>2009</v>
      </c>
      <c r="D235" s="11" t="s">
        <v>32</v>
      </c>
      <c r="E235" s="12">
        <v>6</v>
      </c>
      <c r="F235" s="25">
        <v>7.8079999999999998</v>
      </c>
      <c r="G235" s="27">
        <v>2.1469999999999998</v>
      </c>
    </row>
    <row r="236" spans="1:14">
      <c r="A236" s="16">
        <v>16</v>
      </c>
      <c r="B236" s="74">
        <v>39980</v>
      </c>
      <c r="C236" s="16">
        <v>2009</v>
      </c>
      <c r="D236" s="11" t="s">
        <v>32</v>
      </c>
      <c r="E236" s="12">
        <v>6</v>
      </c>
      <c r="F236" s="25">
        <v>14.867000000000001</v>
      </c>
      <c r="G236" s="27">
        <v>4.673</v>
      </c>
      <c r="I236" s="29">
        <f>AVERAGE(F235:F236)</f>
        <v>11.3375</v>
      </c>
      <c r="J236" s="29">
        <f>AVERAGE(G235:G236)</f>
        <v>3.41</v>
      </c>
      <c r="L236">
        <f>+J236/I236</f>
        <v>0.30077177508269021</v>
      </c>
      <c r="M236">
        <f>+(L236-$L$619)/$L$620</f>
        <v>0.23699437012388097</v>
      </c>
      <c r="N236">
        <f>+N234+M236</f>
        <v>8.8358534821106574</v>
      </c>
    </row>
    <row r="237" spans="1:14">
      <c r="A237" s="16">
        <v>2</v>
      </c>
      <c r="B237" s="74">
        <v>40009</v>
      </c>
      <c r="C237" s="16">
        <v>2009</v>
      </c>
      <c r="D237" s="11" t="s">
        <v>33</v>
      </c>
      <c r="E237" s="12">
        <v>7</v>
      </c>
      <c r="F237" s="25">
        <v>12.242000000000001</v>
      </c>
      <c r="G237" s="27">
        <v>1.296</v>
      </c>
    </row>
    <row r="238" spans="1:14">
      <c r="A238" s="16">
        <v>16</v>
      </c>
      <c r="B238" s="74">
        <v>40009</v>
      </c>
      <c r="C238" s="16">
        <v>2009</v>
      </c>
      <c r="D238" s="11" t="s">
        <v>33</v>
      </c>
      <c r="E238" s="12">
        <v>7</v>
      </c>
      <c r="F238" s="25">
        <v>8.31</v>
      </c>
      <c r="G238" s="27">
        <v>0.96699999999999997</v>
      </c>
      <c r="I238" s="29">
        <f>AVERAGE(F237:F238)</f>
        <v>10.276</v>
      </c>
      <c r="J238" s="29">
        <f>AVERAGE(G237:G238)</f>
        <v>1.1315</v>
      </c>
      <c r="L238">
        <f>+J238/I238</f>
        <v>0.1101109381082133</v>
      </c>
      <c r="M238">
        <f>+(L238-$L$619)/$L$620</f>
        <v>-1.4698413518026661</v>
      </c>
      <c r="N238">
        <f>+N236+M238</f>
        <v>7.3660121303079915</v>
      </c>
    </row>
    <row r="239" spans="1:14">
      <c r="A239" s="16">
        <v>2</v>
      </c>
      <c r="B239" s="74">
        <v>40043</v>
      </c>
      <c r="C239" s="16">
        <v>2009</v>
      </c>
      <c r="D239" s="11" t="s">
        <v>34</v>
      </c>
      <c r="E239" s="12">
        <v>8</v>
      </c>
      <c r="F239" s="25">
        <v>15.622999999999999</v>
      </c>
      <c r="G239" s="27">
        <v>2.4830000000000001</v>
      </c>
    </row>
    <row r="240" spans="1:14">
      <c r="A240" s="16">
        <v>16</v>
      </c>
      <c r="B240" s="74">
        <v>40042</v>
      </c>
      <c r="C240" s="16">
        <v>2009</v>
      </c>
      <c r="D240" s="11" t="s">
        <v>34</v>
      </c>
      <c r="E240" s="12">
        <v>8</v>
      </c>
      <c r="F240" s="25">
        <v>17.271000000000001</v>
      </c>
      <c r="G240" s="27">
        <v>3</v>
      </c>
      <c r="I240" s="29">
        <f>AVERAGE(F239:F240)</f>
        <v>16.446999999999999</v>
      </c>
      <c r="J240" s="29">
        <f>AVERAGE(G239:G240)</f>
        <v>2.7415000000000003</v>
      </c>
      <c r="L240">
        <f>+J240/I240</f>
        <v>0.16668693378731686</v>
      </c>
      <c r="M240">
        <f>+(L240-$L$619)/$L$620</f>
        <v>-0.96336119593519309</v>
      </c>
      <c r="N240">
        <f>+N238+M240</f>
        <v>6.4026509343727982</v>
      </c>
    </row>
    <row r="241" spans="1:14">
      <c r="A241" s="16">
        <v>2</v>
      </c>
      <c r="B241" s="74">
        <v>40070</v>
      </c>
      <c r="C241" s="16">
        <v>2009</v>
      </c>
      <c r="D241" s="11" t="s">
        <v>40</v>
      </c>
      <c r="E241" s="12">
        <v>9</v>
      </c>
      <c r="F241" s="25">
        <v>4.9349999999999996</v>
      </c>
      <c r="G241" s="27">
        <v>0.98599999999999999</v>
      </c>
    </row>
    <row r="242" spans="1:14">
      <c r="A242" s="16">
        <v>16</v>
      </c>
      <c r="B242" s="74">
        <v>40070</v>
      </c>
      <c r="C242" s="16">
        <v>2009</v>
      </c>
      <c r="D242" s="11" t="s">
        <v>40</v>
      </c>
      <c r="E242" s="12">
        <v>9</v>
      </c>
      <c r="F242" s="25">
        <v>22.917000000000002</v>
      </c>
      <c r="G242" s="27">
        <v>6.6849999999999996</v>
      </c>
      <c r="I242" s="29">
        <f>AVERAGE(F241:F242)</f>
        <v>13.926</v>
      </c>
      <c r="J242" s="29">
        <f>AVERAGE(G241:G242)</f>
        <v>3.8354999999999997</v>
      </c>
      <c r="L242">
        <f>+J242/I242</f>
        <v>0.27542007755277897</v>
      </c>
      <c r="M242">
        <f>+(L242-$L$619)/$L$620</f>
        <v>1.0040667191578928E-2</v>
      </c>
      <c r="N242">
        <f>+N240+M242</f>
        <v>6.4126916015643776</v>
      </c>
    </row>
    <row r="243" spans="1:14">
      <c r="A243" s="16">
        <v>2</v>
      </c>
      <c r="B243" s="74">
        <v>40099</v>
      </c>
      <c r="C243" s="16">
        <v>2009</v>
      </c>
      <c r="D243" s="11" t="s">
        <v>36</v>
      </c>
      <c r="E243" s="12">
        <v>10</v>
      </c>
      <c r="F243" s="25">
        <v>2.278</v>
      </c>
      <c r="G243" s="27">
        <v>0.31900000000000001</v>
      </c>
    </row>
    <row r="244" spans="1:14">
      <c r="A244" s="16">
        <v>16</v>
      </c>
      <c r="B244" s="74">
        <v>40099</v>
      </c>
      <c r="C244" s="16">
        <v>2009</v>
      </c>
      <c r="D244" s="11" t="s">
        <v>36</v>
      </c>
      <c r="E244" s="12">
        <v>10</v>
      </c>
      <c r="F244" s="25">
        <v>5.1630000000000003</v>
      </c>
      <c r="G244" s="27">
        <v>0.752</v>
      </c>
      <c r="I244" s="29">
        <f>AVERAGE(F243:F244)</f>
        <v>3.7205000000000004</v>
      </c>
      <c r="J244" s="29">
        <f>AVERAGE(G243:G244)</f>
        <v>0.53549999999999998</v>
      </c>
      <c r="L244">
        <f>+J244/I244</f>
        <v>0.14393226716839133</v>
      </c>
      <c r="M244">
        <f>+(L244-$L$619)/$L$620</f>
        <v>-1.1670657345390534</v>
      </c>
      <c r="N244">
        <f>+N242+M244</f>
        <v>5.245625867025324</v>
      </c>
    </row>
    <row r="245" spans="1:14">
      <c r="A245" s="16">
        <v>2</v>
      </c>
      <c r="B245" s="74">
        <v>40134</v>
      </c>
      <c r="C245" s="16">
        <v>2009</v>
      </c>
      <c r="D245" s="11" t="s">
        <v>37</v>
      </c>
      <c r="E245" s="12">
        <v>11</v>
      </c>
      <c r="F245" s="25">
        <v>2.2709999999999999</v>
      </c>
      <c r="G245" s="27">
        <v>0.4</v>
      </c>
    </row>
    <row r="246" spans="1:14">
      <c r="A246" s="16">
        <v>16</v>
      </c>
      <c r="B246" s="74">
        <v>40133</v>
      </c>
      <c r="C246" s="16">
        <v>2009</v>
      </c>
      <c r="D246" s="11" t="s">
        <v>37</v>
      </c>
      <c r="E246" s="12">
        <v>11</v>
      </c>
      <c r="F246" s="25">
        <v>3.33</v>
      </c>
      <c r="G246" s="27">
        <v>0.57799999999999996</v>
      </c>
      <c r="I246" s="29">
        <f>AVERAGE(F245:F246)</f>
        <v>2.8005</v>
      </c>
      <c r="J246" s="29">
        <f>AVERAGE(G245:G246)</f>
        <v>0.48899999999999999</v>
      </c>
      <c r="L246">
        <f>+J246/I246</f>
        <v>0.17461167648634171</v>
      </c>
      <c r="M246">
        <f>+(L246-$L$619)/$L$620</f>
        <v>-0.8924172404778753</v>
      </c>
      <c r="N246">
        <f>+N244+M246</f>
        <v>4.353208626547449</v>
      </c>
    </row>
    <row r="247" spans="1:14">
      <c r="A247" s="16">
        <v>2</v>
      </c>
      <c r="B247" s="74">
        <v>40161</v>
      </c>
      <c r="C247" s="16">
        <v>2009</v>
      </c>
      <c r="D247" s="11" t="s">
        <v>38</v>
      </c>
      <c r="E247" s="12">
        <v>12</v>
      </c>
      <c r="F247" s="25">
        <v>4.7210000000000001</v>
      </c>
      <c r="G247" s="27">
        <v>1.171</v>
      </c>
    </row>
    <row r="248" spans="1:14">
      <c r="A248" s="16">
        <v>16</v>
      </c>
      <c r="B248" s="74">
        <v>40161</v>
      </c>
      <c r="C248" s="16">
        <v>2009</v>
      </c>
      <c r="D248" s="11" t="s">
        <v>38</v>
      </c>
      <c r="E248" s="12">
        <v>12</v>
      </c>
      <c r="F248" s="25">
        <v>5.6890000000000001</v>
      </c>
      <c r="G248" s="27">
        <v>1.236</v>
      </c>
      <c r="I248" s="29">
        <f>AVERAGE(F247:F248)</f>
        <v>5.2050000000000001</v>
      </c>
      <c r="J248" s="29">
        <f>AVERAGE(G247:G248)</f>
        <v>1.2035</v>
      </c>
      <c r="L248">
        <f>+J248/I248</f>
        <v>0.23121998078770414</v>
      </c>
      <c r="M248">
        <f>+(L248-$L$619)/$L$620</f>
        <v>-0.38564785106106536</v>
      </c>
      <c r="N248">
        <f>+N246+M248</f>
        <v>3.9675607754863838</v>
      </c>
    </row>
    <row r="249" spans="1:14">
      <c r="A249" s="16">
        <v>2</v>
      </c>
      <c r="B249" s="71">
        <v>40198</v>
      </c>
      <c r="C249" s="16">
        <v>2010</v>
      </c>
      <c r="D249" s="11" t="s">
        <v>39</v>
      </c>
      <c r="E249" s="16">
        <v>1</v>
      </c>
      <c r="F249" s="28">
        <v>8.5489999999999995</v>
      </c>
      <c r="G249" s="29">
        <v>3.6769590000000001</v>
      </c>
    </row>
    <row r="250" spans="1:14">
      <c r="A250" s="16">
        <v>16</v>
      </c>
      <c r="B250" s="71">
        <v>40198</v>
      </c>
      <c r="C250" s="16">
        <v>2010</v>
      </c>
      <c r="D250" s="11" t="s">
        <v>39</v>
      </c>
      <c r="E250" s="16">
        <v>1</v>
      </c>
      <c r="F250" s="28">
        <v>3.5960000000000001</v>
      </c>
      <c r="G250" s="29">
        <v>1.4637470000000001</v>
      </c>
      <c r="I250" s="29">
        <f>AVERAGE(F249:F250)</f>
        <v>6.0724999999999998</v>
      </c>
      <c r="J250" s="29">
        <f>AVERAGE(G249:G250)</f>
        <v>2.5703529999999999</v>
      </c>
      <c r="L250">
        <f>+J250/I250</f>
        <v>0.4232775627830383</v>
      </c>
      <c r="M250">
        <f>+(L250-$L$619)/$L$620</f>
        <v>1.3336918246603626</v>
      </c>
      <c r="N250">
        <f>+N248+M250</f>
        <v>5.3012526001467464</v>
      </c>
    </row>
    <row r="251" spans="1:14">
      <c r="A251" s="16">
        <v>2</v>
      </c>
      <c r="B251" s="71">
        <v>40225</v>
      </c>
      <c r="C251" s="16">
        <v>2010</v>
      </c>
      <c r="D251" s="11" t="s">
        <v>28</v>
      </c>
      <c r="E251" s="16">
        <v>2</v>
      </c>
      <c r="F251" s="28">
        <v>8.0310000000000006</v>
      </c>
      <c r="G251" s="29">
        <v>3.4302912500000002</v>
      </c>
    </row>
    <row r="252" spans="1:14">
      <c r="A252" s="16">
        <v>16</v>
      </c>
      <c r="B252" s="71">
        <v>40225</v>
      </c>
      <c r="C252" s="16">
        <v>2010</v>
      </c>
      <c r="D252" s="11" t="s">
        <v>28</v>
      </c>
      <c r="E252" s="16">
        <v>2</v>
      </c>
      <c r="F252" s="28">
        <v>5.2069999999999999</v>
      </c>
      <c r="G252" s="29">
        <v>0.95153149999999975</v>
      </c>
      <c r="I252" s="29">
        <f>AVERAGE(F251:F252)</f>
        <v>6.6189999999999998</v>
      </c>
      <c r="J252" s="29">
        <f>AVERAGE(G251:G252)</f>
        <v>2.1909113749999998</v>
      </c>
      <c r="L252">
        <f>+J252/I252</f>
        <v>0.33100338042000299</v>
      </c>
      <c r="M252">
        <f>+(L252-$L$619)/$L$620</f>
        <v>0.50763402921558154</v>
      </c>
      <c r="N252">
        <f>+N250+M252</f>
        <v>5.8088866293623278</v>
      </c>
    </row>
    <row r="253" spans="1:14">
      <c r="A253" s="16">
        <v>2</v>
      </c>
      <c r="B253" s="71">
        <v>40254</v>
      </c>
      <c r="C253" s="16">
        <v>2010</v>
      </c>
      <c r="D253" s="11" t="s">
        <v>29</v>
      </c>
      <c r="E253" s="16">
        <v>3</v>
      </c>
      <c r="F253" s="28">
        <v>1.774</v>
      </c>
      <c r="G253" s="29">
        <v>0.70002162499999976</v>
      </c>
    </row>
    <row r="254" spans="1:14">
      <c r="A254" s="16">
        <v>16</v>
      </c>
      <c r="B254" s="71">
        <v>40254</v>
      </c>
      <c r="C254" s="16">
        <v>2010</v>
      </c>
      <c r="D254" s="11" t="s">
        <v>29</v>
      </c>
      <c r="E254" s="16">
        <v>3</v>
      </c>
      <c r="F254" s="28">
        <v>1.786</v>
      </c>
      <c r="G254" s="29">
        <v>0.80557250000000002</v>
      </c>
      <c r="I254" s="29">
        <f>AVERAGE(F253:F254)</f>
        <v>1.78</v>
      </c>
      <c r="J254" s="29">
        <f>AVERAGE(G253:G254)</f>
        <v>0.75279706249999989</v>
      </c>
      <c r="L254">
        <f>+J254/I254</f>
        <v>0.42291969803370782</v>
      </c>
      <c r="M254">
        <f>+(L254-$L$619)/$L$620</f>
        <v>1.3304881445157228</v>
      </c>
      <c r="N254">
        <f>+N252+M254</f>
        <v>7.1393747738780506</v>
      </c>
    </row>
    <row r="255" spans="1:14">
      <c r="A255" s="16">
        <v>2</v>
      </c>
      <c r="B255" s="71">
        <v>40282</v>
      </c>
      <c r="C255" s="16">
        <v>2010</v>
      </c>
      <c r="D255" s="11" t="s">
        <v>30</v>
      </c>
      <c r="E255" s="16">
        <v>4</v>
      </c>
      <c r="F255" s="28">
        <v>1.8720000000000001</v>
      </c>
      <c r="G255" s="29">
        <v>0.83571474999999995</v>
      </c>
    </row>
    <row r="256" spans="1:14">
      <c r="A256" s="16">
        <v>16</v>
      </c>
      <c r="B256" s="71">
        <v>40282</v>
      </c>
      <c r="C256" s="16">
        <v>2010</v>
      </c>
      <c r="D256" s="11" t="s">
        <v>30</v>
      </c>
      <c r="E256" s="16">
        <v>4</v>
      </c>
      <c r="F256" s="28">
        <v>2.0350000000000001</v>
      </c>
      <c r="G256" s="29">
        <v>0.46775262499999998</v>
      </c>
      <c r="I256" s="29">
        <f>AVERAGE(F255:F256)</f>
        <v>1.9535</v>
      </c>
      <c r="J256" s="29">
        <f>AVERAGE(G255:G256)</f>
        <v>0.65173368749999994</v>
      </c>
      <c r="L256">
        <f>+J256/I256</f>
        <v>0.3336235922702841</v>
      </c>
      <c r="M256">
        <f>+(L256-$L$619)/$L$620</f>
        <v>0.53109071416485465</v>
      </c>
      <c r="N256">
        <f>+N254+M256</f>
        <v>7.6704654880429057</v>
      </c>
    </row>
    <row r="257" spans="1:14">
      <c r="A257" s="16">
        <v>2</v>
      </c>
      <c r="B257" s="74">
        <v>40315</v>
      </c>
      <c r="C257" s="16">
        <v>2010</v>
      </c>
      <c r="D257" s="11" t="s">
        <v>31</v>
      </c>
      <c r="E257" s="16">
        <v>5</v>
      </c>
      <c r="F257" s="30">
        <v>1.4510000000000001</v>
      </c>
      <c r="G257" s="29">
        <v>0.35122549999999991</v>
      </c>
    </row>
    <row r="258" spans="1:14">
      <c r="A258" s="16">
        <v>16</v>
      </c>
      <c r="B258" s="74">
        <v>40315</v>
      </c>
      <c r="C258" s="16">
        <v>2010</v>
      </c>
      <c r="D258" s="11" t="s">
        <v>31</v>
      </c>
      <c r="E258" s="16">
        <v>5</v>
      </c>
      <c r="F258" s="30">
        <v>3.1819999999999999</v>
      </c>
      <c r="G258" s="29">
        <v>1.169100875</v>
      </c>
      <c r="I258" s="29">
        <f>AVERAGE(F257:F258)</f>
        <v>2.3165</v>
      </c>
      <c r="J258" s="29">
        <f>AVERAGE(G257:G258)</f>
        <v>0.7601631875</v>
      </c>
      <c r="L258">
        <f>+J258/I258</f>
        <v>0.32815160263328297</v>
      </c>
      <c r="M258">
        <f>+(L258-$L$619)/$L$620</f>
        <v>0.48210431753167676</v>
      </c>
      <c r="N258">
        <f>+N256+M258</f>
        <v>8.1525698055745828</v>
      </c>
    </row>
    <row r="259" spans="1:14">
      <c r="A259" s="16">
        <v>2</v>
      </c>
      <c r="B259" s="74">
        <v>40344</v>
      </c>
      <c r="C259" s="16">
        <v>2010</v>
      </c>
      <c r="D259" s="11" t="s">
        <v>32</v>
      </c>
      <c r="E259" s="16">
        <v>6</v>
      </c>
      <c r="F259" s="30">
        <v>6.09</v>
      </c>
      <c r="G259" s="29">
        <v>1.5108619999999997</v>
      </c>
    </row>
    <row r="260" spans="1:14">
      <c r="A260" s="16">
        <v>16</v>
      </c>
      <c r="B260" s="74">
        <v>40344</v>
      </c>
      <c r="C260" s="16">
        <v>2010</v>
      </c>
      <c r="D260" s="11" t="s">
        <v>32</v>
      </c>
      <c r="E260" s="16">
        <v>6</v>
      </c>
      <c r="F260" s="30">
        <v>8.3989999999999991</v>
      </c>
      <c r="G260" s="29">
        <v>1.5433611249999997</v>
      </c>
      <c r="I260" s="29">
        <f>AVERAGE(F259:F260)</f>
        <v>7.2444999999999995</v>
      </c>
      <c r="J260" s="29">
        <f>AVERAGE(G259:G260)</f>
        <v>1.5271115624999996</v>
      </c>
      <c r="L260">
        <f>+J260/I260</f>
        <v>0.21079599178687275</v>
      </c>
      <c r="M260">
        <f>+(L260-$L$619)/$L$620</f>
        <v>-0.56848767576780646</v>
      </c>
      <c r="N260">
        <f>+N258+M260</f>
        <v>7.5840821298067764</v>
      </c>
    </row>
    <row r="261" spans="1:14">
      <c r="A261" s="16">
        <v>2</v>
      </c>
      <c r="B261" s="74">
        <v>40371</v>
      </c>
      <c r="C261" s="16">
        <v>2010</v>
      </c>
      <c r="D261" s="11" t="s">
        <v>33</v>
      </c>
      <c r="E261" s="16">
        <v>7</v>
      </c>
      <c r="F261" s="30">
        <v>9.2140000000000004</v>
      </c>
      <c r="G261" s="29">
        <v>2.5314336249999996</v>
      </c>
    </row>
    <row r="262" spans="1:14">
      <c r="A262" s="16">
        <v>16</v>
      </c>
      <c r="B262" s="74">
        <v>40371</v>
      </c>
      <c r="C262" s="16">
        <v>2010</v>
      </c>
      <c r="D262" s="11" t="s">
        <v>33</v>
      </c>
      <c r="E262" s="16">
        <v>7</v>
      </c>
      <c r="F262" s="30">
        <v>13.456</v>
      </c>
      <c r="G262" s="29">
        <v>2.285654375</v>
      </c>
      <c r="I262" s="29">
        <f>AVERAGE(F261:F262)</f>
        <v>11.335000000000001</v>
      </c>
      <c r="J262" s="29">
        <f>AVERAGE(G261:G262)</f>
        <v>2.408544</v>
      </c>
      <c r="L262">
        <f>+J262/I262</f>
        <v>0.21248734009704454</v>
      </c>
      <c r="M262">
        <f>+(L262-$L$619)/$L$620</f>
        <v>-0.55334637166030509</v>
      </c>
      <c r="N262">
        <f>+N260+M262</f>
        <v>7.0307357581464718</v>
      </c>
    </row>
    <row r="263" spans="1:14">
      <c r="A263" s="16">
        <v>2</v>
      </c>
      <c r="B263" s="74">
        <v>40407</v>
      </c>
      <c r="C263" s="16">
        <v>2010</v>
      </c>
      <c r="D263" s="11" t="s">
        <v>34</v>
      </c>
      <c r="E263" s="16">
        <v>8</v>
      </c>
      <c r="F263" s="30">
        <v>10.113</v>
      </c>
      <c r="G263" s="29">
        <v>3.7327789999999998</v>
      </c>
    </row>
    <row r="264" spans="1:14">
      <c r="A264" s="16">
        <v>16</v>
      </c>
      <c r="B264" s="74">
        <v>40407</v>
      </c>
      <c r="C264" s="16">
        <v>2010</v>
      </c>
      <c r="D264" s="11" t="s">
        <v>34</v>
      </c>
      <c r="E264" s="16">
        <v>8</v>
      </c>
      <c r="F264" s="30">
        <v>10.69</v>
      </c>
      <c r="G264" s="29">
        <v>4.1785708750000001</v>
      </c>
      <c r="I264" s="29">
        <f>AVERAGE(F263:F264)</f>
        <v>10.401499999999999</v>
      </c>
      <c r="J264" s="29">
        <f>AVERAGE(G263:G264)</f>
        <v>3.9556749375</v>
      </c>
      <c r="L264">
        <f>+J264/I264</f>
        <v>0.38029850862856324</v>
      </c>
      <c r="M264">
        <f>+(L264-$L$619)/$L$620</f>
        <v>0.9489343354477574</v>
      </c>
      <c r="N264">
        <f>+N262+M264</f>
        <v>7.9796700935942289</v>
      </c>
    </row>
    <row r="265" spans="1:14">
      <c r="A265" s="16">
        <v>2</v>
      </c>
      <c r="B265" s="74">
        <v>40436</v>
      </c>
      <c r="C265" s="16">
        <v>2010</v>
      </c>
      <c r="D265" s="11" t="s">
        <v>40</v>
      </c>
      <c r="E265" s="16">
        <v>9</v>
      </c>
      <c r="F265" s="30">
        <v>15.021000000000001</v>
      </c>
      <c r="G265" s="29">
        <v>7.8999865000000007</v>
      </c>
    </row>
    <row r="266" spans="1:14">
      <c r="A266" s="16">
        <v>16</v>
      </c>
      <c r="B266" s="74">
        <v>40436</v>
      </c>
      <c r="C266" s="16">
        <v>2010</v>
      </c>
      <c r="D266" s="11" t="s">
        <v>40</v>
      </c>
      <c r="E266" s="16">
        <v>9</v>
      </c>
      <c r="F266" s="30">
        <v>12.462999999999999</v>
      </c>
      <c r="G266" s="29">
        <v>4.76846675</v>
      </c>
      <c r="I266" s="29">
        <f>AVERAGE(F265:F266)</f>
        <v>13.742000000000001</v>
      </c>
      <c r="J266" s="29">
        <f>AVERAGE(G265:G266)</f>
        <v>6.3342266250000003</v>
      </c>
      <c r="L266">
        <f>+J266/I266</f>
        <v>0.46093921008586813</v>
      </c>
      <c r="M266">
        <f>+(L266-$L$619)/$L$620</f>
        <v>1.6708467746917308</v>
      </c>
      <c r="N266">
        <f>+N264+M266</f>
        <v>9.6505168682859601</v>
      </c>
    </row>
    <row r="267" spans="1:14">
      <c r="A267" s="16">
        <v>2</v>
      </c>
      <c r="B267" s="74">
        <v>40464</v>
      </c>
      <c r="C267" s="16">
        <v>2010</v>
      </c>
      <c r="D267" s="11" t="s">
        <v>36</v>
      </c>
      <c r="E267" s="16">
        <v>10</v>
      </c>
      <c r="F267" s="28">
        <v>3.5270000000000001</v>
      </c>
      <c r="G267" s="29">
        <v>0.82859950000000004</v>
      </c>
    </row>
    <row r="268" spans="1:14">
      <c r="A268" s="16">
        <v>16</v>
      </c>
      <c r="B268" s="74">
        <v>40464</v>
      </c>
      <c r="C268" s="16">
        <v>2010</v>
      </c>
      <c r="D268" s="11" t="s">
        <v>36</v>
      </c>
      <c r="E268" s="16">
        <v>10</v>
      </c>
      <c r="F268" s="28">
        <v>2.2570000000000001</v>
      </c>
      <c r="G268" s="29">
        <v>0.39194024999999993</v>
      </c>
      <c r="I268" s="29">
        <f>AVERAGE(F267:F268)</f>
        <v>2.8920000000000003</v>
      </c>
      <c r="J268" s="29">
        <f>AVERAGE(G267:G268)</f>
        <v>0.61026987499999996</v>
      </c>
      <c r="L268">
        <f>+J268/I268</f>
        <v>0.21102001210235127</v>
      </c>
      <c r="M268">
        <f>+(L268-$L$619)/$L$620</f>
        <v>-0.5664821990114699</v>
      </c>
      <c r="N268">
        <f>+N266+M268</f>
        <v>9.0840346692744909</v>
      </c>
    </row>
    <row r="269" spans="1:14">
      <c r="A269" s="16">
        <v>2</v>
      </c>
      <c r="B269" s="74">
        <v>40498</v>
      </c>
      <c r="C269" s="16">
        <v>2010</v>
      </c>
      <c r="D269" s="11" t="s">
        <v>37</v>
      </c>
      <c r="E269" s="16">
        <v>11</v>
      </c>
      <c r="F269" s="28">
        <v>0.999</v>
      </c>
      <c r="G269" s="29">
        <v>0.30490949999999994</v>
      </c>
    </row>
    <row r="270" spans="1:14">
      <c r="A270" s="16">
        <v>16</v>
      </c>
      <c r="B270" s="74">
        <v>40498</v>
      </c>
      <c r="C270" s="16">
        <v>2010</v>
      </c>
      <c r="D270" s="11" t="s">
        <v>37</v>
      </c>
      <c r="E270" s="16">
        <v>11</v>
      </c>
      <c r="F270" s="28">
        <v>1.748</v>
      </c>
      <c r="G270" s="29">
        <v>0.54359587499999984</v>
      </c>
      <c r="I270" s="29">
        <f>AVERAGE(F269:F270)</f>
        <v>1.3734999999999999</v>
      </c>
      <c r="J270" s="29">
        <f>AVERAGE(G269:G270)</f>
        <v>0.42425268749999989</v>
      </c>
      <c r="L270">
        <f>+J270/I270</f>
        <v>0.30888437386239526</v>
      </c>
      <c r="M270">
        <f>+(L270-$L$619)/$L$620</f>
        <v>0.30962005253768432</v>
      </c>
      <c r="N270">
        <f>+N268+M270</f>
        <v>9.393654721812176</v>
      </c>
    </row>
    <row r="271" spans="1:14">
      <c r="A271" s="16">
        <v>2</v>
      </c>
      <c r="B271" s="74">
        <v>40520</v>
      </c>
      <c r="C271" s="16">
        <v>2010</v>
      </c>
      <c r="D271" s="11" t="s">
        <v>38</v>
      </c>
      <c r="E271" s="16">
        <v>12</v>
      </c>
      <c r="F271" s="28">
        <v>3.78</v>
      </c>
      <c r="G271" s="29">
        <v>1.3998647499999997</v>
      </c>
    </row>
    <row r="272" spans="1:14">
      <c r="A272" s="16">
        <v>16</v>
      </c>
      <c r="B272" s="74">
        <v>40520</v>
      </c>
      <c r="C272" s="16">
        <v>2010</v>
      </c>
      <c r="D272" s="11" t="s">
        <v>38</v>
      </c>
      <c r="E272" s="16">
        <v>12</v>
      </c>
      <c r="F272" s="28">
        <v>2.7549999999999999</v>
      </c>
      <c r="G272" s="29">
        <v>0.84848762499999997</v>
      </c>
      <c r="I272" s="29">
        <f>AVERAGE(F271:F272)</f>
        <v>3.2675000000000001</v>
      </c>
      <c r="J272" s="29">
        <f>AVERAGE(G271:G272)</f>
        <v>1.1241761874999998</v>
      </c>
      <c r="L272">
        <f>+J272/I272</f>
        <v>0.34404780030604432</v>
      </c>
      <c r="M272">
        <f>+(L272-$L$619)/$L$620</f>
        <v>0.62441040650739443</v>
      </c>
      <c r="N272">
        <f>+N270+M272</f>
        <v>10.01806512831957</v>
      </c>
    </row>
    <row r="273" spans="1:14">
      <c r="A273" s="16">
        <v>2</v>
      </c>
      <c r="B273" s="74">
        <v>40562</v>
      </c>
      <c r="C273" s="16">
        <v>2011</v>
      </c>
      <c r="D273" s="11" t="s">
        <v>39</v>
      </c>
      <c r="E273" s="16">
        <v>1</v>
      </c>
      <c r="F273" s="28">
        <v>6.5730000000000004</v>
      </c>
      <c r="G273" s="29">
        <v>3.0776975000000002</v>
      </c>
    </row>
    <row r="274" spans="1:14">
      <c r="A274" s="16">
        <v>16</v>
      </c>
      <c r="B274" s="74">
        <v>40562</v>
      </c>
      <c r="C274" s="16">
        <v>2011</v>
      </c>
      <c r="D274" s="11" t="s">
        <v>39</v>
      </c>
      <c r="E274" s="16">
        <v>1</v>
      </c>
      <c r="F274" s="28">
        <v>4.1449999999999996</v>
      </c>
      <c r="G274" s="29">
        <v>1.620601</v>
      </c>
      <c r="I274" s="29"/>
      <c r="J274" s="29"/>
    </row>
    <row r="275" spans="1:14">
      <c r="A275" s="16">
        <v>16</v>
      </c>
      <c r="B275" s="74">
        <v>40562</v>
      </c>
      <c r="C275" s="16">
        <v>2011</v>
      </c>
      <c r="D275" s="11" t="s">
        <v>39</v>
      </c>
      <c r="E275" s="16">
        <v>1</v>
      </c>
      <c r="F275" s="28">
        <v>4.1449999999999996</v>
      </c>
      <c r="G275" s="29">
        <v>1.528445625</v>
      </c>
      <c r="H275" t="s">
        <v>41</v>
      </c>
      <c r="I275" s="29">
        <f>AVERAGE(F273:F275)</f>
        <v>4.9543333333333335</v>
      </c>
      <c r="J275" s="29">
        <f>AVERAGE(G273:G275)</f>
        <v>2.0755813750000001</v>
      </c>
      <c r="L275">
        <f>+J275/I275</f>
        <v>0.4189426175738411</v>
      </c>
      <c r="M275">
        <f>+(L275-$L$619)/$L$620</f>
        <v>1.2948844877522456</v>
      </c>
      <c r="N275">
        <f>+N272+M275</f>
        <v>11.312949616071815</v>
      </c>
    </row>
    <row r="276" spans="1:14">
      <c r="A276" s="16">
        <v>2</v>
      </c>
      <c r="B276" s="74">
        <v>40591</v>
      </c>
      <c r="C276" s="16">
        <v>2011</v>
      </c>
      <c r="D276" s="11" t="s">
        <v>28</v>
      </c>
      <c r="E276" s="16">
        <v>2</v>
      </c>
      <c r="F276" s="28">
        <v>3.4020000000000001</v>
      </c>
      <c r="G276" s="29">
        <v>1.2885806249999998</v>
      </c>
    </row>
    <row r="277" spans="1:14">
      <c r="A277" s="16">
        <v>16</v>
      </c>
      <c r="B277" s="74">
        <v>40591</v>
      </c>
      <c r="C277" s="16">
        <v>2011</v>
      </c>
      <c r="D277" s="11" t="s">
        <v>28</v>
      </c>
      <c r="E277" s="16">
        <v>2</v>
      </c>
      <c r="F277" s="28">
        <v>3.0339999999999998</v>
      </c>
      <c r="G277" s="29">
        <v>1.1445351249999998</v>
      </c>
      <c r="I277" s="29">
        <f>AVERAGE(F276:F277)</f>
        <v>3.218</v>
      </c>
      <c r="J277" s="29">
        <f>AVERAGE(G276:G277)</f>
        <v>1.2165578749999999</v>
      </c>
      <c r="L277">
        <f>+J277/I277</f>
        <v>0.37804781696706025</v>
      </c>
      <c r="M277">
        <f>+(L277-$L$619)/$L$620</f>
        <v>0.92878567257678835</v>
      </c>
      <c r="N277">
        <f>+N275+M277</f>
        <v>12.241735288648604</v>
      </c>
    </row>
    <row r="278" spans="1:14">
      <c r="A278" s="16">
        <v>2</v>
      </c>
      <c r="B278" s="74">
        <v>40619</v>
      </c>
      <c r="C278" s="16">
        <v>2011</v>
      </c>
      <c r="D278" s="11" t="s">
        <v>29</v>
      </c>
      <c r="E278" s="16">
        <v>3</v>
      </c>
      <c r="F278" s="28">
        <v>8.7029999999999994</v>
      </c>
      <c r="G278" s="29">
        <v>4.005196625</v>
      </c>
    </row>
    <row r="279" spans="1:14">
      <c r="A279" s="16">
        <v>16</v>
      </c>
      <c r="B279" s="74">
        <v>40619</v>
      </c>
      <c r="C279" s="16">
        <v>2011</v>
      </c>
      <c r="D279" s="11" t="s">
        <v>29</v>
      </c>
      <c r="E279" s="16">
        <v>3</v>
      </c>
      <c r="F279" s="28">
        <v>2.177</v>
      </c>
      <c r="G279" s="29">
        <v>0.84790675000000004</v>
      </c>
      <c r="I279" s="29">
        <f>AVERAGE(F278:F279)</f>
        <v>5.4399999999999995</v>
      </c>
      <c r="J279" s="29">
        <f>AVERAGE(G278:G279)</f>
        <v>2.4265516874999999</v>
      </c>
      <c r="L279">
        <f>+J279/I279</f>
        <v>0.44605729549632356</v>
      </c>
      <c r="M279">
        <f>+(L279-$L$619)/$L$620</f>
        <v>1.5376207601877931</v>
      </c>
      <c r="N279">
        <f>+N277+M279</f>
        <v>13.779356048836398</v>
      </c>
    </row>
    <row r="280" spans="1:14">
      <c r="A280" s="16">
        <v>2</v>
      </c>
      <c r="B280" s="74">
        <v>40646</v>
      </c>
      <c r="C280" s="16">
        <v>2011</v>
      </c>
      <c r="D280" s="11" t="s">
        <v>30</v>
      </c>
      <c r="E280" s="16">
        <v>4</v>
      </c>
      <c r="F280" s="28">
        <v>2.101</v>
      </c>
      <c r="G280" s="29">
        <v>0.413138375</v>
      </c>
    </row>
    <row r="281" spans="1:14">
      <c r="A281" s="16">
        <v>16</v>
      </c>
      <c r="B281" s="74">
        <v>40646</v>
      </c>
      <c r="C281" s="16">
        <v>2011</v>
      </c>
      <c r="D281" s="11" t="s">
        <v>30</v>
      </c>
      <c r="E281" s="16">
        <v>4</v>
      </c>
      <c r="F281" s="28">
        <v>1.5069999999999999</v>
      </c>
      <c r="G281" s="29">
        <v>0.267429625</v>
      </c>
      <c r="I281" s="29">
        <f>AVERAGE(F280:F281)</f>
        <v>1.8039999999999998</v>
      </c>
      <c r="J281" s="29">
        <f>AVERAGE(G280:G281)</f>
        <v>0.34028400000000003</v>
      </c>
      <c r="L281">
        <f>+J281/I281</f>
        <v>0.18862749445676277</v>
      </c>
      <c r="M281">
        <f>+(L281-$L$619)/$L$620</f>
        <v>-0.76694470420060534</v>
      </c>
      <c r="N281">
        <f>+N279+M281</f>
        <v>13.012411344635792</v>
      </c>
    </row>
    <row r="282" spans="1:14">
      <c r="A282" s="16">
        <v>2</v>
      </c>
      <c r="B282" s="74">
        <v>40681</v>
      </c>
      <c r="C282" s="16">
        <v>2011</v>
      </c>
      <c r="D282" s="11" t="s">
        <v>31</v>
      </c>
      <c r="E282" s="16">
        <v>5</v>
      </c>
      <c r="F282" s="28">
        <v>4.0069999999999997</v>
      </c>
      <c r="G282" s="29">
        <v>0.89100512499999973</v>
      </c>
    </row>
    <row r="283" spans="1:14">
      <c r="A283" s="16">
        <v>16</v>
      </c>
      <c r="B283" s="74">
        <v>40681</v>
      </c>
      <c r="C283" s="16">
        <v>2011</v>
      </c>
      <c r="D283" s="11" t="s">
        <v>31</v>
      </c>
      <c r="E283" s="16">
        <v>5</v>
      </c>
      <c r="F283" s="28">
        <v>4.7830000000000004</v>
      </c>
      <c r="G283" s="29">
        <v>1.3415611249999997</v>
      </c>
      <c r="I283" s="29">
        <f>AVERAGE(F282:F283)</f>
        <v>4.3949999999999996</v>
      </c>
      <c r="J283" s="29">
        <f>AVERAGE(G282:G283)</f>
        <v>1.1162831249999998</v>
      </c>
      <c r="L283">
        <f>+J283/I283</f>
        <v>0.25398933447098976</v>
      </c>
      <c r="M283">
        <f>+(L283-$L$619)/$L$620</f>
        <v>-0.18181183078274141</v>
      </c>
      <c r="N283">
        <f>+N281+M283</f>
        <v>12.83059951385305</v>
      </c>
    </row>
    <row r="284" spans="1:14">
      <c r="A284" s="16">
        <v>2</v>
      </c>
      <c r="B284" s="74">
        <v>40708</v>
      </c>
      <c r="C284" s="16">
        <v>2011</v>
      </c>
      <c r="D284" s="11" t="s">
        <v>32</v>
      </c>
      <c r="E284" s="16">
        <v>6</v>
      </c>
      <c r="F284" s="28">
        <v>10.315</v>
      </c>
      <c r="G284" s="29">
        <v>3.2439346250000001</v>
      </c>
    </row>
    <row r="285" spans="1:14">
      <c r="A285" s="16">
        <v>16</v>
      </c>
      <c r="B285" s="74">
        <v>40708</v>
      </c>
      <c r="C285" s="16">
        <v>2011</v>
      </c>
      <c r="D285" s="11" t="s">
        <v>32</v>
      </c>
      <c r="E285" s="16">
        <v>6</v>
      </c>
      <c r="F285" s="28">
        <v>9.5670000000000002</v>
      </c>
      <c r="G285" s="29">
        <v>2.5446656249999999</v>
      </c>
      <c r="I285" s="29">
        <f>AVERAGE(F284:F285)</f>
        <v>9.9409999999999989</v>
      </c>
      <c r="J285" s="29">
        <f>AVERAGE(G284:G285)</f>
        <v>2.894300125</v>
      </c>
      <c r="L285">
        <f>+J285/I285</f>
        <v>0.291147784428126</v>
      </c>
      <c r="M285">
        <f>+(L285-$L$619)/$L$620</f>
        <v>0.15083839128016904</v>
      </c>
      <c r="N285">
        <f>+N283+M285</f>
        <v>12.98143790513322</v>
      </c>
    </row>
    <row r="286" spans="1:14">
      <c r="A286" s="16">
        <v>2</v>
      </c>
      <c r="B286" s="74">
        <v>40735</v>
      </c>
      <c r="C286" s="16">
        <v>2011</v>
      </c>
      <c r="D286" s="11" t="s">
        <v>33</v>
      </c>
      <c r="E286" s="16">
        <v>7</v>
      </c>
      <c r="F286" s="28">
        <v>3.8050000000000002</v>
      </c>
      <c r="G286" s="29">
        <v>0.64259912500000005</v>
      </c>
    </row>
    <row r="287" spans="1:14">
      <c r="A287" s="16">
        <v>16</v>
      </c>
      <c r="B287" s="74">
        <v>40735</v>
      </c>
      <c r="C287" s="16">
        <v>2011</v>
      </c>
      <c r="D287" s="11" t="s">
        <v>33</v>
      </c>
      <c r="E287" s="16">
        <v>7</v>
      </c>
      <c r="F287" s="28">
        <v>6.7519999999999998</v>
      </c>
      <c r="G287" s="29">
        <v>0.88578087500000002</v>
      </c>
      <c r="I287" s="29">
        <f>AVERAGE(F286:F287)</f>
        <v>5.2785000000000002</v>
      </c>
      <c r="J287" s="29">
        <f>AVERAGE(G286:G287)</f>
        <v>0.76419000000000004</v>
      </c>
      <c r="L287">
        <f>+J287/I287</f>
        <v>0.14477408354646207</v>
      </c>
      <c r="M287">
        <f>+(L287-$L$619)/$L$620</f>
        <v>-1.1595296181126564</v>
      </c>
      <c r="N287">
        <f>+N285+M287</f>
        <v>11.821908287020563</v>
      </c>
    </row>
    <row r="288" spans="1:14">
      <c r="A288" s="16">
        <v>2</v>
      </c>
      <c r="B288" s="74">
        <v>40771</v>
      </c>
      <c r="C288" s="16">
        <v>2011</v>
      </c>
      <c r="D288" s="11" t="s">
        <v>34</v>
      </c>
      <c r="E288" s="16">
        <v>8</v>
      </c>
      <c r="F288" s="28">
        <v>15.933999999999999</v>
      </c>
      <c r="G288" s="29">
        <v>2.2013342499999999</v>
      </c>
    </row>
    <row r="289" spans="1:14">
      <c r="A289" s="16">
        <v>16</v>
      </c>
      <c r="B289" s="74">
        <v>40771</v>
      </c>
      <c r="C289" s="16">
        <v>2011</v>
      </c>
      <c r="D289" s="11" t="s">
        <v>34</v>
      </c>
      <c r="E289" s="16">
        <v>8</v>
      </c>
      <c r="F289" s="28">
        <v>12.702</v>
      </c>
      <c r="G289" s="29">
        <v>1.5547489999999999</v>
      </c>
      <c r="I289" s="29">
        <f>AVERAGE(F288:F289)</f>
        <v>14.318</v>
      </c>
      <c r="J289" s="29">
        <f>AVERAGE(G288:G289)</f>
        <v>1.8780416249999998</v>
      </c>
      <c r="L289">
        <f>+J289/I289</f>
        <v>0.13116647751082552</v>
      </c>
      <c r="M289">
        <f>+(L289-$L$619)/$L$620</f>
        <v>-1.2813477557023751</v>
      </c>
      <c r="N289">
        <f>+N287+M289</f>
        <v>10.540560531318187</v>
      </c>
    </row>
    <row r="290" spans="1:14">
      <c r="A290" s="16">
        <v>2</v>
      </c>
      <c r="B290" s="74">
        <v>40799</v>
      </c>
      <c r="C290" s="16">
        <v>2011</v>
      </c>
      <c r="D290" s="11" t="s">
        <v>40</v>
      </c>
      <c r="E290" s="16">
        <v>9</v>
      </c>
      <c r="F290" s="28">
        <v>11.798999999999999</v>
      </c>
      <c r="G290" s="29">
        <v>4.3887483749999987</v>
      </c>
    </row>
    <row r="291" spans="1:14">
      <c r="A291" s="16">
        <v>16</v>
      </c>
      <c r="B291" s="74">
        <v>40799</v>
      </c>
      <c r="C291" s="16">
        <v>2011</v>
      </c>
      <c r="D291" s="11" t="s">
        <v>40</v>
      </c>
      <c r="E291" s="16">
        <v>9</v>
      </c>
      <c r="F291" s="28">
        <v>9.0269999999999992</v>
      </c>
      <c r="G291" s="29">
        <v>2.6886367500000006</v>
      </c>
      <c r="I291" s="29">
        <f>AVERAGE(F290:F291)</f>
        <v>10.413</v>
      </c>
      <c r="J291" s="29">
        <f>AVERAGE(G290:G291)</f>
        <v>3.5386925624999996</v>
      </c>
      <c r="L291">
        <f>+J291/I291</f>
        <v>0.33983410760587723</v>
      </c>
      <c r="M291">
        <f>+(L291-$L$619)/$L$620</f>
        <v>0.58668854744082022</v>
      </c>
      <c r="N291">
        <f>+N289+M291</f>
        <v>11.127249078759007</v>
      </c>
    </row>
    <row r="292" spans="1:14">
      <c r="A292" s="16">
        <v>2</v>
      </c>
      <c r="B292" s="74">
        <v>40827</v>
      </c>
      <c r="C292" s="16">
        <v>2011</v>
      </c>
      <c r="D292" s="11" t="s">
        <v>36</v>
      </c>
      <c r="E292" s="16">
        <v>10</v>
      </c>
      <c r="F292" s="30">
        <v>8.0350000000000001</v>
      </c>
      <c r="G292" s="29">
        <v>0</v>
      </c>
    </row>
    <row r="293" spans="1:14">
      <c r="A293" s="16">
        <v>16</v>
      </c>
      <c r="B293" s="74">
        <v>40827</v>
      </c>
      <c r="C293" s="16">
        <v>2011</v>
      </c>
      <c r="D293" s="11" t="s">
        <v>36</v>
      </c>
      <c r="E293" s="16">
        <v>10</v>
      </c>
      <c r="F293" s="30">
        <v>3.6949999999999998</v>
      </c>
      <c r="G293" s="29">
        <v>0.72420012499999975</v>
      </c>
      <c r="I293" s="29">
        <f>AVERAGE(F292:F293)</f>
        <v>5.8650000000000002</v>
      </c>
      <c r="J293" s="29">
        <f>AVERAGE(G292:G293)</f>
        <v>0.36210006249999988</v>
      </c>
      <c r="L293">
        <f>+J293/I293</f>
        <v>6.1739141091219071E-2</v>
      </c>
      <c r="M293">
        <f>+(L293-$L$619)/$L$620</f>
        <v>-1.9028758039352669</v>
      </c>
      <c r="N293">
        <f>+N291+M293</f>
        <v>9.2243732748237406</v>
      </c>
    </row>
    <row r="294" spans="1:14">
      <c r="A294" s="16">
        <v>2</v>
      </c>
      <c r="B294" s="75">
        <v>40862</v>
      </c>
      <c r="C294" s="16">
        <v>2011</v>
      </c>
      <c r="D294" s="11" t="s">
        <v>37</v>
      </c>
      <c r="E294" s="16">
        <v>11</v>
      </c>
      <c r="F294" s="30">
        <v>3.5640000000000001</v>
      </c>
      <c r="G294" s="29">
        <v>1.1125987500000001</v>
      </c>
    </row>
    <row r="295" spans="1:14">
      <c r="A295" s="16">
        <v>16</v>
      </c>
      <c r="B295" s="75">
        <v>40862</v>
      </c>
      <c r="C295" s="16">
        <v>2011</v>
      </c>
      <c r="D295" s="11" t="s">
        <v>37</v>
      </c>
      <c r="E295" s="16">
        <v>11</v>
      </c>
      <c r="F295" s="30">
        <v>2.222</v>
      </c>
      <c r="G295" s="29">
        <v>0.70912149999999985</v>
      </c>
      <c r="I295" s="29">
        <f>AVERAGE(F294:F295)</f>
        <v>2.8929999999999998</v>
      </c>
      <c r="J295" s="29">
        <f>AVERAGE(G294:G295)</f>
        <v>0.91086012499999991</v>
      </c>
      <c r="L295">
        <f>+J295/I295</f>
        <v>0.31484968026270305</v>
      </c>
      <c r="M295">
        <f>+(L295-$L$619)/$L$620</f>
        <v>0.36302272409757785</v>
      </c>
      <c r="N295">
        <f>+N293+M295</f>
        <v>9.587395998921318</v>
      </c>
    </row>
    <row r="296" spans="1:14">
      <c r="A296" s="16">
        <v>2</v>
      </c>
      <c r="B296" s="75">
        <v>40891</v>
      </c>
      <c r="C296" s="16">
        <v>2011</v>
      </c>
      <c r="D296" s="11" t="s">
        <v>38</v>
      </c>
      <c r="E296" s="16">
        <v>12</v>
      </c>
      <c r="F296" s="30">
        <v>1.893</v>
      </c>
      <c r="G296" s="29">
        <v>0.73796424999999999</v>
      </c>
    </row>
    <row r="297" spans="1:14">
      <c r="A297" s="16">
        <v>16</v>
      </c>
      <c r="B297" s="75">
        <v>40890</v>
      </c>
      <c r="C297" s="16">
        <v>2011</v>
      </c>
      <c r="D297" s="11" t="s">
        <v>38</v>
      </c>
      <c r="E297" s="16">
        <v>12</v>
      </c>
      <c r="F297" s="30">
        <v>0.53800000000000003</v>
      </c>
      <c r="G297" s="29">
        <v>0.10019225</v>
      </c>
      <c r="I297" s="29"/>
      <c r="J297" s="29"/>
    </row>
    <row r="298" spans="1:14">
      <c r="A298" s="16">
        <v>16</v>
      </c>
      <c r="B298" s="75">
        <v>40890</v>
      </c>
      <c r="C298" s="16">
        <v>2011</v>
      </c>
      <c r="D298" s="11" t="s">
        <v>38</v>
      </c>
      <c r="E298" s="16">
        <v>12</v>
      </c>
      <c r="F298" s="30">
        <v>0.53800000000000003</v>
      </c>
      <c r="G298" s="29">
        <v>0.10978425</v>
      </c>
      <c r="H298" t="s">
        <v>41</v>
      </c>
      <c r="I298" s="29">
        <f>AVERAGE(F296:F298)</f>
        <v>0.98966666666666681</v>
      </c>
      <c r="J298" s="29">
        <f>AVERAGE(G296:G298)</f>
        <v>0.31598025000000002</v>
      </c>
      <c r="L298">
        <f>+J298/I298</f>
        <v>0.31927947120242506</v>
      </c>
      <c r="M298">
        <f>+(L298-$L$619)/$L$620</f>
        <v>0.40267913983856324</v>
      </c>
      <c r="N298">
        <f>+N295+M298</f>
        <v>9.990075138759881</v>
      </c>
    </row>
    <row r="299" spans="1:14">
      <c r="A299" s="16">
        <v>2</v>
      </c>
      <c r="B299" s="74">
        <v>40917</v>
      </c>
      <c r="C299" s="16">
        <v>2012</v>
      </c>
      <c r="D299" s="11" t="s">
        <v>39</v>
      </c>
      <c r="E299" s="16">
        <v>1</v>
      </c>
      <c r="F299" s="32">
        <v>2.3969999999999998</v>
      </c>
      <c r="G299" s="29">
        <v>1.00586475</v>
      </c>
      <c r="I299" s="29"/>
      <c r="J299" s="29"/>
    </row>
    <row r="300" spans="1:14">
      <c r="A300" s="16">
        <v>16</v>
      </c>
      <c r="B300" s="74">
        <v>40917</v>
      </c>
      <c r="C300" s="16">
        <v>2012</v>
      </c>
      <c r="D300" s="11" t="s">
        <v>39</v>
      </c>
      <c r="E300" s="16">
        <v>1</v>
      </c>
      <c r="F300" s="32">
        <v>1.5760000000000001</v>
      </c>
      <c r="G300" s="29">
        <v>0.41484762499999994</v>
      </c>
      <c r="I300" s="29">
        <f>AVERAGE(F299:F300)</f>
        <v>1.9864999999999999</v>
      </c>
      <c r="J300" s="29">
        <f>AVERAGE(G299:G300)</f>
        <v>0.71035618749999996</v>
      </c>
      <c r="L300">
        <f>+J300/I300</f>
        <v>0.3575918386609615</v>
      </c>
      <c r="M300">
        <f>+(L300-$L$619)/$L$620</f>
        <v>0.74565947291325818</v>
      </c>
      <c r="N300">
        <f>+N298+M300</f>
        <v>10.73573461167314</v>
      </c>
    </row>
    <row r="301" spans="1:14">
      <c r="A301" s="16">
        <v>2</v>
      </c>
      <c r="B301" s="74">
        <v>40962</v>
      </c>
      <c r="C301" s="16">
        <v>2012</v>
      </c>
      <c r="D301" s="11" t="s">
        <v>28</v>
      </c>
      <c r="E301" s="16">
        <v>2</v>
      </c>
      <c r="F301" s="32">
        <v>2.3370000000000002</v>
      </c>
      <c r="G301" s="29">
        <v>1.3045762499999998</v>
      </c>
    </row>
    <row r="302" spans="1:14">
      <c r="A302" s="16">
        <v>16</v>
      </c>
      <c r="B302" s="74">
        <v>40962</v>
      </c>
      <c r="C302" s="16">
        <v>2012</v>
      </c>
      <c r="D302" s="11" t="s">
        <v>28</v>
      </c>
      <c r="E302" s="16">
        <v>2</v>
      </c>
      <c r="F302" s="32">
        <v>2.4569999999999999</v>
      </c>
      <c r="G302" s="29">
        <v>1.2616114999999999</v>
      </c>
      <c r="I302" s="29">
        <f>AVERAGE(F301:F302)</f>
        <v>2.3970000000000002</v>
      </c>
      <c r="J302" s="29">
        <f>AVERAGE(G301:G302)</f>
        <v>1.2830938749999998</v>
      </c>
      <c r="L302">
        <f>+J302/I302</f>
        <v>0.5352915623696286</v>
      </c>
      <c r="M302">
        <f>+(L302-$L$619)/$L$620</f>
        <v>2.3364645958501362</v>
      </c>
      <c r="N302">
        <f>+N300+M302</f>
        <v>13.072199207523276</v>
      </c>
    </row>
    <row r="303" spans="1:14">
      <c r="A303" s="16">
        <v>2</v>
      </c>
      <c r="B303" s="74">
        <v>40980</v>
      </c>
      <c r="C303" s="16">
        <v>2012</v>
      </c>
      <c r="D303" s="11" t="s">
        <v>29</v>
      </c>
      <c r="E303" s="16">
        <v>3</v>
      </c>
      <c r="F303" s="32">
        <v>2.5830000000000002</v>
      </c>
      <c r="G303" s="29">
        <v>1.1059663749999999</v>
      </c>
    </row>
    <row r="304" spans="1:14">
      <c r="A304" s="16">
        <v>16</v>
      </c>
      <c r="B304" s="74">
        <v>40980</v>
      </c>
      <c r="C304" s="16">
        <v>2012</v>
      </c>
      <c r="D304" s="11" t="s">
        <v>29</v>
      </c>
      <c r="E304" s="16">
        <v>3</v>
      </c>
      <c r="F304" s="32">
        <v>2.71</v>
      </c>
      <c r="G304" s="29">
        <v>1.2276173749999999</v>
      </c>
    </row>
    <row r="305" spans="1:14">
      <c r="A305" s="16">
        <v>16</v>
      </c>
      <c r="B305" s="74">
        <v>40980</v>
      </c>
      <c r="C305" s="16">
        <v>2012</v>
      </c>
      <c r="D305" s="11" t="s">
        <v>29</v>
      </c>
      <c r="E305" s="16">
        <v>3</v>
      </c>
      <c r="F305" s="32">
        <v>2.71</v>
      </c>
      <c r="G305" s="29">
        <v>1.1403291250000001</v>
      </c>
      <c r="H305" t="s">
        <v>41</v>
      </c>
      <c r="I305" s="29">
        <f>AVERAGE(F303:F305)</f>
        <v>2.6676666666666669</v>
      </c>
      <c r="J305" s="29">
        <f>AVERAGE(G303:G305)</f>
        <v>1.1579709583333333</v>
      </c>
      <c r="L305">
        <f>+J305/I305</f>
        <v>0.43407633075096835</v>
      </c>
      <c r="M305">
        <f>+(L305-$L$619)/$L$620</f>
        <v>1.4303646559189738</v>
      </c>
      <c r="N305">
        <f>+N302+M305</f>
        <v>14.50256386344225</v>
      </c>
    </row>
    <row r="306" spans="1:14">
      <c r="A306" s="16">
        <v>2</v>
      </c>
      <c r="B306" s="74">
        <v>41015</v>
      </c>
      <c r="C306" s="16">
        <v>2012</v>
      </c>
      <c r="D306" s="11" t="s">
        <v>30</v>
      </c>
      <c r="E306" s="16">
        <v>4</v>
      </c>
      <c r="F306" s="28">
        <v>2.3580000000000001</v>
      </c>
      <c r="G306" s="29">
        <v>0.9930342499999999</v>
      </c>
    </row>
    <row r="307" spans="1:14">
      <c r="A307" s="16">
        <v>16</v>
      </c>
      <c r="B307" s="74">
        <v>41015</v>
      </c>
      <c r="C307" s="16">
        <v>2012</v>
      </c>
      <c r="D307" s="11" t="s">
        <v>30</v>
      </c>
      <c r="E307" s="16">
        <v>4</v>
      </c>
      <c r="F307" s="28">
        <v>1.37</v>
      </c>
      <c r="G307" s="29">
        <v>0.59757037499999999</v>
      </c>
      <c r="I307" s="29">
        <f>AVERAGE(F306:F307)</f>
        <v>1.8640000000000001</v>
      </c>
      <c r="J307" s="29">
        <f>AVERAGE(G306:G307)</f>
        <v>0.79530231249999994</v>
      </c>
      <c r="L307">
        <f>+J307/I307</f>
        <v>0.42666433074034327</v>
      </c>
      <c r="M307">
        <f>+(L307-$L$619)/$L$620</f>
        <v>1.3640108803360607</v>
      </c>
      <c r="N307">
        <f>+N305+M307</f>
        <v>15.86657474377831</v>
      </c>
    </row>
    <row r="308" spans="1:14">
      <c r="A308" s="16">
        <v>2</v>
      </c>
      <c r="B308" s="74">
        <v>41045</v>
      </c>
      <c r="C308" s="16">
        <v>2012</v>
      </c>
      <c r="D308" s="11" t="s">
        <v>31</v>
      </c>
      <c r="E308" s="16">
        <v>5</v>
      </c>
      <c r="F308" s="28">
        <v>4.6139999999999999</v>
      </c>
      <c r="G308" s="29">
        <v>2.2938743750000001</v>
      </c>
    </row>
    <row r="309" spans="1:14">
      <c r="A309" s="16">
        <v>16</v>
      </c>
      <c r="B309" s="74">
        <v>41045</v>
      </c>
      <c r="C309" s="16">
        <v>2012</v>
      </c>
      <c r="D309" s="11" t="s">
        <v>31</v>
      </c>
      <c r="E309" s="16">
        <v>5</v>
      </c>
      <c r="F309" s="28">
        <v>3.7370000000000001</v>
      </c>
      <c r="G309" s="29">
        <v>1.442352125</v>
      </c>
      <c r="I309" s="29">
        <f>AVERAGE(F308:F309)</f>
        <v>4.1754999999999995</v>
      </c>
      <c r="J309" s="29">
        <f>AVERAGE(G308:G309)</f>
        <v>1.8681132499999999</v>
      </c>
      <c r="L309">
        <f>+J309/I309</f>
        <v>0.44739869476709382</v>
      </c>
      <c r="M309">
        <f>+(L309-$L$619)/$L$620</f>
        <v>1.5496292472428637</v>
      </c>
      <c r="N309">
        <f>+N307+M309</f>
        <v>17.416203991021174</v>
      </c>
    </row>
    <row r="310" spans="1:14">
      <c r="A310" s="16">
        <v>2</v>
      </c>
      <c r="B310" s="74">
        <v>41073</v>
      </c>
      <c r="C310" s="16">
        <v>2012</v>
      </c>
      <c r="D310" s="11" t="s">
        <v>32</v>
      </c>
      <c r="E310" s="16">
        <v>6</v>
      </c>
      <c r="F310" s="28">
        <v>9.9949999999999992</v>
      </c>
      <c r="G310" s="29">
        <v>3.3168867500000001</v>
      </c>
    </row>
    <row r="311" spans="1:14">
      <c r="A311" s="16">
        <v>16</v>
      </c>
      <c r="B311" s="74">
        <v>41073</v>
      </c>
      <c r="C311" s="16">
        <v>2012</v>
      </c>
      <c r="D311" s="11" t="s">
        <v>32</v>
      </c>
      <c r="E311" s="16">
        <v>6</v>
      </c>
      <c r="F311" s="28">
        <v>12.074999999999999</v>
      </c>
      <c r="G311" s="29">
        <v>2.7136045000000002</v>
      </c>
      <c r="I311" s="29">
        <f>AVERAGE(F310:F312)</f>
        <v>10.615</v>
      </c>
      <c r="J311" s="29">
        <f>AVERAGE(G310:G312)</f>
        <v>3.345672041666667</v>
      </c>
      <c r="L311">
        <f>+J311/I311</f>
        <v>0.31518342361438217</v>
      </c>
      <c r="M311">
        <f>+(L311-$L$619)/$L$620</f>
        <v>0.36601046444132601</v>
      </c>
      <c r="N311">
        <f>+N309+M311</f>
        <v>17.782214455462501</v>
      </c>
    </row>
    <row r="312" spans="1:14">
      <c r="A312" s="16">
        <v>2</v>
      </c>
      <c r="B312" s="74">
        <v>41107</v>
      </c>
      <c r="C312" s="16">
        <v>2012</v>
      </c>
      <c r="D312" s="11" t="s">
        <v>33</v>
      </c>
      <c r="E312" s="16">
        <v>7</v>
      </c>
      <c r="F312" s="28">
        <v>9.7750000000000004</v>
      </c>
      <c r="G312" s="29">
        <v>4.0065248749999993</v>
      </c>
    </row>
    <row r="313" spans="1:14">
      <c r="A313" s="16">
        <v>2</v>
      </c>
      <c r="B313" s="74">
        <v>41107</v>
      </c>
      <c r="C313" s="16">
        <v>2012</v>
      </c>
      <c r="D313" s="11" t="s">
        <v>33</v>
      </c>
      <c r="E313" s="16">
        <v>7</v>
      </c>
      <c r="F313" s="28">
        <v>9.7750000000000004</v>
      </c>
      <c r="G313" s="29">
        <v>4.4740653750000012</v>
      </c>
      <c r="H313" t="s">
        <v>41</v>
      </c>
    </row>
    <row r="314" spans="1:14">
      <c r="A314" s="16">
        <v>16</v>
      </c>
      <c r="B314" s="74">
        <v>41107</v>
      </c>
      <c r="C314" s="16">
        <v>2012</v>
      </c>
      <c r="D314" s="11" t="s">
        <v>33</v>
      </c>
      <c r="E314" s="16">
        <v>7</v>
      </c>
      <c r="F314" s="28">
        <v>6.5730000000000004</v>
      </c>
      <c r="G314" s="29">
        <v>2.2643098749999999</v>
      </c>
      <c r="I314" s="29">
        <f>AVERAGE(F312:F314)</f>
        <v>8.7076666666666664</v>
      </c>
      <c r="J314" s="29">
        <f>AVERAGE(G312:G314)</f>
        <v>3.5816333750000005</v>
      </c>
      <c r="L314">
        <f>+J314/I314</f>
        <v>0.41131953163878582</v>
      </c>
      <c r="M314">
        <f>+(L314-$L$619)/$L$620</f>
        <v>1.226641026789101</v>
      </c>
      <c r="N314">
        <f>+N311+M314</f>
        <v>19.008855482251601</v>
      </c>
    </row>
    <row r="315" spans="1:14">
      <c r="A315" s="16">
        <v>2</v>
      </c>
      <c r="B315" s="74">
        <v>41135</v>
      </c>
      <c r="C315" s="16">
        <v>2012</v>
      </c>
      <c r="D315" s="11" t="s">
        <v>34</v>
      </c>
      <c r="E315" s="16">
        <v>8</v>
      </c>
      <c r="F315" s="28">
        <v>14.991</v>
      </c>
      <c r="G315" s="29">
        <v>5.0638333749999997</v>
      </c>
    </row>
    <row r="316" spans="1:14">
      <c r="A316" s="16">
        <v>2</v>
      </c>
      <c r="B316" s="74">
        <v>41135</v>
      </c>
      <c r="C316" s="16">
        <v>2012</v>
      </c>
      <c r="D316" s="11" t="s">
        <v>34</v>
      </c>
      <c r="E316" s="16">
        <v>8</v>
      </c>
      <c r="F316" s="28">
        <v>14.991</v>
      </c>
      <c r="G316" s="29">
        <v>5.1441118750000001</v>
      </c>
      <c r="H316" t="s">
        <v>41</v>
      </c>
    </row>
    <row r="317" spans="1:14">
      <c r="A317" s="16">
        <v>16</v>
      </c>
      <c r="B317" s="74">
        <v>41135</v>
      </c>
      <c r="C317" s="16">
        <v>2012</v>
      </c>
      <c r="D317" s="11" t="s">
        <v>34</v>
      </c>
      <c r="E317" s="16">
        <v>8</v>
      </c>
      <c r="F317" s="28">
        <v>10.858000000000001</v>
      </c>
      <c r="G317" s="29">
        <v>3.7688416249999994</v>
      </c>
      <c r="I317" s="29">
        <f>AVERAGE(F315:F317)</f>
        <v>13.613333333333335</v>
      </c>
      <c r="J317" s="29">
        <f>AVERAGE(G315:G317)</f>
        <v>4.6589289583333331</v>
      </c>
      <c r="L317">
        <f>+J317/I317</f>
        <v>0.34223278342311453</v>
      </c>
      <c r="M317">
        <f>+(L317-$L$619)/$L$620</f>
        <v>0.60816199545012495</v>
      </c>
      <c r="N317">
        <f>+N314+M317</f>
        <v>19.617017477701726</v>
      </c>
    </row>
    <row r="318" spans="1:14">
      <c r="A318" s="16">
        <v>2</v>
      </c>
      <c r="B318" s="74">
        <v>41164</v>
      </c>
      <c r="C318" s="16">
        <v>2012</v>
      </c>
      <c r="D318" s="11" t="s">
        <v>40</v>
      </c>
      <c r="E318" s="16">
        <v>9</v>
      </c>
      <c r="F318" s="28">
        <v>16.704000000000001</v>
      </c>
      <c r="G318" s="29">
        <v>9.5270276250000006</v>
      </c>
    </row>
    <row r="319" spans="1:14">
      <c r="A319" s="16">
        <v>16</v>
      </c>
      <c r="B319" s="74">
        <v>41164</v>
      </c>
      <c r="C319" s="16">
        <v>2012</v>
      </c>
      <c r="D319" s="11" t="s">
        <v>40</v>
      </c>
      <c r="E319" s="16">
        <v>9</v>
      </c>
      <c r="F319" s="28">
        <v>8.1769999999999996</v>
      </c>
      <c r="G319" s="29">
        <v>4.9475738749999989</v>
      </c>
      <c r="I319" s="29">
        <f>AVERAGE(F318:F319)</f>
        <v>12.4405</v>
      </c>
      <c r="J319" s="29">
        <f>AVERAGE(G318:G319)</f>
        <v>7.2373007499999993</v>
      </c>
      <c r="L319">
        <f>+J319/I319</f>
        <v>0.58175320525702334</v>
      </c>
      <c r="M319">
        <f>+(L319-$L$619)/$L$620</f>
        <v>2.7523989483790499</v>
      </c>
      <c r="N319">
        <f>+N317+M319</f>
        <v>22.369416426080775</v>
      </c>
    </row>
    <row r="320" spans="1:14">
      <c r="A320" s="16">
        <v>2</v>
      </c>
      <c r="B320" s="74">
        <v>41200</v>
      </c>
      <c r="C320" s="16">
        <v>2012</v>
      </c>
      <c r="D320" s="11" t="s">
        <v>36</v>
      </c>
      <c r="E320" s="16">
        <v>10</v>
      </c>
      <c r="F320" s="28">
        <v>2.794</v>
      </c>
      <c r="G320" s="29">
        <v>0.87255487499999995</v>
      </c>
    </row>
    <row r="321" spans="1:14">
      <c r="A321" s="16">
        <v>16</v>
      </c>
      <c r="B321" s="74">
        <v>41200</v>
      </c>
      <c r="C321" s="16">
        <v>2012</v>
      </c>
      <c r="D321" s="11" t="s">
        <v>36</v>
      </c>
      <c r="E321" s="16">
        <v>10</v>
      </c>
      <c r="F321" s="28">
        <v>2.133</v>
      </c>
      <c r="G321" s="29">
        <v>0.41223537499999996</v>
      </c>
      <c r="I321" s="29">
        <f>AVERAGE(F320:F321)</f>
        <v>2.4634999999999998</v>
      </c>
      <c r="J321" s="29">
        <f>AVERAGE(G320:G321)</f>
        <v>0.64239512499999996</v>
      </c>
      <c r="L321">
        <f>+J321/I321</f>
        <v>0.26076522224477372</v>
      </c>
      <c r="M321">
        <f>+(L321-$L$619)/$L$620</f>
        <v>-0.12115266509572609</v>
      </c>
      <c r="N321">
        <f>+N319+M321</f>
        <v>22.248263760985051</v>
      </c>
    </row>
    <row r="322" spans="1:14">
      <c r="A322" s="16">
        <v>2</v>
      </c>
      <c r="B322" s="74">
        <v>41226</v>
      </c>
      <c r="C322" s="16">
        <v>2012</v>
      </c>
      <c r="D322" s="11" t="s">
        <v>37</v>
      </c>
      <c r="E322" s="16">
        <v>11</v>
      </c>
      <c r="F322" s="28">
        <v>2.4950000000000001</v>
      </c>
      <c r="G322" s="29">
        <v>0.764262</v>
      </c>
    </row>
    <row r="323" spans="1:14">
      <c r="A323" s="16">
        <v>16</v>
      </c>
      <c r="B323" s="74">
        <v>41226</v>
      </c>
      <c r="C323" s="16">
        <v>2012</v>
      </c>
      <c r="D323" s="11" t="s">
        <v>37</v>
      </c>
      <c r="E323" s="16">
        <v>11</v>
      </c>
      <c r="F323" s="28">
        <v>2.496</v>
      </c>
      <c r="G323" s="29">
        <v>0</v>
      </c>
      <c r="I323" s="29">
        <f>AVERAGE(F322:F323)</f>
        <v>2.4954999999999998</v>
      </c>
      <c r="J323" s="29">
        <f>AVERAGE(G322:G323)</f>
        <v>0.382131</v>
      </c>
      <c r="L323">
        <f>+J323/I323</f>
        <v>0.15312803045481868</v>
      </c>
      <c r="M323">
        <f>+(L323-$L$619)/$L$620</f>
        <v>-1.084743336731915</v>
      </c>
      <c r="N323">
        <f>+N321+M323</f>
        <v>21.163520424253136</v>
      </c>
    </row>
    <row r="324" spans="1:14">
      <c r="A324" s="16">
        <v>2</v>
      </c>
      <c r="B324" s="74">
        <v>41254</v>
      </c>
      <c r="C324" s="16">
        <v>2012</v>
      </c>
      <c r="D324" s="11" t="s">
        <v>38</v>
      </c>
      <c r="E324" s="16">
        <v>12</v>
      </c>
      <c r="F324" s="28">
        <v>1.611</v>
      </c>
      <c r="G324" s="29">
        <v>0.64646587499999986</v>
      </c>
    </row>
    <row r="325" spans="1:14">
      <c r="A325" s="16">
        <v>16</v>
      </c>
      <c r="B325" s="74">
        <v>41254</v>
      </c>
      <c r="C325" s="16">
        <v>2012</v>
      </c>
      <c r="D325" s="11" t="s">
        <v>38</v>
      </c>
      <c r="E325" s="16">
        <v>12</v>
      </c>
      <c r="F325" s="28">
        <v>0.92400000000000004</v>
      </c>
      <c r="G325" s="29">
        <v>0.20867687499999998</v>
      </c>
      <c r="I325" s="29">
        <f>AVERAGE(F324:F325)</f>
        <v>1.2675000000000001</v>
      </c>
      <c r="J325" s="29">
        <f>AVERAGE(G324:G325)</f>
        <v>0.42757137499999992</v>
      </c>
      <c r="L325">
        <f>+J325/I325</f>
        <v>0.33733441814595655</v>
      </c>
      <c r="M325">
        <f>+(L325-$L$619)/$L$620</f>
        <v>0.56431080415792956</v>
      </c>
      <c r="N325">
        <f>+N323+M325</f>
        <v>21.727831228411066</v>
      </c>
    </row>
    <row r="326" spans="1:14">
      <c r="A326" s="16">
        <v>2</v>
      </c>
      <c r="B326" s="74">
        <v>41288</v>
      </c>
      <c r="C326" s="16">
        <v>2013</v>
      </c>
      <c r="D326" s="11" t="s">
        <v>39</v>
      </c>
      <c r="E326" s="16">
        <v>1</v>
      </c>
      <c r="F326" s="28">
        <v>2.032</v>
      </c>
      <c r="G326" s="29">
        <v>0.88756687499999987</v>
      </c>
    </row>
    <row r="327" spans="1:14">
      <c r="A327" s="16">
        <v>16</v>
      </c>
      <c r="B327" s="74">
        <v>41288</v>
      </c>
      <c r="C327" s="16">
        <v>2013</v>
      </c>
      <c r="D327" s="11" t="s">
        <v>39</v>
      </c>
      <c r="E327" s="16">
        <v>1</v>
      </c>
      <c r="F327" s="28">
        <v>2.7450000000000001</v>
      </c>
      <c r="G327" s="29">
        <v>1.4783541249999999</v>
      </c>
      <c r="I327" s="29">
        <f>AVERAGE(F327:F328)</f>
        <v>5.3710000000000004</v>
      </c>
      <c r="J327" s="29">
        <f>AVERAGE(G327:G328)</f>
        <v>2.8824569375000006</v>
      </c>
      <c r="L327">
        <f>+J327/I327</f>
        <v>0.53667044079314852</v>
      </c>
      <c r="M327">
        <f>+(L327-$L$619)/$L$620</f>
        <v>2.3488086041257978</v>
      </c>
      <c r="N327">
        <f>+N325+M327</f>
        <v>24.076639832536863</v>
      </c>
    </row>
    <row r="328" spans="1:14">
      <c r="A328" s="16">
        <v>2</v>
      </c>
      <c r="B328" s="74">
        <v>41318</v>
      </c>
      <c r="C328" s="16">
        <v>2013</v>
      </c>
      <c r="D328" s="11" t="s">
        <v>28</v>
      </c>
      <c r="E328" s="16">
        <v>2</v>
      </c>
      <c r="F328" s="33">
        <v>7.9969999999999999</v>
      </c>
      <c r="G328" s="29">
        <v>4.2865597500000012</v>
      </c>
    </row>
    <row r="329" spans="1:14">
      <c r="A329" s="16">
        <v>16</v>
      </c>
      <c r="B329" s="74">
        <v>41318</v>
      </c>
      <c r="C329" s="16">
        <v>2013</v>
      </c>
      <c r="D329" s="11" t="s">
        <v>28</v>
      </c>
      <c r="E329" s="16">
        <v>2</v>
      </c>
      <c r="F329" s="33">
        <v>8.891</v>
      </c>
      <c r="G329" s="29">
        <v>5.0490748749999996</v>
      </c>
      <c r="I329" s="29">
        <f>AVERAGE(F329:F330)</f>
        <v>7.3365</v>
      </c>
      <c r="J329" s="29">
        <f>AVERAGE(G329:G330)</f>
        <v>3.8467793750000001</v>
      </c>
      <c r="L329">
        <f>+J329/I329</f>
        <v>0.52433440673345599</v>
      </c>
      <c r="M329">
        <f>+(L329-$L$619)/$L$620</f>
        <v>2.2383738450315409</v>
      </c>
      <c r="N329">
        <f>+N327+M329</f>
        <v>26.315013677568402</v>
      </c>
    </row>
    <row r="330" spans="1:14">
      <c r="A330" s="16">
        <v>2</v>
      </c>
      <c r="B330" s="74">
        <v>41344</v>
      </c>
      <c r="C330" s="16">
        <v>2013</v>
      </c>
      <c r="D330" s="11" t="s">
        <v>29</v>
      </c>
      <c r="E330" s="16">
        <v>3</v>
      </c>
      <c r="F330" s="33">
        <v>5.782</v>
      </c>
      <c r="G330" s="29">
        <v>2.6444838750000006</v>
      </c>
    </row>
    <row r="331" spans="1:14">
      <c r="A331" s="16">
        <v>16</v>
      </c>
      <c r="B331" s="74">
        <v>41344</v>
      </c>
      <c r="C331" s="16">
        <v>2013</v>
      </c>
      <c r="D331" s="11" t="s">
        <v>29</v>
      </c>
      <c r="E331" s="16">
        <v>3</v>
      </c>
      <c r="F331" s="33">
        <v>6.2729999999999997</v>
      </c>
      <c r="G331" s="29">
        <v>3.7286902500000001</v>
      </c>
      <c r="I331" s="29">
        <f>AVERAGE(F331:F332)</f>
        <v>3.371</v>
      </c>
      <c r="J331" s="29">
        <f>AVERAGE(G331:G332)</f>
        <v>2.0290606250000001</v>
      </c>
      <c r="L331">
        <f>+J331/I331</f>
        <v>0.60191653070305551</v>
      </c>
      <c r="M331">
        <f>+(L331-$L$619)/$L$620</f>
        <v>2.932905258380853</v>
      </c>
      <c r="N331">
        <f>+N329+M331</f>
        <v>29.247918935949254</v>
      </c>
    </row>
    <row r="332" spans="1:14">
      <c r="A332" s="16">
        <v>2</v>
      </c>
      <c r="B332" s="74">
        <v>41381</v>
      </c>
      <c r="C332" s="16">
        <v>2013</v>
      </c>
      <c r="D332" s="11" t="s">
        <v>30</v>
      </c>
      <c r="E332" s="16">
        <v>4</v>
      </c>
      <c r="F332" s="34">
        <v>0.46899999999999997</v>
      </c>
      <c r="G332" s="29">
        <v>0.32943099999999997</v>
      </c>
    </row>
    <row r="333" spans="1:14">
      <c r="A333" s="16">
        <v>16</v>
      </c>
      <c r="B333" s="74">
        <v>41379</v>
      </c>
      <c r="C333" s="16">
        <v>2013</v>
      </c>
      <c r="D333" s="11" t="s">
        <v>30</v>
      </c>
      <c r="E333" s="16">
        <v>4</v>
      </c>
      <c r="F333" s="34">
        <v>0.188</v>
      </c>
      <c r="G333" s="29">
        <v>0.124840125</v>
      </c>
      <c r="I333" s="29">
        <f>AVERAGE(F333:F334)</f>
        <v>0.67199999999999993</v>
      </c>
      <c r="J333" s="29">
        <f>AVERAGE(G333:G334)</f>
        <v>0.12845862499999999</v>
      </c>
      <c r="L333">
        <f>+J333/I333</f>
        <v>0.1911586681547619</v>
      </c>
      <c r="M333">
        <f>+(L333-$L$619)/$L$620</f>
        <v>-0.74428510742812204</v>
      </c>
      <c r="N333">
        <f>+N331+M333</f>
        <v>28.503633828521131</v>
      </c>
    </row>
    <row r="334" spans="1:14">
      <c r="A334" s="16">
        <v>2</v>
      </c>
      <c r="B334" s="74">
        <v>41408</v>
      </c>
      <c r="C334" s="16">
        <v>2013</v>
      </c>
      <c r="D334" s="11" t="s">
        <v>31</v>
      </c>
      <c r="E334" s="16">
        <v>5</v>
      </c>
      <c r="F334" s="34">
        <v>1.1559999999999999</v>
      </c>
      <c r="G334" s="29">
        <v>0.13207712499999999</v>
      </c>
      <c r="I334" s="29"/>
      <c r="J334" s="29"/>
    </row>
    <row r="335" spans="1:14">
      <c r="A335" s="16">
        <v>16</v>
      </c>
      <c r="B335" s="74">
        <v>41408</v>
      </c>
      <c r="C335" s="16">
        <v>2013</v>
      </c>
      <c r="D335" s="11" t="s">
        <v>31</v>
      </c>
      <c r="E335" s="16">
        <v>5</v>
      </c>
      <c r="F335" s="34">
        <v>0.72499999999999998</v>
      </c>
      <c r="G335" s="29">
        <v>9.3803874999999995E-2</v>
      </c>
      <c r="I335" s="29">
        <f>AVERAGE(F334:F335)</f>
        <v>0.94049999999999989</v>
      </c>
      <c r="J335" s="29">
        <f>AVERAGE(G334:G335)</f>
        <v>0.1129405</v>
      </c>
      <c r="L335">
        <f>+J335/I335</f>
        <v>0.12008559276980331</v>
      </c>
      <c r="M335">
        <f>+(L335-$L$619)/$L$620</f>
        <v>-1.3805461553666931</v>
      </c>
      <c r="N335">
        <f>+N333+M335</f>
        <v>27.123087673154437</v>
      </c>
    </row>
    <row r="336" spans="1:14">
      <c r="A336" s="16">
        <v>2</v>
      </c>
      <c r="B336" s="74">
        <v>41436</v>
      </c>
      <c r="C336" s="16">
        <v>2013</v>
      </c>
      <c r="D336" s="11" t="s">
        <v>32</v>
      </c>
      <c r="E336" s="16">
        <v>6</v>
      </c>
      <c r="F336" s="34">
        <v>4.1029999999999998</v>
      </c>
      <c r="G336" s="29">
        <v>1.5419622499999999</v>
      </c>
    </row>
    <row r="337" spans="1:14">
      <c r="A337" s="16">
        <v>16</v>
      </c>
      <c r="B337" s="74">
        <v>41437</v>
      </c>
      <c r="C337" s="16">
        <v>2013</v>
      </c>
      <c r="D337" s="11" t="s">
        <v>32</v>
      </c>
      <c r="E337" s="16">
        <v>6</v>
      </c>
      <c r="F337" s="34">
        <v>3.2080000000000002</v>
      </c>
      <c r="G337" s="29">
        <v>1.4860301249999999</v>
      </c>
      <c r="I337" s="29">
        <f>AVERAGE(F336:F337)</f>
        <v>3.6555</v>
      </c>
      <c r="J337" s="29">
        <f>AVERAGE(G336:G337)</f>
        <v>1.5139961874999999</v>
      </c>
      <c r="L337">
        <f>+J337/I337</f>
        <v>0.41416938517302693</v>
      </c>
      <c r="M337">
        <f>+(L337-$L$619)/$L$620</f>
        <v>1.252153512162028</v>
      </c>
      <c r="N337">
        <f>+N335+M337</f>
        <v>28.375241185316465</v>
      </c>
    </row>
    <row r="338" spans="1:14">
      <c r="A338" s="16">
        <v>2</v>
      </c>
      <c r="B338" s="74">
        <v>41471</v>
      </c>
      <c r="C338" s="16">
        <v>2013</v>
      </c>
      <c r="D338" s="11" t="s">
        <v>33</v>
      </c>
      <c r="E338" s="16">
        <v>7</v>
      </c>
      <c r="F338" s="34">
        <v>7.593</v>
      </c>
      <c r="G338" s="29">
        <v>1.8937832499999998</v>
      </c>
    </row>
    <row r="339" spans="1:14">
      <c r="A339" s="16">
        <v>2</v>
      </c>
      <c r="B339" s="74">
        <v>41471</v>
      </c>
      <c r="C339" s="16">
        <v>2013</v>
      </c>
      <c r="D339" s="11" t="s">
        <v>33</v>
      </c>
      <c r="E339" s="16">
        <v>7</v>
      </c>
      <c r="F339" s="34">
        <v>7.593</v>
      </c>
      <c r="G339" s="29">
        <v>1.9084731249999998</v>
      </c>
      <c r="H339" t="s">
        <v>41</v>
      </c>
    </row>
    <row r="340" spans="1:14">
      <c r="A340" s="16">
        <v>16</v>
      </c>
      <c r="B340" s="74">
        <v>41471</v>
      </c>
      <c r="C340" s="16">
        <v>2013</v>
      </c>
      <c r="D340" s="11" t="s">
        <v>33</v>
      </c>
      <c r="E340" s="16">
        <v>7</v>
      </c>
      <c r="F340" s="34">
        <v>10.65</v>
      </c>
      <c r="G340" s="29">
        <v>1.426776375</v>
      </c>
      <c r="I340" s="29">
        <f>AVERAGE(F338:F340)</f>
        <v>8.6120000000000001</v>
      </c>
      <c r="J340" s="29">
        <f>AVERAGE(G338:G340)</f>
        <v>1.7430109166666667</v>
      </c>
      <c r="L340">
        <f>+J340/I340</f>
        <v>0.20239327875832172</v>
      </c>
      <c r="M340">
        <f>+(L340-$L$619)/$L$620</f>
        <v>-0.64371052166430498</v>
      </c>
      <c r="N340">
        <f>+N337+M340</f>
        <v>27.731530663652162</v>
      </c>
    </row>
    <row r="341" spans="1:14">
      <c r="A341" s="16">
        <v>2</v>
      </c>
      <c r="B341" s="74">
        <v>41499</v>
      </c>
      <c r="C341" s="16">
        <v>2013</v>
      </c>
      <c r="D341" s="11" t="s">
        <v>34</v>
      </c>
      <c r="E341" s="16">
        <v>8</v>
      </c>
      <c r="F341" s="34">
        <v>6.907</v>
      </c>
      <c r="G341" s="29">
        <v>1.9100388749999999</v>
      </c>
    </row>
    <row r="342" spans="1:14">
      <c r="A342" s="16">
        <v>16</v>
      </c>
      <c r="B342" s="74">
        <v>41499</v>
      </c>
      <c r="C342" s="16">
        <v>2013</v>
      </c>
      <c r="D342" s="11" t="s">
        <v>34</v>
      </c>
      <c r="E342" s="16">
        <v>8</v>
      </c>
      <c r="F342" s="34">
        <v>5.8710000000000004</v>
      </c>
      <c r="G342" s="29">
        <v>0.59580437500000005</v>
      </c>
      <c r="I342" s="29">
        <f>AVERAGE(F341:F342)</f>
        <v>6.3890000000000002</v>
      </c>
      <c r="J342" s="29">
        <f>AVERAGE(G341:G342)</f>
        <v>1.2529216249999999</v>
      </c>
      <c r="L342">
        <f>+J342/I342</f>
        <v>0.19610606119893564</v>
      </c>
      <c r="M342">
        <f>+(L342-$L$619)/$L$620</f>
        <v>-0.69999500930305669</v>
      </c>
      <c r="N342">
        <f>+N340+M342</f>
        <v>27.031535654349106</v>
      </c>
    </row>
    <row r="343" spans="1:14">
      <c r="A343" s="16">
        <v>2</v>
      </c>
      <c r="B343" s="74">
        <v>41533</v>
      </c>
      <c r="C343" s="16">
        <v>2013</v>
      </c>
      <c r="D343" s="11" t="s">
        <v>40</v>
      </c>
      <c r="E343" s="16">
        <v>9</v>
      </c>
      <c r="F343" s="34">
        <v>4.5720000000000001</v>
      </c>
      <c r="G343" s="29">
        <v>1.5528502500000003</v>
      </c>
    </row>
    <row r="344" spans="1:14">
      <c r="A344" s="16">
        <v>16</v>
      </c>
      <c r="B344" s="74">
        <v>41533</v>
      </c>
      <c r="C344" s="16">
        <v>2013</v>
      </c>
      <c r="D344" s="11" t="s">
        <v>40</v>
      </c>
      <c r="E344" s="16">
        <v>9</v>
      </c>
      <c r="F344" s="34">
        <v>3.3290000000000002</v>
      </c>
      <c r="G344" s="29">
        <v>1.0128671249999999</v>
      </c>
      <c r="I344" s="29">
        <f>AVERAGE(F343:F344)</f>
        <v>3.9504999999999999</v>
      </c>
      <c r="J344" s="29">
        <f>AVERAGE(G343:G344)</f>
        <v>1.2828586875000001</v>
      </c>
      <c r="L344">
        <f>+J344/I344</f>
        <v>0.32473324579167195</v>
      </c>
      <c r="M344">
        <f>+(L344-$L$619)/$L$620</f>
        <v>0.45150247155145196</v>
      </c>
      <c r="N344">
        <f>+N342+M344</f>
        <v>27.48303812590056</v>
      </c>
    </row>
    <row r="345" spans="1:14">
      <c r="A345" s="16">
        <v>2</v>
      </c>
      <c r="B345" s="74">
        <v>41569</v>
      </c>
      <c r="C345" s="16">
        <v>2013</v>
      </c>
      <c r="D345" s="11" t="s">
        <v>36</v>
      </c>
      <c r="E345" s="16">
        <v>10</v>
      </c>
      <c r="F345" s="28">
        <v>1.8440000000000001</v>
      </c>
      <c r="G345" s="29">
        <v>0.109402</v>
      </c>
    </row>
    <row r="346" spans="1:14">
      <c r="A346" s="16">
        <v>16</v>
      </c>
      <c r="B346" s="74">
        <v>41569</v>
      </c>
      <c r="C346" s="16">
        <v>2013</v>
      </c>
      <c r="D346" s="11" t="s">
        <v>36</v>
      </c>
      <c r="E346" s="16">
        <v>10</v>
      </c>
      <c r="F346" s="28">
        <v>1.95</v>
      </c>
      <c r="G346" s="29">
        <v>9.3876874999999985E-2</v>
      </c>
      <c r="I346" s="29">
        <f>AVERAGE(F345:F346)</f>
        <v>1.897</v>
      </c>
      <c r="J346" s="29">
        <f>AVERAGE(G345:G346)</f>
        <v>0.10163943749999999</v>
      </c>
      <c r="L346">
        <f>+J346/I346</f>
        <v>5.3579039272535572E-2</v>
      </c>
      <c r="M346">
        <f>+(L346-$L$619)/$L$620</f>
        <v>-1.9759267434973926</v>
      </c>
      <c r="N346">
        <f>+N344+M346</f>
        <v>25.507111382403167</v>
      </c>
    </row>
    <row r="347" spans="1:14">
      <c r="A347" s="16">
        <v>2</v>
      </c>
      <c r="B347" s="74">
        <v>41597</v>
      </c>
      <c r="C347" s="16">
        <v>2013</v>
      </c>
      <c r="D347" s="11" t="s">
        <v>37</v>
      </c>
      <c r="E347" s="16">
        <v>11</v>
      </c>
      <c r="F347" s="28">
        <v>0.54600000000000004</v>
      </c>
      <c r="G347" s="29">
        <v>0.19918550000000002</v>
      </c>
    </row>
    <row r="348" spans="1:14">
      <c r="A348" s="16">
        <v>16</v>
      </c>
      <c r="B348" s="74">
        <v>41597</v>
      </c>
      <c r="C348" s="16">
        <v>2013</v>
      </c>
      <c r="D348" s="11" t="s">
        <v>37</v>
      </c>
      <c r="E348" s="16">
        <v>11</v>
      </c>
      <c r="F348" s="28">
        <v>0.90700000000000003</v>
      </c>
      <c r="G348" s="29">
        <v>0.16989412499999998</v>
      </c>
      <c r="I348" s="29">
        <f>AVERAGE(F348:F349)</f>
        <v>1.6074999999999999</v>
      </c>
      <c r="J348" s="29">
        <f>AVERAGE(G348:G349)</f>
        <v>0.59577262499999983</v>
      </c>
      <c r="L348">
        <f>+J348/I348</f>
        <v>0.37062060653188172</v>
      </c>
      <c r="M348">
        <f>+(L348-$L$619)/$L$620</f>
        <v>0.86229573008941041</v>
      </c>
      <c r="N348">
        <f>+N346+M348</f>
        <v>26.369407112492578</v>
      </c>
    </row>
    <row r="349" spans="1:14">
      <c r="A349" s="16">
        <v>2</v>
      </c>
      <c r="B349" s="74">
        <v>41624</v>
      </c>
      <c r="C349" s="16">
        <v>2013</v>
      </c>
      <c r="D349" s="11" t="s">
        <v>38</v>
      </c>
      <c r="E349" s="16">
        <v>12</v>
      </c>
      <c r="F349" s="28">
        <v>2.3079999999999998</v>
      </c>
      <c r="G349" s="29">
        <v>1.0216511249999998</v>
      </c>
    </row>
    <row r="350" spans="1:14">
      <c r="A350" s="16">
        <v>16</v>
      </c>
      <c r="B350" s="74">
        <v>41624</v>
      </c>
      <c r="C350" s="16">
        <v>2013</v>
      </c>
      <c r="D350" s="11" t="s">
        <v>38</v>
      </c>
      <c r="E350" s="16">
        <v>12</v>
      </c>
      <c r="F350" s="28">
        <v>2.0470000000000002</v>
      </c>
      <c r="G350" s="29">
        <v>0.80317462500000003</v>
      </c>
      <c r="I350" s="29">
        <f>AVERAGE(F350:F351)</f>
        <v>2.1945000000000001</v>
      </c>
      <c r="J350" s="29">
        <f>AVERAGE(G350:G351)</f>
        <v>0.85953893749999988</v>
      </c>
      <c r="L350">
        <f>+J350/I350</f>
        <v>0.39167871383002956</v>
      </c>
      <c r="M350">
        <f>+(L350-$L$619)/$L$620</f>
        <v>1.050812314528051</v>
      </c>
      <c r="N350">
        <f>+N348+M350</f>
        <v>27.42021942702063</v>
      </c>
    </row>
    <row r="351" spans="1:14">
      <c r="A351" s="16">
        <v>2</v>
      </c>
      <c r="B351" s="74">
        <v>41654</v>
      </c>
      <c r="C351" s="16">
        <v>2014</v>
      </c>
      <c r="D351" s="11" t="s">
        <v>39</v>
      </c>
      <c r="E351" s="16">
        <v>1</v>
      </c>
      <c r="F351" s="28">
        <v>2.3420000000000001</v>
      </c>
      <c r="G351" s="29">
        <v>0.91590324999999972</v>
      </c>
    </row>
    <row r="352" spans="1:14">
      <c r="A352" s="16">
        <v>16</v>
      </c>
      <c r="B352" s="74">
        <v>41654</v>
      </c>
      <c r="C352" s="16">
        <v>2014</v>
      </c>
      <c r="D352" s="11" t="s">
        <v>39</v>
      </c>
      <c r="E352" s="16">
        <v>1</v>
      </c>
      <c r="F352" s="28">
        <v>2.7210000000000001</v>
      </c>
      <c r="G352" s="29">
        <v>1.074390875</v>
      </c>
      <c r="I352" s="29">
        <f>AVERAGE(F352:F353)</f>
        <v>3.4449999999999998</v>
      </c>
      <c r="J352" s="29">
        <f>AVERAGE(G352:G353)</f>
        <v>1.4384468749999999</v>
      </c>
      <c r="L352">
        <f>+J352/I352</f>
        <v>0.41754626269956457</v>
      </c>
      <c r="M352">
        <f>+(L352-$L$619)/$L$620</f>
        <v>1.2823840266312212</v>
      </c>
      <c r="N352">
        <f>+N350+M352</f>
        <v>28.70260345365185</v>
      </c>
    </row>
    <row r="353" spans="1:14">
      <c r="A353" s="16">
        <v>2</v>
      </c>
      <c r="B353" s="74">
        <v>41688</v>
      </c>
      <c r="C353" s="16">
        <v>2014</v>
      </c>
      <c r="D353" s="11" t="s">
        <v>28</v>
      </c>
      <c r="E353" s="16">
        <v>2</v>
      </c>
      <c r="F353" s="28">
        <v>4.1689999999999996</v>
      </c>
      <c r="G353" s="29">
        <v>1.8025028749999998</v>
      </c>
    </row>
    <row r="354" spans="1:14">
      <c r="A354" s="16">
        <v>16</v>
      </c>
      <c r="B354" s="74">
        <v>41690</v>
      </c>
      <c r="C354" s="16">
        <v>2014</v>
      </c>
      <c r="D354" s="11" t="s">
        <v>28</v>
      </c>
      <c r="E354" s="16">
        <v>2</v>
      </c>
      <c r="F354" s="28">
        <v>4.2729999999999997</v>
      </c>
      <c r="G354" s="29">
        <v>1.7758881250000003</v>
      </c>
      <c r="I354" s="29">
        <f>AVERAGE(F354:F355)</f>
        <v>2.8404999999999996</v>
      </c>
      <c r="J354" s="29">
        <f>AVERAGE(G354:G355)</f>
        <v>1.1415993750000002</v>
      </c>
      <c r="L354">
        <f>+J354/I354</f>
        <v>0.40190085372293621</v>
      </c>
      <c r="M354">
        <f>+(L354-$L$619)/$L$620</f>
        <v>1.142323050558645</v>
      </c>
      <c r="N354">
        <f>+N352+M354</f>
        <v>29.844926504210495</v>
      </c>
    </row>
    <row r="355" spans="1:14">
      <c r="A355" s="16">
        <v>2</v>
      </c>
      <c r="B355" s="74">
        <v>41719</v>
      </c>
      <c r="C355" s="16">
        <v>2014</v>
      </c>
      <c r="D355" s="11" t="s">
        <v>29</v>
      </c>
      <c r="E355" s="16">
        <v>3</v>
      </c>
      <c r="F355" s="28">
        <v>1.4079999999999999</v>
      </c>
      <c r="G355" s="29">
        <v>0.50731062500000002</v>
      </c>
    </row>
    <row r="356" spans="1:14">
      <c r="A356" s="16">
        <v>16</v>
      </c>
      <c r="B356" s="74">
        <v>41719</v>
      </c>
      <c r="C356" s="16">
        <v>2014</v>
      </c>
      <c r="D356" s="11" t="s">
        <v>29</v>
      </c>
      <c r="E356" s="16">
        <v>3</v>
      </c>
      <c r="F356" s="28">
        <v>1.734</v>
      </c>
      <c r="G356" s="29">
        <v>0.81328912500000006</v>
      </c>
      <c r="I356" s="29">
        <f>AVERAGE(F356:F357)</f>
        <v>3.5005000000000002</v>
      </c>
      <c r="J356" s="29">
        <f>AVERAGE(G356:G357)</f>
        <v>1.8676389374999998</v>
      </c>
      <c r="L356">
        <f>+J356/I356</f>
        <v>0.53353490572775308</v>
      </c>
      <c r="M356">
        <f>+(L356-$L$619)/$L$620</f>
        <v>2.3207386378868127</v>
      </c>
      <c r="N356">
        <f>+N354+M356</f>
        <v>32.165665142097311</v>
      </c>
    </row>
    <row r="357" spans="1:14">
      <c r="A357" s="16">
        <v>2</v>
      </c>
      <c r="B357" s="74">
        <v>41747</v>
      </c>
      <c r="C357" s="16">
        <v>2014</v>
      </c>
      <c r="D357" s="11" t="s">
        <v>30</v>
      </c>
      <c r="E357" s="16">
        <v>4</v>
      </c>
      <c r="F357" s="35">
        <v>5.2670000000000003</v>
      </c>
      <c r="G357" s="29">
        <v>2.9219887499999997</v>
      </c>
    </row>
    <row r="358" spans="1:14">
      <c r="A358" s="16">
        <v>16</v>
      </c>
      <c r="B358" s="74">
        <v>41747</v>
      </c>
      <c r="C358" s="16">
        <v>2014</v>
      </c>
      <c r="D358" s="11" t="s">
        <v>30</v>
      </c>
      <c r="E358" s="16">
        <v>4</v>
      </c>
      <c r="F358" s="35">
        <v>2.0419999999999998</v>
      </c>
      <c r="G358" s="29">
        <v>1.004286</v>
      </c>
      <c r="I358" s="29">
        <f>AVERAGE(F358:F359)</f>
        <v>2.306</v>
      </c>
      <c r="J358" s="29">
        <f>AVERAGE(G358:G359)</f>
        <v>0.75769025000000001</v>
      </c>
      <c r="L358">
        <f>+J358/I358</f>
        <v>0.32857339549002601</v>
      </c>
      <c r="M358">
        <f>+(L358-$L$619)/$L$620</f>
        <v>0.48588029547537392</v>
      </c>
      <c r="N358">
        <f>+N356+M358</f>
        <v>32.651545437572686</v>
      </c>
    </row>
    <row r="359" spans="1:14">
      <c r="A359" s="16">
        <v>2</v>
      </c>
      <c r="B359" s="74">
        <v>41772</v>
      </c>
      <c r="C359" s="16">
        <v>2014</v>
      </c>
      <c r="D359" s="11" t="s">
        <v>31</v>
      </c>
      <c r="E359" s="16">
        <v>5</v>
      </c>
      <c r="F359" s="35">
        <v>2.57</v>
      </c>
      <c r="G359" s="29">
        <v>0.51109450000000001</v>
      </c>
    </row>
    <row r="360" spans="1:14">
      <c r="A360" s="16">
        <v>16</v>
      </c>
      <c r="B360" s="74">
        <v>41772</v>
      </c>
      <c r="C360" s="16">
        <v>2014</v>
      </c>
      <c r="D360" s="11" t="s">
        <v>31</v>
      </c>
      <c r="E360" s="16">
        <v>5</v>
      </c>
      <c r="F360" s="35">
        <v>1.5649999999999999</v>
      </c>
      <c r="G360" s="29">
        <v>0.35300124999999993</v>
      </c>
      <c r="I360" s="29">
        <f>AVERAGE(F360:F361)</f>
        <v>4.2640000000000002</v>
      </c>
      <c r="J360" s="29">
        <f>AVERAGE(G360:G361)</f>
        <v>1.3765811874999998</v>
      </c>
      <c r="L360">
        <f>+J360/I360</f>
        <v>0.32283798956378978</v>
      </c>
      <c r="M360">
        <f>+(L360-$L$619)/$L$620</f>
        <v>0.43453574108238302</v>
      </c>
      <c r="N360">
        <f>+N358+M360</f>
        <v>33.086081178655071</v>
      </c>
    </row>
    <row r="361" spans="1:14">
      <c r="A361" s="16">
        <v>2</v>
      </c>
      <c r="B361" s="74">
        <v>41808</v>
      </c>
      <c r="C361" s="16">
        <v>2014</v>
      </c>
      <c r="D361" s="11" t="s">
        <v>32</v>
      </c>
      <c r="E361" s="16">
        <v>6</v>
      </c>
      <c r="F361" s="35">
        <v>6.9630000000000001</v>
      </c>
      <c r="G361" s="29">
        <v>2.4001611249999999</v>
      </c>
    </row>
    <row r="362" spans="1:14">
      <c r="A362" s="16">
        <v>2</v>
      </c>
      <c r="B362" s="74">
        <v>41808</v>
      </c>
      <c r="C362" s="16">
        <v>2014</v>
      </c>
      <c r="D362" s="11" t="s">
        <v>32</v>
      </c>
      <c r="E362" s="16">
        <v>6</v>
      </c>
      <c r="F362" s="35">
        <v>6.9630000000000001</v>
      </c>
      <c r="G362" s="29">
        <v>2.3404357500000001</v>
      </c>
      <c r="H362" t="s">
        <v>41</v>
      </c>
    </row>
    <row r="363" spans="1:14">
      <c r="A363" s="16">
        <v>16</v>
      </c>
      <c r="B363" s="74">
        <v>41808</v>
      </c>
      <c r="C363" s="16">
        <v>2014</v>
      </c>
      <c r="D363" s="11" t="s">
        <v>32</v>
      </c>
      <c r="E363" s="16">
        <v>6</v>
      </c>
      <c r="F363" s="35">
        <v>7.84</v>
      </c>
      <c r="G363" s="29">
        <v>2.7001621250000003</v>
      </c>
      <c r="I363" s="29">
        <f>AVERAGE(F361:F363)</f>
        <v>7.2553333333333327</v>
      </c>
      <c r="J363" s="29">
        <f>AVERAGE(G361:G363)</f>
        <v>2.4802529999999998</v>
      </c>
      <c r="L363">
        <f>+J363/I363</f>
        <v>0.34185238445281635</v>
      </c>
      <c r="M363">
        <f>+(L363-$L$619)/$L$620</f>
        <v>0.6047565842424949</v>
      </c>
      <c r="N363">
        <f>+N360+M363</f>
        <v>33.690837762897566</v>
      </c>
    </row>
    <row r="364" spans="1:14">
      <c r="A364" s="16">
        <v>2</v>
      </c>
      <c r="B364" s="74">
        <v>41834</v>
      </c>
      <c r="C364" s="16">
        <v>2014</v>
      </c>
      <c r="D364" s="11" t="s">
        <v>33</v>
      </c>
      <c r="E364" s="16">
        <v>7</v>
      </c>
      <c r="F364" s="35">
        <v>5.8369999999999997</v>
      </c>
      <c r="G364" s="29">
        <v>2.3108348749999994</v>
      </c>
    </row>
    <row r="365" spans="1:14">
      <c r="A365" s="16">
        <v>16</v>
      </c>
      <c r="B365" s="74">
        <v>41834</v>
      </c>
      <c r="C365" s="16">
        <v>2014</v>
      </c>
      <c r="D365" s="11" t="s">
        <v>33</v>
      </c>
      <c r="E365" s="16">
        <v>7</v>
      </c>
      <c r="F365" s="35">
        <v>7.7990000000000004</v>
      </c>
      <c r="G365" s="29">
        <v>2.3334291249999994</v>
      </c>
      <c r="I365" s="29">
        <f>AVERAGE(F365:F366)</f>
        <v>6.3004999999999995</v>
      </c>
      <c r="J365" s="29">
        <f>AVERAGE(G365:G366)</f>
        <v>1.9483252499999995</v>
      </c>
      <c r="L365">
        <f>+J365/I365</f>
        <v>0.30923343385445595</v>
      </c>
      <c r="M365">
        <f>+(L365-$L$619)/$L$620</f>
        <v>0.31274491065222382</v>
      </c>
      <c r="N365">
        <f>+N363+M365</f>
        <v>34.003582673549786</v>
      </c>
    </row>
    <row r="366" spans="1:14">
      <c r="A366" s="16">
        <v>2</v>
      </c>
      <c r="B366" s="74">
        <v>41864</v>
      </c>
      <c r="C366" s="16">
        <v>2014</v>
      </c>
      <c r="D366" s="11" t="s">
        <v>34</v>
      </c>
      <c r="E366" s="16">
        <v>8</v>
      </c>
      <c r="F366" s="35">
        <v>4.8019999999999996</v>
      </c>
      <c r="G366" s="29">
        <v>1.5632213749999997</v>
      </c>
    </row>
    <row r="367" spans="1:14">
      <c r="A367" s="16">
        <v>16</v>
      </c>
      <c r="B367" s="74">
        <v>41862</v>
      </c>
      <c r="C367" s="16">
        <v>2014</v>
      </c>
      <c r="D367" s="11" t="s">
        <v>34</v>
      </c>
      <c r="E367" s="16">
        <v>8</v>
      </c>
      <c r="F367" s="35">
        <v>11.37</v>
      </c>
      <c r="G367" s="29">
        <v>2.8870642499999999</v>
      </c>
      <c r="I367" s="29">
        <f>AVERAGE(F367:F368)</f>
        <v>8.5084999999999997</v>
      </c>
      <c r="J367" s="29">
        <f>AVERAGE(G367:G368)</f>
        <v>2.1640055624999999</v>
      </c>
      <c r="L367">
        <f>+J367/I367</f>
        <v>0.25433455515073161</v>
      </c>
      <c r="M367">
        <f>+(L367-$L$619)/$L$620</f>
        <v>-0.17872134299572914</v>
      </c>
      <c r="N367">
        <f>+N365+M367</f>
        <v>33.824861330554057</v>
      </c>
    </row>
    <row r="368" spans="1:14">
      <c r="A368" s="16">
        <v>2</v>
      </c>
      <c r="B368" s="74">
        <v>41898</v>
      </c>
      <c r="C368" s="16">
        <v>2014</v>
      </c>
      <c r="D368" s="11" t="s">
        <v>40</v>
      </c>
      <c r="E368" s="16">
        <v>9</v>
      </c>
      <c r="F368" s="35">
        <v>5.6470000000000002</v>
      </c>
      <c r="G368" s="29">
        <v>1.4409468749999998</v>
      </c>
    </row>
    <row r="369" spans="1:14">
      <c r="A369" s="16">
        <v>16</v>
      </c>
      <c r="B369" s="74">
        <v>41898</v>
      </c>
      <c r="C369" s="16">
        <v>2014</v>
      </c>
      <c r="D369" s="11" t="s">
        <v>40</v>
      </c>
      <c r="E369" s="16">
        <v>9</v>
      </c>
      <c r="F369" s="35">
        <v>3.8079999999999998</v>
      </c>
      <c r="G369" s="29">
        <v>0.64423237499999997</v>
      </c>
    </row>
    <row r="370" spans="1:14">
      <c r="A370" s="16">
        <v>16</v>
      </c>
      <c r="B370" s="74">
        <v>41898</v>
      </c>
      <c r="C370" s="16">
        <v>2014</v>
      </c>
      <c r="D370" s="11" t="s">
        <v>40</v>
      </c>
      <c r="E370" s="16">
        <v>9</v>
      </c>
      <c r="F370" s="35">
        <v>3.8079999999999998</v>
      </c>
      <c r="G370" s="29">
        <v>0.6932053749999999</v>
      </c>
      <c r="H370" t="s">
        <v>41</v>
      </c>
      <c r="I370" s="29">
        <f>AVERAGE(F368:F370)</f>
        <v>4.4210000000000003</v>
      </c>
      <c r="J370" s="29">
        <f>AVERAGE(G368:G370)</f>
        <v>0.9261282083333332</v>
      </c>
      <c r="L370">
        <f>+J370/I370</f>
        <v>0.20948387431199575</v>
      </c>
      <c r="M370">
        <f>+(L370-$L$619)/$L$620</f>
        <v>-0.58023402605674357</v>
      </c>
      <c r="N370">
        <f>+N367+M370</f>
        <v>33.244627304497314</v>
      </c>
    </row>
    <row r="371" spans="1:14">
      <c r="A371" s="16">
        <v>2</v>
      </c>
      <c r="B371" s="74">
        <v>41929</v>
      </c>
      <c r="C371" s="16">
        <v>2014</v>
      </c>
      <c r="D371" s="11" t="s">
        <v>36</v>
      </c>
      <c r="E371" s="16">
        <v>10</v>
      </c>
      <c r="F371" s="28">
        <v>1.911</v>
      </c>
      <c r="G371" s="29">
        <v>0.37114737499999995</v>
      </c>
    </row>
    <row r="372" spans="1:14">
      <c r="A372" s="16">
        <v>16</v>
      </c>
      <c r="B372" s="74">
        <v>41929</v>
      </c>
      <c r="C372" s="16">
        <v>2014</v>
      </c>
      <c r="D372" s="11" t="s">
        <v>36</v>
      </c>
      <c r="E372" s="16">
        <v>10</v>
      </c>
      <c r="F372" s="28">
        <v>1.1919999999999999</v>
      </c>
      <c r="G372" s="29">
        <v>0.23935949999999998</v>
      </c>
      <c r="I372" s="29">
        <f>AVERAGE(F372:F373)</f>
        <v>0.96550000000000002</v>
      </c>
      <c r="J372" s="29">
        <f>AVERAGE(G372:G373)</f>
        <v>0.20819712499999998</v>
      </c>
      <c r="L372">
        <f>+J372/I372</f>
        <v>0.21563658726048676</v>
      </c>
      <c r="M372">
        <f>+(L372-$L$619)/$L$620</f>
        <v>-0.52515365184937401</v>
      </c>
      <c r="N372">
        <f>+N370+M372</f>
        <v>32.719473652647942</v>
      </c>
    </row>
    <row r="373" spans="1:14">
      <c r="A373" s="16">
        <v>2</v>
      </c>
      <c r="B373" s="74">
        <v>41953</v>
      </c>
      <c r="C373" s="16">
        <v>2014</v>
      </c>
      <c r="D373" s="11" t="s">
        <v>37</v>
      </c>
      <c r="E373" s="16">
        <v>11</v>
      </c>
      <c r="F373" s="28">
        <v>0.73899999999999999</v>
      </c>
      <c r="G373" s="29">
        <v>0.17703474999999996</v>
      </c>
    </row>
    <row r="374" spans="1:14">
      <c r="A374" s="16">
        <v>16</v>
      </c>
      <c r="B374" s="74">
        <v>41953</v>
      </c>
      <c r="C374" s="16">
        <v>2014</v>
      </c>
      <c r="D374" s="11" t="s">
        <v>37</v>
      </c>
      <c r="E374" s="16">
        <v>11</v>
      </c>
      <c r="F374" s="28">
        <v>0.96599999999999997</v>
      </c>
      <c r="G374" s="29">
        <v>0.114953125</v>
      </c>
      <c r="I374" s="29">
        <f>AVERAGE(F374:F375)</f>
        <v>1.4449999999999998</v>
      </c>
      <c r="J374" s="29">
        <f>AVERAGE(G374:G375)</f>
        <v>0.42541468750000005</v>
      </c>
      <c r="L374">
        <f>+J374/I374</f>
        <v>0.29440462802768175</v>
      </c>
      <c r="M374">
        <f>+(L374-$L$619)/$L$620</f>
        <v>0.17999433690938987</v>
      </c>
      <c r="N374">
        <f>+N372+M374</f>
        <v>32.89946798955733</v>
      </c>
    </row>
    <row r="375" spans="1:14">
      <c r="A375" s="16">
        <v>2</v>
      </c>
      <c r="B375" s="74">
        <v>41988</v>
      </c>
      <c r="C375" s="16">
        <v>2014</v>
      </c>
      <c r="D375" s="11" t="s">
        <v>38</v>
      </c>
      <c r="E375" s="16">
        <v>12</v>
      </c>
      <c r="F375" s="28">
        <v>1.9239999999999999</v>
      </c>
      <c r="G375" s="29">
        <v>0.73587625000000012</v>
      </c>
    </row>
    <row r="376" spans="1:14">
      <c r="A376" s="16">
        <v>16</v>
      </c>
      <c r="B376" s="74">
        <v>41988</v>
      </c>
      <c r="C376" s="16">
        <v>2014</v>
      </c>
      <c r="D376" s="11" t="s">
        <v>38</v>
      </c>
      <c r="E376" s="16">
        <v>12</v>
      </c>
      <c r="F376" s="28">
        <v>2.33</v>
      </c>
      <c r="G376" s="29">
        <v>0.81190949999999984</v>
      </c>
      <c r="I376" s="29">
        <f>AVERAGE(F376:F449)</f>
        <v>5.7879032258064491</v>
      </c>
      <c r="J376" s="29">
        <f>AVERAGE(G376:G449)</f>
        <v>1.5880307983870965</v>
      </c>
      <c r="L376">
        <f>+J376/I376</f>
        <v>0.27437065486972279</v>
      </c>
      <c r="M376">
        <f>+(L376-$L$619)/$L$620</f>
        <v>6.4601566657756929E-4</v>
      </c>
      <c r="N376">
        <f>+N374+M376</f>
        <v>32.900114005223905</v>
      </c>
    </row>
    <row r="377" spans="1:14">
      <c r="A377" s="16">
        <v>2</v>
      </c>
      <c r="B377" s="71">
        <v>42014</v>
      </c>
      <c r="E377" s="16">
        <v>1</v>
      </c>
      <c r="F377" s="80">
        <v>7.0330000000000004</v>
      </c>
      <c r="G377" s="80">
        <v>2.2719999999999998</v>
      </c>
    </row>
    <row r="378" spans="1:14">
      <c r="A378" s="16">
        <v>16</v>
      </c>
      <c r="B378" s="71">
        <v>42009</v>
      </c>
      <c r="E378" s="16">
        <v>1</v>
      </c>
      <c r="F378" s="80">
        <v>6.181</v>
      </c>
      <c r="G378" s="80">
        <v>1.996</v>
      </c>
      <c r="I378" s="29">
        <f>AVERAGE(F377:F378)</f>
        <v>6.6070000000000002</v>
      </c>
      <c r="J378" s="29">
        <f>AVERAGE(G377:G378)</f>
        <v>2.1339999999999999</v>
      </c>
      <c r="L378">
        <f>+J378/I378</f>
        <v>0.32299076736794308</v>
      </c>
      <c r="M378">
        <f>+(L378-$L$619)/$L$620</f>
        <v>0.43590343996477721</v>
      </c>
      <c r="N378">
        <f>+N376+M378</f>
        <v>33.336017445188681</v>
      </c>
    </row>
    <row r="379" spans="1:14">
      <c r="A379" s="16">
        <v>2</v>
      </c>
      <c r="B379" s="76">
        <v>42036</v>
      </c>
      <c r="E379" s="16">
        <v>2</v>
      </c>
    </row>
    <row r="380" spans="1:14">
      <c r="A380" s="16">
        <v>16</v>
      </c>
      <c r="B380" s="76">
        <v>42036</v>
      </c>
      <c r="E380" s="16">
        <v>2</v>
      </c>
      <c r="I380" s="29"/>
      <c r="J380" s="29"/>
    </row>
    <row r="381" spans="1:14">
      <c r="A381" s="16">
        <v>2</v>
      </c>
      <c r="B381" s="76">
        <v>42064</v>
      </c>
      <c r="E381" s="16">
        <v>3</v>
      </c>
      <c r="F381" s="80">
        <v>10.528</v>
      </c>
      <c r="G381" s="80">
        <v>3.681</v>
      </c>
    </row>
    <row r="382" spans="1:14">
      <c r="A382" s="16">
        <v>16</v>
      </c>
      <c r="B382" s="76">
        <v>42064</v>
      </c>
      <c r="E382" s="16">
        <v>3</v>
      </c>
      <c r="F382" s="80">
        <v>10.226000000000001</v>
      </c>
      <c r="G382" s="80">
        <v>3.528</v>
      </c>
      <c r="I382" s="29">
        <f>AVERAGE(F381:F382)</f>
        <v>10.377000000000001</v>
      </c>
      <c r="J382" s="29">
        <f>AVERAGE(G381:G382)</f>
        <v>3.6044999999999998</v>
      </c>
      <c r="L382">
        <f>+J382/I382</f>
        <v>0.34735472679965301</v>
      </c>
      <c r="M382">
        <f>+(L382-$L$619)/$L$620</f>
        <v>0.65401470468758238</v>
      </c>
      <c r="N382">
        <f>+N378+M382</f>
        <v>33.990032149876264</v>
      </c>
    </row>
    <row r="383" spans="1:14">
      <c r="A383" s="16">
        <v>2</v>
      </c>
      <c r="B383" s="76">
        <v>42095</v>
      </c>
      <c r="E383" s="16">
        <v>4</v>
      </c>
      <c r="F383" s="80">
        <v>0.98799999999999999</v>
      </c>
      <c r="G383" s="80">
        <v>0.153</v>
      </c>
    </row>
    <row r="384" spans="1:14">
      <c r="A384" s="16">
        <v>16</v>
      </c>
      <c r="B384" s="76">
        <v>42095</v>
      </c>
      <c r="E384" s="16">
        <v>4</v>
      </c>
      <c r="F384" s="80">
        <v>1.2330000000000001</v>
      </c>
      <c r="G384" s="80">
        <v>0.124</v>
      </c>
      <c r="I384" s="29">
        <f>AVERAGE(F383:F384)</f>
        <v>1.1105</v>
      </c>
      <c r="J384" s="29">
        <f>AVERAGE(G383:G384)</f>
        <v>0.13850000000000001</v>
      </c>
      <c r="L384">
        <f>+J384/I384</f>
        <v>0.12471859522737506</v>
      </c>
      <c r="M384">
        <f>+(L384-$L$619)/$L$620</f>
        <v>-1.3390705475814637</v>
      </c>
      <c r="N384">
        <f>+N382+M384</f>
        <v>32.650961602294799</v>
      </c>
    </row>
    <row r="385" spans="1:14">
      <c r="A385" s="16">
        <v>2</v>
      </c>
      <c r="B385" s="76">
        <v>42125</v>
      </c>
      <c r="E385" s="16">
        <v>5</v>
      </c>
      <c r="F385" s="80">
        <v>6.3710000000000004</v>
      </c>
      <c r="G385" s="80">
        <v>1.1759999999999999</v>
      </c>
    </row>
    <row r="386" spans="1:14">
      <c r="A386" s="16">
        <v>16</v>
      </c>
      <c r="B386" s="76">
        <v>42125</v>
      </c>
      <c r="E386" s="16">
        <v>5</v>
      </c>
      <c r="F386" s="80">
        <v>8.8930000000000007</v>
      </c>
      <c r="G386" s="80">
        <v>0.85499999999999998</v>
      </c>
      <c r="I386" s="29">
        <f>AVERAGE(F385:F386)</f>
        <v>7.6320000000000006</v>
      </c>
      <c r="J386" s="29">
        <f>AVERAGE(G385:G386)</f>
        <v>1.0154999999999998</v>
      </c>
      <c r="L386">
        <f>+J386/I386</f>
        <v>0.13305817610062889</v>
      </c>
      <c r="M386">
        <f>+(L386-$L$619)/$L$620</f>
        <v>-1.2644128739540761</v>
      </c>
      <c r="N386">
        <f>+N384+M386</f>
        <v>31.386548728340724</v>
      </c>
    </row>
    <row r="387" spans="1:14">
      <c r="A387" s="16">
        <v>2</v>
      </c>
      <c r="B387" s="76">
        <v>42156</v>
      </c>
      <c r="E387" s="16">
        <v>6</v>
      </c>
      <c r="F387" s="80">
        <v>13.632999999999999</v>
      </c>
      <c r="G387" s="80">
        <v>4.8319999999999999</v>
      </c>
    </row>
    <row r="388" spans="1:14">
      <c r="A388" s="16">
        <v>16</v>
      </c>
      <c r="B388" s="76">
        <v>42156</v>
      </c>
      <c r="E388" s="16">
        <v>6</v>
      </c>
      <c r="F388" s="80">
        <v>9.2569999999999997</v>
      </c>
      <c r="G388" s="80">
        <v>3.153</v>
      </c>
      <c r="I388" s="29">
        <f>AVERAGE(F387:F388)</f>
        <v>11.445</v>
      </c>
      <c r="J388" s="29">
        <f>AVERAGE(G387:G388)</f>
        <v>3.9924999999999997</v>
      </c>
      <c r="L388">
        <f>+J388/I388</f>
        <v>0.34884228920926164</v>
      </c>
      <c r="M388">
        <f>+(L388-$L$619)/$L$620</f>
        <v>0.66733167475655897</v>
      </c>
      <c r="N388">
        <f>+N386+M388</f>
        <v>32.053880403097281</v>
      </c>
    </row>
    <row r="389" spans="1:14">
      <c r="A389" s="16">
        <v>2</v>
      </c>
      <c r="B389" s="76">
        <v>42186</v>
      </c>
      <c r="E389" s="16">
        <v>7</v>
      </c>
      <c r="F389" s="80">
        <v>8.4420000000000002</v>
      </c>
      <c r="G389" s="80">
        <v>2.7349999999999999</v>
      </c>
    </row>
    <row r="390" spans="1:14">
      <c r="A390" s="16">
        <v>16</v>
      </c>
      <c r="B390" s="76">
        <v>42186</v>
      </c>
      <c r="E390" s="16">
        <v>7</v>
      </c>
      <c r="F390" s="80">
        <v>8.016</v>
      </c>
      <c r="G390" s="80">
        <v>1.8540000000000001</v>
      </c>
      <c r="I390" s="29">
        <f>AVERAGE(F389:F390)</f>
        <v>8.2289999999999992</v>
      </c>
      <c r="J390" s="29">
        <f>AVERAGE(G389:G390)</f>
        <v>2.2945000000000002</v>
      </c>
      <c r="L390">
        <f>+J390/I390</f>
        <v>0.27883096366508692</v>
      </c>
      <c r="M390">
        <f>+(L390-$L$619)/$L$620</f>
        <v>4.0575633639301528E-2</v>
      </c>
      <c r="N390">
        <f>+N388+M390</f>
        <v>32.094456036736581</v>
      </c>
    </row>
    <row r="391" spans="1:14">
      <c r="A391" s="16">
        <v>2</v>
      </c>
      <c r="B391" s="76">
        <v>42217</v>
      </c>
      <c r="E391" s="16">
        <v>8</v>
      </c>
      <c r="F391" s="80">
        <v>7.8170000000000002</v>
      </c>
      <c r="G391" s="80">
        <v>2.1850000000000001</v>
      </c>
    </row>
    <row r="392" spans="1:14">
      <c r="A392" s="16">
        <v>16</v>
      </c>
      <c r="B392" s="76">
        <v>42217</v>
      </c>
      <c r="E392" s="16">
        <v>8</v>
      </c>
      <c r="F392" s="80">
        <v>11.515000000000001</v>
      </c>
      <c r="G392" s="80">
        <v>3.371</v>
      </c>
      <c r="I392" s="29">
        <f>AVERAGE(F391:F392)</f>
        <v>9.6660000000000004</v>
      </c>
      <c r="J392" s="29">
        <f>AVERAGE(G391:G392)</f>
        <v>2.778</v>
      </c>
      <c r="L392">
        <f>+J392/I392</f>
        <v>0.28739913097454994</v>
      </c>
      <c r="M392">
        <f>+(L392-$L$619)/$L$620</f>
        <v>0.11727966089159188</v>
      </c>
      <c r="N392">
        <f>+N390+M392</f>
        <v>32.211735697628171</v>
      </c>
    </row>
    <row r="393" spans="1:14">
      <c r="A393" s="16">
        <v>2</v>
      </c>
      <c r="B393" s="76">
        <v>42248</v>
      </c>
      <c r="E393" s="16">
        <v>9</v>
      </c>
      <c r="F393" s="80">
        <v>5.4390000000000001</v>
      </c>
      <c r="G393" s="80">
        <v>1.5049999999999999</v>
      </c>
    </row>
    <row r="394" spans="1:14">
      <c r="A394" s="16">
        <v>16</v>
      </c>
      <c r="B394" s="76">
        <v>42248</v>
      </c>
      <c r="E394" s="16">
        <v>9</v>
      </c>
      <c r="F394" s="80">
        <v>4.944</v>
      </c>
      <c r="G394" s="80">
        <v>1.036</v>
      </c>
      <c r="I394" s="29">
        <f>AVERAGE(F393:F394)</f>
        <v>5.1914999999999996</v>
      </c>
      <c r="J394" s="29">
        <f>AVERAGE(G393:G394)</f>
        <v>1.2705</v>
      </c>
      <c r="L394">
        <f>+J394/I394</f>
        <v>0.24472695752672638</v>
      </c>
      <c r="M394">
        <f>+(L394-$L$619)/$L$620</f>
        <v>-0.26473056799847039</v>
      </c>
      <c r="N394">
        <f>+N392+M394</f>
        <v>31.947005129629702</v>
      </c>
    </row>
    <row r="395" spans="1:14">
      <c r="A395" s="16">
        <v>2</v>
      </c>
      <c r="B395" s="76">
        <v>42278</v>
      </c>
      <c r="E395" s="16">
        <v>10</v>
      </c>
      <c r="F395" s="80">
        <v>2.5089999999999999</v>
      </c>
      <c r="G395" s="80">
        <v>9.5000000000000001E-2</v>
      </c>
    </row>
    <row r="396" spans="1:14">
      <c r="A396" s="16">
        <v>16</v>
      </c>
      <c r="B396" s="76">
        <v>42278</v>
      </c>
      <c r="E396" s="16">
        <v>10</v>
      </c>
      <c r="F396" s="80">
        <v>2.7269999999999999</v>
      </c>
      <c r="G396" s="80">
        <v>7.3999999999999996E-2</v>
      </c>
      <c r="I396" s="29">
        <f>AVERAGE(F395:F396)</f>
        <v>2.6179999999999999</v>
      </c>
      <c r="J396" s="29">
        <f>AVERAGE(G395:G396)</f>
        <v>8.4499999999999992E-2</v>
      </c>
      <c r="L396">
        <f>+J396/I396</f>
        <v>3.2276546982429336E-2</v>
      </c>
      <c r="M396">
        <f>+(L396-$L$619)/$L$620</f>
        <v>-2.1666311135389735</v>
      </c>
      <c r="N396">
        <f>+N394+M396</f>
        <v>29.780374016090729</v>
      </c>
    </row>
    <row r="397" spans="1:14">
      <c r="A397" s="16">
        <v>2</v>
      </c>
      <c r="B397" s="76">
        <v>42309</v>
      </c>
      <c r="E397" s="16">
        <v>11</v>
      </c>
      <c r="F397" s="80">
        <v>1.4650000000000001</v>
      </c>
      <c r="G397" s="80">
        <v>0.46300000000000002</v>
      </c>
    </row>
    <row r="398" spans="1:14">
      <c r="A398" s="16">
        <v>16</v>
      </c>
      <c r="B398" s="76">
        <v>42309</v>
      </c>
      <c r="E398" s="16">
        <v>11</v>
      </c>
      <c r="F398" s="80">
        <v>0.85699999999999998</v>
      </c>
      <c r="G398" s="80">
        <v>0.13200000000000001</v>
      </c>
      <c r="I398" s="29">
        <f>AVERAGE(F397:F398)</f>
        <v>1.161</v>
      </c>
      <c r="J398" s="29">
        <f>AVERAGE(G397:G398)</f>
        <v>0.29749999999999999</v>
      </c>
      <c r="L398">
        <f>+J398/I398</f>
        <v>0.25624461670973298</v>
      </c>
      <c r="M398">
        <f>+(L398-$L$619)/$L$620</f>
        <v>-0.16162207210341337</v>
      </c>
      <c r="N398">
        <f>+N396+M398</f>
        <v>29.618751943987316</v>
      </c>
    </row>
    <row r="399" spans="1:14">
      <c r="A399" s="16">
        <v>2</v>
      </c>
      <c r="B399" s="77">
        <v>42339</v>
      </c>
      <c r="C399" s="99" t="s">
        <v>97</v>
      </c>
      <c r="D399" s="101"/>
      <c r="E399" s="16">
        <v>12</v>
      </c>
      <c r="F399" s="80">
        <v>1.0980000000000001</v>
      </c>
      <c r="G399" s="80">
        <v>0.193</v>
      </c>
    </row>
    <row r="400" spans="1:14">
      <c r="A400" s="16">
        <v>2</v>
      </c>
      <c r="B400" s="76">
        <v>42339</v>
      </c>
      <c r="C400" s="99" t="s">
        <v>100</v>
      </c>
      <c r="D400" s="101"/>
      <c r="E400" s="16">
        <v>12</v>
      </c>
      <c r="F400" s="80">
        <v>1.488</v>
      </c>
      <c r="G400" s="80">
        <v>0.14399999999999999</v>
      </c>
      <c r="I400" s="29">
        <f>AVERAGE(F399:F400)</f>
        <v>1.2930000000000001</v>
      </c>
      <c r="J400" s="29">
        <f>AVERAGE(G399:G400)</f>
        <v>0.16849999999999998</v>
      </c>
      <c r="L400">
        <f>+J400/I400</f>
        <v>0.13031709203402936</v>
      </c>
      <c r="M400">
        <f>+(L400-$L$619)/$L$620</f>
        <v>-1.2889516322849339</v>
      </c>
      <c r="N400">
        <f>+N398+M400</f>
        <v>28.329800311702382</v>
      </c>
    </row>
    <row r="401" spans="1:14">
      <c r="A401" s="16">
        <v>16</v>
      </c>
      <c r="B401" s="71">
        <v>42379</v>
      </c>
      <c r="C401" s="103" t="s">
        <v>99</v>
      </c>
      <c r="D401" s="11"/>
      <c r="E401" s="16">
        <v>1</v>
      </c>
      <c r="F401" s="81">
        <v>3.5179999999999998</v>
      </c>
      <c r="G401" s="81">
        <v>0.82399999999999995</v>
      </c>
    </row>
    <row r="402" spans="1:14">
      <c r="A402" s="16">
        <v>2</v>
      </c>
      <c r="B402" s="71">
        <v>42374</v>
      </c>
      <c r="C402" s="103" t="s">
        <v>98</v>
      </c>
      <c r="D402" s="11"/>
      <c r="E402" s="16">
        <v>1</v>
      </c>
      <c r="F402" s="81">
        <v>4.8689999999999998</v>
      </c>
      <c r="G402" s="81">
        <v>1.2150000000000001</v>
      </c>
      <c r="I402" s="29">
        <f>AVERAGE(F401:F402)</f>
        <v>4.1935000000000002</v>
      </c>
      <c r="J402" s="29">
        <f>AVERAGE(G401:G402)</f>
        <v>1.0195000000000001</v>
      </c>
      <c r="L402">
        <f>+J402/I402</f>
        <v>0.24311434362704185</v>
      </c>
      <c r="M402">
        <f>+(L402-$L$619)/$L$620</f>
        <v>-0.27916702518251862</v>
      </c>
      <c r="N402">
        <f>+N400+M402</f>
        <v>28.050633286519862</v>
      </c>
    </row>
    <row r="403" spans="1:14">
      <c r="A403" s="16">
        <v>16</v>
      </c>
      <c r="B403" s="76">
        <v>42401</v>
      </c>
      <c r="C403" s="103"/>
      <c r="D403" s="11"/>
      <c r="E403" s="16">
        <v>2</v>
      </c>
      <c r="F403" s="81">
        <v>3.6659999999999999</v>
      </c>
      <c r="G403" s="81">
        <v>0.88700000000000001</v>
      </c>
    </row>
    <row r="404" spans="1:14">
      <c r="A404" s="16">
        <v>2</v>
      </c>
      <c r="B404" s="76">
        <v>42401</v>
      </c>
      <c r="C404" s="103"/>
      <c r="D404" s="11"/>
      <c r="E404" s="16">
        <v>2</v>
      </c>
      <c r="F404" s="81">
        <v>3.8159999999999998</v>
      </c>
      <c r="G404" s="81">
        <v>0.80200000000000005</v>
      </c>
      <c r="I404" s="29">
        <f>AVERAGE(F403:F404)</f>
        <v>3.7409999999999997</v>
      </c>
      <c r="J404" s="29">
        <f>AVERAGE(G403:G404)</f>
        <v>0.84450000000000003</v>
      </c>
      <c r="L404">
        <f>+J404/I404</f>
        <v>0.2257417802726544</v>
      </c>
      <c r="M404">
        <f>+(L404-$L$619)/$L$620</f>
        <v>-0.43468984877460215</v>
      </c>
      <c r="N404">
        <f>+N402+M404</f>
        <v>27.615943437745258</v>
      </c>
    </row>
    <row r="405" spans="1:14">
      <c r="A405" s="16">
        <v>16</v>
      </c>
      <c r="B405" s="76">
        <v>42430</v>
      </c>
      <c r="C405" s="103"/>
      <c r="D405" s="11"/>
      <c r="E405" s="16">
        <v>3</v>
      </c>
      <c r="F405" s="81">
        <v>5.2290000000000001</v>
      </c>
      <c r="G405" s="81">
        <v>1.8640000000000001</v>
      </c>
    </row>
    <row r="406" spans="1:14">
      <c r="A406" s="16">
        <v>2</v>
      </c>
      <c r="B406" s="76">
        <v>42430</v>
      </c>
      <c r="C406" s="103"/>
      <c r="D406" s="11"/>
      <c r="E406" s="16">
        <v>3</v>
      </c>
      <c r="F406" s="81">
        <v>1.456</v>
      </c>
      <c r="G406" s="81">
        <v>0.376</v>
      </c>
      <c r="I406" s="29">
        <f>AVERAGE(F405:F406)</f>
        <v>3.3425000000000002</v>
      </c>
      <c r="J406" s="29">
        <f>AVERAGE(G405:G406)</f>
        <v>1.1200000000000001</v>
      </c>
      <c r="L406">
        <f>+J406/I406</f>
        <v>0.33507853403141363</v>
      </c>
      <c r="M406">
        <f>+(L406-$L$619)/$L$620</f>
        <v>0.54411565736045731</v>
      </c>
      <c r="N406">
        <f>+N404+M406</f>
        <v>28.160059095105716</v>
      </c>
    </row>
    <row r="407" spans="1:14">
      <c r="A407" s="16">
        <v>16</v>
      </c>
      <c r="B407" s="76">
        <v>42461</v>
      </c>
      <c r="C407" s="103"/>
      <c r="D407" s="11"/>
      <c r="E407" s="16">
        <v>4</v>
      </c>
      <c r="F407" s="81">
        <v>2.37</v>
      </c>
      <c r="G407" s="81">
        <v>0.72799999999999998</v>
      </c>
    </row>
    <row r="408" spans="1:14">
      <c r="A408" s="16">
        <v>2</v>
      </c>
      <c r="B408" s="76">
        <v>42461</v>
      </c>
      <c r="C408" s="103"/>
      <c r="D408" s="11"/>
      <c r="E408" s="16">
        <v>4</v>
      </c>
      <c r="F408" s="81">
        <v>2.391</v>
      </c>
      <c r="G408" s="81">
        <v>0.67900000000000005</v>
      </c>
      <c r="I408" s="29">
        <f>AVERAGE(F407:F408)</f>
        <v>2.3805000000000001</v>
      </c>
      <c r="J408" s="29">
        <f>AVERAGE(G407:G408)</f>
        <v>0.70350000000000001</v>
      </c>
      <c r="L408">
        <f>+J408/I408</f>
        <v>0.29552614996849402</v>
      </c>
      <c r="M408">
        <f>+(L408-$L$619)/$L$620</f>
        <v>0.19003443608171774</v>
      </c>
      <c r="N408">
        <f>+N406+M408</f>
        <v>28.350093531187433</v>
      </c>
    </row>
    <row r="409" spans="1:14">
      <c r="A409" s="16">
        <v>16</v>
      </c>
      <c r="B409" s="76">
        <v>42491</v>
      </c>
      <c r="C409" s="103"/>
      <c r="D409" s="11"/>
      <c r="E409" s="16">
        <v>5</v>
      </c>
      <c r="F409" s="81">
        <v>7.3920000000000003</v>
      </c>
      <c r="G409" s="81">
        <v>3.44</v>
      </c>
    </row>
    <row r="410" spans="1:14">
      <c r="A410" s="16">
        <v>2</v>
      </c>
      <c r="B410" s="76">
        <v>42491</v>
      </c>
      <c r="C410" s="103"/>
      <c r="D410" s="11"/>
      <c r="E410" s="16">
        <v>5</v>
      </c>
      <c r="F410" s="81">
        <v>8.5350000000000001</v>
      </c>
      <c r="G410" s="81">
        <v>4.0439999999999996</v>
      </c>
      <c r="I410" s="29">
        <f>AVERAGE(F409:F410)</f>
        <v>7.9634999999999998</v>
      </c>
      <c r="J410" s="29">
        <f>AVERAGE(G409:G410)</f>
        <v>3.742</v>
      </c>
      <c r="L410">
        <f>+J410/I410</f>
        <v>0.46989389087712691</v>
      </c>
      <c r="M410">
        <f>+(L410-$L$619)/$L$620</f>
        <v>1.7510109515384735</v>
      </c>
      <c r="N410">
        <f>+N408+M410</f>
        <v>30.101104482725905</v>
      </c>
    </row>
    <row r="411" spans="1:14">
      <c r="A411" s="16">
        <v>16</v>
      </c>
      <c r="B411" s="76">
        <v>42522</v>
      </c>
      <c r="C411" s="103"/>
      <c r="D411" s="11"/>
      <c r="E411" s="16">
        <v>6</v>
      </c>
      <c r="F411" s="81">
        <v>15.529</v>
      </c>
      <c r="G411" s="81">
        <v>4.9930000000000003</v>
      </c>
    </row>
    <row r="412" spans="1:14">
      <c r="A412" s="16">
        <v>2</v>
      </c>
      <c r="B412" s="76">
        <v>42522</v>
      </c>
      <c r="C412" s="103"/>
      <c r="D412" s="11"/>
      <c r="E412" s="16">
        <v>6</v>
      </c>
      <c r="F412" s="81">
        <v>14.457000000000001</v>
      </c>
      <c r="G412" s="81">
        <v>5.0049999999999999</v>
      </c>
      <c r="I412" s="29">
        <f>AVERAGE(F411:F412)</f>
        <v>14.993</v>
      </c>
      <c r="J412" s="29">
        <f>AVERAGE(G411:G412)</f>
        <v>4.9990000000000006</v>
      </c>
      <c r="L412">
        <f>+J412/I412</f>
        <v>0.33342226372307082</v>
      </c>
      <c r="M412">
        <f>+(L412-$L$619)/$L$620</f>
        <v>0.52928837886789393</v>
      </c>
      <c r="N412">
        <f>+N410+M412</f>
        <v>30.630392861593798</v>
      </c>
    </row>
    <row r="413" spans="1:14">
      <c r="A413" s="16">
        <v>16</v>
      </c>
      <c r="B413" s="76">
        <v>42552</v>
      </c>
      <c r="C413" s="103"/>
      <c r="D413" s="11"/>
      <c r="E413" s="16">
        <v>7</v>
      </c>
      <c r="F413" s="81">
        <v>13.766999999999999</v>
      </c>
      <c r="G413" s="81">
        <v>2.698</v>
      </c>
    </row>
    <row r="414" spans="1:14">
      <c r="A414" s="16">
        <v>2</v>
      </c>
      <c r="B414" s="76">
        <v>42552</v>
      </c>
      <c r="C414" s="103"/>
      <c r="D414" s="11"/>
      <c r="E414" s="16">
        <v>7</v>
      </c>
      <c r="F414" s="81">
        <v>10.378</v>
      </c>
      <c r="G414" s="81">
        <v>2.0649999999999999</v>
      </c>
      <c r="I414" s="29">
        <f>AVERAGE(F413:F414)</f>
        <v>12.0725</v>
      </c>
      <c r="J414" s="29">
        <f>AVERAGE(G413:G414)</f>
        <v>2.3815</v>
      </c>
      <c r="L414">
        <f>+J414/I414</f>
        <v>0.19726651480637813</v>
      </c>
      <c r="M414">
        <f>+(L414-$L$619)/$L$620</f>
        <v>-0.68960638570183685</v>
      </c>
      <c r="N414">
        <f>+N412+M414</f>
        <v>29.940786475891962</v>
      </c>
    </row>
    <row r="415" spans="1:14">
      <c r="A415" s="16">
        <v>16</v>
      </c>
      <c r="B415" s="76">
        <v>42583</v>
      </c>
      <c r="C415" s="103"/>
      <c r="D415" s="11"/>
      <c r="E415" s="16">
        <v>8</v>
      </c>
      <c r="F415" s="81">
        <v>9.4060000000000006</v>
      </c>
      <c r="G415" s="81">
        <v>2.3130000000000002</v>
      </c>
    </row>
    <row r="416" spans="1:14">
      <c r="A416" s="16">
        <v>2</v>
      </c>
      <c r="B416" s="76">
        <v>42583</v>
      </c>
      <c r="C416" s="103"/>
      <c r="D416" s="11"/>
      <c r="E416" s="16">
        <v>8</v>
      </c>
      <c r="F416" s="81">
        <v>11.231999999999999</v>
      </c>
      <c r="G416" s="81">
        <v>2.2559999999999998</v>
      </c>
      <c r="I416" s="29">
        <f>AVERAGE(F415:F416)</f>
        <v>10.318999999999999</v>
      </c>
      <c r="J416" s="29">
        <f>AVERAGE(G415:G416)</f>
        <v>2.2845</v>
      </c>
      <c r="L416">
        <f>+J416/I416</f>
        <v>0.22138773136931875</v>
      </c>
      <c r="M416">
        <f>+(L416-$L$619)/$L$620</f>
        <v>-0.47366820595145254</v>
      </c>
      <c r="N416">
        <f>+N414+M416</f>
        <v>29.46711826994051</v>
      </c>
    </row>
    <row r="417" spans="1:14">
      <c r="A417" s="16">
        <v>16</v>
      </c>
      <c r="B417" s="76">
        <v>42614</v>
      </c>
      <c r="C417" s="103"/>
      <c r="D417" s="11"/>
      <c r="E417" s="16">
        <v>9</v>
      </c>
      <c r="F417" s="81">
        <v>8.6259999999999994</v>
      </c>
      <c r="G417" s="81">
        <v>2.992</v>
      </c>
    </row>
    <row r="418" spans="1:14">
      <c r="A418" s="16">
        <v>2</v>
      </c>
      <c r="B418" s="76">
        <v>42614</v>
      </c>
      <c r="C418" s="103"/>
      <c r="D418" s="11"/>
      <c r="E418" s="16">
        <v>9</v>
      </c>
      <c r="F418" s="81">
        <v>11.244999999999999</v>
      </c>
      <c r="G418" s="81">
        <v>3.823</v>
      </c>
      <c r="I418" s="29">
        <f>AVERAGE(F417:F418)</f>
        <v>9.9354999999999993</v>
      </c>
      <c r="J418" s="29">
        <f>AVERAGE(G417:G418)</f>
        <v>3.4074999999999998</v>
      </c>
      <c r="L418">
        <f>+J418/I418</f>
        <v>0.34296210558099743</v>
      </c>
      <c r="M418">
        <f>+(L418-$L$619)/$L$620</f>
        <v>0.61469104006998965</v>
      </c>
      <c r="N418">
        <f>+N416+M418</f>
        <v>30.081809310010499</v>
      </c>
    </row>
    <row r="419" spans="1:14">
      <c r="A419" s="16">
        <v>16</v>
      </c>
      <c r="B419" s="76">
        <v>42644</v>
      </c>
      <c r="C419" s="103"/>
      <c r="D419" s="11"/>
      <c r="E419" s="16">
        <v>10</v>
      </c>
      <c r="F419" s="81">
        <v>1.5129999999999999</v>
      </c>
      <c r="G419" s="81">
        <v>0.23699999999999999</v>
      </c>
    </row>
    <row r="420" spans="1:14">
      <c r="A420" s="16">
        <v>2</v>
      </c>
      <c r="B420" s="76">
        <v>42644</v>
      </c>
      <c r="C420" s="103"/>
      <c r="D420" s="11"/>
      <c r="E420" s="16">
        <v>10</v>
      </c>
      <c r="F420" s="81">
        <v>2.8109999999999999</v>
      </c>
      <c r="G420" s="81">
        <v>0.51200000000000001</v>
      </c>
      <c r="I420" s="29">
        <f>AVERAGE(F419:F420)</f>
        <v>2.1619999999999999</v>
      </c>
      <c r="J420" s="29">
        <f>AVERAGE(G419:G420)</f>
        <v>0.3745</v>
      </c>
      <c r="L420">
        <f>+J420/I420</f>
        <v>0.17321924144310824</v>
      </c>
      <c r="M420">
        <f>+(L420-$L$619)/$L$620</f>
        <v>-0.90488261045089913</v>
      </c>
      <c r="N420">
        <f>+N418+M420</f>
        <v>29.176926699559601</v>
      </c>
    </row>
    <row r="421" spans="1:14">
      <c r="A421" s="16">
        <v>16</v>
      </c>
      <c r="B421" s="76">
        <v>42675</v>
      </c>
      <c r="C421" s="103"/>
      <c r="D421" s="11"/>
      <c r="E421" s="16">
        <v>11</v>
      </c>
      <c r="F421" s="81">
        <v>0.70799999999999996</v>
      </c>
      <c r="G421" s="81">
        <v>0.17599999999999999</v>
      </c>
    </row>
    <row r="422" spans="1:14">
      <c r="A422" s="16">
        <v>2</v>
      </c>
      <c r="B422" s="76">
        <v>42675</v>
      </c>
      <c r="C422" s="103"/>
      <c r="D422" s="11"/>
      <c r="E422" s="16">
        <v>11</v>
      </c>
      <c r="F422" s="81">
        <v>0.95299999999999996</v>
      </c>
      <c r="G422" s="81">
        <v>0.29399999999999998</v>
      </c>
      <c r="I422" s="29">
        <f>AVERAGE(F421:F422)</f>
        <v>0.83050000000000002</v>
      </c>
      <c r="J422" s="29">
        <f>AVERAGE(G421:G422)</f>
        <v>0.23499999999999999</v>
      </c>
      <c r="L422">
        <f>+J422/I422</f>
        <v>0.2829620710415412</v>
      </c>
      <c r="M422">
        <f>+(L422-$L$619)/$L$620</f>
        <v>7.7558171601150153E-2</v>
      </c>
      <c r="N422">
        <f>+N420+M422</f>
        <v>29.254484871160752</v>
      </c>
    </row>
    <row r="423" spans="1:14">
      <c r="A423" s="16">
        <v>16</v>
      </c>
      <c r="B423" s="77">
        <v>42705</v>
      </c>
      <c r="C423" s="103"/>
      <c r="D423" s="11"/>
      <c r="E423" s="16">
        <v>12</v>
      </c>
      <c r="F423" s="81">
        <v>2.5630000000000002</v>
      </c>
      <c r="G423" s="81">
        <v>0.7</v>
      </c>
    </row>
    <row r="424" spans="1:14">
      <c r="A424" s="16">
        <v>2</v>
      </c>
      <c r="B424" s="76">
        <v>42705</v>
      </c>
      <c r="C424" s="103"/>
      <c r="D424" s="11"/>
      <c r="E424" s="16">
        <v>12</v>
      </c>
      <c r="F424" s="81">
        <v>2.0110000000000001</v>
      </c>
      <c r="G424" s="81">
        <v>0.30499999999999999</v>
      </c>
      <c r="I424" s="29">
        <f>AVERAGE(F423:F424)</f>
        <v>2.2869999999999999</v>
      </c>
      <c r="J424" s="29">
        <f>AVERAGE(G423:G424)</f>
        <v>0.50249999999999995</v>
      </c>
      <c r="L424">
        <f>+J424/I424</f>
        <v>0.21972015741145604</v>
      </c>
      <c r="M424">
        <f>+(L424-$L$619)/$L$620</f>
        <v>-0.48859667708061016</v>
      </c>
      <c r="N424">
        <f>+N422+M424</f>
        <v>28.765888194080141</v>
      </c>
    </row>
    <row r="425" spans="1:14">
      <c r="A425" s="16">
        <v>16</v>
      </c>
      <c r="B425" s="71">
        <v>42745</v>
      </c>
      <c r="C425" s="103"/>
      <c r="D425" s="11"/>
      <c r="E425" s="16">
        <v>1</v>
      </c>
    </row>
    <row r="426" spans="1:14">
      <c r="A426" s="16">
        <v>2</v>
      </c>
      <c r="B426" s="71">
        <v>42740</v>
      </c>
      <c r="C426" s="103"/>
      <c r="D426" s="11"/>
      <c r="E426" s="16">
        <v>1</v>
      </c>
    </row>
    <row r="427" spans="1:14">
      <c r="A427" s="16">
        <v>16</v>
      </c>
      <c r="B427" s="76">
        <v>42767</v>
      </c>
      <c r="C427" s="103"/>
      <c r="D427" s="11"/>
      <c r="E427" s="16">
        <v>2</v>
      </c>
    </row>
    <row r="428" spans="1:14">
      <c r="A428" s="16">
        <v>2</v>
      </c>
      <c r="B428" s="76">
        <v>42767</v>
      </c>
      <c r="C428" s="103"/>
      <c r="D428" s="11"/>
      <c r="E428" s="16">
        <v>2</v>
      </c>
    </row>
    <row r="429" spans="1:14">
      <c r="A429" s="16">
        <v>16</v>
      </c>
      <c r="B429" s="76">
        <v>42795</v>
      </c>
      <c r="C429" s="103"/>
      <c r="D429" s="11"/>
      <c r="E429" s="16">
        <v>3</v>
      </c>
      <c r="F429" s="81">
        <v>4.5289999999999999</v>
      </c>
      <c r="G429" s="81">
        <v>2.0099999999999998</v>
      </c>
    </row>
    <row r="430" spans="1:14">
      <c r="A430" s="16">
        <v>2</v>
      </c>
      <c r="B430" s="76">
        <v>42795</v>
      </c>
      <c r="C430" s="103"/>
      <c r="D430" s="11"/>
      <c r="E430" s="16">
        <v>3</v>
      </c>
      <c r="F430" s="81">
        <v>1.522</v>
      </c>
      <c r="G430" s="81">
        <v>0.60399999999999998</v>
      </c>
      <c r="I430" s="29">
        <f>AVERAGE(F429:F430)</f>
        <v>3.0255000000000001</v>
      </c>
      <c r="J430" s="29">
        <f>AVERAGE(G429:G430)</f>
        <v>1.3069999999999999</v>
      </c>
      <c r="L430">
        <f>+J430/I430</f>
        <v>0.43199471161791436</v>
      </c>
      <c r="M430">
        <f>+(L430-$L$619)/$L$620</f>
        <v>1.4117295657131235</v>
      </c>
      <c r="N430">
        <f>+N424+M430</f>
        <v>30.177617759793264</v>
      </c>
    </row>
    <row r="431" spans="1:14">
      <c r="A431" s="16">
        <v>2</v>
      </c>
      <c r="B431" s="76">
        <v>42826</v>
      </c>
      <c r="E431" s="16">
        <v>4</v>
      </c>
    </row>
    <row r="432" spans="1:14">
      <c r="A432" s="16">
        <v>16</v>
      </c>
      <c r="B432" s="76">
        <v>42826</v>
      </c>
      <c r="E432" s="16">
        <v>4</v>
      </c>
      <c r="I432" s="29"/>
      <c r="J432" s="29"/>
    </row>
    <row r="433" spans="1:14">
      <c r="A433" s="16">
        <v>2</v>
      </c>
      <c r="B433" s="76">
        <v>42856</v>
      </c>
      <c r="E433" s="16">
        <v>5</v>
      </c>
      <c r="F433" s="81">
        <v>6.6849999999999996</v>
      </c>
      <c r="G433" s="81">
        <v>2.4940000000000002</v>
      </c>
    </row>
    <row r="434" spans="1:14">
      <c r="A434" s="16">
        <v>16</v>
      </c>
      <c r="B434" s="76">
        <v>42856</v>
      </c>
      <c r="E434" s="16">
        <v>5</v>
      </c>
      <c r="F434" s="81">
        <v>13.680999999999999</v>
      </c>
      <c r="G434" s="81">
        <v>6.8109999999999999</v>
      </c>
      <c r="I434" s="29">
        <f>AVERAGE(F433:F434)</f>
        <v>10.183</v>
      </c>
      <c r="J434" s="29">
        <f>AVERAGE(G433:G434)</f>
        <v>4.6524999999999999</v>
      </c>
      <c r="L434">
        <f>+J434/I434</f>
        <v>0.45688893253461649</v>
      </c>
      <c r="M434">
        <f>+(L434-$L$619)/$L$620</f>
        <v>1.6345878422444819</v>
      </c>
      <c r="N434">
        <f>+N430+M434</f>
        <v>31.812205602037746</v>
      </c>
    </row>
    <row r="435" spans="1:14">
      <c r="A435" s="16">
        <v>2</v>
      </c>
      <c r="B435" s="76">
        <v>42887</v>
      </c>
      <c r="E435" s="16">
        <v>6</v>
      </c>
      <c r="F435" s="81">
        <v>8.0250000000000004</v>
      </c>
      <c r="G435" s="81">
        <v>1.2450000000000001</v>
      </c>
    </row>
    <row r="436" spans="1:14">
      <c r="A436" s="16">
        <v>16</v>
      </c>
      <c r="B436" s="76">
        <v>42887</v>
      </c>
      <c r="E436" s="16">
        <v>6</v>
      </c>
      <c r="F436" s="81">
        <v>7.33</v>
      </c>
      <c r="G436" s="81">
        <v>0.84199999999999997</v>
      </c>
      <c r="I436" s="29">
        <f>AVERAGE(F435:F436)</f>
        <v>7.6775000000000002</v>
      </c>
      <c r="J436" s="29">
        <f>AVERAGE(G435:G436)</f>
        <v>1.0435000000000001</v>
      </c>
      <c r="L436">
        <f>+J436/I436</f>
        <v>0.13591663953109737</v>
      </c>
      <c r="M436">
        <f>+(L436-$L$619)/$L$620</f>
        <v>-1.2388233109878892</v>
      </c>
      <c r="N436">
        <f>+N434+M436</f>
        <v>30.573382291049857</v>
      </c>
    </row>
    <row r="437" spans="1:14">
      <c r="A437" s="16">
        <v>2</v>
      </c>
      <c r="B437" s="76">
        <v>42917</v>
      </c>
      <c r="E437" s="16">
        <v>7</v>
      </c>
      <c r="F437" s="81">
        <v>13.879</v>
      </c>
      <c r="G437" s="81">
        <v>1.6990000000000001</v>
      </c>
    </row>
    <row r="438" spans="1:14">
      <c r="A438" s="16">
        <v>16</v>
      </c>
      <c r="B438" s="76">
        <v>42917</v>
      </c>
      <c r="E438" s="16">
        <v>7</v>
      </c>
      <c r="F438" s="81">
        <v>9.4339999999999993</v>
      </c>
      <c r="G438" s="81">
        <v>0.72699999999999998</v>
      </c>
      <c r="I438" s="29">
        <f>AVERAGE(F437:F438)</f>
        <v>11.656499999999999</v>
      </c>
      <c r="J438" s="29">
        <f>AVERAGE(G437:G438)</f>
        <v>1.2130000000000001</v>
      </c>
      <c r="L438">
        <f>+J438/I438</f>
        <v>0.10406211126839104</v>
      </c>
      <c r="M438">
        <f>+(L438-$L$619)/$L$620</f>
        <v>-1.5239917158196812</v>
      </c>
      <c r="N438">
        <f>+N436+M438</f>
        <v>29.049390575230177</v>
      </c>
    </row>
    <row r="439" spans="1:14">
      <c r="A439" s="16">
        <v>2</v>
      </c>
      <c r="B439" s="76">
        <v>42948</v>
      </c>
      <c r="E439" s="16">
        <v>8</v>
      </c>
    </row>
    <row r="440" spans="1:14">
      <c r="A440" s="16">
        <v>16</v>
      </c>
      <c r="B440" s="76">
        <v>42948</v>
      </c>
      <c r="E440" s="16">
        <v>8</v>
      </c>
      <c r="I440" s="29"/>
      <c r="J440" s="29"/>
    </row>
    <row r="441" spans="1:14">
      <c r="A441" s="16">
        <v>2</v>
      </c>
      <c r="B441" s="76">
        <v>42979</v>
      </c>
      <c r="E441" s="16">
        <v>9</v>
      </c>
      <c r="F441" s="81">
        <v>1.897</v>
      </c>
      <c r="G441" s="81">
        <v>0.41899999999999998</v>
      </c>
    </row>
    <row r="442" spans="1:14">
      <c r="A442" s="16">
        <v>16</v>
      </c>
      <c r="B442" s="76">
        <v>42979</v>
      </c>
      <c r="E442" s="16">
        <v>9</v>
      </c>
      <c r="F442" s="81">
        <v>2.0609999999999999</v>
      </c>
      <c r="G442" s="81">
        <v>0.44800000000000001</v>
      </c>
      <c r="I442" s="29">
        <f>AVERAGE(F441:F442)</f>
        <v>1.9790000000000001</v>
      </c>
      <c r="J442" s="29">
        <f>AVERAGE(G441:G442)</f>
        <v>0.4335</v>
      </c>
      <c r="L442">
        <f>+J442/I442</f>
        <v>0.2190500252652855</v>
      </c>
      <c r="M442">
        <f>+(L442-$L$619)/$L$620</f>
        <v>-0.49459584032590892</v>
      </c>
      <c r="N442">
        <f>+N438+M442</f>
        <v>28.554794734904267</v>
      </c>
    </row>
    <row r="443" spans="1:14">
      <c r="A443" s="16">
        <v>2</v>
      </c>
      <c r="B443" s="76">
        <v>43009</v>
      </c>
      <c r="E443" s="16">
        <v>10</v>
      </c>
      <c r="F443" s="81">
        <v>1.0269999999999999</v>
      </c>
      <c r="G443" s="81">
        <v>0.23799999999999999</v>
      </c>
    </row>
    <row r="444" spans="1:14">
      <c r="A444" s="16">
        <v>16</v>
      </c>
      <c r="B444" s="76">
        <v>43009</v>
      </c>
      <c r="E444" s="16">
        <v>10</v>
      </c>
      <c r="F444" s="81">
        <v>0.29899999999999999</v>
      </c>
      <c r="G444" s="81">
        <v>0.06</v>
      </c>
      <c r="I444" s="29">
        <f>AVERAGE(F443:F444)</f>
        <v>0.66299999999999992</v>
      </c>
      <c r="J444" s="29">
        <f>AVERAGE(G443:G444)</f>
        <v>0.14899999999999999</v>
      </c>
      <c r="L444">
        <f>+J444/I444</f>
        <v>0.22473604826546004</v>
      </c>
      <c r="M444">
        <f>+(L444-$L$619)/$L$620</f>
        <v>-0.44369337222390931</v>
      </c>
      <c r="N444">
        <f>+N442+M444</f>
        <v>28.111101362680358</v>
      </c>
    </row>
    <row r="445" spans="1:14">
      <c r="A445" s="16">
        <v>2</v>
      </c>
      <c r="B445" s="76">
        <v>43040</v>
      </c>
      <c r="E445" s="16">
        <v>11</v>
      </c>
    </row>
    <row r="446" spans="1:14">
      <c r="A446" s="16">
        <v>16</v>
      </c>
      <c r="B446" s="76">
        <v>43040</v>
      </c>
      <c r="E446" s="16">
        <v>11</v>
      </c>
      <c r="I446" s="29"/>
      <c r="J446" s="29"/>
    </row>
    <row r="447" spans="1:14">
      <c r="A447" s="16">
        <v>2</v>
      </c>
      <c r="B447" s="77">
        <v>43070</v>
      </c>
      <c r="E447" s="16">
        <v>12</v>
      </c>
      <c r="F447" s="81">
        <v>2.335</v>
      </c>
      <c r="G447" s="81">
        <v>0.41</v>
      </c>
    </row>
    <row r="448" spans="1:14">
      <c r="A448" s="16">
        <v>16</v>
      </c>
      <c r="B448" s="76">
        <v>43070</v>
      </c>
      <c r="E448" s="16">
        <v>12</v>
      </c>
      <c r="F448" s="81">
        <v>2.4239999999999999</v>
      </c>
      <c r="G448" s="81">
        <v>0.32800000000000001</v>
      </c>
      <c r="I448" s="29">
        <f>AVERAGE(F447:F448)</f>
        <v>2.3795000000000002</v>
      </c>
      <c r="J448" s="29">
        <f>AVERAGE(G447:G448)</f>
        <v>0.36899999999999999</v>
      </c>
      <c r="L448">
        <f>+J448/I448</f>
        <v>0.15507459550325697</v>
      </c>
      <c r="M448">
        <f>+(L448-$L$619)/$L$620</f>
        <v>-1.0673172789612102</v>
      </c>
      <c r="N448">
        <f>+N444+M448</f>
        <v>27.043784083719149</v>
      </c>
    </row>
    <row r="449" spans="1:14">
      <c r="A449" s="16">
        <v>2</v>
      </c>
      <c r="B449" s="71">
        <v>43110</v>
      </c>
      <c r="E449" s="16">
        <v>1</v>
      </c>
      <c r="F449" s="78">
        <v>2.2909999999999999</v>
      </c>
      <c r="G449" s="78">
        <v>0.52600000000000002</v>
      </c>
    </row>
    <row r="450" spans="1:14">
      <c r="A450" s="16">
        <v>16</v>
      </c>
      <c r="B450" s="71">
        <v>43105</v>
      </c>
      <c r="E450" s="16">
        <v>1</v>
      </c>
      <c r="F450" s="78">
        <v>2.8929999999999998</v>
      </c>
      <c r="G450" s="78">
        <v>0.64200000000000002</v>
      </c>
      <c r="I450">
        <v>2.5919999999999996</v>
      </c>
      <c r="J450">
        <v>0.58400000000000007</v>
      </c>
      <c r="L450">
        <v>0.2253086419753087</v>
      </c>
      <c r="M450">
        <f>+(L450-$L$619)/$L$620</f>
        <v>-0.43856739347741414</v>
      </c>
      <c r="N450">
        <f>+N448+M450</f>
        <v>26.605216690241736</v>
      </c>
    </row>
    <row r="451" spans="1:14">
      <c r="A451" s="16">
        <v>2</v>
      </c>
      <c r="B451" s="76">
        <v>43132</v>
      </c>
      <c r="E451" s="16">
        <v>2</v>
      </c>
      <c r="F451" s="78">
        <v>2.5449999999999999</v>
      </c>
      <c r="G451" s="78">
        <v>0.61599999999999999</v>
      </c>
    </row>
    <row r="452" spans="1:14">
      <c r="A452" s="16">
        <v>16</v>
      </c>
      <c r="B452" s="76">
        <v>43132</v>
      </c>
      <c r="E452" s="16">
        <v>2</v>
      </c>
      <c r="F452" s="78">
        <v>1.992</v>
      </c>
      <c r="G452" s="78">
        <v>0.46899999999999997</v>
      </c>
      <c r="I452">
        <v>2.2685</v>
      </c>
      <c r="J452">
        <v>0.54249999999999998</v>
      </c>
      <c r="L452">
        <v>0.2391448093453824</v>
      </c>
      <c r="M452">
        <f>+(L452-$L$619)/$L$620</f>
        <v>-0.31470312697911024</v>
      </c>
      <c r="N452">
        <f>+N450+M452</f>
        <v>26.290513563262625</v>
      </c>
    </row>
    <row r="453" spans="1:14">
      <c r="A453" s="16">
        <v>2</v>
      </c>
      <c r="B453" s="76">
        <v>43160</v>
      </c>
      <c r="E453" s="16">
        <v>3</v>
      </c>
      <c r="F453" s="78">
        <v>6.8920000000000003</v>
      </c>
      <c r="G453" s="78">
        <v>2.4140000000000001</v>
      </c>
    </row>
    <row r="454" spans="1:14">
      <c r="A454" s="16">
        <v>16</v>
      </c>
      <c r="B454" s="76">
        <v>43160</v>
      </c>
      <c r="E454" s="16">
        <v>3</v>
      </c>
      <c r="F454" s="78">
        <v>4.516</v>
      </c>
      <c r="G454" s="78">
        <v>1.671</v>
      </c>
      <c r="I454">
        <v>5.7040000000000006</v>
      </c>
      <c r="J454">
        <v>2.0425</v>
      </c>
      <c r="L454">
        <v>0.35808204768583446</v>
      </c>
      <c r="M454">
        <f>+(L454-$L$619)/$L$620</f>
        <v>0.75004792671500009</v>
      </c>
      <c r="N454">
        <f>+N452+M454</f>
        <v>27.040561489977623</v>
      </c>
    </row>
    <row r="455" spans="1:14">
      <c r="A455" s="16">
        <v>2</v>
      </c>
      <c r="B455" s="76">
        <v>43191</v>
      </c>
      <c r="E455" s="16">
        <v>4</v>
      </c>
      <c r="F455" s="78">
        <v>4.34</v>
      </c>
      <c r="G455" s="78">
        <v>1.2450000000000001</v>
      </c>
    </row>
    <row r="456" spans="1:14">
      <c r="A456" s="16">
        <v>16</v>
      </c>
      <c r="B456" s="76">
        <v>43191</v>
      </c>
      <c r="E456" s="16">
        <v>4</v>
      </c>
      <c r="F456" s="79">
        <v>4.7510000000000003</v>
      </c>
      <c r="G456" s="79">
        <v>1.732</v>
      </c>
      <c r="I456">
        <v>4.5455000000000005</v>
      </c>
      <c r="J456">
        <v>1.4885000000000002</v>
      </c>
      <c r="L456">
        <v>0.32746672533274668</v>
      </c>
      <c r="M456">
        <f>+(L456-$L$619)/$L$620</f>
        <v>0.47597315257802425</v>
      </c>
      <c r="N456">
        <f>+N454+M456</f>
        <v>27.516534642555648</v>
      </c>
    </row>
    <row r="457" spans="1:14">
      <c r="A457" s="16">
        <v>2</v>
      </c>
      <c r="B457" s="76">
        <v>43221</v>
      </c>
      <c r="E457" s="16">
        <v>5</v>
      </c>
      <c r="F457" s="79">
        <v>14.69</v>
      </c>
      <c r="G457" s="79">
        <v>3.5169999999999999</v>
      </c>
    </row>
    <row r="458" spans="1:14">
      <c r="A458" s="16">
        <v>16</v>
      </c>
      <c r="B458" s="76">
        <v>43221</v>
      </c>
      <c r="E458" s="16">
        <v>5</v>
      </c>
      <c r="F458" s="79">
        <v>19.47</v>
      </c>
      <c r="G458" s="79">
        <v>6.0019999999999998</v>
      </c>
      <c r="I458">
        <v>17.079999999999998</v>
      </c>
      <c r="J458">
        <v>4.7595000000000001</v>
      </c>
      <c r="L458">
        <v>0.27865925058548013</v>
      </c>
      <c r="M458">
        <f>+(L458-$L$619)/$L$620</f>
        <v>3.9038422207495482E-2</v>
      </c>
      <c r="N458">
        <f>+N456+M458</f>
        <v>27.555573064763145</v>
      </c>
    </row>
    <row r="459" spans="1:14">
      <c r="A459" s="16">
        <v>2</v>
      </c>
      <c r="B459" s="76">
        <v>43252</v>
      </c>
      <c r="E459" s="16">
        <v>6</v>
      </c>
      <c r="F459" s="79">
        <v>8.5050000000000008</v>
      </c>
      <c r="G459" s="79">
        <v>0.995</v>
      </c>
    </row>
    <row r="460" spans="1:14">
      <c r="A460" s="16">
        <v>16</v>
      </c>
      <c r="B460" s="76">
        <v>43252</v>
      </c>
      <c r="E460" s="16">
        <v>6</v>
      </c>
      <c r="F460" s="79">
        <v>7.37</v>
      </c>
      <c r="G460" s="79">
        <v>0.90200000000000002</v>
      </c>
      <c r="I460">
        <v>7.9375</v>
      </c>
      <c r="J460">
        <v>0.94850000000000001</v>
      </c>
      <c r="L460">
        <v>0.11949606299212598</v>
      </c>
      <c r="M460">
        <f>+(L460-$L$619)/$L$620</f>
        <v>-1.3858237493374661</v>
      </c>
      <c r="N460">
        <f>+N458+M460</f>
        <v>26.16974931542568</v>
      </c>
    </row>
    <row r="461" spans="1:14">
      <c r="A461" s="96">
        <v>2</v>
      </c>
      <c r="B461" s="97">
        <v>43282</v>
      </c>
      <c r="C461" s="98" t="s">
        <v>92</v>
      </c>
      <c r="D461" s="98"/>
      <c r="E461" s="16">
        <v>7</v>
      </c>
      <c r="F461" s="79">
        <v>25.248000000000001</v>
      </c>
      <c r="G461" s="79">
        <v>1.964</v>
      </c>
    </row>
    <row r="462" spans="1:14">
      <c r="A462" s="96">
        <v>2</v>
      </c>
      <c r="B462" s="97">
        <v>43282</v>
      </c>
      <c r="C462" s="98" t="s">
        <v>93</v>
      </c>
      <c r="D462" s="98"/>
      <c r="E462" s="16">
        <v>7</v>
      </c>
      <c r="F462" s="79">
        <v>21.135999999999999</v>
      </c>
      <c r="G462" s="79">
        <v>1.385</v>
      </c>
      <c r="I462">
        <v>23.192</v>
      </c>
      <c r="J462">
        <v>1.6745000000000001</v>
      </c>
      <c r="L462">
        <v>7.2201621248706452E-2</v>
      </c>
      <c r="M462">
        <f>+(L462-$L$619)/$L$620</f>
        <v>-1.8092134915478644</v>
      </c>
      <c r="N462">
        <f>+N460+M462</f>
        <v>24.360535823877814</v>
      </c>
    </row>
    <row r="463" spans="1:14">
      <c r="A463" s="16">
        <v>16</v>
      </c>
      <c r="B463" s="76">
        <v>43313</v>
      </c>
      <c r="C463" s="89" t="s">
        <v>96</v>
      </c>
      <c r="E463" s="16">
        <v>8</v>
      </c>
      <c r="F463" s="79">
        <v>7.7830000000000004</v>
      </c>
      <c r="G463" s="79">
        <v>0.627</v>
      </c>
    </row>
    <row r="464" spans="1:14">
      <c r="A464" s="16">
        <v>2</v>
      </c>
      <c r="B464" s="76">
        <v>43313</v>
      </c>
      <c r="C464" s="89" t="s">
        <v>94</v>
      </c>
      <c r="E464" s="16">
        <v>8</v>
      </c>
      <c r="F464" s="79">
        <v>6.617</v>
      </c>
      <c r="G464" s="79">
        <v>0.63500000000000001</v>
      </c>
      <c r="I464">
        <v>7.2</v>
      </c>
      <c r="J464">
        <v>0.63100000000000001</v>
      </c>
      <c r="L464">
        <v>8.7638888888888891E-2</v>
      </c>
      <c r="M464">
        <f>+(L464-$L$619)/$L$620</f>
        <v>-1.6710158402875199</v>
      </c>
      <c r="N464">
        <f>+N462+M464</f>
        <v>22.689519983590294</v>
      </c>
    </row>
    <row r="465" spans="1:14">
      <c r="A465" s="16">
        <v>16</v>
      </c>
      <c r="B465" s="76">
        <v>43344</v>
      </c>
      <c r="C465" s="89" t="s">
        <v>95</v>
      </c>
      <c r="E465" s="16">
        <v>9</v>
      </c>
      <c r="F465" s="79">
        <v>10.451000000000001</v>
      </c>
      <c r="G465" s="79">
        <v>2.8889999999999998</v>
      </c>
    </row>
    <row r="466" spans="1:14">
      <c r="A466" s="16">
        <v>2</v>
      </c>
      <c r="B466" s="76">
        <v>43344</v>
      </c>
      <c r="C466" s="89"/>
      <c r="E466" s="16">
        <v>9</v>
      </c>
      <c r="F466" s="79">
        <v>12.564</v>
      </c>
      <c r="G466" s="79">
        <v>3.59</v>
      </c>
      <c r="I466">
        <v>11.5075</v>
      </c>
      <c r="J466">
        <v>3.2394999999999996</v>
      </c>
      <c r="L466">
        <v>0.28151205735389961</v>
      </c>
      <c r="M466">
        <f>+(L466-$L$619)/$L$620</f>
        <v>6.4577345550961326E-2</v>
      </c>
      <c r="N466">
        <f>+N464+M466</f>
        <v>22.754097329141256</v>
      </c>
    </row>
    <row r="467" spans="1:14">
      <c r="A467" s="16">
        <v>16</v>
      </c>
      <c r="B467" s="76">
        <v>43374</v>
      </c>
      <c r="C467" s="89"/>
      <c r="E467" s="16">
        <v>10</v>
      </c>
      <c r="F467" s="79">
        <v>1.891</v>
      </c>
      <c r="G467" s="79">
        <v>0.2</v>
      </c>
    </row>
    <row r="468" spans="1:14">
      <c r="A468" s="16">
        <v>2</v>
      </c>
      <c r="B468" s="76">
        <v>43374</v>
      </c>
      <c r="C468" s="89"/>
      <c r="E468" s="16">
        <v>10</v>
      </c>
      <c r="F468" s="79">
        <v>2.4500000000000002</v>
      </c>
      <c r="G468" s="79">
        <v>0.25600000000000001</v>
      </c>
      <c r="I468">
        <v>2.1705000000000001</v>
      </c>
      <c r="J468">
        <v>0.22800000000000001</v>
      </c>
      <c r="L468">
        <v>0.1050449205252246</v>
      </c>
      <c r="M468">
        <f>+(L468-$L$619)/$L$620</f>
        <v>-1.5151934016298187</v>
      </c>
      <c r="N468">
        <f>+N466+M468</f>
        <v>21.238903927511437</v>
      </c>
    </row>
    <row r="469" spans="1:14">
      <c r="A469" s="16">
        <v>16</v>
      </c>
      <c r="B469" s="76">
        <v>43405</v>
      </c>
      <c r="C469" s="89"/>
      <c r="E469" s="16">
        <v>11</v>
      </c>
      <c r="F469" s="79">
        <v>3.0779999999999998</v>
      </c>
      <c r="G469" s="79">
        <v>0.77700000000000002</v>
      </c>
    </row>
    <row r="470" spans="1:14">
      <c r="A470" s="16">
        <v>2</v>
      </c>
      <c r="B470" s="76">
        <v>43405</v>
      </c>
      <c r="C470" s="89"/>
      <c r="E470" s="16">
        <v>11</v>
      </c>
      <c r="F470" s="79">
        <v>2.302</v>
      </c>
      <c r="G470" s="79">
        <v>0.54900000000000004</v>
      </c>
      <c r="I470">
        <v>2.69</v>
      </c>
      <c r="J470">
        <v>0.66300000000000003</v>
      </c>
      <c r="L470">
        <v>0.24646840148698887</v>
      </c>
      <c r="M470">
        <f>+(L470-$L$619)/$L$620</f>
        <v>-0.24914079714528173</v>
      </c>
      <c r="N470">
        <f>+N468+M470</f>
        <v>20.989763130366157</v>
      </c>
    </row>
    <row r="471" spans="1:14">
      <c r="A471" s="16">
        <v>16</v>
      </c>
      <c r="B471" s="77">
        <v>43435</v>
      </c>
      <c r="C471" s="89"/>
      <c r="E471" s="16">
        <v>12</v>
      </c>
      <c r="F471" s="79"/>
      <c r="G471" s="79"/>
    </row>
    <row r="472" spans="1:14">
      <c r="A472" s="16">
        <v>2</v>
      </c>
      <c r="B472" s="76">
        <v>43435</v>
      </c>
      <c r="C472" s="89"/>
      <c r="E472" s="16">
        <v>12</v>
      </c>
    </row>
    <row r="473" spans="1:14">
      <c r="A473" s="16">
        <v>16</v>
      </c>
      <c r="B473" s="71">
        <v>43475</v>
      </c>
      <c r="C473" s="89"/>
      <c r="E473" s="16">
        <v>1</v>
      </c>
    </row>
    <row r="474" spans="1:14">
      <c r="A474" s="16">
        <v>2</v>
      </c>
      <c r="B474" s="71">
        <v>43470</v>
      </c>
      <c r="C474" s="89"/>
      <c r="E474" s="16">
        <v>1</v>
      </c>
    </row>
    <row r="475" spans="1:14">
      <c r="A475" s="16">
        <v>16</v>
      </c>
      <c r="B475" s="76">
        <v>43497</v>
      </c>
      <c r="C475" s="89"/>
      <c r="E475" s="16">
        <v>2</v>
      </c>
    </row>
    <row r="476" spans="1:14">
      <c r="A476" s="16">
        <v>2</v>
      </c>
      <c r="B476" s="76">
        <v>43497</v>
      </c>
      <c r="C476" s="89"/>
      <c r="E476" s="16">
        <v>2</v>
      </c>
    </row>
    <row r="477" spans="1:14">
      <c r="A477" s="16">
        <v>16</v>
      </c>
      <c r="B477" s="76">
        <v>43525</v>
      </c>
      <c r="C477" s="89"/>
      <c r="E477" s="16">
        <v>3</v>
      </c>
      <c r="F477" s="84">
        <v>1.867</v>
      </c>
      <c r="G477" s="84">
        <v>0.439</v>
      </c>
    </row>
    <row r="478" spans="1:14">
      <c r="A478" s="16">
        <v>2</v>
      </c>
      <c r="B478" s="76">
        <v>43525</v>
      </c>
      <c r="C478" s="89"/>
      <c r="E478" s="16">
        <v>3</v>
      </c>
      <c r="F478" s="84">
        <v>0.65800000000000003</v>
      </c>
      <c r="G478" s="84">
        <v>0.128</v>
      </c>
      <c r="I478" s="29">
        <f>AVERAGE(F477:F478)</f>
        <v>1.2625</v>
      </c>
      <c r="J478" s="29">
        <f>AVERAGE(G477:G478)</f>
        <v>0.28349999999999997</v>
      </c>
      <c r="L478">
        <f>+J478/I478</f>
        <v>0.22455445544554453</v>
      </c>
      <c r="M478">
        <f>+(L478-$L$619)/$L$620</f>
        <v>-0.44531902915899685</v>
      </c>
      <c r="N478">
        <f>+N470+M478</f>
        <v>20.544444101207159</v>
      </c>
    </row>
    <row r="479" spans="1:14">
      <c r="A479" s="16">
        <v>16</v>
      </c>
      <c r="B479" s="76">
        <v>43556</v>
      </c>
      <c r="C479" s="89"/>
      <c r="E479" s="16">
        <v>4</v>
      </c>
      <c r="F479" s="85">
        <v>3.7320000000000002</v>
      </c>
      <c r="G479" s="84">
        <v>1.0489999999999999</v>
      </c>
    </row>
    <row r="480" spans="1:14">
      <c r="A480" s="16">
        <v>2</v>
      </c>
      <c r="B480" s="76">
        <v>43556</v>
      </c>
      <c r="C480" s="89"/>
      <c r="E480" s="16">
        <v>4</v>
      </c>
      <c r="F480" s="85">
        <v>3.133</v>
      </c>
      <c r="G480" s="84">
        <v>0.88300000000000001</v>
      </c>
      <c r="I480" s="29">
        <f>AVERAGE(F479:F480)</f>
        <v>3.4325000000000001</v>
      </c>
      <c r="J480" s="29">
        <f>AVERAGE(G479:G480)</f>
        <v>0.96599999999999997</v>
      </c>
      <c r="L480">
        <f>+J480/I480</f>
        <v>0.28142753095411505</v>
      </c>
      <c r="M480">
        <f>+(L480-$L$619)/$L$620</f>
        <v>6.3820647526933144E-2</v>
      </c>
      <c r="N480">
        <f>+N478+M480</f>
        <v>20.60826474873409</v>
      </c>
    </row>
    <row r="481" spans="1:14">
      <c r="A481" s="16">
        <v>16</v>
      </c>
      <c r="B481" s="76">
        <v>43586</v>
      </c>
      <c r="C481" s="89"/>
      <c r="E481" s="16">
        <v>5</v>
      </c>
      <c r="F481" s="85">
        <v>5.5910000000000002</v>
      </c>
      <c r="G481" s="84">
        <v>1.641</v>
      </c>
    </row>
    <row r="482" spans="1:14">
      <c r="A482" s="16">
        <v>2</v>
      </c>
      <c r="B482" s="76">
        <v>43586</v>
      </c>
      <c r="C482" s="89"/>
      <c r="E482" s="16">
        <v>5</v>
      </c>
      <c r="F482" s="85">
        <v>4.952</v>
      </c>
      <c r="G482" s="84">
        <v>1.7809999999999999</v>
      </c>
      <c r="I482" s="29">
        <f>AVERAGE(F481:F482)</f>
        <v>5.2714999999999996</v>
      </c>
      <c r="J482" s="29">
        <f>AVERAGE(G481:G482)</f>
        <v>1.7109999999999999</v>
      </c>
      <c r="L482">
        <f>+J482/I482</f>
        <v>0.32457554775680547</v>
      </c>
      <c r="M482">
        <f>+(L482-$L$619)/$L$620</f>
        <v>0.45009072573380532</v>
      </c>
      <c r="N482">
        <f>+N480+M482</f>
        <v>21.058355474467895</v>
      </c>
    </row>
    <row r="483" spans="1:14">
      <c r="A483" s="16">
        <v>16</v>
      </c>
      <c r="B483" s="76">
        <v>43617</v>
      </c>
      <c r="C483" s="89"/>
      <c r="E483" s="16">
        <v>6</v>
      </c>
      <c r="F483" s="85">
        <v>5.7869999999999999</v>
      </c>
      <c r="G483" s="84">
        <v>0.628</v>
      </c>
    </row>
    <row r="484" spans="1:14">
      <c r="A484" s="16">
        <v>2</v>
      </c>
      <c r="B484" s="76">
        <v>43617</v>
      </c>
      <c r="C484" s="89"/>
      <c r="E484" s="16">
        <v>6</v>
      </c>
      <c r="F484" s="86">
        <v>4.359</v>
      </c>
      <c r="G484" s="86">
        <v>0.34699999999999998</v>
      </c>
      <c r="I484" s="29">
        <f>AVERAGE(F483:F484)</f>
        <v>5.0730000000000004</v>
      </c>
      <c r="J484" s="29">
        <f>AVERAGE(G483:G484)</f>
        <v>0.48749999999999999</v>
      </c>
      <c r="L484">
        <f>+J484/I484</f>
        <v>9.6096984033116492E-2</v>
      </c>
      <c r="M484">
        <f>+(L484-$L$619)/$L$620</f>
        <v>-1.5952972020988407</v>
      </c>
      <c r="N484">
        <f>+N482+M484</f>
        <v>19.463058272369054</v>
      </c>
    </row>
    <row r="485" spans="1:14">
      <c r="A485" s="16">
        <v>16</v>
      </c>
      <c r="B485" s="76">
        <v>43647</v>
      </c>
      <c r="C485" s="89"/>
      <c r="E485" s="16">
        <v>7</v>
      </c>
      <c r="F485" s="79">
        <v>4.468</v>
      </c>
      <c r="G485" s="79">
        <v>0.64700000000000002</v>
      </c>
    </row>
    <row r="486" spans="1:14">
      <c r="A486" s="16">
        <v>2</v>
      </c>
      <c r="B486" s="76">
        <v>43647</v>
      </c>
      <c r="C486" s="89"/>
      <c r="E486" s="16">
        <v>7</v>
      </c>
      <c r="F486" s="79">
        <v>3.464</v>
      </c>
      <c r="G486" s="79">
        <v>0.53400000000000003</v>
      </c>
      <c r="I486" s="29">
        <f>AVERAGE(F485:F486)</f>
        <v>3.9660000000000002</v>
      </c>
      <c r="J486" s="29">
        <f>AVERAGE(G485:G486)</f>
        <v>0.59050000000000002</v>
      </c>
      <c r="L486">
        <f>+J486/I486</f>
        <v>0.14889056984367122</v>
      </c>
      <c r="M486">
        <f>+(L486-$L$619)/$L$620</f>
        <v>-1.1226779711127102</v>
      </c>
      <c r="N486">
        <f>+N484+M486</f>
        <v>18.340380301256342</v>
      </c>
    </row>
    <row r="487" spans="1:14">
      <c r="A487" s="16">
        <v>16</v>
      </c>
      <c r="B487" s="76">
        <v>43678</v>
      </c>
      <c r="C487" s="89"/>
      <c r="E487" s="16">
        <v>8</v>
      </c>
    </row>
    <row r="488" spans="1:14">
      <c r="A488" s="16">
        <v>2</v>
      </c>
      <c r="B488" s="76">
        <v>43678</v>
      </c>
      <c r="C488" s="89"/>
      <c r="E488" s="16">
        <v>8</v>
      </c>
      <c r="I488" s="29"/>
      <c r="J488" s="29"/>
    </row>
    <row r="489" spans="1:14">
      <c r="A489" s="16">
        <v>16</v>
      </c>
      <c r="B489" s="76">
        <v>43709</v>
      </c>
      <c r="C489" s="89"/>
      <c r="E489" s="16">
        <v>9</v>
      </c>
      <c r="F489" s="79">
        <v>4.1150000000000002</v>
      </c>
      <c r="G489" s="87">
        <v>0.78200000000000003</v>
      </c>
    </row>
    <row r="490" spans="1:14">
      <c r="A490" s="16">
        <v>2</v>
      </c>
      <c r="B490" s="76">
        <v>43709</v>
      </c>
      <c r="C490" s="89"/>
      <c r="E490" s="16">
        <v>9</v>
      </c>
      <c r="F490" s="79">
        <v>3.61</v>
      </c>
      <c r="G490" s="88">
        <v>0.72899999999999998</v>
      </c>
      <c r="I490" s="29">
        <f>AVERAGE(F489:F490)</f>
        <v>3.8624999999999998</v>
      </c>
      <c r="J490" s="29">
        <f>AVERAGE(G489:G490)</f>
        <v>0.75550000000000006</v>
      </c>
      <c r="L490">
        <f>+J490/I490</f>
        <v>0.19559870550161815</v>
      </c>
      <c r="M490">
        <f>+(L490-$L$619)/$L$620</f>
        <v>-0.70453696370568197</v>
      </c>
      <c r="N490">
        <f>+N486+M490</f>
        <v>17.635843337550661</v>
      </c>
    </row>
    <row r="491" spans="1:14">
      <c r="A491" s="16">
        <v>16</v>
      </c>
      <c r="B491" s="76">
        <v>43739</v>
      </c>
      <c r="C491" s="89"/>
      <c r="E491" s="16">
        <v>10</v>
      </c>
      <c r="F491" s="79">
        <v>1.8440000000000001</v>
      </c>
      <c r="G491" s="88">
        <v>0.48</v>
      </c>
    </row>
    <row r="492" spans="1:14">
      <c r="A492" s="16">
        <v>2</v>
      </c>
      <c r="B492" s="76">
        <v>43739</v>
      </c>
      <c r="C492" s="89"/>
      <c r="E492" s="16">
        <v>10</v>
      </c>
      <c r="F492" s="79">
        <v>1.2909999999999999</v>
      </c>
      <c r="G492" s="88">
        <v>0.17499999999999999</v>
      </c>
      <c r="I492" s="29">
        <f>AVERAGE(F491:F492)</f>
        <v>1.5674999999999999</v>
      </c>
      <c r="J492" s="29">
        <f>AVERAGE(G491:G492)</f>
        <v>0.32750000000000001</v>
      </c>
      <c r="L492">
        <f>+J492/I492</f>
        <v>0.20893141945773527</v>
      </c>
      <c r="M492">
        <f>+(L492-$L$619)/$L$620</f>
        <v>-0.5851797175525264</v>
      </c>
      <c r="N492">
        <f>+N490+M492</f>
        <v>17.050663619998133</v>
      </c>
    </row>
    <row r="493" spans="1:14">
      <c r="A493" s="16">
        <v>2</v>
      </c>
      <c r="B493" s="76">
        <v>43770</v>
      </c>
      <c r="E493" s="16">
        <v>11</v>
      </c>
    </row>
    <row r="494" spans="1:14">
      <c r="A494" s="16">
        <v>16</v>
      </c>
      <c r="B494" s="76">
        <v>43770</v>
      </c>
      <c r="E494" s="16">
        <v>11</v>
      </c>
      <c r="I494" s="29"/>
      <c r="J494" s="29"/>
    </row>
    <row r="495" spans="1:14">
      <c r="A495" s="16">
        <v>2</v>
      </c>
      <c r="B495" s="77">
        <v>43800</v>
      </c>
      <c r="E495" s="16">
        <v>12</v>
      </c>
      <c r="F495" s="79">
        <v>1.1419999999999999</v>
      </c>
      <c r="G495" s="88">
        <v>0.29499999999999998</v>
      </c>
    </row>
    <row r="496" spans="1:14">
      <c r="A496" s="16">
        <v>16</v>
      </c>
      <c r="B496" s="76">
        <v>43800</v>
      </c>
      <c r="E496" s="16">
        <v>12</v>
      </c>
      <c r="F496" s="79">
        <v>1.02</v>
      </c>
      <c r="G496" s="88">
        <v>0.28299999999999997</v>
      </c>
      <c r="I496" s="29">
        <f>AVERAGE(F495:F496)</f>
        <v>1.081</v>
      </c>
      <c r="J496" s="29">
        <f>AVERAGE(G495:G496)</f>
        <v>0.28899999999999998</v>
      </c>
      <c r="L496">
        <f>+J496/I496</f>
        <v>0.26734505087881588</v>
      </c>
      <c r="M496">
        <f>+(L496-$L$619)/$L$620</f>
        <v>-6.2248661866988915E-2</v>
      </c>
      <c r="N496">
        <f>+N492+M496</f>
        <v>16.988414958131145</v>
      </c>
    </row>
    <row r="497" spans="1:14">
      <c r="A497" s="91">
        <v>2</v>
      </c>
      <c r="B497" s="92">
        <v>43831</v>
      </c>
      <c r="C497" s="93">
        <v>2020</v>
      </c>
      <c r="D497" s="94" t="s">
        <v>39</v>
      </c>
      <c r="E497" s="91">
        <v>1</v>
      </c>
    </row>
    <row r="498" spans="1:14">
      <c r="A498" s="16">
        <v>16</v>
      </c>
      <c r="B498" s="72">
        <v>43831</v>
      </c>
      <c r="C498">
        <v>2020</v>
      </c>
      <c r="D498" s="11" t="s">
        <v>39</v>
      </c>
      <c r="E498" s="16">
        <v>1</v>
      </c>
    </row>
    <row r="499" spans="1:14">
      <c r="A499" s="16">
        <v>2</v>
      </c>
      <c r="B499" s="76">
        <v>43862</v>
      </c>
      <c r="C499">
        <v>2020</v>
      </c>
      <c r="D499" s="11" t="s">
        <v>28</v>
      </c>
      <c r="E499" s="16">
        <v>2</v>
      </c>
      <c r="F499" s="107">
        <v>1.6419999999999999</v>
      </c>
      <c r="G499" s="107">
        <v>0.30499999999999999</v>
      </c>
    </row>
    <row r="500" spans="1:14">
      <c r="A500" s="16">
        <v>16</v>
      </c>
      <c r="B500" s="76">
        <v>43862</v>
      </c>
      <c r="C500">
        <v>2020</v>
      </c>
      <c r="D500" s="11" t="s">
        <v>28</v>
      </c>
      <c r="E500" s="16">
        <v>2</v>
      </c>
      <c r="F500" s="107">
        <v>0.47299999999999998</v>
      </c>
      <c r="G500" s="107">
        <v>0.11799999999999999</v>
      </c>
      <c r="H500" s="29"/>
      <c r="I500" s="29">
        <f>AVERAGE(F499:F500)</f>
        <v>1.0574999999999999</v>
      </c>
      <c r="J500" s="29">
        <f>AVERAGE(G499:G500)</f>
        <v>0.21149999999999999</v>
      </c>
      <c r="L500">
        <f>+J500/I500</f>
        <v>0.2</v>
      </c>
      <c r="M500">
        <f>+(L500-$L$619)/$L$620</f>
        <v>-0.66513565407247932</v>
      </c>
      <c r="N500">
        <f>+N496+M500</f>
        <v>16.323279304058666</v>
      </c>
    </row>
    <row r="501" spans="1:14">
      <c r="A501" s="16">
        <v>2</v>
      </c>
      <c r="B501" s="76">
        <v>43891</v>
      </c>
      <c r="C501">
        <v>2020</v>
      </c>
      <c r="D501" s="11" t="s">
        <v>29</v>
      </c>
      <c r="E501" s="16">
        <v>3</v>
      </c>
    </row>
    <row r="502" spans="1:14">
      <c r="A502" s="16">
        <v>16</v>
      </c>
      <c r="B502" s="76">
        <v>43891</v>
      </c>
      <c r="C502">
        <v>2020</v>
      </c>
      <c r="D502" s="11" t="s">
        <v>29</v>
      </c>
      <c r="E502" s="16">
        <v>3</v>
      </c>
    </row>
    <row r="503" spans="1:14">
      <c r="A503" s="16">
        <v>2</v>
      </c>
      <c r="B503" s="76">
        <v>43922</v>
      </c>
      <c r="C503">
        <v>2020</v>
      </c>
      <c r="D503" s="11" t="s">
        <v>30</v>
      </c>
      <c r="E503" s="16">
        <v>4</v>
      </c>
    </row>
    <row r="504" spans="1:14">
      <c r="A504" s="16">
        <v>16</v>
      </c>
      <c r="B504" s="76">
        <v>43922</v>
      </c>
      <c r="C504">
        <v>2020</v>
      </c>
      <c r="D504" s="11" t="s">
        <v>30</v>
      </c>
      <c r="E504" s="16">
        <v>4</v>
      </c>
    </row>
    <row r="505" spans="1:14">
      <c r="A505" s="16">
        <v>2</v>
      </c>
      <c r="B505" s="76">
        <v>43952</v>
      </c>
      <c r="C505">
        <v>2020</v>
      </c>
      <c r="D505" s="11" t="s">
        <v>31</v>
      </c>
      <c r="E505" s="16">
        <v>5</v>
      </c>
    </row>
    <row r="506" spans="1:14">
      <c r="A506" s="16">
        <v>16</v>
      </c>
      <c r="B506" s="76">
        <v>43952</v>
      </c>
      <c r="C506">
        <v>2020</v>
      </c>
      <c r="D506" s="11" t="s">
        <v>31</v>
      </c>
      <c r="E506" s="16">
        <v>5</v>
      </c>
    </row>
    <row r="507" spans="1:14">
      <c r="A507" s="16">
        <v>2</v>
      </c>
      <c r="B507" s="76">
        <v>43983</v>
      </c>
      <c r="C507">
        <v>2020</v>
      </c>
      <c r="D507" s="11" t="s">
        <v>32</v>
      </c>
      <c r="E507" s="16">
        <v>6</v>
      </c>
      <c r="F507" s="107">
        <v>3.1960000000000002</v>
      </c>
      <c r="G507" s="107">
        <v>0.28399999999999997</v>
      </c>
    </row>
    <row r="508" spans="1:14">
      <c r="A508" s="16">
        <v>16</v>
      </c>
      <c r="B508" s="76">
        <v>43983</v>
      </c>
      <c r="C508">
        <v>2020</v>
      </c>
      <c r="D508" s="11" t="s">
        <v>32</v>
      </c>
      <c r="E508" s="16">
        <v>6</v>
      </c>
      <c r="F508" s="107">
        <v>6.8529999999999998</v>
      </c>
      <c r="G508" s="107">
        <v>1.732</v>
      </c>
      <c r="H508" s="29"/>
      <c r="I508" s="29">
        <f>AVERAGE(F507:F508)</f>
        <v>5.0244999999999997</v>
      </c>
      <c r="J508" s="29">
        <f>AVERAGE(G507:G508)</f>
        <v>1.008</v>
      </c>
      <c r="L508">
        <f>+J508/I508</f>
        <v>0.20061697681361332</v>
      </c>
      <c r="M508">
        <f>+(L508-$L$619)/$L$620</f>
        <v>-0.65961234849076422</v>
      </c>
      <c r="N508">
        <f>+N500+M508</f>
        <v>15.663666955567901</v>
      </c>
    </row>
    <row r="509" spans="1:14">
      <c r="A509" s="16">
        <v>2</v>
      </c>
      <c r="B509" s="76">
        <v>44013</v>
      </c>
      <c r="C509">
        <v>2020</v>
      </c>
      <c r="D509" s="11" t="s">
        <v>33</v>
      </c>
      <c r="E509" s="16">
        <v>7</v>
      </c>
      <c r="F509" s="107">
        <v>9.3040000000000003</v>
      </c>
      <c r="G509" s="5">
        <v>2.1065</v>
      </c>
      <c r="H509" s="108" t="s">
        <v>103</v>
      </c>
    </row>
    <row r="510" spans="1:14">
      <c r="A510" s="16">
        <v>16</v>
      </c>
      <c r="B510" s="76">
        <v>44013</v>
      </c>
      <c r="C510">
        <v>2020</v>
      </c>
      <c r="D510" s="11" t="s">
        <v>33</v>
      </c>
      <c r="E510" s="16">
        <v>7</v>
      </c>
      <c r="F510" s="107">
        <v>5.8360000000000003</v>
      </c>
      <c r="G510" s="107">
        <v>0.91900000000000004</v>
      </c>
      <c r="I510" s="29">
        <f t="shared" ref="I510" si="0">AVERAGE(F509:F510)</f>
        <v>7.57</v>
      </c>
      <c r="J510" s="29">
        <f t="shared" ref="J510" si="1">AVERAGE(G509:G510)</f>
        <v>1.51275</v>
      </c>
      <c r="L510">
        <f t="shared" ref="L510" si="2">+J510/I510</f>
        <v>0.19983487450462351</v>
      </c>
      <c r="M510">
        <f t="shared" ref="M510" si="3">+(L510-$L$619)/$L$620</f>
        <v>-0.6666138920713357</v>
      </c>
      <c r="N510">
        <f>+N508+M510</f>
        <v>14.997053063496566</v>
      </c>
    </row>
    <row r="511" spans="1:14">
      <c r="A511" s="16">
        <v>2</v>
      </c>
      <c r="B511" s="76">
        <v>44044</v>
      </c>
      <c r="C511">
        <v>2020</v>
      </c>
      <c r="D511" s="11" t="s">
        <v>34</v>
      </c>
      <c r="E511" s="16">
        <v>8</v>
      </c>
      <c r="F511" s="107">
        <v>6.1509999999999998</v>
      </c>
      <c r="G511" s="107">
        <v>1.6240000000000001</v>
      </c>
    </row>
    <row r="512" spans="1:14">
      <c r="A512" s="16">
        <v>16</v>
      </c>
      <c r="B512" s="76">
        <v>44044</v>
      </c>
      <c r="C512">
        <v>2020</v>
      </c>
      <c r="D512" s="11" t="s">
        <v>34</v>
      </c>
      <c r="E512" s="16">
        <v>8</v>
      </c>
      <c r="F512" s="107">
        <v>8.2629999999999999</v>
      </c>
      <c r="G512" s="107">
        <v>2.0939999999999999</v>
      </c>
      <c r="I512" s="29">
        <f t="shared" ref="I512" si="4">AVERAGE(F511:F512)</f>
        <v>7.2069999999999999</v>
      </c>
      <c r="J512" s="29">
        <f t="shared" ref="J512" si="5">AVERAGE(G511:G512)</f>
        <v>1.859</v>
      </c>
      <c r="L512">
        <f t="shared" ref="L512" si="6">+J512/I512</f>
        <v>0.25794366588039408</v>
      </c>
      <c r="M512">
        <f t="shared" ref="M512" si="7">+(L512-$L$619)/$L$620</f>
        <v>-0.14641182828085916</v>
      </c>
      <c r="N512">
        <f t="shared" ref="N512" si="8">+N510+M512</f>
        <v>14.850641235215706</v>
      </c>
    </row>
    <row r="513" spans="1:14">
      <c r="A513" s="16">
        <v>2</v>
      </c>
      <c r="B513" s="76">
        <v>44075</v>
      </c>
      <c r="C513">
        <v>2020</v>
      </c>
      <c r="D513" s="11" t="s">
        <v>40</v>
      </c>
      <c r="E513" s="16">
        <v>9</v>
      </c>
      <c r="F513" s="107">
        <v>3.258</v>
      </c>
      <c r="G513" s="107">
        <v>0.73699999999999999</v>
      </c>
    </row>
    <row r="514" spans="1:14">
      <c r="A514" s="16">
        <v>16</v>
      </c>
      <c r="B514" s="76">
        <v>44075</v>
      </c>
      <c r="C514">
        <v>2020</v>
      </c>
      <c r="D514" s="11" t="s">
        <v>40</v>
      </c>
      <c r="E514" s="16">
        <v>9</v>
      </c>
      <c r="F514" s="107">
        <v>2.2799999999999998</v>
      </c>
      <c r="G514" s="107">
        <v>0.47299999999999998</v>
      </c>
      <c r="I514" s="29">
        <f t="shared" ref="I514" si="9">AVERAGE(F513:F514)</f>
        <v>2.7690000000000001</v>
      </c>
      <c r="J514" s="29">
        <f t="shared" ref="J514" si="10">AVERAGE(G513:G514)</f>
        <v>0.60499999999999998</v>
      </c>
      <c r="L514">
        <f t="shared" ref="L514" si="11">+J514/I514</f>
        <v>0.21849042975803537</v>
      </c>
      <c r="M514">
        <f t="shared" ref="M514" si="12">+(L514-$L$619)/$L$620</f>
        <v>-0.49960545644194421</v>
      </c>
      <c r="N514">
        <f t="shared" ref="N514" si="13">+N512+M514</f>
        <v>14.351035778773761</v>
      </c>
    </row>
    <row r="515" spans="1:14">
      <c r="A515" s="16">
        <v>2</v>
      </c>
      <c r="B515" s="76">
        <v>44105</v>
      </c>
      <c r="C515">
        <v>2020</v>
      </c>
      <c r="D515" s="11" t="s">
        <v>36</v>
      </c>
      <c r="E515" s="16">
        <v>10</v>
      </c>
      <c r="F515" s="107">
        <v>1.345</v>
      </c>
      <c r="G515" s="107">
        <v>0.10299999999999999</v>
      </c>
    </row>
    <row r="516" spans="1:14">
      <c r="A516" s="16">
        <v>16</v>
      </c>
      <c r="B516" s="76">
        <v>44105</v>
      </c>
      <c r="C516">
        <v>2020</v>
      </c>
      <c r="D516" s="11" t="s">
        <v>36</v>
      </c>
      <c r="E516" s="16">
        <v>10</v>
      </c>
      <c r="F516" s="107">
        <v>1.117</v>
      </c>
      <c r="G516" s="107">
        <v>8.8999999999999996E-2</v>
      </c>
      <c r="I516" s="29">
        <f t="shared" ref="I516" si="14">AVERAGE(F515:F516)</f>
        <v>1.2309999999999999</v>
      </c>
      <c r="J516" s="29">
        <f t="shared" ref="J516" si="15">AVERAGE(G515:G516)</f>
        <v>9.6000000000000002E-2</v>
      </c>
      <c r="L516">
        <f t="shared" ref="L516" si="16">+J516/I516</f>
        <v>7.798537774167344E-2</v>
      </c>
      <c r="M516">
        <f t="shared" ref="M516" si="17">+(L516-$L$619)/$L$620</f>
        <v>-1.7574360927607069</v>
      </c>
      <c r="N516">
        <f t="shared" ref="N516" si="18">+N514+M516</f>
        <v>12.593599686013054</v>
      </c>
    </row>
    <row r="517" spans="1:14">
      <c r="A517" s="16">
        <v>2</v>
      </c>
      <c r="B517" s="76">
        <v>44136</v>
      </c>
      <c r="C517">
        <v>2020</v>
      </c>
      <c r="D517" s="11" t="s">
        <v>37</v>
      </c>
      <c r="E517" s="16">
        <v>11</v>
      </c>
      <c r="F517" s="109">
        <v>1.9065000000000001</v>
      </c>
      <c r="G517" s="109">
        <v>0.2555</v>
      </c>
      <c r="H517" s="108" t="s">
        <v>103</v>
      </c>
    </row>
    <row r="518" spans="1:14">
      <c r="A518" s="16">
        <v>16</v>
      </c>
      <c r="B518" s="76">
        <v>44136</v>
      </c>
      <c r="C518">
        <v>2020</v>
      </c>
      <c r="D518" s="11" t="s">
        <v>37</v>
      </c>
      <c r="E518" s="16">
        <v>11</v>
      </c>
      <c r="F518" s="107">
        <v>1.268</v>
      </c>
      <c r="G518" s="107">
        <v>0.156</v>
      </c>
      <c r="H518" s="29"/>
      <c r="I518" s="29">
        <f t="shared" ref="I518:J518" si="19">AVERAGE(F517:F518)</f>
        <v>1.58725</v>
      </c>
      <c r="J518" s="29">
        <f t="shared" si="19"/>
        <v>0.20574999999999999</v>
      </c>
      <c r="L518">
        <f t="shared" ref="L518" si="20">+J518/I518</f>
        <v>0.12962671286816821</v>
      </c>
      <c r="M518">
        <f t="shared" ref="M518" si="21">+(L518-$L$619)/$L$620</f>
        <v>-1.2951320510886311</v>
      </c>
      <c r="N518">
        <f t="shared" ref="N518" si="22">+N516+M518</f>
        <v>11.298467634924423</v>
      </c>
    </row>
    <row r="519" spans="1:14">
      <c r="A519" s="16">
        <v>2</v>
      </c>
      <c r="B519" s="77">
        <v>44166</v>
      </c>
      <c r="C519">
        <v>2020</v>
      </c>
      <c r="D519" s="11" t="s">
        <v>38</v>
      </c>
      <c r="E519" s="16">
        <v>12</v>
      </c>
    </row>
    <row r="520" spans="1:14">
      <c r="A520" s="16">
        <v>16</v>
      </c>
      <c r="B520" s="76">
        <v>44166</v>
      </c>
      <c r="C520">
        <v>2020</v>
      </c>
      <c r="D520" s="11" t="s">
        <v>38</v>
      </c>
      <c r="E520" s="16">
        <v>12</v>
      </c>
    </row>
    <row r="521" spans="1:14">
      <c r="A521" s="91">
        <v>2</v>
      </c>
      <c r="B521" s="92">
        <v>44197</v>
      </c>
      <c r="C521" s="93">
        <v>2021</v>
      </c>
      <c r="D521" s="94" t="s">
        <v>39</v>
      </c>
      <c r="E521" s="91">
        <v>1</v>
      </c>
    </row>
    <row r="522" spans="1:14">
      <c r="A522" s="16">
        <v>16</v>
      </c>
      <c r="B522" s="72">
        <v>44197</v>
      </c>
      <c r="C522">
        <v>2021</v>
      </c>
      <c r="D522" s="11" t="s">
        <v>39</v>
      </c>
      <c r="E522" s="16">
        <v>1</v>
      </c>
    </row>
    <row r="523" spans="1:14">
      <c r="A523" s="16">
        <v>2</v>
      </c>
      <c r="B523" s="76">
        <v>44228</v>
      </c>
      <c r="C523">
        <v>2021</v>
      </c>
      <c r="D523" s="11" t="s">
        <v>28</v>
      </c>
      <c r="E523" s="16">
        <v>2</v>
      </c>
      <c r="F523" s="111">
        <v>7.3609999999999998</v>
      </c>
      <c r="G523" s="113">
        <v>2.214</v>
      </c>
    </row>
    <row r="524" spans="1:14">
      <c r="A524" s="16">
        <v>16</v>
      </c>
      <c r="B524" s="76">
        <v>44228</v>
      </c>
      <c r="C524">
        <v>2021</v>
      </c>
      <c r="D524" s="11" t="s">
        <v>28</v>
      </c>
      <c r="E524" s="16">
        <v>2</v>
      </c>
      <c r="F524" s="113">
        <v>3.9689999999999999</v>
      </c>
      <c r="G524" s="113">
        <v>1.129</v>
      </c>
      <c r="H524" s="29"/>
      <c r="I524" s="29">
        <f>AVERAGE(F523:F524)</f>
        <v>5.665</v>
      </c>
      <c r="J524" s="29">
        <f>AVERAGE(G523:G524)</f>
        <v>1.6715</v>
      </c>
      <c r="L524">
        <f>+J524/I524</f>
        <v>0.29505736981465136</v>
      </c>
      <c r="M524">
        <f>+(L524-$L$619)/$L$620</f>
        <v>0.1858378180189533</v>
      </c>
      <c r="N524">
        <f>+N518+M524</f>
        <v>11.484305452943376</v>
      </c>
    </row>
    <row r="525" spans="1:14">
      <c r="A525" s="16">
        <v>2</v>
      </c>
      <c r="B525" s="76">
        <v>44256</v>
      </c>
      <c r="C525">
        <v>2021</v>
      </c>
      <c r="D525" s="11" t="s">
        <v>29</v>
      </c>
      <c r="E525" s="16">
        <v>3</v>
      </c>
      <c r="F525" s="113">
        <v>2.6480000000000001</v>
      </c>
      <c r="G525" s="113">
        <v>0.97899999999999998</v>
      </c>
    </row>
    <row r="526" spans="1:14">
      <c r="A526" s="16">
        <v>16</v>
      </c>
      <c r="B526" s="76">
        <v>44256</v>
      </c>
      <c r="C526">
        <v>2021</v>
      </c>
      <c r="D526" s="11" t="s">
        <v>29</v>
      </c>
      <c r="E526" s="16">
        <v>3</v>
      </c>
      <c r="F526" s="113">
        <v>1.1379999999999999</v>
      </c>
      <c r="G526" s="113">
        <v>0.35499999999999998</v>
      </c>
      <c r="H526" s="29"/>
      <c r="I526" s="29">
        <f t="shared" ref="I526" si="23">AVERAGE(F525:F526)</f>
        <v>1.893</v>
      </c>
      <c r="J526" s="29">
        <f t="shared" ref="J526" si="24">AVERAGE(G525:G526)</f>
        <v>0.66700000000000004</v>
      </c>
      <c r="L526">
        <f t="shared" ref="L526" si="25">+J526/I526</f>
        <v>0.35235076597992604</v>
      </c>
      <c r="M526">
        <f t="shared" ref="M526" si="26">+(L526-$L$619)/$L$620</f>
        <v>0.69874029320566999</v>
      </c>
      <c r="N526">
        <f>+N524+M526</f>
        <v>12.183045746149046</v>
      </c>
    </row>
    <row r="527" spans="1:14">
      <c r="A527" s="16">
        <v>2</v>
      </c>
      <c r="B527" s="76">
        <v>44287</v>
      </c>
      <c r="C527">
        <v>2021</v>
      </c>
      <c r="D527" s="11" t="s">
        <v>30</v>
      </c>
      <c r="E527" s="16">
        <v>4</v>
      </c>
      <c r="F527" s="113">
        <v>1.4339999999999999</v>
      </c>
      <c r="G527" s="113">
        <v>0.10199999999999999</v>
      </c>
    </row>
    <row r="528" spans="1:14">
      <c r="A528" s="16">
        <v>16</v>
      </c>
      <c r="B528" s="76">
        <v>44287</v>
      </c>
      <c r="C528">
        <v>2021</v>
      </c>
      <c r="D528" s="11" t="s">
        <v>30</v>
      </c>
      <c r="E528" s="16">
        <v>4</v>
      </c>
      <c r="F528" s="113">
        <v>1.1919999999999999</v>
      </c>
      <c r="G528" s="113">
        <v>7.6999999999999999E-2</v>
      </c>
      <c r="H528" s="29"/>
      <c r="I528" s="29">
        <f t="shared" ref="I528" si="27">AVERAGE(F527:F528)</f>
        <v>1.3129999999999999</v>
      </c>
      <c r="J528" s="29">
        <f t="shared" ref="J528" si="28">AVERAGE(G527:G528)</f>
        <v>8.9499999999999996E-2</v>
      </c>
      <c r="L528">
        <f t="shared" ref="L528" si="29">+J528/I528</f>
        <v>6.8164508758568165E-2</v>
      </c>
      <c r="M528">
        <f t="shared" ref="M528" si="30">+(L528-$L$619)/$L$620</f>
        <v>-1.8453545676123015</v>
      </c>
      <c r="N528">
        <f t="shared" ref="N528" si="31">+N526+M528</f>
        <v>10.337691178536744</v>
      </c>
    </row>
    <row r="529" spans="1:14">
      <c r="A529" s="16">
        <v>2</v>
      </c>
      <c r="B529" s="76">
        <v>44317</v>
      </c>
      <c r="C529">
        <v>2021</v>
      </c>
      <c r="D529" s="11" t="s">
        <v>31</v>
      </c>
      <c r="E529" s="16">
        <v>5</v>
      </c>
      <c r="F529" s="113">
        <v>5.2290000000000001</v>
      </c>
      <c r="G529" s="113">
        <v>1.698</v>
      </c>
    </row>
    <row r="530" spans="1:14">
      <c r="A530" s="16">
        <v>16</v>
      </c>
      <c r="B530" s="76">
        <v>44317</v>
      </c>
      <c r="C530">
        <v>2021</v>
      </c>
      <c r="D530" s="11" t="s">
        <v>31</v>
      </c>
      <c r="E530" s="16">
        <v>5</v>
      </c>
      <c r="F530" s="113">
        <v>2.319</v>
      </c>
      <c r="G530" s="113">
        <v>0.58599999999999997</v>
      </c>
      <c r="H530" s="29"/>
      <c r="I530" s="29">
        <f t="shared" ref="I530" si="32">AVERAGE(F529:F530)</f>
        <v>3.774</v>
      </c>
      <c r="J530" s="29">
        <f t="shared" ref="J530" si="33">AVERAGE(G529:G530)</f>
        <v>1.1419999999999999</v>
      </c>
      <c r="L530">
        <f t="shared" ref="L530" si="34">+J530/I530</f>
        <v>0.30259671436142022</v>
      </c>
      <c r="M530">
        <f t="shared" ref="M530" si="35">+(L530-$L$619)/$L$620</f>
        <v>0.2533316085453205</v>
      </c>
      <c r="N530">
        <f t="shared" ref="N530" si="36">+N528+M530</f>
        <v>10.591022787082064</v>
      </c>
    </row>
    <row r="531" spans="1:14">
      <c r="A531" s="16">
        <v>2</v>
      </c>
      <c r="B531" s="76">
        <v>44348</v>
      </c>
      <c r="C531">
        <v>2021</v>
      </c>
      <c r="D531" s="11" t="s">
        <v>32</v>
      </c>
      <c r="E531" s="16">
        <v>6</v>
      </c>
      <c r="F531" s="113">
        <v>4.7839999999999998</v>
      </c>
      <c r="G531" s="113">
        <v>1.2270000000000001</v>
      </c>
    </row>
    <row r="532" spans="1:14">
      <c r="A532" s="16">
        <v>16</v>
      </c>
      <c r="B532" s="76">
        <v>44348</v>
      </c>
      <c r="C532">
        <v>2021</v>
      </c>
      <c r="D532" s="11" t="s">
        <v>32</v>
      </c>
      <c r="E532" s="16">
        <v>6</v>
      </c>
      <c r="F532" s="113">
        <v>5.3979999999999997</v>
      </c>
      <c r="G532" s="113">
        <v>1.284</v>
      </c>
      <c r="H532" s="29"/>
      <c r="I532" s="29">
        <f t="shared" ref="I532:J532" si="37">AVERAGE(F531:F532)</f>
        <v>5.0909999999999993</v>
      </c>
      <c r="J532" s="29">
        <f t="shared" si="37"/>
        <v>1.2555000000000001</v>
      </c>
      <c r="L532">
        <f t="shared" ref="L532" si="38">+J532/I532</f>
        <v>0.24661166764879203</v>
      </c>
      <c r="M532">
        <f t="shared" ref="M532" si="39">+(L532-$L$619)/$L$620</f>
        <v>-0.24785824847619312</v>
      </c>
      <c r="N532">
        <f t="shared" ref="N532" si="40">+N530+M532</f>
        <v>10.343164538605871</v>
      </c>
    </row>
    <row r="533" spans="1:14">
      <c r="A533" s="16">
        <v>2</v>
      </c>
      <c r="B533" s="76">
        <v>44378</v>
      </c>
      <c r="C533">
        <v>2021</v>
      </c>
      <c r="D533" s="11" t="s">
        <v>33</v>
      </c>
      <c r="E533" s="16">
        <v>7</v>
      </c>
      <c r="H533" s="108" t="s">
        <v>109</v>
      </c>
    </row>
    <row r="534" spans="1:14">
      <c r="A534" s="16">
        <v>16</v>
      </c>
      <c r="B534" s="76">
        <v>44378</v>
      </c>
      <c r="C534">
        <v>2021</v>
      </c>
      <c r="D534" s="11" t="s">
        <v>33</v>
      </c>
      <c r="E534" s="16">
        <v>7</v>
      </c>
      <c r="H534" s="108" t="s">
        <v>110</v>
      </c>
      <c r="J534" s="29"/>
    </row>
    <row r="535" spans="1:14">
      <c r="A535" s="16">
        <v>2</v>
      </c>
      <c r="B535" s="76">
        <v>44409</v>
      </c>
      <c r="C535">
        <v>2021</v>
      </c>
      <c r="D535" s="11" t="s">
        <v>34</v>
      </c>
      <c r="E535" s="16">
        <v>8</v>
      </c>
      <c r="F535" s="113">
        <v>5.032</v>
      </c>
      <c r="G535" s="113">
        <v>1.032</v>
      </c>
    </row>
    <row r="536" spans="1:14">
      <c r="A536" s="16">
        <v>16</v>
      </c>
      <c r="B536" s="76">
        <v>44409</v>
      </c>
      <c r="C536">
        <v>2021</v>
      </c>
      <c r="D536" s="11" t="s">
        <v>34</v>
      </c>
      <c r="E536" s="16">
        <v>8</v>
      </c>
      <c r="F536" s="113">
        <v>4.444</v>
      </c>
      <c r="G536" s="113">
        <v>1.0529999999999999</v>
      </c>
      <c r="H536" s="29"/>
      <c r="I536" s="29">
        <f>AVERAGE(F535:F536)</f>
        <v>4.7379999999999995</v>
      </c>
      <c r="J536" s="29">
        <f t="shared" ref="J536" si="41">AVERAGE(G535:G536)</f>
        <v>1.0425</v>
      </c>
      <c r="L536">
        <f t="shared" ref="L536" si="42">+J536/I536</f>
        <v>0.22002954833262983</v>
      </c>
      <c r="M536">
        <f t="shared" ref="M536" si="43">+(L536-$L$619)/$L$620</f>
        <v>-0.48582694479222266</v>
      </c>
      <c r="N536">
        <f>+N532+M536</f>
        <v>9.8573375938136483</v>
      </c>
    </row>
    <row r="537" spans="1:14">
      <c r="A537" s="16">
        <v>2</v>
      </c>
      <c r="B537" s="76">
        <v>44440</v>
      </c>
      <c r="C537">
        <v>2021</v>
      </c>
      <c r="D537" s="11" t="s">
        <v>40</v>
      </c>
      <c r="E537" s="16">
        <v>9</v>
      </c>
      <c r="F537" s="113">
        <v>2.3610000000000002</v>
      </c>
      <c r="G537" s="113">
        <v>0.48099999999999998</v>
      </c>
    </row>
    <row r="538" spans="1:14">
      <c r="A538" s="16">
        <v>16</v>
      </c>
      <c r="B538" s="76">
        <v>44440</v>
      </c>
      <c r="C538">
        <v>2021</v>
      </c>
      <c r="D538" s="11" t="s">
        <v>40</v>
      </c>
      <c r="E538" s="16">
        <v>9</v>
      </c>
      <c r="F538" s="113">
        <v>2.036</v>
      </c>
      <c r="G538" s="113">
        <v>0.39</v>
      </c>
      <c r="H538" s="29"/>
      <c r="I538" s="29">
        <f t="shared" ref="I538:J538" si="44">AVERAGE(F537:F538)</f>
        <v>2.1985000000000001</v>
      </c>
      <c r="J538" s="29">
        <f t="shared" si="44"/>
        <v>0.4355</v>
      </c>
      <c r="L538">
        <f t="shared" ref="L538" si="45">+J538/I538</f>
        <v>0.19808960654992039</v>
      </c>
      <c r="M538">
        <f t="shared" ref="M538" si="46">+(L538-$L$619)/$L$620</f>
        <v>-0.68223789612319952</v>
      </c>
      <c r="N538">
        <f t="shared" ref="N538" si="47">+N536+M538</f>
        <v>9.1750996976904489</v>
      </c>
    </row>
    <row r="539" spans="1:14">
      <c r="A539" s="16">
        <v>2</v>
      </c>
      <c r="B539" s="76">
        <v>44470</v>
      </c>
      <c r="C539">
        <v>2021</v>
      </c>
      <c r="D539" s="11" t="s">
        <v>36</v>
      </c>
      <c r="E539" s="16">
        <v>10</v>
      </c>
      <c r="F539" s="113">
        <v>0.96599999999999997</v>
      </c>
      <c r="G539" s="113">
        <v>0.17399999999999999</v>
      </c>
    </row>
    <row r="540" spans="1:14">
      <c r="A540" s="16">
        <v>16</v>
      </c>
      <c r="B540" s="76">
        <v>44470</v>
      </c>
      <c r="C540">
        <v>2021</v>
      </c>
      <c r="D540" s="11" t="s">
        <v>36</v>
      </c>
      <c r="E540" s="16">
        <v>10</v>
      </c>
      <c r="F540" s="113">
        <v>1.0189999999999999</v>
      </c>
      <c r="G540" s="113">
        <v>0.192</v>
      </c>
      <c r="H540" s="29"/>
      <c r="I540" s="29">
        <f t="shared" ref="I540:J540" si="48">AVERAGE(F539:F540)</f>
        <v>0.99249999999999994</v>
      </c>
      <c r="J540" s="29">
        <f t="shared" si="48"/>
        <v>0.183</v>
      </c>
      <c r="L540">
        <f t="shared" ref="L540" si="49">+J540/I540</f>
        <v>0.18438287153652394</v>
      </c>
      <c r="M540">
        <f t="shared" ref="M540" si="50">+(L540-$L$619)/$L$620</f>
        <v>-0.80494345707160875</v>
      </c>
      <c r="N540">
        <f t="shared" ref="N540" si="51">+N538+M540</f>
        <v>8.3701562406188401</v>
      </c>
    </row>
    <row r="541" spans="1:14">
      <c r="A541" s="16">
        <v>2</v>
      </c>
      <c r="B541" s="76">
        <v>44501</v>
      </c>
      <c r="C541">
        <v>2021</v>
      </c>
      <c r="D541" s="11" t="s">
        <v>37</v>
      </c>
      <c r="E541" s="16">
        <v>11</v>
      </c>
      <c r="F541" s="110">
        <v>1.0035000000000001</v>
      </c>
      <c r="G541" s="110">
        <v>0.28699999999999998</v>
      </c>
    </row>
    <row r="542" spans="1:14">
      <c r="A542" s="16">
        <v>16</v>
      </c>
      <c r="B542" s="76">
        <v>44501</v>
      </c>
      <c r="C542">
        <v>2021</v>
      </c>
      <c r="D542" s="11" t="s">
        <v>37</v>
      </c>
      <c r="E542" s="16">
        <v>11</v>
      </c>
      <c r="F542" s="113">
        <v>0.98499999999999999</v>
      </c>
      <c r="G542" s="113">
        <v>0.28100000000000003</v>
      </c>
      <c r="H542" s="29"/>
      <c r="I542" s="29">
        <f t="shared" ref="I542:J542" si="52">AVERAGE(F541:F542)</f>
        <v>0.99425000000000008</v>
      </c>
      <c r="J542" s="29">
        <f t="shared" si="52"/>
        <v>0.28400000000000003</v>
      </c>
      <c r="L542">
        <f t="shared" ref="L542" si="53">+J542/I542</f>
        <v>0.28564244405330652</v>
      </c>
      <c r="M542">
        <f t="shared" ref="M542" si="54">+(L542-$L$619)/$L$620</f>
        <v>0.10155343186102898</v>
      </c>
      <c r="N542">
        <f t="shared" ref="N542" si="55">+N540+M542</f>
        <v>8.4717096724798697</v>
      </c>
    </row>
    <row r="543" spans="1:14">
      <c r="A543" s="16">
        <v>2</v>
      </c>
      <c r="B543" s="77">
        <v>44531</v>
      </c>
      <c r="C543">
        <v>2021</v>
      </c>
      <c r="D543" s="11" t="s">
        <v>38</v>
      </c>
      <c r="E543" s="16">
        <v>12</v>
      </c>
      <c r="F543" s="113">
        <v>1.1919999999999999</v>
      </c>
      <c r="G543" s="113">
        <v>0.36599999999999999</v>
      </c>
    </row>
    <row r="544" spans="1:14">
      <c r="A544" s="16">
        <v>16</v>
      </c>
      <c r="B544" s="76">
        <v>44531</v>
      </c>
      <c r="C544">
        <v>2021</v>
      </c>
      <c r="D544" s="11" t="s">
        <v>38</v>
      </c>
      <c r="E544" s="16">
        <v>12</v>
      </c>
      <c r="F544" s="113">
        <v>1.1439999999999999</v>
      </c>
      <c r="G544" s="113">
        <v>0.35599999999999998</v>
      </c>
      <c r="H544" s="29"/>
      <c r="I544" s="29">
        <f t="shared" ref="I544:J544" si="56">AVERAGE(F543:F544)</f>
        <v>1.1679999999999999</v>
      </c>
      <c r="J544" s="29">
        <f t="shared" si="56"/>
        <v>0.36099999999999999</v>
      </c>
      <c r="L544">
        <f t="shared" ref="L544" si="57">+J544/I544</f>
        <v>0.30907534246575341</v>
      </c>
      <c r="M544">
        <f t="shared" ref="M544" si="58">+(L544-$L$619)/$L$620</f>
        <v>0.31132964344869951</v>
      </c>
      <c r="N544">
        <f t="shared" ref="N544" si="59">+N542+M544</f>
        <v>8.7830393159285691</v>
      </c>
    </row>
    <row r="545" spans="1:8">
      <c r="A545" s="91">
        <v>2</v>
      </c>
      <c r="B545" s="92">
        <v>44562</v>
      </c>
      <c r="C545" s="93">
        <v>2022</v>
      </c>
      <c r="D545" s="94" t="s">
        <v>39</v>
      </c>
      <c r="E545" s="91">
        <v>1</v>
      </c>
      <c r="H545" s="108" t="s">
        <v>106</v>
      </c>
    </row>
    <row r="546" spans="1:8">
      <c r="A546" s="16">
        <v>16</v>
      </c>
      <c r="B546" s="72">
        <v>44562</v>
      </c>
      <c r="C546">
        <v>2022</v>
      </c>
      <c r="D546" s="11" t="s">
        <v>39</v>
      </c>
      <c r="E546" s="16">
        <v>1</v>
      </c>
      <c r="H546" s="108" t="s">
        <v>107</v>
      </c>
    </row>
    <row r="547" spans="1:8">
      <c r="A547" s="16">
        <v>2</v>
      </c>
      <c r="B547" s="76">
        <v>44593</v>
      </c>
      <c r="C547">
        <v>2022</v>
      </c>
      <c r="D547" s="11" t="s">
        <v>28</v>
      </c>
      <c r="E547" s="16">
        <v>2</v>
      </c>
      <c r="H547" s="108" t="s">
        <v>108</v>
      </c>
    </row>
    <row r="548" spans="1:8">
      <c r="A548" s="16">
        <v>16</v>
      </c>
      <c r="B548" s="76">
        <v>44593</v>
      </c>
      <c r="C548">
        <v>2022</v>
      </c>
      <c r="D548" s="11" t="s">
        <v>28</v>
      </c>
      <c r="E548" s="16">
        <v>2</v>
      </c>
    </row>
    <row r="549" spans="1:8">
      <c r="A549" s="16">
        <v>2</v>
      </c>
      <c r="B549" s="76">
        <v>44621</v>
      </c>
      <c r="C549">
        <v>2022</v>
      </c>
      <c r="D549" s="11" t="s">
        <v>29</v>
      </c>
      <c r="E549" s="16">
        <v>3</v>
      </c>
    </row>
    <row r="550" spans="1:8">
      <c r="A550" s="16">
        <v>16</v>
      </c>
      <c r="B550" s="76">
        <v>44621</v>
      </c>
      <c r="C550">
        <v>2022</v>
      </c>
      <c r="D550" s="11" t="s">
        <v>29</v>
      </c>
      <c r="E550" s="16">
        <v>3</v>
      </c>
    </row>
    <row r="551" spans="1:8">
      <c r="A551" s="16">
        <v>2</v>
      </c>
      <c r="B551" s="76">
        <v>44652</v>
      </c>
      <c r="C551">
        <v>2022</v>
      </c>
      <c r="D551" s="11" t="s">
        <v>30</v>
      </c>
      <c r="E551" s="16">
        <v>4</v>
      </c>
    </row>
    <row r="552" spans="1:8">
      <c r="A552" s="16">
        <v>16</v>
      </c>
      <c r="B552" s="76">
        <v>44652</v>
      </c>
      <c r="C552">
        <v>2022</v>
      </c>
      <c r="D552" s="11" t="s">
        <v>30</v>
      </c>
      <c r="E552" s="16">
        <v>4</v>
      </c>
    </row>
    <row r="553" spans="1:8">
      <c r="A553" s="16">
        <v>2</v>
      </c>
      <c r="B553" s="76">
        <v>44682</v>
      </c>
      <c r="C553">
        <v>2022</v>
      </c>
      <c r="D553" s="11" t="s">
        <v>31</v>
      </c>
      <c r="E553" s="16">
        <v>5</v>
      </c>
    </row>
    <row r="554" spans="1:8">
      <c r="A554" s="16">
        <v>16</v>
      </c>
      <c r="B554" s="76">
        <v>44682</v>
      </c>
      <c r="C554">
        <v>2022</v>
      </c>
      <c r="D554" s="11" t="s">
        <v>31</v>
      </c>
      <c r="E554" s="16">
        <v>5</v>
      </c>
    </row>
    <row r="555" spans="1:8">
      <c r="A555" s="16">
        <v>2</v>
      </c>
      <c r="B555" s="76">
        <v>44713</v>
      </c>
      <c r="C555">
        <v>2022</v>
      </c>
      <c r="D555" s="11" t="s">
        <v>32</v>
      </c>
      <c r="E555" s="16">
        <v>6</v>
      </c>
    </row>
    <row r="556" spans="1:8">
      <c r="A556" s="16">
        <v>16</v>
      </c>
      <c r="B556" s="76">
        <v>44713</v>
      </c>
      <c r="C556">
        <v>2022</v>
      </c>
      <c r="D556" s="11" t="s">
        <v>32</v>
      </c>
      <c r="E556" s="16">
        <v>6</v>
      </c>
    </row>
    <row r="557" spans="1:8">
      <c r="A557" s="16">
        <v>2</v>
      </c>
      <c r="B557" s="76">
        <v>44743</v>
      </c>
      <c r="C557">
        <v>2022</v>
      </c>
      <c r="D557" s="11" t="s">
        <v>33</v>
      </c>
      <c r="E557" s="16">
        <v>7</v>
      </c>
    </row>
    <row r="558" spans="1:8">
      <c r="A558" s="16">
        <v>16</v>
      </c>
      <c r="B558" s="76">
        <v>44743</v>
      </c>
      <c r="C558">
        <v>2022</v>
      </c>
      <c r="D558" s="11" t="s">
        <v>33</v>
      </c>
      <c r="E558" s="16">
        <v>7</v>
      </c>
    </row>
    <row r="559" spans="1:8">
      <c r="A559" s="16">
        <v>2</v>
      </c>
      <c r="B559" s="76">
        <v>44774</v>
      </c>
      <c r="C559">
        <v>2022</v>
      </c>
      <c r="D559" s="11" t="s">
        <v>34</v>
      </c>
      <c r="E559" s="16">
        <v>8</v>
      </c>
    </row>
    <row r="560" spans="1:8">
      <c r="A560" s="16">
        <v>16</v>
      </c>
      <c r="B560" s="76">
        <v>44774</v>
      </c>
      <c r="C560">
        <v>2022</v>
      </c>
      <c r="D560" s="11" t="s">
        <v>34</v>
      </c>
      <c r="E560" s="16">
        <v>8</v>
      </c>
    </row>
    <row r="561" spans="1:14">
      <c r="A561" s="16">
        <v>2</v>
      </c>
      <c r="B561" s="76">
        <v>44805</v>
      </c>
      <c r="C561">
        <v>2022</v>
      </c>
      <c r="D561" s="11" t="s">
        <v>40</v>
      </c>
      <c r="E561" s="16">
        <v>9</v>
      </c>
    </row>
    <row r="562" spans="1:14">
      <c r="A562" s="16">
        <v>16</v>
      </c>
      <c r="B562" s="76">
        <v>44805</v>
      </c>
      <c r="C562">
        <v>2022</v>
      </c>
      <c r="D562" s="11" t="s">
        <v>40</v>
      </c>
      <c r="E562" s="16">
        <v>9</v>
      </c>
    </row>
    <row r="563" spans="1:14">
      <c r="A563" s="16">
        <v>2</v>
      </c>
      <c r="B563" s="76">
        <v>44835</v>
      </c>
      <c r="C563">
        <v>2022</v>
      </c>
      <c r="D563" s="11" t="s">
        <v>36</v>
      </c>
      <c r="E563" s="16">
        <v>10</v>
      </c>
    </row>
    <row r="564" spans="1:14">
      <c r="A564" s="16">
        <v>16</v>
      </c>
      <c r="B564" s="76">
        <v>44835</v>
      </c>
      <c r="C564">
        <v>2022</v>
      </c>
      <c r="D564" s="11" t="s">
        <v>36</v>
      </c>
      <c r="E564" s="16">
        <v>10</v>
      </c>
    </row>
    <row r="565" spans="1:14">
      <c r="A565" s="16">
        <v>2</v>
      </c>
      <c r="B565" s="76">
        <v>44866</v>
      </c>
      <c r="C565">
        <v>2022</v>
      </c>
      <c r="D565" s="11" t="s">
        <v>37</v>
      </c>
      <c r="E565" s="16">
        <v>11</v>
      </c>
    </row>
    <row r="566" spans="1:14">
      <c r="A566" s="16">
        <v>16</v>
      </c>
      <c r="B566" s="76">
        <v>44866</v>
      </c>
      <c r="C566">
        <v>2022</v>
      </c>
      <c r="D566" s="11" t="s">
        <v>37</v>
      </c>
      <c r="E566" s="16">
        <v>11</v>
      </c>
    </row>
    <row r="567" spans="1:14">
      <c r="A567" s="16">
        <v>2</v>
      </c>
      <c r="B567" s="77">
        <v>44896</v>
      </c>
      <c r="C567">
        <v>2022</v>
      </c>
      <c r="D567" s="11" t="s">
        <v>38</v>
      </c>
      <c r="E567" s="16">
        <v>12</v>
      </c>
    </row>
    <row r="568" spans="1:14">
      <c r="A568" s="16">
        <v>16</v>
      </c>
      <c r="B568" s="76">
        <v>44896</v>
      </c>
      <c r="C568">
        <v>2022</v>
      </c>
      <c r="D568" s="11" t="s">
        <v>38</v>
      </c>
      <c r="E568" s="16">
        <v>12</v>
      </c>
    </row>
    <row r="569" spans="1:14">
      <c r="A569" s="91">
        <v>2</v>
      </c>
      <c r="B569" s="92">
        <v>44927</v>
      </c>
      <c r="C569" s="93">
        <v>2023</v>
      </c>
      <c r="D569" s="94" t="s">
        <v>39</v>
      </c>
      <c r="E569" s="91">
        <v>1</v>
      </c>
      <c r="F569" s="114">
        <v>3.903</v>
      </c>
      <c r="G569" s="113">
        <v>1.1060000000000001</v>
      </c>
    </row>
    <row r="570" spans="1:14">
      <c r="A570" s="16">
        <v>16</v>
      </c>
      <c r="B570" s="72">
        <v>44927</v>
      </c>
      <c r="C570">
        <v>2023</v>
      </c>
      <c r="D570" s="11" t="s">
        <v>39</v>
      </c>
      <c r="E570" s="16">
        <v>1</v>
      </c>
      <c r="F570" s="114">
        <v>3.43</v>
      </c>
      <c r="G570" s="113">
        <v>1.0269999999999999</v>
      </c>
      <c r="H570" s="29"/>
      <c r="I570" s="29">
        <f>AVERAGE(F569:F570)</f>
        <v>3.6665000000000001</v>
      </c>
      <c r="J570" s="29">
        <f>AVERAGE(G569:G570)</f>
        <v>1.0665</v>
      </c>
      <c r="L570">
        <f>+J570/I570</f>
        <v>0.29087685803900176</v>
      </c>
      <c r="M570">
        <f>+(L570-$L$619)/$L$620</f>
        <v>0.14841300153412632</v>
      </c>
      <c r="N570">
        <f>+N544+M570</f>
        <v>8.9314523174626963</v>
      </c>
    </row>
    <row r="571" spans="1:14">
      <c r="A571" s="16">
        <v>2</v>
      </c>
      <c r="B571" s="76">
        <v>44958</v>
      </c>
      <c r="C571">
        <v>2023</v>
      </c>
      <c r="D571" s="11" t="s">
        <v>28</v>
      </c>
      <c r="E571" s="16">
        <v>2</v>
      </c>
      <c r="F571" s="115">
        <v>1.373</v>
      </c>
      <c r="G571" s="115">
        <v>0.45400000000000001</v>
      </c>
    </row>
    <row r="572" spans="1:14">
      <c r="A572" s="16">
        <v>16</v>
      </c>
      <c r="B572" s="76">
        <v>44958</v>
      </c>
      <c r="C572">
        <v>2023</v>
      </c>
      <c r="D572" s="11" t="s">
        <v>28</v>
      </c>
      <c r="E572" s="16">
        <v>2</v>
      </c>
      <c r="F572" s="115">
        <v>2.0139999999999998</v>
      </c>
      <c r="G572" s="115">
        <v>0.54700000000000004</v>
      </c>
      <c r="H572" s="29"/>
      <c r="I572" s="29">
        <f t="shared" ref="I572" si="60">AVERAGE(F571:F572)</f>
        <v>1.6934999999999998</v>
      </c>
      <c r="J572" s="29">
        <f t="shared" ref="J572" si="61">AVERAGE(G571:G572)</f>
        <v>0.50050000000000006</v>
      </c>
      <c r="L572">
        <f t="shared" ref="L572" si="62">+J572/I572</f>
        <v>0.2955417773841158</v>
      </c>
      <c r="M572">
        <f t="shared" ref="M572" si="63">+(L572-$L$619)/$L$620</f>
        <v>0.19017433597751129</v>
      </c>
      <c r="N572">
        <f>+N570+M572</f>
        <v>9.1216266534402077</v>
      </c>
    </row>
    <row r="573" spans="1:14">
      <c r="A573" s="16">
        <v>2</v>
      </c>
      <c r="B573" s="76">
        <v>44986</v>
      </c>
      <c r="C573">
        <v>2023</v>
      </c>
      <c r="D573" s="11" t="s">
        <v>29</v>
      </c>
      <c r="E573" s="16">
        <v>3</v>
      </c>
      <c r="F573" s="115">
        <v>4.9329999999999998</v>
      </c>
      <c r="G573" s="115">
        <v>1.8919999999999999</v>
      </c>
    </row>
    <row r="574" spans="1:14">
      <c r="A574" s="16">
        <v>16</v>
      </c>
      <c r="B574" s="76">
        <v>44986</v>
      </c>
      <c r="C574">
        <v>2023</v>
      </c>
      <c r="D574" s="11" t="s">
        <v>29</v>
      </c>
      <c r="E574" s="16">
        <v>3</v>
      </c>
      <c r="F574" s="115">
        <v>4.423</v>
      </c>
      <c r="G574" s="115">
        <v>1.0660000000000001</v>
      </c>
      <c r="H574" s="29"/>
      <c r="I574" s="29">
        <f t="shared" ref="I574" si="64">AVERAGE(F573:F574)</f>
        <v>4.6779999999999999</v>
      </c>
      <c r="J574" s="29">
        <f t="shared" ref="J574" si="65">AVERAGE(G573:G574)</f>
        <v>1.4790000000000001</v>
      </c>
      <c r="L574">
        <f t="shared" ref="L574" si="66">+J574/I574</f>
        <v>0.31616075245831554</v>
      </c>
      <c r="M574">
        <f t="shared" ref="M574" si="67">+(L574-$L$619)/$L$620</f>
        <v>0.37475971682774006</v>
      </c>
      <c r="N574">
        <f t="shared" ref="N574" si="68">+N572+M574</f>
        <v>9.4963863702679472</v>
      </c>
    </row>
    <row r="575" spans="1:14">
      <c r="A575" s="16">
        <v>2</v>
      </c>
      <c r="B575" s="76">
        <v>45017</v>
      </c>
      <c r="C575">
        <v>2023</v>
      </c>
      <c r="D575" s="11" t="s">
        <v>30</v>
      </c>
      <c r="E575" s="16">
        <v>4</v>
      </c>
      <c r="F575" s="115">
        <v>5.367</v>
      </c>
      <c r="G575" s="115">
        <v>2.1160000000000001</v>
      </c>
    </row>
    <row r="576" spans="1:14">
      <c r="A576" s="16">
        <v>16</v>
      </c>
      <c r="B576" s="76">
        <v>45017</v>
      </c>
      <c r="C576">
        <v>2023</v>
      </c>
      <c r="D576" s="11" t="s">
        <v>30</v>
      </c>
      <c r="E576" s="16">
        <v>4</v>
      </c>
      <c r="F576" s="115">
        <v>4.3739999999999997</v>
      </c>
      <c r="G576" s="115">
        <v>1.073</v>
      </c>
      <c r="H576" s="29"/>
      <c r="I576" s="29">
        <f t="shared" ref="I576" si="69">AVERAGE(F575:F576)</f>
        <v>4.8704999999999998</v>
      </c>
      <c r="J576" s="29">
        <f t="shared" ref="J576" si="70">AVERAGE(G575:G576)</f>
        <v>1.5945</v>
      </c>
      <c r="L576">
        <f t="shared" ref="L576" si="71">+J576/I576</f>
        <v>0.32737911918694179</v>
      </c>
      <c r="M576">
        <f t="shared" ref="M576" si="72">+(L576-$L$619)/$L$620</f>
        <v>0.47518888402296644</v>
      </c>
      <c r="N576">
        <f t="shared" ref="N576" si="73">+N574+M576</f>
        <v>9.9715752542909133</v>
      </c>
    </row>
    <row r="577" spans="1:14">
      <c r="A577" s="16">
        <v>2</v>
      </c>
      <c r="B577" s="76">
        <v>45047</v>
      </c>
      <c r="C577">
        <v>2023</v>
      </c>
      <c r="D577" s="11" t="s">
        <v>31</v>
      </c>
      <c r="E577" s="16">
        <v>5</v>
      </c>
      <c r="F577" s="115">
        <v>1.7250000000000001</v>
      </c>
      <c r="G577" s="115">
        <v>0.35</v>
      </c>
    </row>
    <row r="578" spans="1:14">
      <c r="A578" s="16">
        <v>16</v>
      </c>
      <c r="B578" s="76">
        <v>45047</v>
      </c>
      <c r="C578">
        <v>2023</v>
      </c>
      <c r="D578" s="11" t="s">
        <v>31</v>
      </c>
      <c r="E578" s="16">
        <v>5</v>
      </c>
      <c r="F578" s="115">
        <v>2.133</v>
      </c>
      <c r="G578" s="115">
        <v>0.374</v>
      </c>
      <c r="H578" s="29"/>
      <c r="I578" s="29">
        <f t="shared" ref="I578" si="74">AVERAGE(F577:F578)</f>
        <v>1.929</v>
      </c>
      <c r="J578" s="29">
        <f t="shared" ref="J578" si="75">AVERAGE(G577:G578)</f>
        <v>0.36199999999999999</v>
      </c>
      <c r="L578">
        <f t="shared" ref="L578" si="76">+J578/I578</f>
        <v>0.18766200103680664</v>
      </c>
      <c r="M578">
        <f t="shared" ref="M578" si="77">+(L578-$L$619)/$L$620</f>
        <v>-0.77558800339417167</v>
      </c>
      <c r="N578">
        <f t="shared" ref="N578" si="78">+N576+M578</f>
        <v>9.1959872508967422</v>
      </c>
    </row>
    <row r="579" spans="1:14">
      <c r="A579" s="16">
        <v>2</v>
      </c>
      <c r="B579" s="76">
        <v>45078</v>
      </c>
      <c r="C579">
        <v>2023</v>
      </c>
      <c r="D579" s="11" t="s">
        <v>32</v>
      </c>
      <c r="E579" s="16">
        <v>6</v>
      </c>
      <c r="F579" s="115">
        <v>4.9729999999999999</v>
      </c>
      <c r="G579" s="115">
        <v>0.78500000000000003</v>
      </c>
    </row>
    <row r="580" spans="1:14">
      <c r="A580" s="16">
        <v>16</v>
      </c>
      <c r="B580" s="76">
        <v>45078</v>
      </c>
      <c r="C580">
        <v>2023</v>
      </c>
      <c r="D580" s="11" t="s">
        <v>32</v>
      </c>
      <c r="E580" s="16">
        <v>6</v>
      </c>
      <c r="F580" s="115">
        <v>4.6719999999999997</v>
      </c>
      <c r="G580" s="115">
        <v>0.72099999999999997</v>
      </c>
      <c r="H580" s="29"/>
      <c r="I580" s="29">
        <f t="shared" ref="I580" si="79">AVERAGE(F579:F580)</f>
        <v>4.8224999999999998</v>
      </c>
      <c r="J580" s="29">
        <f t="shared" ref="J580" si="80">AVERAGE(G579:G580)</f>
        <v>0.753</v>
      </c>
      <c r="L580">
        <f t="shared" ref="L580" si="81">+J580/I580</f>
        <v>0.15614307931570762</v>
      </c>
      <c r="M580">
        <f t="shared" ref="M580" si="82">+(L580-$L$619)/$L$620</f>
        <v>-1.0577519882159736</v>
      </c>
      <c r="N580">
        <f t="shared" ref="N580" si="83">+N578+M580</f>
        <v>8.1382352626807695</v>
      </c>
    </row>
    <row r="581" spans="1:14">
      <c r="A581" s="16">
        <v>2</v>
      </c>
      <c r="B581" s="76">
        <v>45108</v>
      </c>
      <c r="C581">
        <v>2023</v>
      </c>
      <c r="D581" s="11" t="s">
        <v>33</v>
      </c>
      <c r="E581" s="16">
        <v>7</v>
      </c>
      <c r="F581" s="115">
        <v>5.7270000000000003</v>
      </c>
      <c r="G581" s="115">
        <v>1.149</v>
      </c>
    </row>
    <row r="582" spans="1:14">
      <c r="A582" s="16">
        <v>16</v>
      </c>
      <c r="B582" s="76">
        <v>45108</v>
      </c>
      <c r="C582">
        <v>2023</v>
      </c>
      <c r="D582" s="11" t="s">
        <v>33</v>
      </c>
      <c r="E582" s="16">
        <v>7</v>
      </c>
      <c r="F582" s="115">
        <v>7.0720000000000001</v>
      </c>
      <c r="G582" s="115">
        <v>0.84399999999999997</v>
      </c>
      <c r="H582" s="29"/>
      <c r="I582" s="29">
        <f t="shared" ref="I582" si="84">AVERAGE(F581:F582)</f>
        <v>6.3994999999999997</v>
      </c>
      <c r="J582" s="29">
        <f t="shared" ref="J582" si="85">AVERAGE(G581:G582)</f>
        <v>0.99649999999999994</v>
      </c>
      <c r="L582">
        <f t="shared" ref="L582" si="86">+J582/I582</f>
        <v>0.15571529025705133</v>
      </c>
      <c r="M582">
        <f t="shared" ref="M582" si="87">+(L582-$L$619)/$L$620</f>
        <v>-1.0615816454143296</v>
      </c>
      <c r="N582">
        <f t="shared" ref="N582" si="88">+N580+M582</f>
        <v>7.07665361726644</v>
      </c>
    </row>
    <row r="583" spans="1:14">
      <c r="A583" s="16">
        <v>2</v>
      </c>
      <c r="B583" s="76">
        <v>45139</v>
      </c>
      <c r="C583">
        <v>2023</v>
      </c>
      <c r="D583" s="11" t="s">
        <v>34</v>
      </c>
      <c r="E583" s="16">
        <v>8</v>
      </c>
      <c r="F583" s="115">
        <v>3.31</v>
      </c>
      <c r="G583" s="115">
        <v>0.80900000000000005</v>
      </c>
    </row>
    <row r="584" spans="1:14">
      <c r="A584" s="16">
        <v>16</v>
      </c>
      <c r="B584" s="76">
        <v>45139</v>
      </c>
      <c r="C584">
        <v>2023</v>
      </c>
      <c r="D584" s="11" t="s">
        <v>34</v>
      </c>
      <c r="E584" s="16">
        <v>8</v>
      </c>
      <c r="F584" s="115">
        <v>6.7450000000000001</v>
      </c>
      <c r="G584" s="116">
        <v>2</v>
      </c>
      <c r="H584" s="29"/>
      <c r="I584" s="29">
        <f t="shared" ref="I584" si="89">AVERAGE(F583:F584)</f>
        <v>5.0274999999999999</v>
      </c>
      <c r="J584" s="29">
        <f t="shared" ref="J584" si="90">AVERAGE(G583:G584)</f>
        <v>1.4045000000000001</v>
      </c>
      <c r="L584">
        <f t="shared" ref="L584" si="91">+J584/I584</f>
        <v>0.27936350074589761</v>
      </c>
      <c r="M584">
        <f t="shared" ref="M584" si="92">+(L584-$L$619)/$L$620</f>
        <v>4.5343017057952156E-2</v>
      </c>
      <c r="N584">
        <f t="shared" ref="N584" si="93">+N582+M584</f>
        <v>7.1219966343243923</v>
      </c>
    </row>
    <row r="585" spans="1:14">
      <c r="A585" s="16">
        <v>2</v>
      </c>
      <c r="B585" s="76">
        <v>45170</v>
      </c>
      <c r="C585">
        <v>2023</v>
      </c>
      <c r="D585" s="11" t="s">
        <v>40</v>
      </c>
      <c r="E585" s="16">
        <v>9</v>
      </c>
      <c r="F585" s="115">
        <v>1.849</v>
      </c>
      <c r="G585" s="115">
        <v>0.17100000000000001</v>
      </c>
    </row>
    <row r="586" spans="1:14">
      <c r="A586" s="16">
        <v>16</v>
      </c>
      <c r="B586" s="76">
        <v>45170</v>
      </c>
      <c r="C586">
        <v>2023</v>
      </c>
      <c r="D586" s="11" t="s">
        <v>40</v>
      </c>
      <c r="E586" s="16">
        <v>9</v>
      </c>
      <c r="F586" s="115">
        <v>1.9390000000000001</v>
      </c>
      <c r="G586" s="115">
        <v>0.127</v>
      </c>
      <c r="H586" s="29"/>
      <c r="I586" s="29">
        <f t="shared" ref="I586" si="94">AVERAGE(F585:F586)</f>
        <v>1.8940000000000001</v>
      </c>
      <c r="J586" s="29">
        <f t="shared" ref="J586" si="95">AVERAGE(G585:G586)</f>
        <v>0.14900000000000002</v>
      </c>
      <c r="L586">
        <f t="shared" ref="L586" si="96">+J586/I586</f>
        <v>7.8669482576557551E-2</v>
      </c>
      <c r="M586">
        <f t="shared" ref="M586" si="97">+(L586-$L$619)/$L$620</f>
        <v>-1.7513118430812662</v>
      </c>
      <c r="N586">
        <f t="shared" ref="N586" si="98">+N584+M586</f>
        <v>5.3706847912431259</v>
      </c>
    </row>
    <row r="587" spans="1:14">
      <c r="A587" s="16">
        <v>2</v>
      </c>
      <c r="B587" s="76">
        <v>45200</v>
      </c>
      <c r="C587">
        <v>2023</v>
      </c>
      <c r="D587" s="11" t="s">
        <v>36</v>
      </c>
      <c r="E587" s="16">
        <v>10</v>
      </c>
      <c r="F587" s="116">
        <v>0.50900000000000001</v>
      </c>
      <c r="G587" s="115">
        <v>6.4000000000000001E-2</v>
      </c>
    </row>
    <row r="588" spans="1:14">
      <c r="A588" s="16">
        <v>16</v>
      </c>
      <c r="B588" s="76">
        <v>45200</v>
      </c>
      <c r="C588">
        <v>2023</v>
      </c>
      <c r="D588" s="11" t="s">
        <v>36</v>
      </c>
      <c r="E588" s="16">
        <v>10</v>
      </c>
      <c r="F588" s="115">
        <v>0.65300000000000002</v>
      </c>
      <c r="G588" s="115">
        <v>7.0999999999999994E-2</v>
      </c>
      <c r="H588" s="29"/>
      <c r="I588" s="29">
        <f t="shared" ref="I588" si="99">AVERAGE(F587:F588)</f>
        <v>0.58099999999999996</v>
      </c>
      <c r="J588" s="29">
        <f t="shared" ref="J588" si="100">AVERAGE(G587:G588)</f>
        <v>6.7500000000000004E-2</v>
      </c>
      <c r="L588">
        <f t="shared" ref="L588" si="101">+J588/I588</f>
        <v>0.11617900172117041</v>
      </c>
      <c r="M588">
        <f t="shared" ref="M588" si="102">+(L588-$L$619)/$L$620</f>
        <v>-1.4155187761658858</v>
      </c>
      <c r="N588">
        <f t="shared" ref="N588" si="103">+N586+M588</f>
        <v>3.9551660150772401</v>
      </c>
    </row>
    <row r="589" spans="1:14">
      <c r="A589" s="16">
        <v>2</v>
      </c>
      <c r="B589" s="76">
        <v>45231</v>
      </c>
      <c r="C589">
        <v>2023</v>
      </c>
      <c r="D589" s="11" t="s">
        <v>37</v>
      </c>
      <c r="E589" s="16">
        <v>11</v>
      </c>
      <c r="F589" s="115">
        <v>0.56699999999999995</v>
      </c>
      <c r="G589" s="115">
        <v>6.3E-2</v>
      </c>
    </row>
    <row r="590" spans="1:14">
      <c r="A590" s="16">
        <v>16</v>
      </c>
      <c r="B590" s="76">
        <v>45231</v>
      </c>
      <c r="C590">
        <v>2023</v>
      </c>
      <c r="D590" s="11" t="s">
        <v>37</v>
      </c>
      <c r="E590" s="16">
        <v>11</v>
      </c>
      <c r="F590" s="115">
        <v>0.41399999999999998</v>
      </c>
      <c r="G590" s="115">
        <v>2.3E-2</v>
      </c>
      <c r="H590" s="29"/>
      <c r="I590" s="29">
        <f t="shared" ref="I590" si="104">AVERAGE(F589:F590)</f>
        <v>0.49049999999999994</v>
      </c>
      <c r="J590" s="29">
        <f t="shared" ref="J590" si="105">AVERAGE(G589:G590)</f>
        <v>4.2999999999999997E-2</v>
      </c>
      <c r="L590">
        <f t="shared" ref="L590" si="106">+J590/I590</f>
        <v>8.766564729867482E-2</v>
      </c>
      <c r="M590">
        <f t="shared" ref="M590" si="107">+(L590-$L$619)/$L$620</f>
        <v>-1.6707762934020172</v>
      </c>
      <c r="N590">
        <f t="shared" ref="N590" si="108">+N588+M590</f>
        <v>2.2843897216752227</v>
      </c>
    </row>
    <row r="591" spans="1:14">
      <c r="A591" s="16">
        <v>2</v>
      </c>
      <c r="B591" s="77">
        <v>45261</v>
      </c>
      <c r="C591">
        <v>2023</v>
      </c>
      <c r="D591" s="11" t="s">
        <v>38</v>
      </c>
      <c r="E591" s="16">
        <v>12</v>
      </c>
      <c r="F591" s="115">
        <v>0.66700000000000004</v>
      </c>
      <c r="G591" s="115">
        <v>0.123</v>
      </c>
    </row>
    <row r="592" spans="1:14">
      <c r="A592" s="16">
        <v>16</v>
      </c>
      <c r="B592" s="76">
        <v>45261</v>
      </c>
      <c r="C592">
        <v>2023</v>
      </c>
      <c r="D592" s="11" t="s">
        <v>38</v>
      </c>
      <c r="E592" s="16">
        <v>12</v>
      </c>
      <c r="F592" s="115">
        <v>0.69799999999999995</v>
      </c>
      <c r="G592" s="115">
        <v>0.14799999999999999</v>
      </c>
      <c r="H592" s="29"/>
      <c r="I592" s="29">
        <f t="shared" ref="I592" si="109">AVERAGE(F591:F592)</f>
        <v>0.6825</v>
      </c>
      <c r="J592" s="29">
        <f t="shared" ref="J592" si="110">AVERAGE(G591:G592)</f>
        <v>0.13550000000000001</v>
      </c>
      <c r="L592">
        <f t="shared" ref="L592" si="111">+J592/I592</f>
        <v>0.19853479853479855</v>
      </c>
      <c r="M592">
        <f t="shared" ref="M592" si="112">+(L592-$L$619)/$L$620</f>
        <v>-0.67825244428650611</v>
      </c>
      <c r="N592">
        <f t="shared" ref="N592" si="113">+N590+M592</f>
        <v>1.6061372773887166</v>
      </c>
    </row>
    <row r="593" spans="1:14">
      <c r="A593" s="91">
        <v>2</v>
      </c>
      <c r="B593" s="92">
        <v>45292</v>
      </c>
      <c r="C593" s="93">
        <v>2024</v>
      </c>
      <c r="D593" s="94" t="s">
        <v>39</v>
      </c>
      <c r="E593" s="91">
        <v>1</v>
      </c>
      <c r="F593" s="115">
        <v>3.1520000000000001</v>
      </c>
      <c r="G593" s="115">
        <v>0.88</v>
      </c>
    </row>
    <row r="594" spans="1:14">
      <c r="A594" s="16">
        <v>16</v>
      </c>
      <c r="B594" s="72">
        <v>45292</v>
      </c>
      <c r="C594">
        <v>2024</v>
      </c>
      <c r="D594" s="11" t="s">
        <v>39</v>
      </c>
      <c r="E594" s="16">
        <v>1</v>
      </c>
      <c r="F594" s="115">
        <v>1.6479999999999999</v>
      </c>
      <c r="G594" s="115">
        <v>0.36299999999999999</v>
      </c>
      <c r="H594" s="29"/>
      <c r="I594" s="29">
        <f t="shared" ref="I594" si="114">AVERAGE(F593:F594)</f>
        <v>2.4</v>
      </c>
      <c r="J594" s="29">
        <f t="shared" ref="J594" si="115">AVERAGE(G593:G594)</f>
        <v>0.62149999999999994</v>
      </c>
      <c r="L594">
        <f t="shared" ref="L594" si="116">+J594/I594</f>
        <v>0.25895833333333335</v>
      </c>
      <c r="M594">
        <f t="shared" ref="M594" si="117">+(L594-$L$619)/$L$620</f>
        <v>-0.13732831285086658</v>
      </c>
      <c r="N594">
        <f t="shared" ref="N594" si="118">+N592+M594</f>
        <v>1.4688089645378499</v>
      </c>
    </row>
    <row r="595" spans="1:14">
      <c r="A595" s="16">
        <v>2</v>
      </c>
      <c r="B595" s="76">
        <v>45323</v>
      </c>
      <c r="C595">
        <v>2024</v>
      </c>
      <c r="D595" s="11" t="s">
        <v>28</v>
      </c>
      <c r="E595" s="16">
        <v>2</v>
      </c>
      <c r="F595" s="115">
        <v>4.9139999999999997</v>
      </c>
      <c r="G595" s="115">
        <v>1.2669999999999999</v>
      </c>
    </row>
    <row r="596" spans="1:14">
      <c r="A596" s="16">
        <v>16</v>
      </c>
      <c r="B596" s="76">
        <v>45323</v>
      </c>
      <c r="C596">
        <v>2024</v>
      </c>
      <c r="D596" s="11" t="s">
        <v>28</v>
      </c>
      <c r="E596" s="16">
        <v>2</v>
      </c>
      <c r="F596" s="115">
        <v>2.052</v>
      </c>
      <c r="G596" s="115">
        <v>0.52700000000000002</v>
      </c>
      <c r="H596" s="29"/>
      <c r="I596" s="29">
        <f t="shared" ref="I596" si="119">AVERAGE(F595:F596)</f>
        <v>3.4829999999999997</v>
      </c>
      <c r="J596" s="29">
        <f t="shared" ref="J596" si="120">AVERAGE(G595:G596)</f>
        <v>0.89700000000000002</v>
      </c>
      <c r="L596">
        <f t="shared" ref="L596" si="121">+J596/I596</f>
        <v>0.2575366063738157</v>
      </c>
      <c r="M596">
        <f t="shared" ref="M596" si="122">+(L596-$L$619)/$L$620</f>
        <v>-0.15005591018988162</v>
      </c>
      <c r="N596">
        <f t="shared" ref="N596" si="123">+N594+M596</f>
        <v>1.3187530543479684</v>
      </c>
    </row>
    <row r="597" spans="1:14">
      <c r="A597" s="16">
        <v>2</v>
      </c>
      <c r="B597" s="76">
        <v>45352</v>
      </c>
      <c r="C597">
        <v>2024</v>
      </c>
      <c r="D597" s="11" t="s">
        <v>29</v>
      </c>
      <c r="E597" s="16">
        <v>3</v>
      </c>
    </row>
    <row r="598" spans="1:14">
      <c r="A598" s="16">
        <v>16</v>
      </c>
      <c r="B598" s="76">
        <v>45352</v>
      </c>
      <c r="C598">
        <v>2024</v>
      </c>
      <c r="D598" s="11" t="s">
        <v>29</v>
      </c>
      <c r="E598" s="16">
        <v>3</v>
      </c>
      <c r="H598" s="29"/>
      <c r="I598" s="29"/>
      <c r="J598" s="29"/>
    </row>
    <row r="599" spans="1:14">
      <c r="A599" s="16">
        <v>2</v>
      </c>
      <c r="B599" s="76">
        <v>45383</v>
      </c>
      <c r="C599">
        <v>2024</v>
      </c>
      <c r="D599" s="11" t="s">
        <v>30</v>
      </c>
      <c r="E599" s="16">
        <v>4</v>
      </c>
      <c r="F599" s="115">
        <v>1.42</v>
      </c>
      <c r="G599" s="115">
        <v>0.23799999999999999</v>
      </c>
    </row>
    <row r="600" spans="1:14">
      <c r="A600" s="16">
        <v>16</v>
      </c>
      <c r="B600" s="76">
        <v>45383</v>
      </c>
      <c r="C600">
        <v>2024</v>
      </c>
      <c r="D600" s="11" t="s">
        <v>30</v>
      </c>
      <c r="E600" s="16">
        <v>4</v>
      </c>
      <c r="F600" s="115">
        <v>1.0109999999999999</v>
      </c>
      <c r="G600" s="115">
        <v>0.122</v>
      </c>
      <c r="H600" s="29"/>
      <c r="I600" s="29">
        <f t="shared" ref="I600" si="124">AVERAGE(F599:F600)</f>
        <v>1.2155</v>
      </c>
      <c r="J600" s="29">
        <f t="shared" ref="J600" si="125">AVERAGE(G599:G600)</f>
        <v>0.18</v>
      </c>
      <c r="L600">
        <f t="shared" ref="L600" si="126">+J600/I600</f>
        <v>0.14808720691073632</v>
      </c>
      <c r="M600">
        <f t="shared" ref="M600" si="127">+(L600-$L$619)/$L$620</f>
        <v>-1.1298698442491348</v>
      </c>
      <c r="N600">
        <f>+N596+M600</f>
        <v>0.18888321009883358</v>
      </c>
    </row>
    <row r="601" spans="1:14">
      <c r="A601" s="16">
        <v>2</v>
      </c>
      <c r="B601" s="76">
        <v>45413</v>
      </c>
      <c r="C601">
        <v>2024</v>
      </c>
      <c r="D601" s="11" t="s">
        <v>31</v>
      </c>
      <c r="E601" s="16">
        <v>5</v>
      </c>
      <c r="F601" s="115">
        <v>7.2709999999999999</v>
      </c>
      <c r="G601" s="115">
        <v>1.7709999999999999</v>
      </c>
    </row>
    <row r="602" spans="1:14">
      <c r="A602" s="16">
        <v>16</v>
      </c>
      <c r="B602" s="76">
        <v>45413</v>
      </c>
      <c r="C602">
        <v>2024</v>
      </c>
      <c r="D602" s="11" t="s">
        <v>31</v>
      </c>
      <c r="E602" s="16">
        <v>5</v>
      </c>
      <c r="F602" s="115">
        <v>3.9809999999999999</v>
      </c>
      <c r="G602" s="115">
        <v>1.0780000000000001</v>
      </c>
      <c r="H602" s="29"/>
      <c r="I602" s="29">
        <f t="shared" ref="I602:J602" si="128">AVERAGE(F601:F602)</f>
        <v>5.6259999999999994</v>
      </c>
      <c r="J602" s="29">
        <f t="shared" si="128"/>
        <v>1.4245000000000001</v>
      </c>
      <c r="L602">
        <f t="shared" ref="L602" si="129">+J602/I602</f>
        <v>0.25319943121222899</v>
      </c>
      <c r="M602">
        <f t="shared" ref="M602" si="130">+(L602-$L$619)/$L$620</f>
        <v>-0.18888321009856576</v>
      </c>
      <c r="N602">
        <f t="shared" ref="N602" si="131">+N600+M602</f>
        <v>2.6781354911520339E-13</v>
      </c>
    </row>
    <row r="603" spans="1:14">
      <c r="A603" s="16">
        <v>2</v>
      </c>
      <c r="B603" s="76">
        <v>45444</v>
      </c>
      <c r="C603">
        <v>2024</v>
      </c>
      <c r="D603" s="11" t="s">
        <v>32</v>
      </c>
      <c r="E603" s="16">
        <v>6</v>
      </c>
      <c r="H603" s="108" t="s">
        <v>104</v>
      </c>
    </row>
    <row r="604" spans="1:14">
      <c r="A604" s="16">
        <v>16</v>
      </c>
      <c r="B604" s="76">
        <v>45444</v>
      </c>
      <c r="C604">
        <v>2024</v>
      </c>
      <c r="D604" s="11" t="s">
        <v>32</v>
      </c>
      <c r="E604" s="16">
        <v>6</v>
      </c>
      <c r="H604" s="108" t="s">
        <v>105</v>
      </c>
    </row>
    <row r="605" spans="1:14">
      <c r="A605" s="16">
        <v>2</v>
      </c>
      <c r="B605" s="76">
        <v>45474</v>
      </c>
      <c r="C605">
        <v>2024</v>
      </c>
      <c r="D605" s="11" t="s">
        <v>33</v>
      </c>
      <c r="E605" s="16">
        <v>7</v>
      </c>
    </row>
    <row r="606" spans="1:14">
      <c r="A606" s="16">
        <v>16</v>
      </c>
      <c r="B606" s="76">
        <v>45474</v>
      </c>
      <c r="C606">
        <v>2024</v>
      </c>
      <c r="D606" s="11" t="s">
        <v>33</v>
      </c>
      <c r="E606" s="16">
        <v>7</v>
      </c>
    </row>
    <row r="607" spans="1:14">
      <c r="A607" s="16">
        <v>2</v>
      </c>
      <c r="B607" s="76">
        <v>45505</v>
      </c>
      <c r="C607">
        <v>2024</v>
      </c>
      <c r="D607" s="11" t="s">
        <v>34</v>
      </c>
      <c r="E607" s="16">
        <v>8</v>
      </c>
    </row>
    <row r="608" spans="1:14">
      <c r="A608" s="16">
        <v>16</v>
      </c>
      <c r="B608" s="76">
        <v>45505</v>
      </c>
      <c r="C608">
        <v>2024</v>
      </c>
      <c r="D608" s="11" t="s">
        <v>34</v>
      </c>
      <c r="E608" s="16">
        <v>8</v>
      </c>
    </row>
    <row r="609" spans="1:12">
      <c r="A609" s="16">
        <v>2</v>
      </c>
      <c r="B609" s="76">
        <v>45536</v>
      </c>
      <c r="C609">
        <v>2024</v>
      </c>
      <c r="D609" s="11" t="s">
        <v>40</v>
      </c>
      <c r="E609" s="16">
        <v>9</v>
      </c>
    </row>
    <row r="610" spans="1:12">
      <c r="A610" s="16">
        <v>16</v>
      </c>
      <c r="B610" s="76">
        <v>45536</v>
      </c>
      <c r="C610">
        <v>2024</v>
      </c>
      <c r="D610" s="11" t="s">
        <v>40</v>
      </c>
      <c r="E610" s="16">
        <v>9</v>
      </c>
    </row>
    <row r="611" spans="1:12">
      <c r="A611" s="16">
        <v>2</v>
      </c>
      <c r="B611" s="76">
        <v>45566</v>
      </c>
      <c r="C611">
        <v>2024</v>
      </c>
      <c r="D611" s="11" t="s">
        <v>36</v>
      </c>
      <c r="E611" s="16">
        <v>10</v>
      </c>
    </row>
    <row r="612" spans="1:12">
      <c r="A612" s="16">
        <v>16</v>
      </c>
      <c r="B612" s="76">
        <v>45566</v>
      </c>
      <c r="C612">
        <v>2024</v>
      </c>
      <c r="D612" s="11" t="s">
        <v>36</v>
      </c>
      <c r="E612" s="16">
        <v>10</v>
      </c>
    </row>
    <row r="613" spans="1:12">
      <c r="A613" s="16">
        <v>2</v>
      </c>
      <c r="B613" s="76">
        <v>45597</v>
      </c>
      <c r="C613">
        <v>2024</v>
      </c>
      <c r="D613" s="11" t="s">
        <v>37</v>
      </c>
      <c r="E613" s="16">
        <v>11</v>
      </c>
    </row>
    <row r="614" spans="1:12">
      <c r="A614" s="16">
        <v>16</v>
      </c>
      <c r="B614" s="76">
        <v>45597</v>
      </c>
      <c r="C614">
        <v>2024</v>
      </c>
      <c r="D614" s="11" t="s">
        <v>37</v>
      </c>
      <c r="E614" s="16">
        <v>11</v>
      </c>
    </row>
    <row r="615" spans="1:12">
      <c r="A615" s="16">
        <v>2</v>
      </c>
      <c r="B615" s="77">
        <v>45627</v>
      </c>
      <c r="C615">
        <v>2024</v>
      </c>
      <c r="D615" s="11" t="s">
        <v>38</v>
      </c>
      <c r="E615" s="16">
        <v>12</v>
      </c>
    </row>
    <row r="616" spans="1:12">
      <c r="A616" s="16">
        <v>16</v>
      </c>
      <c r="B616" s="76">
        <v>45627</v>
      </c>
      <c r="C616">
        <v>2024</v>
      </c>
      <c r="D616" s="11" t="s">
        <v>38</v>
      </c>
      <c r="E616" s="16">
        <v>12</v>
      </c>
    </row>
    <row r="619" spans="1:12">
      <c r="K619" s="89" t="s">
        <v>87</v>
      </c>
      <c r="L619" s="89">
        <f>AVERAGE(L4:L616)</f>
        <v>0.27429849216179136</v>
      </c>
    </row>
    <row r="620" spans="1:12">
      <c r="K620" s="89" t="s">
        <v>88</v>
      </c>
      <c r="L620" s="89">
        <f>STDEV(L4:L616)</f>
        <v>0.11170426920715801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B422-B33F-6E49-87BF-4D580A3A3755}">
  <sheetPr>
    <tabColor theme="9" tint="0.39997558519241921"/>
  </sheetPr>
  <dimension ref="A1:Q620"/>
  <sheetViews>
    <sheetView workbookViewId="0">
      <pane ySplit="2" topLeftCell="A491" activePane="bottomLeft" state="frozen"/>
      <selection pane="bottomLeft" activeCell="O497" sqref="O497"/>
    </sheetView>
  </sheetViews>
  <sheetFormatPr defaultColWidth="11.42578125" defaultRowHeight="15"/>
  <cols>
    <col min="2" max="2" width="10.85546875" style="71"/>
  </cols>
  <sheetData>
    <row r="1" spans="1:17" ht="18">
      <c r="F1" s="1" t="s">
        <v>0</v>
      </c>
      <c r="G1" s="1" t="s">
        <v>1</v>
      </c>
      <c r="I1" s="1" t="s">
        <v>81</v>
      </c>
    </row>
    <row r="2" spans="1:17">
      <c r="A2" s="2" t="s">
        <v>2</v>
      </c>
      <c r="B2" s="72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9</v>
      </c>
      <c r="H2" s="7" t="s">
        <v>13</v>
      </c>
      <c r="I2" s="6" t="s">
        <v>7</v>
      </c>
      <c r="J2" s="6" t="s">
        <v>9</v>
      </c>
      <c r="L2" s="70" t="s">
        <v>89</v>
      </c>
      <c r="M2" s="70" t="s">
        <v>90</v>
      </c>
      <c r="N2" s="70" t="s">
        <v>82</v>
      </c>
    </row>
    <row r="3" spans="1:17">
      <c r="A3" s="8">
        <v>2</v>
      </c>
      <c r="B3" s="73">
        <v>36445</v>
      </c>
      <c r="C3" s="10">
        <v>1999</v>
      </c>
      <c r="D3" s="11" t="s">
        <v>14</v>
      </c>
      <c r="E3" s="12">
        <v>10</v>
      </c>
      <c r="F3" s="13">
        <v>1.3330102911201809</v>
      </c>
      <c r="G3" s="14">
        <v>0</v>
      </c>
      <c r="Q3" t="s">
        <v>111</v>
      </c>
    </row>
    <row r="4" spans="1:17">
      <c r="A4" s="8">
        <v>16</v>
      </c>
      <c r="B4" s="73">
        <v>36444</v>
      </c>
      <c r="C4" s="10">
        <v>1999</v>
      </c>
      <c r="D4" s="11" t="s">
        <v>14</v>
      </c>
      <c r="E4" s="12">
        <v>10</v>
      </c>
      <c r="F4" s="13">
        <v>1.6606092731436428</v>
      </c>
      <c r="G4" s="14">
        <v>0</v>
      </c>
      <c r="I4" s="29">
        <f>AVERAGE(F3:F4)</f>
        <v>1.496809782131912</v>
      </c>
      <c r="J4" s="29">
        <f>AVERAGE(G3:G4)</f>
        <v>0</v>
      </c>
      <c r="L4">
        <v>0</v>
      </c>
      <c r="M4">
        <f>+(L4-$L$619)/$L$620</f>
        <v>-0.40884531980103711</v>
      </c>
      <c r="N4">
        <f>+M4</f>
        <v>-0.40884531980103711</v>
      </c>
    </row>
    <row r="5" spans="1:17">
      <c r="A5" s="8">
        <v>2</v>
      </c>
      <c r="B5" s="73">
        <v>36472</v>
      </c>
      <c r="C5" s="10">
        <v>1999</v>
      </c>
      <c r="D5" s="11" t="s">
        <v>16</v>
      </c>
      <c r="E5" s="10">
        <v>11</v>
      </c>
      <c r="F5" s="13">
        <v>4.285993642125038</v>
      </c>
      <c r="G5" s="14">
        <v>0</v>
      </c>
    </row>
    <row r="6" spans="1:17">
      <c r="A6" s="8">
        <v>16</v>
      </c>
      <c r="B6" s="73">
        <v>36472</v>
      </c>
      <c r="C6" s="10">
        <v>1999</v>
      </c>
      <c r="D6" s="11" t="s">
        <v>16</v>
      </c>
      <c r="E6" s="10">
        <v>11</v>
      </c>
      <c r="F6" s="13">
        <v>0.41591953889429528</v>
      </c>
      <c r="G6" s="14">
        <v>0</v>
      </c>
      <c r="I6" s="29">
        <f>AVERAGE(F5:F6)</f>
        <v>2.3509565905096665</v>
      </c>
      <c r="J6" s="29">
        <f>AVERAGE(G5:G6)</f>
        <v>0</v>
      </c>
      <c r="L6">
        <v>0</v>
      </c>
      <c r="M6">
        <f>+(L6-$L$619)/$L$620</f>
        <v>-0.40884531980103711</v>
      </c>
      <c r="N6">
        <f>+N4+M6</f>
        <v>-0.81769063960207422</v>
      </c>
    </row>
    <row r="7" spans="1:17">
      <c r="A7" s="8">
        <v>2</v>
      </c>
      <c r="B7" s="73">
        <v>36501</v>
      </c>
      <c r="C7" s="10">
        <v>1999</v>
      </c>
      <c r="D7" s="11" t="s">
        <v>17</v>
      </c>
      <c r="E7" s="10">
        <v>12</v>
      </c>
      <c r="F7" s="13">
        <v>1.4014618639341168</v>
      </c>
      <c r="G7" s="14">
        <v>0</v>
      </c>
    </row>
    <row r="8" spans="1:17">
      <c r="A8" s="8">
        <v>16</v>
      </c>
      <c r="B8" s="73">
        <v>36501</v>
      </c>
      <c r="C8" s="10">
        <v>1999</v>
      </c>
      <c r="D8" s="11" t="s">
        <v>17</v>
      </c>
      <c r="E8" s="10">
        <v>12</v>
      </c>
      <c r="F8" s="13">
        <v>1.2786164862718898</v>
      </c>
      <c r="G8" s="14">
        <v>0</v>
      </c>
      <c r="I8" s="29">
        <f>AVERAGE(F7:F8)</f>
        <v>1.3400391751030032</v>
      </c>
      <c r="J8" s="29">
        <f>AVERAGE(G7:G8)</f>
        <v>0</v>
      </c>
      <c r="L8">
        <v>0</v>
      </c>
      <c r="M8">
        <f>+(L8-$L$619)/$L$620</f>
        <v>-0.40884531980103711</v>
      </c>
      <c r="N8">
        <f>+N6+M8</f>
        <v>-1.2265359594031113</v>
      </c>
    </row>
    <row r="9" spans="1:17">
      <c r="A9" s="8">
        <v>2</v>
      </c>
      <c r="B9" s="73">
        <v>36530</v>
      </c>
      <c r="C9" s="12">
        <v>2000</v>
      </c>
      <c r="D9" s="11" t="s">
        <v>18</v>
      </c>
      <c r="E9" s="10">
        <v>1</v>
      </c>
      <c r="F9" s="13">
        <v>3.0782638208252844</v>
      </c>
      <c r="G9" s="14">
        <v>3.1504932666666673E-2</v>
      </c>
    </row>
    <row r="10" spans="1:17">
      <c r="A10" s="8">
        <v>16</v>
      </c>
      <c r="B10" s="73">
        <v>36530</v>
      </c>
      <c r="C10" s="12">
        <v>2000</v>
      </c>
      <c r="D10" s="11" t="s">
        <v>18</v>
      </c>
      <c r="E10" s="10">
        <v>1</v>
      </c>
      <c r="F10" s="13">
        <v>3.6585839039056487</v>
      </c>
      <c r="G10" s="14">
        <v>4.0905127999999999E-2</v>
      </c>
      <c r="I10" s="29">
        <f>AVERAGE(F9:F10)</f>
        <v>3.3684238623654665</v>
      </c>
      <c r="J10" s="29">
        <f>AVERAGE(G9:G10)</f>
        <v>3.6205030333333332E-2</v>
      </c>
      <c r="L10">
        <v>1.0748359414574521E-2</v>
      </c>
      <c r="M10">
        <f>+(L10-$L$619)/$L$620</f>
        <v>-9.5158808186530025E-2</v>
      </c>
      <c r="N10">
        <f>+N8+M10</f>
        <v>-1.3216947675896413</v>
      </c>
    </row>
    <row r="11" spans="1:17">
      <c r="A11" s="8">
        <v>2</v>
      </c>
      <c r="B11" s="73">
        <v>36579</v>
      </c>
      <c r="C11" s="12">
        <v>2000</v>
      </c>
      <c r="D11" s="11" t="s">
        <v>19</v>
      </c>
      <c r="E11" s="12">
        <v>2</v>
      </c>
      <c r="F11" s="13">
        <v>2.5386928407093783</v>
      </c>
      <c r="G11" s="14">
        <v>0</v>
      </c>
    </row>
    <row r="12" spans="1:17">
      <c r="A12" s="8">
        <v>16</v>
      </c>
      <c r="B12" s="73">
        <v>36579</v>
      </c>
      <c r="C12" s="12">
        <v>2000</v>
      </c>
      <c r="D12" s="11" t="s">
        <v>19</v>
      </c>
      <c r="E12" s="12">
        <v>2</v>
      </c>
      <c r="F12" s="13">
        <v>2.3945823862849616</v>
      </c>
      <c r="G12" s="14">
        <v>0</v>
      </c>
      <c r="I12" s="29">
        <f>AVERAGE(F11:F12)</f>
        <v>2.4666376134971699</v>
      </c>
      <c r="J12" s="29">
        <f>AVERAGE(G11:G12)</f>
        <v>0</v>
      </c>
      <c r="L12">
        <v>0</v>
      </c>
      <c r="M12">
        <f>+(L12-$L$619)/$L$620</f>
        <v>-0.40884531980103711</v>
      </c>
      <c r="N12">
        <f>+N10+M12</f>
        <v>-1.7305400873906784</v>
      </c>
    </row>
    <row r="13" spans="1:17">
      <c r="A13" s="8">
        <v>2</v>
      </c>
      <c r="B13" s="73">
        <v>36600</v>
      </c>
      <c r="C13" s="12">
        <v>2000</v>
      </c>
      <c r="D13" s="11" t="s">
        <v>20</v>
      </c>
      <c r="E13" s="12">
        <v>3</v>
      </c>
      <c r="F13" s="13">
        <v>1.9050536432870002</v>
      </c>
      <c r="G13" s="14">
        <v>3.7304102999999998E-2</v>
      </c>
    </row>
    <row r="14" spans="1:17">
      <c r="A14" s="8">
        <v>16</v>
      </c>
      <c r="B14" s="73">
        <v>36600</v>
      </c>
      <c r="C14" s="12">
        <v>2000</v>
      </c>
      <c r="D14" s="11" t="s">
        <v>20</v>
      </c>
      <c r="E14" s="12">
        <v>3</v>
      </c>
      <c r="F14" s="13">
        <v>1.5679274644511905</v>
      </c>
      <c r="G14" s="14">
        <v>4.1424157833333329E-2</v>
      </c>
      <c r="I14" s="29">
        <f>AVERAGE(F13:F14)</f>
        <v>1.7364905538690953</v>
      </c>
      <c r="J14" s="29">
        <f>AVERAGE(G13:G14)</f>
        <v>3.9364130416666664E-2</v>
      </c>
      <c r="L14">
        <v>2.266878465244684E-2</v>
      </c>
      <c r="M14">
        <f>+(L14-$L$619)/$L$620</f>
        <v>0.25273396926928599</v>
      </c>
      <c r="N14">
        <f>+N12+M14</f>
        <v>-1.4778061181213924</v>
      </c>
    </row>
    <row r="15" spans="1:17">
      <c r="A15" s="8">
        <v>2</v>
      </c>
      <c r="B15" s="73">
        <v>36628</v>
      </c>
      <c r="C15" s="12">
        <v>2000</v>
      </c>
      <c r="D15" s="16" t="s">
        <v>21</v>
      </c>
      <c r="E15" s="12">
        <v>4</v>
      </c>
      <c r="F15" s="13">
        <v>4.7973446625707457</v>
      </c>
      <c r="G15" s="14">
        <v>4.6033679500000001E-2</v>
      </c>
    </row>
    <row r="16" spans="1:17">
      <c r="A16" s="8">
        <v>16</v>
      </c>
      <c r="B16" s="73">
        <v>36628</v>
      </c>
      <c r="C16" s="12">
        <v>2000</v>
      </c>
      <c r="D16" s="16" t="s">
        <v>21</v>
      </c>
      <c r="E16" s="12">
        <v>4</v>
      </c>
      <c r="F16" s="13">
        <v>2.7664028879625464</v>
      </c>
      <c r="G16" s="14">
        <v>2.477326983333333E-2</v>
      </c>
      <c r="I16" s="29">
        <f>AVERAGE(F15:F16)</f>
        <v>3.781873775266646</v>
      </c>
      <c r="J16" s="29">
        <f>AVERAGE(G15:G16)</f>
        <v>3.5403474666666664E-2</v>
      </c>
      <c r="L16">
        <v>9.3613580913790538E-3</v>
      </c>
      <c r="M16">
        <f>+(L16-$L$619)/$L$620</f>
        <v>-0.1356378794472034</v>
      </c>
      <c r="N16">
        <f>+N14+M16</f>
        <v>-1.6134439975685959</v>
      </c>
    </row>
    <row r="17" spans="1:14">
      <c r="A17" s="8">
        <v>2</v>
      </c>
      <c r="B17" s="73">
        <v>36661</v>
      </c>
      <c r="C17" s="12">
        <v>2000</v>
      </c>
      <c r="D17" s="16" t="s">
        <v>22</v>
      </c>
      <c r="E17" s="12">
        <v>5</v>
      </c>
      <c r="F17" s="13">
        <v>4.6886727747195547</v>
      </c>
      <c r="G17" s="14">
        <v>0.34010837216666667</v>
      </c>
    </row>
    <row r="18" spans="1:14">
      <c r="A18" s="8">
        <v>16</v>
      </c>
      <c r="B18" s="73">
        <v>36661</v>
      </c>
      <c r="C18" s="12">
        <v>2000</v>
      </c>
      <c r="D18" s="16" t="s">
        <v>22</v>
      </c>
      <c r="E18" s="12">
        <v>5</v>
      </c>
      <c r="F18" s="13">
        <v>6.0927728226505344</v>
      </c>
      <c r="G18" s="14">
        <v>1.0903747498333334</v>
      </c>
      <c r="I18" s="29">
        <f>AVERAGE(F17:F18)</f>
        <v>5.3907227986850446</v>
      </c>
      <c r="J18" s="29">
        <f>AVERAGE(G17:G18)</f>
        <v>0.71524156100000003</v>
      </c>
      <c r="L18">
        <v>0.13268008534485737</v>
      </c>
      <c r="M18">
        <f>+(L18-$L$619)/$L$620</f>
        <v>3.4633691761254499</v>
      </c>
      <c r="N18">
        <f>+N16+M18</f>
        <v>1.849925178556854</v>
      </c>
    </row>
    <row r="19" spans="1:14">
      <c r="A19" s="8">
        <v>2</v>
      </c>
      <c r="B19" s="73">
        <v>36691</v>
      </c>
      <c r="C19" s="12">
        <v>2000</v>
      </c>
      <c r="D19" s="16" t="s">
        <v>23</v>
      </c>
      <c r="E19" s="12">
        <v>6</v>
      </c>
      <c r="F19" s="13">
        <v>1.6994240245561543</v>
      </c>
      <c r="G19" s="14">
        <v>0</v>
      </c>
    </row>
    <row r="20" spans="1:14">
      <c r="A20" s="8">
        <v>16</v>
      </c>
      <c r="B20" s="73">
        <v>36691</v>
      </c>
      <c r="C20" s="12">
        <v>2000</v>
      </c>
      <c r="D20" s="16" t="s">
        <v>23</v>
      </c>
      <c r="E20" s="12">
        <v>6</v>
      </c>
      <c r="F20" s="13">
        <v>4.4627459706507473</v>
      </c>
      <c r="G20" s="14">
        <v>5.4309117999999997E-2</v>
      </c>
      <c r="I20" s="29">
        <f>AVERAGE(F19:F20)</f>
        <v>3.0810849976034507</v>
      </c>
      <c r="J20" s="29">
        <f>AVERAGE(G19:G20)</f>
        <v>2.7154558999999998E-2</v>
      </c>
      <c r="L20">
        <v>8.813310577644411E-3</v>
      </c>
      <c r="M20">
        <f>+(L20-$L$619)/$L$620</f>
        <v>-0.15163242393083046</v>
      </c>
      <c r="N20">
        <f>+N18+M20</f>
        <v>1.6982927546260236</v>
      </c>
    </row>
    <row r="21" spans="1:14">
      <c r="A21" s="8">
        <v>2</v>
      </c>
      <c r="B21" s="73">
        <v>36720</v>
      </c>
      <c r="C21" s="12">
        <v>2000</v>
      </c>
      <c r="D21" s="16" t="s">
        <v>24</v>
      </c>
      <c r="E21" s="12">
        <v>7</v>
      </c>
      <c r="F21" s="13">
        <v>10.384727236125432</v>
      </c>
      <c r="G21" s="14">
        <v>4.9327228333333334E-2</v>
      </c>
    </row>
    <row r="22" spans="1:14">
      <c r="A22" s="8">
        <v>16</v>
      </c>
      <c r="B22" s="73">
        <v>36720</v>
      </c>
      <c r="C22" s="12">
        <v>2000</v>
      </c>
      <c r="D22" s="16" t="s">
        <v>24</v>
      </c>
      <c r="E22" s="12">
        <v>7</v>
      </c>
      <c r="F22" s="13">
        <v>9.8045028976455733</v>
      </c>
      <c r="G22" s="14">
        <v>4.1493347833333333E-2</v>
      </c>
      <c r="I22" s="29">
        <f>AVERAGE(F21:F22)</f>
        <v>10.094615066885503</v>
      </c>
      <c r="J22" s="29">
        <f>AVERAGE(G21:G22)</f>
        <v>4.5410288083333333E-2</v>
      </c>
      <c r="L22">
        <v>4.4984665371043016E-3</v>
      </c>
      <c r="M22">
        <f>+(L22-$L$619)/$L$620</f>
        <v>-0.27755939780949945</v>
      </c>
      <c r="N22">
        <f>+N20+M22</f>
        <v>1.4207333568165241</v>
      </c>
    </row>
    <row r="23" spans="1:14">
      <c r="A23" s="8">
        <v>2</v>
      </c>
      <c r="B23" s="73">
        <v>36754</v>
      </c>
      <c r="C23" s="12">
        <v>2000</v>
      </c>
      <c r="D23" s="16" t="s">
        <v>25</v>
      </c>
      <c r="E23" s="12">
        <v>8</v>
      </c>
      <c r="F23" s="13">
        <v>12.821283488842734</v>
      </c>
      <c r="G23" s="14">
        <v>2.9916078666666669E-2</v>
      </c>
    </row>
    <row r="24" spans="1:14">
      <c r="A24" s="8">
        <v>16</v>
      </c>
      <c r="B24" s="73">
        <v>36754</v>
      </c>
      <c r="C24" s="12">
        <v>2000</v>
      </c>
      <c r="D24" s="16" t="s">
        <v>25</v>
      </c>
      <c r="E24" s="12">
        <v>8</v>
      </c>
      <c r="F24" s="13">
        <v>14.668265930659848</v>
      </c>
      <c r="G24" s="14">
        <v>2.64648605E-2</v>
      </c>
      <c r="I24" s="29">
        <f>AVERAGE(F23:F24)</f>
        <v>13.74477470975129</v>
      </c>
      <c r="J24" s="29">
        <f>AVERAGE(G23:G24)</f>
        <v>2.8190469583333336E-2</v>
      </c>
      <c r="L24">
        <v>2.0509953912400966E-3</v>
      </c>
      <c r="M24">
        <f>+(L24-$L$619)/$L$620</f>
        <v>-0.34898785087948769</v>
      </c>
      <c r="N24">
        <f>+N22+M24</f>
        <v>1.0717455059370364</v>
      </c>
    </row>
    <row r="25" spans="1:14">
      <c r="A25" s="8">
        <v>2</v>
      </c>
      <c r="B25" s="73">
        <v>36782</v>
      </c>
      <c r="C25" s="12">
        <v>2000</v>
      </c>
      <c r="D25" s="16" t="s">
        <v>26</v>
      </c>
      <c r="E25" s="12">
        <v>9</v>
      </c>
      <c r="F25" s="13">
        <v>1.0846293683277899</v>
      </c>
      <c r="G25" s="14">
        <v>0</v>
      </c>
    </row>
    <row r="26" spans="1:14">
      <c r="A26" s="8">
        <v>16</v>
      </c>
      <c r="B26" s="73">
        <v>36782</v>
      </c>
      <c r="C26" s="12">
        <v>2000</v>
      </c>
      <c r="D26" s="16" t="s">
        <v>26</v>
      </c>
      <c r="E26" s="12">
        <v>9</v>
      </c>
      <c r="F26" s="13">
        <v>3.9030508702619744</v>
      </c>
      <c r="G26" s="14">
        <v>0</v>
      </c>
      <c r="I26" s="29">
        <f>AVERAGE(F25:F26)</f>
        <v>2.493840119294882</v>
      </c>
      <c r="J26" s="29">
        <f>AVERAGE(G25:G26)</f>
        <v>0</v>
      </c>
      <c r="L26">
        <v>0</v>
      </c>
      <c r="M26">
        <f>+(L26-$L$619)/$L$620</f>
        <v>-0.40884531980103711</v>
      </c>
      <c r="N26">
        <f>+N24+M26</f>
        <v>0.66290018613599933</v>
      </c>
    </row>
    <row r="27" spans="1:14">
      <c r="A27" s="8">
        <v>2</v>
      </c>
      <c r="B27" s="73">
        <v>36818</v>
      </c>
      <c r="C27" s="12">
        <v>2000</v>
      </c>
      <c r="D27" s="16" t="s">
        <v>14</v>
      </c>
      <c r="E27" s="12">
        <v>10</v>
      </c>
      <c r="F27" s="17">
        <v>0.78369689681136157</v>
      </c>
      <c r="G27" s="15">
        <v>0</v>
      </c>
    </row>
    <row r="28" spans="1:14">
      <c r="A28" s="8">
        <v>16</v>
      </c>
      <c r="B28" s="73">
        <v>36818</v>
      </c>
      <c r="C28" s="12">
        <v>2000</v>
      </c>
      <c r="D28" s="16" t="s">
        <v>14</v>
      </c>
      <c r="E28" s="12">
        <v>10</v>
      </c>
      <c r="F28" s="17">
        <v>1.3435023165554583</v>
      </c>
      <c r="G28" s="15">
        <v>0</v>
      </c>
      <c r="I28" s="29">
        <f>AVERAGE(F27:F28)</f>
        <v>1.0635996066834099</v>
      </c>
      <c r="J28" s="29">
        <f>AVERAGE(G27:G28)</f>
        <v>0</v>
      </c>
      <c r="L28">
        <v>0</v>
      </c>
      <c r="M28">
        <f>+(L28-$L$619)/$L$620</f>
        <v>-0.40884531980103711</v>
      </c>
      <c r="N28">
        <f>+N26+M28</f>
        <v>0.25405486633496221</v>
      </c>
    </row>
    <row r="29" spans="1:14">
      <c r="A29" s="8">
        <v>2</v>
      </c>
      <c r="B29" s="73">
        <v>36845</v>
      </c>
      <c r="C29" s="12">
        <v>2000</v>
      </c>
      <c r="D29" s="16" t="s">
        <v>16</v>
      </c>
      <c r="E29" s="12">
        <v>11</v>
      </c>
      <c r="F29" s="17">
        <v>0.70124637049035787</v>
      </c>
      <c r="G29" s="15">
        <v>0</v>
      </c>
    </row>
    <row r="30" spans="1:14">
      <c r="A30" s="8">
        <v>16</v>
      </c>
      <c r="B30" s="73">
        <v>36848</v>
      </c>
      <c r="C30" s="12">
        <v>2000</v>
      </c>
      <c r="D30" s="16" t="s">
        <v>16</v>
      </c>
      <c r="E30" s="12">
        <v>11</v>
      </c>
      <c r="F30" s="17">
        <v>0.33552353038791721</v>
      </c>
      <c r="G30" s="15">
        <v>0</v>
      </c>
      <c r="I30" s="29">
        <f>AVERAGE(F29:F30)</f>
        <v>0.51838495043913757</v>
      </c>
      <c r="J30" s="29">
        <f>AVERAGE(G29:G30)</f>
        <v>0</v>
      </c>
      <c r="L30">
        <v>0</v>
      </c>
      <c r="M30">
        <f>+(L30-$L$619)/$L$620</f>
        <v>-0.40884531980103711</v>
      </c>
      <c r="N30">
        <f>+N28+M30</f>
        <v>-0.1547904534660749</v>
      </c>
    </row>
    <row r="31" spans="1:14">
      <c r="A31" s="8">
        <v>2</v>
      </c>
      <c r="B31" s="73">
        <v>36875</v>
      </c>
      <c r="C31" s="12">
        <v>2000</v>
      </c>
      <c r="D31" s="16" t="s">
        <v>17</v>
      </c>
      <c r="E31" s="12">
        <v>12</v>
      </c>
      <c r="F31" s="17">
        <v>2.9105063210533353</v>
      </c>
      <c r="G31" s="15">
        <v>1.1417817666666665E-2</v>
      </c>
    </row>
    <row r="32" spans="1:14">
      <c r="A32" s="8">
        <v>16</v>
      </c>
      <c r="B32" s="73">
        <v>36871</v>
      </c>
      <c r="C32" s="12">
        <v>2000</v>
      </c>
      <c r="D32" s="16" t="s">
        <v>17</v>
      </c>
      <c r="E32" s="12">
        <v>12</v>
      </c>
      <c r="F32" s="17">
        <v>1.7729309077984674</v>
      </c>
      <c r="G32" s="15">
        <v>0</v>
      </c>
      <c r="I32" s="29">
        <f>AVERAGE(F31:F32)</f>
        <v>2.3417186144259015</v>
      </c>
      <c r="J32" s="29">
        <f>AVERAGE(G31:G32)</f>
        <v>5.7089088333333324E-3</v>
      </c>
      <c r="L32">
        <v>2.4379141021317521E-3</v>
      </c>
      <c r="M32">
        <f>+(L32-$L$619)/$L$620</f>
        <v>-0.33769578517749704</v>
      </c>
      <c r="N32">
        <f>+N30+M32</f>
        <v>-0.49248623864357194</v>
      </c>
    </row>
    <row r="33" spans="1:14">
      <c r="A33" s="8">
        <v>2</v>
      </c>
      <c r="B33" s="73">
        <v>36901</v>
      </c>
      <c r="C33" s="12">
        <v>2001</v>
      </c>
      <c r="D33" s="16" t="s">
        <v>18</v>
      </c>
      <c r="E33" s="10">
        <v>1</v>
      </c>
      <c r="F33" s="17">
        <v>3.3393668982479086</v>
      </c>
      <c r="G33" s="15">
        <v>0</v>
      </c>
    </row>
    <row r="34" spans="1:14">
      <c r="A34" s="8">
        <v>16</v>
      </c>
      <c r="B34" s="73">
        <v>36901</v>
      </c>
      <c r="C34" s="12">
        <v>2001</v>
      </c>
      <c r="D34" s="16" t="s">
        <v>18</v>
      </c>
      <c r="E34" s="10">
        <v>1</v>
      </c>
      <c r="F34" s="17">
        <v>5.8894314886091754</v>
      </c>
      <c r="G34" s="15">
        <v>0</v>
      </c>
      <c r="I34" s="29">
        <f>AVERAGE(F33:F34)</f>
        <v>4.6143991934285422</v>
      </c>
      <c r="J34" s="29">
        <f>AVERAGE(G33:G34)</f>
        <v>0</v>
      </c>
      <c r="L34">
        <v>0</v>
      </c>
      <c r="M34">
        <f>+(L34-$L$619)/$L$620</f>
        <v>-0.40884531980103711</v>
      </c>
      <c r="N34">
        <f>+N32+M34</f>
        <v>-0.9013315584446091</v>
      </c>
    </row>
    <row r="35" spans="1:14">
      <c r="A35" s="12">
        <v>2</v>
      </c>
      <c r="B35" s="73">
        <v>36928</v>
      </c>
      <c r="C35" s="12">
        <v>2001</v>
      </c>
      <c r="D35" s="11" t="s">
        <v>19</v>
      </c>
      <c r="E35" s="12">
        <v>2</v>
      </c>
      <c r="F35" s="17">
        <v>3.9397994994377648</v>
      </c>
      <c r="G35" s="15">
        <v>1.9531393499999997E-2</v>
      </c>
    </row>
    <row r="36" spans="1:14">
      <c r="A36" s="12">
        <v>16</v>
      </c>
      <c r="B36" s="73">
        <v>36928</v>
      </c>
      <c r="C36" s="12">
        <v>2001</v>
      </c>
      <c r="D36" s="11" t="s">
        <v>19</v>
      </c>
      <c r="E36" s="12">
        <v>2</v>
      </c>
      <c r="F36" s="17">
        <v>2.9617176326205095</v>
      </c>
      <c r="G36" s="15">
        <v>5.3980675166666672E-2</v>
      </c>
      <c r="I36" s="29">
        <f>AVERAGE(F35:F36)</f>
        <v>3.4507585660291369</v>
      </c>
      <c r="J36" s="29">
        <f>AVERAGE(G35:G36)</f>
        <v>3.6756034333333333E-2</v>
      </c>
      <c r="L36">
        <v>1.0651580987199954E-2</v>
      </c>
      <c r="M36">
        <f>+(L36-$L$619)/$L$620</f>
        <v>-9.7983247350845737E-2</v>
      </c>
      <c r="N36">
        <f>+N34+M36</f>
        <v>-0.99931480579545484</v>
      </c>
    </row>
    <row r="37" spans="1:14">
      <c r="A37" s="8">
        <v>2</v>
      </c>
      <c r="B37" s="73">
        <v>36963</v>
      </c>
      <c r="C37" s="12">
        <v>2001</v>
      </c>
      <c r="D37" s="11" t="s">
        <v>20</v>
      </c>
      <c r="E37" s="12">
        <v>3</v>
      </c>
      <c r="F37" s="17">
        <v>1.7230646958731481</v>
      </c>
      <c r="G37" s="15">
        <v>0</v>
      </c>
    </row>
    <row r="38" spans="1:14">
      <c r="A38" s="8">
        <v>16</v>
      </c>
      <c r="B38" s="73">
        <v>36963</v>
      </c>
      <c r="C38" s="12">
        <v>2001</v>
      </c>
      <c r="D38" s="11" t="s">
        <v>20</v>
      </c>
      <c r="E38" s="12">
        <v>3</v>
      </c>
      <c r="F38" s="17">
        <v>2.1962590343929107</v>
      </c>
      <c r="G38" s="15">
        <v>3.3151130500000001E-2</v>
      </c>
      <c r="I38" s="29">
        <f>AVERAGE(F37:F38)</f>
        <v>1.9596618651330293</v>
      </c>
      <c r="J38" s="29">
        <f>AVERAGE(G37:G38)</f>
        <v>1.657556525E-2</v>
      </c>
      <c r="L38">
        <v>8.4583802669828383E-3</v>
      </c>
      <c r="M38">
        <f>+(L38-$L$619)/$L$620</f>
        <v>-0.16199092114173613</v>
      </c>
      <c r="N38">
        <f>+N36+M38</f>
        <v>-1.1613057269371909</v>
      </c>
    </row>
    <row r="39" spans="1:14">
      <c r="A39" s="8">
        <v>2</v>
      </c>
      <c r="B39" s="73">
        <v>37000</v>
      </c>
      <c r="C39" s="12">
        <v>2001</v>
      </c>
      <c r="D39" s="16" t="s">
        <v>21</v>
      </c>
      <c r="E39" s="12">
        <v>4</v>
      </c>
      <c r="F39" s="17">
        <v>0.48624479623327538</v>
      </c>
      <c r="G39" s="15">
        <v>0</v>
      </c>
    </row>
    <row r="40" spans="1:14">
      <c r="A40" s="8">
        <v>16</v>
      </c>
      <c r="B40" s="73">
        <v>37000</v>
      </c>
      <c r="C40" s="12">
        <v>2001</v>
      </c>
      <c r="D40" s="16" t="s">
        <v>21</v>
      </c>
      <c r="E40" s="12">
        <v>4</v>
      </c>
      <c r="F40" s="17">
        <v>0.94233141158054823</v>
      </c>
      <c r="G40" s="15">
        <v>0</v>
      </c>
      <c r="I40" s="29">
        <f>AVERAGE(F39:F40)</f>
        <v>0.71428810390691178</v>
      </c>
      <c r="J40" s="29">
        <f>AVERAGE(G39:G40)</f>
        <v>0</v>
      </c>
      <c r="L40">
        <v>0</v>
      </c>
      <c r="M40">
        <f>+(L40-$L$619)/$L$620</f>
        <v>-0.40884531980103711</v>
      </c>
      <c r="N40">
        <f>+N38+M40</f>
        <v>-1.570151046738228</v>
      </c>
    </row>
    <row r="41" spans="1:14">
      <c r="A41" s="8">
        <v>2</v>
      </c>
      <c r="B41" s="73">
        <v>37028</v>
      </c>
      <c r="C41" s="12">
        <v>2001</v>
      </c>
      <c r="D41" s="16" t="s">
        <v>22</v>
      </c>
      <c r="E41" s="12">
        <v>5</v>
      </c>
      <c r="F41" s="17">
        <v>0.71340617095896919</v>
      </c>
      <c r="G41" s="15">
        <v>0</v>
      </c>
    </row>
    <row r="42" spans="1:14">
      <c r="A42" s="8">
        <v>16</v>
      </c>
      <c r="B42" s="73">
        <v>37027</v>
      </c>
      <c r="C42" s="12">
        <v>2001</v>
      </c>
      <c r="D42" s="16" t="s">
        <v>22</v>
      </c>
      <c r="E42" s="12">
        <v>5</v>
      </c>
      <c r="F42" s="17">
        <v>1.9656313095361935</v>
      </c>
      <c r="G42" s="15">
        <v>1.2669527666666666E-2</v>
      </c>
      <c r="I42" s="29">
        <f>AVERAGE(F41:F42)</f>
        <v>1.3395187402475814</v>
      </c>
      <c r="J42" s="29">
        <f>AVERAGE(G41:G42)</f>
        <v>6.3347638333333331E-3</v>
      </c>
      <c r="L42">
        <v>4.7291341606482398E-3</v>
      </c>
      <c r="M42">
        <f>+(L42-$L$619)/$L$620</f>
        <v>-0.2708274567400753</v>
      </c>
      <c r="N42">
        <f>+N40+M42</f>
        <v>-1.8409785034783033</v>
      </c>
    </row>
    <row r="43" spans="1:14">
      <c r="A43" s="8">
        <v>2</v>
      </c>
      <c r="B43" s="73">
        <v>37058</v>
      </c>
      <c r="C43" s="12">
        <v>2001</v>
      </c>
      <c r="D43" s="16" t="s">
        <v>23</v>
      </c>
      <c r="E43" s="12">
        <v>6</v>
      </c>
      <c r="F43" s="17">
        <v>12.295525135357376</v>
      </c>
      <c r="G43" s="15">
        <v>1.8840950683333333</v>
      </c>
    </row>
    <row r="44" spans="1:14">
      <c r="A44" s="8">
        <v>16</v>
      </c>
      <c r="B44" s="73">
        <v>37056</v>
      </c>
      <c r="C44" s="12">
        <v>2001</v>
      </c>
      <c r="D44" s="16" t="s">
        <v>23</v>
      </c>
      <c r="E44" s="12">
        <v>6</v>
      </c>
      <c r="F44" s="17">
        <v>17.841725850658584</v>
      </c>
      <c r="G44" s="15">
        <v>4.7504453426666666</v>
      </c>
      <c r="I44" s="29">
        <f>AVERAGE(F43:F44)</f>
        <v>15.06862549300798</v>
      </c>
      <c r="J44" s="29">
        <f>AVERAGE(G43:G44)</f>
        <v>3.3172702054999998</v>
      </c>
      <c r="L44">
        <v>0.22014418017351697</v>
      </c>
      <c r="M44">
        <f>+(L44-$L$619)/$L$620</f>
        <v>6.0159733215655153</v>
      </c>
      <c r="N44">
        <f>+N42+M44</f>
        <v>4.1749948180872121</v>
      </c>
    </row>
    <row r="45" spans="1:14">
      <c r="A45" s="8">
        <v>2</v>
      </c>
      <c r="B45" s="73">
        <v>37089</v>
      </c>
      <c r="C45" s="12">
        <v>2001</v>
      </c>
      <c r="D45" s="16" t="s">
        <v>24</v>
      </c>
      <c r="E45" s="12">
        <v>7</v>
      </c>
      <c r="F45" s="17">
        <v>7.5105065548637011</v>
      </c>
      <c r="G45" s="15">
        <v>0</v>
      </c>
    </row>
    <row r="46" spans="1:14">
      <c r="A46" s="8">
        <v>16</v>
      </c>
      <c r="B46" s="73">
        <v>37089</v>
      </c>
      <c r="C46" s="12">
        <v>2001</v>
      </c>
      <c r="D46" s="16" t="s">
        <v>24</v>
      </c>
      <c r="E46" s="12">
        <v>7</v>
      </c>
      <c r="F46" s="17">
        <v>6.8793581967375523</v>
      </c>
      <c r="G46" s="15">
        <v>0</v>
      </c>
      <c r="I46" s="29">
        <f>AVERAGE(F45:F46)</f>
        <v>7.1949323758006267</v>
      </c>
      <c r="J46" s="29">
        <f>AVERAGE(G45:G46)</f>
        <v>0</v>
      </c>
      <c r="L46">
        <v>0</v>
      </c>
      <c r="M46">
        <f>+(L46-$L$619)/$L$620</f>
        <v>-0.40884531980103711</v>
      </c>
      <c r="N46">
        <f>+N44+M46</f>
        <v>3.766149498286175</v>
      </c>
    </row>
    <row r="47" spans="1:14">
      <c r="A47" s="8">
        <v>2</v>
      </c>
      <c r="B47" s="73">
        <v>37119</v>
      </c>
      <c r="C47" s="12">
        <v>2001</v>
      </c>
      <c r="D47" s="16" t="s">
        <v>25</v>
      </c>
      <c r="E47" s="12">
        <v>8</v>
      </c>
      <c r="F47" s="17">
        <v>2.8484052173891512</v>
      </c>
      <c r="G47" s="15">
        <v>0</v>
      </c>
    </row>
    <row r="48" spans="1:14">
      <c r="A48" s="8">
        <v>16</v>
      </c>
      <c r="B48" s="73">
        <v>37119</v>
      </c>
      <c r="C48" s="12">
        <v>2001</v>
      </c>
      <c r="D48" s="16" t="s">
        <v>25</v>
      </c>
      <c r="E48" s="12">
        <v>8</v>
      </c>
      <c r="F48" s="17">
        <v>2.349127100454246</v>
      </c>
      <c r="G48" s="15">
        <v>0</v>
      </c>
      <c r="I48" s="29">
        <f>AVERAGE(F47:F48)</f>
        <v>2.5987661589216984</v>
      </c>
      <c r="J48" s="29">
        <f>AVERAGE(G47:G48)</f>
        <v>0</v>
      </c>
      <c r="L48">
        <v>0</v>
      </c>
      <c r="M48">
        <f>+(L48-$L$619)/$L$620</f>
        <v>-0.40884531980103711</v>
      </c>
      <c r="N48">
        <f>+N46+M48</f>
        <v>3.3573041784851378</v>
      </c>
    </row>
    <row r="49" spans="1:14">
      <c r="A49" s="8">
        <v>2</v>
      </c>
      <c r="B49" s="73">
        <v>37152</v>
      </c>
      <c r="C49" s="12">
        <v>2001</v>
      </c>
      <c r="D49" s="16" t="s">
        <v>26</v>
      </c>
      <c r="E49" s="12">
        <v>9</v>
      </c>
      <c r="F49" s="17">
        <v>1.1426911228841896</v>
      </c>
      <c r="G49" s="15">
        <v>0</v>
      </c>
    </row>
    <row r="50" spans="1:14">
      <c r="A50" s="8">
        <v>16</v>
      </c>
      <c r="B50" s="73">
        <v>37152</v>
      </c>
      <c r="C50" s="12">
        <v>2001</v>
      </c>
      <c r="D50" s="16" t="s">
        <v>26</v>
      </c>
      <c r="E50" s="12">
        <v>9</v>
      </c>
      <c r="F50" s="17">
        <v>3.559456607124281</v>
      </c>
      <c r="G50" s="15">
        <v>0</v>
      </c>
      <c r="I50" s="29">
        <f>AVERAGE(F49:F50)</f>
        <v>2.3510738650042353</v>
      </c>
      <c r="J50" s="29">
        <f>AVERAGE(G49:G50)</f>
        <v>0</v>
      </c>
      <c r="L50">
        <v>0</v>
      </c>
      <c r="M50">
        <f>+(L50-$L$619)/$L$620</f>
        <v>-0.40884531980103711</v>
      </c>
      <c r="N50">
        <f>+N48+M50</f>
        <v>2.9484588586841007</v>
      </c>
    </row>
    <row r="51" spans="1:14">
      <c r="A51" s="8">
        <v>2</v>
      </c>
      <c r="B51" s="73">
        <v>37181</v>
      </c>
      <c r="C51" s="12">
        <v>2001</v>
      </c>
      <c r="D51" s="16" t="s">
        <v>14</v>
      </c>
      <c r="E51" s="12">
        <v>10</v>
      </c>
      <c r="F51" s="13">
        <v>0.88883623176181215</v>
      </c>
      <c r="G51" s="18">
        <v>8.2482957302943069E-3</v>
      </c>
    </row>
    <row r="52" spans="1:14">
      <c r="A52" s="8">
        <v>16</v>
      </c>
      <c r="B52" s="73">
        <v>37181</v>
      </c>
      <c r="C52" s="12">
        <v>2001</v>
      </c>
      <c r="D52" s="16" t="s">
        <v>14</v>
      </c>
      <c r="E52" s="12">
        <v>10</v>
      </c>
      <c r="F52" s="13">
        <v>1.3553329324301133</v>
      </c>
      <c r="G52" s="18">
        <v>1.0384396816511836E-2</v>
      </c>
      <c r="I52" s="29">
        <f>AVERAGE(F51:F52)</f>
        <v>1.1220845820959626</v>
      </c>
      <c r="J52" s="29">
        <f>AVERAGE(G51:G52)</f>
        <v>9.3163462734030707E-3</v>
      </c>
      <c r="L52">
        <v>8.3027130236482654E-3</v>
      </c>
      <c r="M52">
        <f>+(L52-$L$619)/$L$620</f>
        <v>-0.16653400652349734</v>
      </c>
      <c r="N52">
        <f>+N50+M52</f>
        <v>2.7819248521606035</v>
      </c>
    </row>
    <row r="53" spans="1:14">
      <c r="A53" s="8">
        <v>2</v>
      </c>
      <c r="B53" s="73">
        <v>37203</v>
      </c>
      <c r="C53" s="12">
        <v>2001</v>
      </c>
      <c r="D53" s="16" t="s">
        <v>16</v>
      </c>
      <c r="E53" s="12">
        <v>11</v>
      </c>
      <c r="F53" s="13">
        <v>0.9134465601340287</v>
      </c>
      <c r="G53" s="18">
        <v>6.6596944064881269E-3</v>
      </c>
    </row>
    <row r="54" spans="1:14">
      <c r="A54" s="8">
        <v>16</v>
      </c>
      <c r="B54" s="73">
        <v>37203</v>
      </c>
      <c r="C54" s="12">
        <v>2001</v>
      </c>
      <c r="D54" s="16" t="s">
        <v>16</v>
      </c>
      <c r="E54" s="12">
        <v>11</v>
      </c>
      <c r="F54" s="13">
        <v>1.2287094678118828</v>
      </c>
      <c r="G54" s="18">
        <v>0</v>
      </c>
      <c r="I54" s="29">
        <f>AVERAGE(F53:F54)</f>
        <v>1.0710780139729557</v>
      </c>
      <c r="J54" s="29">
        <f>AVERAGE(G53:G54)</f>
        <v>3.3298472032440634E-3</v>
      </c>
      <c r="L54">
        <v>3.1088745729105599E-3</v>
      </c>
      <c r="M54">
        <f>+(L54-$L$619)/$L$620</f>
        <v>-0.31811407587733748</v>
      </c>
      <c r="N54">
        <f>+N52+M54</f>
        <v>2.4638107762832662</v>
      </c>
    </row>
    <row r="55" spans="1:14">
      <c r="A55" s="8">
        <v>2</v>
      </c>
      <c r="B55" s="73">
        <v>37228</v>
      </c>
      <c r="C55" s="12">
        <v>2001</v>
      </c>
      <c r="D55" s="16" t="s">
        <v>17</v>
      </c>
      <c r="E55" s="12">
        <v>12</v>
      </c>
      <c r="F55" s="13">
        <v>2.6464825212013325</v>
      </c>
      <c r="G55" s="18">
        <v>1.3324431690722787E-2</v>
      </c>
    </row>
    <row r="56" spans="1:14">
      <c r="A56" s="8">
        <v>16</v>
      </c>
      <c r="B56" s="73">
        <v>37228</v>
      </c>
      <c r="C56" s="12">
        <v>2001</v>
      </c>
      <c r="D56" s="16" t="s">
        <v>17</v>
      </c>
      <c r="E56" s="12">
        <v>12</v>
      </c>
      <c r="F56" s="13">
        <v>0.65546728590943959</v>
      </c>
      <c r="G56" s="18">
        <v>0</v>
      </c>
      <c r="I56" s="29">
        <f>AVERAGE(F55:F56)</f>
        <v>1.650974903555386</v>
      </c>
      <c r="J56" s="29">
        <f>AVERAGE(G55:G56)</f>
        <v>6.6622158453613937E-3</v>
      </c>
      <c r="L56">
        <v>4.0353223001841311E-3</v>
      </c>
      <c r="M56">
        <f>+(L56-$L$619)/$L$620</f>
        <v>-0.29107607458315221</v>
      </c>
      <c r="N56">
        <f>+N54+M56</f>
        <v>2.1727347017001142</v>
      </c>
    </row>
    <row r="57" spans="1:14">
      <c r="A57" s="8">
        <v>2</v>
      </c>
      <c r="B57" s="73">
        <v>37270</v>
      </c>
      <c r="C57" s="12">
        <v>2002</v>
      </c>
      <c r="D57" s="16" t="s">
        <v>18</v>
      </c>
      <c r="E57" s="10">
        <v>1</v>
      </c>
      <c r="F57" s="13">
        <v>2.5862509295428344</v>
      </c>
      <c r="G57" s="18">
        <v>9.8572134238050207E-3</v>
      </c>
    </row>
    <row r="58" spans="1:14">
      <c r="A58" s="8">
        <v>16</v>
      </c>
      <c r="B58" s="73">
        <v>37270</v>
      </c>
      <c r="C58" s="12">
        <v>2002</v>
      </c>
      <c r="D58" s="16" t="s">
        <v>18</v>
      </c>
      <c r="E58" s="10">
        <v>1</v>
      </c>
      <c r="F58" s="13">
        <v>2.4329208174935348</v>
      </c>
      <c r="G58" s="18">
        <v>1.7945876401081667E-2</v>
      </c>
      <c r="I58" s="29">
        <f>AVERAGE(F57:F58)</f>
        <v>2.5095858735181844</v>
      </c>
      <c r="J58" s="29">
        <f>AVERAGE(G57:G58)</f>
        <v>1.3901544912443345E-2</v>
      </c>
      <c r="L58">
        <v>5.5393780540192441E-3</v>
      </c>
      <c r="M58">
        <f>+(L58-$L$619)/$L$620</f>
        <v>-0.24718081722373492</v>
      </c>
      <c r="N58">
        <f>+N56+M58</f>
        <v>1.9255538844763793</v>
      </c>
    </row>
    <row r="59" spans="1:14">
      <c r="A59" s="8">
        <v>2</v>
      </c>
      <c r="B59" s="73">
        <v>37300</v>
      </c>
      <c r="C59" s="12">
        <v>2002</v>
      </c>
      <c r="D59" s="11" t="s">
        <v>19</v>
      </c>
      <c r="E59" s="12">
        <v>2</v>
      </c>
      <c r="F59" s="13">
        <v>3.8015700259641796</v>
      </c>
      <c r="G59" s="18">
        <v>3.8877801275337534E-2</v>
      </c>
    </row>
    <row r="60" spans="1:14">
      <c r="A60" s="8">
        <v>16</v>
      </c>
      <c r="B60" s="73">
        <v>37300</v>
      </c>
      <c r="C60" s="12">
        <v>2002</v>
      </c>
      <c r="D60" s="11" t="s">
        <v>19</v>
      </c>
      <c r="E60" s="12">
        <v>2</v>
      </c>
      <c r="F60" s="13">
        <v>1.8488222946788944</v>
      </c>
      <c r="G60" s="19">
        <v>8.2420751820644872E-2</v>
      </c>
      <c r="I60" s="29">
        <f>AVERAGE(F59:F60)</f>
        <v>2.825196160321537</v>
      </c>
      <c r="J60" s="29">
        <f>AVERAGE(G59:G60)</f>
        <v>6.0649276547991203E-2</v>
      </c>
      <c r="L60">
        <v>2.146727982990345E-2</v>
      </c>
      <c r="M60">
        <f>+(L60-$L$619)/$L$620</f>
        <v>0.21766853817097512</v>
      </c>
      <c r="N60">
        <f>+N58+M60</f>
        <v>2.1432224226473546</v>
      </c>
    </row>
    <row r="61" spans="1:14">
      <c r="A61" s="8">
        <v>2</v>
      </c>
      <c r="B61" s="71">
        <v>37334</v>
      </c>
      <c r="C61" s="12">
        <v>2002</v>
      </c>
      <c r="D61" s="11" t="s">
        <v>20</v>
      </c>
      <c r="E61" s="12">
        <v>3</v>
      </c>
      <c r="F61" s="13">
        <v>2.5102946580494283</v>
      </c>
      <c r="G61" s="19">
        <v>0</v>
      </c>
    </row>
    <row r="62" spans="1:14">
      <c r="A62" s="8">
        <v>16</v>
      </c>
      <c r="B62" s="71">
        <v>37334</v>
      </c>
      <c r="C62" s="12">
        <v>2002</v>
      </c>
      <c r="D62" s="11" t="s">
        <v>20</v>
      </c>
      <c r="E62" s="12">
        <v>3</v>
      </c>
      <c r="F62" s="13">
        <v>2.2858305706399227</v>
      </c>
      <c r="G62" s="22"/>
      <c r="I62" s="29">
        <f>AVERAGE(F61:F62)</f>
        <v>2.3980626143446755</v>
      </c>
      <c r="J62" s="29"/>
    </row>
    <row r="63" spans="1:14">
      <c r="A63" s="8">
        <v>2</v>
      </c>
      <c r="B63" s="71">
        <v>37361</v>
      </c>
      <c r="C63" s="12">
        <v>2002</v>
      </c>
      <c r="D63" s="16" t="s">
        <v>21</v>
      </c>
      <c r="E63" s="12">
        <v>4</v>
      </c>
      <c r="F63" s="13">
        <v>2.1580438395184895</v>
      </c>
      <c r="G63" s="19">
        <v>0</v>
      </c>
    </row>
    <row r="64" spans="1:14">
      <c r="A64" s="8">
        <v>16</v>
      </c>
      <c r="B64" s="71">
        <v>37361</v>
      </c>
      <c r="C64" s="12">
        <v>2002</v>
      </c>
      <c r="D64" s="16" t="s">
        <v>21</v>
      </c>
      <c r="E64" s="12">
        <v>4</v>
      </c>
      <c r="F64" s="13">
        <v>1.774534540696767</v>
      </c>
      <c r="G64" s="13">
        <v>0</v>
      </c>
      <c r="I64" s="29">
        <f>AVERAGE(F63:F64)</f>
        <v>1.9662891901076283</v>
      </c>
      <c r="J64" s="29">
        <f>AVERAGE(G63:G64)</f>
        <v>0</v>
      </c>
      <c r="L64">
        <v>0</v>
      </c>
      <c r="M64">
        <f>+(L64-$L$619)/$L$620</f>
        <v>-0.40884531980103711</v>
      </c>
      <c r="N64">
        <f>+N60+M64</f>
        <v>1.7343771028463175</v>
      </c>
    </row>
    <row r="65" spans="1:14">
      <c r="A65" s="8">
        <v>2</v>
      </c>
      <c r="B65" s="71">
        <v>37389</v>
      </c>
      <c r="C65" s="12">
        <v>2002</v>
      </c>
      <c r="D65" s="16" t="s">
        <v>22</v>
      </c>
      <c r="E65" s="12">
        <v>5</v>
      </c>
      <c r="F65" s="13">
        <v>3.4447134973659104</v>
      </c>
      <c r="G65" s="13">
        <v>6.5660356761196512E-2</v>
      </c>
    </row>
    <row r="66" spans="1:14">
      <c r="A66" s="8">
        <v>16</v>
      </c>
      <c r="B66" s="71">
        <v>37389</v>
      </c>
      <c r="C66" s="12">
        <v>2002</v>
      </c>
      <c r="D66" s="16" t="s">
        <v>22</v>
      </c>
      <c r="E66" s="12">
        <v>5</v>
      </c>
      <c r="F66" s="13">
        <v>8.881687495300195</v>
      </c>
      <c r="G66" s="13">
        <v>0.55108077566438374</v>
      </c>
      <c r="I66" s="29">
        <f>AVERAGE(F65:F66)</f>
        <v>6.1632004963330527</v>
      </c>
      <c r="J66" s="29">
        <f>AVERAGE(G65:G66)</f>
        <v>0.30837056621279013</v>
      </c>
      <c r="L66">
        <v>5.0034161049322144E-2</v>
      </c>
      <c r="M66">
        <f>+(L66-$L$619)/$L$620</f>
        <v>1.0513813841774513</v>
      </c>
      <c r="N66">
        <f>+N64+M66</f>
        <v>2.7857584870237688</v>
      </c>
    </row>
    <row r="67" spans="1:14">
      <c r="A67" s="8">
        <v>2</v>
      </c>
      <c r="B67" s="71">
        <v>37418</v>
      </c>
      <c r="C67" s="12">
        <v>2002</v>
      </c>
      <c r="D67" s="16" t="s">
        <v>23</v>
      </c>
      <c r="E67" s="12">
        <v>6</v>
      </c>
      <c r="F67" s="13">
        <v>10.009571909247931</v>
      </c>
      <c r="G67" s="13">
        <v>2.0966825137021363</v>
      </c>
    </row>
    <row r="68" spans="1:14">
      <c r="A68" s="8">
        <v>16</v>
      </c>
      <c r="B68" s="71">
        <v>37418</v>
      </c>
      <c r="C68" s="12">
        <v>2002</v>
      </c>
      <c r="D68" s="16" t="s">
        <v>23</v>
      </c>
      <c r="E68" s="12">
        <v>6</v>
      </c>
      <c r="F68" s="13">
        <v>13.419695934897145</v>
      </c>
      <c r="G68" s="13">
        <v>2.7149057388672482</v>
      </c>
      <c r="I68" s="29">
        <f>AVERAGE(F67:F68)</f>
        <v>11.714633922072538</v>
      </c>
      <c r="J68" s="29">
        <f>AVERAGE(G67:G68)</f>
        <v>2.4057941262846922</v>
      </c>
      <c r="L68">
        <v>0.20536656478455814</v>
      </c>
      <c r="M68">
        <f>+(L68-$L$619)/$L$620</f>
        <v>5.5846946079920121</v>
      </c>
      <c r="N68">
        <f>+N66+M68</f>
        <v>8.3704530950157814</v>
      </c>
    </row>
    <row r="69" spans="1:14">
      <c r="A69" s="8">
        <v>2</v>
      </c>
      <c r="B69" s="71">
        <v>37455</v>
      </c>
      <c r="C69" s="12">
        <v>2002</v>
      </c>
      <c r="D69" s="16" t="s">
        <v>24</v>
      </c>
      <c r="E69" s="12">
        <v>7</v>
      </c>
      <c r="F69" s="13">
        <v>5.3211790943017867</v>
      </c>
      <c r="G69" s="13">
        <v>0</v>
      </c>
    </row>
    <row r="70" spans="1:14">
      <c r="A70" s="8">
        <v>16</v>
      </c>
      <c r="B70" s="71">
        <v>37455</v>
      </c>
      <c r="C70" s="12">
        <v>2002</v>
      </c>
      <c r="D70" s="16" t="s">
        <v>24</v>
      </c>
      <c r="E70" s="12">
        <v>7</v>
      </c>
      <c r="F70" s="13">
        <v>4.7489580401675386</v>
      </c>
      <c r="G70" s="13">
        <v>0</v>
      </c>
      <c r="I70" s="29">
        <f>AVERAGE(F69:F70)</f>
        <v>5.0350685672346627</v>
      </c>
      <c r="J70" s="29">
        <f>AVERAGE(G69:G70)</f>
        <v>0</v>
      </c>
      <c r="L70">
        <v>0</v>
      </c>
      <c r="M70">
        <f>+(L70-$L$619)/$L$620</f>
        <v>-0.40884531980103711</v>
      </c>
      <c r="N70">
        <f>+N68+M70</f>
        <v>7.9616077752147447</v>
      </c>
    </row>
    <row r="71" spans="1:14">
      <c r="A71" s="8">
        <v>2</v>
      </c>
      <c r="B71" s="71">
        <v>37483</v>
      </c>
      <c r="C71" s="12">
        <v>2002</v>
      </c>
      <c r="D71" s="16" t="s">
        <v>25</v>
      </c>
      <c r="E71" s="12">
        <v>8</v>
      </c>
      <c r="F71" s="13">
        <v>8.9276388533360702</v>
      </c>
      <c r="G71" s="13">
        <v>0</v>
      </c>
    </row>
    <row r="72" spans="1:14">
      <c r="A72" s="8">
        <v>16</v>
      </c>
      <c r="B72" s="71">
        <v>37483</v>
      </c>
      <c r="C72" s="12">
        <v>2002</v>
      </c>
      <c r="D72" s="16" t="s">
        <v>25</v>
      </c>
      <c r="E72" s="12">
        <v>8</v>
      </c>
      <c r="F72" s="13">
        <v>6.9124704484348456</v>
      </c>
      <c r="G72" s="13">
        <v>3.2002631768975782E-2</v>
      </c>
      <c r="I72" s="29">
        <f>AVERAGE(F71:F72)</f>
        <v>7.9200546508854579</v>
      </c>
      <c r="J72" s="29">
        <f>AVERAGE(G71:G72)</f>
        <v>1.6001315884487891E-2</v>
      </c>
      <c r="L72">
        <v>2.0203542260530932E-3</v>
      </c>
      <c r="M72">
        <f>+(L72-$L$619)/$L$620</f>
        <v>-0.34988210086207405</v>
      </c>
      <c r="N72">
        <f>+N70+M72</f>
        <v>7.6117256743526704</v>
      </c>
    </row>
    <row r="73" spans="1:14">
      <c r="A73" s="8">
        <v>2</v>
      </c>
      <c r="B73" s="71">
        <v>37516</v>
      </c>
      <c r="C73" s="12">
        <v>2002</v>
      </c>
      <c r="D73" s="16" t="s">
        <v>26</v>
      </c>
      <c r="E73" s="12">
        <v>9</v>
      </c>
      <c r="F73" s="13">
        <v>3.173773117201462</v>
      </c>
      <c r="G73" s="13">
        <v>0</v>
      </c>
    </row>
    <row r="74" spans="1:14">
      <c r="A74" s="8">
        <v>16</v>
      </c>
      <c r="B74" s="71">
        <v>37516</v>
      </c>
      <c r="C74" s="12">
        <v>2002</v>
      </c>
      <c r="D74" s="16" t="s">
        <v>26</v>
      </c>
      <c r="E74" s="12">
        <v>9</v>
      </c>
      <c r="F74" s="13">
        <v>3.8178663332300089</v>
      </c>
      <c r="G74" s="13">
        <v>0</v>
      </c>
      <c r="I74" s="29">
        <f>AVERAGE(F73:F74)</f>
        <v>3.4958197252157355</v>
      </c>
      <c r="J74" s="29">
        <f>AVERAGE(G73:G74)</f>
        <v>0</v>
      </c>
      <c r="L74">
        <v>0</v>
      </c>
      <c r="M74">
        <f>+(L74-$L$619)/$L$620</f>
        <v>-0.40884531980103711</v>
      </c>
      <c r="N74">
        <f>+N72+M74</f>
        <v>7.2028803545516329</v>
      </c>
    </row>
    <row r="75" spans="1:14">
      <c r="A75" s="8">
        <v>2</v>
      </c>
      <c r="B75" s="71">
        <v>37544</v>
      </c>
      <c r="C75" s="12">
        <v>2002</v>
      </c>
      <c r="D75" s="16" t="s">
        <v>14</v>
      </c>
      <c r="E75" s="12">
        <v>10</v>
      </c>
      <c r="F75" s="17">
        <v>0.59088981632737425</v>
      </c>
      <c r="G75" s="17">
        <v>0</v>
      </c>
    </row>
    <row r="76" spans="1:14">
      <c r="A76" s="8">
        <v>16</v>
      </c>
      <c r="B76" s="71">
        <v>37544</v>
      </c>
      <c r="C76" s="12">
        <v>2002</v>
      </c>
      <c r="D76" s="16" t="s">
        <v>14</v>
      </c>
      <c r="E76" s="12">
        <v>10</v>
      </c>
      <c r="F76" s="17">
        <v>0.85666815903047522</v>
      </c>
      <c r="G76" s="17">
        <v>0</v>
      </c>
      <c r="I76" s="29">
        <f>AVERAGE(F75:F76)</f>
        <v>0.72377898767892468</v>
      </c>
      <c r="J76" s="29">
        <f>AVERAGE(G75:G76)</f>
        <v>0</v>
      </c>
      <c r="L76">
        <v>0</v>
      </c>
      <c r="M76">
        <f>+(L76-$L$619)/$L$620</f>
        <v>-0.40884531980103711</v>
      </c>
      <c r="N76">
        <f>+N64+M76</f>
        <v>1.3255317830452804</v>
      </c>
    </row>
    <row r="77" spans="1:14">
      <c r="A77" s="8">
        <v>2</v>
      </c>
      <c r="B77" s="71">
        <v>37575</v>
      </c>
      <c r="C77" s="12">
        <v>2002</v>
      </c>
      <c r="D77" s="16" t="s">
        <v>16</v>
      </c>
      <c r="E77" s="12">
        <v>11</v>
      </c>
      <c r="F77" s="17">
        <v>1.6548308255377724</v>
      </c>
      <c r="G77" s="17">
        <v>0</v>
      </c>
    </row>
    <row r="78" spans="1:14">
      <c r="A78" s="8">
        <v>16</v>
      </c>
      <c r="B78" s="71">
        <v>37575</v>
      </c>
      <c r="C78" s="12">
        <v>2002</v>
      </c>
      <c r="D78" s="16" t="s">
        <v>16</v>
      </c>
      <c r="E78" s="12">
        <v>11</v>
      </c>
      <c r="F78" s="17">
        <v>1.5187610701365515</v>
      </c>
      <c r="G78" s="17">
        <v>0</v>
      </c>
      <c r="I78" s="29">
        <f>AVERAGE(F77:F78)</f>
        <v>1.586795947837162</v>
      </c>
      <c r="J78" s="29">
        <f>AVERAGE(G77:G78)</f>
        <v>0</v>
      </c>
      <c r="L78">
        <v>0</v>
      </c>
      <c r="M78">
        <f>+(L78-$L$619)/$L$620</f>
        <v>-0.40884531980103711</v>
      </c>
      <c r="N78">
        <f>+N76+M78</f>
        <v>0.9166864632442433</v>
      </c>
    </row>
    <row r="79" spans="1:14">
      <c r="A79" s="8">
        <v>2</v>
      </c>
      <c r="B79" s="71">
        <v>37609</v>
      </c>
      <c r="C79" s="12">
        <v>2002</v>
      </c>
      <c r="D79" s="16" t="s">
        <v>17</v>
      </c>
      <c r="E79" s="12">
        <v>12</v>
      </c>
      <c r="F79" s="17">
        <v>2.8975742868231502</v>
      </c>
      <c r="G79" s="17">
        <v>0</v>
      </c>
    </row>
    <row r="80" spans="1:14">
      <c r="A80" s="8">
        <v>16</v>
      </c>
      <c r="B80" s="71">
        <v>37609</v>
      </c>
      <c r="C80" s="12">
        <v>2002</v>
      </c>
      <c r="D80" s="16" t="s">
        <v>17</v>
      </c>
      <c r="E80" s="12">
        <v>12</v>
      </c>
      <c r="F80" s="17">
        <v>2.2313565544436207</v>
      </c>
      <c r="G80" s="17">
        <v>0</v>
      </c>
      <c r="I80" s="29">
        <f>AVERAGE(F79:F80)</f>
        <v>2.5644654206333852</v>
      </c>
      <c r="J80" s="29">
        <f>AVERAGE(G79:G80)</f>
        <v>0</v>
      </c>
      <c r="L80">
        <v>0</v>
      </c>
      <c r="M80">
        <f>+(L80-$L$619)/$L$620</f>
        <v>-0.40884531980103711</v>
      </c>
      <c r="N80">
        <f>+N78+M80</f>
        <v>0.50784114344320619</v>
      </c>
    </row>
    <row r="81" spans="1:14">
      <c r="A81" s="8">
        <v>2</v>
      </c>
      <c r="B81" s="71">
        <v>37635</v>
      </c>
      <c r="C81" s="12">
        <v>2003</v>
      </c>
      <c r="D81" s="16" t="s">
        <v>18</v>
      </c>
      <c r="E81" s="10">
        <v>1</v>
      </c>
      <c r="F81" s="17">
        <v>7.3807167788437722</v>
      </c>
      <c r="G81" s="17">
        <v>0</v>
      </c>
    </row>
    <row r="82" spans="1:14">
      <c r="A82" s="8">
        <v>16</v>
      </c>
      <c r="B82" s="71">
        <v>37635</v>
      </c>
      <c r="C82" s="12">
        <v>2003</v>
      </c>
      <c r="D82" s="16" t="s">
        <v>18</v>
      </c>
      <c r="E82" s="10">
        <v>1</v>
      </c>
      <c r="F82" s="17">
        <v>8.3268224592865661</v>
      </c>
      <c r="G82" s="17">
        <v>0</v>
      </c>
      <c r="I82" s="29">
        <f>AVERAGE(F81:F82)</f>
        <v>7.8537696190651687</v>
      </c>
      <c r="J82" s="29">
        <f>AVERAGE(G81:G82)</f>
        <v>0</v>
      </c>
      <c r="L82">
        <v>0</v>
      </c>
      <c r="M82">
        <f>+(L82-$L$619)/$L$620</f>
        <v>-0.40884531980103711</v>
      </c>
      <c r="N82">
        <f>+N80+M82</f>
        <v>9.8995823642169078E-2</v>
      </c>
    </row>
    <row r="83" spans="1:14">
      <c r="A83" s="8">
        <v>2</v>
      </c>
      <c r="B83" s="71">
        <v>37665</v>
      </c>
      <c r="C83" s="12">
        <v>2003</v>
      </c>
      <c r="D83" s="11" t="s">
        <v>19</v>
      </c>
      <c r="E83" s="12">
        <v>2</v>
      </c>
      <c r="F83" s="17">
        <v>7.0307100892642236</v>
      </c>
      <c r="G83" s="17">
        <v>0</v>
      </c>
    </row>
    <row r="84" spans="1:14">
      <c r="A84" s="8">
        <v>16</v>
      </c>
      <c r="B84" s="71">
        <v>37665</v>
      </c>
      <c r="C84" s="12">
        <v>2003</v>
      </c>
      <c r="D84" s="11" t="s">
        <v>19</v>
      </c>
      <c r="E84" s="12">
        <v>2</v>
      </c>
      <c r="F84" s="17">
        <v>5.7501164628940291</v>
      </c>
      <c r="G84" s="17">
        <v>0</v>
      </c>
      <c r="I84" s="29">
        <f>AVERAGE(F83:F84)</f>
        <v>6.3904132760791263</v>
      </c>
      <c r="J84" s="29">
        <f>AVERAGE(G83:G84)</f>
        <v>0</v>
      </c>
      <c r="L84">
        <v>0</v>
      </c>
      <c r="M84">
        <f>+(L84-$L$619)/$L$620</f>
        <v>-0.40884531980103711</v>
      </c>
      <c r="N84">
        <f>+N82+M84</f>
        <v>-0.30984949615886803</v>
      </c>
    </row>
    <row r="85" spans="1:14">
      <c r="A85" s="8">
        <v>2</v>
      </c>
      <c r="B85" s="71">
        <v>37690</v>
      </c>
      <c r="C85" s="12">
        <v>2003</v>
      </c>
      <c r="D85" s="11" t="s">
        <v>20</v>
      </c>
      <c r="E85" s="12">
        <v>3</v>
      </c>
      <c r="F85" s="17">
        <v>5.4394671209078842</v>
      </c>
      <c r="G85" s="17">
        <v>0</v>
      </c>
    </row>
    <row r="86" spans="1:14">
      <c r="A86" s="8">
        <v>16</v>
      </c>
      <c r="B86" s="71">
        <v>37692</v>
      </c>
      <c r="C86" s="12">
        <v>2003</v>
      </c>
      <c r="D86" s="11" t="s">
        <v>20</v>
      </c>
      <c r="E86" s="12">
        <v>3</v>
      </c>
      <c r="F86" s="17">
        <v>6.7191308328276174</v>
      </c>
      <c r="G86" s="17">
        <v>0</v>
      </c>
      <c r="I86" s="29">
        <f>AVERAGE(F85:F86)</f>
        <v>6.0792989768677508</v>
      </c>
      <c r="J86" s="29">
        <f>AVERAGE(G85:G86)</f>
        <v>0</v>
      </c>
      <c r="L86">
        <v>0</v>
      </c>
      <c r="M86">
        <f>+(L86-$L$619)/$L$620</f>
        <v>-0.40884531980103711</v>
      </c>
      <c r="N86">
        <f>+N84+M86</f>
        <v>-0.71869481595990514</v>
      </c>
    </row>
    <row r="87" spans="1:14">
      <c r="A87" s="8">
        <v>2</v>
      </c>
      <c r="B87" s="71">
        <v>37725</v>
      </c>
      <c r="C87" s="12">
        <v>2003</v>
      </c>
      <c r="D87" s="11" t="s">
        <v>21</v>
      </c>
      <c r="E87" s="12">
        <v>4</v>
      </c>
      <c r="F87" s="17">
        <v>11.05539663202868</v>
      </c>
      <c r="G87" s="17">
        <v>0.16549202616848291</v>
      </c>
    </row>
    <row r="88" spans="1:14">
      <c r="A88" s="8">
        <v>16</v>
      </c>
      <c r="B88" s="71">
        <v>37725</v>
      </c>
      <c r="C88" s="12">
        <v>2003</v>
      </c>
      <c r="D88" s="11" t="s">
        <v>21</v>
      </c>
      <c r="E88" s="12">
        <v>4</v>
      </c>
      <c r="F88" s="17">
        <v>6.8301543624819328</v>
      </c>
      <c r="G88" s="17">
        <v>7.0366604155830306E-2</v>
      </c>
      <c r="I88" s="29">
        <f>AVERAGE(F87:F88)</f>
        <v>8.9427754972553064</v>
      </c>
      <c r="J88" s="29">
        <f>AVERAGE(G87:G88)</f>
        <v>0.1179293151621566</v>
      </c>
      <c r="L88">
        <v>1.3187104517870449E-2</v>
      </c>
      <c r="M88">
        <f>+(L88-$L$619)/$L$620</f>
        <v>-2.3985021130941191E-2</v>
      </c>
      <c r="N88">
        <f>+N86+M88</f>
        <v>-0.74267983709084628</v>
      </c>
    </row>
    <row r="89" spans="1:14">
      <c r="A89" s="8">
        <v>2</v>
      </c>
      <c r="B89" s="71">
        <v>37753</v>
      </c>
      <c r="C89" s="12">
        <v>2003</v>
      </c>
      <c r="D89" s="11" t="s">
        <v>22</v>
      </c>
      <c r="E89" s="12">
        <v>5</v>
      </c>
      <c r="F89" s="17">
        <v>5.7161307948784339</v>
      </c>
      <c r="G89" s="17">
        <v>0.38263911807805073</v>
      </c>
    </row>
    <row r="90" spans="1:14">
      <c r="A90" s="8">
        <v>16</v>
      </c>
      <c r="B90" s="71">
        <v>37753</v>
      </c>
      <c r="C90" s="12">
        <v>2003</v>
      </c>
      <c r="D90" s="11" t="s">
        <v>22</v>
      </c>
      <c r="E90" s="12">
        <v>5</v>
      </c>
      <c r="F90" s="17">
        <v>4.8233307954777436</v>
      </c>
      <c r="G90" s="17">
        <v>0.24416664590930581</v>
      </c>
      <c r="I90" s="29">
        <f>AVERAGE(F89:F90)</f>
        <v>5.2697307951780887</v>
      </c>
      <c r="J90" s="29">
        <f>AVERAGE(G89:G90)</f>
        <v>0.31340288199367827</v>
      </c>
      <c r="L90">
        <v>5.9472275563003774E-2</v>
      </c>
      <c r="M90">
        <f>+(L90-$L$619)/$L$620</f>
        <v>1.3268289295954547</v>
      </c>
      <c r="N90">
        <f>+N88+M90</f>
        <v>0.58414909250460845</v>
      </c>
    </row>
    <row r="91" spans="1:14">
      <c r="A91" s="8">
        <v>2</v>
      </c>
      <c r="B91" s="71">
        <v>37792</v>
      </c>
      <c r="C91" s="12">
        <v>2003</v>
      </c>
      <c r="D91" s="11" t="s">
        <v>23</v>
      </c>
      <c r="E91" s="12">
        <v>6</v>
      </c>
      <c r="F91" s="17">
        <v>9.9054037962471089</v>
      </c>
      <c r="G91" s="17">
        <v>1.1804607946114292</v>
      </c>
    </row>
    <row r="92" spans="1:14">
      <c r="A92" s="8">
        <v>16</v>
      </c>
      <c r="B92" s="71">
        <v>37792</v>
      </c>
      <c r="C92" s="12">
        <v>2003</v>
      </c>
      <c r="D92" s="11" t="s">
        <v>23</v>
      </c>
      <c r="E92" s="12">
        <v>6</v>
      </c>
      <c r="F92" s="17">
        <v>19.594853935043346</v>
      </c>
      <c r="G92" s="17">
        <v>3.3070706611538112</v>
      </c>
      <c r="I92" s="29">
        <f>AVERAGE(F91:F92)</f>
        <v>14.750128865645227</v>
      </c>
      <c r="J92" s="29">
        <f>AVERAGE(G91:G92)</f>
        <v>2.2437657278826202</v>
      </c>
      <c r="L92">
        <v>0.15211838135927155</v>
      </c>
      <c r="M92">
        <f>+(L92-$L$619)/$L$620</f>
        <v>4.0306679640896537</v>
      </c>
      <c r="N92">
        <f>+N90+M92</f>
        <v>4.6148170565942621</v>
      </c>
    </row>
    <row r="93" spans="1:14">
      <c r="A93" s="8">
        <v>2</v>
      </c>
      <c r="B93" s="71">
        <v>37817</v>
      </c>
      <c r="C93" s="12">
        <v>2003</v>
      </c>
      <c r="D93" s="16" t="s">
        <v>24</v>
      </c>
      <c r="E93" s="12">
        <v>7</v>
      </c>
      <c r="F93" s="17">
        <v>14.487619123674301</v>
      </c>
      <c r="G93" s="17">
        <v>0</v>
      </c>
    </row>
    <row r="94" spans="1:14">
      <c r="A94" s="8">
        <v>16</v>
      </c>
      <c r="B94" s="71">
        <v>37817</v>
      </c>
      <c r="C94" s="12">
        <v>2003</v>
      </c>
      <c r="D94" s="16" t="s">
        <v>24</v>
      </c>
      <c r="E94" s="12">
        <v>7</v>
      </c>
      <c r="F94" s="17">
        <v>12.646929840868735</v>
      </c>
      <c r="G94" s="17">
        <v>0</v>
      </c>
      <c r="I94" s="29">
        <f>AVERAGE(F93:F94)</f>
        <v>13.567274482271518</v>
      </c>
      <c r="J94" s="29">
        <f>AVERAGE(G93:G94)</f>
        <v>0</v>
      </c>
      <c r="L94">
        <v>0</v>
      </c>
      <c r="M94">
        <f>+(L94-$L$619)/$L$620</f>
        <v>-0.40884531980103711</v>
      </c>
      <c r="N94">
        <f>+N92+M94</f>
        <v>4.2059717367932254</v>
      </c>
    </row>
    <row r="95" spans="1:14">
      <c r="A95" s="8">
        <v>2</v>
      </c>
      <c r="B95" s="71">
        <v>37845</v>
      </c>
      <c r="C95" s="12">
        <v>2003</v>
      </c>
      <c r="D95" s="16" t="s">
        <v>25</v>
      </c>
      <c r="E95" s="12">
        <v>8</v>
      </c>
      <c r="F95" s="17">
        <v>19.537651800896953</v>
      </c>
      <c r="G95" s="17">
        <v>0</v>
      </c>
    </row>
    <row r="96" spans="1:14">
      <c r="A96" s="8">
        <v>16</v>
      </c>
      <c r="B96" s="71">
        <v>37845</v>
      </c>
      <c r="C96" s="12">
        <v>2003</v>
      </c>
      <c r="D96" s="16" t="s">
        <v>25</v>
      </c>
      <c r="E96" s="12">
        <v>8</v>
      </c>
      <c r="F96" s="17">
        <v>20.502660158281593</v>
      </c>
      <c r="G96" s="17">
        <v>4.0856259570099321E-2</v>
      </c>
      <c r="I96" s="29">
        <f>AVERAGE(F95:F96)</f>
        <v>20.020155979589273</v>
      </c>
      <c r="J96" s="29">
        <f>AVERAGE(G95:G96)</f>
        <v>2.042812978504966E-2</v>
      </c>
      <c r="L96">
        <v>1.0203781531910301E-3</v>
      </c>
      <c r="M96">
        <f>+(L96-$L$619)/$L$620</f>
        <v>-0.37906599711034555</v>
      </c>
      <c r="N96">
        <f>+N94+M96</f>
        <v>3.8269057396828798</v>
      </c>
    </row>
    <row r="97" spans="1:14">
      <c r="A97" s="8">
        <v>2</v>
      </c>
      <c r="B97" s="71">
        <v>37888</v>
      </c>
      <c r="C97" s="12">
        <v>2003</v>
      </c>
      <c r="D97" s="16" t="s">
        <v>26</v>
      </c>
      <c r="E97" s="12">
        <v>9</v>
      </c>
      <c r="F97" s="17">
        <v>3.6079961892922769</v>
      </c>
      <c r="G97" s="17">
        <v>0</v>
      </c>
    </row>
    <row r="98" spans="1:14">
      <c r="A98" s="8">
        <v>16</v>
      </c>
      <c r="B98" s="71">
        <v>37888</v>
      </c>
      <c r="C98" s="12">
        <v>2003</v>
      </c>
      <c r="D98" s="16" t="s">
        <v>26</v>
      </c>
      <c r="E98" s="12">
        <v>9</v>
      </c>
      <c r="F98" s="17">
        <v>4.389143577658345</v>
      </c>
      <c r="G98" s="17">
        <v>0</v>
      </c>
      <c r="I98" s="29">
        <f>AVERAGE(F97:F98)</f>
        <v>3.9985698834753109</v>
      </c>
      <c r="J98" s="29">
        <f>AVERAGE(G97:G98)</f>
        <v>0</v>
      </c>
      <c r="L98">
        <v>0</v>
      </c>
      <c r="M98">
        <f>+(L98-$L$619)/$L$620</f>
        <v>-0.40884531980103711</v>
      </c>
      <c r="N98">
        <f>+N96+M98</f>
        <v>3.4180604198818427</v>
      </c>
    </row>
    <row r="99" spans="1:14">
      <c r="A99" s="8">
        <v>2</v>
      </c>
      <c r="B99" s="71">
        <v>37908</v>
      </c>
      <c r="C99" s="12">
        <v>2003</v>
      </c>
      <c r="D99" s="16" t="s">
        <v>14</v>
      </c>
      <c r="E99" s="12">
        <v>10</v>
      </c>
      <c r="F99" s="13">
        <v>2.2682000000000002</v>
      </c>
      <c r="G99" s="17">
        <v>0</v>
      </c>
    </row>
    <row r="100" spans="1:14">
      <c r="A100" s="8">
        <v>16</v>
      </c>
      <c r="B100" s="71">
        <v>37908</v>
      </c>
      <c r="C100" s="12">
        <v>2003</v>
      </c>
      <c r="D100" s="16" t="s">
        <v>14</v>
      </c>
      <c r="E100" s="12">
        <v>10</v>
      </c>
      <c r="F100" s="13">
        <v>4.5435999999999996</v>
      </c>
      <c r="G100" s="17">
        <v>0</v>
      </c>
      <c r="I100" s="29">
        <f>AVERAGE(F99:F100)</f>
        <v>3.4058999999999999</v>
      </c>
      <c r="J100" s="29">
        <f>AVERAGE(G99:G100)</f>
        <v>0</v>
      </c>
      <c r="L100">
        <v>0</v>
      </c>
      <c r="M100">
        <f>+(L100-$L$619)/$L$620</f>
        <v>-0.40884531980103711</v>
      </c>
      <c r="N100">
        <f>+N98+M100</f>
        <v>3.0092151000808056</v>
      </c>
    </row>
    <row r="101" spans="1:14">
      <c r="A101" s="8">
        <v>2</v>
      </c>
      <c r="B101" s="71">
        <v>37943</v>
      </c>
      <c r="C101" s="12">
        <v>2003</v>
      </c>
      <c r="D101" s="16" t="s">
        <v>16</v>
      </c>
      <c r="E101" s="12">
        <v>11</v>
      </c>
      <c r="F101" s="13">
        <v>1.7544</v>
      </c>
      <c r="G101" s="17">
        <v>0</v>
      </c>
    </row>
    <row r="102" spans="1:14">
      <c r="A102" s="8">
        <v>16</v>
      </c>
      <c r="B102" s="71">
        <v>37943</v>
      </c>
      <c r="C102" s="12">
        <v>2003</v>
      </c>
      <c r="D102" s="16" t="s">
        <v>16</v>
      </c>
      <c r="E102" s="12">
        <v>11</v>
      </c>
      <c r="F102" s="13">
        <v>2.1516000000000002</v>
      </c>
      <c r="G102" s="17">
        <v>0</v>
      </c>
      <c r="I102" s="29">
        <f>AVERAGE(F101:F102)</f>
        <v>1.9530000000000001</v>
      </c>
      <c r="J102" s="29">
        <f>AVERAGE(G101:G102)</f>
        <v>0</v>
      </c>
      <c r="L102">
        <v>0</v>
      </c>
      <c r="M102">
        <f>+(L102-$L$619)/$L$620</f>
        <v>-0.40884531980103711</v>
      </c>
      <c r="N102">
        <f>+N100+M102</f>
        <v>2.6003697802797685</v>
      </c>
    </row>
    <row r="103" spans="1:14">
      <c r="A103" s="8">
        <v>2</v>
      </c>
      <c r="B103" s="71">
        <v>37973</v>
      </c>
      <c r="C103" s="12">
        <v>2003</v>
      </c>
      <c r="D103" s="16" t="s">
        <v>17</v>
      </c>
      <c r="E103" s="12">
        <v>12</v>
      </c>
      <c r="F103" s="13">
        <v>6.9042000000000003</v>
      </c>
      <c r="G103" s="17">
        <v>0</v>
      </c>
    </row>
    <row r="104" spans="1:14">
      <c r="A104" s="8">
        <v>16</v>
      </c>
      <c r="B104" s="71">
        <v>37973</v>
      </c>
      <c r="C104" s="12">
        <v>2003</v>
      </c>
      <c r="D104" s="16" t="s">
        <v>17</v>
      </c>
      <c r="E104" s="12">
        <v>12</v>
      </c>
      <c r="F104" s="13">
        <v>8.3348999999999993</v>
      </c>
      <c r="G104" s="17">
        <v>0</v>
      </c>
      <c r="I104" s="29">
        <f>AVERAGE(F103:F104)</f>
        <v>7.6195500000000003</v>
      </c>
      <c r="J104" s="29">
        <f>AVERAGE(G103:G104)</f>
        <v>0</v>
      </c>
      <c r="L104">
        <v>0</v>
      </c>
      <c r="M104">
        <f>+(L104-$L$619)/$L$620</f>
        <v>-0.40884531980103711</v>
      </c>
      <c r="N104">
        <f>+N102+M104</f>
        <v>2.1915244604787314</v>
      </c>
    </row>
    <row r="105" spans="1:14">
      <c r="A105" s="8">
        <v>2</v>
      </c>
      <c r="B105" s="71">
        <v>38000</v>
      </c>
      <c r="C105" s="12">
        <v>2004</v>
      </c>
      <c r="D105" s="16" t="s">
        <v>18</v>
      </c>
      <c r="E105" s="10">
        <v>1</v>
      </c>
      <c r="F105" s="13">
        <v>7.9244000000000003</v>
      </c>
      <c r="G105" s="13">
        <v>0</v>
      </c>
    </row>
    <row r="106" spans="1:14">
      <c r="A106" s="8">
        <v>16</v>
      </c>
      <c r="B106" s="71">
        <v>37999</v>
      </c>
      <c r="C106" s="12">
        <v>2004</v>
      </c>
      <c r="D106" s="16" t="s">
        <v>18</v>
      </c>
      <c r="E106" s="10">
        <v>1</v>
      </c>
      <c r="F106" s="13">
        <v>4.7584999999999997</v>
      </c>
      <c r="G106" s="13">
        <v>0</v>
      </c>
      <c r="I106" s="29">
        <f>AVERAGE(F105:F106)</f>
        <v>6.34145</v>
      </c>
      <c r="J106" s="29">
        <f>AVERAGE(G105:G106)</f>
        <v>0</v>
      </c>
      <c r="L106">
        <v>0</v>
      </c>
      <c r="M106">
        <f>+(L106-$L$619)/$L$620</f>
        <v>-0.40884531980103711</v>
      </c>
      <c r="N106">
        <f>+N104+M106</f>
        <v>1.7826791406776943</v>
      </c>
    </row>
    <row r="107" spans="1:14">
      <c r="A107" s="8">
        <v>2</v>
      </c>
      <c r="B107" s="71">
        <v>38027</v>
      </c>
      <c r="C107" s="12">
        <v>2004</v>
      </c>
      <c r="D107" s="11" t="s">
        <v>19</v>
      </c>
      <c r="E107" s="12">
        <v>2</v>
      </c>
      <c r="F107" s="13">
        <v>8.4512999999999998</v>
      </c>
      <c r="G107" s="13">
        <v>0</v>
      </c>
    </row>
    <row r="108" spans="1:14">
      <c r="A108" s="8">
        <v>16</v>
      </c>
      <c r="B108" s="71">
        <v>38027</v>
      </c>
      <c r="C108" s="12">
        <v>2004</v>
      </c>
      <c r="D108" s="11" t="s">
        <v>19</v>
      </c>
      <c r="E108" s="12">
        <v>2</v>
      </c>
      <c r="F108" s="13">
        <v>6.8272000000000004</v>
      </c>
      <c r="G108" s="13">
        <v>0</v>
      </c>
      <c r="I108" s="29">
        <f>AVERAGE(F107:F108)</f>
        <v>7.6392500000000005</v>
      </c>
      <c r="J108" s="29">
        <f>AVERAGE(G107:G108)</f>
        <v>0</v>
      </c>
      <c r="L108">
        <v>0</v>
      </c>
      <c r="M108">
        <f>+(L108-$L$619)/$L$620</f>
        <v>-0.40884531980103711</v>
      </c>
      <c r="N108">
        <f>+N106+M108</f>
        <v>1.3738338208766572</v>
      </c>
    </row>
    <row r="109" spans="1:14">
      <c r="A109" s="8">
        <v>2</v>
      </c>
      <c r="B109" s="71">
        <v>38063</v>
      </c>
      <c r="C109" s="12">
        <v>2004</v>
      </c>
      <c r="D109" s="11" t="s">
        <v>20</v>
      </c>
      <c r="E109" s="12">
        <v>3</v>
      </c>
      <c r="F109" s="13">
        <v>5.9840999999999998</v>
      </c>
      <c r="G109" s="13">
        <v>1.5937718946000549E-2</v>
      </c>
    </row>
    <row r="110" spans="1:14">
      <c r="A110" s="8">
        <v>16</v>
      </c>
      <c r="B110" s="71">
        <v>38063</v>
      </c>
      <c r="C110" s="12">
        <v>2004</v>
      </c>
      <c r="D110" s="11" t="s">
        <v>20</v>
      </c>
      <c r="E110" s="12">
        <v>3</v>
      </c>
      <c r="F110" s="13">
        <v>5.5353000000000003</v>
      </c>
      <c r="G110" s="13">
        <v>1.0860460455290995E-2</v>
      </c>
      <c r="I110" s="29">
        <f>AVERAGE(F109:F110)</f>
        <v>5.7597000000000005</v>
      </c>
      <c r="J110" s="29">
        <f>AVERAGE(G109:G110)</f>
        <v>1.3399089700645772E-2</v>
      </c>
      <c r="L110">
        <v>2.3263520149740041E-3</v>
      </c>
      <c r="M110">
        <f>+(L110-$L$619)/$L$620</f>
        <v>-0.34095167945858101</v>
      </c>
      <c r="N110">
        <f>+N108+M110</f>
        <v>1.0328821414180762</v>
      </c>
    </row>
    <row r="111" spans="1:14">
      <c r="A111" s="8">
        <v>2</v>
      </c>
      <c r="B111" s="71">
        <v>38094</v>
      </c>
      <c r="C111" s="12">
        <v>2004</v>
      </c>
      <c r="D111" s="11" t="s">
        <v>21</v>
      </c>
      <c r="E111" s="12">
        <v>4</v>
      </c>
      <c r="F111" s="13">
        <v>5.3353000000000002</v>
      </c>
      <c r="G111" s="23">
        <v>9.8750546190221208E-2</v>
      </c>
    </row>
    <row r="112" spans="1:14">
      <c r="A112" s="8">
        <v>16</v>
      </c>
      <c r="B112" s="71">
        <v>38094</v>
      </c>
      <c r="C112" s="12">
        <v>2004</v>
      </c>
      <c r="D112" s="11" t="s">
        <v>21</v>
      </c>
      <c r="E112" s="12">
        <v>4</v>
      </c>
      <c r="F112" s="13">
        <v>6.4290000000000003</v>
      </c>
      <c r="G112" s="23">
        <v>8.9604443079694868E-2</v>
      </c>
      <c r="I112" s="29">
        <f>AVERAGE(F111:F112)</f>
        <v>5.8821500000000002</v>
      </c>
      <c r="J112" s="29">
        <f>AVERAGE(G111:G112)</f>
        <v>9.4177494634958031E-2</v>
      </c>
      <c r="L112">
        <v>1.6010726458005668E-2</v>
      </c>
      <c r="M112">
        <f>+(L112-$L$619)/$L$620</f>
        <v>5.8421240360293579E-2</v>
      </c>
      <c r="N112">
        <f>+N110+M112</f>
        <v>1.0913033817783697</v>
      </c>
    </row>
    <row r="113" spans="1:14">
      <c r="A113" s="8">
        <v>2</v>
      </c>
      <c r="B113" s="71">
        <v>38118</v>
      </c>
      <c r="C113" s="12">
        <v>2004</v>
      </c>
      <c r="D113" s="11" t="s">
        <v>22</v>
      </c>
      <c r="E113" s="12">
        <v>5</v>
      </c>
      <c r="F113" s="13">
        <v>3.1080999999999999</v>
      </c>
      <c r="G113" s="23">
        <v>6.0631256512209332E-2</v>
      </c>
    </row>
    <row r="114" spans="1:14">
      <c r="A114" s="8">
        <v>16</v>
      </c>
      <c r="B114" s="71">
        <v>38118</v>
      </c>
      <c r="C114" s="12">
        <v>2004</v>
      </c>
      <c r="D114" s="11" t="s">
        <v>22</v>
      </c>
      <c r="E114" s="12">
        <v>5</v>
      </c>
      <c r="F114" s="13">
        <v>4.1181999999999999</v>
      </c>
      <c r="G114" s="23">
        <v>8.5490666808374055E-2</v>
      </c>
      <c r="I114" s="29">
        <f>AVERAGE(F113:F114)</f>
        <v>3.6131500000000001</v>
      </c>
      <c r="J114" s="29">
        <f>AVERAGE(G113:G114)</f>
        <v>7.306096166029169E-2</v>
      </c>
      <c r="L114">
        <v>2.0220849303320285E-2</v>
      </c>
      <c r="M114">
        <f>+(L114-$L$619)/$L$620</f>
        <v>0.1812919686152962</v>
      </c>
      <c r="N114">
        <f>+N112+M114</f>
        <v>1.272595350393666</v>
      </c>
    </row>
    <row r="115" spans="1:14">
      <c r="A115" s="8">
        <v>2</v>
      </c>
      <c r="B115" s="71">
        <v>38153</v>
      </c>
      <c r="C115" s="12">
        <v>2004</v>
      </c>
      <c r="D115" s="11" t="s">
        <v>23</v>
      </c>
      <c r="E115" s="12">
        <v>6</v>
      </c>
      <c r="F115" s="13">
        <v>21.325199999999999</v>
      </c>
      <c r="G115" s="23">
        <v>2.1702426693377448</v>
      </c>
    </row>
    <row r="116" spans="1:14">
      <c r="A116" s="8">
        <v>16</v>
      </c>
      <c r="B116" s="71">
        <v>38153</v>
      </c>
      <c r="C116" s="12">
        <v>2004</v>
      </c>
      <c r="D116" s="11" t="s">
        <v>23</v>
      </c>
      <c r="E116" s="12">
        <v>6</v>
      </c>
      <c r="F116" s="13">
        <v>21.731999999999999</v>
      </c>
      <c r="G116" s="23">
        <v>2.3976296734828382</v>
      </c>
      <c r="I116" s="29">
        <f>AVERAGE(F115:F116)</f>
        <v>21.528599999999997</v>
      </c>
      <c r="J116" s="29">
        <f>AVERAGE(G115:G116)</f>
        <v>2.2839361714102915</v>
      </c>
      <c r="L116">
        <v>0.10608846703502745</v>
      </c>
      <c r="M116">
        <f>+(L116-$L$619)/$L$620</f>
        <v>2.6873035772691054</v>
      </c>
      <c r="N116">
        <f>+N114+M116</f>
        <v>3.9598989276627714</v>
      </c>
    </row>
    <row r="117" spans="1:14">
      <c r="A117" s="8">
        <v>2</v>
      </c>
      <c r="B117" s="71">
        <v>38181</v>
      </c>
      <c r="C117" s="12">
        <v>2004</v>
      </c>
      <c r="D117" s="16" t="s">
        <v>24</v>
      </c>
      <c r="E117" s="12">
        <v>7</v>
      </c>
      <c r="F117" s="13">
        <v>19.874500000000001</v>
      </c>
      <c r="G117" s="23">
        <v>0.13274452024995922</v>
      </c>
    </row>
    <row r="118" spans="1:14">
      <c r="A118" s="8">
        <v>16</v>
      </c>
      <c r="B118" s="71">
        <v>38181</v>
      </c>
      <c r="C118" s="12">
        <v>2004</v>
      </c>
      <c r="D118" s="16" t="s">
        <v>24</v>
      </c>
      <c r="E118" s="12">
        <v>7</v>
      </c>
      <c r="F118" s="13">
        <v>16.134699999999999</v>
      </c>
      <c r="G118" s="23">
        <v>0.17113397418887033</v>
      </c>
      <c r="I118" s="29">
        <f>AVERAGE(F117:F118)</f>
        <v>18.0046</v>
      </c>
      <c r="J118" s="29">
        <f>AVERAGE(G117:G118)</f>
        <v>0.15193924721941476</v>
      </c>
      <c r="L118">
        <v>8.4389126789495335E-3</v>
      </c>
      <c r="M118">
        <f>+(L118-$L$619)/$L$620</f>
        <v>-0.16255907480539528</v>
      </c>
      <c r="N118">
        <f>+N116+M118</f>
        <v>3.7973398528573763</v>
      </c>
    </row>
    <row r="119" spans="1:14">
      <c r="A119" s="8">
        <v>2</v>
      </c>
      <c r="B119" s="71">
        <v>38217</v>
      </c>
      <c r="C119" s="12">
        <v>2004</v>
      </c>
      <c r="D119" s="16" t="s">
        <v>25</v>
      </c>
      <c r="E119" s="12">
        <v>8</v>
      </c>
      <c r="F119" s="13">
        <v>16.3978</v>
      </c>
      <c r="G119" s="21"/>
    </row>
    <row r="120" spans="1:14">
      <c r="A120" s="8">
        <v>16</v>
      </c>
      <c r="B120" s="71">
        <v>38217</v>
      </c>
      <c r="C120" s="12">
        <v>2004</v>
      </c>
      <c r="D120" s="16" t="s">
        <v>25</v>
      </c>
      <c r="E120" s="12">
        <v>8</v>
      </c>
      <c r="F120" s="13">
        <v>14.690899999999999</v>
      </c>
      <c r="G120" s="21"/>
      <c r="I120" s="29">
        <f>AVERAGE(F119:F120)</f>
        <v>15.54435</v>
      </c>
      <c r="J120" s="29" t="e">
        <f>AVERAGE(G119:G120)</f>
        <v>#DIV/0!</v>
      </c>
    </row>
    <row r="121" spans="1:14">
      <c r="A121" s="8">
        <v>2</v>
      </c>
      <c r="B121" s="71">
        <v>38244</v>
      </c>
      <c r="C121" s="12">
        <v>2004</v>
      </c>
      <c r="D121" s="16" t="s">
        <v>26</v>
      </c>
      <c r="E121" s="12">
        <v>9</v>
      </c>
      <c r="F121" s="13">
        <v>9.6735000000000007</v>
      </c>
      <c r="G121" s="23">
        <v>0</v>
      </c>
    </row>
    <row r="122" spans="1:14">
      <c r="A122" s="8">
        <v>16</v>
      </c>
      <c r="B122" s="71">
        <v>38244</v>
      </c>
      <c r="C122" s="12">
        <v>2004</v>
      </c>
      <c r="D122" s="16" t="s">
        <v>26</v>
      </c>
      <c r="E122" s="12">
        <v>9</v>
      </c>
      <c r="F122" s="13">
        <v>8.8986999999999998</v>
      </c>
      <c r="G122" s="23">
        <v>0</v>
      </c>
      <c r="I122" s="29">
        <f>AVERAGE(F121:F122)</f>
        <v>9.2861000000000011</v>
      </c>
      <c r="J122" s="29">
        <f>AVERAGE(G121:G122)</f>
        <v>0</v>
      </c>
      <c r="L122">
        <v>0</v>
      </c>
      <c r="M122">
        <f>+(L122-$L$619)/$L$620</f>
        <v>-0.40884531980103711</v>
      </c>
      <c r="N122">
        <f>+N118+M122</f>
        <v>3.3884945330563392</v>
      </c>
    </row>
    <row r="123" spans="1:14">
      <c r="A123" s="8">
        <v>2</v>
      </c>
      <c r="B123" s="71">
        <v>38272</v>
      </c>
      <c r="C123" s="12">
        <v>2004</v>
      </c>
      <c r="D123" s="16" t="s">
        <v>14</v>
      </c>
      <c r="E123" s="12">
        <v>10</v>
      </c>
      <c r="F123" s="17">
        <v>5.6414</v>
      </c>
      <c r="G123" s="17">
        <v>0</v>
      </c>
    </row>
    <row r="124" spans="1:14">
      <c r="A124" s="8">
        <v>16</v>
      </c>
      <c r="B124" s="71">
        <v>38272</v>
      </c>
      <c r="C124" s="12">
        <v>2004</v>
      </c>
      <c r="D124" s="16" t="s">
        <v>14</v>
      </c>
      <c r="E124" s="12">
        <v>10</v>
      </c>
      <c r="F124" s="17">
        <v>3.5736300000000001</v>
      </c>
      <c r="G124" s="17">
        <v>0</v>
      </c>
      <c r="I124" s="29">
        <f>AVERAGE(F123:F124)</f>
        <v>4.6075150000000002</v>
      </c>
      <c r="J124" s="29">
        <f>AVERAGE(G123:G124)</f>
        <v>0</v>
      </c>
      <c r="L124">
        <v>0</v>
      </c>
      <c r="M124">
        <f>+(L124-$L$619)/$L$620</f>
        <v>-0.40884531980103711</v>
      </c>
      <c r="N124">
        <f>+N122+M124</f>
        <v>2.9796492132553021</v>
      </c>
    </row>
    <row r="125" spans="1:14">
      <c r="A125" s="8">
        <v>2</v>
      </c>
      <c r="B125" s="71">
        <v>38306</v>
      </c>
      <c r="C125" s="12">
        <v>2004</v>
      </c>
      <c r="D125" s="16" t="s">
        <v>16</v>
      </c>
      <c r="E125" s="12">
        <v>11</v>
      </c>
      <c r="F125" s="17">
        <v>3.9119600000000001</v>
      </c>
      <c r="G125" s="17">
        <v>0</v>
      </c>
    </row>
    <row r="126" spans="1:14">
      <c r="A126" s="8">
        <v>16</v>
      </c>
      <c r="B126" s="71">
        <v>38306</v>
      </c>
      <c r="C126" s="12">
        <v>2004</v>
      </c>
      <c r="D126" s="16" t="s">
        <v>16</v>
      </c>
      <c r="E126" s="12">
        <v>11</v>
      </c>
      <c r="F126" s="17">
        <v>2.7208100000000002</v>
      </c>
      <c r="G126" s="17">
        <v>0</v>
      </c>
      <c r="I126" s="29">
        <f>AVERAGE(F125:F126)</f>
        <v>3.3163850000000004</v>
      </c>
      <c r="J126" s="29">
        <f>AVERAGE(G125:G126)</f>
        <v>0</v>
      </c>
      <c r="L126">
        <v>0</v>
      </c>
      <c r="M126">
        <f>+(L126-$L$619)/$L$620</f>
        <v>-0.40884531980103711</v>
      </c>
      <c r="N126">
        <f>+N124+M126</f>
        <v>2.570803893454265</v>
      </c>
    </row>
    <row r="127" spans="1:14">
      <c r="A127" s="8">
        <v>2</v>
      </c>
      <c r="B127" s="71">
        <v>38335</v>
      </c>
      <c r="C127" s="12">
        <v>2004</v>
      </c>
      <c r="D127" s="16" t="s">
        <v>17</v>
      </c>
      <c r="E127" s="12">
        <v>12</v>
      </c>
      <c r="F127" s="17">
        <v>2.8012800000000002</v>
      </c>
      <c r="G127" s="17">
        <v>0</v>
      </c>
    </row>
    <row r="128" spans="1:14">
      <c r="A128" s="8">
        <v>16</v>
      </c>
      <c r="B128" s="71">
        <v>38335</v>
      </c>
      <c r="C128" s="12">
        <v>2004</v>
      </c>
      <c r="D128" s="16" t="s">
        <v>17</v>
      </c>
      <c r="E128" s="12">
        <v>12</v>
      </c>
      <c r="F128" s="15">
        <v>2.6802199999999998</v>
      </c>
      <c r="G128" s="15">
        <v>0</v>
      </c>
      <c r="I128" s="29">
        <f>AVERAGE(F127:F128)</f>
        <v>2.7407500000000002</v>
      </c>
      <c r="J128" s="29">
        <f>AVERAGE(G127:G128)</f>
        <v>0</v>
      </c>
      <c r="L128">
        <v>0</v>
      </c>
      <c r="M128">
        <f>+(L128-$L$619)/$L$620</f>
        <v>-0.40884531980103711</v>
      </c>
      <c r="N128">
        <f>+N126+M128</f>
        <v>2.1619585736532279</v>
      </c>
    </row>
    <row r="129" spans="1:14">
      <c r="A129" s="8">
        <v>2</v>
      </c>
      <c r="B129" s="74">
        <v>38362</v>
      </c>
      <c r="C129" s="12">
        <v>2005</v>
      </c>
      <c r="D129" s="16" t="s">
        <v>18</v>
      </c>
      <c r="E129" s="10">
        <v>1</v>
      </c>
      <c r="F129" s="15">
        <v>10.834250000000001</v>
      </c>
      <c r="G129" s="15">
        <v>0</v>
      </c>
    </row>
    <row r="130" spans="1:14">
      <c r="A130" s="8">
        <v>16</v>
      </c>
      <c r="B130" s="74">
        <v>38362</v>
      </c>
      <c r="C130" s="12">
        <v>2005</v>
      </c>
      <c r="D130" s="16" t="s">
        <v>18</v>
      </c>
      <c r="E130" s="10">
        <v>1</v>
      </c>
      <c r="F130" s="15">
        <v>5.9218200000000003</v>
      </c>
      <c r="G130" s="15">
        <v>0</v>
      </c>
      <c r="I130" s="29">
        <f>AVERAGE(F129:F130)</f>
        <v>8.3780350000000006</v>
      </c>
      <c r="J130" s="29">
        <f>AVERAGE(G129:G130)</f>
        <v>0</v>
      </c>
      <c r="L130">
        <v>0</v>
      </c>
      <c r="M130">
        <f>+(L130-$L$619)/$L$620</f>
        <v>-0.40884531980103711</v>
      </c>
      <c r="N130">
        <f>+N128+M130</f>
        <v>1.7531132538521907</v>
      </c>
    </row>
    <row r="131" spans="1:14">
      <c r="A131" s="8">
        <v>2</v>
      </c>
      <c r="B131" s="74">
        <v>38399</v>
      </c>
      <c r="C131" s="12">
        <v>2005</v>
      </c>
      <c r="D131" s="11" t="s">
        <v>19</v>
      </c>
      <c r="E131" s="12">
        <v>2</v>
      </c>
      <c r="F131" s="15">
        <v>2.6156700000000002</v>
      </c>
      <c r="G131" s="15">
        <v>0</v>
      </c>
    </row>
    <row r="132" spans="1:14">
      <c r="A132" s="8">
        <v>16</v>
      </c>
      <c r="B132" s="74">
        <v>38399</v>
      </c>
      <c r="C132" s="12">
        <v>2005</v>
      </c>
      <c r="D132" s="11" t="s">
        <v>19</v>
      </c>
      <c r="E132" s="12">
        <v>2</v>
      </c>
      <c r="F132" s="15">
        <v>2.10026</v>
      </c>
      <c r="G132" s="15">
        <v>0</v>
      </c>
      <c r="I132" s="29">
        <f>AVERAGE(F131:F132)</f>
        <v>2.3579650000000001</v>
      </c>
      <c r="J132" s="29">
        <f>AVERAGE(G131:G132)</f>
        <v>0</v>
      </c>
      <c r="L132">
        <v>0</v>
      </c>
      <c r="M132">
        <f>+(L132-$L$619)/$L$620</f>
        <v>-0.40884531980103711</v>
      </c>
      <c r="N132">
        <f>+N130+M132</f>
        <v>1.3442679340511536</v>
      </c>
    </row>
    <row r="133" spans="1:14">
      <c r="A133" s="8">
        <v>2</v>
      </c>
      <c r="B133" s="74">
        <v>38428</v>
      </c>
      <c r="C133" s="12">
        <v>2005</v>
      </c>
      <c r="D133" s="11" t="s">
        <v>20</v>
      </c>
      <c r="E133" s="12">
        <v>3</v>
      </c>
      <c r="F133" s="15">
        <v>1.12016</v>
      </c>
      <c r="G133" s="15">
        <v>0</v>
      </c>
    </row>
    <row r="134" spans="1:14">
      <c r="A134" s="8">
        <v>16</v>
      </c>
      <c r="B134" s="74">
        <v>38428</v>
      </c>
      <c r="C134" s="12">
        <v>2005</v>
      </c>
      <c r="D134" s="11" t="s">
        <v>20</v>
      </c>
      <c r="E134" s="12">
        <v>3</v>
      </c>
      <c r="F134" s="15">
        <v>1.08748</v>
      </c>
      <c r="G134" s="15">
        <v>0</v>
      </c>
      <c r="I134" s="29">
        <f>AVERAGE(F133:F134)</f>
        <v>1.10382</v>
      </c>
      <c r="J134" s="29">
        <f>AVERAGE(G133:G134)</f>
        <v>0</v>
      </c>
      <c r="L134">
        <v>0</v>
      </c>
      <c r="M134">
        <f>+(L134-$L$619)/$L$620</f>
        <v>-0.40884531980103711</v>
      </c>
      <c r="N134">
        <f>+N132+M134</f>
        <v>0.93542261425011652</v>
      </c>
    </row>
    <row r="135" spans="1:14">
      <c r="A135" s="8">
        <v>2</v>
      </c>
      <c r="B135" s="74">
        <v>38468</v>
      </c>
      <c r="C135" s="12">
        <v>2005</v>
      </c>
      <c r="D135" s="11" t="s">
        <v>21</v>
      </c>
      <c r="E135" s="12">
        <v>4</v>
      </c>
      <c r="F135" s="15">
        <v>3.4178600000000001</v>
      </c>
      <c r="G135" s="15">
        <v>6.0852529834738857E-2</v>
      </c>
    </row>
    <row r="136" spans="1:14">
      <c r="A136" s="8">
        <v>16</v>
      </c>
      <c r="B136" s="74">
        <v>38468</v>
      </c>
      <c r="C136" s="12">
        <v>2005</v>
      </c>
      <c r="D136" s="11" t="s">
        <v>21</v>
      </c>
      <c r="E136" s="12">
        <v>4</v>
      </c>
      <c r="F136" s="15">
        <v>3.3993099999999998</v>
      </c>
      <c r="G136" s="15">
        <v>4.1917394758639842E-2</v>
      </c>
      <c r="I136" s="29">
        <f>AVERAGE(F135:F136)</f>
        <v>3.408585</v>
      </c>
      <c r="J136" s="29">
        <f>AVERAGE(G135:G136)</f>
        <v>5.1384962296689346E-2</v>
      </c>
      <c r="L136">
        <v>1.5075159427354561E-2</v>
      </c>
      <c r="M136">
        <f>+(L136-$L$619)/$L$620</f>
        <v>3.1117095894437383E-2</v>
      </c>
      <c r="N136">
        <f>+N134+M136</f>
        <v>0.96653971014455387</v>
      </c>
    </row>
    <row r="137" spans="1:14">
      <c r="A137" s="8">
        <v>2</v>
      </c>
      <c r="B137" s="74">
        <v>38489</v>
      </c>
      <c r="C137" s="12">
        <v>2005</v>
      </c>
      <c r="D137" s="11" t="s">
        <v>22</v>
      </c>
      <c r="E137" s="12">
        <v>5</v>
      </c>
      <c r="F137" s="15">
        <v>8.4405800000000006</v>
      </c>
      <c r="G137" s="15">
        <v>1.1670740010055471</v>
      </c>
    </row>
    <row r="138" spans="1:14">
      <c r="A138" s="8">
        <v>16</v>
      </c>
      <c r="B138" s="74">
        <v>38489</v>
      </c>
      <c r="C138" s="12">
        <v>2005</v>
      </c>
      <c r="D138" s="11" t="s">
        <v>22</v>
      </c>
      <c r="E138" s="12">
        <v>5</v>
      </c>
      <c r="F138" s="15">
        <v>8.5562199999999997</v>
      </c>
      <c r="G138" s="15">
        <v>1.1020894258838754</v>
      </c>
      <c r="I138" s="29">
        <f>AVERAGE(F137:F138)</f>
        <v>8.4984000000000002</v>
      </c>
      <c r="J138" s="29">
        <f>AVERAGE(G137:G138)</f>
        <v>1.1345817134447111</v>
      </c>
      <c r="L138">
        <v>0.13350533199716549</v>
      </c>
      <c r="M138">
        <f>+(L138-$L$619)/$L$620</f>
        <v>3.487453665078533</v>
      </c>
      <c r="N138">
        <f>+N136+M138</f>
        <v>4.4539933752230869</v>
      </c>
    </row>
    <row r="139" spans="1:14">
      <c r="A139" s="8">
        <v>2</v>
      </c>
      <c r="B139" s="74">
        <v>38517</v>
      </c>
      <c r="C139" s="12">
        <v>2005</v>
      </c>
      <c r="D139" s="11" t="s">
        <v>23</v>
      </c>
      <c r="E139" s="12">
        <v>6</v>
      </c>
      <c r="F139" s="15">
        <v>27.824159999999999</v>
      </c>
      <c r="G139" s="15">
        <v>3.5641820013687329</v>
      </c>
    </row>
    <row r="140" spans="1:14">
      <c r="A140" s="8">
        <v>16</v>
      </c>
      <c r="B140" s="74">
        <v>38518</v>
      </c>
      <c r="C140" s="12">
        <v>2005</v>
      </c>
      <c r="D140" s="11" t="s">
        <v>23</v>
      </c>
      <c r="E140" s="12">
        <v>6</v>
      </c>
      <c r="F140" s="15">
        <v>11.79562</v>
      </c>
      <c r="G140" s="15">
        <v>0.20136711404013816</v>
      </c>
      <c r="I140" s="29">
        <f>AVERAGE(F139:F140)</f>
        <v>19.809889999999999</v>
      </c>
      <c r="J140" s="29">
        <f>AVERAGE(G139:G140)</f>
        <v>1.8827745577044355</v>
      </c>
      <c r="L140">
        <v>9.5042151052047011E-2</v>
      </c>
      <c r="M140">
        <f>+(L140-$L$619)/$L$620</f>
        <v>2.3649213240115396</v>
      </c>
      <c r="N140">
        <f>+N138+M140</f>
        <v>6.818914699234627</v>
      </c>
    </row>
    <row r="141" spans="1:14">
      <c r="A141" s="8">
        <v>2</v>
      </c>
      <c r="B141" s="74">
        <v>38547</v>
      </c>
      <c r="C141" s="12">
        <v>2005</v>
      </c>
      <c r="D141" s="16" t="s">
        <v>24</v>
      </c>
      <c r="E141" s="12">
        <v>7</v>
      </c>
      <c r="F141" s="15">
        <v>15.015750000000001</v>
      </c>
      <c r="G141" s="15">
        <v>0</v>
      </c>
    </row>
    <row r="142" spans="1:14">
      <c r="A142" s="8">
        <v>16</v>
      </c>
      <c r="B142" s="74">
        <v>38547</v>
      </c>
      <c r="C142" s="12">
        <v>2005</v>
      </c>
      <c r="D142" s="16" t="s">
        <v>24</v>
      </c>
      <c r="E142" s="12">
        <v>7</v>
      </c>
      <c r="F142" s="15">
        <v>14.90771</v>
      </c>
      <c r="G142" s="15">
        <v>0</v>
      </c>
      <c r="I142" s="29">
        <f>AVERAGE(F141:F142)</f>
        <v>14.961729999999999</v>
      </c>
      <c r="J142" s="29">
        <f>AVERAGE(G141:G142)</f>
        <v>0</v>
      </c>
      <c r="L142">
        <v>0</v>
      </c>
      <c r="M142">
        <f>+(L142-$L$619)/$L$620</f>
        <v>-0.40884531980103711</v>
      </c>
      <c r="N142">
        <f>+N140+M142</f>
        <v>6.4100693794335903</v>
      </c>
    </row>
    <row r="143" spans="1:14">
      <c r="A143" s="8">
        <v>2</v>
      </c>
      <c r="B143" s="74">
        <v>38587</v>
      </c>
      <c r="C143" s="12">
        <v>2005</v>
      </c>
      <c r="D143" s="16" t="s">
        <v>25</v>
      </c>
      <c r="E143" s="12">
        <v>8</v>
      </c>
      <c r="F143" s="15">
        <v>15.00104</v>
      </c>
      <c r="G143" s="15">
        <v>0</v>
      </c>
    </row>
    <row r="144" spans="1:14">
      <c r="A144" s="8">
        <v>16</v>
      </c>
      <c r="B144" s="74">
        <v>38588</v>
      </c>
      <c r="C144" s="12">
        <v>2005</v>
      </c>
      <c r="D144" s="16" t="s">
        <v>25</v>
      </c>
      <c r="E144" s="12">
        <v>8</v>
      </c>
      <c r="F144" s="15">
        <v>12.040520000000001</v>
      </c>
      <c r="G144" s="15">
        <v>0</v>
      </c>
      <c r="I144" s="29">
        <f>AVERAGE(F143:F144)</f>
        <v>13.52078</v>
      </c>
      <c r="J144" s="29">
        <f>AVERAGE(G143:G144)</f>
        <v>0</v>
      </c>
      <c r="L144">
        <v>0</v>
      </c>
      <c r="M144">
        <f>+(L144-$L$619)/$L$620</f>
        <v>-0.40884531980103711</v>
      </c>
      <c r="N144">
        <f>+N142+M144</f>
        <v>6.0012240596325537</v>
      </c>
    </row>
    <row r="145" spans="1:14">
      <c r="A145" s="8">
        <v>2</v>
      </c>
      <c r="B145" s="74">
        <v>38608</v>
      </c>
      <c r="C145" s="12">
        <v>2005</v>
      </c>
      <c r="D145" s="16" t="s">
        <v>26</v>
      </c>
      <c r="E145" s="12">
        <v>9</v>
      </c>
      <c r="F145" s="15">
        <v>11.77708</v>
      </c>
      <c r="G145" s="15">
        <v>0</v>
      </c>
    </row>
    <row r="146" spans="1:14">
      <c r="A146" s="8">
        <v>16</v>
      </c>
      <c r="B146" s="74">
        <v>38608</v>
      </c>
      <c r="C146" s="12">
        <v>2005</v>
      </c>
      <c r="D146" s="16" t="s">
        <v>26</v>
      </c>
      <c r="E146" s="12">
        <v>9</v>
      </c>
      <c r="F146" s="15">
        <v>13.10258</v>
      </c>
      <c r="G146" s="15">
        <v>3.4658950124568363E-2</v>
      </c>
      <c r="I146" s="29">
        <f>AVERAGE(F145:F146)</f>
        <v>12.439830000000001</v>
      </c>
      <c r="J146" s="29">
        <f>AVERAGE(G145:G146)</f>
        <v>1.7329475062284182E-2</v>
      </c>
      <c r="L146">
        <v>1.3930636561982101E-3</v>
      </c>
      <c r="M146">
        <f>+(L146-$L$619)/$L$620</f>
        <v>-0.36818932180963893</v>
      </c>
      <c r="N146">
        <f>+N144+M146</f>
        <v>5.6330347378229151</v>
      </c>
    </row>
    <row r="147" spans="1:14">
      <c r="A147" s="8">
        <v>2</v>
      </c>
      <c r="B147" s="74">
        <v>38637</v>
      </c>
      <c r="C147" s="12">
        <v>2005</v>
      </c>
      <c r="D147" s="16" t="s">
        <v>14</v>
      </c>
      <c r="E147" s="12">
        <v>10</v>
      </c>
      <c r="F147" s="15">
        <v>3.4838</v>
      </c>
      <c r="G147" s="15">
        <v>1E-4</v>
      </c>
    </row>
    <row r="148" spans="1:14">
      <c r="A148" s="8">
        <v>16</v>
      </c>
      <c r="B148" s="74">
        <v>38636</v>
      </c>
      <c r="C148" s="12">
        <v>2005</v>
      </c>
      <c r="D148" s="16" t="s">
        <v>14</v>
      </c>
      <c r="E148" s="12">
        <v>10</v>
      </c>
      <c r="F148" s="15">
        <v>3.7355</v>
      </c>
      <c r="G148" s="15">
        <v>1E-4</v>
      </c>
      <c r="I148" s="29">
        <f>AVERAGE(F147:F148)</f>
        <v>3.6096500000000002</v>
      </c>
      <c r="J148" s="29">
        <f>AVERAGE(G147:G148)</f>
        <v>1E-4</v>
      </c>
      <c r="L148">
        <v>2.7703516961478259E-5</v>
      </c>
      <c r="M148">
        <f>+(L148-$L$619)/$L$620</f>
        <v>-0.4080368038908494</v>
      </c>
      <c r="N148">
        <f>+N146+M148</f>
        <v>5.224997933932066</v>
      </c>
    </row>
    <row r="149" spans="1:14">
      <c r="A149" s="8">
        <v>2</v>
      </c>
      <c r="B149" s="74">
        <v>38671</v>
      </c>
      <c r="C149" s="12">
        <v>2005</v>
      </c>
      <c r="D149" s="16" t="s">
        <v>16</v>
      </c>
      <c r="E149" s="12">
        <v>11</v>
      </c>
      <c r="F149" s="15">
        <v>3.9666999999999999</v>
      </c>
      <c r="G149" s="15">
        <v>1E-4</v>
      </c>
    </row>
    <row r="150" spans="1:14">
      <c r="A150" s="8">
        <v>16</v>
      </c>
      <c r="B150" s="74">
        <v>38671</v>
      </c>
      <c r="C150" s="12">
        <v>2005</v>
      </c>
      <c r="D150" s="16" t="s">
        <v>16</v>
      </c>
      <c r="E150" s="12">
        <v>11</v>
      </c>
      <c r="F150" s="15">
        <v>4.5237999999999996</v>
      </c>
      <c r="G150" s="15">
        <v>0.16259999999999999</v>
      </c>
      <c r="I150" s="29">
        <f>AVERAGE(F149:F150)</f>
        <v>4.2452499999999995</v>
      </c>
      <c r="J150" s="29">
        <f>AVERAGE(G149:G150)</f>
        <v>8.1349999999999992E-2</v>
      </c>
      <c r="L150">
        <v>1.9162593486838232E-2</v>
      </c>
      <c r="M150">
        <f>+(L150-$L$619)/$L$620</f>
        <v>0.15040720167887553</v>
      </c>
      <c r="N150">
        <f>+N148+M150</f>
        <v>5.3754051356109418</v>
      </c>
    </row>
    <row r="151" spans="1:14">
      <c r="A151" s="8">
        <v>2</v>
      </c>
      <c r="B151" s="74">
        <v>38707</v>
      </c>
      <c r="C151" s="12">
        <v>2005</v>
      </c>
      <c r="D151" s="16" t="s">
        <v>17</v>
      </c>
      <c r="E151" s="12">
        <v>12</v>
      </c>
      <c r="F151" s="15">
        <v>2.8999000000000001</v>
      </c>
      <c r="G151" s="15">
        <v>1E-4</v>
      </c>
    </row>
    <row r="152" spans="1:14">
      <c r="A152" s="8">
        <v>16</v>
      </c>
      <c r="B152" s="74">
        <v>38707</v>
      </c>
      <c r="C152" s="12">
        <v>2005</v>
      </c>
      <c r="D152" s="16" t="s">
        <v>17</v>
      </c>
      <c r="E152" s="12">
        <v>12</v>
      </c>
      <c r="F152" s="15">
        <v>2.8738000000000001</v>
      </c>
      <c r="G152" s="15">
        <v>1E-4</v>
      </c>
      <c r="I152" s="29">
        <f>AVERAGE(F151:F152)</f>
        <v>2.8868499999999999</v>
      </c>
      <c r="J152" s="29">
        <f>AVERAGE(G151:G152)</f>
        <v>1E-4</v>
      </c>
      <c r="L152">
        <v>3.4639832343211463E-5</v>
      </c>
      <c r="M152">
        <f>+(L152-$L$619)/$L$620</f>
        <v>-0.40783437033874809</v>
      </c>
      <c r="N152">
        <f>+N150+M152</f>
        <v>4.9675707652721934</v>
      </c>
    </row>
    <row r="153" spans="1:14">
      <c r="A153" s="12">
        <v>2</v>
      </c>
      <c r="B153" s="74">
        <v>38734</v>
      </c>
      <c r="C153" s="12">
        <v>2006</v>
      </c>
      <c r="D153" s="11" t="s">
        <v>18</v>
      </c>
      <c r="E153" s="10">
        <v>1</v>
      </c>
      <c r="F153" s="15">
        <v>8.8552999999999997</v>
      </c>
      <c r="G153" s="15">
        <v>1E-4</v>
      </c>
    </row>
    <row r="154" spans="1:14">
      <c r="A154" s="12">
        <v>16</v>
      </c>
      <c r="B154" s="74">
        <v>38734</v>
      </c>
      <c r="C154" s="12">
        <v>2006</v>
      </c>
      <c r="D154" s="11" t="s">
        <v>18</v>
      </c>
      <c r="E154" s="10">
        <v>1</v>
      </c>
      <c r="F154" s="15">
        <v>6.5289000000000001</v>
      </c>
      <c r="G154" s="15">
        <v>1E-4</v>
      </c>
      <c r="I154" s="29">
        <f>AVERAGE(F153:F154)</f>
        <v>7.6920999999999999</v>
      </c>
      <c r="J154" s="29">
        <f>AVERAGE(G153:G154)</f>
        <v>1E-4</v>
      </c>
      <c r="L154">
        <v>1.3000351009477256E-5</v>
      </c>
      <c r="M154">
        <f>+(L154-$L$619)/$L$620</f>
        <v>-0.40846590982779063</v>
      </c>
      <c r="N154">
        <f>+N152+M154</f>
        <v>4.5591048554444029</v>
      </c>
    </row>
    <row r="155" spans="1:14">
      <c r="A155" s="12">
        <v>2</v>
      </c>
      <c r="B155" s="74">
        <v>38762</v>
      </c>
      <c r="C155" s="16">
        <v>2006</v>
      </c>
      <c r="D155" s="11" t="s">
        <v>28</v>
      </c>
      <c r="E155" s="12">
        <v>2</v>
      </c>
      <c r="F155" s="15">
        <v>7.7049000000000003</v>
      </c>
      <c r="G155" s="15">
        <v>5.7299999999999997E-2</v>
      </c>
    </row>
    <row r="156" spans="1:14">
      <c r="A156" s="12">
        <v>16</v>
      </c>
      <c r="B156" s="74">
        <v>38762</v>
      </c>
      <c r="C156" s="16">
        <v>2006</v>
      </c>
      <c r="D156" s="11" t="s">
        <v>28</v>
      </c>
      <c r="E156" s="12">
        <v>2</v>
      </c>
      <c r="F156" s="15">
        <v>7.5313999999999997</v>
      </c>
      <c r="G156" s="15">
        <v>4.5999999999999999E-2</v>
      </c>
      <c r="I156" s="29">
        <f>AVERAGE(F155:F156)</f>
        <v>7.61815</v>
      </c>
      <c r="J156" s="29">
        <f>AVERAGE(G155:G156)</f>
        <v>5.1650000000000001E-2</v>
      </c>
      <c r="L156">
        <v>6.7798612524037991E-3</v>
      </c>
      <c r="M156">
        <f>+(L156-$L$619)/$L$620</f>
        <v>-0.21097781803020063</v>
      </c>
      <c r="N156">
        <f>+N154+M156</f>
        <v>4.3481270374142023</v>
      </c>
    </row>
    <row r="157" spans="1:14">
      <c r="A157" s="12">
        <v>2</v>
      </c>
      <c r="B157" s="74">
        <v>38789</v>
      </c>
      <c r="C157" s="12">
        <v>2006</v>
      </c>
      <c r="D157" s="11" t="s">
        <v>29</v>
      </c>
      <c r="E157" s="12">
        <v>3</v>
      </c>
      <c r="F157" s="15">
        <v>7.3952</v>
      </c>
      <c r="G157" s="15">
        <v>0.17330000000000001</v>
      </c>
    </row>
    <row r="158" spans="1:14">
      <c r="A158" s="12">
        <v>16</v>
      </c>
      <c r="B158" s="74">
        <v>38789</v>
      </c>
      <c r="C158" s="12">
        <v>2006</v>
      </c>
      <c r="D158" s="11" t="s">
        <v>29</v>
      </c>
      <c r="E158" s="12">
        <v>3</v>
      </c>
      <c r="F158" s="15">
        <v>7.0606999999999998</v>
      </c>
      <c r="G158" s="15">
        <v>0.1206</v>
      </c>
      <c r="I158" s="29">
        <f>AVERAGE(F157:F158)</f>
        <v>7.2279499999999999</v>
      </c>
      <c r="J158" s="29">
        <f>AVERAGE(G157:G158)</f>
        <v>0.14695</v>
      </c>
      <c r="L158">
        <v>2.0330799189258366E-2</v>
      </c>
      <c r="M158">
        <f>+(L158-$L$619)/$L$620</f>
        <v>0.18450081145744776</v>
      </c>
      <c r="N158">
        <f>+N156+M158</f>
        <v>4.53262784887165</v>
      </c>
    </row>
    <row r="159" spans="1:14">
      <c r="A159" s="12">
        <v>2</v>
      </c>
      <c r="B159" s="73">
        <v>38825</v>
      </c>
      <c r="C159" s="12">
        <v>2006</v>
      </c>
      <c r="D159" s="11" t="s">
        <v>30</v>
      </c>
      <c r="E159" s="12">
        <v>4</v>
      </c>
      <c r="F159" s="15">
        <v>2.0038999999999998</v>
      </c>
      <c r="G159" s="15">
        <v>2.81E-2</v>
      </c>
    </row>
    <row r="160" spans="1:14">
      <c r="A160" s="12">
        <v>16</v>
      </c>
      <c r="B160" s="73">
        <v>38825</v>
      </c>
      <c r="C160" s="12">
        <v>2006</v>
      </c>
      <c r="D160" s="11" t="s">
        <v>30</v>
      </c>
      <c r="E160" s="12">
        <v>4</v>
      </c>
      <c r="F160" s="15">
        <v>2.5667</v>
      </c>
      <c r="G160" s="15">
        <v>6.3200000000000006E-2</v>
      </c>
      <c r="I160" s="29">
        <f>AVERAGE(F159:F160)</f>
        <v>2.2852999999999999</v>
      </c>
      <c r="J160" s="29">
        <f>AVERAGE(G159:G160)</f>
        <v>4.5650000000000003E-2</v>
      </c>
      <c r="L160">
        <v>1.9975495558569992E-2</v>
      </c>
      <c r="M160">
        <f>+(L160-$L$619)/$L$620</f>
        <v>0.1741314190529217</v>
      </c>
      <c r="N160">
        <f>+N158+M160</f>
        <v>4.7067592679245713</v>
      </c>
    </row>
    <row r="161" spans="1:14">
      <c r="A161" s="12">
        <v>2</v>
      </c>
      <c r="B161" s="73">
        <v>38852</v>
      </c>
      <c r="C161" s="12">
        <v>2006</v>
      </c>
      <c r="D161" s="11" t="s">
        <v>31</v>
      </c>
      <c r="E161" s="12">
        <v>5</v>
      </c>
      <c r="F161" s="15">
        <v>0.93030000000000002</v>
      </c>
      <c r="G161" s="15">
        <v>1E-4</v>
      </c>
    </row>
    <row r="162" spans="1:14">
      <c r="A162" s="12">
        <v>16</v>
      </c>
      <c r="B162" s="73">
        <v>38852</v>
      </c>
      <c r="C162" s="12">
        <v>2006</v>
      </c>
      <c r="D162" s="11" t="s">
        <v>31</v>
      </c>
      <c r="E162" s="12">
        <v>5</v>
      </c>
      <c r="F162" s="15">
        <v>1.3180000000000001</v>
      </c>
      <c r="G162" s="15">
        <v>1E-4</v>
      </c>
      <c r="I162" s="29">
        <f>AVERAGE(F161:F162)</f>
        <v>1.12415</v>
      </c>
      <c r="J162" s="29">
        <f>AVERAGE(G161:G162)</f>
        <v>1E-4</v>
      </c>
      <c r="L162">
        <v>8.8956100164568785E-5</v>
      </c>
      <c r="M162">
        <f>+(L162-$L$619)/$L$620</f>
        <v>-0.40624917208479899</v>
      </c>
      <c r="N162">
        <f>+N160+M162</f>
        <v>4.3005100958397726</v>
      </c>
    </row>
    <row r="163" spans="1:14">
      <c r="A163" s="12">
        <v>2</v>
      </c>
      <c r="B163" s="73">
        <v>38883</v>
      </c>
      <c r="C163" s="12">
        <v>2006</v>
      </c>
      <c r="D163" s="11" t="s">
        <v>32</v>
      </c>
      <c r="E163" s="12">
        <v>6</v>
      </c>
      <c r="F163" s="15">
        <v>13.7333</v>
      </c>
      <c r="G163" s="15">
        <v>1.3374999999999999</v>
      </c>
    </row>
    <row r="164" spans="1:14">
      <c r="A164" s="12">
        <v>16</v>
      </c>
      <c r="B164" s="73">
        <v>38883</v>
      </c>
      <c r="C164" s="12">
        <v>2006</v>
      </c>
      <c r="D164" s="11" t="s">
        <v>32</v>
      </c>
      <c r="E164" s="12">
        <v>6</v>
      </c>
      <c r="F164" s="15">
        <v>20.088100000000001</v>
      </c>
      <c r="G164" s="15">
        <v>1.232</v>
      </c>
      <c r="I164" s="29">
        <f>AVERAGE(F163:F164)</f>
        <v>16.910699999999999</v>
      </c>
      <c r="J164" s="29">
        <f>AVERAGE(G163:G164)</f>
        <v>1.2847499999999998</v>
      </c>
      <c r="L164">
        <v>7.5972609058170271E-2</v>
      </c>
      <c r="M164">
        <f>+(L164-$L$619)/$L$620</f>
        <v>1.8083844726261749</v>
      </c>
      <c r="N164">
        <f>+N162+M164</f>
        <v>6.1088945684659475</v>
      </c>
    </row>
    <row r="165" spans="1:14">
      <c r="A165" s="12">
        <v>2</v>
      </c>
      <c r="B165" s="73">
        <v>38916</v>
      </c>
      <c r="C165" s="12">
        <v>2006</v>
      </c>
      <c r="D165" s="11" t="s">
        <v>33</v>
      </c>
      <c r="E165" s="12">
        <v>7</v>
      </c>
      <c r="F165" s="15">
        <v>16.374400000000001</v>
      </c>
      <c r="G165" s="15">
        <v>1E-4</v>
      </c>
    </row>
    <row r="166" spans="1:14">
      <c r="A166" s="12">
        <v>16</v>
      </c>
      <c r="B166" s="73">
        <v>38916</v>
      </c>
      <c r="C166" s="12">
        <v>2006</v>
      </c>
      <c r="D166" s="11" t="s">
        <v>33</v>
      </c>
      <c r="E166" s="12">
        <v>7</v>
      </c>
      <c r="F166" s="15">
        <v>13.152699999999999</v>
      </c>
      <c r="G166" s="15">
        <v>1E-4</v>
      </c>
      <c r="I166" s="29">
        <f>AVERAGE(F165:F166)</f>
        <v>14.76355</v>
      </c>
      <c r="J166" s="29">
        <f>AVERAGE(G165:G166)</f>
        <v>1E-4</v>
      </c>
      <c r="L166">
        <v>6.7734386377260213E-6</v>
      </c>
      <c r="M166">
        <f>+(L166-$L$619)/$L$620</f>
        <v>-0.40864763974067159</v>
      </c>
      <c r="N166">
        <f>+N164+M166</f>
        <v>5.7002469287252762</v>
      </c>
    </row>
    <row r="167" spans="1:14">
      <c r="A167" s="12">
        <v>2</v>
      </c>
      <c r="B167" s="73">
        <v>38953</v>
      </c>
      <c r="C167" s="12">
        <v>2006</v>
      </c>
      <c r="D167" s="11" t="s">
        <v>34</v>
      </c>
      <c r="E167" s="12">
        <v>8</v>
      </c>
      <c r="F167" s="15">
        <v>13.5991</v>
      </c>
      <c r="G167" s="15">
        <v>1E-4</v>
      </c>
    </row>
    <row r="168" spans="1:14">
      <c r="A168" s="12">
        <v>16</v>
      </c>
      <c r="B168" s="73">
        <v>38953</v>
      </c>
      <c r="C168" s="12">
        <v>2006</v>
      </c>
      <c r="D168" s="11" t="s">
        <v>34</v>
      </c>
      <c r="E168" s="12">
        <v>8</v>
      </c>
      <c r="F168" s="15">
        <v>15.647600000000001</v>
      </c>
      <c r="G168" s="15">
        <v>1E-4</v>
      </c>
      <c r="I168" s="29">
        <f>AVERAGE(F167:F168)</f>
        <v>14.62335</v>
      </c>
      <c r="J168" s="29">
        <f>AVERAGE(G167:G168)</f>
        <v>1E-4</v>
      </c>
      <c r="L168">
        <v>6.838378346958802E-6</v>
      </c>
      <c r="M168">
        <f>+(L168-$L$619)/$L$620</f>
        <v>-0.4086457445015873</v>
      </c>
      <c r="N168">
        <f>+N166+M168</f>
        <v>5.2916011842236887</v>
      </c>
    </row>
    <row r="169" spans="1:14">
      <c r="A169" s="12">
        <v>2</v>
      </c>
      <c r="B169" s="73">
        <v>38972</v>
      </c>
      <c r="C169" s="12">
        <v>2006</v>
      </c>
      <c r="D169" s="11" t="s">
        <v>35</v>
      </c>
      <c r="E169" s="12">
        <v>9</v>
      </c>
      <c r="F169" s="15">
        <v>3.3815</v>
      </c>
      <c r="G169" s="15">
        <v>1E-4</v>
      </c>
    </row>
    <row r="170" spans="1:14">
      <c r="A170" s="12">
        <v>16</v>
      </c>
      <c r="B170" s="73">
        <v>38972</v>
      </c>
      <c r="C170" s="12">
        <v>2006</v>
      </c>
      <c r="D170" s="11" t="s">
        <v>35</v>
      </c>
      <c r="E170" s="12">
        <v>9</v>
      </c>
      <c r="F170" s="15">
        <v>5.4568000000000003</v>
      </c>
      <c r="G170" s="15">
        <v>1E-4</v>
      </c>
      <c r="I170" s="29">
        <f>AVERAGE(F169:F170)</f>
        <v>4.4191500000000001</v>
      </c>
      <c r="J170" s="29">
        <f>AVERAGE(G169:G170)</f>
        <v>1E-4</v>
      </c>
      <c r="L170">
        <v>2.2628786078770806E-5</v>
      </c>
      <c r="M170">
        <f>+(L170-$L$619)/$L$620</f>
        <v>-0.4081849078541222</v>
      </c>
      <c r="N170">
        <f>+N168+M170</f>
        <v>4.8834162763695668</v>
      </c>
    </row>
    <row r="171" spans="1:14">
      <c r="A171" s="12">
        <v>2</v>
      </c>
      <c r="B171" s="73">
        <v>39009</v>
      </c>
      <c r="C171" s="12">
        <v>2006</v>
      </c>
      <c r="D171" s="11" t="s">
        <v>36</v>
      </c>
      <c r="E171" s="12">
        <v>10</v>
      </c>
      <c r="F171" s="15">
        <v>7.5449999999999999</v>
      </c>
      <c r="G171" s="15">
        <v>0.53300000000000003</v>
      </c>
    </row>
    <row r="172" spans="1:14">
      <c r="A172" s="12">
        <v>16</v>
      </c>
      <c r="B172" s="73">
        <v>39008</v>
      </c>
      <c r="C172" s="12">
        <v>2006</v>
      </c>
      <c r="D172" s="11" t="s">
        <v>36</v>
      </c>
      <c r="E172" s="12">
        <v>10</v>
      </c>
      <c r="F172" s="15">
        <v>23.14</v>
      </c>
      <c r="G172" s="15">
        <v>1.675</v>
      </c>
      <c r="I172" s="29">
        <f>AVERAGE(F171:F172)</f>
        <v>15.342500000000001</v>
      </c>
      <c r="J172" s="29">
        <f>AVERAGE(G171:G172)</f>
        <v>1.1040000000000001</v>
      </c>
      <c r="L172">
        <v>7.1956982238878933E-2</v>
      </c>
      <c r="M172">
        <f>+(L172-$L$619)/$L$620</f>
        <v>1.6911900320326545</v>
      </c>
      <c r="N172">
        <f>+N170+M172</f>
        <v>6.5746063084022213</v>
      </c>
    </row>
    <row r="173" spans="1:14">
      <c r="A173" s="12">
        <v>2</v>
      </c>
      <c r="B173" s="73">
        <v>39035</v>
      </c>
      <c r="C173" s="12">
        <v>2006</v>
      </c>
      <c r="D173" s="11" t="s">
        <v>37</v>
      </c>
      <c r="E173" s="12">
        <v>11</v>
      </c>
      <c r="F173" s="15">
        <v>2.8820000000000001</v>
      </c>
      <c r="G173" s="15">
        <v>9.9989999999999996E-4</v>
      </c>
    </row>
    <row r="174" spans="1:14">
      <c r="A174" s="12">
        <v>16</v>
      </c>
      <c r="B174" s="73">
        <v>39035</v>
      </c>
      <c r="C174" s="12">
        <v>2006</v>
      </c>
      <c r="D174" s="11" t="s">
        <v>37</v>
      </c>
      <c r="E174" s="12">
        <v>11</v>
      </c>
      <c r="F174" s="15">
        <v>7.0620000000000003</v>
      </c>
      <c r="G174" s="15">
        <v>0.21299999999999999</v>
      </c>
      <c r="I174" s="29">
        <f>AVERAGE(F173:F174)</f>
        <v>4.9720000000000004</v>
      </c>
      <c r="J174" s="29">
        <f>AVERAGE(G173:G174)</f>
        <v>0.10699995</v>
      </c>
      <c r="L174">
        <v>2.1520504827031373E-2</v>
      </c>
      <c r="M174">
        <f>+(L174-$L$619)/$L$620</f>
        <v>0.21922188813218976</v>
      </c>
      <c r="N174">
        <f>+N172+M174</f>
        <v>6.7938281965344114</v>
      </c>
    </row>
    <row r="175" spans="1:14">
      <c r="A175" s="12">
        <v>2</v>
      </c>
      <c r="B175" s="74">
        <v>39063</v>
      </c>
      <c r="C175" s="16">
        <v>2006</v>
      </c>
      <c r="D175" s="11" t="s">
        <v>38</v>
      </c>
      <c r="E175" s="12">
        <v>12</v>
      </c>
      <c r="F175" s="15">
        <v>5.9379999999999997</v>
      </c>
      <c r="G175" s="15">
        <v>7.0999999999999994E-2</v>
      </c>
    </row>
    <row r="176" spans="1:14">
      <c r="A176" s="12">
        <v>16</v>
      </c>
      <c r="B176" s="74">
        <v>39063</v>
      </c>
      <c r="C176" s="16">
        <v>2006</v>
      </c>
      <c r="D176" s="11" t="s">
        <v>38</v>
      </c>
      <c r="E176" s="12">
        <v>12</v>
      </c>
      <c r="F176" s="15">
        <v>12.098000000000001</v>
      </c>
      <c r="G176" s="15">
        <v>0.90600000000000003</v>
      </c>
      <c r="I176" s="29">
        <f>AVERAGE(F175:F176)</f>
        <v>9.0180000000000007</v>
      </c>
      <c r="J176" s="29">
        <f>AVERAGE(G175:G176)</f>
        <v>0.48849999999999999</v>
      </c>
      <c r="L176">
        <v>5.4169438899977815E-2</v>
      </c>
      <c r="M176">
        <f>+(L176-$L$619)/$L$620</f>
        <v>1.1720677916090791</v>
      </c>
      <c r="N176">
        <f>+N174+M176</f>
        <v>7.9658959881434903</v>
      </c>
    </row>
    <row r="177" spans="1:14">
      <c r="A177" s="16">
        <v>2</v>
      </c>
      <c r="B177" s="74">
        <v>39098</v>
      </c>
      <c r="C177" s="16">
        <v>2007</v>
      </c>
      <c r="D177" s="11" t="s">
        <v>39</v>
      </c>
      <c r="E177" s="10">
        <v>1</v>
      </c>
      <c r="F177" s="15">
        <v>15.638</v>
      </c>
      <c r="G177" s="15">
        <v>0.70799999999999996</v>
      </c>
    </row>
    <row r="178" spans="1:14">
      <c r="A178" s="16">
        <v>16</v>
      </c>
      <c r="B178" s="74">
        <v>39098</v>
      </c>
      <c r="C178" s="16">
        <v>2007</v>
      </c>
      <c r="D178" s="11" t="s">
        <v>39</v>
      </c>
      <c r="E178" s="10">
        <v>1</v>
      </c>
      <c r="F178" s="15">
        <v>17.384</v>
      </c>
      <c r="G178" s="15">
        <v>0.35399999999999998</v>
      </c>
      <c r="I178" s="29">
        <f>AVERAGE(F177:F178)</f>
        <v>16.510999999999999</v>
      </c>
      <c r="J178" s="29">
        <f>AVERAGE(G177:G178)</f>
        <v>0.53099999999999992</v>
      </c>
      <c r="L178">
        <v>3.2160377929864932E-2</v>
      </c>
      <c r="M178">
        <f>+(L178-$L$619)/$L$620</f>
        <v>0.5297422707240852</v>
      </c>
      <c r="N178">
        <f>+N176+M178</f>
        <v>8.4956382588675758</v>
      </c>
    </row>
    <row r="179" spans="1:14">
      <c r="A179" s="16">
        <v>2</v>
      </c>
      <c r="B179" s="74">
        <v>39133</v>
      </c>
      <c r="C179" s="16">
        <v>2007</v>
      </c>
      <c r="D179" s="11" t="s">
        <v>28</v>
      </c>
      <c r="E179" s="12">
        <v>2</v>
      </c>
      <c r="F179" s="15">
        <v>5.827</v>
      </c>
      <c r="G179" s="15">
        <v>9.9989999999999996E-4</v>
      </c>
    </row>
    <row r="180" spans="1:14">
      <c r="A180" s="16">
        <v>16</v>
      </c>
      <c r="B180" s="74">
        <v>39134</v>
      </c>
      <c r="C180" s="16">
        <v>2007</v>
      </c>
      <c r="D180" s="11" t="s">
        <v>28</v>
      </c>
      <c r="E180" s="12">
        <v>2</v>
      </c>
      <c r="F180" s="15">
        <v>3.9449999999999998</v>
      </c>
      <c r="G180" s="15">
        <v>8.9999999999999993E-3</v>
      </c>
      <c r="I180" s="29">
        <f>AVERAGE(F179:F180)</f>
        <v>4.8860000000000001</v>
      </c>
      <c r="J180" s="29">
        <f>AVERAGE(G179:G180)</f>
        <v>4.9999499999999995E-3</v>
      </c>
      <c r="L180">
        <v>1.023321735571019E-3</v>
      </c>
      <c r="M180">
        <f>+(L180-$L$619)/$L$620</f>
        <v>-0.37898008985205484</v>
      </c>
      <c r="N180">
        <f>+N178+M180</f>
        <v>8.1166581690155208</v>
      </c>
    </row>
    <row r="181" spans="1:14">
      <c r="A181" s="16">
        <v>2</v>
      </c>
      <c r="B181" s="74">
        <v>39154</v>
      </c>
      <c r="C181" s="16">
        <v>2007</v>
      </c>
      <c r="D181" s="11" t="s">
        <v>29</v>
      </c>
      <c r="E181" s="12">
        <v>3</v>
      </c>
      <c r="F181" s="15">
        <v>2.7410000000000001</v>
      </c>
      <c r="G181" s="15">
        <v>9.9989999999999996E-4</v>
      </c>
    </row>
    <row r="182" spans="1:14">
      <c r="A182" s="16">
        <v>16</v>
      </c>
      <c r="B182" s="74">
        <v>39154</v>
      </c>
      <c r="C182" s="16">
        <v>2007</v>
      </c>
      <c r="D182" s="11" t="s">
        <v>29</v>
      </c>
      <c r="E182" s="12">
        <v>3</v>
      </c>
      <c r="F182" s="15">
        <v>2.4710000000000001</v>
      </c>
      <c r="G182" s="15">
        <v>9.9989999999999996E-4</v>
      </c>
      <c r="I182" s="29">
        <f>AVERAGE(F181:F182)</f>
        <v>2.6059999999999999</v>
      </c>
      <c r="J182" s="29">
        <f>AVERAGE(G181:G182)</f>
        <v>9.9989999999999996E-4</v>
      </c>
      <c r="L182">
        <v>3.8369148119723714E-4</v>
      </c>
      <c r="M182">
        <f>+(L182-$L$619)/$L$620</f>
        <v>-0.3976474394892045</v>
      </c>
      <c r="N182">
        <f>+N180+M182</f>
        <v>7.7190107295263166</v>
      </c>
    </row>
    <row r="183" spans="1:14">
      <c r="A183" s="16">
        <v>2</v>
      </c>
      <c r="B183" s="74">
        <v>39190</v>
      </c>
      <c r="C183" s="16">
        <v>2007</v>
      </c>
      <c r="D183" s="11" t="s">
        <v>30</v>
      </c>
      <c r="E183" s="12">
        <v>4</v>
      </c>
      <c r="F183" s="15">
        <v>5.0179999999999998</v>
      </c>
      <c r="G183" s="15">
        <v>9.9989999999999996E-4</v>
      </c>
    </row>
    <row r="184" spans="1:14">
      <c r="A184" s="16">
        <v>16</v>
      </c>
      <c r="B184" s="74">
        <v>39190</v>
      </c>
      <c r="C184" s="16">
        <v>2007</v>
      </c>
      <c r="D184" s="11" t="s">
        <v>30</v>
      </c>
      <c r="E184" s="12">
        <v>4</v>
      </c>
      <c r="F184" s="15">
        <v>8.9130000000000003</v>
      </c>
      <c r="G184" s="15">
        <v>6.9000000000000006E-2</v>
      </c>
      <c r="I184" s="29">
        <f>AVERAGE(F183:F184)</f>
        <v>6.9655000000000005</v>
      </c>
      <c r="J184" s="29">
        <f>AVERAGE(G183:G184)</f>
        <v>3.4999950000000002E-2</v>
      </c>
      <c r="L184">
        <v>5.0247577345488475E-3</v>
      </c>
      <c r="M184">
        <f>+(L184-$L$619)/$L$620</f>
        <v>-0.26219980259574588</v>
      </c>
      <c r="N184">
        <f>+N182+M184</f>
        <v>7.4568109269305705</v>
      </c>
    </row>
    <row r="185" spans="1:14">
      <c r="A185" s="16">
        <v>2</v>
      </c>
      <c r="B185" s="74">
        <v>39217</v>
      </c>
      <c r="C185" s="16">
        <v>2007</v>
      </c>
      <c r="D185" s="11" t="s">
        <v>31</v>
      </c>
      <c r="E185" s="12">
        <v>5</v>
      </c>
      <c r="F185" s="15">
        <v>3.7530000000000001</v>
      </c>
      <c r="G185" s="15">
        <v>0.159</v>
      </c>
    </row>
    <row r="186" spans="1:14">
      <c r="A186" s="16">
        <v>16</v>
      </c>
      <c r="B186" s="74">
        <v>39217</v>
      </c>
      <c r="C186" s="16">
        <v>2007</v>
      </c>
      <c r="D186" s="11" t="s">
        <v>31</v>
      </c>
      <c r="E186" s="12">
        <v>5</v>
      </c>
      <c r="F186" s="15">
        <v>7.5650000000000004</v>
      </c>
      <c r="G186" s="15">
        <v>1.3109999999999999</v>
      </c>
      <c r="I186" s="29">
        <f>AVERAGE(F185:F186)</f>
        <v>5.6590000000000007</v>
      </c>
      <c r="J186" s="29">
        <f>AVERAGE(G185:G186)</f>
        <v>0.73499999999999999</v>
      </c>
      <c r="L186">
        <v>0.12988160452376743</v>
      </c>
      <c r="M186">
        <f>+(L186-$L$619)/$L$620</f>
        <v>3.3816966480001374</v>
      </c>
      <c r="N186">
        <f>+N184+M186</f>
        <v>10.838507574930707</v>
      </c>
    </row>
    <row r="187" spans="1:14">
      <c r="A187" s="16">
        <v>2</v>
      </c>
      <c r="B187" s="74">
        <v>39245</v>
      </c>
      <c r="C187" s="16">
        <v>2007</v>
      </c>
      <c r="D187" s="11" t="s">
        <v>32</v>
      </c>
      <c r="E187" s="12">
        <v>6</v>
      </c>
      <c r="F187" s="15">
        <v>17.007000000000001</v>
      </c>
      <c r="G187" s="15">
        <v>3.484</v>
      </c>
    </row>
    <row r="188" spans="1:14">
      <c r="A188" s="16">
        <v>16</v>
      </c>
      <c r="B188" s="74">
        <v>39245</v>
      </c>
      <c r="C188" s="16">
        <v>2007</v>
      </c>
      <c r="D188" s="11" t="s">
        <v>32</v>
      </c>
      <c r="E188" s="12">
        <v>6</v>
      </c>
      <c r="F188" s="15">
        <v>24.376999999999999</v>
      </c>
      <c r="G188" s="15">
        <v>4.96</v>
      </c>
      <c r="I188" s="29">
        <f>AVERAGE(F187:F188)</f>
        <v>20.692</v>
      </c>
      <c r="J188" s="29">
        <f>AVERAGE(G187:G188)</f>
        <v>4.2219999999999995</v>
      </c>
      <c r="L188">
        <v>0.20404020877633866</v>
      </c>
      <c r="M188">
        <f>+(L188-$L$619)/$L$620</f>
        <v>5.5459854456603965</v>
      </c>
      <c r="N188">
        <f>+N186+M188</f>
        <v>16.384493020591105</v>
      </c>
    </row>
    <row r="189" spans="1:14">
      <c r="A189" s="16">
        <v>2</v>
      </c>
      <c r="B189" s="74">
        <v>39280</v>
      </c>
      <c r="C189" s="16">
        <v>2007</v>
      </c>
      <c r="D189" s="11" t="s">
        <v>33</v>
      </c>
      <c r="E189" s="12">
        <v>7</v>
      </c>
      <c r="F189" s="15">
        <v>16.196000000000002</v>
      </c>
      <c r="G189" s="15">
        <v>7.8E-2</v>
      </c>
    </row>
    <row r="190" spans="1:14">
      <c r="A190" s="16">
        <v>16</v>
      </c>
      <c r="B190" s="74">
        <v>39280</v>
      </c>
      <c r="C190" s="16">
        <v>2007</v>
      </c>
      <c r="D190" s="11" t="s">
        <v>33</v>
      </c>
      <c r="E190" s="12">
        <v>7</v>
      </c>
      <c r="F190" s="15">
        <v>17.375</v>
      </c>
      <c r="G190" s="15">
        <v>8.5999999999999993E-2</v>
      </c>
      <c r="I190" s="29">
        <f>AVERAGE(F189:F190)</f>
        <v>16.785499999999999</v>
      </c>
      <c r="J190" s="29">
        <f>AVERAGE(G189:G190)</f>
        <v>8.199999999999999E-2</v>
      </c>
      <c r="L190">
        <v>4.8851687468350656E-3</v>
      </c>
      <c r="M190">
        <f>+(L190-$L$619)/$L$620</f>
        <v>-0.26627365060610941</v>
      </c>
      <c r="N190">
        <f>+N188+M190</f>
        <v>16.118219369984995</v>
      </c>
    </row>
    <row r="191" spans="1:14">
      <c r="A191" s="16">
        <v>2</v>
      </c>
      <c r="B191" s="74">
        <v>39308</v>
      </c>
      <c r="C191" s="16">
        <v>2007</v>
      </c>
      <c r="D191" s="11" t="s">
        <v>34</v>
      </c>
      <c r="E191" s="12">
        <v>8</v>
      </c>
      <c r="F191" s="15">
        <v>10.210000000000001</v>
      </c>
      <c r="G191" s="15">
        <v>0.312</v>
      </c>
    </row>
    <row r="192" spans="1:14">
      <c r="A192" s="16">
        <v>16</v>
      </c>
      <c r="B192" s="74">
        <v>39308</v>
      </c>
      <c r="C192" s="16">
        <v>2007</v>
      </c>
      <c r="D192" s="11" t="s">
        <v>34</v>
      </c>
      <c r="E192" s="12">
        <v>8</v>
      </c>
      <c r="F192" s="15">
        <v>14.263</v>
      </c>
      <c r="G192" s="15">
        <v>4.3999999999999997E-2</v>
      </c>
      <c r="I192" s="29">
        <f>AVERAGE(F191:F192)</f>
        <v>12.236499999999999</v>
      </c>
      <c r="J192" s="29">
        <f>AVERAGE(G191:G192)</f>
        <v>0.17799999999999999</v>
      </c>
      <c r="L192">
        <v>1.4546643239488415E-2</v>
      </c>
      <c r="M192">
        <f>+(L192-$L$619)/$L$620</f>
        <v>1.5692565237347182E-2</v>
      </c>
      <c r="N192">
        <f>+N190+M192</f>
        <v>16.133911935222343</v>
      </c>
    </row>
    <row r="193" spans="1:14">
      <c r="A193" s="16">
        <v>2</v>
      </c>
      <c r="B193" s="74">
        <v>39337</v>
      </c>
      <c r="C193" s="16">
        <v>2007</v>
      </c>
      <c r="D193" s="11" t="s">
        <v>40</v>
      </c>
      <c r="E193" s="12">
        <v>9</v>
      </c>
      <c r="F193" s="15">
        <v>13.247999999999999</v>
      </c>
      <c r="G193" s="15">
        <v>9.9989999999999996E-4</v>
      </c>
    </row>
    <row r="194" spans="1:14">
      <c r="A194" s="16">
        <v>16</v>
      </c>
      <c r="B194" s="74">
        <v>39336</v>
      </c>
      <c r="C194" s="16">
        <v>2007</v>
      </c>
      <c r="D194" s="11" t="s">
        <v>40</v>
      </c>
      <c r="E194" s="12">
        <v>9</v>
      </c>
      <c r="F194" s="15">
        <v>12.465999999999999</v>
      </c>
      <c r="G194" s="15">
        <v>9.9989999999999996E-4</v>
      </c>
      <c r="I194" s="29">
        <f>AVERAGE(F193:F194)</f>
        <v>12.856999999999999</v>
      </c>
      <c r="J194" s="29">
        <f>AVERAGE(G193:G194)</f>
        <v>9.9989999999999996E-4</v>
      </c>
      <c r="L194">
        <v>7.7770864120712453E-5</v>
      </c>
      <c r="M194">
        <f>+(L194-$L$619)/$L$620</f>
        <v>-0.40657560866370834</v>
      </c>
      <c r="N194">
        <f>+N192+M194</f>
        <v>15.727336326558635</v>
      </c>
    </row>
    <row r="195" spans="1:14">
      <c r="A195" s="16">
        <v>2</v>
      </c>
      <c r="B195" s="74">
        <v>39373</v>
      </c>
      <c r="C195" s="16">
        <v>2007</v>
      </c>
      <c r="D195" s="11" t="s">
        <v>36</v>
      </c>
      <c r="E195" s="12">
        <v>10</v>
      </c>
      <c r="F195" s="15">
        <v>2.7330000000000001</v>
      </c>
      <c r="G195" s="15">
        <v>9.9989999999999996E-4</v>
      </c>
    </row>
    <row r="196" spans="1:14">
      <c r="A196" s="16">
        <v>16</v>
      </c>
      <c r="B196" s="74">
        <v>39373</v>
      </c>
      <c r="C196" s="16">
        <v>2007</v>
      </c>
      <c r="D196" s="11" t="s">
        <v>36</v>
      </c>
      <c r="E196" s="12">
        <v>10</v>
      </c>
      <c r="F196" s="15">
        <v>4.891</v>
      </c>
      <c r="G196" s="15">
        <v>3.1E-2</v>
      </c>
      <c r="I196" s="29">
        <f>AVERAGE(F195:F196)</f>
        <v>3.8120000000000003</v>
      </c>
      <c r="J196" s="29">
        <f>AVERAGE(G195:G196)</f>
        <v>1.5999949999999999E-2</v>
      </c>
      <c r="L196">
        <v>4.1972586568730322E-3</v>
      </c>
      <c r="M196">
        <f>+(L196-$L$619)/$L$620</f>
        <v>-0.28635002766994383</v>
      </c>
      <c r="N196">
        <f>+N194+M196</f>
        <v>15.440986298888692</v>
      </c>
    </row>
    <row r="197" spans="1:14">
      <c r="A197" s="16">
        <v>2</v>
      </c>
      <c r="B197" s="74">
        <v>39399</v>
      </c>
      <c r="C197" s="16">
        <v>2007</v>
      </c>
      <c r="D197" s="11" t="s">
        <v>37</v>
      </c>
      <c r="E197" s="12">
        <v>11</v>
      </c>
      <c r="F197" s="15">
        <v>0.96299999999999997</v>
      </c>
      <c r="G197" s="15">
        <v>9.9989999999999996E-4</v>
      </c>
    </row>
    <row r="198" spans="1:14">
      <c r="A198" s="16">
        <v>16</v>
      </c>
      <c r="B198" s="74">
        <v>39399</v>
      </c>
      <c r="C198" s="16">
        <v>2007</v>
      </c>
      <c r="D198" s="11" t="s">
        <v>37</v>
      </c>
      <c r="E198" s="12">
        <v>11</v>
      </c>
      <c r="F198" s="15">
        <v>3.145</v>
      </c>
      <c r="G198" s="15">
        <v>5.0999999999999997E-2</v>
      </c>
      <c r="I198" s="29">
        <f>AVERAGE(F197:F198)</f>
        <v>2.0539999999999998</v>
      </c>
      <c r="J198" s="29">
        <f>AVERAGE(G197:G198)</f>
        <v>2.5999949999999997E-2</v>
      </c>
      <c r="L198">
        <v>1.2658203505355403E-2</v>
      </c>
      <c r="M198">
        <f>+(L198-$L$619)/$L$620</f>
        <v>-3.9420782739383202E-2</v>
      </c>
      <c r="N198">
        <f>+N196+M198</f>
        <v>15.40156551614931</v>
      </c>
    </row>
    <row r="199" spans="1:14">
      <c r="A199" s="16">
        <v>2</v>
      </c>
      <c r="B199" s="74">
        <v>39426</v>
      </c>
      <c r="C199" s="16">
        <v>2007</v>
      </c>
      <c r="D199" s="11" t="s">
        <v>38</v>
      </c>
      <c r="E199" s="12">
        <v>12</v>
      </c>
      <c r="F199" s="15">
        <v>1.2290000000000001</v>
      </c>
      <c r="G199" s="15">
        <v>9.9989999999999996E-4</v>
      </c>
    </row>
    <row r="200" spans="1:14">
      <c r="A200" s="16">
        <v>16</v>
      </c>
      <c r="B200" s="74">
        <v>39427</v>
      </c>
      <c r="C200" s="16">
        <v>2007</v>
      </c>
      <c r="D200" s="11" t="s">
        <v>38</v>
      </c>
      <c r="E200" s="12">
        <v>12</v>
      </c>
      <c r="F200" s="15">
        <v>2.2930000000000001</v>
      </c>
      <c r="G200" s="15">
        <v>9.9989999999999996E-4</v>
      </c>
      <c r="I200" s="29">
        <f>AVERAGE(F199:F200)</f>
        <v>1.7610000000000001</v>
      </c>
      <c r="J200" s="29">
        <f>AVERAGE(G199:G200)</f>
        <v>9.9989999999999996E-4</v>
      </c>
      <c r="L200">
        <v>5.6780238500851786E-4</v>
      </c>
      <c r="M200">
        <f>+(L200-$L$619)/$L$620</f>
        <v>-0.39227423740885325</v>
      </c>
      <c r="N200">
        <f>+N198+M200</f>
        <v>15.009291278740456</v>
      </c>
    </row>
    <row r="201" spans="1:14">
      <c r="A201" s="16">
        <v>2</v>
      </c>
      <c r="B201" s="74">
        <v>39462</v>
      </c>
      <c r="C201" s="16">
        <v>2008</v>
      </c>
      <c r="D201" s="11" t="s">
        <v>39</v>
      </c>
      <c r="E201" s="10">
        <v>1</v>
      </c>
      <c r="F201" s="25">
        <v>3.5289999999999999</v>
      </c>
      <c r="G201" s="25">
        <v>9.9989999999999996E-4</v>
      </c>
    </row>
    <row r="202" spans="1:14">
      <c r="A202" s="16">
        <v>16</v>
      </c>
      <c r="B202" s="74">
        <v>39462</v>
      </c>
      <c r="C202" s="16">
        <v>2008</v>
      </c>
      <c r="D202" s="11" t="s">
        <v>39</v>
      </c>
      <c r="E202" s="10">
        <v>1</v>
      </c>
      <c r="F202" s="25">
        <v>2.8180000000000001</v>
      </c>
      <c r="G202" s="25">
        <v>9.9989999999999996E-4</v>
      </c>
      <c r="I202" s="29">
        <f>AVERAGE(F201:F202)</f>
        <v>3.1734999999999998</v>
      </c>
      <c r="J202" s="29">
        <f>AVERAGE(G201:G202)</f>
        <v>9.9989999999999996E-4</v>
      </c>
      <c r="L202">
        <v>3.1507798960138649E-4</v>
      </c>
      <c r="M202">
        <f>+(L202-$L$619)/$L$620</f>
        <v>-0.39964989642223275</v>
      </c>
      <c r="N202">
        <f>+N200+M202</f>
        <v>14.609641382318223</v>
      </c>
    </row>
    <row r="203" spans="1:14">
      <c r="A203" s="16">
        <v>2</v>
      </c>
      <c r="B203" s="74">
        <v>39490</v>
      </c>
      <c r="C203" s="16">
        <v>2008</v>
      </c>
      <c r="D203" s="11" t="s">
        <v>28</v>
      </c>
      <c r="E203" s="12">
        <v>2</v>
      </c>
      <c r="F203" s="25">
        <v>6.0679999999999996</v>
      </c>
      <c r="G203" s="25">
        <v>9.9989999999999996E-4</v>
      </c>
    </row>
    <row r="204" spans="1:14">
      <c r="A204" s="16">
        <v>16</v>
      </c>
      <c r="B204" s="74">
        <v>39490</v>
      </c>
      <c r="C204" s="16">
        <v>2008</v>
      </c>
      <c r="D204" s="11" t="s">
        <v>28</v>
      </c>
      <c r="E204" s="12">
        <v>2</v>
      </c>
      <c r="F204" s="25">
        <v>5.6310000000000002</v>
      </c>
      <c r="G204" s="25">
        <v>9.9989999999999996E-4</v>
      </c>
      <c r="I204" s="29">
        <f>AVERAGE(F203:F204)</f>
        <v>5.8494999999999999</v>
      </c>
      <c r="J204" s="29">
        <f>AVERAGE(G203:G204)</f>
        <v>9.9989999999999996E-4</v>
      </c>
      <c r="L204">
        <v>1.709376869817933E-4</v>
      </c>
      <c r="M204">
        <f>+(L204-$L$619)/$L$620</f>
        <v>-0.40385657271280123</v>
      </c>
      <c r="N204">
        <f>+N202+M204</f>
        <v>14.205784809605422</v>
      </c>
    </row>
    <row r="205" spans="1:14">
      <c r="A205" s="16">
        <v>2</v>
      </c>
      <c r="B205" s="74">
        <v>39520</v>
      </c>
      <c r="C205" s="16">
        <v>2008</v>
      </c>
      <c r="D205" s="11" t="s">
        <v>29</v>
      </c>
      <c r="E205" s="12">
        <v>3</v>
      </c>
      <c r="F205" s="26">
        <v>1.8859999999999999</v>
      </c>
      <c r="G205" s="25">
        <v>2.5999999999999999E-2</v>
      </c>
    </row>
    <row r="206" spans="1:14">
      <c r="A206" s="16">
        <v>16</v>
      </c>
      <c r="B206" s="74">
        <v>39520</v>
      </c>
      <c r="C206" s="16">
        <v>2008</v>
      </c>
      <c r="D206" s="11" t="s">
        <v>29</v>
      </c>
      <c r="E206" s="12">
        <v>3</v>
      </c>
      <c r="F206" s="26">
        <v>1.9970000000000001</v>
      </c>
      <c r="G206" s="25">
        <v>4.2000000000000003E-2</v>
      </c>
      <c r="I206" s="29">
        <f>AVERAGE(F205:F206)</f>
        <v>1.9415</v>
      </c>
      <c r="J206" s="29">
        <f>AVERAGE(G205:G206)</f>
        <v>3.4000000000000002E-2</v>
      </c>
      <c r="L206">
        <v>1.7512232809683236E-2</v>
      </c>
      <c r="M206">
        <f>+(L206-$L$619)/$L$620</f>
        <v>0.10224209445139271</v>
      </c>
      <c r="N206">
        <f>+N204+M206</f>
        <v>14.308026904056815</v>
      </c>
    </row>
    <row r="207" spans="1:14">
      <c r="A207" s="16">
        <v>2</v>
      </c>
      <c r="B207" s="74">
        <v>39553</v>
      </c>
      <c r="C207" s="16">
        <v>2008</v>
      </c>
      <c r="D207" s="11" t="s">
        <v>30</v>
      </c>
      <c r="E207" s="12">
        <v>4</v>
      </c>
      <c r="F207" s="26">
        <v>0.93100000000000005</v>
      </c>
      <c r="G207" s="25">
        <v>9.9989999999999996E-4</v>
      </c>
    </row>
    <row r="208" spans="1:14">
      <c r="A208" s="16">
        <v>16</v>
      </c>
      <c r="B208" s="74">
        <v>39553</v>
      </c>
      <c r="C208" s="16">
        <v>2008</v>
      </c>
      <c r="D208" s="11" t="s">
        <v>30</v>
      </c>
      <c r="E208" s="12">
        <v>4</v>
      </c>
      <c r="F208" s="26">
        <v>1.046</v>
      </c>
      <c r="G208" s="25">
        <v>9.9989999999999996E-4</v>
      </c>
      <c r="I208" s="29">
        <f>AVERAGE(F207:F208)</f>
        <v>0.98850000000000005</v>
      </c>
      <c r="J208" s="29">
        <f>AVERAGE(G207:G208)</f>
        <v>9.9989999999999996E-4</v>
      </c>
      <c r="L208">
        <v>1.0115326251896812E-3</v>
      </c>
      <c r="M208">
        <f>+(L208-$L$619)/$L$620</f>
        <v>-0.37932415025866406</v>
      </c>
      <c r="N208">
        <f>+N206+M208</f>
        <v>13.92870275379815</v>
      </c>
    </row>
    <row r="209" spans="1:14">
      <c r="A209" s="16">
        <v>2</v>
      </c>
      <c r="B209" s="74">
        <v>39582</v>
      </c>
      <c r="C209" s="16">
        <v>2008</v>
      </c>
      <c r="D209" s="11" t="s">
        <v>31</v>
      </c>
      <c r="E209" s="12">
        <v>5</v>
      </c>
      <c r="F209" s="26">
        <v>3.9430000000000001</v>
      </c>
      <c r="G209" s="25">
        <v>0.253</v>
      </c>
    </row>
    <row r="210" spans="1:14">
      <c r="A210" s="16">
        <v>16</v>
      </c>
      <c r="B210" s="74">
        <v>39583</v>
      </c>
      <c r="C210" s="16">
        <v>2008</v>
      </c>
      <c r="D210" s="11" t="s">
        <v>31</v>
      </c>
      <c r="E210" s="12">
        <v>5</v>
      </c>
      <c r="F210" s="26">
        <v>4.1219999999999999</v>
      </c>
      <c r="G210" s="25">
        <v>0.188</v>
      </c>
      <c r="I210" s="29">
        <f>AVERAGE(F209:F210)</f>
        <v>4.0324999999999998</v>
      </c>
      <c r="J210" s="29">
        <f>AVERAGE(G209:G210)</f>
        <v>0.2205</v>
      </c>
      <c r="L210">
        <v>5.4680719156850591E-2</v>
      </c>
      <c r="M210">
        <f>+(L210-$L$619)/$L$620</f>
        <v>1.1869892986084001</v>
      </c>
      <c r="N210">
        <f>+N208+M210</f>
        <v>15.115692052406551</v>
      </c>
    </row>
    <row r="211" spans="1:14">
      <c r="A211" s="16">
        <v>2</v>
      </c>
      <c r="B211" s="74">
        <v>39616</v>
      </c>
      <c r="C211" s="16">
        <v>2008</v>
      </c>
      <c r="D211" s="11" t="s">
        <v>32</v>
      </c>
      <c r="E211" s="12">
        <v>6</v>
      </c>
      <c r="F211" s="26">
        <v>10.725</v>
      </c>
      <c r="G211" s="25">
        <v>9.9989999999999996E-4</v>
      </c>
    </row>
    <row r="212" spans="1:14">
      <c r="A212" s="16">
        <v>16</v>
      </c>
      <c r="B212" s="74">
        <v>39616</v>
      </c>
      <c r="C212" s="16">
        <v>2008</v>
      </c>
      <c r="D212" s="11" t="s">
        <v>32</v>
      </c>
      <c r="E212" s="12">
        <v>6</v>
      </c>
      <c r="F212" s="26">
        <v>11.07</v>
      </c>
      <c r="G212" s="25">
        <v>9.9989999999999996E-4</v>
      </c>
      <c r="I212" s="29">
        <f>AVERAGE(F211:F212)</f>
        <v>10.897500000000001</v>
      </c>
      <c r="J212" s="29">
        <f>AVERAGE(G211:G212)</f>
        <v>9.9989999999999996E-4</v>
      </c>
      <c r="L212">
        <v>9.1754989676531308E-5</v>
      </c>
      <c r="M212">
        <f>+(L212-$L$619)/$L$620</f>
        <v>-0.40616748762919624</v>
      </c>
      <c r="N212">
        <f>+N210+M212</f>
        <v>14.709524564777356</v>
      </c>
    </row>
    <row r="213" spans="1:14">
      <c r="A213" s="16">
        <v>2</v>
      </c>
      <c r="B213" s="74">
        <v>39644</v>
      </c>
      <c r="C213" s="16">
        <v>2008</v>
      </c>
      <c r="D213" s="11" t="s">
        <v>33</v>
      </c>
      <c r="E213" s="12">
        <v>7</v>
      </c>
      <c r="F213" s="26">
        <v>12.685</v>
      </c>
      <c r="G213" s="25">
        <v>9.9989999999999996E-4</v>
      </c>
    </row>
    <row r="214" spans="1:14">
      <c r="A214" s="16">
        <v>16</v>
      </c>
      <c r="B214" s="74">
        <v>39644</v>
      </c>
      <c r="C214" s="16">
        <v>2008</v>
      </c>
      <c r="D214" s="11" t="s">
        <v>33</v>
      </c>
      <c r="E214" s="12">
        <v>7</v>
      </c>
      <c r="F214" s="26">
        <v>14.726000000000001</v>
      </c>
      <c r="G214" s="25">
        <v>9.9989999999999996E-4</v>
      </c>
      <c r="I214" s="29">
        <f>AVERAGE(F213:F214)</f>
        <v>13.705500000000001</v>
      </c>
      <c r="J214" s="29">
        <f>AVERAGE(G213:G214)</f>
        <v>9.9989999999999996E-4</v>
      </c>
      <c r="L214">
        <v>7.2956112509576441E-5</v>
      </c>
      <c r="M214">
        <f>+(L214-$L$619)/$L$620</f>
        <v>-0.40671612523734835</v>
      </c>
      <c r="N214">
        <f>+N212+M214</f>
        <v>14.302808439540007</v>
      </c>
    </row>
    <row r="215" spans="1:14">
      <c r="A215" s="16">
        <v>2</v>
      </c>
      <c r="B215" s="74">
        <v>39673</v>
      </c>
      <c r="C215" s="16">
        <v>2008</v>
      </c>
      <c r="D215" s="11" t="s">
        <v>34</v>
      </c>
      <c r="E215" s="12">
        <v>8</v>
      </c>
      <c r="F215" s="26">
        <v>7.4409999999999998</v>
      </c>
      <c r="G215" s="25">
        <v>9.9989999999999996E-4</v>
      </c>
    </row>
    <row r="216" spans="1:14">
      <c r="A216" s="16">
        <v>16</v>
      </c>
      <c r="B216" s="74">
        <v>39673</v>
      </c>
      <c r="C216" s="16">
        <v>2008</v>
      </c>
      <c r="D216" s="11" t="s">
        <v>34</v>
      </c>
      <c r="E216" s="12">
        <v>8</v>
      </c>
      <c r="F216" s="26">
        <v>7.3840000000000003</v>
      </c>
      <c r="G216" s="25">
        <v>9.9989999999999996E-4</v>
      </c>
      <c r="I216" s="29">
        <f>AVERAGE(F215:F216)</f>
        <v>7.4124999999999996</v>
      </c>
      <c r="J216" s="29">
        <f>AVERAGE(G215:G216)</f>
        <v>9.9989999999999996E-4</v>
      </c>
      <c r="L216">
        <v>1.3489376053962899E-4</v>
      </c>
      <c r="M216">
        <f>+(L216-$L$619)/$L$620</f>
        <v>-0.40490850009208118</v>
      </c>
      <c r="N216">
        <f>+N214+M216</f>
        <v>13.897899939447926</v>
      </c>
    </row>
    <row r="217" spans="1:14">
      <c r="A217" s="16">
        <v>2</v>
      </c>
      <c r="B217" s="74">
        <v>39707</v>
      </c>
      <c r="C217" s="16">
        <v>2008</v>
      </c>
      <c r="D217" s="11" t="s">
        <v>40</v>
      </c>
      <c r="E217" s="12">
        <v>9</v>
      </c>
      <c r="F217" s="25">
        <v>22.388000000000002</v>
      </c>
      <c r="G217" s="25">
        <v>1.4370000000000001</v>
      </c>
    </row>
    <row r="218" spans="1:14">
      <c r="A218" s="16">
        <v>16</v>
      </c>
      <c r="B218" s="74">
        <v>39707</v>
      </c>
      <c r="C218" s="16">
        <v>2008</v>
      </c>
      <c r="D218" s="11" t="s">
        <v>40</v>
      </c>
      <c r="E218" s="12">
        <v>9</v>
      </c>
      <c r="F218" s="25">
        <v>16.899999999999999</v>
      </c>
      <c r="G218" s="25">
        <v>1.56</v>
      </c>
      <c r="I218" s="29">
        <f>AVERAGE(F217:F218)</f>
        <v>19.643999999999998</v>
      </c>
      <c r="J218" s="29">
        <f>AVERAGE(G217:G218)</f>
        <v>1.4984999999999999</v>
      </c>
      <c r="L218">
        <v>7.6282834453268181E-2</v>
      </c>
      <c r="M218">
        <f>+(L218-$L$619)/$L$620</f>
        <v>1.8174382750018696</v>
      </c>
      <c r="N218">
        <f>+N216+M218</f>
        <v>15.715338214449796</v>
      </c>
    </row>
    <row r="219" spans="1:14">
      <c r="A219" s="16">
        <v>2</v>
      </c>
      <c r="B219" s="74">
        <v>39737</v>
      </c>
      <c r="C219" s="16">
        <v>2008</v>
      </c>
      <c r="D219" s="11" t="s">
        <v>36</v>
      </c>
      <c r="E219" s="12">
        <v>10</v>
      </c>
      <c r="F219" s="25">
        <v>1.742</v>
      </c>
      <c r="G219" s="25">
        <v>9.9989999999999996E-4</v>
      </c>
    </row>
    <row r="220" spans="1:14">
      <c r="A220" s="16">
        <v>16</v>
      </c>
      <c r="B220" s="74">
        <v>39737</v>
      </c>
      <c r="C220" s="16">
        <v>2008</v>
      </c>
      <c r="D220" s="11" t="s">
        <v>36</v>
      </c>
      <c r="E220" s="12">
        <v>10</v>
      </c>
      <c r="F220" s="25">
        <v>5.1740000000000004</v>
      </c>
      <c r="G220" s="25">
        <v>0.218</v>
      </c>
      <c r="I220" s="29">
        <f>AVERAGE(F219:F220)</f>
        <v>3.4580000000000002</v>
      </c>
      <c r="J220" s="29">
        <f>AVERAGE(G219:G220)</f>
        <v>0.10949995</v>
      </c>
      <c r="L220">
        <v>3.1665688259109308E-2</v>
      </c>
      <c r="M220">
        <f>+(L220-$L$619)/$L$620</f>
        <v>0.51530495325397485</v>
      </c>
      <c r="N220">
        <f>+N218+M220</f>
        <v>16.230643167703771</v>
      </c>
    </row>
    <row r="221" spans="1:14">
      <c r="A221" s="16">
        <v>2</v>
      </c>
      <c r="B221" s="74">
        <v>39763</v>
      </c>
      <c r="C221" s="16">
        <v>2008</v>
      </c>
      <c r="D221" s="11" t="s">
        <v>37</v>
      </c>
      <c r="E221" s="12">
        <v>11</v>
      </c>
      <c r="F221" s="25">
        <v>2.1349999999999998</v>
      </c>
      <c r="G221" s="25">
        <v>4.4999999999999998E-2</v>
      </c>
    </row>
    <row r="222" spans="1:14">
      <c r="A222" s="16">
        <v>16</v>
      </c>
      <c r="B222" s="74">
        <v>39763</v>
      </c>
      <c r="C222" s="16">
        <v>2008</v>
      </c>
      <c r="D222" s="11" t="s">
        <v>37</v>
      </c>
      <c r="E222" s="12">
        <v>11</v>
      </c>
      <c r="F222" s="25">
        <v>3.6680000000000001</v>
      </c>
      <c r="G222" s="25">
        <v>0.104</v>
      </c>
      <c r="I222" s="29">
        <f>AVERAGE(F221:F222)</f>
        <v>2.9015</v>
      </c>
      <c r="J222" s="29">
        <f>AVERAGE(G221:G222)</f>
        <v>7.4499999999999997E-2</v>
      </c>
      <c r="L222">
        <v>2.5676374289160777E-2</v>
      </c>
      <c r="M222">
        <f>+(L222-$L$619)/$L$620</f>
        <v>0.3405092533958527</v>
      </c>
      <c r="N222">
        <f>+N220+M222</f>
        <v>16.571152421099626</v>
      </c>
    </row>
    <row r="223" spans="1:14">
      <c r="A223" s="16">
        <v>2</v>
      </c>
      <c r="B223" s="74">
        <v>39799</v>
      </c>
      <c r="C223" s="16">
        <v>2008</v>
      </c>
      <c r="D223" s="11" t="s">
        <v>38</v>
      </c>
      <c r="E223" s="12">
        <v>12</v>
      </c>
      <c r="F223" s="25">
        <v>6.0270000000000001</v>
      </c>
      <c r="G223" s="25">
        <v>4.4999999999999998E-2</v>
      </c>
    </row>
    <row r="224" spans="1:14">
      <c r="A224" s="16">
        <v>16</v>
      </c>
      <c r="B224" s="74">
        <v>39800</v>
      </c>
      <c r="C224" s="16">
        <v>2008</v>
      </c>
      <c r="D224" s="11" t="s">
        <v>38</v>
      </c>
      <c r="E224" s="12">
        <v>12</v>
      </c>
      <c r="F224" s="25">
        <v>4.6399999999999997</v>
      </c>
      <c r="G224" s="25">
        <v>9.9989999999999996E-4</v>
      </c>
      <c r="I224" s="29">
        <f>AVERAGE(F223:F224)</f>
        <v>5.3334999999999999</v>
      </c>
      <c r="J224" s="29">
        <f>AVERAGE(G223:G224)</f>
        <v>2.2999949999999998E-2</v>
      </c>
      <c r="L224">
        <v>4.3123558638792532E-3</v>
      </c>
      <c r="M224">
        <f>+(L224-$L$619)/$L$620</f>
        <v>-0.2829909623493892</v>
      </c>
      <c r="N224">
        <f>+N222+M224</f>
        <v>16.288161458750238</v>
      </c>
    </row>
    <row r="225" spans="1:14">
      <c r="A225" s="16">
        <v>2</v>
      </c>
      <c r="B225" s="74">
        <v>39825</v>
      </c>
      <c r="C225" s="16">
        <v>2009</v>
      </c>
      <c r="D225" s="11" t="s">
        <v>39</v>
      </c>
      <c r="E225" s="10">
        <v>1</v>
      </c>
      <c r="F225" s="25">
        <v>7.7110000000000003</v>
      </c>
      <c r="G225" s="25">
        <v>9.9989999999999996E-4</v>
      </c>
    </row>
    <row r="226" spans="1:14">
      <c r="A226" s="16">
        <v>16</v>
      </c>
      <c r="B226" s="74">
        <v>39825</v>
      </c>
      <c r="C226" s="16">
        <v>2009</v>
      </c>
      <c r="D226" s="11" t="s">
        <v>39</v>
      </c>
      <c r="E226" s="10">
        <v>1</v>
      </c>
      <c r="F226" s="25">
        <v>6.8780000000000001</v>
      </c>
      <c r="G226" s="25">
        <v>9.9989999999999996E-4</v>
      </c>
      <c r="I226" s="29">
        <f>AVERAGE(F225:F226)</f>
        <v>7.2945000000000002</v>
      </c>
      <c r="J226" s="29">
        <f>AVERAGE(G225:G226)</f>
        <v>9.9989999999999996E-4</v>
      </c>
      <c r="L226">
        <v>1.3707587908698334E-4</v>
      </c>
      <c r="M226">
        <f>+(L226-$L$619)/$L$620</f>
        <v>-0.40484481584701204</v>
      </c>
      <c r="N226">
        <f>+N224+M226</f>
        <v>15.883316642903226</v>
      </c>
    </row>
    <row r="227" spans="1:14">
      <c r="A227" s="12">
        <v>2</v>
      </c>
      <c r="B227" s="74">
        <v>39855</v>
      </c>
      <c r="C227" s="16">
        <v>2009</v>
      </c>
      <c r="D227" s="11" t="s">
        <v>28</v>
      </c>
      <c r="E227" s="12">
        <v>2</v>
      </c>
      <c r="F227" s="25">
        <v>5.3019999999999996</v>
      </c>
      <c r="G227" s="27">
        <v>1E-3</v>
      </c>
    </row>
    <row r="228" spans="1:14">
      <c r="A228" s="12">
        <v>16</v>
      </c>
      <c r="B228" s="74">
        <v>39854</v>
      </c>
      <c r="C228" s="16">
        <v>2009</v>
      </c>
      <c r="D228" s="11" t="s">
        <v>28</v>
      </c>
      <c r="E228" s="12">
        <v>2</v>
      </c>
      <c r="F228" s="25">
        <v>4.5049999999999999</v>
      </c>
      <c r="G228" s="25">
        <v>1E-3</v>
      </c>
      <c r="I228" s="29">
        <f>AVERAGE(F227:F228)</f>
        <v>4.9034999999999993</v>
      </c>
      <c r="J228" s="29">
        <f>AVERAGE(G227:G228)</f>
        <v>1E-3</v>
      </c>
      <c r="L228">
        <v>2.0393596410727034E-4</v>
      </c>
      <c r="M228">
        <f>+(L228-$L$619)/$L$620</f>
        <v>-0.40289353137397665</v>
      </c>
      <c r="N228">
        <f>+N226+M228</f>
        <v>15.48042311152925</v>
      </c>
    </row>
    <row r="229" spans="1:14">
      <c r="A229" s="12">
        <v>2</v>
      </c>
      <c r="B229" s="74">
        <v>39890</v>
      </c>
      <c r="C229" s="16">
        <v>2009</v>
      </c>
      <c r="D229" s="11" t="s">
        <v>29</v>
      </c>
      <c r="E229" s="12">
        <v>3</v>
      </c>
      <c r="F229" s="25">
        <v>4.0570000000000004</v>
      </c>
      <c r="G229" s="27">
        <v>9.9989999999999996E-4</v>
      </c>
    </row>
    <row r="230" spans="1:14">
      <c r="A230" s="12">
        <v>16</v>
      </c>
      <c r="B230" s="74">
        <v>39890</v>
      </c>
      <c r="C230" s="16">
        <v>2009</v>
      </c>
      <c r="D230" s="11" t="s">
        <v>29</v>
      </c>
      <c r="E230" s="12">
        <v>3</v>
      </c>
      <c r="F230" s="25">
        <v>3.7959999999999998</v>
      </c>
      <c r="G230" s="27">
        <v>9.9989999999999996E-4</v>
      </c>
      <c r="I230" s="29">
        <f>AVERAGE(F229:F230)</f>
        <v>3.9264999999999999</v>
      </c>
      <c r="J230" s="29">
        <f>AVERAGE(G229:G230)</f>
        <v>9.9989999999999996E-4</v>
      </c>
      <c r="L230">
        <v>2.546542722526423E-4</v>
      </c>
      <c r="M230">
        <f>+(L230-$L$619)/$L$620</f>
        <v>-0.40141333811438595</v>
      </c>
      <c r="N230">
        <f>+N228+M230</f>
        <v>15.079009773414864</v>
      </c>
    </row>
    <row r="231" spans="1:14">
      <c r="A231" s="12">
        <v>2</v>
      </c>
      <c r="B231" s="74">
        <v>39920</v>
      </c>
      <c r="C231" s="16">
        <v>2009</v>
      </c>
      <c r="D231" s="11" t="s">
        <v>30</v>
      </c>
      <c r="E231" s="12">
        <v>4</v>
      </c>
      <c r="F231" s="25">
        <v>2.726</v>
      </c>
      <c r="G231" s="27">
        <v>1E-3</v>
      </c>
    </row>
    <row r="232" spans="1:14">
      <c r="A232" s="12">
        <v>16</v>
      </c>
      <c r="B232" s="74">
        <v>39920</v>
      </c>
      <c r="C232" s="16">
        <v>2009</v>
      </c>
      <c r="D232" s="11" t="s">
        <v>30</v>
      </c>
      <c r="E232" s="12">
        <v>4</v>
      </c>
      <c r="F232" s="25">
        <v>2.3159999999999998</v>
      </c>
      <c r="G232" s="27">
        <v>1E-3</v>
      </c>
      <c r="I232" s="29">
        <f>AVERAGE(F231:F232)</f>
        <v>2.5209999999999999</v>
      </c>
      <c r="J232" s="29">
        <f>AVERAGE(G231:G232)</f>
        <v>1E-3</v>
      </c>
      <c r="L232">
        <v>3.9666798889329631E-4</v>
      </c>
      <c r="M232">
        <f>+(L232-$L$619)/$L$620</f>
        <v>-0.39726872537339292</v>
      </c>
      <c r="N232">
        <f>+N230+M232</f>
        <v>14.68174104804147</v>
      </c>
    </row>
    <row r="233" spans="1:14">
      <c r="A233" s="12">
        <v>2</v>
      </c>
      <c r="B233" s="74">
        <v>39945</v>
      </c>
      <c r="C233" s="16">
        <v>2009</v>
      </c>
      <c r="D233" s="11" t="s">
        <v>31</v>
      </c>
      <c r="E233" s="12">
        <v>5</v>
      </c>
      <c r="F233" s="25">
        <v>3.7349999999999999</v>
      </c>
      <c r="G233" s="27">
        <v>9.2999999999999999E-2</v>
      </c>
    </row>
    <row r="234" spans="1:14">
      <c r="A234" s="12">
        <v>16</v>
      </c>
      <c r="B234" s="74">
        <v>39945</v>
      </c>
      <c r="C234" s="16">
        <v>2009</v>
      </c>
      <c r="D234" s="11" t="s">
        <v>31</v>
      </c>
      <c r="E234" s="12">
        <v>5</v>
      </c>
      <c r="F234" s="25">
        <v>8.7650000000000006</v>
      </c>
      <c r="G234" s="27">
        <v>1.347</v>
      </c>
      <c r="I234" s="29">
        <f>AVERAGE(F233:F234)</f>
        <v>6.25</v>
      </c>
      <c r="J234" s="29">
        <f>AVERAGE(G233:G234)</f>
        <v>0.72</v>
      </c>
      <c r="L234">
        <v>0.1152</v>
      </c>
      <c r="M234">
        <f>+(L234-$L$619)/$L$620</f>
        <v>2.9532199725998405</v>
      </c>
      <c r="N234">
        <f>+N232+M234</f>
        <v>17.63496102064131</v>
      </c>
    </row>
    <row r="235" spans="1:14">
      <c r="A235" s="16">
        <v>2</v>
      </c>
      <c r="B235" s="74">
        <v>39980</v>
      </c>
      <c r="C235" s="16">
        <v>2009</v>
      </c>
      <c r="D235" s="11" t="s">
        <v>32</v>
      </c>
      <c r="E235" s="12">
        <v>6</v>
      </c>
      <c r="F235" s="25">
        <v>7.8079999999999998</v>
      </c>
      <c r="G235" s="27">
        <v>0.47099999999999997</v>
      </c>
    </row>
    <row r="236" spans="1:14">
      <c r="A236" s="16">
        <v>16</v>
      </c>
      <c r="B236" s="74">
        <v>39980</v>
      </c>
      <c r="C236" s="16">
        <v>2009</v>
      </c>
      <c r="D236" s="11" t="s">
        <v>32</v>
      </c>
      <c r="E236" s="12">
        <v>6</v>
      </c>
      <c r="F236" s="25">
        <v>14.867000000000001</v>
      </c>
      <c r="G236" s="27">
        <v>1.1000000000000001</v>
      </c>
      <c r="I236" s="29">
        <f>AVERAGE(F235:F236)</f>
        <v>11.3375</v>
      </c>
      <c r="J236" s="29">
        <f>AVERAGE(G235:G236)</f>
        <v>0.78550000000000009</v>
      </c>
      <c r="L236">
        <v>6.9283351708930546E-2</v>
      </c>
      <c r="M236">
        <f>+(L236-$L$619)/$L$620</f>
        <v>1.6131612090340188</v>
      </c>
      <c r="N236">
        <f>+N234+M236</f>
        <v>19.248122229675328</v>
      </c>
    </row>
    <row r="237" spans="1:14">
      <c r="A237" s="16">
        <v>2</v>
      </c>
      <c r="B237" s="74">
        <v>40009</v>
      </c>
      <c r="C237" s="16">
        <v>2009</v>
      </c>
      <c r="D237" s="11" t="s">
        <v>33</v>
      </c>
      <c r="E237" s="12">
        <v>7</v>
      </c>
      <c r="F237" s="25">
        <v>12.242000000000001</v>
      </c>
      <c r="G237" s="27">
        <v>0.03</v>
      </c>
    </row>
    <row r="238" spans="1:14">
      <c r="A238" s="16">
        <v>16</v>
      </c>
      <c r="B238" s="74">
        <v>40009</v>
      </c>
      <c r="C238" s="16">
        <v>2009</v>
      </c>
      <c r="D238" s="11" t="s">
        <v>33</v>
      </c>
      <c r="E238" s="12">
        <v>7</v>
      </c>
      <c r="F238" s="25">
        <v>8.31</v>
      </c>
      <c r="G238" s="27">
        <v>2.7E-2</v>
      </c>
      <c r="I238" s="29">
        <f>AVERAGE(F237:F238)</f>
        <v>10.276</v>
      </c>
      <c r="J238" s="29">
        <f>AVERAGE(G237:G238)</f>
        <v>2.8499999999999998E-2</v>
      </c>
      <c r="L238">
        <v>2.7734527053328143E-3</v>
      </c>
      <c r="M238">
        <f>+(L238-$L$619)/$L$620</f>
        <v>-0.32790322708649916</v>
      </c>
      <c r="N238">
        <f>+N236+M238</f>
        <v>18.92021900258883</v>
      </c>
    </row>
    <row r="239" spans="1:14">
      <c r="A239" s="16">
        <v>2</v>
      </c>
      <c r="B239" s="74">
        <v>40043</v>
      </c>
      <c r="C239" s="16">
        <v>2009</v>
      </c>
      <c r="D239" s="11" t="s">
        <v>34</v>
      </c>
      <c r="E239" s="12">
        <v>8</v>
      </c>
      <c r="F239" s="25">
        <v>15.622999999999999</v>
      </c>
      <c r="G239" s="27">
        <v>9.9989999999999996E-4</v>
      </c>
    </row>
    <row r="240" spans="1:14">
      <c r="A240" s="16">
        <v>16</v>
      </c>
      <c r="B240" s="74">
        <v>40042</v>
      </c>
      <c r="C240" s="16">
        <v>2009</v>
      </c>
      <c r="D240" s="11" t="s">
        <v>34</v>
      </c>
      <c r="E240" s="12">
        <v>8</v>
      </c>
      <c r="F240" s="25">
        <v>17.271000000000001</v>
      </c>
      <c r="G240" s="27">
        <v>1E-3</v>
      </c>
      <c r="I240" s="29">
        <f>AVERAGE(F239:F240)</f>
        <v>16.446999999999999</v>
      </c>
      <c r="J240" s="29">
        <f>AVERAGE(G239:G240)</f>
        <v>9.9994999999999988E-4</v>
      </c>
      <c r="L240">
        <v>6.079832188241016E-5</v>
      </c>
      <c r="M240">
        <f>+(L240-$L$619)/$L$620</f>
        <v>-0.40707094542745142</v>
      </c>
      <c r="N240">
        <f>+N238+M240</f>
        <v>18.513148057161377</v>
      </c>
    </row>
    <row r="241" spans="1:14">
      <c r="A241" s="16">
        <v>2</v>
      </c>
      <c r="B241" s="74">
        <v>40070</v>
      </c>
      <c r="C241" s="16">
        <v>2009</v>
      </c>
      <c r="D241" s="11" t="s">
        <v>40</v>
      </c>
      <c r="E241" s="12">
        <v>9</v>
      </c>
      <c r="F241" s="25">
        <v>4.9349999999999996</v>
      </c>
      <c r="G241" s="27">
        <v>9.9989999999999996E-4</v>
      </c>
    </row>
    <row r="242" spans="1:14">
      <c r="A242" s="16">
        <v>16</v>
      </c>
      <c r="B242" s="74">
        <v>40070</v>
      </c>
      <c r="C242" s="16">
        <v>2009</v>
      </c>
      <c r="D242" s="11" t="s">
        <v>40</v>
      </c>
      <c r="E242" s="12">
        <v>9</v>
      </c>
      <c r="F242" s="25">
        <v>22.917000000000002</v>
      </c>
      <c r="G242" s="27">
        <v>1E-3</v>
      </c>
      <c r="I242" s="29">
        <f>AVERAGE(F241:F242)</f>
        <v>13.926</v>
      </c>
      <c r="J242" s="29">
        <f>AVERAGE(G241:G242)</f>
        <v>9.9994999999999988E-4</v>
      </c>
      <c r="L242">
        <v>7.1804538273732572E-5</v>
      </c>
      <c r="M242">
        <f>+(L242-$L$619)/$L$620</f>
        <v>-0.40674973346451809</v>
      </c>
      <c r="N242">
        <f>+N240+M242</f>
        <v>18.106398323696858</v>
      </c>
    </row>
    <row r="243" spans="1:14">
      <c r="A243" s="16">
        <v>2</v>
      </c>
      <c r="B243" s="74">
        <v>40099</v>
      </c>
      <c r="C243" s="16">
        <v>2009</v>
      </c>
      <c r="D243" s="11" t="s">
        <v>36</v>
      </c>
      <c r="E243" s="12">
        <v>10</v>
      </c>
      <c r="F243" s="25">
        <v>2.278</v>
      </c>
      <c r="G243" s="27">
        <v>1.2999999999999999E-2</v>
      </c>
    </row>
    <row r="244" spans="1:14">
      <c r="A244" s="16">
        <v>16</v>
      </c>
      <c r="B244" s="74">
        <v>40099</v>
      </c>
      <c r="C244" s="16">
        <v>2009</v>
      </c>
      <c r="D244" s="11" t="s">
        <v>36</v>
      </c>
      <c r="E244" s="12">
        <v>10</v>
      </c>
      <c r="F244" s="25">
        <v>5.1630000000000003</v>
      </c>
      <c r="G244" s="27">
        <v>3.3000000000000002E-2</v>
      </c>
      <c r="I244" s="29">
        <f>AVERAGE(F243:F244)</f>
        <v>3.7205000000000004</v>
      </c>
      <c r="J244" s="29">
        <f>AVERAGE(G243:G244)</f>
        <v>2.3E-2</v>
      </c>
      <c r="L244">
        <v>6.1819647896788057E-3</v>
      </c>
      <c r="M244">
        <f>+(L244-$L$619)/$L$620</f>
        <v>-0.22842718387895897</v>
      </c>
      <c r="N244">
        <f>+N242+M244</f>
        <v>17.877971139817898</v>
      </c>
    </row>
    <row r="245" spans="1:14">
      <c r="A245" s="16">
        <v>2</v>
      </c>
      <c r="B245" s="74">
        <v>40134</v>
      </c>
      <c r="C245" s="16">
        <v>2009</v>
      </c>
      <c r="D245" s="11" t="s">
        <v>37</v>
      </c>
      <c r="E245" s="12">
        <v>11</v>
      </c>
      <c r="F245" s="25">
        <v>2.2709999999999999</v>
      </c>
      <c r="G245" s="27">
        <v>9.9989999999999996E-4</v>
      </c>
    </row>
    <row r="246" spans="1:14">
      <c r="A246" s="16">
        <v>16</v>
      </c>
      <c r="B246" s="74">
        <v>40133</v>
      </c>
      <c r="C246" s="16">
        <v>2009</v>
      </c>
      <c r="D246" s="11" t="s">
        <v>37</v>
      </c>
      <c r="E246" s="12">
        <v>11</v>
      </c>
      <c r="F246" s="25">
        <v>3.33</v>
      </c>
      <c r="G246" s="27">
        <v>9.9989999999999996E-4</v>
      </c>
      <c r="I246" s="29">
        <f>AVERAGE(F245:F246)</f>
        <v>2.8005</v>
      </c>
      <c r="J246" s="29">
        <f>AVERAGE(G245:G246)</f>
        <v>9.9989999999999996E-4</v>
      </c>
      <c r="L246">
        <v>3.5704338510980183E-4</v>
      </c>
      <c r="M246">
        <f>+(L246-$L$619)/$L$620</f>
        <v>-0.3984251533691015</v>
      </c>
      <c r="N246">
        <f>+N244+M246</f>
        <v>17.479545986448798</v>
      </c>
    </row>
    <row r="247" spans="1:14">
      <c r="A247" s="16">
        <v>2</v>
      </c>
      <c r="B247" s="74">
        <v>40161</v>
      </c>
      <c r="C247" s="16">
        <v>2009</v>
      </c>
      <c r="D247" s="11" t="s">
        <v>38</v>
      </c>
      <c r="E247" s="12">
        <v>12</v>
      </c>
      <c r="F247" s="25">
        <v>4.7210000000000001</v>
      </c>
      <c r="G247" s="27">
        <v>9.9989999999999996E-4</v>
      </c>
    </row>
    <row r="248" spans="1:14">
      <c r="A248" s="16">
        <v>16</v>
      </c>
      <c r="B248" s="74">
        <v>40161</v>
      </c>
      <c r="C248" s="16">
        <v>2009</v>
      </c>
      <c r="D248" s="11" t="s">
        <v>38</v>
      </c>
      <c r="E248" s="12">
        <v>12</v>
      </c>
      <c r="F248" s="25">
        <v>5.6890000000000001</v>
      </c>
      <c r="G248" s="27">
        <v>1.0999999999999999E-2</v>
      </c>
      <c r="I248" s="29">
        <f>AVERAGE(F247:F248)</f>
        <v>5.2050000000000001</v>
      </c>
      <c r="J248" s="29">
        <f>AVERAGE(G247:G248)</f>
        <v>5.9999499999999996E-3</v>
      </c>
      <c r="L248">
        <v>1.1527281460134485E-3</v>
      </c>
      <c r="M248">
        <f>+(L248-$L$619)/$L$620</f>
        <v>-0.37520341623085113</v>
      </c>
      <c r="N248">
        <f>+N246+M248</f>
        <v>17.104342570217948</v>
      </c>
    </row>
    <row r="249" spans="1:14">
      <c r="A249" s="16">
        <v>2</v>
      </c>
      <c r="B249" s="71">
        <v>40198</v>
      </c>
      <c r="C249" s="16">
        <v>2010</v>
      </c>
      <c r="D249" s="11" t="s">
        <v>39</v>
      </c>
      <c r="E249" s="10">
        <v>1</v>
      </c>
      <c r="F249" s="28">
        <v>8.5489999999999995</v>
      </c>
      <c r="G249" s="29">
        <v>0</v>
      </c>
    </row>
    <row r="250" spans="1:14">
      <c r="A250" s="16">
        <v>16</v>
      </c>
      <c r="B250" s="71">
        <v>40198</v>
      </c>
      <c r="C250" s="16">
        <v>2010</v>
      </c>
      <c r="D250" s="11" t="s">
        <v>39</v>
      </c>
      <c r="E250" s="10">
        <v>1</v>
      </c>
      <c r="F250" s="28">
        <v>3.5960000000000001</v>
      </c>
      <c r="G250" s="29">
        <v>1.121525E-2</v>
      </c>
      <c r="I250" s="29">
        <f>AVERAGE(F249:F250)</f>
        <v>6.0724999999999998</v>
      </c>
      <c r="J250" s="29">
        <f>AVERAGE(G249:G250)</f>
        <v>5.6076249999999998E-3</v>
      </c>
      <c r="L250">
        <v>9.2344586249485381E-4</v>
      </c>
      <c r="M250">
        <f>+(L250-$L$619)/$L$620</f>
        <v>-0.38189492671331887</v>
      </c>
      <c r="N250">
        <f>+N248+M250</f>
        <v>16.72244764350463</v>
      </c>
    </row>
    <row r="251" spans="1:14">
      <c r="A251" s="16">
        <v>2</v>
      </c>
      <c r="B251" s="71">
        <v>40225</v>
      </c>
      <c r="C251" s="16">
        <v>2010</v>
      </c>
      <c r="D251" s="11" t="s">
        <v>28</v>
      </c>
      <c r="E251" s="12">
        <v>2</v>
      </c>
      <c r="F251" s="28">
        <v>8.0310000000000006</v>
      </c>
      <c r="G251" s="29">
        <v>0</v>
      </c>
    </row>
    <row r="252" spans="1:14">
      <c r="A252" s="16">
        <v>16</v>
      </c>
      <c r="B252" s="71">
        <v>40225</v>
      </c>
      <c r="C252" s="16">
        <v>2010</v>
      </c>
      <c r="D252" s="11" t="s">
        <v>28</v>
      </c>
      <c r="E252" s="12">
        <v>2</v>
      </c>
      <c r="F252" s="28">
        <v>5.2069999999999999</v>
      </c>
      <c r="G252" s="29">
        <v>0</v>
      </c>
      <c r="I252" s="29">
        <f>AVERAGE(F251:F252)</f>
        <v>6.6189999999999998</v>
      </c>
      <c r="J252" s="29">
        <f>AVERAGE(G251:G252)</f>
        <v>0</v>
      </c>
      <c r="L252">
        <v>0</v>
      </c>
      <c r="M252">
        <f>+(L252-$L$619)/$L$620</f>
        <v>-0.40884531980103711</v>
      </c>
      <c r="N252">
        <f>+N250+M252</f>
        <v>16.313602323703591</v>
      </c>
    </row>
    <row r="253" spans="1:14">
      <c r="A253" s="16">
        <v>2</v>
      </c>
      <c r="B253" s="71">
        <v>40254</v>
      </c>
      <c r="C253" s="16">
        <v>2010</v>
      </c>
      <c r="D253" s="11" t="s">
        <v>29</v>
      </c>
      <c r="E253" s="12">
        <v>3</v>
      </c>
      <c r="F253" s="28">
        <v>1.774</v>
      </c>
      <c r="G253" s="29">
        <v>0</v>
      </c>
    </row>
    <row r="254" spans="1:14">
      <c r="A254" s="16">
        <v>16</v>
      </c>
      <c r="B254" s="71">
        <v>40254</v>
      </c>
      <c r="C254" s="16">
        <v>2010</v>
      </c>
      <c r="D254" s="11" t="s">
        <v>29</v>
      </c>
      <c r="E254" s="12">
        <v>3</v>
      </c>
      <c r="F254" s="28">
        <v>1.786</v>
      </c>
      <c r="G254" s="29">
        <v>3.7476750000000003E-2</v>
      </c>
      <c r="I254" s="29">
        <f>AVERAGE(F253:F254)</f>
        <v>1.78</v>
      </c>
      <c r="J254" s="29">
        <f>AVERAGE(G253:G254)</f>
        <v>1.8738375000000002E-2</v>
      </c>
      <c r="L254">
        <v>1.0527176966292136E-2</v>
      </c>
      <c r="M254">
        <f>+(L254-$L$619)/$L$620</f>
        <v>-0.10161392826169027</v>
      </c>
      <c r="N254">
        <f>+N252+M254</f>
        <v>16.2119883954419</v>
      </c>
    </row>
    <row r="255" spans="1:14">
      <c r="A255" s="16">
        <v>2</v>
      </c>
      <c r="B255" s="71">
        <v>40282</v>
      </c>
      <c r="C255" s="16">
        <v>2010</v>
      </c>
      <c r="D255" s="11" t="s">
        <v>30</v>
      </c>
      <c r="E255" s="12">
        <v>4</v>
      </c>
      <c r="F255" s="28">
        <v>1.8720000000000001</v>
      </c>
      <c r="G255" s="29">
        <v>0</v>
      </c>
    </row>
    <row r="256" spans="1:14">
      <c r="A256" s="16">
        <v>16</v>
      </c>
      <c r="B256" s="71">
        <v>40282</v>
      </c>
      <c r="C256" s="16">
        <v>2010</v>
      </c>
      <c r="D256" s="11" t="s">
        <v>30</v>
      </c>
      <c r="E256" s="12">
        <v>4</v>
      </c>
      <c r="F256" s="28">
        <v>2.0350000000000001</v>
      </c>
      <c r="G256" s="29">
        <v>0</v>
      </c>
      <c r="I256" s="29">
        <f>AVERAGE(F255:F256)</f>
        <v>1.9535</v>
      </c>
      <c r="J256" s="29">
        <f>AVERAGE(G255:G256)</f>
        <v>0</v>
      </c>
      <c r="L256">
        <v>0</v>
      </c>
      <c r="M256">
        <f>+(L256-$L$619)/$L$620</f>
        <v>-0.40884531980103711</v>
      </c>
      <c r="N256">
        <f>+N254+M256</f>
        <v>15.803143075640863</v>
      </c>
    </row>
    <row r="257" spans="1:14">
      <c r="A257" s="16">
        <v>2</v>
      </c>
      <c r="B257" s="74">
        <v>40315</v>
      </c>
      <c r="C257" s="16">
        <v>2010</v>
      </c>
      <c r="D257" s="11" t="s">
        <v>31</v>
      </c>
      <c r="E257" s="12">
        <v>5</v>
      </c>
      <c r="F257" s="30">
        <v>1.4510000000000001</v>
      </c>
      <c r="G257" s="29">
        <v>0</v>
      </c>
    </row>
    <row r="258" spans="1:14">
      <c r="A258" s="16">
        <v>16</v>
      </c>
      <c r="B258" s="74">
        <v>40315</v>
      </c>
      <c r="C258" s="16">
        <v>2010</v>
      </c>
      <c r="D258" s="11" t="s">
        <v>31</v>
      </c>
      <c r="E258" s="12">
        <v>5</v>
      </c>
      <c r="F258" s="30">
        <v>3.1819999999999999</v>
      </c>
      <c r="G258" s="29">
        <v>5.3531124999999999E-2</v>
      </c>
      <c r="I258" s="29">
        <f>AVERAGE(F257:F258)</f>
        <v>2.3165</v>
      </c>
      <c r="J258" s="29">
        <f>AVERAGE(G257:G258)</f>
        <v>2.6765562499999999E-2</v>
      </c>
      <c r="L258">
        <v>1.1554311461256205E-2</v>
      </c>
      <c r="M258">
        <f>+(L258-$L$619)/$L$620</f>
        <v>-7.1637424475697223E-2</v>
      </c>
      <c r="N258">
        <f>+N256+M258</f>
        <v>15.731505651165165</v>
      </c>
    </row>
    <row r="259" spans="1:14">
      <c r="A259" s="16">
        <v>2</v>
      </c>
      <c r="B259" s="74">
        <v>40344</v>
      </c>
      <c r="C259" s="16">
        <v>2010</v>
      </c>
      <c r="D259" s="11" t="s">
        <v>32</v>
      </c>
      <c r="E259" s="12">
        <v>6</v>
      </c>
      <c r="F259" s="30">
        <v>6.09</v>
      </c>
      <c r="G259" s="29">
        <v>1.5235625000000001E-2</v>
      </c>
    </row>
    <row r="260" spans="1:14">
      <c r="A260" s="16">
        <v>16</v>
      </c>
      <c r="B260" s="74">
        <v>40344</v>
      </c>
      <c r="C260" s="16">
        <v>2010</v>
      </c>
      <c r="D260" s="11" t="s">
        <v>32</v>
      </c>
      <c r="E260" s="12">
        <v>6</v>
      </c>
      <c r="F260" s="30">
        <v>8.3989999999999991</v>
      </c>
      <c r="G260" s="29">
        <v>0</v>
      </c>
      <c r="I260" s="29">
        <f>AVERAGE(F259:F260)</f>
        <v>7.2444999999999995</v>
      </c>
      <c r="J260" s="29">
        <f>AVERAGE(G259:G260)</f>
        <v>7.6178125000000005E-3</v>
      </c>
      <c r="L260">
        <v>1.0515304713920907E-3</v>
      </c>
      <c r="M260">
        <f>+(L260-$L$619)/$L$620</f>
        <v>-0.37815682933428985</v>
      </c>
      <c r="N260">
        <f>+N258+M260</f>
        <v>15.353348821830874</v>
      </c>
    </row>
    <row r="261" spans="1:14">
      <c r="A261" s="16">
        <v>2</v>
      </c>
      <c r="B261" s="74">
        <v>40371</v>
      </c>
      <c r="C261" s="16">
        <v>2010</v>
      </c>
      <c r="D261" s="11" t="s">
        <v>33</v>
      </c>
      <c r="E261" s="12">
        <v>7</v>
      </c>
      <c r="F261" s="30">
        <v>9.2140000000000004</v>
      </c>
      <c r="G261" s="29">
        <v>0</v>
      </c>
    </row>
    <row r="262" spans="1:14">
      <c r="A262" s="16">
        <v>16</v>
      </c>
      <c r="B262" s="74">
        <v>40371</v>
      </c>
      <c r="C262" s="16">
        <v>2010</v>
      </c>
      <c r="D262" s="11" t="s">
        <v>33</v>
      </c>
      <c r="E262" s="12">
        <v>7</v>
      </c>
      <c r="F262" s="30">
        <v>13.456</v>
      </c>
      <c r="G262" s="29">
        <v>4.1947375000000002E-2</v>
      </c>
      <c r="I262" s="29">
        <f>AVERAGE(F261:F262)</f>
        <v>11.335000000000001</v>
      </c>
      <c r="J262" s="29">
        <f>AVERAGE(G261:G262)</f>
        <v>2.0973687500000001E-2</v>
      </c>
      <c r="L262">
        <v>1.8503473753859725E-3</v>
      </c>
      <c r="M262">
        <f>+(L262-$L$619)/$L$620</f>
        <v>-0.35484368186987186</v>
      </c>
      <c r="N262">
        <f>+N260+M262</f>
        <v>14.998505139961003</v>
      </c>
    </row>
    <row r="263" spans="1:14">
      <c r="A263" s="16">
        <v>2</v>
      </c>
      <c r="B263" s="74">
        <v>40407</v>
      </c>
      <c r="C263" s="16">
        <v>2010</v>
      </c>
      <c r="D263" s="11" t="s">
        <v>34</v>
      </c>
      <c r="E263" s="12">
        <v>8</v>
      </c>
      <c r="F263" s="30">
        <v>10.113</v>
      </c>
      <c r="G263" s="29">
        <v>0</v>
      </c>
    </row>
    <row r="264" spans="1:14">
      <c r="A264" s="16">
        <v>16</v>
      </c>
      <c r="B264" s="74">
        <v>40407</v>
      </c>
      <c r="C264" s="16">
        <v>2010</v>
      </c>
      <c r="D264" s="11" t="s">
        <v>34</v>
      </c>
      <c r="E264" s="12">
        <v>8</v>
      </c>
      <c r="F264" s="30">
        <v>10.69</v>
      </c>
      <c r="G264" s="29">
        <v>0</v>
      </c>
      <c r="I264" s="29">
        <f>AVERAGE(F263:F264)</f>
        <v>10.401499999999999</v>
      </c>
      <c r="J264" s="29">
        <f>AVERAGE(G263:G264)</f>
        <v>0</v>
      </c>
      <c r="L264">
        <v>0</v>
      </c>
      <c r="M264">
        <f>+(L264-$L$619)/$L$620</f>
        <v>-0.40884531980103711</v>
      </c>
      <c r="N264">
        <f>+N262+M264</f>
        <v>14.589659820159966</v>
      </c>
    </row>
    <row r="265" spans="1:14">
      <c r="A265" s="16">
        <v>2</v>
      </c>
      <c r="B265" s="74">
        <v>40436</v>
      </c>
      <c r="C265" s="16">
        <v>2010</v>
      </c>
      <c r="D265" s="11" t="s">
        <v>40</v>
      </c>
      <c r="E265" s="12">
        <v>9</v>
      </c>
      <c r="F265" s="30">
        <v>15.021000000000001</v>
      </c>
      <c r="G265" s="29">
        <v>0</v>
      </c>
    </row>
    <row r="266" spans="1:14">
      <c r="A266" s="16">
        <v>16</v>
      </c>
      <c r="B266" s="74">
        <v>40436</v>
      </c>
      <c r="C266" s="16">
        <v>2010</v>
      </c>
      <c r="D266" s="11" t="s">
        <v>40</v>
      </c>
      <c r="E266" s="12">
        <v>9</v>
      </c>
      <c r="F266" s="30">
        <v>12.462999999999999</v>
      </c>
      <c r="G266" s="29">
        <v>0</v>
      </c>
      <c r="I266" s="29">
        <f>AVERAGE(F265:F266)</f>
        <v>13.742000000000001</v>
      </c>
      <c r="J266" s="29">
        <f>AVERAGE(G265:G266)</f>
        <v>0</v>
      </c>
      <c r="L266">
        <v>0</v>
      </c>
      <c r="M266">
        <f>+(L266-$L$619)/$L$620</f>
        <v>-0.40884531980103711</v>
      </c>
      <c r="N266">
        <f>+N264+M266</f>
        <v>14.180814500358929</v>
      </c>
    </row>
    <row r="267" spans="1:14">
      <c r="A267" s="16">
        <v>2</v>
      </c>
      <c r="B267" s="74">
        <v>40464</v>
      </c>
      <c r="C267" s="16">
        <v>2010</v>
      </c>
      <c r="D267" s="11" t="s">
        <v>36</v>
      </c>
      <c r="E267" s="12">
        <v>10</v>
      </c>
      <c r="F267" s="28">
        <v>3.5270000000000001</v>
      </c>
      <c r="G267" s="29">
        <v>0</v>
      </c>
    </row>
    <row r="268" spans="1:14">
      <c r="A268" s="16">
        <v>16</v>
      </c>
      <c r="B268" s="74">
        <v>40464</v>
      </c>
      <c r="C268" s="16">
        <v>2010</v>
      </c>
      <c r="D268" s="11" t="s">
        <v>36</v>
      </c>
      <c r="E268" s="12">
        <v>10</v>
      </c>
      <c r="F268" s="28">
        <v>2.2570000000000001</v>
      </c>
      <c r="G268" s="29">
        <v>0</v>
      </c>
      <c r="I268" s="29">
        <f>AVERAGE(F267:F268)</f>
        <v>2.8920000000000003</v>
      </c>
      <c r="J268" s="29">
        <f>AVERAGE(G267:G268)</f>
        <v>0</v>
      </c>
      <c r="L268">
        <v>0</v>
      </c>
      <c r="M268">
        <f>+(L268-$L$619)/$L$620</f>
        <v>-0.40884531980103711</v>
      </c>
      <c r="N268">
        <f>+N266+M268</f>
        <v>13.771969180557893</v>
      </c>
    </row>
    <row r="269" spans="1:14">
      <c r="A269" s="16">
        <v>2</v>
      </c>
      <c r="B269" s="74">
        <v>40498</v>
      </c>
      <c r="C269" s="16">
        <v>2010</v>
      </c>
      <c r="D269" s="11" t="s">
        <v>37</v>
      </c>
      <c r="E269" s="12">
        <v>11</v>
      </c>
      <c r="F269" s="28">
        <v>0.999</v>
      </c>
      <c r="G269" s="29">
        <v>0</v>
      </c>
    </row>
    <row r="270" spans="1:14">
      <c r="A270" s="16">
        <v>16</v>
      </c>
      <c r="B270" s="74">
        <v>40498</v>
      </c>
      <c r="C270" s="16">
        <v>2010</v>
      </c>
      <c r="D270" s="11" t="s">
        <v>37</v>
      </c>
      <c r="E270" s="12">
        <v>11</v>
      </c>
      <c r="F270" s="28">
        <v>1.748</v>
      </c>
      <c r="G270" s="29">
        <v>0.12859987500000003</v>
      </c>
      <c r="I270" s="29">
        <f>AVERAGE(F269:F270)</f>
        <v>1.3734999999999999</v>
      </c>
      <c r="J270" s="29">
        <f>AVERAGE(G269:G270)</f>
        <v>6.4299937500000015E-2</v>
      </c>
      <c r="L270">
        <v>4.6814661448853309E-2</v>
      </c>
      <c r="M270">
        <f>+(L270-$L$619)/$L$620</f>
        <v>0.95742159367714963</v>
      </c>
      <c r="N270">
        <f>+N268+M270</f>
        <v>14.729390774235043</v>
      </c>
    </row>
    <row r="271" spans="1:14">
      <c r="A271" s="16">
        <v>2</v>
      </c>
      <c r="B271" s="74">
        <v>40520</v>
      </c>
      <c r="C271" s="16">
        <v>2010</v>
      </c>
      <c r="D271" s="11" t="s">
        <v>38</v>
      </c>
      <c r="E271" s="12">
        <v>12</v>
      </c>
      <c r="F271" s="28">
        <v>3.78</v>
      </c>
      <c r="G271" s="29">
        <v>0.10052362499999998</v>
      </c>
    </row>
    <row r="272" spans="1:14">
      <c r="A272" s="16">
        <v>16</v>
      </c>
      <c r="B272" s="74">
        <v>40520</v>
      </c>
      <c r="C272" s="16">
        <v>2010</v>
      </c>
      <c r="D272" s="11" t="s">
        <v>38</v>
      </c>
      <c r="E272" s="12">
        <v>12</v>
      </c>
      <c r="F272" s="28">
        <v>2.7549999999999999</v>
      </c>
      <c r="G272" s="29">
        <v>7.1455000000000005E-2</v>
      </c>
      <c r="I272" s="29">
        <f>AVERAGE(F271:F272)</f>
        <v>3.2675000000000001</v>
      </c>
      <c r="J272" s="29">
        <f>AVERAGE(G271:G272)</f>
        <v>8.5989312499999998E-2</v>
      </c>
      <c r="L272">
        <v>2.6316545524100992E-2</v>
      </c>
      <c r="M272">
        <f>+(L272-$L$619)/$L$620</f>
        <v>0.35919239133149428</v>
      </c>
      <c r="N272">
        <f>+N270+M272</f>
        <v>15.088583165566536</v>
      </c>
    </row>
    <row r="273" spans="1:14">
      <c r="A273" s="16">
        <v>2</v>
      </c>
      <c r="B273" s="74">
        <v>40562</v>
      </c>
      <c r="C273" s="16">
        <v>2011</v>
      </c>
      <c r="D273" s="11" t="s">
        <v>39</v>
      </c>
      <c r="E273" s="16">
        <v>1</v>
      </c>
      <c r="F273" s="28">
        <v>6.5730000000000004</v>
      </c>
      <c r="G273" s="29">
        <v>0</v>
      </c>
    </row>
    <row r="274" spans="1:14">
      <c r="A274" s="16">
        <v>16</v>
      </c>
      <c r="B274" s="74">
        <v>40562</v>
      </c>
      <c r="C274" s="16">
        <v>2011</v>
      </c>
      <c r="D274" s="11" t="s">
        <v>39</v>
      </c>
      <c r="E274" s="16">
        <v>1</v>
      </c>
      <c r="F274" s="28">
        <v>4.1449999999999996</v>
      </c>
      <c r="G274" s="29">
        <v>0</v>
      </c>
      <c r="I274" s="29"/>
      <c r="J274" s="29"/>
    </row>
    <row r="275" spans="1:14">
      <c r="A275" s="16">
        <v>16</v>
      </c>
      <c r="B275" s="74">
        <v>40562</v>
      </c>
      <c r="C275" s="16">
        <v>2011</v>
      </c>
      <c r="D275" s="11" t="s">
        <v>39</v>
      </c>
      <c r="E275" s="16">
        <v>1</v>
      </c>
      <c r="F275" s="28">
        <v>4.1449999999999996</v>
      </c>
      <c r="G275" s="29">
        <v>0</v>
      </c>
      <c r="H275" t="s">
        <v>41</v>
      </c>
      <c r="I275" s="29">
        <f>AVERAGE(F273:F275)</f>
        <v>4.9543333333333335</v>
      </c>
      <c r="J275" s="29">
        <f>AVERAGE(G273:G275)</f>
        <v>0</v>
      </c>
      <c r="L275">
        <v>0</v>
      </c>
      <c r="M275">
        <f>+(L275-$L$619)/$L$620</f>
        <v>-0.40884531980103711</v>
      </c>
      <c r="N275">
        <f>+N272+M275</f>
        <v>14.6797378457655</v>
      </c>
    </row>
    <row r="276" spans="1:14">
      <c r="A276" s="16">
        <v>2</v>
      </c>
      <c r="B276" s="74">
        <v>40591</v>
      </c>
      <c r="C276" s="16">
        <v>2011</v>
      </c>
      <c r="D276" s="11" t="s">
        <v>28</v>
      </c>
      <c r="E276" s="16">
        <v>2</v>
      </c>
      <c r="F276" s="28">
        <v>3.4020000000000001</v>
      </c>
      <c r="G276" s="29">
        <v>0</v>
      </c>
    </row>
    <row r="277" spans="1:14">
      <c r="A277" s="16">
        <v>16</v>
      </c>
      <c r="B277" s="74">
        <v>40591</v>
      </c>
      <c r="C277" s="16">
        <v>2011</v>
      </c>
      <c r="D277" s="11" t="s">
        <v>28</v>
      </c>
      <c r="E277" s="16">
        <v>2</v>
      </c>
      <c r="F277" s="28">
        <v>3.0339999999999998</v>
      </c>
      <c r="G277" s="29">
        <v>0</v>
      </c>
      <c r="I277" s="29">
        <f>AVERAGE(F276:F277)</f>
        <v>3.218</v>
      </c>
      <c r="J277" s="29">
        <f>AVERAGE(G276:G277)</f>
        <v>0</v>
      </c>
      <c r="L277">
        <v>0</v>
      </c>
      <c r="M277">
        <f>+(L277-$L$619)/$L$620</f>
        <v>-0.40884531980103711</v>
      </c>
      <c r="N277">
        <f>+N275+M277</f>
        <v>14.270892525964463</v>
      </c>
    </row>
    <row r="278" spans="1:14">
      <c r="A278" s="16">
        <v>2</v>
      </c>
      <c r="B278" s="74">
        <v>40619</v>
      </c>
      <c r="C278" s="16">
        <v>2011</v>
      </c>
      <c r="D278" s="11" t="s">
        <v>29</v>
      </c>
      <c r="E278" s="16">
        <v>3</v>
      </c>
      <c r="F278" s="28">
        <v>8.7029999999999994</v>
      </c>
      <c r="G278" s="29">
        <v>0</v>
      </c>
    </row>
    <row r="279" spans="1:14">
      <c r="A279" s="16">
        <v>16</v>
      </c>
      <c r="B279" s="74">
        <v>40619</v>
      </c>
      <c r="C279" s="16">
        <v>2011</v>
      </c>
      <c r="D279" s="11" t="s">
        <v>29</v>
      </c>
      <c r="E279" s="16">
        <v>3</v>
      </c>
      <c r="F279" s="28">
        <v>2.177</v>
      </c>
      <c r="G279" s="29">
        <v>0</v>
      </c>
      <c r="I279" s="29">
        <f>AVERAGE(F278:F279)</f>
        <v>5.4399999999999995</v>
      </c>
      <c r="J279" s="29">
        <f>AVERAGE(G278:G279)</f>
        <v>0</v>
      </c>
      <c r="L279">
        <v>0</v>
      </c>
      <c r="M279">
        <f>+(L279-$L$619)/$L$620</f>
        <v>-0.40884531980103711</v>
      </c>
      <c r="N279">
        <f>+N277+M279</f>
        <v>13.862047206163426</v>
      </c>
    </row>
    <row r="280" spans="1:14">
      <c r="A280" s="16">
        <v>2</v>
      </c>
      <c r="B280" s="74">
        <v>40646</v>
      </c>
      <c r="C280" s="16">
        <v>2011</v>
      </c>
      <c r="D280" s="11" t="s">
        <v>30</v>
      </c>
      <c r="E280" s="16">
        <v>4</v>
      </c>
      <c r="F280" s="28">
        <v>2.101</v>
      </c>
      <c r="G280" s="29">
        <v>0</v>
      </c>
    </row>
    <row r="281" spans="1:14">
      <c r="A281" s="16">
        <v>16</v>
      </c>
      <c r="B281" s="74">
        <v>40646</v>
      </c>
      <c r="C281" s="16">
        <v>2011</v>
      </c>
      <c r="D281" s="11" t="s">
        <v>30</v>
      </c>
      <c r="E281" s="16">
        <v>4</v>
      </c>
      <c r="F281" s="28">
        <v>1.5069999999999999</v>
      </c>
      <c r="G281" s="29">
        <v>0</v>
      </c>
      <c r="I281" s="29">
        <f>AVERAGE(F280:F281)</f>
        <v>1.8039999999999998</v>
      </c>
      <c r="J281" s="29">
        <f>AVERAGE(G280:G281)</f>
        <v>0</v>
      </c>
      <c r="L281">
        <v>0</v>
      </c>
      <c r="M281">
        <f>+(L281-$L$619)/$L$620</f>
        <v>-0.40884531980103711</v>
      </c>
      <c r="N281">
        <f>+N279+M281</f>
        <v>13.45320188636239</v>
      </c>
    </row>
    <row r="282" spans="1:14">
      <c r="A282" s="16">
        <v>2</v>
      </c>
      <c r="B282" s="74">
        <v>40681</v>
      </c>
      <c r="C282" s="16">
        <v>2011</v>
      </c>
      <c r="D282" s="11" t="s">
        <v>31</v>
      </c>
      <c r="E282" s="16">
        <v>5</v>
      </c>
      <c r="F282" s="28">
        <v>4.0069999999999997</v>
      </c>
      <c r="G282" s="29">
        <v>0</v>
      </c>
    </row>
    <row r="283" spans="1:14">
      <c r="A283" s="16">
        <v>16</v>
      </c>
      <c r="B283" s="74">
        <v>40681</v>
      </c>
      <c r="C283" s="16">
        <v>2011</v>
      </c>
      <c r="D283" s="11" t="s">
        <v>31</v>
      </c>
      <c r="E283" s="16">
        <v>5</v>
      </c>
      <c r="F283" s="28">
        <v>4.7830000000000004</v>
      </c>
      <c r="G283" s="29">
        <v>0.14697512499999998</v>
      </c>
      <c r="I283" s="29">
        <f>AVERAGE(F282:F283)</f>
        <v>4.3949999999999996</v>
      </c>
      <c r="J283" s="29">
        <f>AVERAGE(G282:G283)</f>
        <v>7.3487562499999992E-2</v>
      </c>
      <c r="L283">
        <v>1.6720719567690556E-2</v>
      </c>
      <c r="M283">
        <f>+(L283-$L$619)/$L$620</f>
        <v>7.9142101401225295E-2</v>
      </c>
      <c r="N283">
        <f>+N281+M283</f>
        <v>13.532343987763616</v>
      </c>
    </row>
    <row r="284" spans="1:14">
      <c r="A284" s="16">
        <v>2</v>
      </c>
      <c r="B284" s="74">
        <v>40708</v>
      </c>
      <c r="C284" s="16">
        <v>2011</v>
      </c>
      <c r="D284" s="11" t="s">
        <v>32</v>
      </c>
      <c r="E284" s="16">
        <v>6</v>
      </c>
      <c r="F284" s="28">
        <v>10.315</v>
      </c>
      <c r="G284" s="29">
        <v>0</v>
      </c>
    </row>
    <row r="285" spans="1:14">
      <c r="A285" s="16">
        <v>16</v>
      </c>
      <c r="B285" s="74">
        <v>40708</v>
      </c>
      <c r="C285" s="16">
        <v>2011</v>
      </c>
      <c r="D285" s="11" t="s">
        <v>32</v>
      </c>
      <c r="E285" s="16">
        <v>6</v>
      </c>
      <c r="F285" s="28">
        <v>9.5670000000000002</v>
      </c>
      <c r="G285" s="29">
        <v>0</v>
      </c>
      <c r="I285" s="29">
        <f>AVERAGE(F284:F285)</f>
        <v>9.9409999999999989</v>
      </c>
      <c r="J285" s="29">
        <f>AVERAGE(G284:G285)</f>
        <v>0</v>
      </c>
      <c r="L285">
        <v>0</v>
      </c>
      <c r="M285">
        <f>+(L285-$L$619)/$L$620</f>
        <v>-0.40884531980103711</v>
      </c>
      <c r="N285">
        <f>+N283+M285</f>
        <v>13.123498667962579</v>
      </c>
    </row>
    <row r="286" spans="1:14">
      <c r="A286" s="16">
        <v>2</v>
      </c>
      <c r="B286" s="74">
        <v>40735</v>
      </c>
      <c r="C286" s="16">
        <v>2011</v>
      </c>
      <c r="D286" s="11" t="s">
        <v>33</v>
      </c>
      <c r="E286" s="16">
        <v>7</v>
      </c>
      <c r="F286" s="28">
        <v>3.8050000000000002</v>
      </c>
      <c r="G286" s="29">
        <v>0</v>
      </c>
    </row>
    <row r="287" spans="1:14">
      <c r="A287" s="16">
        <v>16</v>
      </c>
      <c r="B287" s="74">
        <v>40735</v>
      </c>
      <c r="C287" s="16">
        <v>2011</v>
      </c>
      <c r="D287" s="11" t="s">
        <v>33</v>
      </c>
      <c r="E287" s="16">
        <v>7</v>
      </c>
      <c r="F287" s="28">
        <v>6.7519999999999998</v>
      </c>
      <c r="G287" s="29">
        <v>0</v>
      </c>
      <c r="I287" s="29">
        <f>AVERAGE(F286:F287)</f>
        <v>5.2785000000000002</v>
      </c>
      <c r="J287" s="29">
        <f>AVERAGE(G286:G287)</f>
        <v>0</v>
      </c>
      <c r="L287">
        <v>0</v>
      </c>
      <c r="M287">
        <f>+(L287-$L$619)/$L$620</f>
        <v>-0.40884531980103711</v>
      </c>
      <c r="N287">
        <f>+N285+M287</f>
        <v>12.714653348161542</v>
      </c>
    </row>
    <row r="288" spans="1:14">
      <c r="A288" s="16">
        <v>2</v>
      </c>
      <c r="B288" s="74">
        <v>40771</v>
      </c>
      <c r="C288" s="16">
        <v>2011</v>
      </c>
      <c r="D288" s="11" t="s">
        <v>34</v>
      </c>
      <c r="E288" s="16">
        <v>8</v>
      </c>
      <c r="F288" s="28">
        <v>15.933999999999999</v>
      </c>
      <c r="G288" s="29">
        <v>0</v>
      </c>
    </row>
    <row r="289" spans="1:14">
      <c r="A289" s="16">
        <v>16</v>
      </c>
      <c r="B289" s="74">
        <v>40771</v>
      </c>
      <c r="C289" s="16">
        <v>2011</v>
      </c>
      <c r="D289" s="11" t="s">
        <v>34</v>
      </c>
      <c r="E289" s="16">
        <v>8</v>
      </c>
      <c r="F289" s="28">
        <v>12.702</v>
      </c>
      <c r="G289" s="29">
        <v>0</v>
      </c>
      <c r="I289" s="29">
        <f>AVERAGE(F288:F289)</f>
        <v>14.318</v>
      </c>
      <c r="J289" s="29">
        <f>AVERAGE(G288:G289)</f>
        <v>0</v>
      </c>
      <c r="L289">
        <v>0</v>
      </c>
      <c r="M289">
        <f>+(L289-$L$619)/$L$620</f>
        <v>-0.40884531980103711</v>
      </c>
      <c r="N289">
        <f>+N287+M289</f>
        <v>12.305808028360506</v>
      </c>
    </row>
    <row r="290" spans="1:14">
      <c r="A290" s="16">
        <v>2</v>
      </c>
      <c r="B290" s="74">
        <v>40799</v>
      </c>
      <c r="C290" s="16">
        <v>2011</v>
      </c>
      <c r="D290" s="11" t="s">
        <v>40</v>
      </c>
      <c r="E290" s="16">
        <v>9</v>
      </c>
      <c r="F290" s="28">
        <v>11.798999999999999</v>
      </c>
      <c r="G290" s="29">
        <v>0</v>
      </c>
    </row>
    <row r="291" spans="1:14">
      <c r="A291" s="16">
        <v>16</v>
      </c>
      <c r="B291" s="74">
        <v>40799</v>
      </c>
      <c r="C291" s="16">
        <v>2011</v>
      </c>
      <c r="D291" s="11" t="s">
        <v>40</v>
      </c>
      <c r="E291" s="16">
        <v>9</v>
      </c>
      <c r="F291" s="28">
        <v>9.0269999999999992</v>
      </c>
      <c r="G291" s="29">
        <v>0</v>
      </c>
      <c r="I291" s="29">
        <f>AVERAGE(F290:F291)</f>
        <v>10.413</v>
      </c>
      <c r="J291" s="29">
        <f>AVERAGE(G290:G291)</f>
        <v>0</v>
      </c>
      <c r="L291">
        <v>0</v>
      </c>
      <c r="M291">
        <f>+(L291-$L$619)/$L$620</f>
        <v>-0.40884531980103711</v>
      </c>
      <c r="N291">
        <f>+N289+M291</f>
        <v>11.896962708559469</v>
      </c>
    </row>
    <row r="292" spans="1:14">
      <c r="A292" s="16">
        <v>2</v>
      </c>
      <c r="B292" s="74">
        <v>40827</v>
      </c>
      <c r="C292" s="16">
        <v>2011</v>
      </c>
      <c r="D292" s="11" t="s">
        <v>36</v>
      </c>
      <c r="E292" s="16">
        <v>10</v>
      </c>
      <c r="F292" s="30">
        <v>8.0350000000000001</v>
      </c>
      <c r="G292" s="29">
        <v>0</v>
      </c>
    </row>
    <row r="293" spans="1:14">
      <c r="A293" s="16">
        <v>16</v>
      </c>
      <c r="B293" s="74">
        <v>40827</v>
      </c>
      <c r="C293" s="16">
        <v>2011</v>
      </c>
      <c r="D293" s="11" t="s">
        <v>36</v>
      </c>
      <c r="E293" s="16">
        <v>10</v>
      </c>
      <c r="F293" s="30">
        <v>3.6949999999999998</v>
      </c>
      <c r="G293" s="29">
        <v>0</v>
      </c>
      <c r="I293" s="29">
        <f>AVERAGE(F292:F293)</f>
        <v>5.8650000000000002</v>
      </c>
      <c r="J293" s="29">
        <f>AVERAGE(G292:G293)</f>
        <v>0</v>
      </c>
      <c r="L293">
        <v>0</v>
      </c>
      <c r="M293">
        <f>+(L293-$L$619)/$L$620</f>
        <v>-0.40884531980103711</v>
      </c>
      <c r="N293">
        <f>+N291+M293</f>
        <v>11.488117388758432</v>
      </c>
    </row>
    <row r="294" spans="1:14">
      <c r="A294" s="16">
        <v>2</v>
      </c>
      <c r="B294" s="75">
        <v>40862</v>
      </c>
      <c r="C294" s="16">
        <v>2011</v>
      </c>
      <c r="D294" s="11" t="s">
        <v>37</v>
      </c>
      <c r="E294" s="16">
        <v>11</v>
      </c>
      <c r="F294" s="30">
        <v>3.5640000000000001</v>
      </c>
      <c r="G294" s="29">
        <v>0</v>
      </c>
    </row>
    <row r="295" spans="1:14">
      <c r="A295" s="16">
        <v>16</v>
      </c>
      <c r="B295" s="75">
        <v>40862</v>
      </c>
      <c r="C295" s="16">
        <v>2011</v>
      </c>
      <c r="D295" s="11" t="s">
        <v>37</v>
      </c>
      <c r="E295" s="16">
        <v>11</v>
      </c>
      <c r="F295" s="30">
        <v>2.222</v>
      </c>
      <c r="G295" s="29">
        <v>0</v>
      </c>
      <c r="I295" s="29">
        <f>AVERAGE(F294:F295)</f>
        <v>2.8929999999999998</v>
      </c>
      <c r="J295" s="29">
        <f>AVERAGE(G294:G295)</f>
        <v>0</v>
      </c>
      <c r="L295">
        <v>0</v>
      </c>
      <c r="M295">
        <f>+(L295-$L$619)/$L$620</f>
        <v>-0.40884531980103711</v>
      </c>
      <c r="N295">
        <f>+N293+M295</f>
        <v>11.079272068957396</v>
      </c>
    </row>
    <row r="296" spans="1:14">
      <c r="A296" s="16">
        <v>2</v>
      </c>
      <c r="B296" s="75">
        <v>40891</v>
      </c>
      <c r="C296" s="16">
        <v>2011</v>
      </c>
      <c r="D296" s="11" t="s">
        <v>38</v>
      </c>
      <c r="E296" s="16">
        <v>12</v>
      </c>
      <c r="F296" s="30">
        <v>1.893</v>
      </c>
      <c r="G296" s="29">
        <v>0</v>
      </c>
    </row>
    <row r="297" spans="1:14">
      <c r="A297" s="16">
        <v>16</v>
      </c>
      <c r="B297" s="75">
        <v>40890</v>
      </c>
      <c r="C297" s="16">
        <v>2011</v>
      </c>
      <c r="D297" s="11" t="s">
        <v>38</v>
      </c>
      <c r="E297" s="16">
        <v>12</v>
      </c>
      <c r="F297" s="30">
        <v>0.53800000000000003</v>
      </c>
      <c r="G297" s="29">
        <v>0</v>
      </c>
      <c r="I297" s="29"/>
      <c r="J297" s="29"/>
    </row>
    <row r="298" spans="1:14">
      <c r="A298" s="16">
        <v>16</v>
      </c>
      <c r="B298" s="75">
        <v>40890</v>
      </c>
      <c r="C298" s="16">
        <v>2011</v>
      </c>
      <c r="D298" s="11" t="s">
        <v>38</v>
      </c>
      <c r="E298" s="16">
        <v>12</v>
      </c>
      <c r="F298" s="30">
        <v>0.53800000000000003</v>
      </c>
      <c r="G298" s="29">
        <v>0</v>
      </c>
      <c r="H298" t="s">
        <v>41</v>
      </c>
      <c r="I298" s="29">
        <f>AVERAGE(F296:F298)</f>
        <v>0.98966666666666681</v>
      </c>
      <c r="J298" s="29">
        <f>AVERAGE(G296:G298)</f>
        <v>0</v>
      </c>
      <c r="L298">
        <v>0</v>
      </c>
      <c r="M298">
        <f>+(L298-$L$619)/$L$620</f>
        <v>-0.40884531980103711</v>
      </c>
      <c r="N298">
        <f>+N295+M298</f>
        <v>10.670426749156359</v>
      </c>
    </row>
    <row r="299" spans="1:14">
      <c r="A299" s="16">
        <v>2</v>
      </c>
      <c r="B299" s="74">
        <v>40917</v>
      </c>
      <c r="C299" s="16">
        <v>2012</v>
      </c>
      <c r="D299" s="11" t="s">
        <v>39</v>
      </c>
      <c r="E299" s="16">
        <v>1</v>
      </c>
      <c r="F299" s="32">
        <v>2.3969999999999998</v>
      </c>
      <c r="G299" s="29">
        <v>0</v>
      </c>
      <c r="I299" s="29"/>
      <c r="J299" s="29"/>
    </row>
    <row r="300" spans="1:14">
      <c r="A300" s="16">
        <v>16</v>
      </c>
      <c r="B300" s="74">
        <v>40917</v>
      </c>
      <c r="C300" s="16">
        <v>2012</v>
      </c>
      <c r="D300" s="11" t="s">
        <v>39</v>
      </c>
      <c r="E300" s="16">
        <v>1</v>
      </c>
      <c r="F300" s="32">
        <v>1.5760000000000001</v>
      </c>
      <c r="G300" s="29">
        <v>0</v>
      </c>
      <c r="I300" s="29">
        <f>AVERAGE(F299:F300)</f>
        <v>1.9864999999999999</v>
      </c>
      <c r="J300" s="29">
        <f>AVERAGE(G299:G300)</f>
        <v>0</v>
      </c>
      <c r="L300">
        <v>0</v>
      </c>
      <c r="M300">
        <f>+(L300-$L$619)/$L$620</f>
        <v>-0.40884531980103711</v>
      </c>
      <c r="N300">
        <f>+N298+M300</f>
        <v>10.261581429355322</v>
      </c>
    </row>
    <row r="301" spans="1:14">
      <c r="A301" s="16">
        <v>2</v>
      </c>
      <c r="B301" s="74">
        <v>40962</v>
      </c>
      <c r="C301" s="16">
        <v>2012</v>
      </c>
      <c r="D301" s="11" t="s">
        <v>28</v>
      </c>
      <c r="E301" s="16">
        <v>2</v>
      </c>
      <c r="F301" s="32">
        <v>2.3370000000000002</v>
      </c>
      <c r="G301" s="29">
        <v>0</v>
      </c>
    </row>
    <row r="302" spans="1:14">
      <c r="A302" s="16">
        <v>16</v>
      </c>
      <c r="B302" s="74">
        <v>40962</v>
      </c>
      <c r="C302" s="16">
        <v>2012</v>
      </c>
      <c r="D302" s="11" t="s">
        <v>28</v>
      </c>
      <c r="E302" s="16">
        <v>2</v>
      </c>
      <c r="F302" s="32">
        <v>2.4569999999999999</v>
      </c>
      <c r="G302" s="29">
        <v>0</v>
      </c>
      <c r="I302" s="29">
        <f>AVERAGE(F301:F302)</f>
        <v>2.3970000000000002</v>
      </c>
      <c r="J302" s="29">
        <f>AVERAGE(G301:G302)</f>
        <v>0</v>
      </c>
      <c r="L302">
        <v>0</v>
      </c>
      <c r="M302">
        <f>+(L302-$L$619)/$L$620</f>
        <v>-0.40884531980103711</v>
      </c>
      <c r="N302">
        <f>+N300+M302</f>
        <v>9.8527361095542858</v>
      </c>
    </row>
    <row r="303" spans="1:14">
      <c r="A303" s="16">
        <v>2</v>
      </c>
      <c r="B303" s="74">
        <v>40980</v>
      </c>
      <c r="C303" s="16">
        <v>2012</v>
      </c>
      <c r="D303" s="11" t="s">
        <v>29</v>
      </c>
      <c r="E303" s="16">
        <v>3</v>
      </c>
      <c r="F303" s="32">
        <v>2.5830000000000002</v>
      </c>
      <c r="G303" s="29">
        <v>3.5522625000000002E-2</v>
      </c>
    </row>
    <row r="304" spans="1:14">
      <c r="A304" s="16">
        <v>16</v>
      </c>
      <c r="B304" s="74">
        <v>40980</v>
      </c>
      <c r="C304" s="16">
        <v>2012</v>
      </c>
      <c r="D304" s="11" t="s">
        <v>29</v>
      </c>
      <c r="E304" s="16">
        <v>3</v>
      </c>
      <c r="F304" s="32">
        <v>2.71</v>
      </c>
      <c r="G304" s="29">
        <v>7.1598124999999999E-2</v>
      </c>
    </row>
    <row r="305" spans="1:14">
      <c r="A305" s="16">
        <v>16</v>
      </c>
      <c r="B305" s="74">
        <v>40980</v>
      </c>
      <c r="C305" s="16">
        <v>2012</v>
      </c>
      <c r="D305" s="11" t="s">
        <v>29</v>
      </c>
      <c r="E305" s="16">
        <v>3</v>
      </c>
      <c r="F305" s="32">
        <v>2.71</v>
      </c>
      <c r="G305" s="29">
        <v>6.7663374999999984E-2</v>
      </c>
      <c r="H305" t="s">
        <v>41</v>
      </c>
      <c r="I305" s="29">
        <f>AVERAGE(F303:F305)</f>
        <v>2.6676666666666669</v>
      </c>
      <c r="J305" s="29">
        <f>AVERAGE(G303:G305)</f>
        <v>5.8261374999999997E-2</v>
      </c>
      <c r="L305">
        <v>2.1839825690366112E-2</v>
      </c>
      <c r="M305">
        <f>+(L305-$L$619)/$L$620</f>
        <v>0.22854113806063775</v>
      </c>
      <c r="N305">
        <f>+N302+M305</f>
        <v>10.081277247614924</v>
      </c>
    </row>
    <row r="306" spans="1:14">
      <c r="A306" s="16">
        <v>2</v>
      </c>
      <c r="B306" s="74">
        <v>41015</v>
      </c>
      <c r="C306" s="16">
        <v>2012</v>
      </c>
      <c r="D306" s="11" t="s">
        <v>30</v>
      </c>
      <c r="E306" s="16">
        <v>4</v>
      </c>
      <c r="F306" s="28">
        <v>2.3580000000000001</v>
      </c>
      <c r="G306" s="29">
        <v>5.3953249999999994E-2</v>
      </c>
    </row>
    <row r="307" spans="1:14">
      <c r="A307" s="16">
        <v>16</v>
      </c>
      <c r="B307" s="74">
        <v>41015</v>
      </c>
      <c r="C307" s="16">
        <v>2012</v>
      </c>
      <c r="D307" s="11" t="s">
        <v>30</v>
      </c>
      <c r="E307" s="16">
        <v>4</v>
      </c>
      <c r="F307" s="28">
        <v>1.37</v>
      </c>
      <c r="G307" s="29">
        <v>0</v>
      </c>
      <c r="I307" s="29">
        <f>AVERAGE(F306:F307)</f>
        <v>1.8640000000000001</v>
      </c>
      <c r="J307" s="29">
        <f>AVERAGE(G306:G307)</f>
        <v>2.6976624999999997E-2</v>
      </c>
      <c r="L307">
        <v>1.4472438304721027E-2</v>
      </c>
      <c r="M307">
        <f>+(L307-$L$619)/$L$620</f>
        <v>1.3526924302396603E-2</v>
      </c>
      <c r="N307">
        <f>+N305+M307</f>
        <v>10.094804171917321</v>
      </c>
    </row>
    <row r="308" spans="1:14">
      <c r="A308" s="16">
        <v>2</v>
      </c>
      <c r="B308" s="74">
        <v>41045</v>
      </c>
      <c r="C308" s="16">
        <v>2012</v>
      </c>
      <c r="D308" s="11" t="s">
        <v>31</v>
      </c>
      <c r="E308" s="16">
        <v>5</v>
      </c>
      <c r="F308" s="28">
        <v>4.6139999999999999</v>
      </c>
      <c r="G308" s="29">
        <v>0.16606649999999995</v>
      </c>
    </row>
    <row r="309" spans="1:14">
      <c r="A309" s="16">
        <v>16</v>
      </c>
      <c r="B309" s="74">
        <v>41045</v>
      </c>
      <c r="C309" s="16">
        <v>2012</v>
      </c>
      <c r="D309" s="11" t="s">
        <v>31</v>
      </c>
      <c r="E309" s="16">
        <v>5</v>
      </c>
      <c r="F309" s="28">
        <v>3.7370000000000001</v>
      </c>
      <c r="G309" s="29">
        <v>0</v>
      </c>
      <c r="I309" s="29">
        <f>AVERAGE(F308:F309)</f>
        <v>4.1754999999999995</v>
      </c>
      <c r="J309" s="29">
        <f>AVERAGE(G308:G309)</f>
        <v>8.3033249999999975E-2</v>
      </c>
      <c r="L309">
        <v>1.9885822057238649E-2</v>
      </c>
      <c r="M309">
        <f>+(L309-$L$619)/$L$620</f>
        <v>0.17151433427450008</v>
      </c>
      <c r="N309">
        <f>+N307+M309</f>
        <v>10.266318506191821</v>
      </c>
    </row>
    <row r="310" spans="1:14">
      <c r="A310" s="16">
        <v>2</v>
      </c>
      <c r="B310" s="74">
        <v>41073</v>
      </c>
      <c r="C310" s="16">
        <v>2012</v>
      </c>
      <c r="D310" s="11" t="s">
        <v>32</v>
      </c>
      <c r="E310" s="16">
        <v>6</v>
      </c>
      <c r="F310" s="28">
        <v>9.9949999999999992</v>
      </c>
      <c r="G310" s="29">
        <v>9.5793875000000001E-2</v>
      </c>
    </row>
    <row r="311" spans="1:14">
      <c r="A311" s="16">
        <v>16</v>
      </c>
      <c r="B311" s="74">
        <v>41073</v>
      </c>
      <c r="C311" s="16">
        <v>2012</v>
      </c>
      <c r="D311" s="11" t="s">
        <v>32</v>
      </c>
      <c r="E311" s="16">
        <v>6</v>
      </c>
      <c r="F311" s="28">
        <v>12.074999999999999</v>
      </c>
      <c r="G311" s="29">
        <v>7.0132E-2</v>
      </c>
      <c r="I311" s="29">
        <f>AVERAGE(F310:F312)</f>
        <v>10.615</v>
      </c>
      <c r="J311" s="29">
        <f>AVERAGE(G310:G312)</f>
        <v>5.5308625E-2</v>
      </c>
      <c r="L311">
        <v>5.2104215732454075E-3</v>
      </c>
      <c r="M311">
        <f>+(L311-$L$619)/$L$620</f>
        <v>-0.25678127874040202</v>
      </c>
      <c r="N311">
        <f>+N309+M311</f>
        <v>10.009537227451419</v>
      </c>
    </row>
    <row r="312" spans="1:14">
      <c r="A312" s="16">
        <v>2</v>
      </c>
      <c r="B312" s="74">
        <v>41107</v>
      </c>
      <c r="C312" s="16">
        <v>2012</v>
      </c>
      <c r="D312" s="11" t="s">
        <v>33</v>
      </c>
      <c r="E312" s="16">
        <v>7</v>
      </c>
      <c r="F312" s="28">
        <v>9.7750000000000004</v>
      </c>
      <c r="G312" s="29">
        <v>0</v>
      </c>
    </row>
    <row r="313" spans="1:14">
      <c r="A313" s="16">
        <v>2</v>
      </c>
      <c r="B313" s="74">
        <v>41107</v>
      </c>
      <c r="C313" s="16">
        <v>2012</v>
      </c>
      <c r="D313" s="11" t="s">
        <v>33</v>
      </c>
      <c r="E313" s="16">
        <v>7</v>
      </c>
      <c r="F313" s="28">
        <v>9.7750000000000004</v>
      </c>
      <c r="G313" s="29">
        <v>0</v>
      </c>
      <c r="H313" t="s">
        <v>41</v>
      </c>
    </row>
    <row r="314" spans="1:14">
      <c r="A314" s="16">
        <v>16</v>
      </c>
      <c r="B314" s="74">
        <v>41107</v>
      </c>
      <c r="C314" s="16">
        <v>2012</v>
      </c>
      <c r="D314" s="11" t="s">
        <v>33</v>
      </c>
      <c r="E314" s="16">
        <v>7</v>
      </c>
      <c r="F314" s="28">
        <v>6.5730000000000004</v>
      </c>
      <c r="G314" s="29">
        <v>0</v>
      </c>
      <c r="I314" s="29">
        <f>AVERAGE(F312:F314)</f>
        <v>8.7076666666666664</v>
      </c>
      <c r="J314" s="29">
        <f>AVERAGE(G312:G314)</f>
        <v>0</v>
      </c>
      <c r="L314">
        <v>0</v>
      </c>
      <c r="M314">
        <f>+(L314-$L$619)/$L$620</f>
        <v>-0.40884531980103711</v>
      </c>
      <c r="N314">
        <f>+N311+M314</f>
        <v>9.6006919076503827</v>
      </c>
    </row>
    <row r="315" spans="1:14">
      <c r="A315" s="16">
        <v>2</v>
      </c>
      <c r="B315" s="74">
        <v>41135</v>
      </c>
      <c r="C315" s="16">
        <v>2012</v>
      </c>
      <c r="D315" s="11" t="s">
        <v>34</v>
      </c>
      <c r="E315" s="16">
        <v>8</v>
      </c>
      <c r="F315" s="28">
        <v>14.991</v>
      </c>
      <c r="G315" s="29">
        <v>0</v>
      </c>
    </row>
    <row r="316" spans="1:14">
      <c r="A316" s="16">
        <v>2</v>
      </c>
      <c r="B316" s="74">
        <v>41135</v>
      </c>
      <c r="C316" s="16">
        <v>2012</v>
      </c>
      <c r="D316" s="11" t="s">
        <v>34</v>
      </c>
      <c r="E316" s="16">
        <v>8</v>
      </c>
      <c r="F316" s="28">
        <v>14.991</v>
      </c>
      <c r="G316" s="29">
        <v>0</v>
      </c>
      <c r="H316" t="s">
        <v>41</v>
      </c>
    </row>
    <row r="317" spans="1:14">
      <c r="A317" s="16">
        <v>16</v>
      </c>
      <c r="B317" s="74">
        <v>41135</v>
      </c>
      <c r="C317" s="16">
        <v>2012</v>
      </c>
      <c r="D317" s="11" t="s">
        <v>34</v>
      </c>
      <c r="E317" s="16">
        <v>8</v>
      </c>
      <c r="F317" s="28">
        <v>10.858000000000001</v>
      </c>
      <c r="G317" s="29">
        <v>0</v>
      </c>
      <c r="I317" s="29">
        <f>AVERAGE(F315:F317)</f>
        <v>13.613333333333335</v>
      </c>
      <c r="J317" s="29">
        <f>AVERAGE(G315:G317)</f>
        <v>0</v>
      </c>
      <c r="L317">
        <v>0</v>
      </c>
      <c r="M317">
        <f>+(L317-$L$619)/$L$620</f>
        <v>-0.40884531980103711</v>
      </c>
      <c r="N317">
        <f>+N314+M317</f>
        <v>9.1918465878493461</v>
      </c>
    </row>
    <row r="318" spans="1:14">
      <c r="A318" s="16">
        <v>2</v>
      </c>
      <c r="B318" s="74">
        <v>41164</v>
      </c>
      <c r="C318" s="16">
        <v>2012</v>
      </c>
      <c r="D318" s="11" t="s">
        <v>40</v>
      </c>
      <c r="E318" s="16">
        <v>9</v>
      </c>
      <c r="F318" s="28">
        <v>16.704000000000001</v>
      </c>
      <c r="G318" s="29">
        <v>0</v>
      </c>
    </row>
    <row r="319" spans="1:14">
      <c r="A319" s="16">
        <v>16</v>
      </c>
      <c r="B319" s="74">
        <v>41164</v>
      </c>
      <c r="C319" s="16">
        <v>2012</v>
      </c>
      <c r="D319" s="11" t="s">
        <v>40</v>
      </c>
      <c r="E319" s="16">
        <v>9</v>
      </c>
      <c r="F319" s="28">
        <v>8.1769999999999996</v>
      </c>
      <c r="G319" s="29">
        <v>0</v>
      </c>
      <c r="I319" s="29">
        <f>AVERAGE(F318:F319)</f>
        <v>12.4405</v>
      </c>
      <c r="J319" s="29">
        <f>AVERAGE(G318:G319)</f>
        <v>0</v>
      </c>
      <c r="L319">
        <v>0</v>
      </c>
      <c r="M319">
        <f>+(L319-$L$619)/$L$620</f>
        <v>-0.40884531980103711</v>
      </c>
      <c r="N319">
        <f>+N317+M319</f>
        <v>8.7830012680483094</v>
      </c>
    </row>
    <row r="320" spans="1:14">
      <c r="A320" s="16">
        <v>2</v>
      </c>
      <c r="B320" s="74">
        <v>41200</v>
      </c>
      <c r="C320" s="16">
        <v>2012</v>
      </c>
      <c r="D320" s="11" t="s">
        <v>36</v>
      </c>
      <c r="E320" s="16">
        <v>10</v>
      </c>
      <c r="F320" s="28">
        <v>2.794</v>
      </c>
      <c r="G320" s="29">
        <v>0</v>
      </c>
    </row>
    <row r="321" spans="1:14">
      <c r="A321" s="16">
        <v>16</v>
      </c>
      <c r="B321" s="74">
        <v>41200</v>
      </c>
      <c r="C321" s="16">
        <v>2012</v>
      </c>
      <c r="D321" s="11" t="s">
        <v>36</v>
      </c>
      <c r="E321" s="16">
        <v>10</v>
      </c>
      <c r="F321" s="28">
        <v>2.133</v>
      </c>
      <c r="G321" s="29">
        <v>0</v>
      </c>
      <c r="I321" s="29">
        <f>AVERAGE(F320:F321)</f>
        <v>2.4634999999999998</v>
      </c>
      <c r="J321" s="29">
        <f>AVERAGE(G320:G321)</f>
        <v>0</v>
      </c>
      <c r="L321">
        <v>0</v>
      </c>
      <c r="M321">
        <f>+(L321-$L$619)/$L$620</f>
        <v>-0.40884531980103711</v>
      </c>
      <c r="N321">
        <f>+N319+M321</f>
        <v>8.3741559482472727</v>
      </c>
    </row>
    <row r="322" spans="1:14">
      <c r="A322" s="16">
        <v>2</v>
      </c>
      <c r="B322" s="74">
        <v>41226</v>
      </c>
      <c r="C322" s="16">
        <v>2012</v>
      </c>
      <c r="D322" s="11" t="s">
        <v>37</v>
      </c>
      <c r="E322" s="16">
        <v>11</v>
      </c>
      <c r="F322" s="28">
        <v>2.4950000000000001</v>
      </c>
      <c r="G322" s="29">
        <v>0</v>
      </c>
    </row>
    <row r="323" spans="1:14">
      <c r="A323" s="16">
        <v>16</v>
      </c>
      <c r="B323" s="74">
        <v>41226</v>
      </c>
      <c r="C323" s="16">
        <v>2012</v>
      </c>
      <c r="D323" s="11" t="s">
        <v>37</v>
      </c>
      <c r="E323" s="16">
        <v>11</v>
      </c>
      <c r="F323" s="28">
        <v>2.496</v>
      </c>
      <c r="G323" s="29">
        <v>0</v>
      </c>
      <c r="I323" s="29">
        <f>AVERAGE(F322:F323)</f>
        <v>2.4954999999999998</v>
      </c>
      <c r="J323" s="29">
        <f>AVERAGE(G322:G323)</f>
        <v>0</v>
      </c>
      <c r="L323">
        <v>0</v>
      </c>
      <c r="M323">
        <f>+(L323-$L$619)/$L$620</f>
        <v>-0.40884531980103711</v>
      </c>
      <c r="N323">
        <f>+N321+M323</f>
        <v>7.9653106284462361</v>
      </c>
    </row>
    <row r="324" spans="1:14">
      <c r="A324" s="16">
        <v>2</v>
      </c>
      <c r="B324" s="74">
        <v>41254</v>
      </c>
      <c r="C324" s="16">
        <v>2012</v>
      </c>
      <c r="D324" s="11" t="s">
        <v>38</v>
      </c>
      <c r="E324" s="16">
        <v>12</v>
      </c>
      <c r="F324" s="28">
        <v>1.611</v>
      </c>
      <c r="G324" s="29">
        <v>0</v>
      </c>
    </row>
    <row r="325" spans="1:14">
      <c r="A325" s="16">
        <v>16</v>
      </c>
      <c r="B325" s="74">
        <v>41254</v>
      </c>
      <c r="C325" s="16">
        <v>2012</v>
      </c>
      <c r="D325" s="11" t="s">
        <v>38</v>
      </c>
      <c r="E325" s="16">
        <v>12</v>
      </c>
      <c r="F325" s="28">
        <v>0.92400000000000004</v>
      </c>
      <c r="G325" s="29">
        <v>0</v>
      </c>
      <c r="I325" s="29">
        <f>AVERAGE(F324:F325)</f>
        <v>1.2675000000000001</v>
      </c>
      <c r="J325" s="29">
        <f>AVERAGE(G324:G325)</f>
        <v>0</v>
      </c>
      <c r="L325">
        <v>0</v>
      </c>
      <c r="M325">
        <f>+(L325-$L$619)/$L$620</f>
        <v>-0.40884531980103711</v>
      </c>
      <c r="N325">
        <f>+N323+M325</f>
        <v>7.5564653086451994</v>
      </c>
    </row>
    <row r="326" spans="1:14">
      <c r="A326" s="16">
        <v>2</v>
      </c>
      <c r="B326" s="74">
        <v>41288</v>
      </c>
      <c r="C326" s="16">
        <v>2013</v>
      </c>
      <c r="D326" s="11" t="s">
        <v>39</v>
      </c>
      <c r="E326" s="16">
        <v>1</v>
      </c>
      <c r="F326" s="28">
        <v>2.032</v>
      </c>
      <c r="G326" s="29">
        <v>0</v>
      </c>
    </row>
    <row r="327" spans="1:14">
      <c r="A327" s="16">
        <v>16</v>
      </c>
      <c r="B327" s="74">
        <v>41288</v>
      </c>
      <c r="C327" s="16">
        <v>2013</v>
      </c>
      <c r="D327" s="11" t="s">
        <v>39</v>
      </c>
      <c r="E327" s="16">
        <v>1</v>
      </c>
      <c r="F327" s="28">
        <v>2.7450000000000001</v>
      </c>
      <c r="G327" s="29">
        <v>0</v>
      </c>
      <c r="I327" s="29">
        <f>AVERAGE(F327:F328)</f>
        <v>5.3710000000000004</v>
      </c>
      <c r="J327" s="29">
        <f>AVERAGE(G327:G328)</f>
        <v>4.2576250000000001E-3</v>
      </c>
      <c r="L327">
        <v>7.9270619996276294E-4</v>
      </c>
      <c r="M327">
        <f>+(L327-$L$619)/$L$620</f>
        <v>-0.38571051075619517</v>
      </c>
      <c r="N327">
        <f>+N325+M327</f>
        <v>7.1707547978890043</v>
      </c>
    </row>
    <row r="328" spans="1:14">
      <c r="A328" s="16">
        <v>2</v>
      </c>
      <c r="B328" s="74">
        <v>41318</v>
      </c>
      <c r="C328" s="16">
        <v>2013</v>
      </c>
      <c r="D328" s="11" t="s">
        <v>28</v>
      </c>
      <c r="E328" s="16">
        <v>2</v>
      </c>
      <c r="F328" s="33">
        <v>7.9969999999999999</v>
      </c>
      <c r="G328" s="29">
        <v>8.5152500000000002E-3</v>
      </c>
    </row>
    <row r="329" spans="1:14">
      <c r="A329" s="16">
        <v>16</v>
      </c>
      <c r="B329" s="74">
        <v>41318</v>
      </c>
      <c r="C329" s="16">
        <v>2013</v>
      </c>
      <c r="D329" s="11" t="s">
        <v>28</v>
      </c>
      <c r="E329" s="16">
        <v>2</v>
      </c>
      <c r="F329" s="33">
        <v>8.891</v>
      </c>
      <c r="G329" s="29">
        <v>0</v>
      </c>
      <c r="I329" s="29">
        <f>AVERAGE(F329:F330)</f>
        <v>7.3365</v>
      </c>
      <c r="J329" s="29">
        <f>AVERAGE(G329:G330)</f>
        <v>0</v>
      </c>
      <c r="L329">
        <v>0</v>
      </c>
      <c r="M329">
        <f>+(L329-$L$619)/$L$620</f>
        <v>-0.40884531980103711</v>
      </c>
      <c r="N329">
        <f>+N327+M329</f>
        <v>6.7619094780879667</v>
      </c>
    </row>
    <row r="330" spans="1:14">
      <c r="A330" s="16">
        <v>2</v>
      </c>
      <c r="B330" s="74">
        <v>41344</v>
      </c>
      <c r="C330" s="16">
        <v>2013</v>
      </c>
      <c r="D330" s="11" t="s">
        <v>29</v>
      </c>
      <c r="E330" s="16">
        <v>3</v>
      </c>
      <c r="F330" s="33">
        <v>5.782</v>
      </c>
      <c r="G330" s="29">
        <v>0</v>
      </c>
    </row>
    <row r="331" spans="1:14">
      <c r="A331" s="16">
        <v>16</v>
      </c>
      <c r="B331" s="74">
        <v>41344</v>
      </c>
      <c r="C331" s="16">
        <v>2013</v>
      </c>
      <c r="D331" s="11" t="s">
        <v>29</v>
      </c>
      <c r="E331" s="16">
        <v>3</v>
      </c>
      <c r="F331" s="33">
        <v>6.2729999999999997</v>
      </c>
      <c r="G331" s="29">
        <v>0</v>
      </c>
      <c r="I331" s="29">
        <f>AVERAGE(F331:F332)</f>
        <v>3.371</v>
      </c>
      <c r="J331" s="29">
        <f>AVERAGE(G331:G332)</f>
        <v>0</v>
      </c>
      <c r="L331">
        <v>0</v>
      </c>
      <c r="M331">
        <f>+(L331-$L$619)/$L$620</f>
        <v>-0.40884531980103711</v>
      </c>
      <c r="N331">
        <f>+N329+M331</f>
        <v>6.3530641582869301</v>
      </c>
    </row>
    <row r="332" spans="1:14">
      <c r="A332" s="16">
        <v>2</v>
      </c>
      <c r="B332" s="74">
        <v>41381</v>
      </c>
      <c r="C332" s="16">
        <v>2013</v>
      </c>
      <c r="D332" s="11" t="s">
        <v>30</v>
      </c>
      <c r="E332" s="16">
        <v>4</v>
      </c>
      <c r="F332" s="34">
        <v>0.46899999999999997</v>
      </c>
      <c r="G332" s="29">
        <v>0</v>
      </c>
    </row>
    <row r="333" spans="1:14">
      <c r="A333" s="16">
        <v>16</v>
      </c>
      <c r="B333" s="74">
        <v>41379</v>
      </c>
      <c r="C333" s="16">
        <v>2013</v>
      </c>
      <c r="D333" s="11" t="s">
        <v>30</v>
      </c>
      <c r="E333" s="16">
        <v>4</v>
      </c>
      <c r="F333" s="34">
        <v>0.188</v>
      </c>
      <c r="G333" s="29">
        <v>0</v>
      </c>
      <c r="I333" s="29">
        <f>AVERAGE(F333:F334)</f>
        <v>0.67199999999999993</v>
      </c>
      <c r="J333" s="29">
        <f>AVERAGE(G333:G334)</f>
        <v>0</v>
      </c>
      <c r="L333">
        <v>0</v>
      </c>
      <c r="M333">
        <f>+(L333-$L$619)/$L$620</f>
        <v>-0.40884531980103711</v>
      </c>
      <c r="N333">
        <f>+N331+M333</f>
        <v>5.9442188384858934</v>
      </c>
    </row>
    <row r="334" spans="1:14">
      <c r="A334" s="16">
        <v>2</v>
      </c>
      <c r="B334" s="74">
        <v>41408</v>
      </c>
      <c r="C334" s="16">
        <v>2013</v>
      </c>
      <c r="D334" s="11" t="s">
        <v>31</v>
      </c>
      <c r="E334" s="16">
        <v>5</v>
      </c>
      <c r="F334" s="34">
        <v>1.1559999999999999</v>
      </c>
      <c r="G334" s="29">
        <v>0</v>
      </c>
      <c r="I334" s="29"/>
      <c r="J334" s="29"/>
    </row>
    <row r="335" spans="1:14">
      <c r="A335" s="16">
        <v>16</v>
      </c>
      <c r="B335" s="74">
        <v>41408</v>
      </c>
      <c r="C335" s="16">
        <v>2013</v>
      </c>
      <c r="D335" s="11" t="s">
        <v>31</v>
      </c>
      <c r="E335" s="16">
        <v>5</v>
      </c>
      <c r="F335" s="34">
        <v>0.72499999999999998</v>
      </c>
      <c r="G335" s="29">
        <v>0</v>
      </c>
      <c r="I335" s="29">
        <f>AVERAGE(F334:F335)</f>
        <v>0.94049999999999989</v>
      </c>
      <c r="J335" s="29">
        <f>AVERAGE(G334:G335)</f>
        <v>0</v>
      </c>
      <c r="L335">
        <v>0</v>
      </c>
      <c r="M335">
        <f>+(L335-$L$619)/$L$620</f>
        <v>-0.40884531980103711</v>
      </c>
      <c r="N335">
        <f>+N333+M335</f>
        <v>5.5353735186848567</v>
      </c>
    </row>
    <row r="336" spans="1:14">
      <c r="A336" s="16">
        <v>2</v>
      </c>
      <c r="B336" s="74">
        <v>41436</v>
      </c>
      <c r="C336" s="16">
        <v>2013</v>
      </c>
      <c r="D336" s="11" t="s">
        <v>32</v>
      </c>
      <c r="E336" s="16">
        <v>6</v>
      </c>
      <c r="F336" s="34">
        <v>4.1029999999999998</v>
      </c>
      <c r="G336" s="29">
        <v>0</v>
      </c>
    </row>
    <row r="337" spans="1:14">
      <c r="A337" s="16">
        <v>16</v>
      </c>
      <c r="B337" s="74">
        <v>41437</v>
      </c>
      <c r="C337" s="16">
        <v>2013</v>
      </c>
      <c r="D337" s="11" t="s">
        <v>32</v>
      </c>
      <c r="E337" s="16">
        <v>6</v>
      </c>
      <c r="F337" s="34">
        <v>3.2080000000000002</v>
      </c>
      <c r="G337" s="29">
        <v>0</v>
      </c>
      <c r="I337" s="29">
        <f>AVERAGE(F336:F337)</f>
        <v>3.6555</v>
      </c>
      <c r="J337" s="29">
        <f>AVERAGE(G336:G337)</f>
        <v>0</v>
      </c>
      <c r="L337">
        <v>0</v>
      </c>
      <c r="M337">
        <f>+(L337-$L$619)/$L$620</f>
        <v>-0.40884531980103711</v>
      </c>
      <c r="N337">
        <f>+N335+M337</f>
        <v>5.1265281988838201</v>
      </c>
    </row>
    <row r="338" spans="1:14">
      <c r="A338" s="16">
        <v>2</v>
      </c>
      <c r="B338" s="74">
        <v>41471</v>
      </c>
      <c r="C338" s="16">
        <v>2013</v>
      </c>
      <c r="D338" s="11" t="s">
        <v>33</v>
      </c>
      <c r="E338" s="16">
        <v>7</v>
      </c>
      <c r="F338" s="34">
        <v>7.593</v>
      </c>
      <c r="G338" s="29">
        <v>0</v>
      </c>
    </row>
    <row r="339" spans="1:14">
      <c r="A339" s="16">
        <v>2</v>
      </c>
      <c r="B339" s="74">
        <v>41471</v>
      </c>
      <c r="C339" s="16">
        <v>2013</v>
      </c>
      <c r="D339" s="11" t="s">
        <v>33</v>
      </c>
      <c r="E339" s="16">
        <v>7</v>
      </c>
      <c r="F339" s="34">
        <v>7.593</v>
      </c>
      <c r="G339" s="29">
        <v>0</v>
      </c>
      <c r="H339" t="s">
        <v>41</v>
      </c>
    </row>
    <row r="340" spans="1:14">
      <c r="A340" s="16">
        <v>16</v>
      </c>
      <c r="B340" s="74">
        <v>41471</v>
      </c>
      <c r="C340" s="16">
        <v>2013</v>
      </c>
      <c r="D340" s="11" t="s">
        <v>33</v>
      </c>
      <c r="E340" s="16">
        <v>7</v>
      </c>
      <c r="F340" s="34">
        <v>10.65</v>
      </c>
      <c r="G340" s="29">
        <v>0</v>
      </c>
      <c r="I340" s="29">
        <f>AVERAGE(F338:F340)</f>
        <v>8.6120000000000001</v>
      </c>
      <c r="J340" s="29">
        <f>AVERAGE(G338:G340)</f>
        <v>0</v>
      </c>
      <c r="L340">
        <v>0</v>
      </c>
      <c r="M340">
        <f>+(L340-$L$619)/$L$620</f>
        <v>-0.40884531980103711</v>
      </c>
      <c r="N340">
        <f>+N337+M340</f>
        <v>4.7176828790827834</v>
      </c>
    </row>
    <row r="341" spans="1:14">
      <c r="A341" s="16">
        <v>2</v>
      </c>
      <c r="B341" s="74">
        <v>41499</v>
      </c>
      <c r="C341" s="16">
        <v>2013</v>
      </c>
      <c r="D341" s="11" t="s">
        <v>34</v>
      </c>
      <c r="E341" s="16">
        <v>8</v>
      </c>
      <c r="F341" s="34">
        <v>6.907</v>
      </c>
      <c r="G341" s="29">
        <v>0</v>
      </c>
    </row>
    <row r="342" spans="1:14">
      <c r="A342" s="16">
        <v>16</v>
      </c>
      <c r="B342" s="74">
        <v>41499</v>
      </c>
      <c r="C342" s="16">
        <v>2013</v>
      </c>
      <c r="D342" s="11" t="s">
        <v>34</v>
      </c>
      <c r="E342" s="16">
        <v>8</v>
      </c>
      <c r="F342" s="34">
        <v>5.8710000000000004</v>
      </c>
      <c r="G342" s="29">
        <v>0</v>
      </c>
      <c r="I342" s="29">
        <f>AVERAGE(F341:F342)</f>
        <v>6.3890000000000002</v>
      </c>
      <c r="J342" s="29">
        <f>AVERAGE(G341:G342)</f>
        <v>0</v>
      </c>
      <c r="L342">
        <v>0</v>
      </c>
      <c r="M342">
        <f>+(L342-$L$619)/$L$620</f>
        <v>-0.40884531980103711</v>
      </c>
      <c r="N342">
        <f>+N340+M342</f>
        <v>4.3088375592817467</v>
      </c>
    </row>
    <row r="343" spans="1:14">
      <c r="A343" s="16">
        <v>2</v>
      </c>
      <c r="B343" s="74">
        <v>41533</v>
      </c>
      <c r="C343" s="16">
        <v>2013</v>
      </c>
      <c r="D343" s="11" t="s">
        <v>40</v>
      </c>
      <c r="E343" s="16">
        <v>9</v>
      </c>
      <c r="F343" s="34">
        <v>4.5720000000000001</v>
      </c>
      <c r="G343" s="29">
        <v>0</v>
      </c>
    </row>
    <row r="344" spans="1:14">
      <c r="A344" s="16">
        <v>16</v>
      </c>
      <c r="B344" s="74">
        <v>41533</v>
      </c>
      <c r="C344" s="16">
        <v>2013</v>
      </c>
      <c r="D344" s="11" t="s">
        <v>40</v>
      </c>
      <c r="E344" s="16">
        <v>9</v>
      </c>
      <c r="F344" s="34">
        <v>3.3290000000000002</v>
      </c>
      <c r="G344" s="29">
        <v>0</v>
      </c>
      <c r="I344" s="29">
        <f>AVERAGE(F343:F344)</f>
        <v>3.9504999999999999</v>
      </c>
      <c r="J344" s="29">
        <f>AVERAGE(G343:G344)</f>
        <v>0</v>
      </c>
      <c r="L344">
        <v>0</v>
      </c>
      <c r="M344">
        <f>+(L344-$L$619)/$L$620</f>
        <v>-0.40884531980103711</v>
      </c>
      <c r="N344">
        <f>+N342+M344</f>
        <v>3.8999922394807096</v>
      </c>
    </row>
    <row r="345" spans="1:14">
      <c r="A345" s="16">
        <v>2</v>
      </c>
      <c r="B345" s="74">
        <v>41569</v>
      </c>
      <c r="C345" s="16">
        <v>2013</v>
      </c>
      <c r="D345" s="11" t="s">
        <v>36</v>
      </c>
      <c r="E345" s="16">
        <v>10</v>
      </c>
      <c r="F345" s="28">
        <v>1.8440000000000001</v>
      </c>
      <c r="G345" s="29">
        <v>0</v>
      </c>
    </row>
    <row r="346" spans="1:14">
      <c r="A346" s="16">
        <v>16</v>
      </c>
      <c r="B346" s="74">
        <v>41569</v>
      </c>
      <c r="C346" s="16">
        <v>2013</v>
      </c>
      <c r="D346" s="11" t="s">
        <v>36</v>
      </c>
      <c r="E346" s="16">
        <v>10</v>
      </c>
      <c r="F346" s="28">
        <v>1.95</v>
      </c>
      <c r="G346" s="29">
        <v>0</v>
      </c>
      <c r="I346" s="29">
        <f>AVERAGE(F345:F346)</f>
        <v>1.897</v>
      </c>
      <c r="J346" s="29">
        <f>AVERAGE(G345:G346)</f>
        <v>0</v>
      </c>
      <c r="L346">
        <v>0</v>
      </c>
      <c r="M346">
        <f>+(L346-$L$619)/$L$620</f>
        <v>-0.40884531980103711</v>
      </c>
      <c r="N346">
        <f>+N344+M346</f>
        <v>3.4911469196796725</v>
      </c>
    </row>
    <row r="347" spans="1:14">
      <c r="A347" s="16">
        <v>2</v>
      </c>
      <c r="B347" s="74">
        <v>41597</v>
      </c>
      <c r="C347" s="16">
        <v>2013</v>
      </c>
      <c r="D347" s="11" t="s">
        <v>37</v>
      </c>
      <c r="E347" s="16">
        <v>11</v>
      </c>
      <c r="F347" s="28">
        <v>0.54600000000000004</v>
      </c>
      <c r="G347" s="29">
        <v>0</v>
      </c>
    </row>
    <row r="348" spans="1:14">
      <c r="A348" s="16">
        <v>16</v>
      </c>
      <c r="B348" s="74">
        <v>41597</v>
      </c>
      <c r="C348" s="16">
        <v>2013</v>
      </c>
      <c r="D348" s="11" t="s">
        <v>37</v>
      </c>
      <c r="E348" s="16">
        <v>11</v>
      </c>
      <c r="F348" s="28">
        <v>0.90700000000000003</v>
      </c>
      <c r="G348" s="29">
        <v>0</v>
      </c>
      <c r="I348" s="29">
        <f>AVERAGE(F348:F349)</f>
        <v>1.6074999999999999</v>
      </c>
      <c r="J348" s="29">
        <f>AVERAGE(G348:G349)</f>
        <v>0</v>
      </c>
      <c r="L348">
        <v>0</v>
      </c>
      <c r="M348">
        <f>+(L348-$L$619)/$L$620</f>
        <v>-0.40884531980103711</v>
      </c>
      <c r="N348">
        <f>+N346+M348</f>
        <v>3.0823015998786354</v>
      </c>
    </row>
    <row r="349" spans="1:14">
      <c r="A349" s="16">
        <v>2</v>
      </c>
      <c r="B349" s="74">
        <v>41624</v>
      </c>
      <c r="C349" s="16">
        <v>2013</v>
      </c>
      <c r="D349" s="11" t="s">
        <v>38</v>
      </c>
      <c r="E349" s="16">
        <v>12</v>
      </c>
      <c r="F349" s="28">
        <v>2.3079999999999998</v>
      </c>
      <c r="G349" s="29">
        <v>0</v>
      </c>
    </row>
    <row r="350" spans="1:14">
      <c r="A350" s="16">
        <v>16</v>
      </c>
      <c r="B350" s="74">
        <v>41624</v>
      </c>
      <c r="C350" s="16">
        <v>2013</v>
      </c>
      <c r="D350" s="11" t="s">
        <v>38</v>
      </c>
      <c r="E350" s="16">
        <v>12</v>
      </c>
      <c r="F350" s="28">
        <v>2.0470000000000002</v>
      </c>
      <c r="G350" s="29">
        <v>0</v>
      </c>
      <c r="I350" s="29">
        <f>AVERAGE(F350:F351)</f>
        <v>2.1945000000000001</v>
      </c>
      <c r="J350" s="29">
        <f>AVERAGE(G350:G351)</f>
        <v>0</v>
      </c>
      <c r="L350">
        <v>0</v>
      </c>
      <c r="M350">
        <f>+(L350-$L$619)/$L$620</f>
        <v>-0.40884531980103711</v>
      </c>
      <c r="N350">
        <f>+N348+M350</f>
        <v>2.6734562800775983</v>
      </c>
    </row>
    <row r="351" spans="1:14">
      <c r="A351" s="16">
        <v>2</v>
      </c>
      <c r="B351" s="74">
        <v>41654</v>
      </c>
      <c r="C351" s="16">
        <v>2014</v>
      </c>
      <c r="D351" s="11" t="s">
        <v>39</v>
      </c>
      <c r="E351" s="16">
        <v>1</v>
      </c>
      <c r="F351" s="28">
        <v>2.3420000000000001</v>
      </c>
      <c r="G351" s="29">
        <v>0</v>
      </c>
    </row>
    <row r="352" spans="1:14">
      <c r="A352" s="16">
        <v>16</v>
      </c>
      <c r="B352" s="74">
        <v>41654</v>
      </c>
      <c r="C352" s="16">
        <v>2014</v>
      </c>
      <c r="D352" s="11" t="s">
        <v>39</v>
      </c>
      <c r="E352" s="16">
        <v>1</v>
      </c>
      <c r="F352" s="28">
        <v>2.7210000000000001</v>
      </c>
      <c r="G352" s="29">
        <v>0</v>
      </c>
      <c r="I352" s="29">
        <f>AVERAGE(F352:F353)</f>
        <v>3.4449999999999998</v>
      </c>
      <c r="J352" s="29">
        <f>AVERAGE(G352:G353)</f>
        <v>0</v>
      </c>
      <c r="L352">
        <v>0</v>
      </c>
      <c r="M352">
        <f>+(L352-$L$619)/$L$620</f>
        <v>-0.40884531980103711</v>
      </c>
      <c r="N352">
        <f>+N350+M352</f>
        <v>2.2646109602765612</v>
      </c>
    </row>
    <row r="353" spans="1:14">
      <c r="A353" s="16">
        <v>2</v>
      </c>
      <c r="B353" s="74">
        <v>41688</v>
      </c>
      <c r="C353" s="16">
        <v>2014</v>
      </c>
      <c r="D353" s="11" t="s">
        <v>28</v>
      </c>
      <c r="E353" s="16">
        <v>2</v>
      </c>
      <c r="F353" s="28">
        <v>4.1689999999999996</v>
      </c>
      <c r="G353" s="29">
        <v>0</v>
      </c>
    </row>
    <row r="354" spans="1:14">
      <c r="A354" s="16">
        <v>16</v>
      </c>
      <c r="B354" s="74">
        <v>41690</v>
      </c>
      <c r="C354" s="16">
        <v>2014</v>
      </c>
      <c r="D354" s="11" t="s">
        <v>28</v>
      </c>
      <c r="E354" s="16">
        <v>2</v>
      </c>
      <c r="F354" s="28">
        <v>4.2729999999999997</v>
      </c>
      <c r="G354" s="29">
        <v>0</v>
      </c>
      <c r="I354" s="29">
        <f>AVERAGE(F354:F355)</f>
        <v>2.8404999999999996</v>
      </c>
      <c r="J354" s="29">
        <f>AVERAGE(G354:G355)</f>
        <v>0</v>
      </c>
      <c r="L354">
        <v>0</v>
      </c>
      <c r="M354">
        <f>+(L354-$L$619)/$L$620</f>
        <v>-0.40884531980103711</v>
      </c>
      <c r="N354">
        <f>+N352+M354</f>
        <v>1.8557656404755241</v>
      </c>
    </row>
    <row r="355" spans="1:14">
      <c r="A355" s="16">
        <v>2</v>
      </c>
      <c r="B355" s="74">
        <v>41719</v>
      </c>
      <c r="C355" s="16">
        <v>2014</v>
      </c>
      <c r="D355" s="11" t="s">
        <v>29</v>
      </c>
      <c r="E355" s="16">
        <v>3</v>
      </c>
      <c r="F355" s="28">
        <v>1.4079999999999999</v>
      </c>
      <c r="G355" s="29">
        <v>0</v>
      </c>
    </row>
    <row r="356" spans="1:14">
      <c r="A356" s="16">
        <v>16</v>
      </c>
      <c r="B356" s="74">
        <v>41719</v>
      </c>
      <c r="C356" s="16">
        <v>2014</v>
      </c>
      <c r="D356" s="11" t="s">
        <v>29</v>
      </c>
      <c r="E356" s="16">
        <v>3</v>
      </c>
      <c r="F356" s="28">
        <v>1.734</v>
      </c>
      <c r="G356" s="29">
        <v>0</v>
      </c>
      <c r="I356" s="29">
        <f>AVERAGE(F356:F357)</f>
        <v>3.5005000000000002</v>
      </c>
      <c r="J356" s="29">
        <f>AVERAGE(G356:G357)</f>
        <v>3.8884437500000001E-2</v>
      </c>
      <c r="L356">
        <v>1.1108252392515354E-2</v>
      </c>
      <c r="M356">
        <f>+(L356-$L$619)/$L$620</f>
        <v>-8.46554775431822E-2</v>
      </c>
      <c r="N356">
        <f>+N354+M356</f>
        <v>1.7711101629323418</v>
      </c>
    </row>
    <row r="357" spans="1:14">
      <c r="A357" s="16">
        <v>2</v>
      </c>
      <c r="B357" s="74">
        <v>41747</v>
      </c>
      <c r="C357" s="16">
        <v>2014</v>
      </c>
      <c r="D357" s="11" t="s">
        <v>30</v>
      </c>
      <c r="E357" s="16">
        <v>4</v>
      </c>
      <c r="F357" s="35">
        <v>5.2670000000000003</v>
      </c>
      <c r="G357" s="29">
        <v>7.7768875000000001E-2</v>
      </c>
    </row>
    <row r="358" spans="1:14">
      <c r="A358" s="16">
        <v>16</v>
      </c>
      <c r="B358" s="74">
        <v>41747</v>
      </c>
      <c r="C358" s="16">
        <v>2014</v>
      </c>
      <c r="D358" s="11" t="s">
        <v>30</v>
      </c>
      <c r="E358" s="16">
        <v>4</v>
      </c>
      <c r="F358" s="35">
        <v>2.0419999999999998</v>
      </c>
      <c r="G358" s="29">
        <v>6.2575875000000003E-2</v>
      </c>
      <c r="I358" s="29">
        <f>AVERAGE(F358:F359)</f>
        <v>2.306</v>
      </c>
      <c r="J358" s="29">
        <f>AVERAGE(G358:G359)</f>
        <v>3.1287937500000002E-2</v>
      </c>
      <c r="L358">
        <v>1.356805615784909E-2</v>
      </c>
      <c r="M358">
        <f>+(L358-$L$619)/$L$620</f>
        <v>-1.2867101974210447E-2</v>
      </c>
      <c r="N358">
        <f>+N356+M358</f>
        <v>1.7582430609581314</v>
      </c>
    </row>
    <row r="359" spans="1:14">
      <c r="A359" s="16">
        <v>2</v>
      </c>
      <c r="B359" s="74">
        <v>41772</v>
      </c>
      <c r="C359" s="16">
        <v>2014</v>
      </c>
      <c r="D359" s="11" t="s">
        <v>31</v>
      </c>
      <c r="E359" s="16">
        <v>5</v>
      </c>
      <c r="F359" s="35">
        <v>2.57</v>
      </c>
      <c r="G359" s="29">
        <v>0</v>
      </c>
    </row>
    <row r="360" spans="1:14">
      <c r="A360" s="16">
        <v>16</v>
      </c>
      <c r="B360" s="74">
        <v>41772</v>
      </c>
      <c r="C360" s="16">
        <v>2014</v>
      </c>
      <c r="D360" s="11" t="s">
        <v>31</v>
      </c>
      <c r="E360" s="16">
        <v>5</v>
      </c>
      <c r="F360" s="35">
        <v>1.5649999999999999</v>
      </c>
      <c r="G360" s="29">
        <v>0</v>
      </c>
      <c r="I360" s="29">
        <f>AVERAGE(F360:F361)</f>
        <v>4.2640000000000002</v>
      </c>
      <c r="J360" s="29">
        <f>AVERAGE(G360:G361)</f>
        <v>0.17308006249999999</v>
      </c>
      <c r="L360">
        <v>4.0591009029080673E-2</v>
      </c>
      <c r="M360">
        <f>+(L360-$L$619)/$L$620</f>
        <v>0.7757868211729454</v>
      </c>
      <c r="N360">
        <f>+N358+M360</f>
        <v>2.5340298821310769</v>
      </c>
    </row>
    <row r="361" spans="1:14">
      <c r="A361" s="16">
        <v>2</v>
      </c>
      <c r="B361" s="74">
        <v>41808</v>
      </c>
      <c r="C361" s="16">
        <v>2014</v>
      </c>
      <c r="D361" s="11" t="s">
        <v>32</v>
      </c>
      <c r="E361" s="16">
        <v>6</v>
      </c>
      <c r="F361" s="35">
        <v>6.9630000000000001</v>
      </c>
      <c r="G361" s="29">
        <v>0.34616012499999999</v>
      </c>
    </row>
    <row r="362" spans="1:14">
      <c r="A362" s="16">
        <v>2</v>
      </c>
      <c r="B362" s="74">
        <v>41808</v>
      </c>
      <c r="C362" s="16">
        <v>2014</v>
      </c>
      <c r="D362" s="11" t="s">
        <v>32</v>
      </c>
      <c r="E362" s="16">
        <v>6</v>
      </c>
      <c r="F362" s="35">
        <v>6.9630000000000001</v>
      </c>
      <c r="G362" s="29">
        <v>0.33268849999999994</v>
      </c>
      <c r="H362" t="s">
        <v>41</v>
      </c>
    </row>
    <row r="363" spans="1:14">
      <c r="A363" s="16">
        <v>16</v>
      </c>
      <c r="B363" s="74">
        <v>41808</v>
      </c>
      <c r="C363" s="16">
        <v>2014</v>
      </c>
      <c r="D363" s="11" t="s">
        <v>32</v>
      </c>
      <c r="E363" s="16">
        <v>6</v>
      </c>
      <c r="F363" s="35">
        <v>7.84</v>
      </c>
      <c r="G363" s="29">
        <v>0.968249625</v>
      </c>
      <c r="I363" s="29">
        <f>AVERAGE(F361:F363)</f>
        <v>7.2553333333333327</v>
      </c>
      <c r="J363" s="29">
        <f>AVERAGE(G361:G363)</f>
        <v>0.54903274999999996</v>
      </c>
      <c r="L363">
        <v>7.5672987687218599E-2</v>
      </c>
      <c r="M363">
        <f>+(L363-$L$619)/$L$620</f>
        <v>1.7996401443958085</v>
      </c>
      <c r="N363">
        <f>+N360+M363</f>
        <v>4.3336700265268853</v>
      </c>
    </row>
    <row r="364" spans="1:14">
      <c r="A364" s="16">
        <v>2</v>
      </c>
      <c r="B364" s="74">
        <v>41834</v>
      </c>
      <c r="C364" s="16">
        <v>2014</v>
      </c>
      <c r="D364" s="11" t="s">
        <v>33</v>
      </c>
      <c r="E364" s="16">
        <v>7</v>
      </c>
      <c r="F364" s="35">
        <v>5.8369999999999997</v>
      </c>
      <c r="G364" s="29">
        <v>0</v>
      </c>
    </row>
    <row r="365" spans="1:14">
      <c r="A365" s="16">
        <v>16</v>
      </c>
      <c r="B365" s="74">
        <v>41834</v>
      </c>
      <c r="C365" s="16">
        <v>2014</v>
      </c>
      <c r="D365" s="11" t="s">
        <v>33</v>
      </c>
      <c r="E365" s="16">
        <v>7</v>
      </c>
      <c r="F365" s="35">
        <v>7.7990000000000004</v>
      </c>
      <c r="G365" s="29">
        <v>0</v>
      </c>
      <c r="I365" s="29">
        <f>AVERAGE(F365:F366)</f>
        <v>6.3004999999999995</v>
      </c>
      <c r="J365" s="29">
        <f>AVERAGE(G365:G366)</f>
        <v>0</v>
      </c>
      <c r="L365">
        <v>0</v>
      </c>
      <c r="M365">
        <f>+(L365-$L$619)/$L$620</f>
        <v>-0.40884531980103711</v>
      </c>
      <c r="N365">
        <f>+N363+M365</f>
        <v>3.9248247067258482</v>
      </c>
    </row>
    <row r="366" spans="1:14">
      <c r="A366" s="16">
        <v>2</v>
      </c>
      <c r="B366" s="74">
        <v>41864</v>
      </c>
      <c r="C366" s="16">
        <v>2014</v>
      </c>
      <c r="D366" s="11" t="s">
        <v>34</v>
      </c>
      <c r="E366" s="16">
        <v>8</v>
      </c>
      <c r="F366" s="35">
        <v>4.8019999999999996</v>
      </c>
      <c r="G366" s="29">
        <v>0</v>
      </c>
    </row>
    <row r="367" spans="1:14">
      <c r="A367" s="16">
        <v>16</v>
      </c>
      <c r="B367" s="74">
        <v>41862</v>
      </c>
      <c r="C367" s="16">
        <v>2014</v>
      </c>
      <c r="D367" s="11" t="s">
        <v>34</v>
      </c>
      <c r="E367" s="16">
        <v>8</v>
      </c>
      <c r="F367" s="35">
        <v>11.37</v>
      </c>
      <c r="G367" s="29">
        <v>0</v>
      </c>
      <c r="I367" s="29">
        <f>AVERAGE(F367:F368)</f>
        <v>8.5084999999999997</v>
      </c>
      <c r="J367" s="29">
        <f>AVERAGE(G367:G368)</f>
        <v>0</v>
      </c>
      <c r="L367">
        <v>0</v>
      </c>
      <c r="M367">
        <f>+(L367-$L$619)/$L$620</f>
        <v>-0.40884531980103711</v>
      </c>
      <c r="N367">
        <f>+N365+M367</f>
        <v>3.515979386924811</v>
      </c>
    </row>
    <row r="368" spans="1:14">
      <c r="A368" s="16">
        <v>2</v>
      </c>
      <c r="B368" s="74">
        <v>41898</v>
      </c>
      <c r="C368" s="16">
        <v>2014</v>
      </c>
      <c r="D368" s="11" t="s">
        <v>40</v>
      </c>
      <c r="E368" s="16">
        <v>9</v>
      </c>
      <c r="F368" s="35">
        <v>5.6470000000000002</v>
      </c>
      <c r="G368" s="29">
        <v>0</v>
      </c>
    </row>
    <row r="369" spans="1:14">
      <c r="A369" s="16">
        <v>16</v>
      </c>
      <c r="B369" s="74">
        <v>41898</v>
      </c>
      <c r="C369" s="16">
        <v>2014</v>
      </c>
      <c r="D369" s="11" t="s">
        <v>40</v>
      </c>
      <c r="E369" s="16">
        <v>9</v>
      </c>
      <c r="F369" s="35">
        <v>3.8079999999999998</v>
      </c>
      <c r="G369" s="29">
        <v>0</v>
      </c>
    </row>
    <row r="370" spans="1:14">
      <c r="A370" s="16">
        <v>16</v>
      </c>
      <c r="B370" s="74">
        <v>41898</v>
      </c>
      <c r="C370" s="16">
        <v>2014</v>
      </c>
      <c r="D370" s="11" t="s">
        <v>40</v>
      </c>
      <c r="E370" s="16">
        <v>9</v>
      </c>
      <c r="F370" s="35">
        <v>3.8079999999999998</v>
      </c>
      <c r="G370" s="29">
        <v>0</v>
      </c>
      <c r="H370" t="s">
        <v>41</v>
      </c>
      <c r="I370" s="29">
        <f>AVERAGE(F368:F370)</f>
        <v>4.4210000000000003</v>
      </c>
      <c r="J370" s="29">
        <f>AVERAGE(G368:G370)</f>
        <v>0</v>
      </c>
      <c r="L370">
        <v>0</v>
      </c>
      <c r="M370">
        <f>+(L370-$L$619)/$L$620</f>
        <v>-0.40884531980103711</v>
      </c>
      <c r="N370">
        <f>+N367+M370</f>
        <v>3.1071340671237739</v>
      </c>
    </row>
    <row r="371" spans="1:14">
      <c r="A371" s="16">
        <v>2</v>
      </c>
      <c r="B371" s="74">
        <v>41929</v>
      </c>
      <c r="C371" s="16">
        <v>2014</v>
      </c>
      <c r="D371" s="11" t="s">
        <v>36</v>
      </c>
      <c r="E371" s="16">
        <v>10</v>
      </c>
      <c r="F371" s="28">
        <v>1.911</v>
      </c>
      <c r="G371" s="29">
        <v>0</v>
      </c>
    </row>
    <row r="372" spans="1:14">
      <c r="A372" s="16">
        <v>16</v>
      </c>
      <c r="B372" s="74">
        <v>41929</v>
      </c>
      <c r="C372" s="16">
        <v>2014</v>
      </c>
      <c r="D372" s="11" t="s">
        <v>36</v>
      </c>
      <c r="E372" s="16">
        <v>10</v>
      </c>
      <c r="F372" s="28">
        <v>1.1919999999999999</v>
      </c>
      <c r="G372" s="29">
        <v>0</v>
      </c>
      <c r="I372" s="29">
        <f>AVERAGE(F372:F373)</f>
        <v>0.96550000000000002</v>
      </c>
      <c r="J372" s="29">
        <f>AVERAGE(G372:G373)</f>
        <v>0</v>
      </c>
      <c r="L372">
        <v>0</v>
      </c>
      <c r="M372">
        <f>+(L372-$L$619)/$L$620</f>
        <v>-0.40884531980103711</v>
      </c>
      <c r="N372">
        <f>+N370+M372</f>
        <v>2.6982887473227368</v>
      </c>
    </row>
    <row r="373" spans="1:14">
      <c r="A373" s="16">
        <v>2</v>
      </c>
      <c r="B373" s="74">
        <v>41953</v>
      </c>
      <c r="C373" s="16">
        <v>2014</v>
      </c>
      <c r="D373" s="11" t="s">
        <v>37</v>
      </c>
      <c r="E373" s="16">
        <v>11</v>
      </c>
      <c r="F373" s="28">
        <v>0.73899999999999999</v>
      </c>
      <c r="G373" s="29">
        <v>0</v>
      </c>
    </row>
    <row r="374" spans="1:14">
      <c r="A374" s="16">
        <v>16</v>
      </c>
      <c r="B374" s="74">
        <v>41953</v>
      </c>
      <c r="C374" s="16">
        <v>2014</v>
      </c>
      <c r="D374" s="11" t="s">
        <v>37</v>
      </c>
      <c r="E374" s="16">
        <v>11</v>
      </c>
      <c r="F374" s="28">
        <v>0.96599999999999997</v>
      </c>
      <c r="G374" s="29">
        <v>0</v>
      </c>
      <c r="I374" s="29">
        <f>AVERAGE(F374:F375)</f>
        <v>1.4449999999999998</v>
      </c>
      <c r="J374" s="29">
        <f>AVERAGE(G374:G375)</f>
        <v>0</v>
      </c>
      <c r="L374">
        <v>0</v>
      </c>
      <c r="M374">
        <f>+(L374-$L$619)/$L$620</f>
        <v>-0.40884531980103711</v>
      </c>
      <c r="N374">
        <f>+N372+M374</f>
        <v>2.2894434275216997</v>
      </c>
    </row>
    <row r="375" spans="1:14">
      <c r="A375" s="16">
        <v>2</v>
      </c>
      <c r="B375" s="74">
        <v>41988</v>
      </c>
      <c r="C375" s="16">
        <v>2014</v>
      </c>
      <c r="D375" s="11" t="s">
        <v>38</v>
      </c>
      <c r="E375" s="16">
        <v>12</v>
      </c>
      <c r="F375" s="28">
        <v>1.9239999999999999</v>
      </c>
      <c r="G375" s="29">
        <v>0</v>
      </c>
    </row>
    <row r="376" spans="1:14">
      <c r="A376" s="16">
        <v>16</v>
      </c>
      <c r="B376" s="74">
        <v>41988</v>
      </c>
      <c r="C376" s="16">
        <v>2014</v>
      </c>
      <c r="D376" s="11" t="s">
        <v>38</v>
      </c>
      <c r="E376" s="16">
        <v>12</v>
      </c>
      <c r="F376" s="28">
        <v>2.33</v>
      </c>
      <c r="G376" s="29">
        <v>0</v>
      </c>
      <c r="I376" s="29">
        <f>AVERAGE(F376:F377)</f>
        <v>4.6814999999999998</v>
      </c>
      <c r="J376" s="29">
        <f>AVERAGE(G376:G377)</f>
        <v>1.7000000000000001E-2</v>
      </c>
      <c r="L376">
        <v>3.6313147495460863E-3</v>
      </c>
      <c r="M376">
        <f>+(L376-$L$619)/$L$620</f>
        <v>-0.30286687114450683</v>
      </c>
      <c r="N376">
        <f>+N374+M376</f>
        <v>1.9865765563771929</v>
      </c>
    </row>
    <row r="377" spans="1:14">
      <c r="A377" s="16">
        <v>2</v>
      </c>
      <c r="B377" s="71">
        <v>42014</v>
      </c>
      <c r="E377" s="10">
        <v>1</v>
      </c>
      <c r="F377" s="80">
        <v>7.0330000000000004</v>
      </c>
      <c r="G377" s="80">
        <v>3.4000000000000002E-2</v>
      </c>
    </row>
    <row r="378" spans="1:14">
      <c r="A378" s="16">
        <v>16</v>
      </c>
      <c r="B378" s="71">
        <v>42009</v>
      </c>
      <c r="E378" s="10">
        <v>1</v>
      </c>
      <c r="F378" s="80">
        <v>6.181</v>
      </c>
      <c r="G378" s="80">
        <v>2.3E-2</v>
      </c>
      <c r="I378" s="29">
        <f>AVERAGE(F377:F378)</f>
        <v>6.6070000000000002</v>
      </c>
      <c r="J378" s="29">
        <f>AVERAGE(G377:G378)</f>
        <v>2.8500000000000001E-2</v>
      </c>
      <c r="L378">
        <v>4.3136067806871497E-3</v>
      </c>
      <c r="M378">
        <f>+(L378-$L$619)/$L$620</f>
        <v>-0.2829544548495323</v>
      </c>
      <c r="N378">
        <f>+N376+M378</f>
        <v>1.7036221015276607</v>
      </c>
    </row>
    <row r="379" spans="1:14">
      <c r="A379" s="16">
        <v>2</v>
      </c>
      <c r="B379" s="76">
        <v>42036</v>
      </c>
      <c r="E379" s="12">
        <v>2</v>
      </c>
    </row>
    <row r="380" spans="1:14">
      <c r="A380" s="16">
        <v>16</v>
      </c>
      <c r="B380" s="76">
        <v>42036</v>
      </c>
      <c r="E380" s="12">
        <v>2</v>
      </c>
      <c r="I380" s="29"/>
      <c r="J380" s="29"/>
    </row>
    <row r="381" spans="1:14">
      <c r="A381" s="16">
        <v>2</v>
      </c>
      <c r="B381" s="76">
        <v>42064</v>
      </c>
      <c r="E381" s="12">
        <v>3</v>
      </c>
      <c r="F381" s="80">
        <v>10.528</v>
      </c>
      <c r="G381" s="80">
        <v>2.1000000000000001E-2</v>
      </c>
    </row>
    <row r="382" spans="1:14">
      <c r="A382" s="16">
        <v>16</v>
      </c>
      <c r="B382" s="76">
        <v>42064</v>
      </c>
      <c r="E382" s="12">
        <v>3</v>
      </c>
      <c r="F382" s="80">
        <v>10.226000000000001</v>
      </c>
      <c r="G382" s="80">
        <v>1.6E-2</v>
      </c>
      <c r="I382" s="29">
        <f>AVERAGE(F381:F382)</f>
        <v>10.377000000000001</v>
      </c>
      <c r="J382" s="29">
        <f>AVERAGE(G381:G382)</f>
        <v>1.8500000000000003E-2</v>
      </c>
      <c r="L382">
        <v>1.7827888599787993E-3</v>
      </c>
      <c r="M382">
        <f>+(L382-$L$619)/$L$620</f>
        <v>-0.35681534975057139</v>
      </c>
      <c r="N382">
        <f>+N378+M382</f>
        <v>1.3468067517770894</v>
      </c>
    </row>
    <row r="383" spans="1:14">
      <c r="A383" s="16">
        <v>2</v>
      </c>
      <c r="B383" s="76">
        <v>42095</v>
      </c>
      <c r="E383" s="12">
        <v>4</v>
      </c>
      <c r="F383" s="80">
        <v>0.98799999999999999</v>
      </c>
      <c r="G383" s="80">
        <v>8.9999999999999993E-3</v>
      </c>
    </row>
    <row r="384" spans="1:14">
      <c r="A384" s="16">
        <v>16</v>
      </c>
      <c r="B384" s="76">
        <v>42095</v>
      </c>
      <c r="E384" s="12">
        <v>4</v>
      </c>
      <c r="F384" s="80">
        <v>1.2330000000000001</v>
      </c>
      <c r="G384" s="80">
        <v>3.0000000000000001E-3</v>
      </c>
      <c r="I384" s="29">
        <f>AVERAGE(F383:F384)</f>
        <v>1.1105</v>
      </c>
      <c r="J384" s="29">
        <f>AVERAGE(G383:G384)</f>
        <v>6.0000000000000001E-3</v>
      </c>
      <c r="L384">
        <v>5.4029716343989191E-3</v>
      </c>
      <c r="M384">
        <f>+(L384-$L$619)/$L$620</f>
        <v>-0.25116178327465644</v>
      </c>
      <c r="N384">
        <f>+N382+M384</f>
        <v>1.095644968502433</v>
      </c>
    </row>
    <row r="385" spans="1:14">
      <c r="A385" s="16">
        <v>2</v>
      </c>
      <c r="B385" s="76">
        <v>42125</v>
      </c>
      <c r="E385" s="12">
        <v>5</v>
      </c>
      <c r="F385" s="80">
        <v>6.3710000000000004</v>
      </c>
      <c r="G385" s="80">
        <v>1.7999999999999999E-2</v>
      </c>
    </row>
    <row r="386" spans="1:14">
      <c r="A386" s="16">
        <v>16</v>
      </c>
      <c r="B386" s="76">
        <v>42125</v>
      </c>
      <c r="E386" s="12">
        <v>5</v>
      </c>
      <c r="F386" s="80">
        <v>8.8930000000000007</v>
      </c>
      <c r="G386" s="80">
        <v>1.7999999999999999E-2</v>
      </c>
      <c r="I386" s="29">
        <f>AVERAGE(F385:F386)</f>
        <v>7.6320000000000006</v>
      </c>
      <c r="J386" s="29">
        <f>AVERAGE(G385:G386)</f>
        <v>1.7999999999999999E-2</v>
      </c>
      <c r="L386">
        <v>2.3584905660377353E-3</v>
      </c>
      <c r="M386">
        <f>+(L386-$L$619)/$L$620</f>
        <v>-0.34001372887629427</v>
      </c>
      <c r="N386">
        <f>+N384+M386</f>
        <v>0.75563123962613865</v>
      </c>
    </row>
    <row r="387" spans="1:14">
      <c r="A387" s="16">
        <v>2</v>
      </c>
      <c r="B387" s="76">
        <v>42156</v>
      </c>
      <c r="E387" s="12">
        <v>6</v>
      </c>
      <c r="F387" s="80">
        <v>13.632999999999999</v>
      </c>
      <c r="G387" s="80">
        <v>8.9999999999999993E-3</v>
      </c>
    </row>
    <row r="388" spans="1:14">
      <c r="A388" s="16">
        <v>16</v>
      </c>
      <c r="B388" s="76">
        <v>42156</v>
      </c>
      <c r="E388" s="12">
        <v>6</v>
      </c>
      <c r="F388" s="80">
        <v>9.2569999999999997</v>
      </c>
      <c r="G388" s="80">
        <v>7.0000000000000001E-3</v>
      </c>
      <c r="I388" s="29">
        <f>AVERAGE(F387:F388)</f>
        <v>11.445</v>
      </c>
      <c r="J388" s="29">
        <f>AVERAGE(G387:G388)</f>
        <v>8.0000000000000002E-3</v>
      </c>
      <c r="L388">
        <v>6.9899519440803849E-4</v>
      </c>
      <c r="M388">
        <f>+(L388-$L$619)/$L$620</f>
        <v>-0.38844542845837848</v>
      </c>
      <c r="N388">
        <f>+N386+M388</f>
        <v>0.36718581116776017</v>
      </c>
    </row>
    <row r="389" spans="1:14">
      <c r="A389" s="16">
        <v>2</v>
      </c>
      <c r="B389" s="76">
        <v>42186</v>
      </c>
      <c r="E389" s="12">
        <v>7</v>
      </c>
      <c r="F389" s="80">
        <v>8.4420000000000002</v>
      </c>
      <c r="G389" s="80">
        <v>3.3000000000000002E-2</v>
      </c>
    </row>
    <row r="390" spans="1:14">
      <c r="A390" s="16">
        <v>16</v>
      </c>
      <c r="B390" s="76">
        <v>42186</v>
      </c>
      <c r="E390" s="12">
        <v>7</v>
      </c>
      <c r="F390" s="80">
        <v>8.016</v>
      </c>
      <c r="G390" s="80">
        <v>2.1999999999999999E-2</v>
      </c>
      <c r="I390" s="29">
        <f>AVERAGE(F389:F390)</f>
        <v>8.2289999999999992</v>
      </c>
      <c r="J390" s="29">
        <f>AVERAGE(G389:G390)</f>
        <v>2.75E-2</v>
      </c>
      <c r="L390">
        <v>3.3418398347308301E-3</v>
      </c>
      <c r="M390">
        <f>+(L390-$L$619)/$L$620</f>
        <v>-0.31131507916639117</v>
      </c>
      <c r="N390">
        <f>+N388+M390</f>
        <v>5.5870732001368995E-2</v>
      </c>
    </row>
    <row r="391" spans="1:14">
      <c r="A391" s="16">
        <v>2</v>
      </c>
      <c r="B391" s="76">
        <v>42217</v>
      </c>
      <c r="E391" s="12">
        <v>8</v>
      </c>
      <c r="F391" s="80">
        <v>7.8170000000000002</v>
      </c>
      <c r="G391" s="80">
        <v>2.8000000000000001E-2</v>
      </c>
    </row>
    <row r="392" spans="1:14">
      <c r="A392" s="16">
        <v>16</v>
      </c>
      <c r="B392" s="76">
        <v>42217</v>
      </c>
      <c r="E392" s="12">
        <v>8</v>
      </c>
      <c r="F392" s="80">
        <v>11.515000000000001</v>
      </c>
      <c r="G392" s="80">
        <v>2.3E-2</v>
      </c>
      <c r="I392" s="29">
        <f>AVERAGE(F391:F392)</f>
        <v>9.6660000000000004</v>
      </c>
      <c r="J392" s="29">
        <f>AVERAGE(G391:G392)</f>
        <v>2.5500000000000002E-2</v>
      </c>
      <c r="L392">
        <v>2.6381129733085043E-3</v>
      </c>
      <c r="M392">
        <f>+(L392-$L$619)/$L$620</f>
        <v>-0.33185306229241723</v>
      </c>
      <c r="N392">
        <f>+N390+M392</f>
        <v>-0.27598233029104824</v>
      </c>
    </row>
    <row r="393" spans="1:14">
      <c r="A393" s="16">
        <v>2</v>
      </c>
      <c r="B393" s="76">
        <v>42248</v>
      </c>
      <c r="E393" s="12">
        <v>9</v>
      </c>
      <c r="F393" s="80">
        <v>5.4390000000000001</v>
      </c>
      <c r="G393" s="80">
        <v>2.1999999999999999E-2</v>
      </c>
    </row>
    <row r="394" spans="1:14">
      <c r="A394" s="16">
        <v>16</v>
      </c>
      <c r="B394" s="76">
        <v>42248</v>
      </c>
      <c r="E394" s="12">
        <v>9</v>
      </c>
      <c r="F394" s="80">
        <v>4.944</v>
      </c>
      <c r="G394" s="80">
        <v>2.3E-2</v>
      </c>
      <c r="I394" s="29">
        <f>AVERAGE(F393:F394)</f>
        <v>5.1914999999999996</v>
      </c>
      <c r="J394" s="29">
        <f>AVERAGE(G393:G394)</f>
        <v>2.2499999999999999E-2</v>
      </c>
      <c r="L394">
        <v>4.3340075122796883E-3</v>
      </c>
      <c r="M394">
        <f>+(L394-$L$619)/$L$620</f>
        <v>-0.28235906776943803</v>
      </c>
      <c r="N394">
        <f>+N392+M394</f>
        <v>-0.55834139806048633</v>
      </c>
    </row>
    <row r="395" spans="1:14">
      <c r="A395" s="16">
        <v>2</v>
      </c>
      <c r="B395" s="76">
        <v>42278</v>
      </c>
      <c r="E395" s="12">
        <v>10</v>
      </c>
      <c r="F395" s="80">
        <v>2.5089999999999999</v>
      </c>
      <c r="G395" s="80">
        <v>4.0000000000000001E-3</v>
      </c>
    </row>
    <row r="396" spans="1:14">
      <c r="A396" s="16">
        <v>16</v>
      </c>
      <c r="B396" s="76">
        <v>42278</v>
      </c>
      <c r="E396" s="12">
        <v>10</v>
      </c>
      <c r="F396" s="80">
        <v>2.7269999999999999</v>
      </c>
      <c r="G396" s="80">
        <v>9.9989999999999996E-4</v>
      </c>
      <c r="I396" s="29">
        <f>AVERAGE(F395:F396)</f>
        <v>2.6179999999999999</v>
      </c>
      <c r="J396" s="29">
        <f>AVERAGE(G395:G396)</f>
        <v>2.4999499999999999E-3</v>
      </c>
      <c r="L396">
        <v>9.5490832696715048E-4</v>
      </c>
      <c r="M396">
        <f>+(L396-$L$619)/$L$620</f>
        <v>-0.38097670744408529</v>
      </c>
      <c r="N396">
        <f>+N394+M396</f>
        <v>-0.93931810550457162</v>
      </c>
    </row>
    <row r="397" spans="1:14">
      <c r="A397" s="16">
        <v>2</v>
      </c>
      <c r="B397" s="76">
        <v>42309</v>
      </c>
      <c r="E397" s="12">
        <v>11</v>
      </c>
      <c r="F397" s="80">
        <v>1.4650000000000001</v>
      </c>
      <c r="G397" s="80">
        <v>1.0999999999999999E-2</v>
      </c>
    </row>
    <row r="398" spans="1:14">
      <c r="A398" s="16">
        <v>16</v>
      </c>
      <c r="B398" s="76">
        <v>42309</v>
      </c>
      <c r="E398" s="12">
        <v>11</v>
      </c>
      <c r="F398" s="80">
        <v>0.85699999999999998</v>
      </c>
      <c r="G398" s="80">
        <v>7.0000000000000001E-3</v>
      </c>
      <c r="I398" s="29">
        <f>AVERAGE(F397:F398)</f>
        <v>1.161</v>
      </c>
      <c r="J398" s="29">
        <f>AVERAGE(G397:G398)</f>
        <v>8.9999999999999993E-3</v>
      </c>
      <c r="L398">
        <v>7.7519379844961231E-3</v>
      </c>
      <c r="M398">
        <f>+(L398-$L$619)/$L$620</f>
        <v>-0.18260815273056463</v>
      </c>
      <c r="N398">
        <f>+N396+M398</f>
        <v>-1.1219262582351361</v>
      </c>
    </row>
    <row r="399" spans="1:14">
      <c r="A399" s="16">
        <v>2</v>
      </c>
      <c r="B399" s="77">
        <v>42339</v>
      </c>
      <c r="C399" s="99" t="s">
        <v>97</v>
      </c>
      <c r="D399" s="101"/>
      <c r="E399" s="12">
        <v>12</v>
      </c>
      <c r="F399" s="80">
        <v>1.0980000000000001</v>
      </c>
      <c r="G399" s="80">
        <v>5.0000000000000001E-3</v>
      </c>
    </row>
    <row r="400" spans="1:14">
      <c r="A400" s="16">
        <v>2</v>
      </c>
      <c r="B400" s="76">
        <v>42339</v>
      </c>
      <c r="C400" s="99" t="s">
        <v>100</v>
      </c>
      <c r="D400" s="101"/>
      <c r="E400" s="12">
        <v>12</v>
      </c>
      <c r="F400" s="80">
        <v>1.488</v>
      </c>
      <c r="G400" s="80">
        <v>9.9989999999999996E-4</v>
      </c>
      <c r="I400" s="29">
        <f>AVERAGE(F399:F400)</f>
        <v>1.2930000000000001</v>
      </c>
      <c r="J400" s="29">
        <f>AVERAGE(G399:G400)</f>
        <v>2.9999499999999999E-3</v>
      </c>
      <c r="L400">
        <v>2.3201469450889402E-3</v>
      </c>
      <c r="M400">
        <f>+(L400-$L$619)/$L$620</f>
        <v>-0.34113277190734398</v>
      </c>
      <c r="N400">
        <f>+N398+M400</f>
        <v>-1.4630590301424802</v>
      </c>
    </row>
    <row r="401" spans="1:14">
      <c r="A401" s="16">
        <v>16</v>
      </c>
      <c r="B401" s="71">
        <v>42379</v>
      </c>
      <c r="C401" s="103" t="s">
        <v>99</v>
      </c>
      <c r="D401" s="11"/>
      <c r="E401" s="10">
        <v>1</v>
      </c>
      <c r="F401" s="81">
        <v>3.5179999999999998</v>
      </c>
      <c r="G401" s="81">
        <v>1.7000000000000001E-2</v>
      </c>
    </row>
    <row r="402" spans="1:14">
      <c r="A402" s="16">
        <v>2</v>
      </c>
      <c r="B402" s="71">
        <v>42374</v>
      </c>
      <c r="C402" s="103" t="s">
        <v>98</v>
      </c>
      <c r="D402" s="11"/>
      <c r="E402" s="10">
        <v>1</v>
      </c>
      <c r="F402" s="81">
        <v>4.8689999999999998</v>
      </c>
      <c r="G402" s="81">
        <v>1.9E-2</v>
      </c>
      <c r="I402" s="29">
        <f>AVERAGE(F401:F402)</f>
        <v>4.1935000000000002</v>
      </c>
      <c r="J402" s="29">
        <f>AVERAGE(G401:G402)</f>
        <v>1.8000000000000002E-2</v>
      </c>
      <c r="L402">
        <f>+J402/I402</f>
        <v>4.2923572195063793E-3</v>
      </c>
      <c r="M402">
        <f>+(L402-$L$619)/$L$620</f>
        <v>-0.2835746146770029</v>
      </c>
      <c r="N402">
        <f>+N400+M402</f>
        <v>-1.746633644819483</v>
      </c>
    </row>
    <row r="403" spans="1:14">
      <c r="A403" s="16">
        <v>16</v>
      </c>
      <c r="B403" s="76">
        <v>42401</v>
      </c>
      <c r="C403" s="103"/>
      <c r="D403" s="11"/>
      <c r="E403" s="12">
        <v>2</v>
      </c>
      <c r="F403" s="81">
        <v>3.6659999999999999</v>
      </c>
      <c r="G403" s="81">
        <v>0.01</v>
      </c>
    </row>
    <row r="404" spans="1:14">
      <c r="A404" s="16">
        <v>2</v>
      </c>
      <c r="B404" s="76">
        <v>42401</v>
      </c>
      <c r="C404" s="103"/>
      <c r="D404" s="11"/>
      <c r="E404" s="12">
        <v>2</v>
      </c>
      <c r="F404" s="81">
        <v>3.8159999999999998</v>
      </c>
      <c r="G404" s="81">
        <v>6.0000000000000001E-3</v>
      </c>
      <c r="I404" s="29">
        <f>AVERAGE(F403:F404)</f>
        <v>3.7409999999999997</v>
      </c>
      <c r="J404" s="29">
        <f>AVERAGE(G403:G404)</f>
        <v>8.0000000000000002E-3</v>
      </c>
      <c r="L404">
        <f>+J404/I404</f>
        <v>2.1384656508954829E-3</v>
      </c>
      <c r="M404">
        <f>+(L404-$L$619)/$L$620</f>
        <v>-0.34643506681607916</v>
      </c>
      <c r="N404">
        <f>+N402+M404</f>
        <v>-2.0930687116355622</v>
      </c>
    </row>
    <row r="405" spans="1:14">
      <c r="A405" s="16">
        <v>16</v>
      </c>
      <c r="B405" s="76">
        <v>42430</v>
      </c>
      <c r="C405" s="103"/>
      <c r="D405" s="11"/>
      <c r="E405" s="12">
        <v>3</v>
      </c>
      <c r="F405" s="81">
        <v>5.2290000000000001</v>
      </c>
      <c r="G405" s="81">
        <v>1.2999999999999999E-2</v>
      </c>
    </row>
    <row r="406" spans="1:14">
      <c r="A406" s="16">
        <v>2</v>
      </c>
      <c r="B406" s="76">
        <v>42430</v>
      </c>
      <c r="C406" s="103"/>
      <c r="D406" s="11"/>
      <c r="E406" s="12">
        <v>3</v>
      </c>
      <c r="F406" s="81">
        <v>1.456</v>
      </c>
      <c r="G406" s="81">
        <v>5.0000000000000001E-3</v>
      </c>
      <c r="I406" s="29">
        <f>AVERAGE(F405:F406)</f>
        <v>3.3425000000000002</v>
      </c>
      <c r="J406" s="29">
        <f>AVERAGE(G405:G406)</f>
        <v>8.9999999999999993E-3</v>
      </c>
      <c r="L406">
        <f>+J406/I406</f>
        <v>2.6925953627524304E-3</v>
      </c>
      <c r="M406">
        <f>+(L406-$L$619)/$L$620</f>
        <v>-0.33026301584626716</v>
      </c>
      <c r="N406">
        <f>+N404+M406</f>
        <v>-2.4233317274818296</v>
      </c>
    </row>
    <row r="407" spans="1:14">
      <c r="A407" s="16">
        <v>16</v>
      </c>
      <c r="B407" s="76">
        <v>42461</v>
      </c>
      <c r="C407" s="103"/>
      <c r="D407" s="11"/>
      <c r="E407" s="12">
        <v>4</v>
      </c>
      <c r="F407" s="81">
        <v>2.37</v>
      </c>
      <c r="G407" s="81">
        <v>6.0000000000000001E-3</v>
      </c>
    </row>
    <row r="408" spans="1:14">
      <c r="A408" s="16">
        <v>2</v>
      </c>
      <c r="B408" s="76">
        <v>42461</v>
      </c>
      <c r="C408" s="103"/>
      <c r="D408" s="11"/>
      <c r="E408" s="12">
        <v>4</v>
      </c>
      <c r="F408" s="81">
        <v>2.391</v>
      </c>
      <c r="G408" s="81">
        <v>9.9989999999999996E-4</v>
      </c>
      <c r="I408" s="29">
        <f>AVERAGE(F407:F408)</f>
        <v>2.3805000000000001</v>
      </c>
      <c r="J408" s="29">
        <f>AVERAGE(G407:G408)</f>
        <v>3.4999499999999999E-3</v>
      </c>
      <c r="L408">
        <f>+J408/I408</f>
        <v>1.4702583490863264E-3</v>
      </c>
      <c r="M408">
        <f>+(L408-$L$619)/$L$620</f>
        <v>-0.36593642599612608</v>
      </c>
      <c r="N408">
        <f>+N406+M408</f>
        <v>-2.7892681534779555</v>
      </c>
    </row>
    <row r="409" spans="1:14">
      <c r="A409" s="16">
        <v>16</v>
      </c>
      <c r="B409" s="76">
        <v>42491</v>
      </c>
      <c r="C409" s="103"/>
      <c r="D409" s="11"/>
      <c r="E409" s="12">
        <v>5</v>
      </c>
      <c r="F409" s="81">
        <v>7.3920000000000003</v>
      </c>
      <c r="G409" s="81">
        <v>0.67600000000000005</v>
      </c>
    </row>
    <row r="410" spans="1:14">
      <c r="A410" s="16">
        <v>2</v>
      </c>
      <c r="B410" s="76">
        <v>42491</v>
      </c>
      <c r="C410" s="103"/>
      <c r="D410" s="11"/>
      <c r="E410" s="12">
        <v>5</v>
      </c>
      <c r="F410" s="81">
        <v>8.5350000000000001</v>
      </c>
      <c r="G410" s="81">
        <v>0.84099999999999997</v>
      </c>
      <c r="I410" s="29">
        <f>AVERAGE(F409:F410)</f>
        <v>7.9634999999999998</v>
      </c>
      <c r="J410" s="29">
        <f>AVERAGE(G409:G410)</f>
        <v>0.75849999999999995</v>
      </c>
      <c r="L410">
        <f>+J410/I410</f>
        <v>9.5247064732843598E-2</v>
      </c>
      <c r="M410">
        <f>+(L410-$L$619)/$L$620</f>
        <v>2.3709016467037647</v>
      </c>
      <c r="N410">
        <f>+N408+M410</f>
        <v>-0.41836650677419085</v>
      </c>
    </row>
    <row r="411" spans="1:14">
      <c r="A411" s="16">
        <v>16</v>
      </c>
      <c r="B411" s="76">
        <v>42522</v>
      </c>
      <c r="C411" s="103"/>
      <c r="D411" s="11"/>
      <c r="E411" s="12">
        <v>6</v>
      </c>
      <c r="F411" s="81">
        <v>15.529</v>
      </c>
      <c r="G411" s="81">
        <v>1.72</v>
      </c>
    </row>
    <row r="412" spans="1:14">
      <c r="A412" s="16">
        <v>2</v>
      </c>
      <c r="B412" s="76">
        <v>42522</v>
      </c>
      <c r="C412" s="103"/>
      <c r="D412" s="11"/>
      <c r="E412" s="12">
        <v>6</v>
      </c>
      <c r="F412" s="81">
        <v>14.457000000000001</v>
      </c>
      <c r="G412" s="81">
        <v>1.508</v>
      </c>
      <c r="I412" s="29">
        <f>AVERAGE(F411:F412)</f>
        <v>14.993</v>
      </c>
      <c r="J412" s="29">
        <f>AVERAGE(G411:G412)</f>
        <v>1.6139999999999999</v>
      </c>
      <c r="L412">
        <f>+J412/I412</f>
        <v>0.10765023677716266</v>
      </c>
      <c r="M412">
        <f>+(L412-$L$619)/$L$620</f>
        <v>2.7328831939770457</v>
      </c>
      <c r="N412">
        <f>+N410+M412</f>
        <v>2.3145166872028549</v>
      </c>
    </row>
    <row r="413" spans="1:14">
      <c r="A413" s="16">
        <v>16</v>
      </c>
      <c r="B413" s="76">
        <v>42552</v>
      </c>
      <c r="C413" s="103"/>
      <c r="D413" s="11"/>
      <c r="E413" s="12">
        <v>7</v>
      </c>
      <c r="F413" s="81">
        <v>13.766999999999999</v>
      </c>
      <c r="G413" s="81">
        <v>3.6999999999999998E-2</v>
      </c>
    </row>
    <row r="414" spans="1:14">
      <c r="A414" s="16">
        <v>2</v>
      </c>
      <c r="B414" s="76">
        <v>42552</v>
      </c>
      <c r="C414" s="103"/>
      <c r="D414" s="11"/>
      <c r="E414" s="12">
        <v>7</v>
      </c>
      <c r="F414" s="81">
        <v>10.378</v>
      </c>
      <c r="G414" s="81">
        <v>5.2999999999999999E-2</v>
      </c>
      <c r="I414" s="29">
        <f>AVERAGE(F413:F414)</f>
        <v>12.0725</v>
      </c>
      <c r="J414" s="29">
        <f>AVERAGE(G413:G414)</f>
        <v>4.4999999999999998E-2</v>
      </c>
      <c r="L414">
        <f>+J414/I414</f>
        <v>3.7274798094843651E-3</v>
      </c>
      <c r="M414">
        <f>+(L414-$L$619)/$L$620</f>
        <v>-0.30006033286013067</v>
      </c>
      <c r="N414">
        <f>+N412+M414</f>
        <v>2.0144563543427241</v>
      </c>
    </row>
    <row r="415" spans="1:14">
      <c r="A415" s="16">
        <v>16</v>
      </c>
      <c r="B415" s="76">
        <v>42583</v>
      </c>
      <c r="C415" s="103"/>
      <c r="D415" s="11"/>
      <c r="E415" s="12">
        <v>8</v>
      </c>
      <c r="F415" s="81">
        <v>9.4060000000000006</v>
      </c>
      <c r="G415" s="81">
        <v>2.9000000000000001E-2</v>
      </c>
    </row>
    <row r="416" spans="1:14">
      <c r="A416" s="16">
        <v>2</v>
      </c>
      <c r="B416" s="76">
        <v>42583</v>
      </c>
      <c r="C416" s="103"/>
      <c r="D416" s="11"/>
      <c r="E416" s="12">
        <v>8</v>
      </c>
      <c r="F416" s="81">
        <v>11.231999999999999</v>
      </c>
      <c r="G416" s="81">
        <v>1.9E-2</v>
      </c>
      <c r="I416" s="29">
        <f>AVERAGE(F415:F416)</f>
        <v>10.318999999999999</v>
      </c>
      <c r="J416" s="29">
        <f>AVERAGE(G415:G416)</f>
        <v>2.4E-2</v>
      </c>
      <c r="L416">
        <f>+J416/I416</f>
        <v>2.3258067642213396E-3</v>
      </c>
      <c r="M416">
        <f>+(L416-$L$619)/$L$620</f>
        <v>-0.34096759238072666</v>
      </c>
      <c r="N416">
        <f>+N414+M416</f>
        <v>1.6734887619619974</v>
      </c>
    </row>
    <row r="417" spans="1:14">
      <c r="A417" s="16">
        <v>16</v>
      </c>
      <c r="B417" s="76">
        <v>42614</v>
      </c>
      <c r="C417" s="103"/>
      <c r="D417" s="11"/>
      <c r="E417" s="12">
        <v>9</v>
      </c>
      <c r="F417" s="81">
        <v>8.6259999999999994</v>
      </c>
      <c r="G417" s="81">
        <v>3.4000000000000002E-2</v>
      </c>
    </row>
    <row r="418" spans="1:14">
      <c r="A418" s="16">
        <v>2</v>
      </c>
      <c r="B418" s="76">
        <v>42614</v>
      </c>
      <c r="C418" s="103"/>
      <c r="D418" s="11"/>
      <c r="E418" s="12">
        <v>9</v>
      </c>
      <c r="F418" s="81">
        <v>11.244999999999999</v>
      </c>
      <c r="G418" s="81">
        <v>2.9000000000000001E-2</v>
      </c>
      <c r="I418" s="29">
        <f>AVERAGE(F417:F418)</f>
        <v>9.9354999999999993</v>
      </c>
      <c r="J418" s="29">
        <f>AVERAGE(G417:G418)</f>
        <v>3.15E-2</v>
      </c>
      <c r="L418">
        <f>+J418/I418</f>
        <v>3.1704493986211063E-3</v>
      </c>
      <c r="M418">
        <f>+(L418-$L$619)/$L$620</f>
        <v>-0.31631703955435952</v>
      </c>
      <c r="N418">
        <f>+N416+M418</f>
        <v>1.3571717224076378</v>
      </c>
    </row>
    <row r="419" spans="1:14">
      <c r="A419" s="16">
        <v>16</v>
      </c>
      <c r="B419" s="76">
        <v>42644</v>
      </c>
      <c r="C419" s="103"/>
      <c r="D419" s="11"/>
      <c r="E419" s="12">
        <v>10</v>
      </c>
      <c r="F419" s="81">
        <v>1.5129999999999999</v>
      </c>
      <c r="G419" s="81">
        <v>9.9989999999999996E-4</v>
      </c>
    </row>
    <row r="420" spans="1:14">
      <c r="A420" s="16">
        <v>2</v>
      </c>
      <c r="B420" s="76">
        <v>42644</v>
      </c>
      <c r="C420" s="103"/>
      <c r="D420" s="11"/>
      <c r="E420" s="12">
        <v>10</v>
      </c>
      <c r="F420" s="81">
        <v>2.8109999999999999</v>
      </c>
      <c r="G420" s="81">
        <v>9.9989999999999996E-4</v>
      </c>
      <c r="I420" s="29">
        <f>AVERAGE(F419:F420)</f>
        <v>2.1619999999999999</v>
      </c>
      <c r="J420" s="29">
        <f>AVERAGE(G419:G420)</f>
        <v>9.9989999999999996E-4</v>
      </c>
      <c r="L420">
        <f>+J420/I420</f>
        <v>4.6248843663274748E-4</v>
      </c>
      <c r="M420">
        <f>+(L420-$L$619)/$L$620</f>
        <v>-0.39534778229287992</v>
      </c>
      <c r="N420">
        <f>+N418+M420</f>
        <v>0.96182394011475791</v>
      </c>
    </row>
    <row r="421" spans="1:14">
      <c r="A421" s="16">
        <v>16</v>
      </c>
      <c r="B421" s="76">
        <v>42675</v>
      </c>
      <c r="C421" s="103"/>
      <c r="D421" s="11"/>
      <c r="E421" s="12">
        <v>11</v>
      </c>
      <c r="F421" s="81">
        <v>0.70799999999999996</v>
      </c>
      <c r="G421" s="81">
        <v>7.0000000000000001E-3</v>
      </c>
    </row>
    <row r="422" spans="1:14">
      <c r="A422" s="16">
        <v>2</v>
      </c>
      <c r="B422" s="76">
        <v>42675</v>
      </c>
      <c r="C422" s="103"/>
      <c r="D422" s="11"/>
      <c r="E422" s="12">
        <v>11</v>
      </c>
      <c r="F422" s="81">
        <v>0.95299999999999996</v>
      </c>
      <c r="G422" s="81">
        <v>9.9989999999999996E-4</v>
      </c>
      <c r="I422" s="29">
        <f>AVERAGE(F421:F422)</f>
        <v>0.83050000000000002</v>
      </c>
      <c r="J422" s="29">
        <f>AVERAGE(G421:G422)</f>
        <v>3.9999500000000004E-3</v>
      </c>
      <c r="L422">
        <f>+J422/I422</f>
        <v>4.8163154726068641E-3</v>
      </c>
      <c r="M422">
        <f>+(L422-$L$619)/$L$620</f>
        <v>-0.26828310549804346</v>
      </c>
      <c r="N422">
        <f>+N420+M422</f>
        <v>0.69354083461671445</v>
      </c>
    </row>
    <row r="423" spans="1:14">
      <c r="A423" s="16">
        <v>16</v>
      </c>
      <c r="B423" s="77">
        <v>42705</v>
      </c>
      <c r="C423" s="103"/>
      <c r="D423" s="11"/>
      <c r="E423" s="12">
        <v>12</v>
      </c>
      <c r="F423" s="81">
        <v>2.5630000000000002</v>
      </c>
      <c r="G423" s="81">
        <v>3.4000000000000002E-2</v>
      </c>
    </row>
    <row r="424" spans="1:14">
      <c r="A424" s="16">
        <v>2</v>
      </c>
      <c r="B424" s="76">
        <v>42705</v>
      </c>
      <c r="C424" s="103"/>
      <c r="D424" s="11"/>
      <c r="E424" s="12">
        <v>12</v>
      </c>
      <c r="F424" s="81">
        <v>2.0110000000000001</v>
      </c>
      <c r="G424" s="81">
        <v>8.9999999999999993E-3</v>
      </c>
      <c r="I424" s="29">
        <f>AVERAGE(F423:F424)</f>
        <v>2.2869999999999999</v>
      </c>
      <c r="J424" s="29">
        <f>AVERAGE(G423:G424)</f>
        <v>2.1500000000000002E-2</v>
      </c>
      <c r="L424">
        <f>+J424/I424</f>
        <v>9.4009619588981217E-3</v>
      </c>
      <c r="M424">
        <f>+(L424-$L$619)/$L$620</f>
        <v>-0.13448205663096469</v>
      </c>
      <c r="N424">
        <f>+N422+M424</f>
        <v>0.55905877798574977</v>
      </c>
    </row>
    <row r="425" spans="1:14">
      <c r="A425" s="16">
        <v>16</v>
      </c>
      <c r="B425" s="71">
        <v>42745</v>
      </c>
      <c r="C425" s="103"/>
      <c r="D425" s="11"/>
      <c r="E425" s="10">
        <v>1</v>
      </c>
    </row>
    <row r="426" spans="1:14">
      <c r="A426" s="16">
        <v>2</v>
      </c>
      <c r="B426" s="71">
        <v>42740</v>
      </c>
      <c r="C426" s="103"/>
      <c r="D426" s="11"/>
      <c r="E426" s="10">
        <v>1</v>
      </c>
    </row>
    <row r="427" spans="1:14">
      <c r="A427" s="16">
        <v>16</v>
      </c>
      <c r="B427" s="76">
        <v>42767</v>
      </c>
      <c r="C427" s="103"/>
      <c r="D427" s="11"/>
      <c r="E427" s="12">
        <v>2</v>
      </c>
    </row>
    <row r="428" spans="1:14">
      <c r="A428" s="16">
        <v>2</v>
      </c>
      <c r="B428" s="76">
        <v>42767</v>
      </c>
      <c r="C428" s="103"/>
      <c r="D428" s="11"/>
      <c r="E428" s="12">
        <v>2</v>
      </c>
    </row>
    <row r="429" spans="1:14">
      <c r="A429" s="16">
        <v>16</v>
      </c>
      <c r="B429" s="76">
        <v>42795</v>
      </c>
      <c r="C429" s="103"/>
      <c r="D429" s="11"/>
      <c r="E429" s="12">
        <v>3</v>
      </c>
      <c r="F429" s="81">
        <v>4.5289999999999999</v>
      </c>
      <c r="G429" s="81">
        <v>2.7E-2</v>
      </c>
    </row>
    <row r="430" spans="1:14">
      <c r="A430" s="16">
        <v>2</v>
      </c>
      <c r="B430" s="76">
        <v>42795</v>
      </c>
      <c r="C430" s="103"/>
      <c r="D430" s="11"/>
      <c r="E430" s="12">
        <v>3</v>
      </c>
      <c r="F430" s="81">
        <v>1.522</v>
      </c>
      <c r="G430" s="81">
        <v>1.4E-2</v>
      </c>
      <c r="I430" s="29">
        <f>AVERAGE(F429:F430)</f>
        <v>3.0255000000000001</v>
      </c>
      <c r="J430" s="29">
        <f>AVERAGE(G429:G430)</f>
        <v>2.0500000000000001E-2</v>
      </c>
      <c r="L430">
        <v>6.7757395471822841E-3</v>
      </c>
      <c r="M430">
        <f>+(L430-$L$619)/$L$620</f>
        <v>-0.2110981083259538</v>
      </c>
      <c r="N430">
        <f>+N424+M430</f>
        <v>0.347960669659796</v>
      </c>
    </row>
    <row r="431" spans="1:14">
      <c r="A431" s="16">
        <v>2</v>
      </c>
      <c r="B431" s="76">
        <v>42826</v>
      </c>
      <c r="E431" s="12">
        <v>4</v>
      </c>
    </row>
    <row r="432" spans="1:14">
      <c r="A432" s="16">
        <v>16</v>
      </c>
      <c r="B432" s="76">
        <v>42826</v>
      </c>
      <c r="E432" s="12">
        <v>4</v>
      </c>
      <c r="I432" s="29"/>
      <c r="J432" s="29"/>
    </row>
    <row r="433" spans="1:14">
      <c r="A433" s="16">
        <v>2</v>
      </c>
      <c r="B433" s="76">
        <v>42856</v>
      </c>
      <c r="E433" s="12">
        <v>5</v>
      </c>
      <c r="F433" s="81">
        <v>6.6849999999999996</v>
      </c>
      <c r="G433" s="81">
        <v>0.28999999999999998</v>
      </c>
    </row>
    <row r="434" spans="1:14">
      <c r="A434" s="16">
        <v>16</v>
      </c>
      <c r="B434" s="76">
        <v>42856</v>
      </c>
      <c r="E434" s="12">
        <v>5</v>
      </c>
      <c r="F434" s="81">
        <v>13.680999999999999</v>
      </c>
      <c r="G434" s="81">
        <v>1.246</v>
      </c>
      <c r="I434" s="29">
        <f>AVERAGE(F433:F434)</f>
        <v>10.183</v>
      </c>
      <c r="J434" s="29">
        <f>AVERAGE(G433:G434)</f>
        <v>0.76800000000000002</v>
      </c>
      <c r="L434">
        <v>7.5419817342629883E-2</v>
      </c>
      <c r="M434">
        <f>+(L434-$L$619)/$L$620</f>
        <v>1.7922514705363737</v>
      </c>
      <c r="N434">
        <f>+N430+M434</f>
        <v>2.1402121401961698</v>
      </c>
    </row>
    <row r="435" spans="1:14">
      <c r="A435" s="16">
        <v>2</v>
      </c>
      <c r="B435" s="76">
        <v>42887</v>
      </c>
      <c r="E435" s="12">
        <v>6</v>
      </c>
      <c r="F435" s="81">
        <v>8.0250000000000004</v>
      </c>
      <c r="G435" s="81">
        <v>9.9989999999999996E-4</v>
      </c>
    </row>
    <row r="436" spans="1:14">
      <c r="A436" s="16">
        <v>16</v>
      </c>
      <c r="B436" s="76">
        <v>42887</v>
      </c>
      <c r="E436" s="12">
        <v>6</v>
      </c>
      <c r="F436" s="81">
        <v>7.33</v>
      </c>
      <c r="G436" s="81">
        <v>1.6E-2</v>
      </c>
      <c r="I436" s="29">
        <f>AVERAGE(F435:F436)</f>
        <v>7.6775000000000002</v>
      </c>
      <c r="J436" s="29">
        <f>AVERAGE(G435:G436)</f>
        <v>8.4999500000000009E-3</v>
      </c>
      <c r="L436">
        <v>1.1071247150765224E-3</v>
      </c>
      <c r="M436">
        <f>+(L436-$L$619)/$L$620</f>
        <v>-0.37653433387292962</v>
      </c>
      <c r="N436">
        <f>+N434+M436</f>
        <v>1.7636778063232401</v>
      </c>
    </row>
    <row r="437" spans="1:14">
      <c r="A437" s="16">
        <v>2</v>
      </c>
      <c r="B437" s="76">
        <v>42917</v>
      </c>
      <c r="E437" s="12">
        <v>7</v>
      </c>
      <c r="F437" s="81">
        <v>13.879</v>
      </c>
      <c r="G437" s="81">
        <v>0.01</v>
      </c>
    </row>
    <row r="438" spans="1:14">
      <c r="A438" s="16">
        <v>16</v>
      </c>
      <c r="B438" s="76">
        <v>42917</v>
      </c>
      <c r="E438" s="12">
        <v>7</v>
      </c>
      <c r="F438" s="81">
        <v>9.4339999999999993</v>
      </c>
      <c r="G438" s="81">
        <v>9.9989999999999996E-4</v>
      </c>
      <c r="I438" s="29">
        <f>AVERAGE(F437:F438)</f>
        <v>11.656499999999999</v>
      </c>
      <c r="J438" s="29">
        <f>AVERAGE(G437:G438)</f>
        <v>5.49995E-3</v>
      </c>
      <c r="L438">
        <v>4.7183545661219064E-4</v>
      </c>
      <c r="M438">
        <f>+(L438-$L$619)/$L$620</f>
        <v>-0.39507499330450963</v>
      </c>
      <c r="N438">
        <f>+N436+M438</f>
        <v>1.3686028130187304</v>
      </c>
    </row>
    <row r="439" spans="1:14">
      <c r="A439" s="16">
        <v>2</v>
      </c>
      <c r="B439" s="76">
        <v>42948</v>
      </c>
      <c r="E439" s="12">
        <v>8</v>
      </c>
    </row>
    <row r="440" spans="1:14">
      <c r="A440" s="16">
        <v>16</v>
      </c>
      <c r="B440" s="76">
        <v>42948</v>
      </c>
      <c r="E440" s="12">
        <v>8</v>
      </c>
      <c r="I440" s="29"/>
      <c r="J440" s="29"/>
    </row>
    <row r="441" spans="1:14">
      <c r="A441" s="16">
        <v>2</v>
      </c>
      <c r="B441" s="76">
        <v>42979</v>
      </c>
      <c r="E441" s="12">
        <v>9</v>
      </c>
      <c r="F441" s="81">
        <v>1.897</v>
      </c>
      <c r="G441" s="81">
        <v>9.9989999999999996E-4</v>
      </c>
    </row>
    <row r="442" spans="1:14">
      <c r="A442" s="16">
        <v>16</v>
      </c>
      <c r="B442" s="76">
        <v>42979</v>
      </c>
      <c r="E442" s="12">
        <v>9</v>
      </c>
      <c r="F442" s="81">
        <v>2.0609999999999999</v>
      </c>
      <c r="G442" s="81">
        <v>9.9989999999999996E-4</v>
      </c>
      <c r="I442" s="29">
        <f>AVERAGE(F441:F442)</f>
        <v>1.9790000000000001</v>
      </c>
      <c r="J442" s="29">
        <f>AVERAGE(G441:G442)</f>
        <v>9.9989999999999996E-4</v>
      </c>
      <c r="L442">
        <v>5.0525517938352694E-4</v>
      </c>
      <c r="M442">
        <f>+(L442-$L$619)/$L$620</f>
        <v>-0.3940996522453849</v>
      </c>
      <c r="N442">
        <f>+N438+M442</f>
        <v>0.97450316077334553</v>
      </c>
    </row>
    <row r="443" spans="1:14">
      <c r="A443" s="16">
        <v>2</v>
      </c>
      <c r="B443" s="76">
        <v>43009</v>
      </c>
      <c r="E443" s="12">
        <v>10</v>
      </c>
      <c r="F443" s="81">
        <v>1.0269999999999999</v>
      </c>
      <c r="G443" s="81">
        <v>9.9989999999999996E-4</v>
      </c>
    </row>
    <row r="444" spans="1:14">
      <c r="A444" s="16">
        <v>16</v>
      </c>
      <c r="B444" s="76">
        <v>43009</v>
      </c>
      <c r="E444" s="12">
        <v>10</v>
      </c>
      <c r="F444" s="81">
        <v>0.29899999999999999</v>
      </c>
      <c r="G444" s="81">
        <v>9.9989999999999996E-4</v>
      </c>
      <c r="I444" s="29">
        <f>AVERAGE(F443:F444)</f>
        <v>0.66299999999999992</v>
      </c>
      <c r="J444" s="29">
        <f>AVERAGE(G443:G444)</f>
        <v>9.9989999999999996E-4</v>
      </c>
      <c r="L444">
        <v>1.5081447963800907E-3</v>
      </c>
      <c r="M444">
        <f>+(L444-$L$619)/$L$620</f>
        <v>-0.36483072539283834</v>
      </c>
      <c r="N444">
        <f>+N442+M444</f>
        <v>0.60967243538050719</v>
      </c>
    </row>
    <row r="445" spans="1:14">
      <c r="A445" s="16">
        <v>2</v>
      </c>
      <c r="B445" s="76">
        <v>43040</v>
      </c>
      <c r="E445" s="12">
        <v>11</v>
      </c>
    </row>
    <row r="446" spans="1:14">
      <c r="A446" s="16">
        <v>16</v>
      </c>
      <c r="B446" s="76">
        <v>43040</v>
      </c>
      <c r="E446" s="12">
        <v>11</v>
      </c>
      <c r="I446" s="29"/>
      <c r="J446" s="29"/>
    </row>
    <row r="447" spans="1:14">
      <c r="A447" s="16">
        <v>2</v>
      </c>
      <c r="B447" s="77">
        <v>43070</v>
      </c>
      <c r="E447" s="12">
        <v>12</v>
      </c>
      <c r="F447" s="81">
        <v>2.335</v>
      </c>
      <c r="G447" s="81">
        <v>9.9989999999999996E-4</v>
      </c>
    </row>
    <row r="448" spans="1:14">
      <c r="A448" s="16">
        <v>16</v>
      </c>
      <c r="B448" s="76">
        <v>43070</v>
      </c>
      <c r="E448" s="12">
        <v>12</v>
      </c>
      <c r="F448" s="81">
        <v>2.4239999999999999</v>
      </c>
      <c r="G448" s="81">
        <v>9.9989999999999996E-4</v>
      </c>
      <c r="I448" s="29">
        <f>AVERAGE(F447:F448)</f>
        <v>2.3795000000000002</v>
      </c>
      <c r="J448" s="29">
        <f>AVERAGE(G447:G448)</f>
        <v>9.9989999999999996E-4</v>
      </c>
      <c r="L448">
        <v>4.2021433074175243E-4</v>
      </c>
      <c r="M448">
        <f>+(L448-$L$619)/$L$620</f>
        <v>-0.39658153493336079</v>
      </c>
      <c r="N448">
        <f>+N444+M448</f>
        <v>0.2130909004471464</v>
      </c>
    </row>
    <row r="449" spans="1:14">
      <c r="A449" s="16">
        <v>2</v>
      </c>
      <c r="B449" s="71">
        <v>43110</v>
      </c>
      <c r="E449" s="10">
        <v>1</v>
      </c>
      <c r="F449" s="78">
        <v>2.2909999999999999</v>
      </c>
      <c r="G449" s="78">
        <v>9.9989999999999996E-4</v>
      </c>
    </row>
    <row r="450" spans="1:14">
      <c r="A450" s="16">
        <v>16</v>
      </c>
      <c r="B450" s="71">
        <v>43105</v>
      </c>
      <c r="E450" s="10">
        <v>1</v>
      </c>
      <c r="F450" s="78">
        <v>2.8929999999999998</v>
      </c>
      <c r="G450" s="78">
        <v>9.9989999999999996E-4</v>
      </c>
      <c r="I450">
        <v>2.5919999999999996</v>
      </c>
      <c r="J450">
        <v>9.9989999999999996E-4</v>
      </c>
      <c r="L450">
        <v>3.8576388888888894E-4</v>
      </c>
      <c r="M450">
        <f>+(L450-$L$619)/$L$620</f>
        <v>-0.39758695711097702</v>
      </c>
      <c r="N450">
        <f>+N448+M450</f>
        <v>-0.18449605666383062</v>
      </c>
    </row>
    <row r="451" spans="1:14">
      <c r="A451" s="16">
        <v>2</v>
      </c>
      <c r="B451" s="76">
        <v>43132</v>
      </c>
      <c r="E451" s="12">
        <v>2</v>
      </c>
      <c r="F451" s="78">
        <v>2.5449999999999999</v>
      </c>
      <c r="G451" s="78">
        <v>9.9989999999999996E-4</v>
      </c>
    </row>
    <row r="452" spans="1:14">
      <c r="A452" s="16">
        <v>16</v>
      </c>
      <c r="B452" s="76">
        <v>43132</v>
      </c>
      <c r="E452" s="12">
        <v>2</v>
      </c>
      <c r="F452" s="78">
        <v>1.992</v>
      </c>
      <c r="G452" s="78">
        <v>9.9989999999999996E-4</v>
      </c>
      <c r="I452">
        <v>2.2685</v>
      </c>
      <c r="J452">
        <v>9.9989999999999996E-4</v>
      </c>
      <c r="L452">
        <v>4.4077584306810667E-4</v>
      </c>
      <c r="M452">
        <f>+(L452-$L$619)/$L$620</f>
        <v>-0.39598145553273834</v>
      </c>
      <c r="N452">
        <f>+N450+M452</f>
        <v>-0.58047751219656896</v>
      </c>
    </row>
    <row r="453" spans="1:14">
      <c r="A453" s="16">
        <v>2</v>
      </c>
      <c r="B453" s="76">
        <v>43160</v>
      </c>
      <c r="E453" s="12">
        <v>3</v>
      </c>
      <c r="F453" s="78">
        <v>6.8920000000000003</v>
      </c>
      <c r="G453" s="78">
        <v>1.4999999999999999E-2</v>
      </c>
    </row>
    <row r="454" spans="1:14">
      <c r="A454" s="16">
        <v>16</v>
      </c>
      <c r="B454" s="76">
        <v>43160</v>
      </c>
      <c r="E454" s="12">
        <v>3</v>
      </c>
      <c r="F454" s="78">
        <v>4.516</v>
      </c>
      <c r="G454" s="78">
        <v>1.4E-2</v>
      </c>
      <c r="I454">
        <v>5.7040000000000006</v>
      </c>
      <c r="J454">
        <v>1.4499999999999999E-2</v>
      </c>
      <c r="L454">
        <v>2.5420757363253852E-3</v>
      </c>
      <c r="M454">
        <f>+(L454-$L$619)/$L$620</f>
        <v>-0.33465587011567266</v>
      </c>
      <c r="N454">
        <f>+N452+M454</f>
        <v>-0.91513338231224162</v>
      </c>
    </row>
    <row r="455" spans="1:14">
      <c r="A455" s="16">
        <v>2</v>
      </c>
      <c r="B455" s="76">
        <v>43191</v>
      </c>
      <c r="E455" s="12">
        <v>4</v>
      </c>
      <c r="F455" s="78">
        <v>4.34</v>
      </c>
      <c r="G455" s="78">
        <v>0.24</v>
      </c>
    </row>
    <row r="456" spans="1:14">
      <c r="A456" s="16">
        <v>16</v>
      </c>
      <c r="B456" s="76">
        <v>43191</v>
      </c>
      <c r="E456" s="12">
        <v>4</v>
      </c>
      <c r="F456" s="79">
        <v>4.7510000000000003</v>
      </c>
      <c r="G456" s="79">
        <v>0.66900000000000004</v>
      </c>
      <c r="I456">
        <v>4.5455000000000005</v>
      </c>
      <c r="J456">
        <v>0.45450000000000002</v>
      </c>
      <c r="L456">
        <v>9.9989000109998893E-2</v>
      </c>
      <c r="M456">
        <f>+(L456-$L$619)/$L$620</f>
        <v>2.5092931080782583</v>
      </c>
      <c r="N456">
        <f>+N454+M456</f>
        <v>1.5941597257660167</v>
      </c>
    </row>
    <row r="457" spans="1:14">
      <c r="A457" s="16">
        <v>2</v>
      </c>
      <c r="B457" s="76">
        <v>43221</v>
      </c>
      <c r="E457" s="12">
        <v>5</v>
      </c>
      <c r="F457" s="79">
        <v>14.69</v>
      </c>
      <c r="G457" s="79">
        <v>0.623</v>
      </c>
    </row>
    <row r="458" spans="1:14">
      <c r="A458" s="16">
        <v>16</v>
      </c>
      <c r="B458" s="76">
        <v>43221</v>
      </c>
      <c r="E458" s="12">
        <v>5</v>
      </c>
      <c r="F458" s="79">
        <v>19.47</v>
      </c>
      <c r="G458" s="79">
        <v>1.444</v>
      </c>
      <c r="I458">
        <v>17.079999999999998</v>
      </c>
      <c r="J458">
        <v>1.0335000000000001</v>
      </c>
      <c r="L458">
        <v>6.0509367681498838E-2</v>
      </c>
      <c r="M458">
        <f>+(L458-$L$619)/$L$620</f>
        <v>1.3570960425869023</v>
      </c>
      <c r="N458">
        <f>+N456+M458</f>
        <v>2.9512557683529188</v>
      </c>
    </row>
    <row r="459" spans="1:14">
      <c r="A459" s="16">
        <v>2</v>
      </c>
      <c r="B459" s="76">
        <v>43252</v>
      </c>
      <c r="E459" s="12">
        <v>6</v>
      </c>
      <c r="F459" s="79">
        <v>8.5050000000000008</v>
      </c>
      <c r="G459" s="79">
        <v>0.01</v>
      </c>
    </row>
    <row r="460" spans="1:14">
      <c r="A460" s="16">
        <v>16</v>
      </c>
      <c r="B460" s="76">
        <v>43252</v>
      </c>
      <c r="E460" s="12">
        <v>6</v>
      </c>
      <c r="F460" s="79">
        <v>7.37</v>
      </c>
      <c r="G460" s="79">
        <v>8.9999999999999993E-3</v>
      </c>
      <c r="I460">
        <v>7.9375</v>
      </c>
      <c r="J460">
        <v>9.4999999999999998E-3</v>
      </c>
      <c r="L460">
        <v>1.1968503937007874E-3</v>
      </c>
      <c r="M460">
        <f>+(L460-$L$619)/$L$620</f>
        <v>-0.37391572632136916</v>
      </c>
      <c r="N460">
        <f>+N458+M460</f>
        <v>2.5773400420315498</v>
      </c>
    </row>
    <row r="461" spans="1:14">
      <c r="A461" s="16">
        <v>2</v>
      </c>
      <c r="B461" s="76">
        <v>43282</v>
      </c>
      <c r="C461" s="99" t="s">
        <v>97</v>
      </c>
      <c r="D461" s="104"/>
      <c r="E461" s="12">
        <v>7</v>
      </c>
      <c r="F461" s="79">
        <v>25.248000000000001</v>
      </c>
      <c r="G461" s="79">
        <v>2.1000000000000001E-2</v>
      </c>
    </row>
    <row r="462" spans="1:14">
      <c r="A462" s="16">
        <v>2</v>
      </c>
      <c r="B462" s="76">
        <v>43282</v>
      </c>
      <c r="C462" s="99" t="s">
        <v>100</v>
      </c>
      <c r="D462" s="104"/>
      <c r="E462" s="12">
        <v>7</v>
      </c>
      <c r="F462" s="79">
        <v>21.135999999999999</v>
      </c>
      <c r="G462" s="79">
        <v>3.7999999999999999E-2</v>
      </c>
      <c r="I462">
        <v>23.192</v>
      </c>
      <c r="J462">
        <v>2.9499999999999998E-2</v>
      </c>
      <c r="L462">
        <v>1.2719903414970678E-3</v>
      </c>
      <c r="M462">
        <f>+(L462-$L$619)/$L$620</f>
        <v>-0.37172279741026948</v>
      </c>
      <c r="N462">
        <f>+N460+M462</f>
        <v>2.2056172446212803</v>
      </c>
    </row>
    <row r="463" spans="1:14">
      <c r="A463" s="16">
        <v>16</v>
      </c>
      <c r="B463" s="76">
        <v>43313</v>
      </c>
      <c r="C463" s="103" t="s">
        <v>101</v>
      </c>
      <c r="D463" s="11"/>
      <c r="E463" s="12">
        <v>8</v>
      </c>
      <c r="F463" s="79">
        <v>7.7830000000000004</v>
      </c>
      <c r="G463" s="79">
        <v>1.2999999999999999E-2</v>
      </c>
    </row>
    <row r="464" spans="1:14">
      <c r="A464" s="16">
        <v>2</v>
      </c>
      <c r="B464" s="76">
        <v>43313</v>
      </c>
      <c r="C464" s="103" t="s">
        <v>98</v>
      </c>
      <c r="D464" s="11"/>
      <c r="E464" s="12">
        <v>8</v>
      </c>
      <c r="F464" s="79">
        <v>6.617</v>
      </c>
      <c r="G464" s="79">
        <v>1.9E-2</v>
      </c>
      <c r="I464">
        <v>7.2</v>
      </c>
      <c r="J464">
        <v>1.6E-2</v>
      </c>
      <c r="L464">
        <v>2.2222222222222222E-3</v>
      </c>
      <c r="M464">
        <f>+(L464-$L$619)/$L$620</f>
        <v>-0.34399066524083499</v>
      </c>
      <c r="N464">
        <f>+N462+M464</f>
        <v>1.8616265793804452</v>
      </c>
    </row>
    <row r="465" spans="1:14">
      <c r="A465" s="16">
        <v>16</v>
      </c>
      <c r="B465" s="76">
        <v>43344</v>
      </c>
      <c r="C465" s="103"/>
      <c r="D465" s="11"/>
      <c r="E465" s="12">
        <v>9</v>
      </c>
      <c r="F465" s="79">
        <v>10.451000000000001</v>
      </c>
      <c r="G465" s="79">
        <v>0.02</v>
      </c>
    </row>
    <row r="466" spans="1:14">
      <c r="A466" s="16">
        <v>2</v>
      </c>
      <c r="B466" s="76">
        <v>43344</v>
      </c>
      <c r="C466" s="103"/>
      <c r="D466" s="11"/>
      <c r="E466" s="12">
        <v>9</v>
      </c>
      <c r="F466" s="79">
        <v>12.564</v>
      </c>
      <c r="G466" s="79">
        <v>5.1999999999999998E-2</v>
      </c>
      <c r="I466">
        <v>11.5075</v>
      </c>
      <c r="J466">
        <v>3.5999999999999997E-2</v>
      </c>
      <c r="L466">
        <v>3.1283945253095806E-3</v>
      </c>
      <c r="M466">
        <f>+(L466-$L$619)/$L$620</f>
        <v>-0.31754439398089596</v>
      </c>
      <c r="N466">
        <f>+N464+M466</f>
        <v>1.5440821853995492</v>
      </c>
    </row>
    <row r="467" spans="1:14">
      <c r="A467" s="16">
        <v>16</v>
      </c>
      <c r="B467" s="76">
        <v>43374</v>
      </c>
      <c r="C467" s="103"/>
      <c r="D467" s="11"/>
      <c r="E467" s="12">
        <v>10</v>
      </c>
      <c r="F467" s="79">
        <v>1.891</v>
      </c>
      <c r="G467" s="79">
        <v>9.9989999999999996E-4</v>
      </c>
    </row>
    <row r="468" spans="1:14">
      <c r="A468" s="16">
        <v>2</v>
      </c>
      <c r="B468" s="76">
        <v>43374</v>
      </c>
      <c r="C468" s="103"/>
      <c r="D468" s="11"/>
      <c r="E468" s="12">
        <v>10</v>
      </c>
      <c r="F468" s="79">
        <v>2.4500000000000002</v>
      </c>
      <c r="G468" s="79">
        <v>9.9989999999999996E-4</v>
      </c>
      <c r="I468">
        <v>2.1705000000000001</v>
      </c>
      <c r="J468">
        <v>9.9989999999999996E-4</v>
      </c>
      <c r="L468">
        <v>4.606772633033863E-4</v>
      </c>
      <c r="M468">
        <f>+(L468-$L$619)/$L$620</f>
        <v>-0.39540064065216096</v>
      </c>
      <c r="N468">
        <f>+N466+M468</f>
        <v>1.1486815447473884</v>
      </c>
    </row>
    <row r="469" spans="1:14">
      <c r="A469" s="16">
        <v>16</v>
      </c>
      <c r="B469" s="76">
        <v>43405</v>
      </c>
      <c r="C469" s="103"/>
      <c r="D469" s="11"/>
      <c r="E469" s="12">
        <v>11</v>
      </c>
      <c r="F469" s="79">
        <v>3.0779999999999998</v>
      </c>
      <c r="G469" s="79">
        <v>9.9989999999999996E-4</v>
      </c>
    </row>
    <row r="470" spans="1:14">
      <c r="A470" s="16">
        <v>2</v>
      </c>
      <c r="B470" s="76">
        <v>43405</v>
      </c>
      <c r="C470" s="103"/>
      <c r="D470" s="11"/>
      <c r="E470" s="12">
        <v>11</v>
      </c>
      <c r="F470" s="79">
        <v>2.302</v>
      </c>
      <c r="G470" s="79">
        <v>9.9989999999999996E-4</v>
      </c>
      <c r="I470">
        <v>2.69</v>
      </c>
      <c r="J470">
        <v>9.9989999999999996E-4</v>
      </c>
      <c r="L470">
        <v>3.7171003717472118E-4</v>
      </c>
      <c r="M470">
        <f>+(L470-$L$619)/$L$620</f>
        <v>-0.39799711307515023</v>
      </c>
      <c r="N470">
        <f>+N468+M470</f>
        <v>0.75068443167223808</v>
      </c>
    </row>
    <row r="471" spans="1:14">
      <c r="A471" s="16">
        <v>16</v>
      </c>
      <c r="B471" s="77">
        <v>43435</v>
      </c>
      <c r="C471" s="103"/>
      <c r="D471" s="11"/>
      <c r="E471" s="12">
        <v>12</v>
      </c>
    </row>
    <row r="472" spans="1:14">
      <c r="A472" s="16">
        <v>2</v>
      </c>
      <c r="B472" s="76">
        <v>43435</v>
      </c>
      <c r="C472" s="103"/>
      <c r="D472" s="11"/>
      <c r="E472" s="12">
        <v>12</v>
      </c>
    </row>
    <row r="473" spans="1:14">
      <c r="A473" s="16">
        <v>16</v>
      </c>
      <c r="B473" s="71">
        <v>43475</v>
      </c>
      <c r="C473" s="103"/>
      <c r="D473" s="11"/>
      <c r="E473" s="10">
        <v>1</v>
      </c>
    </row>
    <row r="474" spans="1:14">
      <c r="A474" s="16">
        <v>2</v>
      </c>
      <c r="B474" s="71">
        <v>43470</v>
      </c>
      <c r="C474" s="103"/>
      <c r="D474" s="11"/>
      <c r="E474" s="10">
        <v>1</v>
      </c>
    </row>
    <row r="475" spans="1:14">
      <c r="A475" s="16">
        <v>16</v>
      </c>
      <c r="B475" s="76">
        <v>43497</v>
      </c>
      <c r="C475" s="103"/>
      <c r="D475" s="11"/>
      <c r="E475" s="12">
        <v>2</v>
      </c>
    </row>
    <row r="476" spans="1:14">
      <c r="A476" s="16">
        <v>2</v>
      </c>
      <c r="B476" s="76">
        <v>43497</v>
      </c>
      <c r="C476" s="103"/>
      <c r="D476" s="11"/>
      <c r="E476" s="12">
        <v>2</v>
      </c>
    </row>
    <row r="477" spans="1:14">
      <c r="A477" s="16">
        <v>16</v>
      </c>
      <c r="B477" s="76">
        <v>43525</v>
      </c>
      <c r="C477" s="103"/>
      <c r="D477" s="11"/>
      <c r="E477" s="12">
        <v>3</v>
      </c>
      <c r="F477" s="84">
        <v>1.867</v>
      </c>
      <c r="G477" s="84">
        <v>0.154</v>
      </c>
    </row>
    <row r="478" spans="1:14">
      <c r="A478" s="16">
        <v>2</v>
      </c>
      <c r="B478" s="76">
        <v>43525</v>
      </c>
      <c r="C478" s="103"/>
      <c r="D478" s="11"/>
      <c r="E478" s="12">
        <v>3</v>
      </c>
      <c r="F478" s="84">
        <v>0.65800000000000003</v>
      </c>
      <c r="G478" s="84">
        <v>3.1E-2</v>
      </c>
      <c r="I478" s="29">
        <f>AVERAGE(F477:F478)</f>
        <v>1.2625</v>
      </c>
      <c r="J478" s="29">
        <f>AVERAGE(G477:G478)</f>
        <v>9.2499999999999999E-2</v>
      </c>
      <c r="L478">
        <f>+J478/I478</f>
        <v>7.3267326732673263E-2</v>
      </c>
      <c r="M478">
        <f>+(L478-$L$619)/$L$620</f>
        <v>1.7294319048076068</v>
      </c>
      <c r="N478">
        <f>+N470+M478</f>
        <v>2.4801163364798446</v>
      </c>
    </row>
    <row r="479" spans="1:14">
      <c r="A479" s="16">
        <v>16</v>
      </c>
      <c r="B479" s="76">
        <v>43556</v>
      </c>
      <c r="C479" s="103"/>
      <c r="D479" s="11"/>
      <c r="E479" s="12">
        <v>4</v>
      </c>
      <c r="F479" s="85">
        <v>3.7320000000000002</v>
      </c>
      <c r="G479" s="84">
        <v>0.104</v>
      </c>
    </row>
    <row r="480" spans="1:14">
      <c r="A480" s="16">
        <v>2</v>
      </c>
      <c r="B480" s="76">
        <v>43556</v>
      </c>
      <c r="C480" s="103"/>
      <c r="D480" s="11"/>
      <c r="E480" s="12">
        <v>4</v>
      </c>
      <c r="F480" s="85">
        <v>3.133</v>
      </c>
      <c r="G480" s="84">
        <v>0.122</v>
      </c>
      <c r="I480" s="29">
        <f>AVERAGE(F479:F480)</f>
        <v>3.4325000000000001</v>
      </c>
      <c r="J480" s="29">
        <f>AVERAGE(G479:G480)</f>
        <v>0.11299999999999999</v>
      </c>
      <c r="L480">
        <f>+J480/I480</f>
        <v>3.2920611798980329E-2</v>
      </c>
      <c r="M480">
        <f>+(L480-$L$619)/$L$620</f>
        <v>0.55192938795898538</v>
      </c>
      <c r="N480">
        <f>+N478+M480</f>
        <v>3.0320457244388299</v>
      </c>
    </row>
    <row r="481" spans="1:14">
      <c r="A481" s="16">
        <v>16</v>
      </c>
      <c r="B481" s="76">
        <v>43586</v>
      </c>
      <c r="C481" s="103"/>
      <c r="D481" s="11"/>
      <c r="E481" s="12">
        <v>5</v>
      </c>
      <c r="F481" s="85">
        <v>5.5910000000000002</v>
      </c>
      <c r="G481" s="84">
        <v>0.59299999999999997</v>
      </c>
    </row>
    <row r="482" spans="1:14">
      <c r="A482" s="16">
        <v>2</v>
      </c>
      <c r="B482" s="76">
        <v>43586</v>
      </c>
      <c r="C482" s="103"/>
      <c r="D482" s="11"/>
      <c r="E482" s="12">
        <v>5</v>
      </c>
      <c r="F482" s="85">
        <v>4.952</v>
      </c>
      <c r="G482" s="84">
        <v>0.76</v>
      </c>
      <c r="I482" s="29">
        <f>AVERAGE(F481:F482)</f>
        <v>5.2714999999999996</v>
      </c>
      <c r="J482" s="29">
        <f>AVERAGE(G481:G482)</f>
        <v>0.67649999999999999</v>
      </c>
      <c r="L482">
        <f>+J482/I482</f>
        <v>0.12833159442283981</v>
      </c>
      <c r="M482">
        <f>+(L482-$L$619)/$L$620</f>
        <v>3.3364602316529193</v>
      </c>
      <c r="N482">
        <f>+N480+M482</f>
        <v>6.3685059560917487</v>
      </c>
    </row>
    <row r="483" spans="1:14">
      <c r="A483" s="16">
        <v>16</v>
      </c>
      <c r="B483" s="76">
        <v>43617</v>
      </c>
      <c r="C483" s="103"/>
      <c r="D483" s="11"/>
      <c r="E483" s="12">
        <v>6</v>
      </c>
      <c r="F483" s="85">
        <v>5.7869999999999999</v>
      </c>
      <c r="G483" s="84">
        <v>1.9E-2</v>
      </c>
    </row>
    <row r="484" spans="1:14">
      <c r="A484" s="16">
        <v>2</v>
      </c>
      <c r="B484" s="76">
        <v>43617</v>
      </c>
      <c r="C484" s="103"/>
      <c r="D484" s="11"/>
      <c r="E484" s="12">
        <v>6</v>
      </c>
      <c r="F484" s="86">
        <v>4.359</v>
      </c>
      <c r="G484" s="86">
        <v>6.0999999999999999E-2</v>
      </c>
      <c r="I484" s="29">
        <f>AVERAGE(F483:F484)</f>
        <v>5.0730000000000004</v>
      </c>
      <c r="J484" s="29">
        <f>AVERAGE(G483:G484)</f>
        <v>0.04</v>
      </c>
      <c r="L484">
        <f>+J484/I484</f>
        <v>7.8848807411787888E-3</v>
      </c>
      <c r="M484">
        <f>+(L484-$L$619)/$L$620</f>
        <v>-0.17872827227814375</v>
      </c>
      <c r="N484">
        <f>+N482+M484</f>
        <v>6.1897776838136052</v>
      </c>
    </row>
    <row r="485" spans="1:14">
      <c r="A485" s="16">
        <v>16</v>
      </c>
      <c r="B485" s="76">
        <v>43647</v>
      </c>
      <c r="C485" s="103"/>
      <c r="D485" s="11"/>
      <c r="E485" s="12">
        <v>7</v>
      </c>
      <c r="F485" s="79">
        <v>4.468</v>
      </c>
      <c r="G485" s="79">
        <v>6.0000000000000001E-3</v>
      </c>
    </row>
    <row r="486" spans="1:14">
      <c r="A486" s="16">
        <v>2</v>
      </c>
      <c r="B486" s="76">
        <v>43647</v>
      </c>
      <c r="C486" s="103"/>
      <c r="D486" s="11"/>
      <c r="E486" s="12">
        <v>7</v>
      </c>
      <c r="F486" s="79">
        <v>3.464</v>
      </c>
      <c r="G486" s="79">
        <v>9.9989999999999996E-4</v>
      </c>
      <c r="I486" s="29">
        <f>AVERAGE(F485:F486)</f>
        <v>3.9660000000000002</v>
      </c>
      <c r="J486" s="29">
        <f>AVERAGE(G485:G486)</f>
        <v>3.4999499999999999E-3</v>
      </c>
      <c r="L486">
        <f>+J486/I486</f>
        <v>8.8248865355521934E-4</v>
      </c>
      <c r="M486">
        <f>+(L486-$L$619)/$L$620</f>
        <v>-0.38309024625020738</v>
      </c>
      <c r="N486">
        <f>+N484+M486</f>
        <v>5.8066874375633981</v>
      </c>
    </row>
    <row r="487" spans="1:14">
      <c r="A487" s="16">
        <v>16</v>
      </c>
      <c r="B487" s="76">
        <v>43678</v>
      </c>
      <c r="C487" s="103"/>
      <c r="D487" s="11"/>
      <c r="E487" s="12">
        <v>8</v>
      </c>
    </row>
    <row r="488" spans="1:14">
      <c r="A488" s="16">
        <v>2</v>
      </c>
      <c r="B488" s="76">
        <v>43678</v>
      </c>
      <c r="C488" s="103"/>
      <c r="D488" s="11"/>
      <c r="E488" s="12">
        <v>8</v>
      </c>
      <c r="I488" s="29"/>
      <c r="J488" s="29"/>
    </row>
    <row r="489" spans="1:14">
      <c r="A489" s="16">
        <v>16</v>
      </c>
      <c r="B489" s="76">
        <v>43709</v>
      </c>
      <c r="C489" s="103"/>
      <c r="D489" s="11"/>
      <c r="E489" s="12">
        <v>9</v>
      </c>
      <c r="F489" s="79">
        <v>4.1150000000000002</v>
      </c>
      <c r="G489" s="79">
        <v>9.9989999999999996E-4</v>
      </c>
    </row>
    <row r="490" spans="1:14">
      <c r="A490" s="16">
        <v>2</v>
      </c>
      <c r="B490" s="76">
        <v>43709</v>
      </c>
      <c r="C490" s="103"/>
      <c r="D490" s="11"/>
      <c r="E490" s="12">
        <v>9</v>
      </c>
      <c r="F490" s="79">
        <v>3.61</v>
      </c>
      <c r="G490" s="79">
        <v>9.9989999999999996E-4</v>
      </c>
      <c r="I490" s="29">
        <f>AVERAGE(F489:F490)</f>
        <v>3.8624999999999998</v>
      </c>
      <c r="J490" s="29">
        <f>AVERAGE(G489:G490)</f>
        <v>9.9989999999999996E-4</v>
      </c>
      <c r="L490">
        <f>+J490/I490</f>
        <v>2.5887378640776699E-4</v>
      </c>
      <c r="M490">
        <f>+(L490-$L$619)/$L$620</f>
        <v>-0.40129019330456184</v>
      </c>
      <c r="N490">
        <f>+N486+M490</f>
        <v>5.4053972442588361</v>
      </c>
    </row>
    <row r="491" spans="1:14">
      <c r="A491" s="16">
        <v>16</v>
      </c>
      <c r="B491" s="76">
        <v>43739</v>
      </c>
      <c r="C491" s="103"/>
      <c r="D491" s="11"/>
      <c r="E491" s="12">
        <v>10</v>
      </c>
      <c r="F491" s="79">
        <v>1.8440000000000001</v>
      </c>
      <c r="G491" s="79">
        <v>9.9989999999999996E-4</v>
      </c>
    </row>
    <row r="492" spans="1:14">
      <c r="A492" s="16">
        <v>2</v>
      </c>
      <c r="B492" s="76">
        <v>43739</v>
      </c>
      <c r="C492" s="103"/>
      <c r="D492" s="11"/>
      <c r="E492" s="12">
        <v>10</v>
      </c>
      <c r="F492" s="79">
        <v>1.2909999999999999</v>
      </c>
      <c r="G492" s="79">
        <v>9.9989999999999996E-4</v>
      </c>
      <c r="I492" s="29">
        <f>AVERAGE(F491:F492)</f>
        <v>1.5674999999999999</v>
      </c>
      <c r="J492" s="29">
        <f>AVERAGE(G491:G492)</f>
        <v>9.9989999999999996E-4</v>
      </c>
      <c r="L492">
        <f>+J492/I492</f>
        <v>6.378947368421053E-4</v>
      </c>
      <c r="M492">
        <f>+(L492-$L$619)/$L$620</f>
        <v>-0.39022862053938751</v>
      </c>
      <c r="N492">
        <f>+N490+M492</f>
        <v>5.0151686237194486</v>
      </c>
    </row>
    <row r="493" spans="1:14">
      <c r="A493" s="16">
        <v>2</v>
      </c>
      <c r="B493" s="76">
        <v>43770</v>
      </c>
      <c r="C493" s="103"/>
      <c r="D493" s="11"/>
      <c r="E493" s="12">
        <v>11</v>
      </c>
    </row>
    <row r="494" spans="1:14">
      <c r="A494" s="16">
        <v>16</v>
      </c>
      <c r="B494" s="76">
        <v>43770</v>
      </c>
      <c r="C494" s="103"/>
      <c r="D494" s="11"/>
      <c r="E494" s="12">
        <v>11</v>
      </c>
      <c r="I494" s="29"/>
      <c r="J494" s="29"/>
    </row>
    <row r="495" spans="1:14">
      <c r="A495" s="16">
        <v>2</v>
      </c>
      <c r="B495" s="77">
        <v>43800</v>
      </c>
      <c r="C495" s="103"/>
      <c r="D495" s="11"/>
      <c r="E495" s="12">
        <v>12</v>
      </c>
      <c r="F495" s="79">
        <v>1.1419999999999999</v>
      </c>
      <c r="G495" s="79">
        <v>9.9989999999999996E-4</v>
      </c>
    </row>
    <row r="496" spans="1:14">
      <c r="A496" s="16">
        <v>16</v>
      </c>
      <c r="B496" s="76">
        <v>43800</v>
      </c>
      <c r="C496" s="103"/>
      <c r="D496" s="11"/>
      <c r="E496" s="12">
        <v>12</v>
      </c>
      <c r="F496" s="79">
        <v>1.02</v>
      </c>
      <c r="G496" s="79">
        <v>9.9989999999999996E-4</v>
      </c>
      <c r="I496" s="29">
        <f>AVERAGE(F495:F496)</f>
        <v>1.081</v>
      </c>
      <c r="J496" s="29">
        <f>AVERAGE(G495:G496)</f>
        <v>9.9989999999999996E-4</v>
      </c>
      <c r="L496">
        <f>+J496/I496</f>
        <v>9.2497687326549495E-4</v>
      </c>
      <c r="M496">
        <f>+(L496-$L$619)/$L$620</f>
        <v>-0.38185024478472279</v>
      </c>
      <c r="N496">
        <f>+N492+M496</f>
        <v>4.6333183789347254</v>
      </c>
    </row>
    <row r="497" spans="1:14">
      <c r="A497" s="91">
        <v>2</v>
      </c>
      <c r="B497" s="92">
        <v>43831</v>
      </c>
      <c r="C497" s="93">
        <v>2020</v>
      </c>
      <c r="D497" s="94" t="s">
        <v>39</v>
      </c>
      <c r="E497" s="91">
        <v>1</v>
      </c>
    </row>
    <row r="498" spans="1:14">
      <c r="A498" s="16">
        <v>16</v>
      </c>
      <c r="B498" s="72">
        <v>43831</v>
      </c>
      <c r="C498">
        <v>2020</v>
      </c>
      <c r="D498" s="11" t="s">
        <v>39</v>
      </c>
      <c r="E498" s="16">
        <v>1</v>
      </c>
    </row>
    <row r="499" spans="1:14">
      <c r="A499" s="16">
        <v>2</v>
      </c>
      <c r="B499" s="76">
        <v>43862</v>
      </c>
      <c r="C499">
        <v>2020</v>
      </c>
      <c r="D499" s="11" t="s">
        <v>28</v>
      </c>
      <c r="E499" s="16">
        <v>2</v>
      </c>
      <c r="F499" s="107">
        <v>1.6419999999999999</v>
      </c>
      <c r="G499" s="107">
        <v>9.9989999999999996E-4</v>
      </c>
    </row>
    <row r="500" spans="1:14">
      <c r="A500" s="16">
        <v>16</v>
      </c>
      <c r="B500" s="76">
        <v>43862</v>
      </c>
      <c r="C500">
        <v>2020</v>
      </c>
      <c r="D500" s="11" t="s">
        <v>28</v>
      </c>
      <c r="E500" s="16">
        <v>2</v>
      </c>
      <c r="F500" s="107">
        <v>0.47299999999999998</v>
      </c>
      <c r="G500" s="107">
        <v>9.9989999999999996E-4</v>
      </c>
      <c r="I500" s="29">
        <f>AVERAGE(F499:F500)</f>
        <v>1.0574999999999999</v>
      </c>
      <c r="J500" s="29">
        <f>AVERAGE(G499:G500)</f>
        <v>9.9989999999999996E-4</v>
      </c>
      <c r="L500">
        <f>+J500/I500</f>
        <v>9.4553191489361713E-4</v>
      </c>
      <c r="M500">
        <f>+(L500-$L$619)/$L$620</f>
        <v>-0.38125035422880471</v>
      </c>
      <c r="N500">
        <f>+N496+M500</f>
        <v>4.2520680247059204</v>
      </c>
    </row>
    <row r="501" spans="1:14">
      <c r="A501" s="16">
        <v>2</v>
      </c>
      <c r="B501" s="76">
        <v>43891</v>
      </c>
      <c r="C501">
        <v>2020</v>
      </c>
      <c r="D501" s="11" t="s">
        <v>29</v>
      </c>
      <c r="E501" s="16">
        <v>3</v>
      </c>
    </row>
    <row r="502" spans="1:14">
      <c r="A502" s="16">
        <v>16</v>
      </c>
      <c r="B502" s="76">
        <v>43891</v>
      </c>
      <c r="C502">
        <v>2020</v>
      </c>
      <c r="D502" s="11" t="s">
        <v>29</v>
      </c>
      <c r="E502" s="16">
        <v>3</v>
      </c>
    </row>
    <row r="503" spans="1:14">
      <c r="A503" s="16">
        <v>2</v>
      </c>
      <c r="B503" s="76">
        <v>43922</v>
      </c>
      <c r="C503">
        <v>2020</v>
      </c>
      <c r="D503" s="11" t="s">
        <v>30</v>
      </c>
      <c r="E503" s="16">
        <v>4</v>
      </c>
    </row>
    <row r="504" spans="1:14">
      <c r="A504" s="16">
        <v>16</v>
      </c>
      <c r="B504" s="76">
        <v>43922</v>
      </c>
      <c r="C504">
        <v>2020</v>
      </c>
      <c r="D504" s="11" t="s">
        <v>30</v>
      </c>
      <c r="E504" s="16">
        <v>4</v>
      </c>
    </row>
    <row r="505" spans="1:14">
      <c r="A505" s="16">
        <v>2</v>
      </c>
      <c r="B505" s="76">
        <v>43952</v>
      </c>
      <c r="C505">
        <v>2020</v>
      </c>
      <c r="D505" s="11" t="s">
        <v>31</v>
      </c>
      <c r="E505" s="16">
        <v>5</v>
      </c>
    </row>
    <row r="506" spans="1:14">
      <c r="A506" s="16">
        <v>16</v>
      </c>
      <c r="B506" s="76">
        <v>43952</v>
      </c>
      <c r="C506">
        <v>2020</v>
      </c>
      <c r="D506" s="11" t="s">
        <v>31</v>
      </c>
      <c r="E506" s="16">
        <v>5</v>
      </c>
    </row>
    <row r="507" spans="1:14">
      <c r="A507" s="16">
        <v>2</v>
      </c>
      <c r="B507" s="76">
        <v>43983</v>
      </c>
      <c r="C507">
        <v>2020</v>
      </c>
      <c r="D507" s="11" t="s">
        <v>32</v>
      </c>
      <c r="E507" s="16">
        <v>6</v>
      </c>
      <c r="F507" s="107">
        <v>3.1960000000000002</v>
      </c>
      <c r="G507" s="107">
        <v>0.01</v>
      </c>
    </row>
    <row r="508" spans="1:14">
      <c r="A508" s="16">
        <v>16</v>
      </c>
      <c r="B508" s="76">
        <v>43983</v>
      </c>
      <c r="C508">
        <v>2020</v>
      </c>
      <c r="D508" s="11" t="s">
        <v>32</v>
      </c>
      <c r="E508" s="16">
        <v>6</v>
      </c>
      <c r="F508" s="107">
        <v>6.8529999999999998</v>
      </c>
      <c r="G508" s="107">
        <v>9.9989999999999996E-4</v>
      </c>
      <c r="I508" s="29">
        <f>AVERAGE(F507:F508)</f>
        <v>5.0244999999999997</v>
      </c>
      <c r="J508" s="29">
        <f>AVERAGE(G507:G508)</f>
        <v>5.49995E-3</v>
      </c>
      <c r="L508">
        <f>+J508/I508</f>
        <v>1.0946263309782069E-3</v>
      </c>
      <c r="M508">
        <f>+(L508-$L$619)/$L$620</f>
        <v>-0.37689909414539524</v>
      </c>
      <c r="N508">
        <f>+N500+M508</f>
        <v>3.875168930560525</v>
      </c>
    </row>
    <row r="509" spans="1:14">
      <c r="A509" s="16">
        <v>2</v>
      </c>
      <c r="B509" s="76">
        <v>44013</v>
      </c>
      <c r="C509">
        <v>2020</v>
      </c>
      <c r="D509" s="11" t="s">
        <v>33</v>
      </c>
      <c r="E509" s="16">
        <v>7</v>
      </c>
      <c r="F509" s="107">
        <v>9.3040000000000003</v>
      </c>
      <c r="G509" s="5">
        <v>1.95E-2</v>
      </c>
      <c r="H509" s="108" t="s">
        <v>103</v>
      </c>
    </row>
    <row r="510" spans="1:14">
      <c r="A510" s="16">
        <v>16</v>
      </c>
      <c r="B510" s="76">
        <v>44013</v>
      </c>
      <c r="C510">
        <v>2020</v>
      </c>
      <c r="D510" s="11" t="s">
        <v>33</v>
      </c>
      <c r="E510" s="16">
        <v>7</v>
      </c>
      <c r="F510" s="107">
        <v>5.8360000000000003</v>
      </c>
      <c r="G510" s="107">
        <v>1.9E-2</v>
      </c>
      <c r="I510" s="29">
        <f t="shared" ref="I510" si="0">AVERAGE(F509:F510)</f>
        <v>7.57</v>
      </c>
      <c r="J510" s="29">
        <f t="shared" ref="J510" si="1">AVERAGE(G509:G510)</f>
        <v>1.925E-2</v>
      </c>
      <c r="L510">
        <f t="shared" ref="L510" si="2">+J510/I510</f>
        <v>2.5429326287978861E-3</v>
      </c>
      <c r="M510">
        <f t="shared" ref="M510" si="3">+(L510-$L$619)/$L$620</f>
        <v>-0.33463086205628795</v>
      </c>
      <c r="N510">
        <f>+N508+M510</f>
        <v>3.5405380685042371</v>
      </c>
    </row>
    <row r="511" spans="1:14">
      <c r="A511" s="16">
        <v>2</v>
      </c>
      <c r="B511" s="76">
        <v>44044</v>
      </c>
      <c r="C511">
        <v>2020</v>
      </c>
      <c r="D511" s="11" t="s">
        <v>34</v>
      </c>
      <c r="E511" s="16">
        <v>8</v>
      </c>
      <c r="F511" s="107">
        <v>6.1509999999999998</v>
      </c>
      <c r="G511" s="107">
        <v>2.7E-2</v>
      </c>
    </row>
    <row r="512" spans="1:14">
      <c r="A512" s="16">
        <v>16</v>
      </c>
      <c r="B512" s="76">
        <v>44044</v>
      </c>
      <c r="C512">
        <v>2020</v>
      </c>
      <c r="D512" s="11" t="s">
        <v>34</v>
      </c>
      <c r="E512" s="16">
        <v>8</v>
      </c>
      <c r="F512" s="107">
        <v>8.2629999999999999</v>
      </c>
      <c r="G512" s="107">
        <v>9.9989999999999996E-4</v>
      </c>
      <c r="I512" s="29">
        <f t="shared" ref="I512" si="4">AVERAGE(F511:F512)</f>
        <v>7.2069999999999999</v>
      </c>
      <c r="J512" s="29">
        <f t="shared" ref="J512" si="5">AVERAGE(G511:G512)</f>
        <v>1.3999950000000001E-2</v>
      </c>
      <c r="L512">
        <f t="shared" ref="L512" si="6">+J512/I512</f>
        <v>1.9425489107811852E-3</v>
      </c>
      <c r="M512">
        <f t="shared" ref="M512" si="7">+(L512-$L$619)/$L$620</f>
        <v>-0.35215281744228227</v>
      </c>
      <c r="N512">
        <f t="shared" ref="N512" si="8">+N510+M512</f>
        <v>3.188385251061955</v>
      </c>
    </row>
    <row r="513" spans="1:14">
      <c r="A513" s="16">
        <v>2</v>
      </c>
      <c r="B513" s="76">
        <v>44075</v>
      </c>
      <c r="C513">
        <v>2020</v>
      </c>
      <c r="D513" s="11" t="s">
        <v>40</v>
      </c>
      <c r="E513" s="16">
        <v>9</v>
      </c>
      <c r="F513" s="107">
        <v>3.258</v>
      </c>
      <c r="G513" s="107">
        <v>8.9999999999999993E-3</v>
      </c>
    </row>
    <row r="514" spans="1:14">
      <c r="A514" s="16">
        <v>16</v>
      </c>
      <c r="B514" s="76">
        <v>44075</v>
      </c>
      <c r="C514">
        <v>2020</v>
      </c>
      <c r="D514" s="11" t="s">
        <v>40</v>
      </c>
      <c r="E514" s="16">
        <v>9</v>
      </c>
      <c r="F514" s="107">
        <v>2.2799999999999998</v>
      </c>
      <c r="G514" s="107">
        <v>9.9989999999999996E-4</v>
      </c>
      <c r="I514" s="29">
        <f t="shared" ref="I514" si="9">AVERAGE(F513:F514)</f>
        <v>2.7690000000000001</v>
      </c>
      <c r="J514" s="29">
        <f t="shared" ref="J514" si="10">AVERAGE(G513:G514)</f>
        <v>4.9999499999999995E-3</v>
      </c>
      <c r="L514">
        <f t="shared" ref="L514" si="11">+J514/I514</f>
        <v>1.805687973997833E-3</v>
      </c>
      <c r="M514">
        <f t="shared" ref="M514" si="12">+(L514-$L$619)/$L$620</f>
        <v>-0.35614704839232381</v>
      </c>
      <c r="N514">
        <f t="shared" ref="N514" si="13">+N512+M514</f>
        <v>2.8322382026696311</v>
      </c>
    </row>
    <row r="515" spans="1:14">
      <c r="A515" s="16">
        <v>2</v>
      </c>
      <c r="B515" s="76">
        <v>44105</v>
      </c>
      <c r="C515">
        <v>2020</v>
      </c>
      <c r="D515" s="11" t="s">
        <v>36</v>
      </c>
      <c r="E515" s="16">
        <v>10</v>
      </c>
      <c r="F515" s="107">
        <v>1.345</v>
      </c>
      <c r="G515" s="107">
        <v>9.9989999999999996E-4</v>
      </c>
    </row>
    <row r="516" spans="1:14">
      <c r="A516" s="16">
        <v>16</v>
      </c>
      <c r="B516" s="76">
        <v>44105</v>
      </c>
      <c r="C516">
        <v>2020</v>
      </c>
      <c r="D516" s="11" t="s">
        <v>36</v>
      </c>
      <c r="E516" s="16">
        <v>10</v>
      </c>
      <c r="F516" s="107">
        <v>1.117</v>
      </c>
      <c r="G516" s="107">
        <v>9.9989999999999996E-4</v>
      </c>
      <c r="I516" s="29">
        <f t="shared" ref="I516" si="14">AVERAGE(F515:F516)</f>
        <v>1.2309999999999999</v>
      </c>
      <c r="J516" s="29">
        <f t="shared" ref="J516" si="15">AVERAGE(G515:G516)</f>
        <v>9.9989999999999996E-4</v>
      </c>
      <c r="L516">
        <f t="shared" ref="L516" si="16">+J516/I516</f>
        <v>8.1226645004061748E-4</v>
      </c>
      <c r="M516">
        <f t="shared" ref="M516" si="17">+(L516-$L$619)/$L$620</f>
        <v>-0.38513965278833545</v>
      </c>
      <c r="N516">
        <f t="shared" ref="N516" si="18">+N514+M516</f>
        <v>2.4470985498812956</v>
      </c>
    </row>
    <row r="517" spans="1:14">
      <c r="A517" s="16">
        <v>2</v>
      </c>
      <c r="B517" s="76">
        <v>44136</v>
      </c>
      <c r="C517">
        <v>2020</v>
      </c>
      <c r="D517" s="11" t="s">
        <v>37</v>
      </c>
      <c r="E517" s="16">
        <v>11</v>
      </c>
      <c r="F517" s="109">
        <v>1.9065000000000001</v>
      </c>
      <c r="G517" s="109">
        <v>7.4999999999999997E-3</v>
      </c>
    </row>
    <row r="518" spans="1:14">
      <c r="A518" s="16">
        <v>16</v>
      </c>
      <c r="B518" s="76">
        <v>44136</v>
      </c>
      <c r="C518">
        <v>2020</v>
      </c>
      <c r="D518" s="11" t="s">
        <v>37</v>
      </c>
      <c r="E518" s="16">
        <v>11</v>
      </c>
      <c r="F518" s="107">
        <v>1.268</v>
      </c>
      <c r="G518" s="107">
        <v>9.9989999999999996E-4</v>
      </c>
      <c r="I518" s="29">
        <f t="shared" ref="I518:J518" si="19">AVERAGE(F517:F518)</f>
        <v>1.58725</v>
      </c>
      <c r="J518" s="29">
        <f t="shared" si="19"/>
        <v>4.2499499999999997E-3</v>
      </c>
      <c r="L518">
        <f t="shared" ref="L518" si="20">+J518/I518</f>
        <v>2.6775555205544176E-3</v>
      </c>
      <c r="M518">
        <f t="shared" ref="M518" si="21">+(L518-$L$619)/$L$620</f>
        <v>-0.33070194754294358</v>
      </c>
      <c r="N518">
        <f t="shared" ref="N518" si="22">+N516+M518</f>
        <v>2.116396602338352</v>
      </c>
    </row>
    <row r="519" spans="1:14">
      <c r="A519" s="16">
        <v>2</v>
      </c>
      <c r="B519" s="77">
        <v>44166</v>
      </c>
      <c r="C519">
        <v>2020</v>
      </c>
      <c r="D519" s="11" t="s">
        <v>38</v>
      </c>
      <c r="E519" s="16">
        <v>12</v>
      </c>
    </row>
    <row r="520" spans="1:14">
      <c r="A520" s="16">
        <v>16</v>
      </c>
      <c r="B520" s="76">
        <v>44166</v>
      </c>
      <c r="C520">
        <v>2020</v>
      </c>
      <c r="D520" s="11" t="s">
        <v>38</v>
      </c>
      <c r="E520" s="16">
        <v>12</v>
      </c>
    </row>
    <row r="521" spans="1:14">
      <c r="A521" s="91">
        <v>2</v>
      </c>
      <c r="B521" s="92">
        <v>44197</v>
      </c>
      <c r="C521" s="93">
        <v>2021</v>
      </c>
      <c r="D521" s="94" t="s">
        <v>39</v>
      </c>
      <c r="E521" s="91">
        <v>1</v>
      </c>
    </row>
    <row r="522" spans="1:14">
      <c r="A522" s="16">
        <v>16</v>
      </c>
      <c r="B522" s="72">
        <v>44197</v>
      </c>
      <c r="C522">
        <v>2021</v>
      </c>
      <c r="D522" s="11" t="s">
        <v>39</v>
      </c>
      <c r="E522" s="16">
        <v>1</v>
      </c>
    </row>
    <row r="523" spans="1:14">
      <c r="A523" s="16">
        <v>2</v>
      </c>
      <c r="B523" s="76">
        <v>44228</v>
      </c>
      <c r="C523">
        <v>2021</v>
      </c>
      <c r="D523" s="11" t="s">
        <v>28</v>
      </c>
      <c r="E523" s="16">
        <v>2</v>
      </c>
      <c r="F523" s="111">
        <v>7.3609999999999998</v>
      </c>
      <c r="G523" s="113">
        <v>2.4E-2</v>
      </c>
    </row>
    <row r="524" spans="1:14">
      <c r="A524" s="16">
        <v>16</v>
      </c>
      <c r="B524" s="76">
        <v>44228</v>
      </c>
      <c r="C524">
        <v>2021</v>
      </c>
      <c r="D524" s="11" t="s">
        <v>28</v>
      </c>
      <c r="E524" s="16">
        <v>2</v>
      </c>
      <c r="F524" s="113">
        <v>3.9689999999999999</v>
      </c>
      <c r="G524" s="113">
        <v>9.9989999999999996E-4</v>
      </c>
      <c r="I524" s="29">
        <f>AVERAGE(F523:F524)</f>
        <v>5.665</v>
      </c>
      <c r="J524" s="29">
        <f>AVERAGE(G523:G524)</f>
        <v>1.2499950000000001E-2</v>
      </c>
      <c r="L524">
        <f>+J524/I524</f>
        <v>2.2065225066195942E-3</v>
      </c>
      <c r="M524">
        <f>+(L524-$L$619)/$L$620</f>
        <v>-0.34444885507528084</v>
      </c>
      <c r="N524">
        <f>+N518+M524</f>
        <v>1.7719477472630711</v>
      </c>
    </row>
    <row r="525" spans="1:14">
      <c r="A525" s="16">
        <v>2</v>
      </c>
      <c r="B525" s="76">
        <v>44256</v>
      </c>
      <c r="C525">
        <v>2021</v>
      </c>
      <c r="D525" s="11" t="s">
        <v>29</v>
      </c>
      <c r="E525" s="16">
        <v>3</v>
      </c>
      <c r="F525" s="113">
        <v>2.6480000000000001</v>
      </c>
      <c r="G525" s="113">
        <v>2.5999999999999999E-2</v>
      </c>
    </row>
    <row r="526" spans="1:14">
      <c r="A526" s="16">
        <v>16</v>
      </c>
      <c r="B526" s="76">
        <v>44256</v>
      </c>
      <c r="C526">
        <v>2021</v>
      </c>
      <c r="D526" s="11" t="s">
        <v>29</v>
      </c>
      <c r="E526" s="16">
        <v>3</v>
      </c>
      <c r="F526" s="113">
        <v>1.1379999999999999</v>
      </c>
      <c r="G526" s="113">
        <v>2.1999999999999999E-2</v>
      </c>
      <c r="I526" s="29">
        <f t="shared" ref="I526" si="23">AVERAGE(F525:F526)</f>
        <v>1.893</v>
      </c>
      <c r="J526" s="29">
        <f t="shared" ref="J526" si="24">AVERAGE(G525:G526)</f>
        <v>2.4E-2</v>
      </c>
      <c r="L526">
        <f t="shared" ref="L526" si="25">+J526/I526</f>
        <v>1.2678288431061807E-2</v>
      </c>
      <c r="M526">
        <f t="shared" ref="M526" si="26">+(L526-$L$619)/$L$620</f>
        <v>-3.8834612326032927E-2</v>
      </c>
      <c r="N526">
        <f>+N524+M526</f>
        <v>1.7331131349370381</v>
      </c>
    </row>
    <row r="527" spans="1:14">
      <c r="A527" s="16">
        <v>2</v>
      </c>
      <c r="B527" s="76">
        <v>44287</v>
      </c>
      <c r="C527">
        <v>2021</v>
      </c>
      <c r="D527" s="11" t="s">
        <v>30</v>
      </c>
      <c r="E527" s="16">
        <v>4</v>
      </c>
      <c r="F527" s="113">
        <v>1.4339999999999999</v>
      </c>
      <c r="G527" s="113">
        <v>9.9989999999999996E-4</v>
      </c>
    </row>
    <row r="528" spans="1:14">
      <c r="A528" s="16">
        <v>16</v>
      </c>
      <c r="B528" s="76">
        <v>44287</v>
      </c>
      <c r="C528">
        <v>2021</v>
      </c>
      <c r="D528" s="11" t="s">
        <v>30</v>
      </c>
      <c r="E528" s="16">
        <v>4</v>
      </c>
      <c r="F528" s="113">
        <v>1.1919999999999999</v>
      </c>
      <c r="G528" s="113">
        <v>6.0000000000000001E-3</v>
      </c>
      <c r="I528" s="29">
        <f t="shared" ref="I528" si="27">AVERAGE(F527:F528)</f>
        <v>1.3129999999999999</v>
      </c>
      <c r="J528" s="29">
        <f t="shared" ref="J528" si="28">AVERAGE(G527:G528)</f>
        <v>3.4999499999999999E-3</v>
      </c>
      <c r="L528">
        <f t="shared" ref="L528" si="29">+J528/I528</f>
        <v>2.6656130997715155E-3</v>
      </c>
      <c r="M528">
        <f t="shared" ref="M528" si="30">+(L528-$L$619)/$L$620</f>
        <v>-0.331050482251463</v>
      </c>
      <c r="N528">
        <f t="shared" ref="N528" si="31">+N526+M528</f>
        <v>1.4020626526855751</v>
      </c>
    </row>
    <row r="529" spans="1:14">
      <c r="A529" s="16">
        <v>2</v>
      </c>
      <c r="B529" s="76">
        <v>44317</v>
      </c>
      <c r="C529">
        <v>2021</v>
      </c>
      <c r="D529" s="11" t="s">
        <v>31</v>
      </c>
      <c r="E529" s="16">
        <v>5</v>
      </c>
      <c r="F529" s="113">
        <v>5.2290000000000001</v>
      </c>
      <c r="G529" s="113">
        <v>1.7000000000000001E-2</v>
      </c>
    </row>
    <row r="530" spans="1:14">
      <c r="A530" s="16">
        <v>16</v>
      </c>
      <c r="B530" s="76">
        <v>44317</v>
      </c>
      <c r="C530">
        <v>2021</v>
      </c>
      <c r="D530" s="11" t="s">
        <v>31</v>
      </c>
      <c r="E530" s="16">
        <v>5</v>
      </c>
      <c r="F530" s="113">
        <v>2.319</v>
      </c>
      <c r="G530" s="113">
        <v>1.4999999999999999E-2</v>
      </c>
      <c r="I530" s="29">
        <f t="shared" ref="I530" si="32">AVERAGE(F529:F530)</f>
        <v>3.774</v>
      </c>
      <c r="J530" s="29">
        <f t="shared" ref="J530" si="33">AVERAGE(G529:G530)</f>
        <v>1.6E-2</v>
      </c>
      <c r="L530">
        <f t="shared" ref="L530" si="34">+J530/I530</f>
        <v>4.2395336512983575E-3</v>
      </c>
      <c r="M530">
        <f t="shared" ref="M530" si="35">+(L530-$L$619)/$L$620</f>
        <v>-0.2851162490979488</v>
      </c>
      <c r="N530">
        <f t="shared" ref="N530" si="36">+N528+M530</f>
        <v>1.1169464035876262</v>
      </c>
    </row>
    <row r="531" spans="1:14">
      <c r="A531" s="16">
        <v>2</v>
      </c>
      <c r="B531" s="76">
        <v>44348</v>
      </c>
      <c r="C531">
        <v>2021</v>
      </c>
      <c r="D531" s="11" t="s">
        <v>32</v>
      </c>
      <c r="E531" s="16">
        <v>6</v>
      </c>
      <c r="F531" s="113">
        <v>4.7839999999999998</v>
      </c>
      <c r="G531" s="113">
        <v>2.9000000000000001E-2</v>
      </c>
    </row>
    <row r="532" spans="1:14">
      <c r="A532" s="16">
        <v>16</v>
      </c>
      <c r="B532" s="76">
        <v>44348</v>
      </c>
      <c r="C532">
        <v>2021</v>
      </c>
      <c r="D532" s="11" t="s">
        <v>32</v>
      </c>
      <c r="E532" s="16">
        <v>6</v>
      </c>
      <c r="F532" s="113">
        <v>5.3979999999999997</v>
      </c>
      <c r="G532" s="113">
        <v>2.8000000000000001E-2</v>
      </c>
      <c r="I532" s="29">
        <f t="shared" ref="I532:J532" si="37">AVERAGE(F531:F532)</f>
        <v>5.0909999999999993</v>
      </c>
      <c r="J532" s="29">
        <f t="shared" si="37"/>
        <v>2.8500000000000001E-2</v>
      </c>
      <c r="L532">
        <f t="shared" ref="L532" si="38">+J532/I532</f>
        <v>5.5981143193871551E-3</v>
      </c>
      <c r="M532">
        <f t="shared" ref="M532" si="39">+(L532-$L$619)/$L$620</f>
        <v>-0.24546662313346837</v>
      </c>
      <c r="N532">
        <f t="shared" ref="N532" si="40">+N530+M532</f>
        <v>0.87147978045415786</v>
      </c>
    </row>
    <row r="533" spans="1:14">
      <c r="A533" s="16">
        <v>2</v>
      </c>
      <c r="B533" s="76">
        <v>44378</v>
      </c>
      <c r="C533">
        <v>2021</v>
      </c>
      <c r="D533" s="11" t="s">
        <v>33</v>
      </c>
      <c r="E533" s="16">
        <v>7</v>
      </c>
      <c r="H533" s="108" t="s">
        <v>109</v>
      </c>
    </row>
    <row r="534" spans="1:14">
      <c r="A534" s="16">
        <v>16</v>
      </c>
      <c r="B534" s="76">
        <v>44378</v>
      </c>
      <c r="C534">
        <v>2021</v>
      </c>
      <c r="D534" s="11" t="s">
        <v>33</v>
      </c>
      <c r="E534" s="16">
        <v>7</v>
      </c>
      <c r="H534" s="108" t="s">
        <v>110</v>
      </c>
      <c r="J534" s="29"/>
    </row>
    <row r="535" spans="1:14">
      <c r="A535" s="16">
        <v>2</v>
      </c>
      <c r="B535" s="76">
        <v>44409</v>
      </c>
      <c r="C535">
        <v>2021</v>
      </c>
      <c r="D535" s="11" t="s">
        <v>34</v>
      </c>
      <c r="E535" s="16">
        <v>8</v>
      </c>
      <c r="F535" s="113">
        <v>5.032</v>
      </c>
      <c r="G535" s="113">
        <v>8.9999999999999993E-3</v>
      </c>
    </row>
    <row r="536" spans="1:14">
      <c r="A536" s="16">
        <v>16</v>
      </c>
      <c r="B536" s="76">
        <v>44409</v>
      </c>
      <c r="C536">
        <v>2021</v>
      </c>
      <c r="D536" s="11" t="s">
        <v>34</v>
      </c>
      <c r="E536" s="16">
        <v>8</v>
      </c>
      <c r="F536" s="113">
        <v>4.444</v>
      </c>
      <c r="G536" s="113">
        <v>9.9989999999999996E-4</v>
      </c>
      <c r="I536" s="29">
        <f>AVERAGE(F535:F536)</f>
        <v>4.7379999999999995</v>
      </c>
      <c r="J536" s="29">
        <f t="shared" ref="J536" si="41">AVERAGE(G535:G536)</f>
        <v>4.9999499999999995E-3</v>
      </c>
      <c r="L536">
        <f t="shared" ref="L536" si="42">+J536/I536</f>
        <v>1.0552870409455467E-3</v>
      </c>
      <c r="M536">
        <f t="shared" ref="M536" si="43">+(L536-$L$619)/$L$620</f>
        <v>-0.37804719537496556</v>
      </c>
      <c r="N536">
        <f>+N532+M536</f>
        <v>0.4934325850791923</v>
      </c>
    </row>
    <row r="537" spans="1:14">
      <c r="A537" s="16">
        <v>2</v>
      </c>
      <c r="B537" s="76">
        <v>44440</v>
      </c>
      <c r="C537">
        <v>2021</v>
      </c>
      <c r="D537" s="11" t="s">
        <v>40</v>
      </c>
      <c r="E537" s="16">
        <v>9</v>
      </c>
      <c r="F537" s="113">
        <v>2.3610000000000002</v>
      </c>
      <c r="G537" s="113">
        <v>8.9999999999999993E-3</v>
      </c>
    </row>
    <row r="538" spans="1:14">
      <c r="A538" s="16">
        <v>16</v>
      </c>
      <c r="B538" s="76">
        <v>44440</v>
      </c>
      <c r="C538">
        <v>2021</v>
      </c>
      <c r="D538" s="11" t="s">
        <v>40</v>
      </c>
      <c r="E538" s="16">
        <v>9</v>
      </c>
      <c r="F538" s="113">
        <v>2.036</v>
      </c>
      <c r="G538" s="113">
        <v>8.9999999999999993E-3</v>
      </c>
      <c r="I538" s="29">
        <f t="shared" ref="I538" si="44">AVERAGE(F537:F538)</f>
        <v>2.1985000000000001</v>
      </c>
      <c r="J538" s="29">
        <f t="shared" ref="J538" si="45">AVERAGE(G537:G538)</f>
        <v>8.9999999999999993E-3</v>
      </c>
      <c r="L538">
        <f t="shared" ref="L538" si="46">+J538/I538</f>
        <v>4.0937002501705705E-3</v>
      </c>
      <c r="M538">
        <f t="shared" ref="M538" si="47">+(L538-$L$619)/$L$620</f>
        <v>-0.28937233778201571</v>
      </c>
      <c r="N538">
        <f t="shared" ref="N538" si="48">+N536+M538</f>
        <v>0.20406024729717659</v>
      </c>
    </row>
    <row r="539" spans="1:14">
      <c r="A539" s="16">
        <v>2</v>
      </c>
      <c r="B539" s="76">
        <v>44470</v>
      </c>
      <c r="C539">
        <v>2021</v>
      </c>
      <c r="D539" s="11" t="s">
        <v>36</v>
      </c>
      <c r="E539" s="16">
        <v>10</v>
      </c>
      <c r="F539" s="113">
        <v>0.96599999999999997</v>
      </c>
      <c r="G539" s="113">
        <v>9.9989999999999996E-4</v>
      </c>
    </row>
    <row r="540" spans="1:14">
      <c r="A540" s="16">
        <v>16</v>
      </c>
      <c r="B540" s="76">
        <v>44470</v>
      </c>
      <c r="C540">
        <v>2021</v>
      </c>
      <c r="D540" s="11" t="s">
        <v>36</v>
      </c>
      <c r="E540" s="16">
        <v>10</v>
      </c>
      <c r="F540" s="113">
        <v>1.0189999999999999</v>
      </c>
      <c r="G540" s="113">
        <v>9.9989999999999996E-4</v>
      </c>
      <c r="I540" s="29">
        <f t="shared" ref="I540" si="49">AVERAGE(F539:F540)</f>
        <v>0.99249999999999994</v>
      </c>
      <c r="J540" s="29">
        <f t="shared" ref="J540" si="50">AVERAGE(G539:G540)</f>
        <v>9.9989999999999996E-4</v>
      </c>
      <c r="L540">
        <f t="shared" ref="L540" si="51">+J540/I540</f>
        <v>1.007455919395466E-3</v>
      </c>
      <c r="M540">
        <f t="shared" ref="M540" si="52">+(L540-$L$619)/$L$620</f>
        <v>-0.3794431272643764</v>
      </c>
      <c r="N540">
        <f t="shared" ref="N540" si="53">+N538+M540</f>
        <v>-0.17538287996719981</v>
      </c>
    </row>
    <row r="541" spans="1:14">
      <c r="A541" s="16">
        <v>2</v>
      </c>
      <c r="B541" s="76">
        <v>44501</v>
      </c>
      <c r="C541">
        <v>2021</v>
      </c>
      <c r="D541" s="11" t="s">
        <v>37</v>
      </c>
      <c r="E541" s="108" t="s">
        <v>109</v>
      </c>
      <c r="F541" s="110">
        <v>1.0035000000000001</v>
      </c>
      <c r="G541" s="113">
        <v>9.9989999999999996E-4</v>
      </c>
    </row>
    <row r="542" spans="1:14">
      <c r="A542" s="16">
        <v>16</v>
      </c>
      <c r="B542" s="76">
        <v>44501</v>
      </c>
      <c r="C542">
        <v>2021</v>
      </c>
      <c r="D542" s="11" t="s">
        <v>37</v>
      </c>
      <c r="E542" s="108" t="s">
        <v>110</v>
      </c>
      <c r="F542" s="113">
        <v>0.98499999999999999</v>
      </c>
      <c r="G542" s="113">
        <v>9.9989999999999996E-4</v>
      </c>
      <c r="I542" s="29">
        <f t="shared" ref="I542" si="54">AVERAGE(F541:F542)</f>
        <v>0.99425000000000008</v>
      </c>
      <c r="J542" s="29">
        <f t="shared" ref="J542" si="55">AVERAGE(G541:G542)</f>
        <v>9.9989999999999996E-4</v>
      </c>
      <c r="L542">
        <f t="shared" ref="L542" si="56">+J542/I542</f>
        <v>1.0056826753834548E-3</v>
      </c>
      <c r="M542">
        <f t="shared" ref="M542" si="57">+(L542-$L$619)/$L$620</f>
        <v>-0.37949487867190884</v>
      </c>
      <c r="N542">
        <f t="shared" ref="N542" si="58">+N540+M542</f>
        <v>-0.55487775863910871</v>
      </c>
    </row>
    <row r="543" spans="1:14">
      <c r="A543" s="16">
        <v>2</v>
      </c>
      <c r="B543" s="77">
        <v>44531</v>
      </c>
      <c r="C543">
        <v>2021</v>
      </c>
      <c r="D543" s="11" t="s">
        <v>38</v>
      </c>
      <c r="E543" s="16">
        <v>12</v>
      </c>
      <c r="F543" s="113">
        <v>1.1919999999999999</v>
      </c>
      <c r="G543" s="113">
        <v>1.4E-2</v>
      </c>
    </row>
    <row r="544" spans="1:14">
      <c r="A544" s="16">
        <v>16</v>
      </c>
      <c r="B544" s="76">
        <v>44531</v>
      </c>
      <c r="C544">
        <v>2021</v>
      </c>
      <c r="D544" s="11" t="s">
        <v>38</v>
      </c>
      <c r="E544" s="16">
        <v>12</v>
      </c>
      <c r="F544" s="113">
        <v>1.1439999999999999</v>
      </c>
      <c r="G544" s="113">
        <v>1.4E-2</v>
      </c>
      <c r="I544" s="29">
        <f t="shared" ref="I544:J544" si="59">AVERAGE(F543:F544)</f>
        <v>1.1679999999999999</v>
      </c>
      <c r="J544" s="29">
        <f t="shared" si="59"/>
        <v>1.4E-2</v>
      </c>
      <c r="L544">
        <f t="shared" ref="L544" si="60">+J544/I544</f>
        <v>1.1986301369863015E-2</v>
      </c>
      <c r="M544">
        <f t="shared" ref="M544" si="61">+(L544-$L$619)/$L$620</f>
        <v>-5.9029974142412636E-2</v>
      </c>
      <c r="N544">
        <f t="shared" ref="N544" si="62">+N542+M544</f>
        <v>-0.61390773278152133</v>
      </c>
    </row>
    <row r="545" spans="1:8">
      <c r="A545" s="91">
        <v>2</v>
      </c>
      <c r="B545" s="92">
        <v>44562</v>
      </c>
      <c r="C545" s="93">
        <v>2022</v>
      </c>
      <c r="D545" s="94" t="s">
        <v>39</v>
      </c>
      <c r="E545" s="91">
        <v>1</v>
      </c>
      <c r="H545" s="108" t="s">
        <v>106</v>
      </c>
    </row>
    <row r="546" spans="1:8">
      <c r="A546" s="16">
        <v>16</v>
      </c>
      <c r="B546" s="72">
        <v>44562</v>
      </c>
      <c r="C546">
        <v>2022</v>
      </c>
      <c r="D546" s="11" t="s">
        <v>39</v>
      </c>
      <c r="E546" s="16">
        <v>1</v>
      </c>
      <c r="H546" s="108" t="s">
        <v>107</v>
      </c>
    </row>
    <row r="547" spans="1:8">
      <c r="A547" s="16">
        <v>2</v>
      </c>
      <c r="B547" s="76">
        <v>44593</v>
      </c>
      <c r="C547">
        <v>2022</v>
      </c>
      <c r="D547" s="11" t="s">
        <v>28</v>
      </c>
      <c r="E547" s="16">
        <v>2</v>
      </c>
      <c r="H547" s="108" t="s">
        <v>108</v>
      </c>
    </row>
    <row r="548" spans="1:8">
      <c r="A548" s="16">
        <v>16</v>
      </c>
      <c r="B548" s="76">
        <v>44593</v>
      </c>
      <c r="C548">
        <v>2022</v>
      </c>
      <c r="D548" s="11" t="s">
        <v>28</v>
      </c>
      <c r="E548" s="16">
        <v>2</v>
      </c>
    </row>
    <row r="549" spans="1:8">
      <c r="A549" s="16">
        <v>2</v>
      </c>
      <c r="B549" s="76">
        <v>44621</v>
      </c>
      <c r="C549">
        <v>2022</v>
      </c>
      <c r="D549" s="11" t="s">
        <v>29</v>
      </c>
      <c r="E549" s="16">
        <v>3</v>
      </c>
    </row>
    <row r="550" spans="1:8">
      <c r="A550" s="16">
        <v>16</v>
      </c>
      <c r="B550" s="76">
        <v>44621</v>
      </c>
      <c r="C550">
        <v>2022</v>
      </c>
      <c r="D550" s="11" t="s">
        <v>29</v>
      </c>
      <c r="E550" s="16">
        <v>3</v>
      </c>
    </row>
    <row r="551" spans="1:8">
      <c r="A551" s="16">
        <v>2</v>
      </c>
      <c r="B551" s="76">
        <v>44652</v>
      </c>
      <c r="C551">
        <v>2022</v>
      </c>
      <c r="D551" s="11" t="s">
        <v>30</v>
      </c>
      <c r="E551" s="16">
        <v>4</v>
      </c>
    </row>
    <row r="552" spans="1:8">
      <c r="A552" s="16">
        <v>16</v>
      </c>
      <c r="B552" s="76">
        <v>44652</v>
      </c>
      <c r="C552">
        <v>2022</v>
      </c>
      <c r="D552" s="11" t="s">
        <v>30</v>
      </c>
      <c r="E552" s="16">
        <v>4</v>
      </c>
    </row>
    <row r="553" spans="1:8">
      <c r="A553" s="16">
        <v>2</v>
      </c>
      <c r="B553" s="76">
        <v>44682</v>
      </c>
      <c r="C553">
        <v>2022</v>
      </c>
      <c r="D553" s="11" t="s">
        <v>31</v>
      </c>
      <c r="E553" s="16">
        <v>5</v>
      </c>
    </row>
    <row r="554" spans="1:8">
      <c r="A554" s="16">
        <v>16</v>
      </c>
      <c r="B554" s="76">
        <v>44682</v>
      </c>
      <c r="C554">
        <v>2022</v>
      </c>
      <c r="D554" s="11" t="s">
        <v>31</v>
      </c>
      <c r="E554" s="16">
        <v>5</v>
      </c>
    </row>
    <row r="555" spans="1:8">
      <c r="A555" s="16">
        <v>2</v>
      </c>
      <c r="B555" s="76">
        <v>44713</v>
      </c>
      <c r="C555">
        <v>2022</v>
      </c>
      <c r="D555" s="11" t="s">
        <v>32</v>
      </c>
      <c r="E555" s="16">
        <v>6</v>
      </c>
    </row>
    <row r="556" spans="1:8">
      <c r="A556" s="16">
        <v>16</v>
      </c>
      <c r="B556" s="76">
        <v>44713</v>
      </c>
      <c r="C556">
        <v>2022</v>
      </c>
      <c r="D556" s="11" t="s">
        <v>32</v>
      </c>
      <c r="E556" s="16">
        <v>6</v>
      </c>
    </row>
    <row r="557" spans="1:8">
      <c r="A557" s="16">
        <v>2</v>
      </c>
      <c r="B557" s="76">
        <v>44743</v>
      </c>
      <c r="C557">
        <v>2022</v>
      </c>
      <c r="D557" s="11" t="s">
        <v>33</v>
      </c>
      <c r="E557" s="16">
        <v>7</v>
      </c>
    </row>
    <row r="558" spans="1:8">
      <c r="A558" s="16">
        <v>16</v>
      </c>
      <c r="B558" s="76">
        <v>44743</v>
      </c>
      <c r="C558">
        <v>2022</v>
      </c>
      <c r="D558" s="11" t="s">
        <v>33</v>
      </c>
      <c r="E558" s="16">
        <v>7</v>
      </c>
    </row>
    <row r="559" spans="1:8">
      <c r="A559" s="16">
        <v>2</v>
      </c>
      <c r="B559" s="76">
        <v>44774</v>
      </c>
      <c r="C559">
        <v>2022</v>
      </c>
      <c r="D559" s="11" t="s">
        <v>34</v>
      </c>
      <c r="E559" s="16">
        <v>8</v>
      </c>
    </row>
    <row r="560" spans="1:8">
      <c r="A560" s="16">
        <v>16</v>
      </c>
      <c r="B560" s="76">
        <v>44774</v>
      </c>
      <c r="C560">
        <v>2022</v>
      </c>
      <c r="D560" s="11" t="s">
        <v>34</v>
      </c>
      <c r="E560" s="16">
        <v>8</v>
      </c>
    </row>
    <row r="561" spans="1:14">
      <c r="A561" s="16">
        <v>2</v>
      </c>
      <c r="B561" s="76">
        <v>44805</v>
      </c>
      <c r="C561">
        <v>2022</v>
      </c>
      <c r="D561" s="11" t="s">
        <v>40</v>
      </c>
      <c r="E561" s="16">
        <v>9</v>
      </c>
    </row>
    <row r="562" spans="1:14">
      <c r="A562" s="16">
        <v>16</v>
      </c>
      <c r="B562" s="76">
        <v>44805</v>
      </c>
      <c r="C562">
        <v>2022</v>
      </c>
      <c r="D562" s="11" t="s">
        <v>40</v>
      </c>
      <c r="E562" s="16">
        <v>9</v>
      </c>
    </row>
    <row r="563" spans="1:14">
      <c r="A563" s="16">
        <v>2</v>
      </c>
      <c r="B563" s="76">
        <v>44835</v>
      </c>
      <c r="C563">
        <v>2022</v>
      </c>
      <c r="D563" s="11" t="s">
        <v>36</v>
      </c>
      <c r="E563" s="16">
        <v>10</v>
      </c>
    </row>
    <row r="564" spans="1:14">
      <c r="A564" s="16">
        <v>16</v>
      </c>
      <c r="B564" s="76">
        <v>44835</v>
      </c>
      <c r="C564">
        <v>2022</v>
      </c>
      <c r="D564" s="11" t="s">
        <v>36</v>
      </c>
      <c r="E564" s="16">
        <v>10</v>
      </c>
    </row>
    <row r="565" spans="1:14">
      <c r="A565" s="16">
        <v>2</v>
      </c>
      <c r="B565" s="76">
        <v>44866</v>
      </c>
      <c r="C565">
        <v>2022</v>
      </c>
      <c r="D565" s="11" t="s">
        <v>37</v>
      </c>
      <c r="E565" s="16">
        <v>11</v>
      </c>
    </row>
    <row r="566" spans="1:14">
      <c r="A566" s="16">
        <v>16</v>
      </c>
      <c r="B566" s="76">
        <v>44866</v>
      </c>
      <c r="C566">
        <v>2022</v>
      </c>
      <c r="D566" s="11" t="s">
        <v>37</v>
      </c>
      <c r="E566" s="16">
        <v>11</v>
      </c>
    </row>
    <row r="567" spans="1:14">
      <c r="A567" s="16">
        <v>2</v>
      </c>
      <c r="B567" s="77">
        <v>44896</v>
      </c>
      <c r="C567">
        <v>2022</v>
      </c>
      <c r="D567" s="11" t="s">
        <v>38</v>
      </c>
      <c r="E567" s="16">
        <v>12</v>
      </c>
    </row>
    <row r="568" spans="1:14">
      <c r="A568" s="16">
        <v>16</v>
      </c>
      <c r="B568" s="76">
        <v>44896</v>
      </c>
      <c r="C568">
        <v>2022</v>
      </c>
      <c r="D568" s="11" t="s">
        <v>38</v>
      </c>
      <c r="E568" s="16">
        <v>12</v>
      </c>
    </row>
    <row r="569" spans="1:14">
      <c r="A569" s="91">
        <v>2</v>
      </c>
      <c r="B569" s="92">
        <v>44927</v>
      </c>
      <c r="C569" s="93">
        <v>2023</v>
      </c>
      <c r="D569" s="94" t="s">
        <v>39</v>
      </c>
      <c r="E569" s="91">
        <v>1</v>
      </c>
      <c r="F569" s="114">
        <v>3.903</v>
      </c>
      <c r="G569" s="113">
        <v>0.01</v>
      </c>
    </row>
    <row r="570" spans="1:14">
      <c r="A570" s="16">
        <v>16</v>
      </c>
      <c r="B570" s="72">
        <v>44927</v>
      </c>
      <c r="C570">
        <v>2023</v>
      </c>
      <c r="D570" s="11" t="s">
        <v>39</v>
      </c>
      <c r="E570" s="16">
        <v>1</v>
      </c>
      <c r="F570" s="114">
        <v>3.43</v>
      </c>
      <c r="G570" s="113">
        <v>9.9989999999999996E-4</v>
      </c>
      <c r="I570" s="29">
        <f>AVERAGE(F569:F570)</f>
        <v>3.6665000000000001</v>
      </c>
      <c r="J570" s="29">
        <f>AVERAGE(G569:G570)</f>
        <v>5.49995E-3</v>
      </c>
      <c r="L570">
        <f>+J570/I570</f>
        <v>1.500054547933997E-3</v>
      </c>
      <c r="M570">
        <f>+(L570-$L$619)/$L$620</f>
        <v>-0.36506683601356332</v>
      </c>
      <c r="N570">
        <f>+N544+M570</f>
        <v>-0.9789745687950846</v>
      </c>
    </row>
    <row r="571" spans="1:14">
      <c r="A571" s="16">
        <v>2</v>
      </c>
      <c r="B571" s="76">
        <v>44958</v>
      </c>
      <c r="C571">
        <v>2023</v>
      </c>
      <c r="D571" s="11" t="s">
        <v>28</v>
      </c>
      <c r="E571" s="16">
        <v>2</v>
      </c>
      <c r="F571" s="115">
        <v>1.373</v>
      </c>
      <c r="G571" s="115">
        <v>0.01</v>
      </c>
    </row>
    <row r="572" spans="1:14">
      <c r="A572" s="16">
        <v>16</v>
      </c>
      <c r="B572" s="76">
        <v>44958</v>
      </c>
      <c r="C572">
        <v>2023</v>
      </c>
      <c r="D572" s="11" t="s">
        <v>28</v>
      </c>
      <c r="E572" s="16">
        <v>2</v>
      </c>
      <c r="F572" s="115">
        <v>2.0139999999999998</v>
      </c>
      <c r="G572" s="115">
        <v>2.1999999999999999E-2</v>
      </c>
      <c r="I572" s="29">
        <f t="shared" ref="I572" si="63">AVERAGE(F571:F572)</f>
        <v>1.6934999999999998</v>
      </c>
      <c r="J572" s="29">
        <f t="shared" ref="J572" si="64">AVERAGE(G571:G572)</f>
        <v>1.6E-2</v>
      </c>
      <c r="L572">
        <f t="shared" ref="L572" si="65">+J572/I572</f>
        <v>9.4478889873044012E-3</v>
      </c>
      <c r="M572">
        <f t="shared" ref="M572" si="66">+(L572-$L$619)/$L$620</f>
        <v>-0.13311251033339297</v>
      </c>
      <c r="N572">
        <f>+N570+M572</f>
        <v>-1.1120870791284776</v>
      </c>
    </row>
    <row r="573" spans="1:14">
      <c r="A573" s="16">
        <v>2</v>
      </c>
      <c r="B573" s="76">
        <v>44986</v>
      </c>
      <c r="C573">
        <v>2023</v>
      </c>
      <c r="D573" s="11" t="s">
        <v>29</v>
      </c>
      <c r="E573" s="16">
        <v>3</v>
      </c>
      <c r="F573" s="115">
        <v>4.9329999999999998</v>
      </c>
      <c r="G573" s="115">
        <v>1.7999999999999999E-2</v>
      </c>
    </row>
    <row r="574" spans="1:14">
      <c r="A574" s="16">
        <v>16</v>
      </c>
      <c r="B574" s="76">
        <v>44986</v>
      </c>
      <c r="C574">
        <v>2023</v>
      </c>
      <c r="D574" s="11" t="s">
        <v>29</v>
      </c>
      <c r="E574" s="16">
        <v>3</v>
      </c>
      <c r="F574" s="115">
        <v>4.423</v>
      </c>
      <c r="G574" s="115">
        <v>1.7000000000000001E-2</v>
      </c>
      <c r="I574" s="29">
        <f t="shared" ref="I574" si="67">AVERAGE(F573:F574)</f>
        <v>4.6779999999999999</v>
      </c>
      <c r="J574" s="29">
        <f t="shared" ref="J574" si="68">AVERAGE(G573:G574)</f>
        <v>1.7500000000000002E-2</v>
      </c>
      <c r="L574">
        <f t="shared" ref="L574" si="69">+J574/I574</f>
        <v>3.7409149209063708E-3</v>
      </c>
      <c r="M574">
        <f t="shared" ref="M574" si="70">+(L574-$L$619)/$L$620</f>
        <v>-0.29966823458051722</v>
      </c>
      <c r="N574">
        <f t="shared" ref="N574" si="71">+N572+M574</f>
        <v>-1.4117553137089949</v>
      </c>
    </row>
    <row r="575" spans="1:14">
      <c r="A575" s="16">
        <v>2</v>
      </c>
      <c r="B575" s="76">
        <v>45017</v>
      </c>
      <c r="C575">
        <v>2023</v>
      </c>
      <c r="D575" s="11" t="s">
        <v>30</v>
      </c>
      <c r="E575" s="16">
        <v>4</v>
      </c>
      <c r="F575" s="115">
        <v>5.367</v>
      </c>
      <c r="G575" s="115">
        <v>1.9E-2</v>
      </c>
    </row>
    <row r="576" spans="1:14">
      <c r="A576" s="16">
        <v>16</v>
      </c>
      <c r="B576" s="76">
        <v>45017</v>
      </c>
      <c r="C576">
        <v>2023</v>
      </c>
      <c r="D576" s="11" t="s">
        <v>30</v>
      </c>
      <c r="E576" s="16">
        <v>4</v>
      </c>
      <c r="F576" s="115">
        <v>4.3739999999999997</v>
      </c>
      <c r="G576" s="115">
        <v>1.9E-2</v>
      </c>
      <c r="I576" s="29">
        <f t="shared" ref="I576" si="72">AVERAGE(F575:F576)</f>
        <v>4.8704999999999998</v>
      </c>
      <c r="J576" s="29">
        <f t="shared" ref="J576" si="73">AVERAGE(G575:G576)</f>
        <v>1.9E-2</v>
      </c>
      <c r="L576">
        <f t="shared" ref="L576" si="74">+J576/I576</f>
        <v>3.9010368545323889E-3</v>
      </c>
      <c r="M576">
        <f t="shared" ref="M576" si="75">+(L576-$L$619)/$L$620</f>
        <v>-0.29499514086874512</v>
      </c>
      <c r="N576">
        <f t="shared" ref="N576" si="76">+N574+M576</f>
        <v>-1.7067504545777399</v>
      </c>
    </row>
    <row r="577" spans="1:14">
      <c r="A577" s="16">
        <v>2</v>
      </c>
      <c r="B577" s="76">
        <v>45047</v>
      </c>
      <c r="C577">
        <v>2023</v>
      </c>
      <c r="D577" s="11" t="s">
        <v>31</v>
      </c>
      <c r="E577" s="16">
        <v>5</v>
      </c>
      <c r="F577" s="115">
        <v>1.7250000000000001</v>
      </c>
      <c r="G577" s="116">
        <v>9.9989999999999996E-4</v>
      </c>
    </row>
    <row r="578" spans="1:14">
      <c r="A578" s="16">
        <v>16</v>
      </c>
      <c r="B578" s="76">
        <v>45047</v>
      </c>
      <c r="C578">
        <v>2023</v>
      </c>
      <c r="D578" s="11" t="s">
        <v>31</v>
      </c>
      <c r="E578" s="16">
        <v>5</v>
      </c>
      <c r="F578" s="115">
        <v>2.133</v>
      </c>
      <c r="G578" s="115">
        <v>8.9999999999999993E-3</v>
      </c>
      <c r="I578" s="29">
        <f t="shared" ref="I578" si="77">AVERAGE(F577:F578)</f>
        <v>1.929</v>
      </c>
      <c r="J578" s="29">
        <f t="shared" ref="J578" si="78">AVERAGE(G577:G578)</f>
        <v>4.9999499999999995E-3</v>
      </c>
      <c r="L578">
        <f t="shared" ref="L578" si="79">+J578/I578</f>
        <v>2.5919906687402795E-3</v>
      </c>
      <c r="M578">
        <f t="shared" ref="M578" si="80">+(L578-$L$619)/$L$620</f>
        <v>-0.33319912305104898</v>
      </c>
      <c r="N578">
        <f t="shared" ref="N578" si="81">+N576+M578</f>
        <v>-2.0399495776287888</v>
      </c>
    </row>
    <row r="579" spans="1:14">
      <c r="A579" s="16">
        <v>2</v>
      </c>
      <c r="B579" s="76">
        <v>45078</v>
      </c>
      <c r="C579">
        <v>2023</v>
      </c>
      <c r="D579" s="11" t="s">
        <v>32</v>
      </c>
      <c r="E579" s="16">
        <v>6</v>
      </c>
      <c r="F579" s="115">
        <v>4.9729999999999999</v>
      </c>
      <c r="G579" s="115">
        <v>1.4999999999999999E-2</v>
      </c>
    </row>
    <row r="580" spans="1:14">
      <c r="A580" s="16">
        <v>16</v>
      </c>
      <c r="B580" s="76">
        <v>45078</v>
      </c>
      <c r="C580">
        <v>2023</v>
      </c>
      <c r="D580" s="11" t="s">
        <v>32</v>
      </c>
      <c r="E580" s="16">
        <v>6</v>
      </c>
      <c r="F580" s="115">
        <v>4.6719999999999997</v>
      </c>
      <c r="G580" s="116">
        <v>9.9989999999999996E-4</v>
      </c>
      <c r="I580" s="29">
        <f t="shared" ref="I580" si="82">AVERAGE(F579:F580)</f>
        <v>4.8224999999999998</v>
      </c>
      <c r="J580" s="29">
        <f t="shared" ref="J580" si="83">AVERAGE(G579:G580)</f>
        <v>7.9999500000000005E-3</v>
      </c>
      <c r="L580">
        <f t="shared" ref="L580" si="84">+J580/I580</f>
        <v>1.6588802488335928E-3</v>
      </c>
      <c r="M580">
        <f t="shared" ref="M580" si="85">+(L580-$L$619)/$L$620</f>
        <v>-0.36043157232835693</v>
      </c>
      <c r="N580">
        <f t="shared" ref="N580" si="86">+N578+M580</f>
        <v>-2.4003811499571457</v>
      </c>
    </row>
    <row r="581" spans="1:14">
      <c r="A581" s="16">
        <v>2</v>
      </c>
      <c r="B581" s="76">
        <v>45108</v>
      </c>
      <c r="C581">
        <v>2023</v>
      </c>
      <c r="D581" s="11" t="s">
        <v>33</v>
      </c>
      <c r="E581" s="16">
        <v>7</v>
      </c>
      <c r="F581" s="115">
        <v>5.7270000000000003</v>
      </c>
      <c r="G581" s="115">
        <v>0.02</v>
      </c>
    </row>
    <row r="582" spans="1:14">
      <c r="A582" s="16">
        <v>16</v>
      </c>
      <c r="B582" s="76">
        <v>45108</v>
      </c>
      <c r="C582">
        <v>2023</v>
      </c>
      <c r="D582" s="11" t="s">
        <v>33</v>
      </c>
      <c r="E582" s="16">
        <v>7</v>
      </c>
      <c r="F582" s="115">
        <v>7.0720000000000001</v>
      </c>
      <c r="G582" s="115">
        <v>1.0999999999999999E-2</v>
      </c>
      <c r="I582" s="29">
        <f t="shared" ref="I582" si="87">AVERAGE(F581:F582)</f>
        <v>6.3994999999999997</v>
      </c>
      <c r="J582" s="29">
        <f t="shared" ref="J582" si="88">AVERAGE(G581:G582)</f>
        <v>1.55E-2</v>
      </c>
      <c r="L582">
        <f t="shared" ref="L582" si="89">+J582/I582</f>
        <v>2.4220642237674818E-3</v>
      </c>
      <c r="M582">
        <f t="shared" ref="M582" si="90">+(L582-$L$619)/$L$620</f>
        <v>-0.33815835745125827</v>
      </c>
      <c r="N582">
        <f t="shared" ref="N582" si="91">+N580+M582</f>
        <v>-2.738539507408404</v>
      </c>
    </row>
    <row r="583" spans="1:14">
      <c r="A583" s="16">
        <v>2</v>
      </c>
      <c r="B583" s="76">
        <v>45139</v>
      </c>
      <c r="C583">
        <v>2023</v>
      </c>
      <c r="D583" s="11" t="s">
        <v>34</v>
      </c>
      <c r="E583" s="16">
        <v>8</v>
      </c>
      <c r="F583" s="115">
        <v>3.31</v>
      </c>
      <c r="G583" s="115">
        <v>0.02</v>
      </c>
    </row>
    <row r="584" spans="1:14">
      <c r="A584" s="16">
        <v>16</v>
      </c>
      <c r="B584" s="76">
        <v>45139</v>
      </c>
      <c r="C584">
        <v>2023</v>
      </c>
      <c r="D584" s="11" t="s">
        <v>34</v>
      </c>
      <c r="E584" s="16">
        <v>8</v>
      </c>
      <c r="F584" s="115">
        <v>6.7450000000000001</v>
      </c>
      <c r="G584" s="115">
        <v>2.3E-2</v>
      </c>
      <c r="I584" s="29">
        <f t="shared" ref="I584" si="92">AVERAGE(F583:F584)</f>
        <v>5.0274999999999999</v>
      </c>
      <c r="J584" s="29">
        <f t="shared" ref="J584" si="93">AVERAGE(G583:G584)</f>
        <v>2.1499999999999998E-2</v>
      </c>
      <c r="L584">
        <f t="shared" ref="L584" si="94">+J584/I584</f>
        <v>4.2764793635007457E-3</v>
      </c>
      <c r="M584">
        <f t="shared" ref="M584" si="95">+(L584-$L$619)/$L$620</f>
        <v>-0.28403800346688385</v>
      </c>
      <c r="N584">
        <f t="shared" ref="N584" si="96">+N582+M584</f>
        <v>-3.0225775108752879</v>
      </c>
    </row>
    <row r="585" spans="1:14">
      <c r="A585" s="16">
        <v>2</v>
      </c>
      <c r="B585" s="76">
        <v>45170</v>
      </c>
      <c r="C585">
        <v>2023</v>
      </c>
      <c r="D585" s="11" t="s">
        <v>40</v>
      </c>
      <c r="E585" s="16">
        <v>9</v>
      </c>
      <c r="F585" s="115">
        <v>1.849</v>
      </c>
      <c r="G585" s="116">
        <v>9.9989999999999996E-4</v>
      </c>
    </row>
    <row r="586" spans="1:14">
      <c r="A586" s="16">
        <v>16</v>
      </c>
      <c r="B586" s="76">
        <v>45170</v>
      </c>
      <c r="C586">
        <v>2023</v>
      </c>
      <c r="D586" s="11" t="s">
        <v>40</v>
      </c>
      <c r="E586" s="16">
        <v>9</v>
      </c>
      <c r="F586" s="115">
        <v>1.9390000000000001</v>
      </c>
      <c r="G586" s="116">
        <v>9.9989999999999996E-4</v>
      </c>
      <c r="I586" s="29">
        <f t="shared" ref="I586" si="97">AVERAGE(F585:F586)</f>
        <v>1.8940000000000001</v>
      </c>
      <c r="J586" s="29">
        <f t="shared" ref="J586" si="98">AVERAGE(G585:G586)</f>
        <v>9.9989999999999996E-4</v>
      </c>
      <c r="L586">
        <f t="shared" ref="L586" si="99">+J586/I586</f>
        <v>5.2793030623020062E-4</v>
      </c>
      <c r="M586">
        <f t="shared" ref="M586" si="100">+(L586-$L$619)/$L$620</f>
        <v>-0.3934378878619475</v>
      </c>
      <c r="N586">
        <f t="shared" ref="N586" si="101">+N584+M586</f>
        <v>-3.4160153987372355</v>
      </c>
    </row>
    <row r="587" spans="1:14">
      <c r="A587" s="16">
        <v>2</v>
      </c>
      <c r="B587" s="76">
        <v>45200</v>
      </c>
      <c r="C587">
        <v>2023</v>
      </c>
      <c r="D587" s="11" t="s">
        <v>36</v>
      </c>
      <c r="E587" s="16">
        <v>10</v>
      </c>
      <c r="F587" s="116">
        <v>0.50900000000000001</v>
      </c>
      <c r="G587" s="116">
        <v>9.9989999999999996E-4</v>
      </c>
    </row>
    <row r="588" spans="1:14">
      <c r="A588" s="16">
        <v>16</v>
      </c>
      <c r="B588" s="76">
        <v>45200</v>
      </c>
      <c r="C588">
        <v>2023</v>
      </c>
      <c r="D588" s="11" t="s">
        <v>36</v>
      </c>
      <c r="E588" s="16">
        <v>10</v>
      </c>
      <c r="F588" s="115">
        <v>0.65300000000000002</v>
      </c>
      <c r="G588" s="116">
        <v>9.9989999999999996E-4</v>
      </c>
      <c r="I588" s="29">
        <f t="shared" ref="I588" si="102">AVERAGE(F587:F588)</f>
        <v>0.58099999999999996</v>
      </c>
      <c r="J588" s="29">
        <f t="shared" ref="J588" si="103">AVERAGE(G587:G588)</f>
        <v>9.9989999999999996E-4</v>
      </c>
      <c r="L588">
        <f t="shared" ref="L588" si="104">+J588/I588</f>
        <v>1.7209982788296042E-3</v>
      </c>
      <c r="M588">
        <f t="shared" ref="M588" si="105">+(L588-$L$619)/$L$620</f>
        <v>-0.35861868280854869</v>
      </c>
      <c r="N588">
        <f t="shared" ref="N588" si="106">+N586+M588</f>
        <v>-3.7746340815457842</v>
      </c>
    </row>
    <row r="589" spans="1:14">
      <c r="A589" s="16">
        <v>2</v>
      </c>
      <c r="B589" s="76">
        <v>45231</v>
      </c>
      <c r="C589">
        <v>2023</v>
      </c>
      <c r="D589" s="11" t="s">
        <v>37</v>
      </c>
      <c r="E589" s="16">
        <v>11</v>
      </c>
      <c r="F589" s="115">
        <v>0.56699999999999995</v>
      </c>
      <c r="G589" s="116">
        <v>9.9989999999999996E-4</v>
      </c>
    </row>
    <row r="590" spans="1:14">
      <c r="A590" s="16">
        <v>16</v>
      </c>
      <c r="B590" s="76">
        <v>45231</v>
      </c>
      <c r="C590">
        <v>2023</v>
      </c>
      <c r="D590" s="11" t="s">
        <v>37</v>
      </c>
      <c r="E590" s="16">
        <v>11</v>
      </c>
      <c r="F590" s="115">
        <v>0.41399999999999998</v>
      </c>
      <c r="G590" s="116">
        <v>9.9989999999999996E-4</v>
      </c>
      <c r="I590" s="29">
        <f t="shared" ref="I590" si="107">AVERAGE(F589:F590)</f>
        <v>0.49049999999999994</v>
      </c>
      <c r="J590" s="29">
        <f t="shared" ref="J590" si="108">AVERAGE(G589:G590)</f>
        <v>9.9989999999999996E-4</v>
      </c>
      <c r="L590">
        <f t="shared" ref="L590" si="109">+J590/I590</f>
        <v>2.0385321100917435E-3</v>
      </c>
      <c r="M590">
        <f t="shared" ref="M590" si="110">+(L590-$L$619)/$L$620</f>
        <v>-0.34935158668659111</v>
      </c>
      <c r="N590">
        <f t="shared" ref="N590" si="111">+N588+M590</f>
        <v>-4.1239856682323754</v>
      </c>
    </row>
    <row r="591" spans="1:14">
      <c r="A591" s="16">
        <v>2</v>
      </c>
      <c r="B591" s="77">
        <v>45261</v>
      </c>
      <c r="C591">
        <v>2023</v>
      </c>
      <c r="D591" s="11" t="s">
        <v>38</v>
      </c>
      <c r="E591" s="16">
        <v>12</v>
      </c>
      <c r="F591" s="115">
        <v>0.66700000000000004</v>
      </c>
      <c r="G591" s="115">
        <v>8.0000000000000002E-3</v>
      </c>
    </row>
    <row r="592" spans="1:14">
      <c r="A592" s="16">
        <v>16</v>
      </c>
      <c r="B592" s="76">
        <v>45261</v>
      </c>
      <c r="C592">
        <v>2023</v>
      </c>
      <c r="D592" s="11" t="s">
        <v>38</v>
      </c>
      <c r="E592" s="16">
        <v>12</v>
      </c>
      <c r="F592" s="115">
        <v>0.69799999999999995</v>
      </c>
      <c r="G592" s="115">
        <v>1.2999999999999999E-2</v>
      </c>
      <c r="I592" s="29">
        <f t="shared" ref="I592" si="112">AVERAGE(F591:F592)</f>
        <v>0.6825</v>
      </c>
      <c r="J592" s="29">
        <f t="shared" ref="J592" si="113">AVERAGE(G591:G592)</f>
        <v>1.0499999999999999E-2</v>
      </c>
      <c r="L592">
        <f t="shared" ref="L592" si="114">+J592/I592</f>
        <v>1.5384615384615384E-2</v>
      </c>
      <c r="M592">
        <f t="shared" ref="M592" si="115">+(L592-$L$619)/$L$620</f>
        <v>4.0148442538823687E-2</v>
      </c>
      <c r="N592">
        <f t="shared" ref="N592" si="116">+N590+M592</f>
        <v>-4.0838372256935518</v>
      </c>
    </row>
    <row r="593" spans="1:14">
      <c r="A593" s="91">
        <v>2</v>
      </c>
      <c r="B593" s="92">
        <v>45292</v>
      </c>
      <c r="C593" s="93">
        <v>2024</v>
      </c>
      <c r="D593" s="94" t="s">
        <v>39</v>
      </c>
      <c r="E593" s="91">
        <v>1</v>
      </c>
      <c r="F593" s="115">
        <v>3.1520000000000001</v>
      </c>
      <c r="G593" s="115">
        <v>6.0000000000000001E-3</v>
      </c>
    </row>
    <row r="594" spans="1:14">
      <c r="A594" s="16">
        <v>16</v>
      </c>
      <c r="B594" s="72">
        <v>45292</v>
      </c>
      <c r="C594">
        <v>2024</v>
      </c>
      <c r="D594" s="11" t="s">
        <v>39</v>
      </c>
      <c r="E594" s="16">
        <v>1</v>
      </c>
      <c r="F594" s="115">
        <v>1.6479999999999999</v>
      </c>
      <c r="G594" s="116">
        <v>9.9989999999999996E-4</v>
      </c>
      <c r="I594" s="29">
        <f t="shared" ref="I594" si="117">AVERAGE(F593:F594)</f>
        <v>2.4</v>
      </c>
      <c r="J594" s="29">
        <f t="shared" ref="J594" si="118">AVERAGE(G593:G594)</f>
        <v>3.4999499999999999E-3</v>
      </c>
      <c r="L594">
        <f t="shared" ref="L594" si="119">+J594/I594</f>
        <v>1.4583125E-3</v>
      </c>
      <c r="M594">
        <f t="shared" ref="M594" si="120">+(L594-$L$619)/$L$620</f>
        <v>-0.36628506075829098</v>
      </c>
      <c r="N594">
        <f t="shared" ref="N594" si="121">+N592+M594</f>
        <v>-4.450122286451843</v>
      </c>
    </row>
    <row r="595" spans="1:14">
      <c r="A595" s="16">
        <v>2</v>
      </c>
      <c r="B595" s="76">
        <v>45323</v>
      </c>
      <c r="C595">
        <v>2024</v>
      </c>
      <c r="D595" s="11" t="s">
        <v>28</v>
      </c>
      <c r="E595" s="16">
        <v>2</v>
      </c>
      <c r="F595" s="115">
        <v>4.9139999999999997</v>
      </c>
      <c r="G595" s="115">
        <v>1.7999999999999999E-2</v>
      </c>
    </row>
    <row r="596" spans="1:14">
      <c r="A596" s="16">
        <v>16</v>
      </c>
      <c r="B596" s="76">
        <v>45323</v>
      </c>
      <c r="C596">
        <v>2024</v>
      </c>
      <c r="D596" s="11" t="s">
        <v>28</v>
      </c>
      <c r="E596" s="16">
        <v>2</v>
      </c>
      <c r="F596" s="115">
        <v>2.052</v>
      </c>
      <c r="G596" s="115">
        <v>8.0000000000000002E-3</v>
      </c>
      <c r="I596" s="29">
        <f t="shared" ref="I596" si="122">AVERAGE(F595:F596)</f>
        <v>3.4829999999999997</v>
      </c>
      <c r="J596" s="29">
        <f t="shared" ref="J596" si="123">AVERAGE(G595:G596)</f>
        <v>1.2999999999999999E-2</v>
      </c>
      <c r="L596">
        <f t="shared" ref="L596" si="124">+J596/I596</f>
        <v>3.7324145851277638E-3</v>
      </c>
      <c r="M596">
        <f t="shared" ref="M596" si="125">+(L596-$L$619)/$L$620</f>
        <v>-0.29991631343377256</v>
      </c>
      <c r="N596">
        <f t="shared" ref="N596" si="126">+N594+M596</f>
        <v>-4.7500385998856158</v>
      </c>
    </row>
    <row r="597" spans="1:14">
      <c r="A597" s="16">
        <v>2</v>
      </c>
      <c r="B597" s="76">
        <v>45352</v>
      </c>
      <c r="C597">
        <v>2024</v>
      </c>
      <c r="D597" s="11" t="s">
        <v>29</v>
      </c>
      <c r="E597" s="16">
        <v>3</v>
      </c>
    </row>
    <row r="598" spans="1:14">
      <c r="A598" s="16">
        <v>16</v>
      </c>
      <c r="B598" s="76">
        <v>45352</v>
      </c>
      <c r="C598">
        <v>2024</v>
      </c>
      <c r="D598" s="11" t="s">
        <v>29</v>
      </c>
      <c r="E598" s="16">
        <v>3</v>
      </c>
      <c r="I598" s="29"/>
      <c r="J598" s="29"/>
    </row>
    <row r="599" spans="1:14">
      <c r="A599" s="16">
        <v>2</v>
      </c>
      <c r="B599" s="76">
        <v>45383</v>
      </c>
      <c r="C599">
        <v>2024</v>
      </c>
      <c r="D599" s="11" t="s">
        <v>30</v>
      </c>
      <c r="E599" s="16">
        <v>4</v>
      </c>
      <c r="F599" s="115">
        <v>1.42</v>
      </c>
      <c r="G599" s="116">
        <v>9.9989999999999996E-4</v>
      </c>
    </row>
    <row r="600" spans="1:14">
      <c r="A600" s="16">
        <v>16</v>
      </c>
      <c r="B600" s="76">
        <v>45383</v>
      </c>
      <c r="C600">
        <v>2024</v>
      </c>
      <c r="D600" s="11" t="s">
        <v>30</v>
      </c>
      <c r="E600" s="16">
        <v>4</v>
      </c>
      <c r="F600" s="115">
        <v>1.0109999999999999</v>
      </c>
      <c r="G600" s="116">
        <v>9.9989999999999996E-4</v>
      </c>
      <c r="I600" s="29">
        <f t="shared" ref="I600" si="127">AVERAGE(F599:F600)</f>
        <v>1.2155</v>
      </c>
      <c r="J600" s="29">
        <f t="shared" ref="J600" si="128">AVERAGE(G599:G600)</f>
        <v>9.9989999999999996E-4</v>
      </c>
      <c r="L600">
        <f t="shared" ref="L600" si="129">+J600/I600</f>
        <v>8.2262443438914021E-4</v>
      </c>
      <c r="M600">
        <f t="shared" ref="M600" si="130">+(L600-$L$619)/$L$620</f>
        <v>-0.38483735921474688</v>
      </c>
      <c r="N600">
        <f>+N596+M600</f>
        <v>-5.1348759591003628</v>
      </c>
    </row>
    <row r="601" spans="1:14">
      <c r="A601" s="16">
        <v>2</v>
      </c>
      <c r="B601" s="76">
        <v>45413</v>
      </c>
      <c r="C601">
        <v>2024</v>
      </c>
      <c r="D601" s="11" t="s">
        <v>31</v>
      </c>
      <c r="E601" s="16">
        <v>5</v>
      </c>
      <c r="F601" s="115">
        <v>7.2709999999999999</v>
      </c>
      <c r="G601" s="112">
        <v>2.1000000000000001E-2</v>
      </c>
    </row>
    <row r="602" spans="1:14">
      <c r="A602" s="16">
        <v>16</v>
      </c>
      <c r="B602" s="76">
        <v>45413</v>
      </c>
      <c r="C602">
        <v>2024</v>
      </c>
      <c r="D602" s="11" t="s">
        <v>31</v>
      </c>
      <c r="E602" s="16">
        <v>5</v>
      </c>
      <c r="F602" s="115">
        <v>3.9809999999999999</v>
      </c>
      <c r="G602">
        <v>8.0000000000000002E-3</v>
      </c>
      <c r="I602" s="29">
        <f t="shared" ref="I602:J602" si="131">AVERAGE(F601:F602)</f>
        <v>5.6259999999999994</v>
      </c>
      <c r="J602" s="29">
        <f t="shared" si="131"/>
        <v>1.4500000000000001E-2</v>
      </c>
      <c r="L602">
        <f t="shared" ref="L602" si="132">+J602/I602</f>
        <v>2.5773195876288664E-3</v>
      </c>
      <c r="M602">
        <f t="shared" ref="M602" si="133">+(L602-$L$619)/$L$620</f>
        <v>-0.33362729260492641</v>
      </c>
      <c r="N602">
        <f t="shared" ref="N602" si="134">+N600+M602</f>
        <v>-5.4685032517052896</v>
      </c>
    </row>
    <row r="603" spans="1:14">
      <c r="A603" s="16">
        <v>2</v>
      </c>
      <c r="B603" s="76">
        <v>45444</v>
      </c>
      <c r="C603">
        <v>2024</v>
      </c>
      <c r="D603" s="11" t="s">
        <v>32</v>
      </c>
      <c r="E603" s="16">
        <v>6</v>
      </c>
      <c r="H603" s="108" t="s">
        <v>104</v>
      </c>
    </row>
    <row r="604" spans="1:14">
      <c r="A604" s="16">
        <v>16</v>
      </c>
      <c r="B604" s="76">
        <v>45444</v>
      </c>
      <c r="C604">
        <v>2024</v>
      </c>
      <c r="D604" s="11" t="s">
        <v>32</v>
      </c>
      <c r="E604" s="16">
        <v>6</v>
      </c>
      <c r="H604" s="108" t="s">
        <v>105</v>
      </c>
    </row>
    <row r="605" spans="1:14">
      <c r="A605" s="16">
        <v>2</v>
      </c>
      <c r="B605" s="76">
        <v>45474</v>
      </c>
      <c r="C605">
        <v>2024</v>
      </c>
      <c r="D605" s="11" t="s">
        <v>33</v>
      </c>
      <c r="E605" s="16">
        <v>7</v>
      </c>
    </row>
    <row r="606" spans="1:14">
      <c r="A606" s="16">
        <v>16</v>
      </c>
      <c r="B606" s="76">
        <v>45474</v>
      </c>
      <c r="C606">
        <v>2024</v>
      </c>
      <c r="D606" s="11" t="s">
        <v>33</v>
      </c>
      <c r="E606" s="16">
        <v>7</v>
      </c>
    </row>
    <row r="607" spans="1:14">
      <c r="A607" s="16">
        <v>2</v>
      </c>
      <c r="B607" s="76">
        <v>45505</v>
      </c>
      <c r="C607">
        <v>2024</v>
      </c>
      <c r="D607" s="11" t="s">
        <v>34</v>
      </c>
      <c r="E607" s="16">
        <v>8</v>
      </c>
    </row>
    <row r="608" spans="1:14">
      <c r="A608" s="16">
        <v>16</v>
      </c>
      <c r="B608" s="76">
        <v>45505</v>
      </c>
      <c r="C608">
        <v>2024</v>
      </c>
      <c r="D608" s="11" t="s">
        <v>34</v>
      </c>
      <c r="E608" s="16">
        <v>8</v>
      </c>
    </row>
    <row r="609" spans="1:12">
      <c r="A609" s="16">
        <v>2</v>
      </c>
      <c r="B609" s="76">
        <v>45536</v>
      </c>
      <c r="C609">
        <v>2024</v>
      </c>
      <c r="D609" s="11" t="s">
        <v>40</v>
      </c>
      <c r="E609" s="16">
        <v>9</v>
      </c>
    </row>
    <row r="610" spans="1:12">
      <c r="A610" s="16">
        <v>16</v>
      </c>
      <c r="B610" s="76">
        <v>45536</v>
      </c>
      <c r="C610">
        <v>2024</v>
      </c>
      <c r="D610" s="11" t="s">
        <v>40</v>
      </c>
      <c r="E610" s="16">
        <v>9</v>
      </c>
    </row>
    <row r="611" spans="1:12">
      <c r="A611" s="16">
        <v>2</v>
      </c>
      <c r="B611" s="76">
        <v>45566</v>
      </c>
      <c r="C611">
        <v>2024</v>
      </c>
      <c r="D611" s="11" t="s">
        <v>36</v>
      </c>
      <c r="E611" s="16">
        <v>10</v>
      </c>
    </row>
    <row r="612" spans="1:12">
      <c r="A612" s="16">
        <v>16</v>
      </c>
      <c r="B612" s="76">
        <v>45566</v>
      </c>
      <c r="C612">
        <v>2024</v>
      </c>
      <c r="D612" s="11" t="s">
        <v>36</v>
      </c>
      <c r="E612" s="16">
        <v>10</v>
      </c>
    </row>
    <row r="613" spans="1:12">
      <c r="A613" s="16">
        <v>2</v>
      </c>
      <c r="B613" s="76">
        <v>45597</v>
      </c>
      <c r="C613">
        <v>2024</v>
      </c>
      <c r="D613" s="11" t="s">
        <v>37</v>
      </c>
      <c r="E613" s="16">
        <v>11</v>
      </c>
    </row>
    <row r="614" spans="1:12">
      <c r="A614" s="16">
        <v>16</v>
      </c>
      <c r="B614" s="76">
        <v>45597</v>
      </c>
      <c r="C614">
        <v>2024</v>
      </c>
      <c r="D614" s="11" t="s">
        <v>37</v>
      </c>
      <c r="E614" s="16">
        <v>11</v>
      </c>
    </row>
    <row r="615" spans="1:12">
      <c r="A615" s="16">
        <v>2</v>
      </c>
      <c r="B615" s="77">
        <v>45627</v>
      </c>
      <c r="C615">
        <v>2024</v>
      </c>
      <c r="D615" s="11" t="s">
        <v>38</v>
      </c>
      <c r="E615" s="16">
        <v>12</v>
      </c>
    </row>
    <row r="616" spans="1:12">
      <c r="A616" s="16">
        <v>16</v>
      </c>
      <c r="B616" s="76">
        <v>45627</v>
      </c>
      <c r="C616">
        <v>2024</v>
      </c>
      <c r="D616" s="11" t="s">
        <v>38</v>
      </c>
      <c r="E616" s="16">
        <v>12</v>
      </c>
    </row>
    <row r="619" spans="1:12">
      <c r="K619" s="89" t="s">
        <v>87</v>
      </c>
      <c r="L619" s="89">
        <f>AVERAGE(L4:L616)</f>
        <v>1.4008942939786191E-2</v>
      </c>
    </row>
    <row r="620" spans="1:12">
      <c r="K620" s="89" t="s">
        <v>88</v>
      </c>
      <c r="L620" s="89">
        <f>STDEV(L4:L616)</f>
        <v>3.4264652819319508E-2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AB84-B62D-764A-8D1C-96217F79513B}">
  <sheetPr>
    <tabColor theme="9" tint="0.39997558519241921"/>
  </sheetPr>
  <dimension ref="A1:Q620"/>
  <sheetViews>
    <sheetView workbookViewId="0">
      <pane ySplit="2" topLeftCell="A493" activePane="bottomLeft" state="frozen"/>
      <selection pane="bottomLeft" activeCell="O498" sqref="O498"/>
    </sheetView>
  </sheetViews>
  <sheetFormatPr defaultColWidth="11.42578125" defaultRowHeight="15"/>
  <cols>
    <col min="2" max="2" width="10.85546875" style="71"/>
    <col min="14" max="14" width="12" bestFit="1" customWidth="1"/>
  </cols>
  <sheetData>
    <row r="1" spans="1:17" ht="18">
      <c r="F1" s="1" t="s">
        <v>0</v>
      </c>
      <c r="G1" s="1" t="s">
        <v>1</v>
      </c>
      <c r="I1" s="1" t="s">
        <v>81</v>
      </c>
    </row>
    <row r="2" spans="1:17">
      <c r="A2" s="2" t="s">
        <v>2</v>
      </c>
      <c r="B2" s="72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8</v>
      </c>
      <c r="H2" s="7" t="s">
        <v>13</v>
      </c>
      <c r="I2" s="6" t="s">
        <v>7</v>
      </c>
      <c r="J2" s="6" t="s">
        <v>85</v>
      </c>
      <c r="L2" s="69" t="s">
        <v>86</v>
      </c>
      <c r="M2" s="70" t="s">
        <v>90</v>
      </c>
      <c r="N2" s="70" t="s">
        <v>82</v>
      </c>
    </row>
    <row r="3" spans="1:17">
      <c r="A3" s="8">
        <v>2</v>
      </c>
      <c r="B3" s="73">
        <v>36445</v>
      </c>
      <c r="C3" s="10">
        <v>1999</v>
      </c>
      <c r="D3" s="11" t="s">
        <v>14</v>
      </c>
      <c r="E3" s="12">
        <v>10</v>
      </c>
      <c r="F3" s="13">
        <v>1.3330102911201809</v>
      </c>
      <c r="G3" s="14">
        <v>0</v>
      </c>
    </row>
    <row r="4" spans="1:17">
      <c r="A4" s="8">
        <v>16</v>
      </c>
      <c r="B4" s="73">
        <v>36444</v>
      </c>
      <c r="C4" s="10">
        <v>1999</v>
      </c>
      <c r="D4" s="11" t="s">
        <v>14</v>
      </c>
      <c r="E4" s="12">
        <v>10</v>
      </c>
      <c r="F4" s="13">
        <v>1.6606092731436428</v>
      </c>
      <c r="G4" s="14">
        <v>2.7688580000000004E-2</v>
      </c>
      <c r="I4" s="29">
        <f>AVERAGE(F3:F4)</f>
        <v>1.496809782131912</v>
      </c>
      <c r="J4" s="29">
        <f>AVERAGE(G3:G4)</f>
        <v>1.3844290000000002E-2</v>
      </c>
      <c r="L4">
        <f>+J4/I4</f>
        <v>9.2491979710885679E-3</v>
      </c>
      <c r="M4">
        <f>+(L4-$L$619)/$L$620</f>
        <v>-0.28692987217933558</v>
      </c>
      <c r="N4">
        <f>+M4</f>
        <v>-0.28692987217933558</v>
      </c>
      <c r="Q4" t="s">
        <v>111</v>
      </c>
    </row>
    <row r="5" spans="1:17">
      <c r="A5" s="8">
        <v>2</v>
      </c>
      <c r="B5" s="73">
        <v>36472</v>
      </c>
      <c r="C5" s="10">
        <v>1999</v>
      </c>
      <c r="D5" s="11" t="s">
        <v>16</v>
      </c>
      <c r="E5" s="10">
        <v>11</v>
      </c>
      <c r="F5" s="13">
        <v>4.285993642125038</v>
      </c>
      <c r="G5" s="14">
        <v>2.8260655499999999E-2</v>
      </c>
    </row>
    <row r="6" spans="1:17">
      <c r="A6" s="8">
        <v>16</v>
      </c>
      <c r="B6" s="73">
        <v>36472</v>
      </c>
      <c r="C6" s="10">
        <v>1999</v>
      </c>
      <c r="D6" s="11" t="s">
        <v>16</v>
      </c>
      <c r="E6" s="10">
        <v>11</v>
      </c>
      <c r="F6" s="13">
        <v>0.41591953889429528</v>
      </c>
      <c r="G6" s="14">
        <v>0</v>
      </c>
      <c r="I6" s="29">
        <f>AVERAGE(F5:F6)</f>
        <v>2.3509565905096665</v>
      </c>
      <c r="J6" s="29">
        <f>AVERAGE(G5:G6)</f>
        <v>1.4130327749999999E-2</v>
      </c>
      <c r="L6">
        <f>+J6/I6</f>
        <v>6.0104588094230483E-3</v>
      </c>
      <c r="M6">
        <f>+(L6-$L$619)/$L$620</f>
        <v>-0.33761772887731706</v>
      </c>
      <c r="N6">
        <f>+N4+M6</f>
        <v>-0.62454760105665263</v>
      </c>
      <c r="P6" s="90"/>
    </row>
    <row r="7" spans="1:17">
      <c r="A7" s="8">
        <v>2</v>
      </c>
      <c r="B7" s="73">
        <v>36501</v>
      </c>
      <c r="C7" s="10">
        <v>1999</v>
      </c>
      <c r="D7" s="11" t="s">
        <v>17</v>
      </c>
      <c r="E7" s="10">
        <v>12</v>
      </c>
      <c r="F7" s="13">
        <v>1.4014618639341168</v>
      </c>
      <c r="G7" s="14">
        <v>1.7573630999999999E-2</v>
      </c>
    </row>
    <row r="8" spans="1:17">
      <c r="A8" s="8">
        <v>16</v>
      </c>
      <c r="B8" s="73">
        <v>36501</v>
      </c>
      <c r="C8" s="10">
        <v>1999</v>
      </c>
      <c r="D8" s="11" t="s">
        <v>17</v>
      </c>
      <c r="E8" s="10">
        <v>12</v>
      </c>
      <c r="F8" s="13">
        <v>1.2786164862718898</v>
      </c>
      <c r="G8" s="14">
        <v>2.0050528166666665E-2</v>
      </c>
      <c r="I8" s="29">
        <f>AVERAGE(F7:F8)</f>
        <v>1.3400391751030032</v>
      </c>
      <c r="J8" s="29">
        <f>AVERAGE(G7:G8)</f>
        <v>1.8812079583333332E-2</v>
      </c>
      <c r="L8">
        <f>+J8/I8</f>
        <v>1.4038454944339465E-2</v>
      </c>
      <c r="M8">
        <f>+(L8-$L$619)/$L$620</f>
        <v>-0.21197565109747715</v>
      </c>
      <c r="N8">
        <f>+N6+M8</f>
        <v>-0.83652325215412981</v>
      </c>
    </row>
    <row r="9" spans="1:17">
      <c r="A9" s="8">
        <v>2</v>
      </c>
      <c r="B9" s="73">
        <v>36530</v>
      </c>
      <c r="C9" s="12">
        <v>2000</v>
      </c>
      <c r="D9" s="11" t="s">
        <v>18</v>
      </c>
      <c r="E9" s="10">
        <v>1</v>
      </c>
      <c r="F9" s="13">
        <v>3.0782638208252844</v>
      </c>
      <c r="G9" s="14">
        <v>6.6303728666666673E-2</v>
      </c>
    </row>
    <row r="10" spans="1:17">
      <c r="A10" s="8">
        <v>16</v>
      </c>
      <c r="B10" s="73">
        <v>36530</v>
      </c>
      <c r="C10" s="12">
        <v>2000</v>
      </c>
      <c r="D10" s="11" t="s">
        <v>18</v>
      </c>
      <c r="E10" s="10">
        <v>1</v>
      </c>
      <c r="F10" s="13">
        <v>3.6585839039056487</v>
      </c>
      <c r="G10" s="14">
        <v>5.8229360500000001E-2</v>
      </c>
      <c r="I10" s="29">
        <f>AVERAGE(F9:F10)</f>
        <v>3.3684238623654665</v>
      </c>
      <c r="J10" s="29">
        <f>AVERAGE(G9:G10)</f>
        <v>6.2266544583333333E-2</v>
      </c>
      <c r="L10">
        <f>+J10/I10</f>
        <v>1.8485365003799381E-2</v>
      </c>
      <c r="M10">
        <f>+(L10-$L$619)/$L$620</f>
        <v>-0.14237932716047863</v>
      </c>
      <c r="N10">
        <f>+N8+M10</f>
        <v>-0.97890257931460845</v>
      </c>
    </row>
    <row r="11" spans="1:17">
      <c r="A11" s="8">
        <v>2</v>
      </c>
      <c r="B11" s="73">
        <v>36579</v>
      </c>
      <c r="C11" s="12">
        <v>2000</v>
      </c>
      <c r="D11" s="11" t="s">
        <v>19</v>
      </c>
      <c r="E11" s="12">
        <v>2</v>
      </c>
      <c r="F11" s="13">
        <v>2.5386928407093783</v>
      </c>
      <c r="G11" s="14">
        <v>3.5411966166666663E-2</v>
      </c>
    </row>
    <row r="12" spans="1:17">
      <c r="A12" s="8">
        <v>16</v>
      </c>
      <c r="B12" s="73">
        <v>36579</v>
      </c>
      <c r="C12" s="12">
        <v>2000</v>
      </c>
      <c r="D12" s="11" t="s">
        <v>19</v>
      </c>
      <c r="E12" s="12">
        <v>2</v>
      </c>
      <c r="F12" s="13">
        <v>2.3945823862849616</v>
      </c>
      <c r="G12" s="14">
        <v>3.7185222000000004E-2</v>
      </c>
      <c r="I12" s="29">
        <f>AVERAGE(F11:F12)</f>
        <v>2.4666376134971699</v>
      </c>
      <c r="J12" s="29">
        <f>AVERAGE(G11:G12)</f>
        <v>3.629859408333333E-2</v>
      </c>
      <c r="L12">
        <f>+J12/I12</f>
        <v>1.4715819577513702E-2</v>
      </c>
      <c r="M12">
        <f>+(L12-$L$619)/$L$620</f>
        <v>-0.20137456229569783</v>
      </c>
      <c r="N12">
        <f>+N10+M12</f>
        <v>-1.1802771416103064</v>
      </c>
    </row>
    <row r="13" spans="1:17">
      <c r="A13" s="8">
        <v>2</v>
      </c>
      <c r="B13" s="73">
        <v>36600</v>
      </c>
      <c r="C13" s="12">
        <v>2000</v>
      </c>
      <c r="D13" s="11" t="s">
        <v>20</v>
      </c>
      <c r="E13" s="12">
        <v>3</v>
      </c>
      <c r="F13" s="13">
        <v>1.9050536432870002</v>
      </c>
      <c r="G13" s="14">
        <v>0</v>
      </c>
    </row>
    <row r="14" spans="1:17">
      <c r="A14" s="8">
        <v>16</v>
      </c>
      <c r="B14" s="73">
        <v>36600</v>
      </c>
      <c r="C14" s="12">
        <v>2000</v>
      </c>
      <c r="D14" s="11" t="s">
        <v>20</v>
      </c>
      <c r="E14" s="12">
        <v>3</v>
      </c>
      <c r="F14" s="13">
        <v>1.5679274644511905</v>
      </c>
      <c r="G14" s="14">
        <v>1.3886013666666665E-2</v>
      </c>
      <c r="I14" s="29">
        <f>AVERAGE(F13:F14)</f>
        <v>1.7364905538690953</v>
      </c>
      <c r="J14" s="29">
        <f>AVERAGE(G13:G14)</f>
        <v>6.9430068333333327E-3</v>
      </c>
      <c r="L14">
        <f>+J14/I14</f>
        <v>3.9982980718573655E-3</v>
      </c>
      <c r="M14">
        <f>+(L14-$L$619)/$L$620</f>
        <v>-0.36910903151948005</v>
      </c>
      <c r="N14">
        <f>+N12+M14</f>
        <v>-1.5493861731297864</v>
      </c>
    </row>
    <row r="15" spans="1:17">
      <c r="A15" s="8">
        <v>2</v>
      </c>
      <c r="B15" s="73">
        <v>36628</v>
      </c>
      <c r="C15" s="12">
        <v>2000</v>
      </c>
      <c r="D15" s="16" t="s">
        <v>21</v>
      </c>
      <c r="E15" s="12">
        <v>4</v>
      </c>
      <c r="F15" s="13">
        <v>4.7973446625707457</v>
      </c>
      <c r="G15" s="14">
        <v>0.12740667566666664</v>
      </c>
    </row>
    <row r="16" spans="1:17">
      <c r="A16" s="8">
        <v>16</v>
      </c>
      <c r="B16" s="73">
        <v>36628</v>
      </c>
      <c r="C16" s="12">
        <v>2000</v>
      </c>
      <c r="D16" s="16" t="s">
        <v>21</v>
      </c>
      <c r="E16" s="12">
        <v>4</v>
      </c>
      <c r="F16" s="13">
        <v>2.7664028879625464</v>
      </c>
      <c r="G16" s="14">
        <v>0.14463142133333334</v>
      </c>
      <c r="I16" s="29">
        <f>AVERAGE(F15:F16)</f>
        <v>3.781873775266646</v>
      </c>
      <c r="J16" s="29">
        <f>AVERAGE(G15:G16)</f>
        <v>0.13601904849999999</v>
      </c>
      <c r="L16">
        <f>+J16/I16</f>
        <v>3.596604661677525E-2</v>
      </c>
      <c r="M16">
        <f>+(L16-$L$619)/$L$620</f>
        <v>0.13120191552468591</v>
      </c>
      <c r="N16">
        <f>+N14+M16</f>
        <v>-1.4181842576051005</v>
      </c>
    </row>
    <row r="17" spans="1:14">
      <c r="A17" s="8">
        <v>2</v>
      </c>
      <c r="B17" s="73">
        <v>36661</v>
      </c>
      <c r="C17" s="12">
        <v>2000</v>
      </c>
      <c r="D17" s="16" t="s">
        <v>22</v>
      </c>
      <c r="E17" s="12">
        <v>5</v>
      </c>
      <c r="F17" s="13">
        <v>4.6886727747195547</v>
      </c>
      <c r="G17" s="14">
        <v>2.8767524666666665E-2</v>
      </c>
    </row>
    <row r="18" spans="1:14">
      <c r="A18" s="8">
        <v>16</v>
      </c>
      <c r="B18" s="73">
        <v>36661</v>
      </c>
      <c r="C18" s="12">
        <v>2000</v>
      </c>
      <c r="D18" s="16" t="s">
        <v>22</v>
      </c>
      <c r="E18" s="12">
        <v>5</v>
      </c>
      <c r="F18" s="13">
        <v>6.0927728226505344</v>
      </c>
      <c r="G18" s="14">
        <v>3.979410433333333E-2</v>
      </c>
      <c r="I18" s="29">
        <f>AVERAGE(F17:F18)</f>
        <v>5.3907227986850446</v>
      </c>
      <c r="J18" s="29">
        <f>AVERAGE(G17:G18)</f>
        <v>3.4280814499999999E-2</v>
      </c>
      <c r="L18">
        <f>+J18/I18</f>
        <v>6.359224130085505E-3</v>
      </c>
      <c r="M18">
        <f>+(L18-$L$619)/$L$620</f>
        <v>-0.33215938051626126</v>
      </c>
      <c r="N18">
        <f>+N16+M18</f>
        <v>-1.7503436381213617</v>
      </c>
    </row>
    <row r="19" spans="1:14">
      <c r="A19" s="8">
        <v>2</v>
      </c>
      <c r="B19" s="73">
        <v>36691</v>
      </c>
      <c r="C19" s="12">
        <v>2000</v>
      </c>
      <c r="D19" s="16" t="s">
        <v>23</v>
      </c>
      <c r="E19" s="12">
        <v>6</v>
      </c>
      <c r="F19" s="13">
        <v>1.6994240245561543</v>
      </c>
      <c r="G19" s="14">
        <v>0.10535037133333333</v>
      </c>
    </row>
    <row r="20" spans="1:14">
      <c r="A20" s="8">
        <v>16</v>
      </c>
      <c r="B20" s="73">
        <v>36691</v>
      </c>
      <c r="C20" s="12">
        <v>2000</v>
      </c>
      <c r="D20" s="16" t="s">
        <v>23</v>
      </c>
      <c r="E20" s="12">
        <v>6</v>
      </c>
      <c r="F20" s="13">
        <v>4.4627459706507473</v>
      </c>
      <c r="G20" s="14">
        <v>0.10673679216666666</v>
      </c>
      <c r="I20" s="29">
        <f>AVERAGE(F19:F20)</f>
        <v>3.0810849976034507</v>
      </c>
      <c r="J20" s="29">
        <f>AVERAGE(G19:G20)</f>
        <v>0.10604358175</v>
      </c>
      <c r="L20">
        <f>+J20/I20</f>
        <v>3.4417609975863538E-2</v>
      </c>
      <c r="M20">
        <f>+(L20-$L$619)/$L$620</f>
        <v>0.10696812248280511</v>
      </c>
      <c r="N20">
        <f>+N18+M20</f>
        <v>-1.6433755156385565</v>
      </c>
    </row>
    <row r="21" spans="1:14">
      <c r="A21" s="8">
        <v>2</v>
      </c>
      <c r="B21" s="73">
        <v>36720</v>
      </c>
      <c r="C21" s="12">
        <v>2000</v>
      </c>
      <c r="D21" s="16" t="s">
        <v>24</v>
      </c>
      <c r="E21" s="12">
        <v>7</v>
      </c>
      <c r="F21" s="13">
        <v>10.384727236125432</v>
      </c>
      <c r="G21" s="14">
        <v>0.12871478599999997</v>
      </c>
    </row>
    <row r="22" spans="1:14">
      <c r="A22" s="8">
        <v>16</v>
      </c>
      <c r="B22" s="73">
        <v>36720</v>
      </c>
      <c r="C22" s="12">
        <v>2000</v>
      </c>
      <c r="D22" s="16" t="s">
        <v>24</v>
      </c>
      <c r="E22" s="12">
        <v>7</v>
      </c>
      <c r="F22" s="13">
        <v>9.8045028976455733</v>
      </c>
      <c r="G22" s="14">
        <v>7.8288589833333325E-2</v>
      </c>
      <c r="I22" s="29">
        <f>AVERAGE(F21:F22)</f>
        <v>10.094615066885503</v>
      </c>
      <c r="J22" s="29">
        <f>AVERAGE(G21:G22)</f>
        <v>0.10350168791666664</v>
      </c>
      <c r="L22">
        <f>+J22/I22</f>
        <v>1.0253158464278132E-2</v>
      </c>
      <c r="M22">
        <f>+(L22-$L$619)/$L$620</f>
        <v>-0.27121739795122946</v>
      </c>
      <c r="N22">
        <f>+N20+M22</f>
        <v>-1.9145929135897859</v>
      </c>
    </row>
    <row r="23" spans="1:14">
      <c r="A23" s="8">
        <v>2</v>
      </c>
      <c r="B23" s="73">
        <v>36754</v>
      </c>
      <c r="C23" s="12">
        <v>2000</v>
      </c>
      <c r="D23" s="16" t="s">
        <v>25</v>
      </c>
      <c r="E23" s="12">
        <v>8</v>
      </c>
      <c r="F23" s="13">
        <v>12.821283488842734</v>
      </c>
      <c r="G23" s="14">
        <v>6.8767836166666665E-2</v>
      </c>
    </row>
    <row r="24" spans="1:14">
      <c r="A24" s="8">
        <v>16</v>
      </c>
      <c r="B24" s="73">
        <v>36754</v>
      </c>
      <c r="C24" s="12">
        <v>2000</v>
      </c>
      <c r="D24" s="16" t="s">
        <v>25</v>
      </c>
      <c r="E24" s="12">
        <v>8</v>
      </c>
      <c r="F24" s="13">
        <v>14.668265930659848</v>
      </c>
      <c r="G24" s="14">
        <v>0.34292346166666671</v>
      </c>
      <c r="I24" s="29">
        <f>AVERAGE(F23:F24)</f>
        <v>13.74477470975129</v>
      </c>
      <c r="J24" s="29">
        <f>AVERAGE(G23:G24)</f>
        <v>0.20584564891666668</v>
      </c>
      <c r="L24">
        <f>+J24/I24</f>
        <v>1.4976283952521142E-2</v>
      </c>
      <c r="M24">
        <f>+(L24-$L$619)/$L$620</f>
        <v>-0.19729816705165568</v>
      </c>
      <c r="N24">
        <f>+N22+M24</f>
        <v>-2.1118910806414415</v>
      </c>
    </row>
    <row r="25" spans="1:14">
      <c r="A25" s="8">
        <v>2</v>
      </c>
      <c r="B25" s="73">
        <v>36782</v>
      </c>
      <c r="C25" s="12">
        <v>2000</v>
      </c>
      <c r="D25" s="16" t="s">
        <v>26</v>
      </c>
      <c r="E25" s="12">
        <v>9</v>
      </c>
      <c r="F25" s="13">
        <v>1.0846293683277899</v>
      </c>
      <c r="G25" s="14">
        <v>0</v>
      </c>
    </row>
    <row r="26" spans="1:14">
      <c r="A26" s="8">
        <v>16</v>
      </c>
      <c r="B26" s="73">
        <v>36782</v>
      </c>
      <c r="C26" s="12">
        <v>2000</v>
      </c>
      <c r="D26" s="16" t="s">
        <v>26</v>
      </c>
      <c r="E26" s="12">
        <v>9</v>
      </c>
      <c r="F26" s="13">
        <v>3.9030508702619744</v>
      </c>
      <c r="G26" s="14">
        <v>5.0039466000000005E-2</v>
      </c>
      <c r="I26" s="29">
        <f>AVERAGE(F25:F26)</f>
        <v>2.493840119294882</v>
      </c>
      <c r="J26" s="29">
        <f>AVERAGE(G25:G26)</f>
        <v>2.5019733000000002E-2</v>
      </c>
      <c r="L26">
        <f>+J26/I26</f>
        <v>1.00326130798931E-2</v>
      </c>
      <c r="M26">
        <f>+(L26-$L$619)/$L$620</f>
        <v>-0.27466904140909931</v>
      </c>
      <c r="N26">
        <f>+N24+M26</f>
        <v>-2.3865601220505406</v>
      </c>
    </row>
    <row r="27" spans="1:14">
      <c r="A27" s="8">
        <v>2</v>
      </c>
      <c r="B27" s="73">
        <v>36818</v>
      </c>
      <c r="C27" s="12">
        <v>2000</v>
      </c>
      <c r="D27" s="16" t="s">
        <v>14</v>
      </c>
      <c r="E27" s="12">
        <v>10</v>
      </c>
      <c r="F27" s="17">
        <v>0.78369689681136157</v>
      </c>
      <c r="G27" s="15">
        <v>5.2189597666666671E-2</v>
      </c>
    </row>
    <row r="28" spans="1:14">
      <c r="A28" s="8">
        <v>16</v>
      </c>
      <c r="B28" s="73">
        <v>36818</v>
      </c>
      <c r="C28" s="12">
        <v>2000</v>
      </c>
      <c r="D28" s="16" t="s">
        <v>14</v>
      </c>
      <c r="E28" s="12">
        <v>10</v>
      </c>
      <c r="F28" s="17">
        <v>1.3435023165554583</v>
      </c>
      <c r="G28" s="15">
        <v>6.7325224666666669E-2</v>
      </c>
      <c r="I28" s="29">
        <f>AVERAGE(F27:F28)</f>
        <v>1.0635996066834099</v>
      </c>
      <c r="J28" s="29">
        <f>AVERAGE(G27:G28)</f>
        <v>5.975741116666667E-2</v>
      </c>
      <c r="L28">
        <f>+J28/I28</f>
        <v>5.6184123039502029E-2</v>
      </c>
      <c r="M28">
        <f>+(L28-$L$619)/$L$620</f>
        <v>0.44762472985747243</v>
      </c>
      <c r="N28">
        <f>+N26+M28</f>
        <v>-1.9389353921930681</v>
      </c>
    </row>
    <row r="29" spans="1:14">
      <c r="A29" s="8">
        <v>2</v>
      </c>
      <c r="B29" s="73">
        <v>36845</v>
      </c>
      <c r="C29" s="12">
        <v>2000</v>
      </c>
      <c r="D29" s="16" t="s">
        <v>16</v>
      </c>
      <c r="E29" s="12">
        <v>11</v>
      </c>
      <c r="F29" s="17">
        <v>0.70124637049035787</v>
      </c>
      <c r="G29" s="15">
        <v>0</v>
      </c>
    </row>
    <row r="30" spans="1:14">
      <c r="A30" s="8">
        <v>16</v>
      </c>
      <c r="B30" s="73">
        <v>36848</v>
      </c>
      <c r="C30" s="12">
        <v>2000</v>
      </c>
      <c r="D30" s="16" t="s">
        <v>16</v>
      </c>
      <c r="E30" s="12">
        <v>11</v>
      </c>
      <c r="F30" s="17">
        <v>0.33552353038791721</v>
      </c>
      <c r="G30" s="15">
        <v>2.2378037833333336E-2</v>
      </c>
      <c r="I30" s="29">
        <f>AVERAGE(F29:F30)</f>
        <v>0.51838495043913757</v>
      </c>
      <c r="J30" s="29">
        <f>AVERAGE(G29:G30)</f>
        <v>1.1189018916666668E-2</v>
      </c>
      <c r="L30">
        <f>+J30/I30</f>
        <v>2.1584382237925994E-2</v>
      </c>
      <c r="M30">
        <f>+(L30-$L$619)/$L$620</f>
        <v>-9.387818717142031E-2</v>
      </c>
      <c r="N30">
        <f>+N28+M30</f>
        <v>-2.0328135793644884</v>
      </c>
    </row>
    <row r="31" spans="1:14">
      <c r="A31" s="8">
        <v>2</v>
      </c>
      <c r="B31" s="73">
        <v>36875</v>
      </c>
      <c r="C31" s="12">
        <v>2000</v>
      </c>
      <c r="D31" s="16" t="s">
        <v>17</v>
      </c>
      <c r="E31" s="12">
        <v>12</v>
      </c>
      <c r="F31" s="17">
        <v>2.9105063210533353</v>
      </c>
      <c r="G31" s="15">
        <v>0.1120333915</v>
      </c>
    </row>
    <row r="32" spans="1:14">
      <c r="A32" s="8">
        <v>16</v>
      </c>
      <c r="B32" s="73">
        <v>36871</v>
      </c>
      <c r="C32" s="12">
        <v>2000</v>
      </c>
      <c r="D32" s="16" t="s">
        <v>17</v>
      </c>
      <c r="E32" s="12">
        <v>12</v>
      </c>
      <c r="F32" s="17">
        <v>1.7729309077984674</v>
      </c>
      <c r="G32" s="15">
        <v>7.9575733500000009E-2</v>
      </c>
      <c r="I32" s="29">
        <f>AVERAGE(F31:F32)</f>
        <v>2.3417186144259015</v>
      </c>
      <c r="J32" s="29">
        <f>AVERAGE(G31:G32)</f>
        <v>9.5804562499999996E-2</v>
      </c>
      <c r="L32">
        <f>+J32/I32</f>
        <v>4.0912072829675808E-2</v>
      </c>
      <c r="M32">
        <f>+(L32-$L$619)/$L$620</f>
        <v>0.20860965211284618</v>
      </c>
      <c r="N32">
        <f>+N30+M32</f>
        <v>-1.8242039272516422</v>
      </c>
    </row>
    <row r="33" spans="1:14">
      <c r="A33" s="8">
        <v>2</v>
      </c>
      <c r="B33" s="73">
        <v>36901</v>
      </c>
      <c r="C33" s="12">
        <v>2001</v>
      </c>
      <c r="D33" s="16" t="s">
        <v>18</v>
      </c>
      <c r="E33" s="12">
        <v>1</v>
      </c>
      <c r="F33" s="17">
        <v>3.3393668982479086</v>
      </c>
      <c r="G33" s="15">
        <v>0.10870619116666665</v>
      </c>
    </row>
    <row r="34" spans="1:14">
      <c r="A34" s="8">
        <v>16</v>
      </c>
      <c r="B34" s="73">
        <v>36901</v>
      </c>
      <c r="C34" s="12">
        <v>2001</v>
      </c>
      <c r="D34" s="16" t="s">
        <v>18</v>
      </c>
      <c r="E34" s="12">
        <v>1</v>
      </c>
      <c r="F34" s="17">
        <v>5.8894314886091754</v>
      </c>
      <c r="G34" s="15">
        <v>0.40430557766666664</v>
      </c>
      <c r="I34" s="29">
        <f>AVERAGE(F33:F34)</f>
        <v>4.6143991934285422</v>
      </c>
      <c r="J34" s="29">
        <f>AVERAGE(G33:G34)</f>
        <v>0.25650588441666666</v>
      </c>
      <c r="L34">
        <f>+J34/I34</f>
        <v>5.5588143475311325E-2</v>
      </c>
      <c r="M34">
        <f>+(L34-$L$619)/$L$620</f>
        <v>0.43829735731009845</v>
      </c>
      <c r="N34">
        <f>+N32+M34</f>
        <v>-1.3859065699415436</v>
      </c>
    </row>
    <row r="35" spans="1:14">
      <c r="A35" s="12">
        <v>2</v>
      </c>
      <c r="B35" s="73">
        <v>36928</v>
      </c>
      <c r="C35" s="12">
        <v>2001</v>
      </c>
      <c r="D35" s="11" t="s">
        <v>19</v>
      </c>
      <c r="E35" s="12">
        <v>2</v>
      </c>
      <c r="F35" s="17">
        <v>3.9397994994377648</v>
      </c>
      <c r="G35" s="15">
        <v>5.4365518333333335E-2</v>
      </c>
    </row>
    <row r="36" spans="1:14">
      <c r="A36" s="12">
        <v>16</v>
      </c>
      <c r="B36" s="73">
        <v>36928</v>
      </c>
      <c r="C36" s="12">
        <v>2001</v>
      </c>
      <c r="D36" s="11" t="s">
        <v>19</v>
      </c>
      <c r="E36" s="12">
        <v>2</v>
      </c>
      <c r="F36" s="17">
        <v>2.9617176326205095</v>
      </c>
      <c r="G36" s="15">
        <v>0.13566093783333336</v>
      </c>
      <c r="I36" s="29">
        <f>AVERAGE(F35:F36)</f>
        <v>3.4507585660291369</v>
      </c>
      <c r="J36" s="29">
        <f>AVERAGE(G35:G36)</f>
        <v>9.5013228083333345E-2</v>
      </c>
      <c r="L36">
        <f>+J36/I36</f>
        <v>2.7534012091917269E-2</v>
      </c>
      <c r="M36">
        <f>+(L36-$L$619)/$L$620</f>
        <v>-7.6356126556067409E-4</v>
      </c>
      <c r="N36">
        <f>+N34+M36</f>
        <v>-1.3866701312071044</v>
      </c>
    </row>
    <row r="37" spans="1:14">
      <c r="A37" s="8">
        <v>2</v>
      </c>
      <c r="B37" s="73">
        <v>36963</v>
      </c>
      <c r="C37" s="12">
        <v>2001</v>
      </c>
      <c r="D37" s="11" t="s">
        <v>20</v>
      </c>
      <c r="E37" s="12">
        <v>3</v>
      </c>
      <c r="F37" s="17">
        <v>1.7230646958731481</v>
      </c>
      <c r="G37" s="15">
        <v>0</v>
      </c>
    </row>
    <row r="38" spans="1:14">
      <c r="A38" s="8">
        <v>16</v>
      </c>
      <c r="B38" s="73">
        <v>36963</v>
      </c>
      <c r="C38" s="12">
        <v>2001</v>
      </c>
      <c r="D38" s="11" t="s">
        <v>20</v>
      </c>
      <c r="E38" s="12">
        <v>3</v>
      </c>
      <c r="F38" s="17">
        <v>2.1962590343929107</v>
      </c>
      <c r="G38" s="15">
        <v>0</v>
      </c>
      <c r="I38" s="29">
        <f>AVERAGE(F37:F38)</f>
        <v>1.9596618651330293</v>
      </c>
      <c r="J38" s="29">
        <f>AVERAGE(G37:G38)</f>
        <v>0</v>
      </c>
      <c r="L38">
        <f>+J38/I38</f>
        <v>0</v>
      </c>
      <c r="M38">
        <f>+(L38-$L$619)/$L$620</f>
        <v>-0.43168435777635011</v>
      </c>
      <c r="N38">
        <f>+N36+M38</f>
        <v>-1.8183544889834544</v>
      </c>
    </row>
    <row r="39" spans="1:14">
      <c r="A39" s="8">
        <v>2</v>
      </c>
      <c r="B39" s="73">
        <v>37000</v>
      </c>
      <c r="C39" s="12">
        <v>2001</v>
      </c>
      <c r="D39" s="16" t="s">
        <v>21</v>
      </c>
      <c r="E39" s="12">
        <v>4</v>
      </c>
      <c r="F39" s="17">
        <v>0.48624479623327538</v>
      </c>
      <c r="G39" s="15">
        <v>0</v>
      </c>
    </row>
    <row r="40" spans="1:14">
      <c r="A40" s="8">
        <v>16</v>
      </c>
      <c r="B40" s="73">
        <v>37000</v>
      </c>
      <c r="C40" s="12">
        <v>2001</v>
      </c>
      <c r="D40" s="16" t="s">
        <v>21</v>
      </c>
      <c r="E40" s="12">
        <v>4</v>
      </c>
      <c r="F40" s="17">
        <v>0.94233141158054823</v>
      </c>
      <c r="G40" s="15">
        <v>0</v>
      </c>
      <c r="I40" s="29">
        <f>AVERAGE(F39:F40)</f>
        <v>0.71428810390691178</v>
      </c>
      <c r="J40" s="29">
        <f>AVERAGE(G39:G40)</f>
        <v>0</v>
      </c>
      <c r="L40">
        <f>+J40/I40</f>
        <v>0</v>
      </c>
      <c r="M40">
        <f>+(L40-$L$619)/$L$620</f>
        <v>-0.43168435777635011</v>
      </c>
      <c r="N40">
        <f>+N38+M40</f>
        <v>-2.2500388467598045</v>
      </c>
    </row>
    <row r="41" spans="1:14">
      <c r="A41" s="8">
        <v>2</v>
      </c>
      <c r="B41" s="73">
        <v>37028</v>
      </c>
      <c r="C41" s="12">
        <v>2001</v>
      </c>
      <c r="D41" s="16" t="s">
        <v>22</v>
      </c>
      <c r="E41" s="12">
        <v>5</v>
      </c>
      <c r="F41" s="17">
        <v>0.71340617095896919</v>
      </c>
      <c r="G41" s="15">
        <v>4.748268583333333E-2</v>
      </c>
    </row>
    <row r="42" spans="1:14">
      <c r="A42" s="8">
        <v>16</v>
      </c>
      <c r="B42" s="73">
        <v>37027</v>
      </c>
      <c r="C42" s="12">
        <v>2001</v>
      </c>
      <c r="D42" s="16" t="s">
        <v>22</v>
      </c>
      <c r="E42" s="12">
        <v>5</v>
      </c>
      <c r="F42" s="17">
        <v>1.9656313095361935</v>
      </c>
      <c r="G42" s="15">
        <v>0</v>
      </c>
      <c r="I42" s="29">
        <f>AVERAGE(F41:F42)</f>
        <v>1.3395187402475814</v>
      </c>
      <c r="J42" s="29">
        <f>AVERAGE(G41:G42)</f>
        <v>2.3741342916666665E-2</v>
      </c>
      <c r="L42">
        <f>+J42/I42</f>
        <v>1.7723785568150085E-2</v>
      </c>
      <c r="M42">
        <f>+(L42-$L$619)/$L$620</f>
        <v>-0.15429841893397905</v>
      </c>
      <c r="N42">
        <f>+N40+M42</f>
        <v>-2.4043372656937834</v>
      </c>
    </row>
    <row r="43" spans="1:14">
      <c r="A43" s="8">
        <v>2</v>
      </c>
      <c r="B43" s="73">
        <v>37058</v>
      </c>
      <c r="C43" s="12">
        <v>2001</v>
      </c>
      <c r="D43" s="16" t="s">
        <v>23</v>
      </c>
      <c r="E43" s="12">
        <v>6</v>
      </c>
      <c r="F43" s="17">
        <v>12.295525135357376</v>
      </c>
      <c r="G43" s="15">
        <v>0.10111845933333333</v>
      </c>
    </row>
    <row r="44" spans="1:14">
      <c r="A44" s="8">
        <v>16</v>
      </c>
      <c r="B44" s="73">
        <v>37056</v>
      </c>
      <c r="C44" s="12">
        <v>2001</v>
      </c>
      <c r="D44" s="16" t="s">
        <v>23</v>
      </c>
      <c r="E44" s="12">
        <v>6</v>
      </c>
      <c r="F44" s="17">
        <v>17.841725850658584</v>
      </c>
      <c r="G44" s="15">
        <v>0.12306311616666667</v>
      </c>
      <c r="I44" s="29">
        <f>AVERAGE(F43:F44)</f>
        <v>15.06862549300798</v>
      </c>
      <c r="J44" s="29">
        <f>AVERAGE(G43:G44)</f>
        <v>0.11209078775</v>
      </c>
      <c r="L44">
        <f>+J44/I44</f>
        <v>7.438686946066279E-3</v>
      </c>
      <c r="M44">
        <f>+(L44-$L$619)/$L$620</f>
        <v>-0.31526525789753956</v>
      </c>
      <c r="N44">
        <f>+N42+M44</f>
        <v>-2.7196025235913228</v>
      </c>
    </row>
    <row r="45" spans="1:14">
      <c r="A45" s="8">
        <v>2</v>
      </c>
      <c r="B45" s="73">
        <v>37089</v>
      </c>
      <c r="C45" s="12">
        <v>2001</v>
      </c>
      <c r="D45" s="16" t="s">
        <v>24</v>
      </c>
      <c r="E45" s="12">
        <v>7</v>
      </c>
      <c r="F45" s="17">
        <v>7.5105065548637011</v>
      </c>
      <c r="G45" s="15">
        <v>0.142450888</v>
      </c>
    </row>
    <row r="46" spans="1:14">
      <c r="A46" s="8">
        <v>16</v>
      </c>
      <c r="B46" s="73">
        <v>37089</v>
      </c>
      <c r="C46" s="12">
        <v>2001</v>
      </c>
      <c r="D46" s="16" t="s">
        <v>24</v>
      </c>
      <c r="E46" s="12">
        <v>7</v>
      </c>
      <c r="F46" s="17">
        <v>6.8793581967375523</v>
      </c>
      <c r="G46" s="15">
        <v>0.23474374349999999</v>
      </c>
      <c r="I46" s="29">
        <f>AVERAGE(F45:F46)</f>
        <v>7.1949323758006267</v>
      </c>
      <c r="J46" s="29">
        <f>AVERAGE(G45:G46)</f>
        <v>0.18859731574999999</v>
      </c>
      <c r="L46">
        <f>+J46/I46</f>
        <v>2.6212520966051964E-2</v>
      </c>
      <c r="M46">
        <f>+(L46-$L$619)/$L$620</f>
        <v>-2.1445545665029438E-2</v>
      </c>
      <c r="N46">
        <f>+N44+M46</f>
        <v>-2.7410480692563524</v>
      </c>
    </row>
    <row r="47" spans="1:14">
      <c r="A47" s="8">
        <v>2</v>
      </c>
      <c r="B47" s="73">
        <v>37119</v>
      </c>
      <c r="C47" s="12">
        <v>2001</v>
      </c>
      <c r="D47" s="16" t="s">
        <v>25</v>
      </c>
      <c r="E47" s="12">
        <v>8</v>
      </c>
      <c r="F47" s="17">
        <v>2.8484052173891512</v>
      </c>
      <c r="G47" s="15">
        <v>0.21154108666666666</v>
      </c>
    </row>
    <row r="48" spans="1:14">
      <c r="A48" s="8">
        <v>16</v>
      </c>
      <c r="B48" s="73">
        <v>37119</v>
      </c>
      <c r="C48" s="12">
        <v>2001</v>
      </c>
      <c r="D48" s="16" t="s">
        <v>25</v>
      </c>
      <c r="E48" s="12">
        <v>8</v>
      </c>
      <c r="F48" s="17">
        <v>2.349127100454246</v>
      </c>
      <c r="G48" s="15">
        <v>2.7588778666666668E-2</v>
      </c>
      <c r="I48" s="29">
        <f>AVERAGE(F47:F48)</f>
        <v>2.5987661589216984</v>
      </c>
      <c r="J48" s="29">
        <f>AVERAGE(G47:G48)</f>
        <v>0.11956493266666667</v>
      </c>
      <c r="L48">
        <f>+J48/I48</f>
        <v>4.6008346020742989E-2</v>
      </c>
      <c r="M48">
        <f>+(L48-$L$619)/$L$620</f>
        <v>0.28836882761549387</v>
      </c>
      <c r="N48">
        <f>+N46+M48</f>
        <v>-2.4526792416408583</v>
      </c>
    </row>
    <row r="49" spans="1:14">
      <c r="A49" s="8">
        <v>2</v>
      </c>
      <c r="B49" s="73">
        <v>37152</v>
      </c>
      <c r="C49" s="12">
        <v>2001</v>
      </c>
      <c r="D49" s="16" t="s">
        <v>26</v>
      </c>
      <c r="E49" s="12">
        <v>9</v>
      </c>
      <c r="F49" s="17">
        <v>1.1426911228841896</v>
      </c>
      <c r="G49" s="15">
        <v>0</v>
      </c>
    </row>
    <row r="50" spans="1:14">
      <c r="A50" s="8">
        <v>16</v>
      </c>
      <c r="B50" s="73">
        <v>37152</v>
      </c>
      <c r="C50" s="12">
        <v>2001</v>
      </c>
      <c r="D50" s="16" t="s">
        <v>26</v>
      </c>
      <c r="E50" s="12">
        <v>9</v>
      </c>
      <c r="F50" s="17">
        <v>3.559456607124281</v>
      </c>
      <c r="G50" s="15">
        <v>0</v>
      </c>
      <c r="I50" s="29">
        <f>AVERAGE(F49:F50)</f>
        <v>2.3510738650042353</v>
      </c>
      <c r="J50" s="29">
        <f>AVERAGE(G49:G50)</f>
        <v>0</v>
      </c>
      <c r="L50">
        <f>+J50/I50</f>
        <v>0</v>
      </c>
      <c r="M50">
        <f>+(L50-$L$619)/$L$620</f>
        <v>-0.43168435777635011</v>
      </c>
      <c r="N50">
        <f>+N48+M50</f>
        <v>-2.8843635994172083</v>
      </c>
    </row>
    <row r="51" spans="1:14">
      <c r="A51" s="8">
        <v>2</v>
      </c>
      <c r="B51" s="73">
        <v>37181</v>
      </c>
      <c r="C51" s="12">
        <v>2001</v>
      </c>
      <c r="D51" s="16" t="s">
        <v>14</v>
      </c>
      <c r="E51" s="12">
        <v>10</v>
      </c>
      <c r="F51" s="13">
        <v>0.88883623176181215</v>
      </c>
      <c r="G51" s="14">
        <v>0</v>
      </c>
    </row>
    <row r="52" spans="1:14">
      <c r="A52" s="8">
        <v>16</v>
      </c>
      <c r="B52" s="73">
        <v>37181</v>
      </c>
      <c r="C52" s="12">
        <v>2001</v>
      </c>
      <c r="D52" s="16" t="s">
        <v>14</v>
      </c>
      <c r="E52" s="12">
        <v>10</v>
      </c>
      <c r="F52" s="13">
        <v>1.3553329324301133</v>
      </c>
      <c r="G52" s="14">
        <v>1.1660501588595419E-2</v>
      </c>
      <c r="I52" s="29">
        <f>AVERAGE(F51:F52)</f>
        <v>1.1220845820959626</v>
      </c>
      <c r="J52" s="29">
        <f>AVERAGE(G51:G52)</f>
        <v>5.8302507942977096E-3</v>
      </c>
      <c r="L52">
        <f>+J52/I52</f>
        <v>5.1959102614236759E-3</v>
      </c>
      <c r="M52">
        <f>+(L52-$L$619)/$L$620</f>
        <v>-0.35036581324398425</v>
      </c>
      <c r="N52">
        <f>+N50+M52</f>
        <v>-3.2347294126611925</v>
      </c>
    </row>
    <row r="53" spans="1:14">
      <c r="A53" s="8">
        <v>2</v>
      </c>
      <c r="B53" s="73">
        <v>37203</v>
      </c>
      <c r="C53" s="12">
        <v>2001</v>
      </c>
      <c r="D53" s="16" t="s">
        <v>16</v>
      </c>
      <c r="E53" s="12">
        <v>11</v>
      </c>
      <c r="F53" s="13">
        <v>0.9134465601340287</v>
      </c>
      <c r="G53" s="14">
        <v>0</v>
      </c>
    </row>
    <row r="54" spans="1:14">
      <c r="A54" s="8">
        <v>16</v>
      </c>
      <c r="B54" s="73">
        <v>37203</v>
      </c>
      <c r="C54" s="12">
        <v>2001</v>
      </c>
      <c r="D54" s="16" t="s">
        <v>16</v>
      </c>
      <c r="E54" s="12">
        <v>11</v>
      </c>
      <c r="F54" s="13">
        <v>1.2287094678118828</v>
      </c>
      <c r="G54" s="14">
        <v>0</v>
      </c>
      <c r="I54" s="29">
        <f>AVERAGE(F53:F54)</f>
        <v>1.0710780139729557</v>
      </c>
      <c r="J54" s="29">
        <f>AVERAGE(G53:G54)</f>
        <v>0</v>
      </c>
      <c r="L54">
        <f>+J54/I54</f>
        <v>0</v>
      </c>
      <c r="M54">
        <f>+(L54-$L$619)/$L$620</f>
        <v>-0.43168435777635011</v>
      </c>
      <c r="N54">
        <f>+N52+M54</f>
        <v>-3.6664137704375426</v>
      </c>
    </row>
    <row r="55" spans="1:14">
      <c r="A55" s="8">
        <v>2</v>
      </c>
      <c r="B55" s="73">
        <v>37228</v>
      </c>
      <c r="C55" s="12">
        <v>2001</v>
      </c>
      <c r="D55" s="16" t="s">
        <v>17</v>
      </c>
      <c r="E55" s="12">
        <v>12</v>
      </c>
      <c r="F55" s="13">
        <v>2.6464825212013325</v>
      </c>
      <c r="G55" s="14">
        <v>4.7265783038564678E-2</v>
      </c>
    </row>
    <row r="56" spans="1:14">
      <c r="A56" s="8">
        <v>16</v>
      </c>
      <c r="B56" s="73">
        <v>37228</v>
      </c>
      <c r="C56" s="12">
        <v>2001</v>
      </c>
      <c r="D56" s="16" t="s">
        <v>17</v>
      </c>
      <c r="E56" s="12">
        <v>12</v>
      </c>
      <c r="F56" s="13">
        <v>0.65546728590943959</v>
      </c>
      <c r="G56" s="14">
        <v>0</v>
      </c>
      <c r="I56" s="29">
        <f>AVERAGE(F55:F56)</f>
        <v>1.650974903555386</v>
      </c>
      <c r="J56" s="29">
        <f>AVERAGE(G55:G56)</f>
        <v>2.3632891519282339E-2</v>
      </c>
      <c r="L56">
        <f>+J56/I56</f>
        <v>1.4314506821629294E-2</v>
      </c>
      <c r="M56">
        <f>+(L56-$L$619)/$L$620</f>
        <v>-0.20765530379600447</v>
      </c>
      <c r="N56">
        <f>+N54+M56</f>
        <v>-3.8740690742335468</v>
      </c>
    </row>
    <row r="57" spans="1:14">
      <c r="A57" s="8">
        <v>2</v>
      </c>
      <c r="B57" s="73">
        <v>37270</v>
      </c>
      <c r="C57" s="12">
        <v>2002</v>
      </c>
      <c r="D57" s="16" t="s">
        <v>18</v>
      </c>
      <c r="E57" s="12">
        <v>1</v>
      </c>
      <c r="F57" s="13">
        <v>2.5862509295428344</v>
      </c>
      <c r="G57" s="14">
        <v>0.39084031015956883</v>
      </c>
    </row>
    <row r="58" spans="1:14">
      <c r="A58" s="8">
        <v>16</v>
      </c>
      <c r="B58" s="73">
        <v>37270</v>
      </c>
      <c r="C58" s="12">
        <v>2002</v>
      </c>
      <c r="D58" s="16" t="s">
        <v>18</v>
      </c>
      <c r="E58" s="12">
        <v>1</v>
      </c>
      <c r="F58" s="13">
        <v>2.4329208174935348</v>
      </c>
      <c r="G58" s="14">
        <v>0.29249953375234411</v>
      </c>
      <c r="I58" s="29">
        <f>AVERAGE(F57:F58)</f>
        <v>2.5095858735181844</v>
      </c>
      <c r="J58" s="29">
        <f>AVERAGE(G57:G58)</f>
        <v>0.34166992195595647</v>
      </c>
      <c r="L58">
        <f>+J58/I58</f>
        <v>0.13614593768691005</v>
      </c>
      <c r="M58">
        <f>+(L58-$L$619)/$L$620</f>
        <v>1.6990663557011774</v>
      </c>
      <c r="N58">
        <f>+N56+M58</f>
        <v>-2.1750027185323697</v>
      </c>
    </row>
    <row r="59" spans="1:14">
      <c r="A59" s="8">
        <v>2</v>
      </c>
      <c r="B59" s="73">
        <v>37300</v>
      </c>
      <c r="C59" s="12">
        <v>2002</v>
      </c>
      <c r="D59" s="11" t="s">
        <v>19</v>
      </c>
      <c r="E59" s="12">
        <v>2</v>
      </c>
      <c r="F59" s="13">
        <v>3.8015700259641796</v>
      </c>
      <c r="G59" s="14">
        <v>0.11375236069636757</v>
      </c>
    </row>
    <row r="60" spans="1:14">
      <c r="A60" s="8">
        <v>16</v>
      </c>
      <c r="B60" s="73">
        <v>37300</v>
      </c>
      <c r="C60" s="12">
        <v>2002</v>
      </c>
      <c r="D60" s="11" t="s">
        <v>19</v>
      </c>
      <c r="E60" s="12">
        <v>2</v>
      </c>
      <c r="F60" s="13">
        <v>1.8488222946788944</v>
      </c>
      <c r="G60" s="13">
        <v>3.2098689551771115E-2</v>
      </c>
      <c r="I60" s="29">
        <f>AVERAGE(F59:F60)</f>
        <v>2.825196160321537</v>
      </c>
      <c r="J60" s="29">
        <f>AVERAGE(G59:G60)</f>
        <v>7.2925525124069343E-2</v>
      </c>
      <c r="L60">
        <f>+J60/I60</f>
        <v>2.5812552823153225E-2</v>
      </c>
      <c r="M60">
        <f>+(L60-$L$619)/$L$620</f>
        <v>-2.7705243312487839E-2</v>
      </c>
      <c r="N60">
        <f>+N58+M60</f>
        <v>-2.2027079618448577</v>
      </c>
    </row>
    <row r="61" spans="1:14">
      <c r="A61" s="8">
        <v>2</v>
      </c>
      <c r="B61" s="71">
        <v>37334</v>
      </c>
      <c r="C61" s="12">
        <v>2002</v>
      </c>
      <c r="D61" s="11" t="s">
        <v>20</v>
      </c>
      <c r="E61" s="12">
        <v>3</v>
      </c>
      <c r="F61" s="13">
        <v>2.5102946580494283</v>
      </c>
      <c r="G61" s="13">
        <v>9.2886905458886809E-2</v>
      </c>
    </row>
    <row r="62" spans="1:14">
      <c r="A62" s="8">
        <v>16</v>
      </c>
      <c r="B62" s="71">
        <v>37334</v>
      </c>
      <c r="C62" s="12">
        <v>2002</v>
      </c>
      <c r="D62" s="11" t="s">
        <v>20</v>
      </c>
      <c r="E62" s="12">
        <v>3</v>
      </c>
      <c r="F62" s="13">
        <v>2.2858305706399227</v>
      </c>
      <c r="G62" s="21"/>
      <c r="I62" s="29">
        <f>AVERAGE(F61:F62)</f>
        <v>2.3980626143446755</v>
      </c>
      <c r="J62" s="29">
        <f>AVERAGE(G61:G62)</f>
        <v>9.2886905458886809E-2</v>
      </c>
    </row>
    <row r="63" spans="1:14">
      <c r="A63" s="8">
        <v>2</v>
      </c>
      <c r="B63" s="71">
        <v>37361</v>
      </c>
      <c r="C63" s="12">
        <v>2002</v>
      </c>
      <c r="D63" s="16" t="s">
        <v>21</v>
      </c>
      <c r="E63" s="12">
        <v>4</v>
      </c>
      <c r="F63" s="13">
        <v>2.1580438395184895</v>
      </c>
      <c r="G63" s="13">
        <v>6.6318787926239867E-2</v>
      </c>
    </row>
    <row r="64" spans="1:14">
      <c r="A64" s="8">
        <v>16</v>
      </c>
      <c r="B64" s="71">
        <v>37361</v>
      </c>
      <c r="C64" s="12">
        <v>2002</v>
      </c>
      <c r="D64" s="16" t="s">
        <v>21</v>
      </c>
      <c r="E64" s="12">
        <v>4</v>
      </c>
      <c r="F64" s="13">
        <v>1.774534540696767</v>
      </c>
      <c r="G64" s="13">
        <v>7.2430992718876694E-2</v>
      </c>
      <c r="I64" s="29">
        <f>AVERAGE(F63:F64)</f>
        <v>1.9662891901076283</v>
      </c>
      <c r="J64" s="29">
        <f>AVERAGE(G63:G64)</f>
        <v>6.937489032255828E-2</v>
      </c>
      <c r="L64">
        <f>+J64/I64</f>
        <v>3.5282139916947272E-2</v>
      </c>
      <c r="M64">
        <f>+(L64-$L$619)/$L$620</f>
        <v>0.12049844017045482</v>
      </c>
      <c r="N64">
        <f>+N60+M64</f>
        <v>-2.082209521674403</v>
      </c>
    </row>
    <row r="65" spans="1:14">
      <c r="A65" s="8">
        <v>2</v>
      </c>
      <c r="B65" s="71">
        <v>37389</v>
      </c>
      <c r="C65" s="12">
        <v>2002</v>
      </c>
      <c r="D65" s="16" t="s">
        <v>22</v>
      </c>
      <c r="E65" s="12">
        <v>5</v>
      </c>
      <c r="F65" s="13">
        <v>3.4447134973659104</v>
      </c>
      <c r="G65" s="21"/>
    </row>
    <row r="66" spans="1:14">
      <c r="A66" s="8">
        <v>16</v>
      </c>
      <c r="B66" s="71">
        <v>37389</v>
      </c>
      <c r="C66" s="12">
        <v>2002</v>
      </c>
      <c r="D66" s="16" t="s">
        <v>22</v>
      </c>
      <c r="E66" s="12">
        <v>5</v>
      </c>
      <c r="F66" s="13">
        <v>8.881687495300195</v>
      </c>
      <c r="G66" s="21"/>
      <c r="I66" s="29">
        <f>AVERAGE(F65:F66)</f>
        <v>6.1632004963330527</v>
      </c>
      <c r="J66" s="29" t="e">
        <f>AVERAGE(G65:G66)</f>
        <v>#DIV/0!</v>
      </c>
    </row>
    <row r="67" spans="1:14">
      <c r="A67" s="8">
        <v>2</v>
      </c>
      <c r="B67" s="71">
        <v>37418</v>
      </c>
      <c r="C67" s="12">
        <v>2002</v>
      </c>
      <c r="D67" s="16" t="s">
        <v>23</v>
      </c>
      <c r="E67" s="12">
        <v>6</v>
      </c>
      <c r="F67" s="13">
        <v>10.009571909247931</v>
      </c>
      <c r="G67" s="21"/>
    </row>
    <row r="68" spans="1:14">
      <c r="A68" s="8">
        <v>16</v>
      </c>
      <c r="B68" s="71">
        <v>37418</v>
      </c>
      <c r="C68" s="12">
        <v>2002</v>
      </c>
      <c r="D68" s="16" t="s">
        <v>23</v>
      </c>
      <c r="E68" s="12">
        <v>6</v>
      </c>
      <c r="F68" s="13">
        <v>13.419695934897145</v>
      </c>
      <c r="G68" s="21"/>
      <c r="I68" s="29">
        <f>AVERAGE(F67:F68)</f>
        <v>11.714633922072538</v>
      </c>
      <c r="J68" s="29" t="e">
        <f>AVERAGE(G67:G68)</f>
        <v>#DIV/0!</v>
      </c>
    </row>
    <row r="69" spans="1:14">
      <c r="A69" s="8">
        <v>2</v>
      </c>
      <c r="B69" s="71">
        <v>37455</v>
      </c>
      <c r="C69" s="12">
        <v>2002</v>
      </c>
      <c r="D69" s="16" t="s">
        <v>24</v>
      </c>
      <c r="E69" s="12">
        <v>7</v>
      </c>
      <c r="F69" s="13">
        <v>5.3211790943017867</v>
      </c>
      <c r="G69" s="21"/>
    </row>
    <row r="70" spans="1:14">
      <c r="A70" s="8">
        <v>16</v>
      </c>
      <c r="B70" s="71">
        <v>37455</v>
      </c>
      <c r="C70" s="12">
        <v>2002</v>
      </c>
      <c r="D70" s="16" t="s">
        <v>24</v>
      </c>
      <c r="E70" s="12">
        <v>7</v>
      </c>
      <c r="F70" s="13">
        <v>4.7489580401675386</v>
      </c>
      <c r="G70" s="21"/>
      <c r="I70" s="29">
        <f>AVERAGE(F69:F70)</f>
        <v>5.0350685672346627</v>
      </c>
      <c r="J70" s="29" t="e">
        <f>AVERAGE(G69:G70)</f>
        <v>#DIV/0!</v>
      </c>
    </row>
    <row r="71" spans="1:14">
      <c r="A71" s="8">
        <v>2</v>
      </c>
      <c r="B71" s="71">
        <v>37483</v>
      </c>
      <c r="C71" s="12">
        <v>2002</v>
      </c>
      <c r="D71" s="16" t="s">
        <v>25</v>
      </c>
      <c r="E71" s="12">
        <v>8</v>
      </c>
      <c r="F71" s="13">
        <v>8.9276388533360702</v>
      </c>
      <c r="G71" s="21"/>
    </row>
    <row r="72" spans="1:14">
      <c r="A72" s="8">
        <v>16</v>
      </c>
      <c r="B72" s="71">
        <v>37483</v>
      </c>
      <c r="C72" s="12">
        <v>2002</v>
      </c>
      <c r="D72" s="16" t="s">
        <v>25</v>
      </c>
      <c r="E72" s="12">
        <v>8</v>
      </c>
      <c r="F72" s="13">
        <v>6.9124704484348456</v>
      </c>
      <c r="G72" s="21"/>
      <c r="I72" s="29">
        <f>AVERAGE(F71:F72)</f>
        <v>7.9200546508854579</v>
      </c>
      <c r="J72" s="29" t="e">
        <f>AVERAGE(G71:G72)</f>
        <v>#DIV/0!</v>
      </c>
    </row>
    <row r="73" spans="1:14">
      <c r="A73" s="8">
        <v>2</v>
      </c>
      <c r="B73" s="71">
        <v>37516</v>
      </c>
      <c r="C73" s="12">
        <v>2002</v>
      </c>
      <c r="D73" s="16" t="s">
        <v>26</v>
      </c>
      <c r="E73" s="12">
        <v>9</v>
      </c>
      <c r="F73" s="13">
        <v>3.173773117201462</v>
      </c>
      <c r="G73" s="21"/>
    </row>
    <row r="74" spans="1:14">
      <c r="A74" s="8">
        <v>16</v>
      </c>
      <c r="B74" s="71">
        <v>37516</v>
      </c>
      <c r="C74" s="12">
        <v>2002</v>
      </c>
      <c r="D74" s="16" t="s">
        <v>26</v>
      </c>
      <c r="E74" s="12">
        <v>9</v>
      </c>
      <c r="F74" s="13">
        <v>3.8178663332300089</v>
      </c>
      <c r="G74" s="21"/>
      <c r="I74" s="29">
        <f>AVERAGE(F73:F74)</f>
        <v>3.4958197252157355</v>
      </c>
      <c r="J74" s="29" t="e">
        <f>AVERAGE(G73:G74)</f>
        <v>#DIV/0!</v>
      </c>
    </row>
    <row r="75" spans="1:14">
      <c r="A75" s="8">
        <v>2</v>
      </c>
      <c r="B75" s="71">
        <v>37544</v>
      </c>
      <c r="C75" s="12">
        <v>2002</v>
      </c>
      <c r="D75" s="16" t="s">
        <v>14</v>
      </c>
      <c r="E75" s="12">
        <v>10</v>
      </c>
      <c r="F75" s="17">
        <v>0.59088981632737425</v>
      </c>
      <c r="G75" s="17">
        <v>0</v>
      </c>
    </row>
    <row r="76" spans="1:14">
      <c r="A76" s="8">
        <v>16</v>
      </c>
      <c r="B76" s="71">
        <v>37544</v>
      </c>
      <c r="C76" s="12">
        <v>2002</v>
      </c>
      <c r="D76" s="16" t="s">
        <v>14</v>
      </c>
      <c r="E76" s="12">
        <v>10</v>
      </c>
      <c r="F76" s="17">
        <v>0.85666815903047522</v>
      </c>
      <c r="G76" s="17">
        <v>0</v>
      </c>
      <c r="I76" s="29">
        <f>AVERAGE(F75:F76)</f>
        <v>0.72377898767892468</v>
      </c>
      <c r="J76" s="29">
        <f>AVERAGE(G75:G76)</f>
        <v>0</v>
      </c>
      <c r="L76">
        <f>+J76/I76</f>
        <v>0</v>
      </c>
      <c r="M76">
        <f>+(L76-$L$619)/$L$620</f>
        <v>-0.43168435777635011</v>
      </c>
      <c r="N76">
        <f>+N64+M76</f>
        <v>-2.513893879450753</v>
      </c>
    </row>
    <row r="77" spans="1:14">
      <c r="A77" s="8">
        <v>2</v>
      </c>
      <c r="B77" s="71">
        <v>37575</v>
      </c>
      <c r="C77" s="12">
        <v>2002</v>
      </c>
      <c r="D77" s="16" t="s">
        <v>16</v>
      </c>
      <c r="E77" s="12">
        <v>11</v>
      </c>
      <c r="F77" s="17">
        <v>1.6548308255377724</v>
      </c>
      <c r="G77" s="17">
        <v>9.6716489709037193E-2</v>
      </c>
    </row>
    <row r="78" spans="1:14">
      <c r="A78" s="8">
        <v>16</v>
      </c>
      <c r="B78" s="71">
        <v>37575</v>
      </c>
      <c r="C78" s="12">
        <v>2002</v>
      </c>
      <c r="D78" s="16" t="s">
        <v>16</v>
      </c>
      <c r="E78" s="12">
        <v>11</v>
      </c>
      <c r="F78" s="17">
        <v>1.5187610701365515</v>
      </c>
      <c r="G78" s="17">
        <v>0.11314643892575946</v>
      </c>
      <c r="I78" s="29">
        <f>AVERAGE(F77:F78)</f>
        <v>1.586795947837162</v>
      </c>
      <c r="J78" s="29">
        <f>AVERAGE(G77:G78)</f>
        <v>0.10493146431739833</v>
      </c>
      <c r="L78">
        <f>+J78/I78</f>
        <v>6.6127887747899933E-2</v>
      </c>
      <c r="M78">
        <f>+(L78-$L$619)/$L$620</f>
        <v>0.60324952562476186</v>
      </c>
      <c r="N78">
        <f>+N76+M78</f>
        <v>-1.9106443538259912</v>
      </c>
    </row>
    <row r="79" spans="1:14">
      <c r="A79" s="8">
        <v>2</v>
      </c>
      <c r="B79" s="71">
        <v>37609</v>
      </c>
      <c r="C79" s="12">
        <v>2002</v>
      </c>
      <c r="D79" s="16" t="s">
        <v>17</v>
      </c>
      <c r="E79" s="12">
        <v>12</v>
      </c>
      <c r="F79" s="17">
        <v>2.8975742868231502</v>
      </c>
      <c r="G79" s="17">
        <v>2.6134824642096009E-2</v>
      </c>
    </row>
    <row r="80" spans="1:14">
      <c r="A80" s="8">
        <v>16</v>
      </c>
      <c r="B80" s="71">
        <v>37609</v>
      </c>
      <c r="C80" s="12">
        <v>2002</v>
      </c>
      <c r="D80" s="16" t="s">
        <v>17</v>
      </c>
      <c r="E80" s="12">
        <v>12</v>
      </c>
      <c r="F80" s="17">
        <v>2.2313565544436207</v>
      </c>
      <c r="G80" s="17">
        <v>4.3155254783528149E-2</v>
      </c>
      <c r="I80" s="29">
        <f>AVERAGE(F79:F80)</f>
        <v>2.5644654206333852</v>
      </c>
      <c r="J80" s="29">
        <f>AVERAGE(G79:G80)</f>
        <v>3.4645039712812076E-2</v>
      </c>
      <c r="L80">
        <f>+J80/I80</f>
        <v>1.3509653682230295E-2</v>
      </c>
      <c r="M80">
        <f>+(L80-$L$619)/$L$620</f>
        <v>-0.22025165026183022</v>
      </c>
      <c r="N80">
        <f>+N78+M80</f>
        <v>-2.1308960040878215</v>
      </c>
    </row>
    <row r="81" spans="1:14">
      <c r="A81" s="8">
        <v>2</v>
      </c>
      <c r="B81" s="71">
        <v>37635</v>
      </c>
      <c r="C81" s="12">
        <v>2003</v>
      </c>
      <c r="D81" s="16" t="s">
        <v>18</v>
      </c>
      <c r="E81" s="12">
        <v>1</v>
      </c>
      <c r="F81" s="17">
        <v>7.3807167788437722</v>
      </c>
      <c r="G81" s="17">
        <v>0.21960533683380767</v>
      </c>
    </row>
    <row r="82" spans="1:14">
      <c r="A82" s="8">
        <v>16</v>
      </c>
      <c r="B82" s="71">
        <v>37635</v>
      </c>
      <c r="C82" s="12">
        <v>2003</v>
      </c>
      <c r="D82" s="16" t="s">
        <v>18</v>
      </c>
      <c r="E82" s="12">
        <v>1</v>
      </c>
      <c r="F82" s="17">
        <v>8.3268224592865661</v>
      </c>
      <c r="G82" s="17">
        <v>0.39694352664205423</v>
      </c>
      <c r="I82" s="29">
        <f>AVERAGE(F81:F82)</f>
        <v>7.8537696190651687</v>
      </c>
      <c r="J82" s="29">
        <f>AVERAGE(G81:G82)</f>
        <v>0.30827443173793095</v>
      </c>
      <c r="L82">
        <f>+J82/I82</f>
        <v>3.9251779297114743E-2</v>
      </c>
      <c r="M82">
        <f>+(L82-$L$619)/$L$620</f>
        <v>0.18262524384337531</v>
      </c>
      <c r="N82">
        <f>+N80+M82</f>
        <v>-1.9482707602444462</v>
      </c>
    </row>
    <row r="83" spans="1:14">
      <c r="A83" s="8">
        <v>2</v>
      </c>
      <c r="B83" s="71">
        <v>37665</v>
      </c>
      <c r="C83" s="12">
        <v>2003</v>
      </c>
      <c r="D83" s="11" t="s">
        <v>19</v>
      </c>
      <c r="E83" s="12">
        <v>2</v>
      </c>
      <c r="F83" s="17">
        <v>7.0307100892642236</v>
      </c>
      <c r="G83" s="17">
        <v>0.43414680307061976</v>
      </c>
    </row>
    <row r="84" spans="1:14">
      <c r="A84" s="8">
        <v>16</v>
      </c>
      <c r="B84" s="71">
        <v>37665</v>
      </c>
      <c r="C84" s="12">
        <v>2003</v>
      </c>
      <c r="D84" s="11" t="s">
        <v>19</v>
      </c>
      <c r="E84" s="12">
        <v>2</v>
      </c>
      <c r="F84" s="17">
        <v>5.7501164628940291</v>
      </c>
      <c r="G84" s="17">
        <v>0</v>
      </c>
      <c r="I84" s="29">
        <f>AVERAGE(F83:F84)</f>
        <v>6.3904132760791263</v>
      </c>
      <c r="J84" s="29">
        <f>AVERAGE(G83:G84)</f>
        <v>0.21707340153530988</v>
      </c>
      <c r="L84">
        <f>+J84/I84</f>
        <v>3.3968601427996604E-2</v>
      </c>
      <c r="M84">
        <f>+(L84-$L$619)/$L$620</f>
        <v>9.994091843999979E-2</v>
      </c>
      <c r="N84">
        <f>+N82+M84</f>
        <v>-1.8483298418044465</v>
      </c>
    </row>
    <row r="85" spans="1:14">
      <c r="A85" s="8">
        <v>2</v>
      </c>
      <c r="B85" s="71">
        <v>37690</v>
      </c>
      <c r="C85" s="12">
        <v>2003</v>
      </c>
      <c r="D85" s="11" t="s">
        <v>20</v>
      </c>
      <c r="E85" s="12">
        <v>3</v>
      </c>
      <c r="F85" s="17">
        <v>5.4394671209078842</v>
      </c>
      <c r="G85" s="17">
        <v>0.1053373948435809</v>
      </c>
    </row>
    <row r="86" spans="1:14">
      <c r="A86" s="8">
        <v>16</v>
      </c>
      <c r="B86" s="71">
        <v>37692</v>
      </c>
      <c r="C86" s="12">
        <v>2003</v>
      </c>
      <c r="D86" s="11" t="s">
        <v>20</v>
      </c>
      <c r="E86" s="12">
        <v>3</v>
      </c>
      <c r="F86" s="17">
        <v>6.7191308328276174</v>
      </c>
      <c r="G86" s="17">
        <v>0.36817556809912239</v>
      </c>
      <c r="I86" s="29">
        <f>AVERAGE(F85:F86)</f>
        <v>6.0792989768677508</v>
      </c>
      <c r="J86" s="29">
        <f>AVERAGE(G85:G86)</f>
        <v>0.23675648147135164</v>
      </c>
      <c r="L86">
        <f>+J86/I86</f>
        <v>3.8944701086791447E-2</v>
      </c>
      <c r="M86">
        <f>+(L86-$L$619)/$L$620</f>
        <v>0.17781931920943983</v>
      </c>
      <c r="N86">
        <f>+N84+M86</f>
        <v>-1.6705105225950065</v>
      </c>
    </row>
    <row r="87" spans="1:14">
      <c r="A87" s="8">
        <v>2</v>
      </c>
      <c r="B87" s="71">
        <v>37725</v>
      </c>
      <c r="C87" s="12">
        <v>2003</v>
      </c>
      <c r="D87" s="11" t="s">
        <v>21</v>
      </c>
      <c r="E87" s="12">
        <v>4</v>
      </c>
      <c r="F87" s="17">
        <v>11.05539663202868</v>
      </c>
      <c r="G87" s="17">
        <v>0.11972093980649033</v>
      </c>
    </row>
    <row r="88" spans="1:14">
      <c r="A88" s="8">
        <v>16</v>
      </c>
      <c r="B88" s="71">
        <v>37725</v>
      </c>
      <c r="C88" s="12">
        <v>2003</v>
      </c>
      <c r="D88" s="11" t="s">
        <v>21</v>
      </c>
      <c r="E88" s="12">
        <v>4</v>
      </c>
      <c r="F88" s="17">
        <v>6.8301543624819328</v>
      </c>
      <c r="G88" s="17">
        <v>0</v>
      </c>
      <c r="I88" s="29">
        <f>AVERAGE(F87:F88)</f>
        <v>8.9427754972553064</v>
      </c>
      <c r="J88" s="29">
        <f>AVERAGE(G87:G88)</f>
        <v>5.9860469903245166E-2</v>
      </c>
      <c r="L88">
        <f>+J88/I88</f>
        <v>6.693723880423632E-3</v>
      </c>
      <c r="M88">
        <f>+(L88-$L$619)/$L$620</f>
        <v>-0.32692429532899647</v>
      </c>
      <c r="N88">
        <f>+N86+M88</f>
        <v>-1.9974348179240029</v>
      </c>
    </row>
    <row r="89" spans="1:14">
      <c r="A89" s="8">
        <v>2</v>
      </c>
      <c r="B89" s="71">
        <v>37753</v>
      </c>
      <c r="C89" s="12">
        <v>2003</v>
      </c>
      <c r="D89" s="11" t="s">
        <v>22</v>
      </c>
      <c r="E89" s="12">
        <v>5</v>
      </c>
      <c r="F89" s="17">
        <v>5.7161307948784339</v>
      </c>
      <c r="G89" s="17">
        <v>0.13912008593762468</v>
      </c>
    </row>
    <row r="90" spans="1:14">
      <c r="A90" s="8">
        <v>16</v>
      </c>
      <c r="B90" s="71">
        <v>37753</v>
      </c>
      <c r="C90" s="12">
        <v>2003</v>
      </c>
      <c r="D90" s="11" t="s">
        <v>22</v>
      </c>
      <c r="E90" s="12">
        <v>5</v>
      </c>
      <c r="F90" s="17">
        <v>4.8233307954777436</v>
      </c>
      <c r="G90" s="17">
        <v>0.20796188306511784</v>
      </c>
      <c r="I90" s="29">
        <f>AVERAGE(F89:F90)</f>
        <v>5.2697307951780887</v>
      </c>
      <c r="J90" s="29">
        <f>AVERAGE(G89:G90)</f>
        <v>0.17354098450137126</v>
      </c>
      <c r="L90">
        <f>+J90/I90</f>
        <v>3.2931660315582874E-2</v>
      </c>
      <c r="M90">
        <f>+(L90-$L$619)/$L$620</f>
        <v>8.3712281341838543E-2</v>
      </c>
      <c r="N90">
        <f>+N88+M90</f>
        <v>-1.9137225365821644</v>
      </c>
    </row>
    <row r="91" spans="1:14">
      <c r="A91" s="8">
        <v>2</v>
      </c>
      <c r="B91" s="71">
        <v>37792</v>
      </c>
      <c r="C91" s="12">
        <v>2003</v>
      </c>
      <c r="D91" s="11" t="s">
        <v>23</v>
      </c>
      <c r="E91" s="12">
        <v>6</v>
      </c>
      <c r="F91" s="17">
        <v>9.9054037962471089</v>
      </c>
      <c r="G91" s="17">
        <v>8.0063962151786641E-2</v>
      </c>
    </row>
    <row r="92" spans="1:14">
      <c r="A92" s="8">
        <v>16</v>
      </c>
      <c r="B92" s="71">
        <v>37792</v>
      </c>
      <c r="C92" s="12">
        <v>2003</v>
      </c>
      <c r="D92" s="11" t="s">
        <v>23</v>
      </c>
      <c r="E92" s="12">
        <v>6</v>
      </c>
      <c r="F92" s="17">
        <v>19.594853935043346</v>
      </c>
      <c r="G92" s="17">
        <v>0.11164201499045166</v>
      </c>
      <c r="I92" s="29">
        <f>AVERAGE(F91:F92)</f>
        <v>14.750128865645227</v>
      </c>
      <c r="J92" s="29">
        <f>AVERAGE(G91:G92)</f>
        <v>9.5852988571119152E-2</v>
      </c>
      <c r="L92">
        <f>+J92/I92</f>
        <v>6.4984509250201848E-3</v>
      </c>
      <c r="M92">
        <f>+(L92-$L$619)/$L$620</f>
        <v>-0.32998041287548985</v>
      </c>
      <c r="N92">
        <f>+N90+M92</f>
        <v>-2.2437029494576541</v>
      </c>
    </row>
    <row r="93" spans="1:14">
      <c r="A93" s="8">
        <v>2</v>
      </c>
      <c r="B93" s="71">
        <v>37817</v>
      </c>
      <c r="C93" s="12">
        <v>2003</v>
      </c>
      <c r="D93" s="16" t="s">
        <v>24</v>
      </c>
      <c r="E93" s="12">
        <v>7</v>
      </c>
      <c r="F93" s="17">
        <v>14.487619123674301</v>
      </c>
      <c r="G93" s="17">
        <v>3.3281539366335336E-2</v>
      </c>
    </row>
    <row r="94" spans="1:14">
      <c r="A94" s="8">
        <v>16</v>
      </c>
      <c r="B94" s="71">
        <v>37817</v>
      </c>
      <c r="C94" s="12">
        <v>2003</v>
      </c>
      <c r="D94" s="16" t="s">
        <v>24</v>
      </c>
      <c r="E94" s="12">
        <v>7</v>
      </c>
      <c r="F94" s="17">
        <v>12.646929840868735</v>
      </c>
      <c r="G94" s="17">
        <v>3.9553462445262012E-2</v>
      </c>
      <c r="I94" s="29">
        <f>AVERAGE(F93:F94)</f>
        <v>13.567274482271518</v>
      </c>
      <c r="J94" s="29">
        <f>AVERAGE(G93:G94)</f>
        <v>3.6417500905798678E-2</v>
      </c>
      <c r="L94">
        <f>+J94/I94</f>
        <v>2.6842164174820638E-3</v>
      </c>
      <c r="M94">
        <f>+(L94-$L$619)/$L$620</f>
        <v>-0.38967505405528952</v>
      </c>
      <c r="N94">
        <f>+N92+M94</f>
        <v>-2.6333780035129437</v>
      </c>
    </row>
    <row r="95" spans="1:14">
      <c r="A95" s="8">
        <v>2</v>
      </c>
      <c r="B95" s="71">
        <v>37845</v>
      </c>
      <c r="C95" s="12">
        <v>2003</v>
      </c>
      <c r="D95" s="16" t="s">
        <v>25</v>
      </c>
      <c r="E95" s="12">
        <v>8</v>
      </c>
      <c r="F95" s="17">
        <v>19.537651800896953</v>
      </c>
      <c r="G95" s="17">
        <v>4.7498284696608911E-2</v>
      </c>
    </row>
    <row r="96" spans="1:14">
      <c r="A96" s="8">
        <v>16</v>
      </c>
      <c r="B96" s="71">
        <v>37845</v>
      </c>
      <c r="C96" s="12">
        <v>2003</v>
      </c>
      <c r="D96" s="16" t="s">
        <v>25</v>
      </c>
      <c r="E96" s="12">
        <v>8</v>
      </c>
      <c r="F96" s="17">
        <v>20.502660158281593</v>
      </c>
      <c r="G96" s="17">
        <v>0.22084992207923673</v>
      </c>
      <c r="I96" s="29">
        <f>AVERAGE(F95:F96)</f>
        <v>20.020155979589273</v>
      </c>
      <c r="J96" s="29">
        <f>AVERAGE(G95:G96)</f>
        <v>0.13417410338792282</v>
      </c>
      <c r="L96">
        <f>+J96/I96</f>
        <v>6.7019509500682471E-3</v>
      </c>
      <c r="M96">
        <f>+(L96-$L$619)/$L$620</f>
        <v>-0.32679553765313096</v>
      </c>
      <c r="N96">
        <f>+N94+M96</f>
        <v>-2.9601735411660748</v>
      </c>
    </row>
    <row r="97" spans="1:14">
      <c r="A97" s="8">
        <v>2</v>
      </c>
      <c r="B97" s="71">
        <v>37888</v>
      </c>
      <c r="C97" s="12">
        <v>2003</v>
      </c>
      <c r="D97" s="16" t="s">
        <v>26</v>
      </c>
      <c r="E97" s="12">
        <v>9</v>
      </c>
      <c r="F97" s="17">
        <v>3.6079961892922769</v>
      </c>
      <c r="G97" s="17">
        <v>4.0434524415230697E-2</v>
      </c>
    </row>
    <row r="98" spans="1:14">
      <c r="A98" s="8">
        <v>16</v>
      </c>
      <c r="B98" s="71">
        <v>37888</v>
      </c>
      <c r="C98" s="12">
        <v>2003</v>
      </c>
      <c r="D98" s="16" t="s">
        <v>26</v>
      </c>
      <c r="E98" s="12">
        <v>9</v>
      </c>
      <c r="F98" s="17">
        <v>4.389143577658345</v>
      </c>
      <c r="G98" s="17">
        <v>4.1603652540718523E-2</v>
      </c>
      <c r="I98" s="29">
        <f>AVERAGE(F97:F98)</f>
        <v>3.9985698834753109</v>
      </c>
      <c r="J98" s="29">
        <f>AVERAGE(G97:G98)</f>
        <v>4.1019088477974613E-2</v>
      </c>
      <c r="L98">
        <f>+J98/I98</f>
        <v>1.0258439810566308E-2</v>
      </c>
      <c r="M98">
        <f>+(L98-$L$619)/$L$620</f>
        <v>-0.27113474229096629</v>
      </c>
      <c r="N98">
        <f>+N96+M98</f>
        <v>-3.2313082834570412</v>
      </c>
    </row>
    <row r="99" spans="1:14">
      <c r="A99" s="8">
        <v>2</v>
      </c>
      <c r="B99" s="71">
        <v>37908</v>
      </c>
      <c r="C99" s="12">
        <v>2003</v>
      </c>
      <c r="D99" s="16" t="s">
        <v>14</v>
      </c>
      <c r="E99" s="12">
        <v>10</v>
      </c>
      <c r="F99" s="13">
        <v>2.2682000000000002</v>
      </c>
      <c r="G99" s="17">
        <v>2.4101823893501573E-2</v>
      </c>
    </row>
    <row r="100" spans="1:14">
      <c r="A100" s="8">
        <v>16</v>
      </c>
      <c r="B100" s="71">
        <v>37908</v>
      </c>
      <c r="C100" s="12">
        <v>2003</v>
      </c>
      <c r="D100" s="16" t="s">
        <v>14</v>
      </c>
      <c r="E100" s="12">
        <v>10</v>
      </c>
      <c r="F100" s="13">
        <v>4.5435999999999996</v>
      </c>
      <c r="G100" s="17">
        <v>7.5867921799150126E-2</v>
      </c>
      <c r="I100" s="29">
        <f>AVERAGE(F99:F100)</f>
        <v>3.4058999999999999</v>
      </c>
      <c r="J100" s="29">
        <f>AVERAGE(G99:G100)</f>
        <v>4.9984872846325849E-2</v>
      </c>
      <c r="L100">
        <f>+J100/I100</f>
        <v>1.4675966072499443E-2</v>
      </c>
      <c r="M100">
        <f>+(L100-$L$619)/$L$620</f>
        <v>-0.20199828919997753</v>
      </c>
      <c r="N100">
        <f>+N98+M100</f>
        <v>-3.4333065726570187</v>
      </c>
    </row>
    <row r="101" spans="1:14">
      <c r="A101" s="8">
        <v>2</v>
      </c>
      <c r="B101" s="71">
        <v>37943</v>
      </c>
      <c r="C101" s="12">
        <v>2003</v>
      </c>
      <c r="D101" s="16" t="s">
        <v>16</v>
      </c>
      <c r="E101" s="12">
        <v>11</v>
      </c>
      <c r="F101" s="13">
        <v>1.7544</v>
      </c>
      <c r="G101" s="17">
        <v>3.1315016456698458E-2</v>
      </c>
    </row>
    <row r="102" spans="1:14">
      <c r="A102" s="8">
        <v>16</v>
      </c>
      <c r="B102" s="71">
        <v>37943</v>
      </c>
      <c r="C102" s="12">
        <v>2003</v>
      </c>
      <c r="D102" s="16" t="s">
        <v>16</v>
      </c>
      <c r="E102" s="12">
        <v>11</v>
      </c>
      <c r="F102" s="13">
        <v>2.1516000000000002</v>
      </c>
      <c r="G102" s="17">
        <v>4.9572584186487037E-2</v>
      </c>
      <c r="I102" s="29">
        <f>AVERAGE(F101:F102)</f>
        <v>1.9530000000000001</v>
      </c>
      <c r="J102" s="29">
        <f>AVERAGE(G101:G102)</f>
        <v>4.0443800321592747E-2</v>
      </c>
      <c r="L102">
        <f>+J102/I102</f>
        <v>2.0708551111926651E-2</v>
      </c>
      <c r="M102">
        <f>+(L102-$L$619)/$L$620</f>
        <v>-0.10758537394698543</v>
      </c>
      <c r="N102">
        <f>+N100+M102</f>
        <v>-3.5408919466040043</v>
      </c>
    </row>
    <row r="103" spans="1:14">
      <c r="A103" s="8">
        <v>2</v>
      </c>
      <c r="B103" s="71">
        <v>37973</v>
      </c>
      <c r="C103" s="12">
        <v>2003</v>
      </c>
      <c r="D103" s="16" t="s">
        <v>17</v>
      </c>
      <c r="E103" s="12">
        <v>12</v>
      </c>
      <c r="F103" s="13">
        <v>6.9042000000000003</v>
      </c>
      <c r="G103" s="17">
        <v>0.11367078859666899</v>
      </c>
    </row>
    <row r="104" spans="1:14">
      <c r="A104" s="8">
        <v>16</v>
      </c>
      <c r="B104" s="71">
        <v>37973</v>
      </c>
      <c r="C104" s="12">
        <v>2003</v>
      </c>
      <c r="D104" s="16" t="s">
        <v>17</v>
      </c>
      <c r="E104" s="12">
        <v>12</v>
      </c>
      <c r="F104" s="13">
        <v>8.3348999999999993</v>
      </c>
      <c r="G104" s="17">
        <v>0.15049579202833516</v>
      </c>
      <c r="I104" s="29">
        <f>AVERAGE(F103:F104)</f>
        <v>7.6195500000000003</v>
      </c>
      <c r="J104" s="29">
        <f>AVERAGE(G103:G104)</f>
        <v>0.13208329031250207</v>
      </c>
      <c r="L104">
        <f>+J104/I104</f>
        <v>1.7334788840876702E-2</v>
      </c>
      <c r="M104">
        <f>+(L104-$L$619)/$L$620</f>
        <v>-0.16038640854468833</v>
      </c>
      <c r="N104">
        <f>+N102+M104</f>
        <v>-3.7012783551486925</v>
      </c>
    </row>
    <row r="105" spans="1:14">
      <c r="A105" s="8">
        <v>2</v>
      </c>
      <c r="B105" s="71">
        <v>38000</v>
      </c>
      <c r="C105" s="12">
        <v>2004</v>
      </c>
      <c r="D105" s="16" t="s">
        <v>18</v>
      </c>
      <c r="E105" s="12">
        <v>1</v>
      </c>
      <c r="F105" s="13">
        <v>7.9244000000000003</v>
      </c>
      <c r="G105" s="13">
        <v>6.9294091716351633E-2</v>
      </c>
    </row>
    <row r="106" spans="1:14">
      <c r="A106" s="8">
        <v>16</v>
      </c>
      <c r="B106" s="71">
        <v>37999</v>
      </c>
      <c r="C106" s="12">
        <v>2004</v>
      </c>
      <c r="D106" s="16" t="s">
        <v>18</v>
      </c>
      <c r="E106" s="12">
        <v>1</v>
      </c>
      <c r="F106" s="13">
        <v>4.7584999999999997</v>
      </c>
      <c r="G106" s="13">
        <v>2.0371153086774077E-2</v>
      </c>
      <c r="I106" s="29">
        <f>AVERAGE(F105:F106)</f>
        <v>6.34145</v>
      </c>
      <c r="J106" s="29">
        <f>AVERAGE(G105:G106)</f>
        <v>4.4832622401562855E-2</v>
      </c>
      <c r="L106">
        <f>+J106/I106</f>
        <v>7.0697746416928074E-3</v>
      </c>
      <c r="M106">
        <f>+(L106-$L$619)/$L$620</f>
        <v>-0.32103891643711419</v>
      </c>
      <c r="N106">
        <f>+N104+M106</f>
        <v>-4.0223172715858064</v>
      </c>
    </row>
    <row r="107" spans="1:14">
      <c r="A107" s="8">
        <v>2</v>
      </c>
      <c r="B107" s="71">
        <v>38027</v>
      </c>
      <c r="C107" s="12">
        <v>2004</v>
      </c>
      <c r="D107" s="11" t="s">
        <v>19</v>
      </c>
      <c r="E107" s="12">
        <v>2</v>
      </c>
      <c r="F107" s="13">
        <v>8.4512999999999998</v>
      </c>
      <c r="G107" s="13">
        <v>0.10587675287421577</v>
      </c>
    </row>
    <row r="108" spans="1:14">
      <c r="A108" s="8">
        <v>16</v>
      </c>
      <c r="B108" s="71">
        <v>38027</v>
      </c>
      <c r="C108" s="12">
        <v>2004</v>
      </c>
      <c r="D108" s="11" t="s">
        <v>19</v>
      </c>
      <c r="E108" s="12">
        <v>2</v>
      </c>
      <c r="F108" s="13">
        <v>6.8272000000000004</v>
      </c>
      <c r="G108" s="13">
        <v>3.4639787288167981E-2</v>
      </c>
      <c r="I108" s="29">
        <f>AVERAGE(F107:F108)</f>
        <v>7.6392500000000005</v>
      </c>
      <c r="J108" s="29">
        <f>AVERAGE(G107:G108)</f>
        <v>7.025827008119187E-2</v>
      </c>
      <c r="L108">
        <f>+J108/I108</f>
        <v>9.1970114973579688E-3</v>
      </c>
      <c r="M108">
        <f>+(L108-$L$619)/$L$620</f>
        <v>-0.28774661609417101</v>
      </c>
      <c r="N108">
        <f>+N106+M108</f>
        <v>-4.3100638876799771</v>
      </c>
    </row>
    <row r="109" spans="1:14">
      <c r="A109" s="8">
        <v>2</v>
      </c>
      <c r="B109" s="71">
        <v>38063</v>
      </c>
      <c r="C109" s="12">
        <v>2004</v>
      </c>
      <c r="D109" s="11" t="s">
        <v>20</v>
      </c>
      <c r="E109" s="12">
        <v>3</v>
      </c>
      <c r="F109" s="13">
        <v>5.9840999999999998</v>
      </c>
      <c r="G109" s="13">
        <v>9.9309948680048041E-2</v>
      </c>
    </row>
    <row r="110" spans="1:14">
      <c r="A110" s="8">
        <v>16</v>
      </c>
      <c r="B110" s="71">
        <v>38063</v>
      </c>
      <c r="C110" s="12">
        <v>2004</v>
      </c>
      <c r="D110" s="11" t="s">
        <v>20</v>
      </c>
      <c r="E110" s="12">
        <v>3</v>
      </c>
      <c r="F110" s="13">
        <v>5.5353000000000003</v>
      </c>
      <c r="G110" s="13">
        <v>4.5258676202371555E-2</v>
      </c>
      <c r="I110" s="29">
        <f>AVERAGE(F109:F110)</f>
        <v>5.7597000000000005</v>
      </c>
      <c r="J110" s="29">
        <f>AVERAGE(G109:G110)</f>
        <v>7.2284312441209794E-2</v>
      </c>
      <c r="L110">
        <f>+J110/I110</f>
        <v>1.2550013445354755E-2</v>
      </c>
      <c r="M110">
        <f>+(L110-$L$619)/$L$620</f>
        <v>-0.23527049073657541</v>
      </c>
      <c r="N110">
        <f>+N108+M110</f>
        <v>-4.5453343784165527</v>
      </c>
    </row>
    <row r="111" spans="1:14">
      <c r="A111" s="8">
        <v>2</v>
      </c>
      <c r="B111" s="71">
        <v>38094</v>
      </c>
      <c r="C111" s="12">
        <v>2004</v>
      </c>
      <c r="D111" s="11" t="s">
        <v>21</v>
      </c>
      <c r="E111" s="12">
        <v>4</v>
      </c>
      <c r="F111" s="13">
        <v>5.3353000000000002</v>
      </c>
      <c r="G111" s="23">
        <v>2.9936142451045748E-2</v>
      </c>
    </row>
    <row r="112" spans="1:14">
      <c r="A112" s="8">
        <v>16</v>
      </c>
      <c r="B112" s="71">
        <v>38094</v>
      </c>
      <c r="C112" s="12">
        <v>2004</v>
      </c>
      <c r="D112" s="11" t="s">
        <v>21</v>
      </c>
      <c r="E112" s="12">
        <v>4</v>
      </c>
      <c r="F112" s="13">
        <v>6.4290000000000003</v>
      </c>
      <c r="G112" s="23">
        <v>5.107431439066594E-2</v>
      </c>
      <c r="I112" s="29">
        <f>AVERAGE(F111:F112)</f>
        <v>5.8821500000000002</v>
      </c>
      <c r="J112" s="29">
        <f>AVERAGE(G111:G112)</f>
        <v>4.0505228420855841E-2</v>
      </c>
      <c r="L112">
        <f>+J112/I112</f>
        <v>6.8861264029063925E-3</v>
      </c>
      <c r="M112">
        <f>+(L112-$L$619)/$L$620</f>
        <v>-0.32391310146585095</v>
      </c>
      <c r="N112">
        <f>+N110+M112</f>
        <v>-4.8692474798824037</v>
      </c>
    </row>
    <row r="113" spans="1:14">
      <c r="A113" s="8">
        <v>2</v>
      </c>
      <c r="B113" s="71">
        <v>38118</v>
      </c>
      <c r="C113" s="12">
        <v>2004</v>
      </c>
      <c r="D113" s="11" t="s">
        <v>22</v>
      </c>
      <c r="E113" s="12">
        <v>5</v>
      </c>
      <c r="F113" s="13">
        <v>3.1080999999999999</v>
      </c>
      <c r="G113" s="23">
        <v>2.3726658587918888E-2</v>
      </c>
    </row>
    <row r="114" spans="1:14">
      <c r="A114" s="8">
        <v>16</v>
      </c>
      <c r="B114" s="71">
        <v>38118</v>
      </c>
      <c r="C114" s="12">
        <v>2004</v>
      </c>
      <c r="D114" s="11" t="s">
        <v>22</v>
      </c>
      <c r="E114" s="12">
        <v>5</v>
      </c>
      <c r="F114" s="13">
        <v>4.1181999999999999</v>
      </c>
      <c r="G114" s="23">
        <v>3.6471212823303359E-2</v>
      </c>
      <c r="I114" s="29">
        <f>AVERAGE(F113:F114)</f>
        <v>3.6131500000000001</v>
      </c>
      <c r="J114" s="29">
        <f>AVERAGE(G113:G114)</f>
        <v>3.0098935705611125E-2</v>
      </c>
      <c r="L114">
        <f>+J114/I114</f>
        <v>8.3303864233732691E-3</v>
      </c>
      <c r="M114">
        <f>+(L114-$L$619)/$L$620</f>
        <v>-0.30130972363952346</v>
      </c>
      <c r="N114">
        <f>+N112+M114</f>
        <v>-5.1705572035219269</v>
      </c>
    </row>
    <row r="115" spans="1:14">
      <c r="A115" s="8">
        <v>2</v>
      </c>
      <c r="B115" s="71">
        <v>38153</v>
      </c>
      <c r="C115" s="12">
        <v>2004</v>
      </c>
      <c r="D115" s="11" t="s">
        <v>23</v>
      </c>
      <c r="E115" s="12">
        <v>6</v>
      </c>
      <c r="F115" s="13">
        <v>21.325199999999999</v>
      </c>
      <c r="G115" s="23">
        <v>6.0613869861052411E-2</v>
      </c>
    </row>
    <row r="116" spans="1:14">
      <c r="A116" s="8">
        <v>16</v>
      </c>
      <c r="B116" s="71">
        <v>38153</v>
      </c>
      <c r="C116" s="12">
        <v>2004</v>
      </c>
      <c r="D116" s="11" t="s">
        <v>23</v>
      </c>
      <c r="E116" s="12">
        <v>6</v>
      </c>
      <c r="F116" s="13">
        <v>21.731999999999999</v>
      </c>
      <c r="G116" s="23">
        <v>4.107528084838856E-2</v>
      </c>
      <c r="I116" s="29">
        <f>AVERAGE(F115:F116)</f>
        <v>21.528599999999997</v>
      </c>
      <c r="J116" s="29">
        <f>AVERAGE(G115:G116)</f>
        <v>5.0844575354720485E-2</v>
      </c>
      <c r="L116">
        <f>+J116/I116</f>
        <v>2.3617223300502815E-3</v>
      </c>
      <c r="M116">
        <f>+(L116-$L$619)/$L$620</f>
        <v>-0.39472224472849032</v>
      </c>
      <c r="N116">
        <f>+N114+M116</f>
        <v>-5.5652794482504175</v>
      </c>
    </row>
    <row r="117" spans="1:14">
      <c r="A117" s="8">
        <v>2</v>
      </c>
      <c r="B117" s="71">
        <v>38181</v>
      </c>
      <c r="C117" s="12">
        <v>2004</v>
      </c>
      <c r="D117" s="16" t="s">
        <v>24</v>
      </c>
      <c r="E117" s="12">
        <v>7</v>
      </c>
      <c r="F117" s="13">
        <v>19.874500000000001</v>
      </c>
      <c r="G117" s="23">
        <v>0.2572405959284354</v>
      </c>
    </row>
    <row r="118" spans="1:14">
      <c r="A118" s="8">
        <v>16</v>
      </c>
      <c r="B118" s="71">
        <v>38181</v>
      </c>
      <c r="C118" s="12">
        <v>2004</v>
      </c>
      <c r="D118" s="16" t="s">
        <v>24</v>
      </c>
      <c r="E118" s="12">
        <v>7</v>
      </c>
      <c r="F118" s="13">
        <v>16.134699999999999</v>
      </c>
      <c r="G118" s="23">
        <v>0.42717518330885967</v>
      </c>
      <c r="I118" s="29">
        <f>AVERAGE(F117:F118)</f>
        <v>18.0046</v>
      </c>
      <c r="J118" s="29">
        <f>AVERAGE(G117:G118)</f>
        <v>0.34220788961864756</v>
      </c>
      <c r="L118">
        <f>+J118/I118</f>
        <v>1.9006692157484618E-2</v>
      </c>
      <c r="M118">
        <f>+(L118-$L$619)/$L$620</f>
        <v>-0.13422030145950958</v>
      </c>
      <c r="N118">
        <f>+N116+M118</f>
        <v>-5.6994997497099273</v>
      </c>
    </row>
    <row r="119" spans="1:14">
      <c r="A119" s="8">
        <v>2</v>
      </c>
      <c r="B119" s="71">
        <v>38217</v>
      </c>
      <c r="C119" s="12">
        <v>2004</v>
      </c>
      <c r="D119" s="16" t="s">
        <v>25</v>
      </c>
      <c r="E119" s="12">
        <v>8</v>
      </c>
      <c r="F119" s="13">
        <v>16.3978</v>
      </c>
      <c r="G119" s="21"/>
    </row>
    <row r="120" spans="1:14">
      <c r="A120" s="8">
        <v>16</v>
      </c>
      <c r="B120" s="71">
        <v>38217</v>
      </c>
      <c r="C120" s="12">
        <v>2004</v>
      </c>
      <c r="D120" s="16" t="s">
        <v>25</v>
      </c>
      <c r="E120" s="12">
        <v>8</v>
      </c>
      <c r="F120" s="13">
        <v>14.690899999999999</v>
      </c>
      <c r="G120" s="21"/>
      <c r="I120" s="29">
        <f>AVERAGE(F119:F120)</f>
        <v>15.54435</v>
      </c>
      <c r="J120" s="29" t="e">
        <f>AVERAGE(G119:G120)</f>
        <v>#DIV/0!</v>
      </c>
    </row>
    <row r="121" spans="1:14">
      <c r="A121" s="8">
        <v>2</v>
      </c>
      <c r="B121" s="71">
        <v>38244</v>
      </c>
      <c r="C121" s="12">
        <v>2004</v>
      </c>
      <c r="D121" s="16" t="s">
        <v>26</v>
      </c>
      <c r="E121" s="12">
        <v>9</v>
      </c>
      <c r="F121" s="13">
        <v>9.6735000000000007</v>
      </c>
      <c r="G121" s="23">
        <v>4.9319956238623661E-2</v>
      </c>
    </row>
    <row r="122" spans="1:14">
      <c r="A122" s="8">
        <v>16</v>
      </c>
      <c r="B122" s="71">
        <v>38244</v>
      </c>
      <c r="C122" s="12">
        <v>2004</v>
      </c>
      <c r="D122" s="16" t="s">
        <v>26</v>
      </c>
      <c r="E122" s="12">
        <v>9</v>
      </c>
      <c r="F122" s="13">
        <v>8.8986999999999998</v>
      </c>
      <c r="G122" s="23">
        <v>7.3857332851544805E-2</v>
      </c>
      <c r="I122" s="29">
        <f>AVERAGE(F121:F122)</f>
        <v>9.2861000000000011</v>
      </c>
      <c r="J122" s="29">
        <f>AVERAGE(G121:G122)</f>
        <v>6.1588644545084233E-2</v>
      </c>
      <c r="L122">
        <f>+J122/I122</f>
        <v>6.6323477611789907E-3</v>
      </c>
      <c r="M122">
        <f>+(L122-$L$619)/$L$620</f>
        <v>-0.32788486170426168</v>
      </c>
      <c r="N122">
        <f>+N118+M122</f>
        <v>-6.0273846114141891</v>
      </c>
    </row>
    <row r="123" spans="1:14">
      <c r="A123" s="8">
        <v>2</v>
      </c>
      <c r="B123" s="71">
        <v>38272</v>
      </c>
      <c r="C123" s="12">
        <v>2004</v>
      </c>
      <c r="D123" s="16" t="s">
        <v>14</v>
      </c>
      <c r="E123" s="12">
        <v>10</v>
      </c>
      <c r="F123" s="17">
        <v>5.6414</v>
      </c>
      <c r="G123" s="17">
        <v>1.9972939609712807E-2</v>
      </c>
    </row>
    <row r="124" spans="1:14">
      <c r="A124" s="8">
        <v>16</v>
      </c>
      <c r="B124" s="71">
        <v>38272</v>
      </c>
      <c r="C124" s="12">
        <v>2004</v>
      </c>
      <c r="D124" s="16" t="s">
        <v>14</v>
      </c>
      <c r="E124" s="12">
        <v>10</v>
      </c>
      <c r="F124" s="17">
        <v>3.5736300000000001</v>
      </c>
      <c r="G124" s="17">
        <v>1.7930587608687088E-2</v>
      </c>
      <c r="I124" s="29">
        <f>AVERAGE(F123:F124)</f>
        <v>4.6075150000000002</v>
      </c>
      <c r="J124" s="29">
        <f>AVERAGE(G123:G124)</f>
        <v>1.8951763609199947E-2</v>
      </c>
      <c r="L124">
        <f>+J124/I124</f>
        <v>4.1132288466125336E-3</v>
      </c>
      <c r="M124">
        <f>+(L124-$L$619)/$L$620</f>
        <v>-0.3673103085133389</v>
      </c>
      <c r="N124">
        <f>+N122+M124</f>
        <v>-6.3946949199275283</v>
      </c>
    </row>
    <row r="125" spans="1:14">
      <c r="A125" s="8">
        <v>2</v>
      </c>
      <c r="B125" s="71">
        <v>38306</v>
      </c>
      <c r="C125" s="12">
        <v>2004</v>
      </c>
      <c r="D125" s="16" t="s">
        <v>16</v>
      </c>
      <c r="E125" s="12">
        <v>11</v>
      </c>
      <c r="F125" s="17">
        <v>3.9119600000000001</v>
      </c>
      <c r="G125" s="17">
        <v>2.7779572180683353E-2</v>
      </c>
    </row>
    <row r="126" spans="1:14">
      <c r="A126" s="8">
        <v>16</v>
      </c>
      <c r="B126" s="71">
        <v>38306</v>
      </c>
      <c r="C126" s="12">
        <v>2004</v>
      </c>
      <c r="D126" s="16" t="s">
        <v>16</v>
      </c>
      <c r="E126" s="12">
        <v>11</v>
      </c>
      <c r="F126" s="17">
        <v>2.7208100000000002</v>
      </c>
      <c r="G126" s="17">
        <v>0</v>
      </c>
      <c r="I126" s="29">
        <f>AVERAGE(F125:F126)</f>
        <v>3.3163850000000004</v>
      </c>
      <c r="J126" s="29">
        <f>AVERAGE(G125:G126)</f>
        <v>1.3889786090341676E-2</v>
      </c>
      <c r="L126">
        <f>+J126/I126</f>
        <v>4.1882308870476968E-3</v>
      </c>
      <c r="M126">
        <f>+(L126-$L$619)/$L$620</f>
        <v>-0.36613648978701741</v>
      </c>
      <c r="N126">
        <f>+N124+M126</f>
        <v>-6.7608314097145454</v>
      </c>
    </row>
    <row r="127" spans="1:14">
      <c r="A127" s="8">
        <v>2</v>
      </c>
      <c r="B127" s="71">
        <v>38335</v>
      </c>
      <c r="C127" s="12">
        <v>2004</v>
      </c>
      <c r="D127" s="16" t="s">
        <v>17</v>
      </c>
      <c r="E127" s="12">
        <v>12</v>
      </c>
      <c r="F127" s="17">
        <v>2.8012800000000002</v>
      </c>
      <c r="G127" s="17">
        <v>0.1872535155647298</v>
      </c>
    </row>
    <row r="128" spans="1:14">
      <c r="A128" s="8">
        <v>16</v>
      </c>
      <c r="B128" s="71">
        <v>38335</v>
      </c>
      <c r="C128" s="12">
        <v>2004</v>
      </c>
      <c r="D128" s="16" t="s">
        <v>17</v>
      </c>
      <c r="E128" s="12">
        <v>12</v>
      </c>
      <c r="F128" s="15">
        <v>2.6802199999999998</v>
      </c>
      <c r="G128" s="15">
        <v>0.18266247507028233</v>
      </c>
      <c r="I128" s="29">
        <f>AVERAGE(F127:F128)</f>
        <v>2.7407500000000002</v>
      </c>
      <c r="J128" s="29">
        <f>AVERAGE(G127:G128)</f>
        <v>0.18495799531750606</v>
      </c>
      <c r="L128">
        <f>+J128/I128</f>
        <v>6.7484445979204985E-2</v>
      </c>
      <c r="M128">
        <f>+(L128-$L$619)/$L$620</f>
        <v>0.62448032742712045</v>
      </c>
      <c r="N128">
        <f>+N126+M128</f>
        <v>-6.1363510822874252</v>
      </c>
    </row>
    <row r="129" spans="1:14">
      <c r="A129" s="8">
        <v>2</v>
      </c>
      <c r="B129" s="74">
        <v>38362</v>
      </c>
      <c r="C129" s="12">
        <v>2005</v>
      </c>
      <c r="D129" s="16" t="s">
        <v>18</v>
      </c>
      <c r="E129" s="12">
        <v>1</v>
      </c>
      <c r="F129" s="15">
        <v>10.834250000000001</v>
      </c>
      <c r="G129" s="15">
        <v>6.5776920566511021E-2</v>
      </c>
    </row>
    <row r="130" spans="1:14">
      <c r="A130" s="8">
        <v>16</v>
      </c>
      <c r="B130" s="74">
        <v>38362</v>
      </c>
      <c r="C130" s="12">
        <v>2005</v>
      </c>
      <c r="D130" s="16" t="s">
        <v>18</v>
      </c>
      <c r="E130" s="12">
        <v>1</v>
      </c>
      <c r="F130" s="15">
        <v>5.9218200000000003</v>
      </c>
      <c r="G130" s="15">
        <v>5.0625114510626457E-2</v>
      </c>
      <c r="I130" s="29">
        <f>AVERAGE(F129:F130)</f>
        <v>8.3780350000000006</v>
      </c>
      <c r="J130" s="29">
        <f>AVERAGE(G129:G130)</f>
        <v>5.8201017538568739E-2</v>
      </c>
      <c r="L130">
        <f>+J130/I130</f>
        <v>6.9468577701774625E-3</v>
      </c>
      <c r="M130">
        <f>+(L130-$L$619)/$L$620</f>
        <v>-0.32296262577526597</v>
      </c>
      <c r="N130">
        <f>+N128+M130</f>
        <v>-6.459313708062691</v>
      </c>
    </row>
    <row r="131" spans="1:14">
      <c r="A131" s="8">
        <v>2</v>
      </c>
      <c r="B131" s="74">
        <v>38399</v>
      </c>
      <c r="C131" s="12">
        <v>2005</v>
      </c>
      <c r="D131" s="11" t="s">
        <v>19</v>
      </c>
      <c r="E131" s="12">
        <v>2</v>
      </c>
      <c r="F131" s="15">
        <v>2.6156700000000002</v>
      </c>
      <c r="G131" s="15">
        <v>0.1487672924129475</v>
      </c>
    </row>
    <row r="132" spans="1:14">
      <c r="A132" s="8">
        <v>16</v>
      </c>
      <c r="B132" s="74">
        <v>38399</v>
      </c>
      <c r="C132" s="12">
        <v>2005</v>
      </c>
      <c r="D132" s="11" t="s">
        <v>19</v>
      </c>
      <c r="E132" s="12">
        <v>2</v>
      </c>
      <c r="F132" s="15">
        <v>2.10026</v>
      </c>
      <c r="G132" s="15">
        <v>0.11968008223239902</v>
      </c>
      <c r="I132" s="29">
        <f>AVERAGE(F131:F132)</f>
        <v>2.3579650000000001</v>
      </c>
      <c r="J132" s="29">
        <f>AVERAGE(G131:G132)</f>
        <v>0.13422368732267326</v>
      </c>
      <c r="L132">
        <f>+J132/I132</f>
        <v>5.6923528263851775E-2</v>
      </c>
      <c r="M132">
        <f>+(L132-$L$619)/$L$620</f>
        <v>0.45919678434620292</v>
      </c>
      <c r="N132">
        <f>+N130+M132</f>
        <v>-6.0001169237164884</v>
      </c>
    </row>
    <row r="133" spans="1:14">
      <c r="A133" s="8">
        <v>2</v>
      </c>
      <c r="B133" s="74">
        <v>38428</v>
      </c>
      <c r="C133" s="12">
        <v>2005</v>
      </c>
      <c r="D133" s="11" t="s">
        <v>20</v>
      </c>
      <c r="E133" s="12">
        <v>3</v>
      </c>
      <c r="F133" s="15">
        <v>1.12016</v>
      </c>
      <c r="G133" s="15">
        <v>0.16156920794626586</v>
      </c>
    </row>
    <row r="134" spans="1:14">
      <c r="A134" s="8">
        <v>16</v>
      </c>
      <c r="B134" s="74">
        <v>38428</v>
      </c>
      <c r="C134" s="12">
        <v>2005</v>
      </c>
      <c r="D134" s="11" t="s">
        <v>20</v>
      </c>
      <c r="E134" s="12">
        <v>3</v>
      </c>
      <c r="F134" s="15">
        <v>1.08748</v>
      </c>
      <c r="G134" s="15">
        <v>0.21058671824713315</v>
      </c>
      <c r="I134" s="29">
        <f>AVERAGE(F133:F134)</f>
        <v>1.10382</v>
      </c>
      <c r="J134" s="29">
        <f>AVERAGE(G133:G134)</f>
        <v>0.18607796309669949</v>
      </c>
      <c r="L134">
        <f>+J134/I134</f>
        <v>0.16857636489346042</v>
      </c>
      <c r="M134">
        <f>+(L134-$L$619)/$L$620</f>
        <v>2.2066184507746835</v>
      </c>
      <c r="N134">
        <f>+N132+M134</f>
        <v>-3.7934984729418049</v>
      </c>
    </row>
    <row r="135" spans="1:14">
      <c r="A135" s="8">
        <v>2</v>
      </c>
      <c r="B135" s="74">
        <v>38468</v>
      </c>
      <c r="C135" s="12">
        <v>2005</v>
      </c>
      <c r="D135" s="11" t="s">
        <v>21</v>
      </c>
      <c r="E135" s="12">
        <v>4</v>
      </c>
      <c r="F135" s="15">
        <v>3.4178600000000001</v>
      </c>
      <c r="G135" s="15">
        <v>1.3604257420501826E-2</v>
      </c>
    </row>
    <row r="136" spans="1:14">
      <c r="A136" s="8">
        <v>16</v>
      </c>
      <c r="B136" s="74">
        <v>38468</v>
      </c>
      <c r="C136" s="12">
        <v>2005</v>
      </c>
      <c r="D136" s="11" t="s">
        <v>21</v>
      </c>
      <c r="E136" s="12">
        <v>4</v>
      </c>
      <c r="F136" s="15">
        <v>3.3993099999999998</v>
      </c>
      <c r="G136" s="15">
        <v>1.4157899790154747E-2</v>
      </c>
      <c r="I136" s="29">
        <f>AVERAGE(F135:F136)</f>
        <v>3.408585</v>
      </c>
      <c r="J136" s="29">
        <f>AVERAGE(G135:G136)</f>
        <v>1.3881078605328286E-2</v>
      </c>
      <c r="L136">
        <f>+J136/I136</f>
        <v>4.0723873998531022E-3</v>
      </c>
      <c r="M136">
        <f>+(L136-$L$619)/$L$620</f>
        <v>-0.36794949719058195</v>
      </c>
      <c r="N136">
        <f>+N134+M136</f>
        <v>-4.1614479701323868</v>
      </c>
    </row>
    <row r="137" spans="1:14">
      <c r="A137" s="8">
        <v>2</v>
      </c>
      <c r="B137" s="74">
        <v>38489</v>
      </c>
      <c r="C137" s="12">
        <v>2005</v>
      </c>
      <c r="D137" s="11" t="s">
        <v>22</v>
      </c>
      <c r="E137" s="12">
        <v>5</v>
      </c>
      <c r="F137" s="15">
        <v>8.4405800000000006</v>
      </c>
      <c r="G137" s="15">
        <v>4.5658220608082327E-2</v>
      </c>
    </row>
    <row r="138" spans="1:14">
      <c r="A138" s="8">
        <v>16</v>
      </c>
      <c r="B138" s="74">
        <v>38489</v>
      </c>
      <c r="C138" s="12">
        <v>2005</v>
      </c>
      <c r="D138" s="11" t="s">
        <v>22</v>
      </c>
      <c r="E138" s="12">
        <v>5</v>
      </c>
      <c r="F138" s="15">
        <v>8.5562199999999997</v>
      </c>
      <c r="G138" s="15">
        <v>5.3426145360376438E-2</v>
      </c>
      <c r="I138" s="29">
        <f>AVERAGE(F137:F138)</f>
        <v>8.4984000000000002</v>
      </c>
      <c r="J138" s="29">
        <f>AVERAGE(G137:G138)</f>
        <v>4.9542182984229383E-2</v>
      </c>
      <c r="L138">
        <f>+J138/I138</f>
        <v>5.8295894502764503E-3</v>
      </c>
      <c r="M138">
        <f>+(L138-$L$619)/$L$620</f>
        <v>-0.34044842307646456</v>
      </c>
      <c r="N138">
        <f>+N136+M138</f>
        <v>-4.5018963932088516</v>
      </c>
    </row>
    <row r="139" spans="1:14">
      <c r="A139" s="8">
        <v>2</v>
      </c>
      <c r="B139" s="74">
        <v>38517</v>
      </c>
      <c r="C139" s="12">
        <v>2005</v>
      </c>
      <c r="D139" s="11" t="s">
        <v>23</v>
      </c>
      <c r="E139" s="12">
        <v>6</v>
      </c>
      <c r="F139" s="15">
        <v>27.824159999999999</v>
      </c>
      <c r="G139" s="15">
        <v>6.647752668789661E-2</v>
      </c>
    </row>
    <row r="140" spans="1:14">
      <c r="A140" s="8">
        <v>16</v>
      </c>
      <c r="B140" s="74">
        <v>38518</v>
      </c>
      <c r="C140" s="12">
        <v>2005</v>
      </c>
      <c r="D140" s="11" t="s">
        <v>23</v>
      </c>
      <c r="E140" s="12">
        <v>6</v>
      </c>
      <c r="F140" s="15">
        <v>11.79562</v>
      </c>
      <c r="G140" s="15">
        <v>7.4725624894796699E-2</v>
      </c>
      <c r="I140" s="29">
        <f>AVERAGE(F139:F140)</f>
        <v>19.809889999999999</v>
      </c>
      <c r="J140" s="29">
        <f>AVERAGE(G139:G140)</f>
        <v>7.0601575791346655E-2</v>
      </c>
      <c r="L140">
        <f>+J140/I140</f>
        <v>3.5639559730693436E-3</v>
      </c>
      <c r="M140">
        <f>+(L140-$L$619)/$L$620</f>
        <v>-0.37590669843932734</v>
      </c>
      <c r="N140">
        <f>+N138+M140</f>
        <v>-4.8778030916481789</v>
      </c>
    </row>
    <row r="141" spans="1:14">
      <c r="A141" s="8">
        <v>2</v>
      </c>
      <c r="B141" s="74">
        <v>38547</v>
      </c>
      <c r="C141" s="12">
        <v>2005</v>
      </c>
      <c r="D141" s="16" t="s">
        <v>24</v>
      </c>
      <c r="E141" s="12">
        <v>7</v>
      </c>
      <c r="F141" s="15">
        <v>15.015750000000001</v>
      </c>
      <c r="G141" s="15">
        <v>0.18386253331851815</v>
      </c>
    </row>
    <row r="142" spans="1:14">
      <c r="A142" s="8">
        <v>16</v>
      </c>
      <c r="B142" s="74">
        <v>38547</v>
      </c>
      <c r="C142" s="12">
        <v>2005</v>
      </c>
      <c r="D142" s="16" t="s">
        <v>24</v>
      </c>
      <c r="E142" s="12">
        <v>7</v>
      </c>
      <c r="F142" s="15">
        <v>14.90771</v>
      </c>
      <c r="G142" s="15">
        <v>0.34415764751863437</v>
      </c>
      <c r="I142" s="29">
        <f>AVERAGE(F141:F142)</f>
        <v>14.961729999999999</v>
      </c>
      <c r="J142" s="29">
        <f>AVERAGE(G141:G142)</f>
        <v>0.26401009041857626</v>
      </c>
      <c r="L142">
        <f>+J142/I142</f>
        <v>1.7645692738645614E-2</v>
      </c>
      <c r="M142">
        <f>+(L142-$L$619)/$L$620</f>
        <v>-0.15552061002547371</v>
      </c>
      <c r="N142">
        <f>+N140+M142</f>
        <v>-5.0333237016736527</v>
      </c>
    </row>
    <row r="143" spans="1:14">
      <c r="A143" s="8">
        <v>2</v>
      </c>
      <c r="B143" s="74">
        <v>38587</v>
      </c>
      <c r="C143" s="12">
        <v>2005</v>
      </c>
      <c r="D143" s="16" t="s">
        <v>25</v>
      </c>
      <c r="E143" s="12">
        <v>8</v>
      </c>
      <c r="F143" s="15">
        <v>15.00104</v>
      </c>
      <c r="G143" s="15">
        <v>0.10971532953347103</v>
      </c>
    </row>
    <row r="144" spans="1:14">
      <c r="A144" s="8">
        <v>16</v>
      </c>
      <c r="B144" s="74">
        <v>38588</v>
      </c>
      <c r="C144" s="12">
        <v>2005</v>
      </c>
      <c r="D144" s="16" t="s">
        <v>25</v>
      </c>
      <c r="E144" s="12">
        <v>8</v>
      </c>
      <c r="F144" s="15">
        <v>12.040520000000001</v>
      </c>
      <c r="G144" s="15">
        <v>0.31276793268441266</v>
      </c>
      <c r="I144" s="29">
        <f>AVERAGE(F143:F144)</f>
        <v>13.52078</v>
      </c>
      <c r="J144" s="29">
        <f>AVERAGE(G143:G144)</f>
        <v>0.21124163110894184</v>
      </c>
      <c r="L144">
        <f>+J144/I144</f>
        <v>1.5623479644587209E-2</v>
      </c>
      <c r="M144">
        <f>+(L144-$L$619)/$L$620</f>
        <v>-0.18716923697810017</v>
      </c>
      <c r="N144">
        <f>+N142+M144</f>
        <v>-5.2204929386517529</v>
      </c>
    </row>
    <row r="145" spans="1:14">
      <c r="A145" s="8">
        <v>2</v>
      </c>
      <c r="B145" s="74">
        <v>38608</v>
      </c>
      <c r="C145" s="12">
        <v>2005</v>
      </c>
      <c r="D145" s="16" t="s">
        <v>26</v>
      </c>
      <c r="E145" s="12">
        <v>9</v>
      </c>
      <c r="F145" s="15">
        <v>11.77708</v>
      </c>
      <c r="G145" s="15">
        <v>0.13193479512499467</v>
      </c>
    </row>
    <row r="146" spans="1:14">
      <c r="A146" s="8">
        <v>16</v>
      </c>
      <c r="B146" s="74">
        <v>38608</v>
      </c>
      <c r="C146" s="12">
        <v>2005</v>
      </c>
      <c r="D146" s="16" t="s">
        <v>26</v>
      </c>
      <c r="E146" s="12">
        <v>9</v>
      </c>
      <c r="F146" s="15">
        <v>13.10258</v>
      </c>
      <c r="G146" s="15">
        <v>0.53538088081771484</v>
      </c>
      <c r="I146" s="29">
        <f>AVERAGE(F145:F146)</f>
        <v>12.439830000000001</v>
      </c>
      <c r="J146" s="29">
        <f>AVERAGE(G145:G146)</f>
        <v>0.33365783797135473</v>
      </c>
      <c r="L146">
        <f>+J146/I146</f>
        <v>2.6821736146824732E-2</v>
      </c>
      <c r="M146">
        <f>+(L146-$L$619)/$L$620</f>
        <v>-1.1911029225192082E-2</v>
      </c>
      <c r="N146">
        <f>+N144+M146</f>
        <v>-5.2324039678769454</v>
      </c>
    </row>
    <row r="147" spans="1:14">
      <c r="A147" s="8">
        <v>2</v>
      </c>
      <c r="B147" s="74">
        <v>38637</v>
      </c>
      <c r="C147" s="12">
        <v>2005</v>
      </c>
      <c r="D147" s="16" t="s">
        <v>14</v>
      </c>
      <c r="E147" s="12">
        <v>10</v>
      </c>
      <c r="F147" s="15">
        <v>3.4838</v>
      </c>
      <c r="G147" s="15">
        <v>1.9599999999999999E-2</v>
      </c>
    </row>
    <row r="148" spans="1:14">
      <c r="A148" s="8">
        <v>16</v>
      </c>
      <c r="B148" s="74">
        <v>38636</v>
      </c>
      <c r="C148" s="12">
        <v>2005</v>
      </c>
      <c r="D148" s="16" t="s">
        <v>14</v>
      </c>
      <c r="E148" s="12">
        <v>10</v>
      </c>
      <c r="F148" s="15">
        <v>3.7355</v>
      </c>
      <c r="G148" s="15">
        <v>1.09E-2</v>
      </c>
      <c r="I148" s="29">
        <f>AVERAGE(F147:F148)</f>
        <v>3.6096500000000002</v>
      </c>
      <c r="J148" s="29">
        <f>AVERAGE(G147:G148)</f>
        <v>1.525E-2</v>
      </c>
      <c r="L148">
        <f>+J148/I148</f>
        <v>4.2247863366254345E-3</v>
      </c>
      <c r="M148">
        <f>+(L148-$L$619)/$L$620</f>
        <v>-0.3655643790682358</v>
      </c>
      <c r="N148">
        <f>+N146+M148</f>
        <v>-5.5979683469451809</v>
      </c>
    </row>
    <row r="149" spans="1:14">
      <c r="A149" s="8">
        <v>2</v>
      </c>
      <c r="B149" s="74">
        <v>38671</v>
      </c>
      <c r="C149" s="12">
        <v>2005</v>
      </c>
      <c r="D149" s="16" t="s">
        <v>16</v>
      </c>
      <c r="E149" s="12">
        <v>11</v>
      </c>
      <c r="F149" s="15">
        <v>3.9666999999999999</v>
      </c>
      <c r="G149" s="15">
        <v>1E-4</v>
      </c>
    </row>
    <row r="150" spans="1:14">
      <c r="A150" s="8">
        <v>16</v>
      </c>
      <c r="B150" s="74">
        <v>38671</v>
      </c>
      <c r="C150" s="12">
        <v>2005</v>
      </c>
      <c r="D150" s="16" t="s">
        <v>16</v>
      </c>
      <c r="E150" s="12">
        <v>11</v>
      </c>
      <c r="F150" s="15">
        <v>4.5237999999999996</v>
      </c>
      <c r="G150" s="15">
        <v>1.23E-2</v>
      </c>
      <c r="I150" s="29">
        <f>AVERAGE(F149:F150)</f>
        <v>4.2452499999999995</v>
      </c>
      <c r="J150" s="29">
        <f>AVERAGE(G149:G150)</f>
        <v>6.1999999999999998E-3</v>
      </c>
      <c r="L150">
        <f>+J150/I150</f>
        <v>1.4604558035451389E-3</v>
      </c>
      <c r="M150">
        <f>+(L150-$L$619)/$L$620</f>
        <v>-0.40882750799973433</v>
      </c>
      <c r="N150">
        <f>+N148+M150</f>
        <v>-6.0067958549449152</v>
      </c>
    </row>
    <row r="151" spans="1:14">
      <c r="A151" s="8">
        <v>2</v>
      </c>
      <c r="B151" s="74">
        <v>38707</v>
      </c>
      <c r="C151" s="12">
        <v>2005</v>
      </c>
      <c r="D151" s="16" t="s">
        <v>17</v>
      </c>
      <c r="E151" s="12">
        <v>12</v>
      </c>
      <c r="F151" s="15">
        <v>2.8999000000000001</v>
      </c>
      <c r="G151" s="15">
        <v>1.7600000000000001E-2</v>
      </c>
    </row>
    <row r="152" spans="1:14">
      <c r="A152" s="8">
        <v>16</v>
      </c>
      <c r="B152" s="74">
        <v>38707</v>
      </c>
      <c r="C152" s="12">
        <v>2005</v>
      </c>
      <c r="D152" s="16" t="s">
        <v>17</v>
      </c>
      <c r="E152" s="12">
        <v>12</v>
      </c>
      <c r="F152" s="15">
        <v>2.8738000000000001</v>
      </c>
      <c r="G152" s="15">
        <v>2.6599999999999999E-2</v>
      </c>
      <c r="I152" s="29">
        <f>AVERAGE(F151:F152)</f>
        <v>2.8868499999999999</v>
      </c>
      <c r="J152" s="29">
        <f>AVERAGE(G151:G152)</f>
        <v>2.2100000000000002E-2</v>
      </c>
      <c r="L152">
        <f>+J152/I152</f>
        <v>7.6554029478497331E-3</v>
      </c>
      <c r="M152">
        <f>+(L152-$L$619)/$L$620</f>
        <v>-0.31187354615595236</v>
      </c>
      <c r="N152">
        <f>+N150+M152</f>
        <v>-6.3186694011008679</v>
      </c>
    </row>
    <row r="153" spans="1:14">
      <c r="A153" s="12">
        <v>2</v>
      </c>
      <c r="B153" s="74">
        <v>38734</v>
      </c>
      <c r="C153" s="12">
        <v>2006</v>
      </c>
      <c r="D153" s="11" t="s">
        <v>18</v>
      </c>
      <c r="E153" s="12">
        <v>1</v>
      </c>
      <c r="F153" s="15">
        <v>8.8552999999999997</v>
      </c>
      <c r="G153" s="15">
        <v>0.1082</v>
      </c>
    </row>
    <row r="154" spans="1:14">
      <c r="A154" s="12">
        <v>16</v>
      </c>
      <c r="B154" s="74">
        <v>38734</v>
      </c>
      <c r="C154" s="12">
        <v>2006</v>
      </c>
      <c r="D154" s="11" t="s">
        <v>18</v>
      </c>
      <c r="E154" s="12">
        <v>1</v>
      </c>
      <c r="F154" s="15">
        <v>6.5289000000000001</v>
      </c>
      <c r="G154" s="15">
        <v>8.43E-2</v>
      </c>
      <c r="I154" s="29">
        <f>AVERAGE(F153:F154)</f>
        <v>7.6920999999999999</v>
      </c>
      <c r="J154" s="29">
        <f>AVERAGE(G153:G154)</f>
        <v>9.6250000000000002E-2</v>
      </c>
      <c r="L154">
        <f>+J154/I154</f>
        <v>1.251283784662186E-2</v>
      </c>
      <c r="M154">
        <f>+(L154-$L$619)/$L$620</f>
        <v>-0.23585230709385982</v>
      </c>
      <c r="N154">
        <f>+N152+M154</f>
        <v>-6.554521708194728</v>
      </c>
    </row>
    <row r="155" spans="1:14">
      <c r="A155" s="12">
        <v>2</v>
      </c>
      <c r="B155" s="74">
        <v>38762</v>
      </c>
      <c r="C155" s="16">
        <v>2006</v>
      </c>
      <c r="D155" s="11" t="s">
        <v>28</v>
      </c>
      <c r="E155" s="16">
        <v>2</v>
      </c>
      <c r="F155" s="15">
        <v>7.7049000000000003</v>
      </c>
      <c r="G155" s="15">
        <v>3.0499999999999999E-2</v>
      </c>
    </row>
    <row r="156" spans="1:14">
      <c r="A156" s="12">
        <v>16</v>
      </c>
      <c r="B156" s="74">
        <v>38762</v>
      </c>
      <c r="C156" s="16">
        <v>2006</v>
      </c>
      <c r="D156" s="11" t="s">
        <v>28</v>
      </c>
      <c r="E156" s="16">
        <v>2</v>
      </c>
      <c r="F156" s="15">
        <v>7.5313999999999997</v>
      </c>
      <c r="G156" s="15">
        <v>5.4199999999999998E-2</v>
      </c>
      <c r="I156" s="29">
        <f>AVERAGE(F155:F156)</f>
        <v>7.61815</v>
      </c>
      <c r="J156" s="29">
        <f>AVERAGE(G155:G156)</f>
        <v>4.2349999999999999E-2</v>
      </c>
      <c r="L156">
        <f>+J156/I156</f>
        <v>5.5590924305769776E-3</v>
      </c>
      <c r="M156">
        <f>+(L156-$L$619)/$L$620</f>
        <v>-0.34468183413161946</v>
      </c>
      <c r="N156">
        <f>+N154+M156</f>
        <v>-6.8992035423263474</v>
      </c>
    </row>
    <row r="157" spans="1:14">
      <c r="A157" s="12">
        <v>2</v>
      </c>
      <c r="B157" s="74">
        <v>38789</v>
      </c>
      <c r="C157" s="12">
        <v>2006</v>
      </c>
      <c r="D157" s="11" t="s">
        <v>29</v>
      </c>
      <c r="E157" s="16">
        <v>3</v>
      </c>
      <c r="F157" s="15">
        <v>7.3952</v>
      </c>
      <c r="G157" s="15">
        <v>1E-4</v>
      </c>
    </row>
    <row r="158" spans="1:14">
      <c r="A158" s="12">
        <v>16</v>
      </c>
      <c r="B158" s="74">
        <v>38789</v>
      </c>
      <c r="C158" s="12">
        <v>2006</v>
      </c>
      <c r="D158" s="11" t="s">
        <v>29</v>
      </c>
      <c r="E158" s="16">
        <v>3</v>
      </c>
      <c r="F158" s="15">
        <v>7.0606999999999998</v>
      </c>
      <c r="G158" s="15">
        <v>1E-4</v>
      </c>
      <c r="I158" s="29">
        <f>AVERAGE(F157:F158)</f>
        <v>7.2279499999999999</v>
      </c>
      <c r="J158" s="29">
        <f>AVERAGE(G157:G158)</f>
        <v>1E-4</v>
      </c>
      <c r="L158">
        <f>+J158/I158</f>
        <v>1.3835181482993103E-5</v>
      </c>
      <c r="M158">
        <f>+(L158-$L$619)/$L$620</f>
        <v>-0.43146783039906056</v>
      </c>
      <c r="N158">
        <f>+N156+M158</f>
        <v>-7.3306713727254076</v>
      </c>
    </row>
    <row r="159" spans="1:14">
      <c r="A159" s="12">
        <v>2</v>
      </c>
      <c r="B159" s="73">
        <v>38825</v>
      </c>
      <c r="C159" s="12">
        <v>2006</v>
      </c>
      <c r="D159" s="11" t="s">
        <v>30</v>
      </c>
      <c r="E159" s="12">
        <v>4</v>
      </c>
      <c r="F159" s="15">
        <v>2.0038999999999998</v>
      </c>
      <c r="G159" s="15">
        <v>1.5299999999999999E-2</v>
      </c>
    </row>
    <row r="160" spans="1:14">
      <c r="A160" s="12">
        <v>16</v>
      </c>
      <c r="B160" s="73">
        <v>38825</v>
      </c>
      <c r="C160" s="12">
        <v>2006</v>
      </c>
      <c r="D160" s="11" t="s">
        <v>30</v>
      </c>
      <c r="E160" s="12">
        <v>4</v>
      </c>
      <c r="F160" s="15">
        <v>2.5667</v>
      </c>
      <c r="G160" s="15">
        <v>1.5900000000000001E-2</v>
      </c>
      <c r="I160" s="29">
        <f>AVERAGE(F159:F160)</f>
        <v>2.2852999999999999</v>
      </c>
      <c r="J160" s="29">
        <f>AVERAGE(G159:G160)</f>
        <v>1.5599999999999999E-2</v>
      </c>
      <c r="L160">
        <f>+J160/I160</f>
        <v>6.8262372555025598E-3</v>
      </c>
      <c r="M160">
        <f>+(L160-$L$619)/$L$620</f>
        <v>-0.3248503960023485</v>
      </c>
      <c r="N160">
        <f>+N158+M160</f>
        <v>-7.6555217687277564</v>
      </c>
    </row>
    <row r="161" spans="1:14">
      <c r="A161" s="12">
        <v>2</v>
      </c>
      <c r="B161" s="73">
        <v>38852</v>
      </c>
      <c r="C161" s="12">
        <v>2006</v>
      </c>
      <c r="D161" s="11" t="s">
        <v>31</v>
      </c>
      <c r="E161" s="12">
        <v>5</v>
      </c>
      <c r="F161" s="15">
        <v>0.93030000000000002</v>
      </c>
      <c r="G161" s="15">
        <v>1.15E-2</v>
      </c>
    </row>
    <row r="162" spans="1:14">
      <c r="A162" s="12">
        <v>16</v>
      </c>
      <c r="B162" s="73">
        <v>38852</v>
      </c>
      <c r="C162" s="12">
        <v>2006</v>
      </c>
      <c r="D162" s="11" t="s">
        <v>31</v>
      </c>
      <c r="E162" s="12">
        <v>5</v>
      </c>
      <c r="F162" s="15">
        <v>1.3180000000000001</v>
      </c>
      <c r="G162" s="15">
        <v>1E-4</v>
      </c>
      <c r="I162" s="29">
        <f>AVERAGE(F161:F162)</f>
        <v>1.12415</v>
      </c>
      <c r="J162" s="29">
        <f>AVERAGE(G161:G162)</f>
        <v>5.7999999999999996E-3</v>
      </c>
      <c r="L162">
        <f>+J162/I162</f>
        <v>5.1594538095449897E-3</v>
      </c>
      <c r="M162">
        <f>+(L162-$L$619)/$L$620</f>
        <v>-0.35093637460021077</v>
      </c>
      <c r="N162">
        <f>+N160+M162</f>
        <v>-8.0064581433279667</v>
      </c>
    </row>
    <row r="163" spans="1:14">
      <c r="A163" s="12">
        <v>2</v>
      </c>
      <c r="B163" s="73">
        <v>38883</v>
      </c>
      <c r="C163" s="12">
        <v>2006</v>
      </c>
      <c r="D163" s="11" t="s">
        <v>32</v>
      </c>
      <c r="E163" s="12">
        <v>6</v>
      </c>
      <c r="F163" s="15">
        <v>13.7333</v>
      </c>
      <c r="G163" s="15">
        <v>0.1119</v>
      </c>
    </row>
    <row r="164" spans="1:14">
      <c r="A164" s="12">
        <v>16</v>
      </c>
      <c r="B164" s="73">
        <v>38883</v>
      </c>
      <c r="C164" s="12">
        <v>2006</v>
      </c>
      <c r="D164" s="11" t="s">
        <v>32</v>
      </c>
      <c r="E164" s="12">
        <v>6</v>
      </c>
      <c r="F164" s="15">
        <v>20.088100000000001</v>
      </c>
      <c r="G164" s="15">
        <v>1E-4</v>
      </c>
      <c r="I164" s="29">
        <f>AVERAGE(F163:F164)</f>
        <v>16.910699999999999</v>
      </c>
      <c r="J164" s="29">
        <f>AVERAGE(G163:G164)</f>
        <v>5.6000000000000001E-2</v>
      </c>
      <c r="L164">
        <f>+J164/I164</f>
        <v>3.3115128291555055E-3</v>
      </c>
      <c r="M164">
        <f>+(L164-$L$619)/$L$620</f>
        <v>-0.379857557481805</v>
      </c>
      <c r="N164">
        <f>+N162+M164</f>
        <v>-8.3863157008097708</v>
      </c>
    </row>
    <row r="165" spans="1:14">
      <c r="A165" s="12">
        <v>2</v>
      </c>
      <c r="B165" s="73">
        <v>38916</v>
      </c>
      <c r="C165" s="12">
        <v>2006</v>
      </c>
      <c r="D165" s="11" t="s">
        <v>33</v>
      </c>
      <c r="E165" s="12">
        <v>7</v>
      </c>
      <c r="F165" s="15">
        <v>16.374400000000001</v>
      </c>
      <c r="G165" s="15">
        <v>5.5399999999999998E-2</v>
      </c>
    </row>
    <row r="166" spans="1:14">
      <c r="A166" s="12">
        <v>16</v>
      </c>
      <c r="B166" s="73">
        <v>38916</v>
      </c>
      <c r="C166" s="12">
        <v>2006</v>
      </c>
      <c r="D166" s="11" t="s">
        <v>33</v>
      </c>
      <c r="E166" s="12">
        <v>7</v>
      </c>
      <c r="F166" s="15">
        <v>13.152699999999999</v>
      </c>
      <c r="G166" s="15">
        <v>6.2E-2</v>
      </c>
      <c r="I166" s="29">
        <f>AVERAGE(F165:F166)</f>
        <v>14.76355</v>
      </c>
      <c r="J166" s="29">
        <f>AVERAGE(G165:G166)</f>
        <v>5.8700000000000002E-2</v>
      </c>
      <c r="L166">
        <f>+J166/I166</f>
        <v>3.9760084803451747E-3</v>
      </c>
      <c r="M166">
        <f>+(L166-$L$619)/$L$620</f>
        <v>-0.36945787456117946</v>
      </c>
      <c r="N166">
        <f>+N164+M166</f>
        <v>-8.7557735753709505</v>
      </c>
    </row>
    <row r="167" spans="1:14">
      <c r="A167" s="12">
        <v>2</v>
      </c>
      <c r="B167" s="73">
        <v>38953</v>
      </c>
      <c r="C167" s="12">
        <v>2006</v>
      </c>
      <c r="D167" s="11" t="s">
        <v>34</v>
      </c>
      <c r="E167" s="12">
        <v>8</v>
      </c>
      <c r="F167" s="15">
        <v>13.5991</v>
      </c>
      <c r="G167" s="15">
        <v>0.10009999999999999</v>
      </c>
    </row>
    <row r="168" spans="1:14">
      <c r="A168" s="12">
        <v>16</v>
      </c>
      <c r="B168" s="73">
        <v>38953</v>
      </c>
      <c r="C168" s="12">
        <v>2006</v>
      </c>
      <c r="D168" s="11" t="s">
        <v>34</v>
      </c>
      <c r="E168" s="12">
        <v>8</v>
      </c>
      <c r="F168" s="15">
        <v>15.647600000000001</v>
      </c>
      <c r="G168" s="15">
        <v>0.32169999999999999</v>
      </c>
      <c r="I168" s="29">
        <f>AVERAGE(F167:F168)</f>
        <v>14.62335</v>
      </c>
      <c r="J168" s="29">
        <f>AVERAGE(G167:G168)</f>
        <v>0.21089999999999998</v>
      </c>
      <c r="L168">
        <f>+J168/I168</f>
        <v>1.4422139933736111E-2</v>
      </c>
      <c r="M168">
        <f>+(L168-$L$619)/$L$620</f>
        <v>-0.20597079279030106</v>
      </c>
      <c r="N168">
        <f>+N166+M168</f>
        <v>-8.9617443681612521</v>
      </c>
    </row>
    <row r="169" spans="1:14">
      <c r="A169" s="12">
        <v>2</v>
      </c>
      <c r="B169" s="73">
        <v>38972</v>
      </c>
      <c r="C169" s="12">
        <v>2006</v>
      </c>
      <c r="D169" s="11" t="s">
        <v>35</v>
      </c>
      <c r="E169" s="12">
        <v>9</v>
      </c>
      <c r="F169" s="15">
        <v>3.3815</v>
      </c>
      <c r="G169" s="15">
        <v>1.9300000000000001E-2</v>
      </c>
    </row>
    <row r="170" spans="1:14">
      <c r="A170" s="12">
        <v>16</v>
      </c>
      <c r="B170" s="73">
        <v>38972</v>
      </c>
      <c r="C170" s="12">
        <v>2006</v>
      </c>
      <c r="D170" s="11" t="s">
        <v>35</v>
      </c>
      <c r="E170" s="12">
        <v>9</v>
      </c>
      <c r="F170" s="15">
        <v>5.4568000000000003</v>
      </c>
      <c r="G170" s="15">
        <v>2.06E-2</v>
      </c>
      <c r="I170" s="29">
        <f>AVERAGE(F169:F170)</f>
        <v>4.4191500000000001</v>
      </c>
      <c r="J170" s="29">
        <f>AVERAGE(G169:G170)</f>
        <v>1.9950000000000002E-2</v>
      </c>
      <c r="L170">
        <f>+J170/I170</f>
        <v>4.5144428227147761E-3</v>
      </c>
      <c r="M170">
        <f>+(L170-$L$619)/$L$620</f>
        <v>-0.36103111296508128</v>
      </c>
      <c r="N170">
        <f>+N168+M170</f>
        <v>-9.3227754811263335</v>
      </c>
    </row>
    <row r="171" spans="1:14">
      <c r="A171" s="12">
        <v>2</v>
      </c>
      <c r="B171" s="73">
        <v>39009</v>
      </c>
      <c r="C171" s="12">
        <v>2006</v>
      </c>
      <c r="D171" s="11" t="s">
        <v>36</v>
      </c>
      <c r="E171" s="12">
        <v>10</v>
      </c>
      <c r="F171" s="15">
        <v>7.5449999999999999</v>
      </c>
      <c r="G171" s="15">
        <v>9.9989999999999996E-4</v>
      </c>
    </row>
    <row r="172" spans="1:14">
      <c r="A172" s="12">
        <v>16</v>
      </c>
      <c r="B172" s="73">
        <v>39008</v>
      </c>
      <c r="C172" s="12">
        <v>2006</v>
      </c>
      <c r="D172" s="11" t="s">
        <v>36</v>
      </c>
      <c r="E172" s="12">
        <v>10</v>
      </c>
      <c r="F172" s="15">
        <v>23.14</v>
      </c>
      <c r="G172" s="15">
        <v>9.9989999999999996E-4</v>
      </c>
      <c r="I172" s="29">
        <f>AVERAGE(F171:F172)</f>
        <v>15.342500000000001</v>
      </c>
      <c r="J172" s="29">
        <f>AVERAGE(G171:G172)</f>
        <v>9.9989999999999996E-4</v>
      </c>
      <c r="L172">
        <f>+J172/I172</f>
        <v>6.5171908098419422E-5</v>
      </c>
      <c r="M172">
        <f>+(L172-$L$619)/$L$620</f>
        <v>-0.43066438544343527</v>
      </c>
      <c r="N172">
        <f>+N170+M172</f>
        <v>-9.753439866569769</v>
      </c>
    </row>
    <row r="173" spans="1:14">
      <c r="A173" s="12">
        <v>2</v>
      </c>
      <c r="B173" s="73">
        <v>39035</v>
      </c>
      <c r="C173" s="12">
        <v>2006</v>
      </c>
      <c r="D173" s="11" t="s">
        <v>37</v>
      </c>
      <c r="E173" s="12">
        <v>11</v>
      </c>
      <c r="F173" s="15">
        <v>2.8820000000000001</v>
      </c>
      <c r="G173" s="15">
        <v>3.3000000000000002E-2</v>
      </c>
    </row>
    <row r="174" spans="1:14">
      <c r="A174" s="12">
        <v>16</v>
      </c>
      <c r="B174" s="73">
        <v>39035</v>
      </c>
      <c r="C174" s="12">
        <v>2006</v>
      </c>
      <c r="D174" s="11" t="s">
        <v>37</v>
      </c>
      <c r="E174" s="12">
        <v>11</v>
      </c>
      <c r="F174" s="15">
        <v>7.0620000000000003</v>
      </c>
      <c r="G174" s="15">
        <v>1.7999999999999999E-2</v>
      </c>
      <c r="I174" s="29">
        <f>AVERAGE(F173:F174)</f>
        <v>4.9720000000000004</v>
      </c>
      <c r="J174" s="29">
        <f>AVERAGE(G173:G174)</f>
        <v>2.5500000000000002E-2</v>
      </c>
      <c r="L174">
        <f>+J174/I174</f>
        <v>5.1287208366854386E-3</v>
      </c>
      <c r="M174">
        <f>+(L174-$L$619)/$L$620</f>
        <v>-0.35141736070203894</v>
      </c>
      <c r="N174">
        <f>+N172+M174</f>
        <v>-10.104857227271808</v>
      </c>
    </row>
    <row r="175" spans="1:14">
      <c r="A175" s="12">
        <v>2</v>
      </c>
      <c r="B175" s="74">
        <v>39063</v>
      </c>
      <c r="C175" s="16">
        <v>2006</v>
      </c>
      <c r="D175" s="11" t="s">
        <v>38</v>
      </c>
      <c r="E175" s="16">
        <v>12</v>
      </c>
      <c r="F175" s="15">
        <v>5.9379999999999997</v>
      </c>
      <c r="G175" s="15">
        <v>7.2999999999999995E-2</v>
      </c>
    </row>
    <row r="176" spans="1:14">
      <c r="A176" s="12">
        <v>16</v>
      </c>
      <c r="B176" s="74">
        <v>39063</v>
      </c>
      <c r="C176" s="16">
        <v>2006</v>
      </c>
      <c r="D176" s="11" t="s">
        <v>38</v>
      </c>
      <c r="E176" s="16">
        <v>12</v>
      </c>
      <c r="F176" s="15">
        <v>12.098000000000001</v>
      </c>
      <c r="G176" s="15">
        <v>0.17699999999999999</v>
      </c>
      <c r="I176" s="29">
        <f>AVERAGE(F175:F176)</f>
        <v>9.0180000000000007</v>
      </c>
      <c r="J176" s="29">
        <f>AVERAGE(G175:G176)</f>
        <v>0.125</v>
      </c>
      <c r="L176">
        <f>+J176/I176</f>
        <v>1.3861166555777333E-2</v>
      </c>
      <c r="M176">
        <f>+(L176-$L$619)/$L$620</f>
        <v>-0.21475030135027251</v>
      </c>
      <c r="N176">
        <f>+N174+M176</f>
        <v>-10.319607528622081</v>
      </c>
    </row>
    <row r="177" spans="1:14">
      <c r="A177" s="16">
        <v>2</v>
      </c>
      <c r="B177" s="74">
        <v>39098</v>
      </c>
      <c r="C177" s="16">
        <v>2007</v>
      </c>
      <c r="D177" s="11" t="s">
        <v>39</v>
      </c>
      <c r="E177" s="16">
        <v>1</v>
      </c>
      <c r="F177" s="15">
        <v>15.638</v>
      </c>
      <c r="G177" s="15">
        <v>0.17899999999999999</v>
      </c>
    </row>
    <row r="178" spans="1:14">
      <c r="A178" s="16">
        <v>16</v>
      </c>
      <c r="B178" s="74">
        <v>39098</v>
      </c>
      <c r="C178" s="16">
        <v>2007</v>
      </c>
      <c r="D178" s="11" t="s">
        <v>39</v>
      </c>
      <c r="E178" s="16">
        <v>1</v>
      </c>
      <c r="F178" s="15">
        <v>17.384</v>
      </c>
      <c r="G178" s="15">
        <v>0.10199999999999999</v>
      </c>
      <c r="I178" s="29">
        <f>AVERAGE(F177:F178)</f>
        <v>16.510999999999999</v>
      </c>
      <c r="J178" s="29">
        <f>AVERAGE(G177:G178)</f>
        <v>0.14049999999999999</v>
      </c>
      <c r="L178">
        <f>+J178/I178</f>
        <v>8.5094785294652052E-3</v>
      </c>
      <c r="M178">
        <f>+(L178-$L$619)/$L$620</f>
        <v>-0.29850684432254271</v>
      </c>
      <c r="N178">
        <f>+N176+M178</f>
        <v>-10.618114372944623</v>
      </c>
    </row>
    <row r="179" spans="1:14">
      <c r="A179" s="16">
        <v>2</v>
      </c>
      <c r="B179" s="74">
        <v>39133</v>
      </c>
      <c r="C179" s="16">
        <v>2007</v>
      </c>
      <c r="D179" s="11" t="s">
        <v>28</v>
      </c>
      <c r="E179" s="16">
        <v>2</v>
      </c>
      <c r="F179" s="15">
        <v>5.827</v>
      </c>
      <c r="G179" s="15">
        <v>8.5999999999999993E-2</v>
      </c>
    </row>
    <row r="180" spans="1:14">
      <c r="A180" s="16">
        <v>16</v>
      </c>
      <c r="B180" s="74">
        <v>39134</v>
      </c>
      <c r="C180" s="16">
        <v>2007</v>
      </c>
      <c r="D180" s="11" t="s">
        <v>28</v>
      </c>
      <c r="E180" s="16">
        <v>2</v>
      </c>
      <c r="F180" s="15">
        <v>3.9449999999999998</v>
      </c>
      <c r="G180" s="15">
        <v>5.3999999999999999E-2</v>
      </c>
      <c r="I180" s="29">
        <f>AVERAGE(F179:F180)</f>
        <v>4.8860000000000001</v>
      </c>
      <c r="J180" s="29">
        <f>AVERAGE(G179:G180)</f>
        <v>6.9999999999999993E-2</v>
      </c>
      <c r="L180">
        <f>+J180/I180</f>
        <v>1.4326647564469911E-2</v>
      </c>
      <c r="M180">
        <f>+(L180-$L$619)/$L$620</f>
        <v>-0.20746529521470339</v>
      </c>
      <c r="N180">
        <f>+N178+M180</f>
        <v>-10.825579668159326</v>
      </c>
    </row>
    <row r="181" spans="1:14">
      <c r="A181" s="16">
        <v>2</v>
      </c>
      <c r="B181" s="74">
        <v>39154</v>
      </c>
      <c r="C181" s="16">
        <v>2007</v>
      </c>
      <c r="D181" s="11" t="s">
        <v>29</v>
      </c>
      <c r="E181" s="16">
        <v>3</v>
      </c>
      <c r="F181" s="15">
        <v>2.7410000000000001</v>
      </c>
      <c r="G181" s="15">
        <v>7.5999999999999998E-2</v>
      </c>
    </row>
    <row r="182" spans="1:14">
      <c r="A182" s="16">
        <v>16</v>
      </c>
      <c r="B182" s="74">
        <v>39154</v>
      </c>
      <c r="C182" s="16">
        <v>2007</v>
      </c>
      <c r="D182" s="11" t="s">
        <v>29</v>
      </c>
      <c r="E182" s="16">
        <v>3</v>
      </c>
      <c r="F182" s="15">
        <v>2.4710000000000001</v>
      </c>
      <c r="G182" s="15">
        <v>0.109</v>
      </c>
      <c r="I182" s="29">
        <f>AVERAGE(F181:F182)</f>
        <v>2.6059999999999999</v>
      </c>
      <c r="J182" s="29">
        <f>AVERAGE(G181:G182)</f>
        <v>9.2499999999999999E-2</v>
      </c>
      <c r="L182">
        <f>+J182/I182</f>
        <v>3.549501151189563E-2</v>
      </c>
      <c r="M182">
        <f>+(L182-$L$619)/$L$620</f>
        <v>0.12382998505913438</v>
      </c>
      <c r="N182">
        <f>+N180+M182</f>
        <v>-10.701749683100193</v>
      </c>
    </row>
    <row r="183" spans="1:14">
      <c r="A183" s="16">
        <v>2</v>
      </c>
      <c r="B183" s="74">
        <v>39190</v>
      </c>
      <c r="C183" s="16">
        <v>2007</v>
      </c>
      <c r="D183" s="11" t="s">
        <v>30</v>
      </c>
      <c r="E183" s="16">
        <v>4</v>
      </c>
      <c r="F183" s="15">
        <v>5.0179999999999998</v>
      </c>
      <c r="G183" s="15">
        <v>2.3E-2</v>
      </c>
    </row>
    <row r="184" spans="1:14">
      <c r="A184" s="16">
        <v>16</v>
      </c>
      <c r="B184" s="74">
        <v>39190</v>
      </c>
      <c r="C184" s="16">
        <v>2007</v>
      </c>
      <c r="D184" s="11" t="s">
        <v>30</v>
      </c>
      <c r="E184" s="16">
        <v>4</v>
      </c>
      <c r="F184" s="15">
        <v>8.9130000000000003</v>
      </c>
      <c r="G184" s="15">
        <v>0.04</v>
      </c>
      <c r="I184" s="29">
        <f>AVERAGE(F183:F184)</f>
        <v>6.9655000000000005</v>
      </c>
      <c r="J184" s="29">
        <f>AVERAGE(G183:G184)</f>
        <v>3.15E-2</v>
      </c>
      <c r="L184">
        <f>+J184/I184</f>
        <v>4.5222884215059935E-3</v>
      </c>
      <c r="M184">
        <f>+(L184-$L$619)/$L$620</f>
        <v>-0.3609083254952084</v>
      </c>
      <c r="N184">
        <f>+N182+M184</f>
        <v>-11.062658008595401</v>
      </c>
    </row>
    <row r="185" spans="1:14">
      <c r="A185" s="16">
        <v>2</v>
      </c>
      <c r="B185" s="74">
        <v>39217</v>
      </c>
      <c r="C185" s="16">
        <v>2007</v>
      </c>
      <c r="D185" s="11" t="s">
        <v>31</v>
      </c>
      <c r="E185" s="16">
        <v>5</v>
      </c>
      <c r="F185" s="15">
        <v>3.7530000000000001</v>
      </c>
      <c r="G185" s="15">
        <v>6.2E-2</v>
      </c>
    </row>
    <row r="186" spans="1:14">
      <c r="A186" s="16">
        <v>16</v>
      </c>
      <c r="B186" s="74">
        <v>39217</v>
      </c>
      <c r="C186" s="16">
        <v>2007</v>
      </c>
      <c r="D186" s="11" t="s">
        <v>31</v>
      </c>
      <c r="E186" s="16">
        <v>5</v>
      </c>
      <c r="F186" s="15">
        <v>7.5650000000000004</v>
      </c>
      <c r="G186" s="15">
        <v>2.5000000000000001E-2</v>
      </c>
      <c r="I186" s="29">
        <f>AVERAGE(F185:F186)</f>
        <v>5.6590000000000007</v>
      </c>
      <c r="J186" s="29">
        <f>AVERAGE(G185:G186)</f>
        <v>4.3499999999999997E-2</v>
      </c>
      <c r="L186">
        <f>+J186/I186</f>
        <v>7.686870471814807E-3</v>
      </c>
      <c r="M186">
        <f>+(L186-$L$619)/$L$620</f>
        <v>-0.31138106396897636</v>
      </c>
      <c r="N186">
        <f>+N184+M186</f>
        <v>-11.374039072564377</v>
      </c>
    </row>
    <row r="187" spans="1:14">
      <c r="A187" s="16">
        <v>2</v>
      </c>
      <c r="B187" s="74">
        <v>39245</v>
      </c>
      <c r="C187" s="16">
        <v>2007</v>
      </c>
      <c r="D187" s="11" t="s">
        <v>32</v>
      </c>
      <c r="E187" s="16">
        <v>6</v>
      </c>
      <c r="F187" s="15">
        <v>17.007000000000001</v>
      </c>
      <c r="G187" s="15">
        <v>4.2999999999999997E-2</v>
      </c>
    </row>
    <row r="188" spans="1:14">
      <c r="A188" s="16">
        <v>16</v>
      </c>
      <c r="B188" s="74">
        <v>39245</v>
      </c>
      <c r="C188" s="16">
        <v>2007</v>
      </c>
      <c r="D188" s="11" t="s">
        <v>32</v>
      </c>
      <c r="E188" s="16">
        <v>6</v>
      </c>
      <c r="F188" s="15">
        <v>24.376999999999999</v>
      </c>
      <c r="G188" s="15">
        <v>4.3999999999999997E-2</v>
      </c>
      <c r="I188" s="29">
        <f>AVERAGE(F187:F188)</f>
        <v>20.692</v>
      </c>
      <c r="J188" s="29">
        <f>AVERAGE(G187:G188)</f>
        <v>4.3499999999999997E-2</v>
      </c>
      <c r="L188">
        <f>+J188/I188</f>
        <v>2.1022617436690506E-3</v>
      </c>
      <c r="M188">
        <f>+(L188-$L$619)/$L$620</f>
        <v>-0.39878293018810695</v>
      </c>
      <c r="N188">
        <f>+N186+M188</f>
        <v>-11.772822002752484</v>
      </c>
    </row>
    <row r="189" spans="1:14">
      <c r="A189" s="16">
        <v>2</v>
      </c>
      <c r="B189" s="74">
        <v>39280</v>
      </c>
      <c r="C189" s="16">
        <v>2007</v>
      </c>
      <c r="D189" s="11" t="s">
        <v>33</v>
      </c>
      <c r="E189" s="16">
        <v>7</v>
      </c>
      <c r="F189" s="15">
        <v>16.196000000000002</v>
      </c>
      <c r="G189" s="15">
        <v>0.32300000000000001</v>
      </c>
    </row>
    <row r="190" spans="1:14">
      <c r="A190" s="16">
        <v>16</v>
      </c>
      <c r="B190" s="74">
        <v>39280</v>
      </c>
      <c r="C190" s="16">
        <v>2007</v>
      </c>
      <c r="D190" s="11" t="s">
        <v>33</v>
      </c>
      <c r="E190" s="16">
        <v>7</v>
      </c>
      <c r="F190" s="15">
        <v>17.375</v>
      </c>
      <c r="G190" s="15">
        <v>0.25800000000000001</v>
      </c>
      <c r="I190" s="29">
        <f>AVERAGE(F189:F190)</f>
        <v>16.785499999999999</v>
      </c>
      <c r="J190" s="29">
        <f>AVERAGE(G189:G190)</f>
        <v>0.29049999999999998</v>
      </c>
      <c r="L190">
        <f>+J190/I190</f>
        <v>1.7306603914092521E-2</v>
      </c>
      <c r="M190">
        <f>+(L190-$L$619)/$L$620</f>
        <v>-0.16082751647545021</v>
      </c>
      <c r="N190">
        <f>+N188+M190</f>
        <v>-11.933649519227934</v>
      </c>
    </row>
    <row r="191" spans="1:14">
      <c r="A191" s="16">
        <v>2</v>
      </c>
      <c r="B191" s="74">
        <v>39308</v>
      </c>
      <c r="C191" s="16">
        <v>2007</v>
      </c>
      <c r="D191" s="11" t="s">
        <v>34</v>
      </c>
      <c r="E191" s="16">
        <v>8</v>
      </c>
      <c r="F191" s="15">
        <v>10.210000000000001</v>
      </c>
      <c r="G191" s="15">
        <v>0.154</v>
      </c>
    </row>
    <row r="192" spans="1:14">
      <c r="A192" s="16">
        <v>16</v>
      </c>
      <c r="B192" s="74">
        <v>39308</v>
      </c>
      <c r="C192" s="16">
        <v>2007</v>
      </c>
      <c r="D192" s="11" t="s">
        <v>34</v>
      </c>
      <c r="E192" s="16">
        <v>8</v>
      </c>
      <c r="F192" s="15">
        <v>14.263</v>
      </c>
      <c r="G192" s="15">
        <v>6.0999999999999999E-2</v>
      </c>
      <c r="I192" s="29">
        <f>AVERAGE(F191:F192)</f>
        <v>12.236499999999999</v>
      </c>
      <c r="J192" s="29">
        <f>AVERAGE(G191:G192)</f>
        <v>0.1075</v>
      </c>
      <c r="L192">
        <f>+J192/I192</f>
        <v>8.7851918440730609E-3</v>
      </c>
      <c r="M192">
        <f>+(L192-$L$619)/$L$620</f>
        <v>-0.29419179569313053</v>
      </c>
      <c r="N192">
        <f>+N190+M192</f>
        <v>-12.227841314921065</v>
      </c>
    </row>
    <row r="193" spans="1:14">
      <c r="A193" s="16">
        <v>2</v>
      </c>
      <c r="B193" s="74">
        <v>39337</v>
      </c>
      <c r="C193" s="16">
        <v>2007</v>
      </c>
      <c r="D193" s="11" t="s">
        <v>40</v>
      </c>
      <c r="E193" s="16">
        <v>9</v>
      </c>
      <c r="F193" s="15">
        <v>13.247999999999999</v>
      </c>
      <c r="G193" s="15">
        <v>9.9989999999999996E-4</v>
      </c>
    </row>
    <row r="194" spans="1:14">
      <c r="A194" s="16">
        <v>16</v>
      </c>
      <c r="B194" s="74">
        <v>39336</v>
      </c>
      <c r="C194" s="16">
        <v>2007</v>
      </c>
      <c r="D194" s="11" t="s">
        <v>40</v>
      </c>
      <c r="E194" s="16">
        <v>9</v>
      </c>
      <c r="F194" s="15">
        <v>12.465999999999999</v>
      </c>
      <c r="G194" s="15">
        <v>0.112</v>
      </c>
      <c r="I194" s="29">
        <f>AVERAGE(F193:F194)</f>
        <v>12.856999999999999</v>
      </c>
      <c r="J194" s="29">
        <f>AVERAGE(G193:G194)</f>
        <v>5.649995E-2</v>
      </c>
      <c r="L194">
        <f>+J194/I194</f>
        <v>4.3944893832153697E-3</v>
      </c>
      <c r="M194">
        <f>+(L194-$L$619)/$L$620</f>
        <v>-0.3629084431384223</v>
      </c>
      <c r="N194">
        <f>+N192+M194</f>
        <v>-12.590749758059488</v>
      </c>
    </row>
    <row r="195" spans="1:14">
      <c r="A195" s="16">
        <v>2</v>
      </c>
      <c r="B195" s="74">
        <v>39373</v>
      </c>
      <c r="C195" s="16">
        <v>2007</v>
      </c>
      <c r="D195" s="11" t="s">
        <v>36</v>
      </c>
      <c r="E195" s="16">
        <v>10</v>
      </c>
      <c r="F195" s="15">
        <v>2.7330000000000001</v>
      </c>
      <c r="G195" s="15">
        <v>3.4000000000000002E-2</v>
      </c>
    </row>
    <row r="196" spans="1:14">
      <c r="A196" s="16">
        <v>16</v>
      </c>
      <c r="B196" s="74">
        <v>39373</v>
      </c>
      <c r="C196" s="16">
        <v>2007</v>
      </c>
      <c r="D196" s="11" t="s">
        <v>36</v>
      </c>
      <c r="E196" s="16">
        <v>10</v>
      </c>
      <c r="F196" s="15">
        <v>4.891</v>
      </c>
      <c r="G196" s="15">
        <v>2.1999999999999999E-2</v>
      </c>
      <c r="I196" s="29">
        <f>AVERAGE(F195:F196)</f>
        <v>3.8120000000000003</v>
      </c>
      <c r="J196" s="29">
        <f>AVERAGE(G195:G196)</f>
        <v>2.8000000000000001E-2</v>
      </c>
      <c r="L196">
        <f>+J196/I196</f>
        <v>7.3452256033578172E-3</v>
      </c>
      <c r="M196">
        <f>+(L196-$L$619)/$L$620</f>
        <v>-0.31672797375995909</v>
      </c>
      <c r="N196">
        <f>+N194+M196</f>
        <v>-12.907477731819448</v>
      </c>
    </row>
    <row r="197" spans="1:14">
      <c r="A197" s="16">
        <v>2</v>
      </c>
      <c r="B197" s="74">
        <v>39399</v>
      </c>
      <c r="C197" s="16">
        <v>2007</v>
      </c>
      <c r="D197" s="11" t="s">
        <v>37</v>
      </c>
      <c r="E197" s="16">
        <v>11</v>
      </c>
      <c r="F197" s="15">
        <v>0.96299999999999997</v>
      </c>
      <c r="G197" s="15">
        <v>9.9989999999999996E-4</v>
      </c>
    </row>
    <row r="198" spans="1:14">
      <c r="A198" s="16">
        <v>16</v>
      </c>
      <c r="B198" s="74">
        <v>39399</v>
      </c>
      <c r="C198" s="16">
        <v>2007</v>
      </c>
      <c r="D198" s="11" t="s">
        <v>37</v>
      </c>
      <c r="E198" s="16">
        <v>11</v>
      </c>
      <c r="F198" s="15">
        <v>3.145</v>
      </c>
      <c r="G198" s="15">
        <v>4.4999999999999998E-2</v>
      </c>
      <c r="I198" s="29">
        <f>AVERAGE(F197:F198)</f>
        <v>2.0539999999999998</v>
      </c>
      <c r="J198" s="29">
        <f>AVERAGE(G197:G198)</f>
        <v>2.2999949999999998E-2</v>
      </c>
      <c r="L198">
        <f>+J198/I198</f>
        <v>1.1197638753651411E-2</v>
      </c>
      <c r="M198">
        <f>+(L198-$L$619)/$L$620</f>
        <v>-0.25643581809186161</v>
      </c>
      <c r="N198">
        <f>+N196+M198</f>
        <v>-13.16391354991131</v>
      </c>
    </row>
    <row r="199" spans="1:14">
      <c r="A199" s="16">
        <v>2</v>
      </c>
      <c r="B199" s="74">
        <v>39426</v>
      </c>
      <c r="C199" s="16">
        <v>2007</v>
      </c>
      <c r="D199" s="11" t="s">
        <v>38</v>
      </c>
      <c r="E199" s="16">
        <v>12</v>
      </c>
      <c r="F199" s="15">
        <v>1.2290000000000001</v>
      </c>
      <c r="G199" s="15">
        <v>9.9989999999999996E-4</v>
      </c>
    </row>
    <row r="200" spans="1:14">
      <c r="A200" s="16">
        <v>16</v>
      </c>
      <c r="B200" s="74">
        <v>39427</v>
      </c>
      <c r="C200" s="16">
        <v>2007</v>
      </c>
      <c r="D200" s="11" t="s">
        <v>38</v>
      </c>
      <c r="E200" s="16">
        <v>12</v>
      </c>
      <c r="F200" s="15">
        <v>2.2930000000000001</v>
      </c>
      <c r="G200" s="15">
        <v>1.2E-2</v>
      </c>
      <c r="I200" s="29">
        <f>AVERAGE(F199:F200)</f>
        <v>1.7610000000000001</v>
      </c>
      <c r="J200" s="29">
        <f>AVERAGE(G199:G200)</f>
        <v>6.49995E-3</v>
      </c>
      <c r="L200">
        <f>+J200/I200</f>
        <v>3.6910562180579214E-3</v>
      </c>
      <c r="M200">
        <f>+(L200-$L$619)/$L$620</f>
        <v>-0.37391751725409528</v>
      </c>
      <c r="N200">
        <f>+N198+M200</f>
        <v>-13.537831067165406</v>
      </c>
    </row>
    <row r="201" spans="1:14">
      <c r="A201" s="16">
        <v>2</v>
      </c>
      <c r="B201" s="74">
        <v>39462</v>
      </c>
      <c r="C201" s="16">
        <v>2008</v>
      </c>
      <c r="D201" s="11" t="s">
        <v>39</v>
      </c>
      <c r="E201" s="16">
        <v>1</v>
      </c>
      <c r="F201" s="25">
        <v>3.5289999999999999</v>
      </c>
      <c r="G201" s="25">
        <v>6.3E-2</v>
      </c>
    </row>
    <row r="202" spans="1:14">
      <c r="A202" s="16">
        <v>16</v>
      </c>
      <c r="B202" s="74">
        <v>39462</v>
      </c>
      <c r="C202" s="16">
        <v>2008</v>
      </c>
      <c r="D202" s="11" t="s">
        <v>39</v>
      </c>
      <c r="E202" s="16">
        <v>1</v>
      </c>
      <c r="F202" s="25">
        <v>2.8180000000000001</v>
      </c>
      <c r="G202" s="25">
        <v>7.4999999999999997E-2</v>
      </c>
      <c r="I202" s="29">
        <f>AVERAGE(F201:F202)</f>
        <v>3.1734999999999998</v>
      </c>
      <c r="J202" s="29">
        <f>AVERAGE(G201:G202)</f>
        <v>6.9000000000000006E-2</v>
      </c>
      <c r="L202">
        <f>+J202/I202</f>
        <v>2.1742555538049477E-2</v>
      </c>
      <c r="M202">
        <f>+(L202-$L$619)/$L$620</f>
        <v>-9.1402697429917648E-2</v>
      </c>
      <c r="N202">
        <f>+N200+M202</f>
        <v>-13.629233764595323</v>
      </c>
    </row>
    <row r="203" spans="1:14">
      <c r="A203" s="16">
        <v>2</v>
      </c>
      <c r="B203" s="74">
        <v>39490</v>
      </c>
      <c r="C203" s="16">
        <v>2008</v>
      </c>
      <c r="D203" s="11" t="s">
        <v>28</v>
      </c>
      <c r="E203" s="16">
        <v>2</v>
      </c>
      <c r="F203" s="25">
        <v>6.0679999999999996</v>
      </c>
      <c r="G203" s="25">
        <v>0.157</v>
      </c>
    </row>
    <row r="204" spans="1:14">
      <c r="A204" s="16">
        <v>16</v>
      </c>
      <c r="B204" s="74">
        <v>39490</v>
      </c>
      <c r="C204" s="16">
        <v>2008</v>
      </c>
      <c r="D204" s="11" t="s">
        <v>28</v>
      </c>
      <c r="E204" s="16">
        <v>2</v>
      </c>
      <c r="F204" s="25">
        <v>5.6310000000000002</v>
      </c>
      <c r="G204" s="25">
        <v>0.2</v>
      </c>
      <c r="I204" s="29">
        <f>AVERAGE(F203:F204)</f>
        <v>5.8494999999999999</v>
      </c>
      <c r="J204" s="29">
        <f>AVERAGE(G203:G204)</f>
        <v>0.17849999999999999</v>
      </c>
      <c r="L204">
        <f>+J204/I204</f>
        <v>3.0515428669117016E-2</v>
      </c>
      <c r="M204">
        <f>+(L204-$L$619)/$L$620</f>
        <v>4.5897070751613894E-2</v>
      </c>
      <c r="N204">
        <f>+N202+M204</f>
        <v>-13.583336693843709</v>
      </c>
    </row>
    <row r="205" spans="1:14">
      <c r="A205" s="16">
        <v>2</v>
      </c>
      <c r="B205" s="74">
        <v>39520</v>
      </c>
      <c r="C205" s="16">
        <v>2008</v>
      </c>
      <c r="D205" s="11" t="s">
        <v>29</v>
      </c>
      <c r="E205" s="16">
        <v>3</v>
      </c>
      <c r="F205" s="26">
        <v>1.8859999999999999</v>
      </c>
      <c r="G205" s="25">
        <v>4.1000000000000002E-2</v>
      </c>
    </row>
    <row r="206" spans="1:14">
      <c r="A206" s="16">
        <v>16</v>
      </c>
      <c r="B206" s="74">
        <v>39520</v>
      </c>
      <c r="C206" s="16">
        <v>2008</v>
      </c>
      <c r="D206" s="11" t="s">
        <v>29</v>
      </c>
      <c r="E206" s="16">
        <v>3</v>
      </c>
      <c r="F206" s="26">
        <v>1.9970000000000001</v>
      </c>
      <c r="G206" s="25">
        <v>1.4E-2</v>
      </c>
      <c r="I206" s="29">
        <f>AVERAGE(F205:F206)</f>
        <v>1.9415</v>
      </c>
      <c r="J206" s="29">
        <f>AVERAGE(G205:G206)</f>
        <v>2.75E-2</v>
      </c>
      <c r="L206">
        <f>+J206/I206</f>
        <v>1.4164305949008499E-2</v>
      </c>
      <c r="M206">
        <f>+(L206-$L$619)/$L$620</f>
        <v>-0.21000602113608177</v>
      </c>
      <c r="N206">
        <f>+N204+M206</f>
        <v>-13.79334271497979</v>
      </c>
    </row>
    <row r="207" spans="1:14">
      <c r="A207" s="16">
        <v>2</v>
      </c>
      <c r="B207" s="74">
        <v>39553</v>
      </c>
      <c r="C207" s="16">
        <v>2008</v>
      </c>
      <c r="D207" s="11" t="s">
        <v>30</v>
      </c>
      <c r="E207" s="16">
        <v>4</v>
      </c>
      <c r="F207" s="26">
        <v>0.93100000000000005</v>
      </c>
      <c r="G207" s="25">
        <v>9.9989999999999996E-4</v>
      </c>
    </row>
    <row r="208" spans="1:14">
      <c r="A208" s="16">
        <v>16</v>
      </c>
      <c r="B208" s="74">
        <v>39553</v>
      </c>
      <c r="C208" s="16">
        <v>2008</v>
      </c>
      <c r="D208" s="11" t="s">
        <v>30</v>
      </c>
      <c r="E208" s="16">
        <v>4</v>
      </c>
      <c r="F208" s="26">
        <v>1.046</v>
      </c>
      <c r="G208" s="25">
        <v>1.2999999999999999E-2</v>
      </c>
      <c r="I208" s="29">
        <f>AVERAGE(F207:F208)</f>
        <v>0.98850000000000005</v>
      </c>
      <c r="J208" s="29">
        <f>AVERAGE(G207:G208)</f>
        <v>6.9999499999999996E-3</v>
      </c>
      <c r="L208">
        <f>+J208/I208</f>
        <v>7.0813859382903377E-3</v>
      </c>
      <c r="M208">
        <f>+(L208-$L$619)/$L$620</f>
        <v>-0.32085719394924617</v>
      </c>
      <c r="N208">
        <f>+N206+M208</f>
        <v>-14.114199908929036</v>
      </c>
    </row>
    <row r="209" spans="1:14">
      <c r="A209" s="16">
        <v>2</v>
      </c>
      <c r="B209" s="74">
        <v>39582</v>
      </c>
      <c r="C209" s="16">
        <v>2008</v>
      </c>
      <c r="D209" s="11" t="s">
        <v>31</v>
      </c>
      <c r="E209" s="16">
        <v>5</v>
      </c>
      <c r="F209" s="26">
        <v>3.9430000000000001</v>
      </c>
      <c r="G209" s="25">
        <v>9.2999999999999999E-2</v>
      </c>
    </row>
    <row r="210" spans="1:14">
      <c r="A210" s="16">
        <v>16</v>
      </c>
      <c r="B210" s="74">
        <v>39583</v>
      </c>
      <c r="C210" s="16">
        <v>2008</v>
      </c>
      <c r="D210" s="11" t="s">
        <v>31</v>
      </c>
      <c r="E210" s="16">
        <v>5</v>
      </c>
      <c r="F210" s="26">
        <v>4.1219999999999999</v>
      </c>
      <c r="G210" s="25">
        <v>4.2999999999999997E-2</v>
      </c>
      <c r="I210" s="29">
        <f>AVERAGE(F209:F210)</f>
        <v>4.0324999999999998</v>
      </c>
      <c r="J210" s="29">
        <f>AVERAGE(G209:G210)</f>
        <v>6.8000000000000005E-2</v>
      </c>
      <c r="L210">
        <f>+J210/I210</f>
        <v>1.6862988220706761E-2</v>
      </c>
      <c r="M210">
        <f>+(L210-$L$619)/$L$620</f>
        <v>-0.16777031970006978</v>
      </c>
      <c r="N210">
        <f>+N208+M210</f>
        <v>-14.281970228629106</v>
      </c>
    </row>
    <row r="211" spans="1:14">
      <c r="A211" s="16">
        <v>2</v>
      </c>
      <c r="B211" s="74">
        <v>39616</v>
      </c>
      <c r="C211" s="16">
        <v>2008</v>
      </c>
      <c r="D211" s="11" t="s">
        <v>32</v>
      </c>
      <c r="E211" s="16">
        <v>6</v>
      </c>
      <c r="F211" s="26">
        <v>10.725</v>
      </c>
      <c r="G211" s="25">
        <v>0.158</v>
      </c>
    </row>
    <row r="212" spans="1:14">
      <c r="A212" s="16">
        <v>16</v>
      </c>
      <c r="B212" s="74">
        <v>39616</v>
      </c>
      <c r="C212" s="16">
        <v>2008</v>
      </c>
      <c r="D212" s="11" t="s">
        <v>32</v>
      </c>
      <c r="E212" s="16">
        <v>6</v>
      </c>
      <c r="F212" s="26">
        <v>11.07</v>
      </c>
      <c r="G212" s="25">
        <v>8.5000000000000006E-2</v>
      </c>
      <c r="I212" s="29">
        <f>AVERAGE(F211:F212)</f>
        <v>10.897500000000001</v>
      </c>
      <c r="J212" s="29">
        <f>AVERAGE(G211:G212)</f>
        <v>0.1215</v>
      </c>
      <c r="L212">
        <f>+J212/I212</f>
        <v>1.1149346180316586E-2</v>
      </c>
      <c r="M212">
        <f>+(L212-$L$619)/$L$620</f>
        <v>-0.25719162055528494</v>
      </c>
      <c r="N212">
        <f>+N210+M212</f>
        <v>-14.53916184918439</v>
      </c>
    </row>
    <row r="213" spans="1:14">
      <c r="A213" s="16">
        <v>2</v>
      </c>
      <c r="B213" s="74">
        <v>39644</v>
      </c>
      <c r="C213" s="16">
        <v>2008</v>
      </c>
      <c r="D213" s="11" t="s">
        <v>33</v>
      </c>
      <c r="E213" s="16">
        <v>7</v>
      </c>
      <c r="F213" s="26">
        <v>12.685</v>
      </c>
      <c r="G213" s="25">
        <v>0.435</v>
      </c>
    </row>
    <row r="214" spans="1:14">
      <c r="A214" s="16">
        <v>16</v>
      </c>
      <c r="B214" s="74">
        <v>39644</v>
      </c>
      <c r="C214" s="16">
        <v>2008</v>
      </c>
      <c r="D214" s="11" t="s">
        <v>33</v>
      </c>
      <c r="E214" s="16">
        <v>7</v>
      </c>
      <c r="F214" s="26">
        <v>14.726000000000001</v>
      </c>
      <c r="G214" s="25">
        <v>0.33200000000000002</v>
      </c>
      <c r="I214" s="29">
        <f>AVERAGE(F213:F214)</f>
        <v>13.705500000000001</v>
      </c>
      <c r="J214" s="29">
        <f>AVERAGE(G213:G214)</f>
        <v>0.38350000000000001</v>
      </c>
      <c r="L214">
        <f>+J214/I214</f>
        <v>2.7981467294151983E-2</v>
      </c>
      <c r="M214">
        <f>+(L214-$L$619)/$L$620</f>
        <v>6.2393321560806287E-3</v>
      </c>
      <c r="N214">
        <f>+N212+M214</f>
        <v>-14.532922517028309</v>
      </c>
    </row>
    <row r="215" spans="1:14">
      <c r="A215" s="16">
        <v>2</v>
      </c>
      <c r="B215" s="74">
        <v>39673</v>
      </c>
      <c r="C215" s="16">
        <v>2008</v>
      </c>
      <c r="D215" s="11" t="s">
        <v>34</v>
      </c>
      <c r="E215" s="16">
        <v>8</v>
      </c>
      <c r="F215" s="26">
        <v>7.4409999999999998</v>
      </c>
      <c r="G215" s="25">
        <v>0.68899999999999995</v>
      </c>
    </row>
    <row r="216" spans="1:14">
      <c r="A216" s="16">
        <v>16</v>
      </c>
      <c r="B216" s="74">
        <v>39673</v>
      </c>
      <c r="C216" s="16">
        <v>2008</v>
      </c>
      <c r="D216" s="11" t="s">
        <v>34</v>
      </c>
      <c r="E216" s="16">
        <v>8</v>
      </c>
      <c r="F216" s="26">
        <v>7.3840000000000003</v>
      </c>
      <c r="G216" s="25">
        <v>0.215</v>
      </c>
      <c r="I216" s="29">
        <f>AVERAGE(F215:F216)</f>
        <v>7.4124999999999996</v>
      </c>
      <c r="J216" s="29">
        <f>AVERAGE(G215:G216)</f>
        <v>0.45199999999999996</v>
      </c>
      <c r="L216">
        <f>+J216/I216</f>
        <v>6.0978077571669474E-2</v>
      </c>
      <c r="M216">
        <f>+(L216-$L$619)/$L$620</f>
        <v>0.52265247004084125</v>
      </c>
      <c r="N216">
        <f>+N214+M216</f>
        <v>-14.010270046987468</v>
      </c>
    </row>
    <row r="217" spans="1:14">
      <c r="A217" s="16">
        <v>2</v>
      </c>
      <c r="B217" s="74">
        <v>39707</v>
      </c>
      <c r="C217" s="16">
        <v>2008</v>
      </c>
      <c r="D217" s="11" t="s">
        <v>40</v>
      </c>
      <c r="E217" s="16">
        <v>9</v>
      </c>
      <c r="F217" s="25">
        <v>22.388000000000002</v>
      </c>
      <c r="G217" s="25">
        <v>8.7999999999999995E-2</v>
      </c>
    </row>
    <row r="218" spans="1:14">
      <c r="A218" s="16">
        <v>16</v>
      </c>
      <c r="B218" s="74">
        <v>39707</v>
      </c>
      <c r="C218" s="16">
        <v>2008</v>
      </c>
      <c r="D218" s="11" t="s">
        <v>40</v>
      </c>
      <c r="E218" s="16">
        <v>9</v>
      </c>
      <c r="F218" s="25">
        <v>16.899999999999999</v>
      </c>
      <c r="G218" s="25">
        <v>0.09</v>
      </c>
      <c r="I218" s="29">
        <f>AVERAGE(F217:F218)</f>
        <v>19.643999999999998</v>
      </c>
      <c r="J218" s="29">
        <f>AVERAGE(G217:G218)</f>
        <v>8.8999999999999996E-2</v>
      </c>
      <c r="L218">
        <f>+J218/I218</f>
        <v>4.5306454897169621E-3</v>
      </c>
      <c r="M218">
        <f>+(L218-$L$619)/$L$620</f>
        <v>-0.36077753327800649</v>
      </c>
      <c r="N218">
        <f>+N216+M218</f>
        <v>-14.371047580265476</v>
      </c>
    </row>
    <row r="219" spans="1:14">
      <c r="A219" s="16">
        <v>2</v>
      </c>
      <c r="B219" s="74">
        <v>39737</v>
      </c>
      <c r="C219" s="16">
        <v>2008</v>
      </c>
      <c r="D219" s="11" t="s">
        <v>36</v>
      </c>
      <c r="E219" s="16">
        <v>10</v>
      </c>
      <c r="F219" s="25">
        <v>1.742</v>
      </c>
      <c r="G219" s="25">
        <v>1.4999999999999999E-2</v>
      </c>
    </row>
    <row r="220" spans="1:14">
      <c r="A220" s="16">
        <v>16</v>
      </c>
      <c r="B220" s="74">
        <v>39737</v>
      </c>
      <c r="C220" s="16">
        <v>2008</v>
      </c>
      <c r="D220" s="11" t="s">
        <v>36</v>
      </c>
      <c r="E220" s="16">
        <v>10</v>
      </c>
      <c r="F220" s="25">
        <v>5.1740000000000004</v>
      </c>
      <c r="G220" s="25">
        <v>0.04</v>
      </c>
      <c r="I220" s="29">
        <f>AVERAGE(F219:F220)</f>
        <v>3.4580000000000002</v>
      </c>
      <c r="J220" s="29">
        <f>AVERAGE(G219:G220)</f>
        <v>2.75E-2</v>
      </c>
      <c r="L220">
        <f>+J220/I220</f>
        <v>7.9525737420474262E-3</v>
      </c>
      <c r="M220">
        <f>+(L220-$L$619)/$L$620</f>
        <v>-0.30722267744463205</v>
      </c>
      <c r="N220">
        <f>+N218+M220</f>
        <v>-14.678270257710107</v>
      </c>
    </row>
    <row r="221" spans="1:14">
      <c r="A221" s="16">
        <v>2</v>
      </c>
      <c r="B221" s="74">
        <v>39763</v>
      </c>
      <c r="C221" s="16">
        <v>2008</v>
      </c>
      <c r="D221" s="11" t="s">
        <v>37</v>
      </c>
      <c r="E221" s="16">
        <v>11</v>
      </c>
      <c r="F221" s="25">
        <v>2.1349999999999998</v>
      </c>
      <c r="G221" s="25">
        <v>0.03</v>
      </c>
    </row>
    <row r="222" spans="1:14">
      <c r="A222" s="16">
        <v>16</v>
      </c>
      <c r="B222" s="74">
        <v>39763</v>
      </c>
      <c r="C222" s="16">
        <v>2008</v>
      </c>
      <c r="D222" s="11" t="s">
        <v>37</v>
      </c>
      <c r="E222" s="16">
        <v>11</v>
      </c>
      <c r="F222" s="25">
        <v>3.6680000000000001</v>
      </c>
      <c r="G222" s="25">
        <v>3.4000000000000002E-2</v>
      </c>
      <c r="I222" s="29">
        <f>AVERAGE(F221:F222)</f>
        <v>2.9015</v>
      </c>
      <c r="J222" s="29">
        <f>AVERAGE(G221:G222)</f>
        <v>3.2000000000000001E-2</v>
      </c>
      <c r="L222">
        <f>+J222/I222</f>
        <v>1.102877821816302E-2</v>
      </c>
      <c r="M222">
        <f>+(L222-$L$619)/$L$620</f>
        <v>-0.259078568309628</v>
      </c>
      <c r="N222">
        <f>+N220+M222</f>
        <v>-14.937348826019734</v>
      </c>
    </row>
    <row r="223" spans="1:14">
      <c r="A223" s="16">
        <v>2</v>
      </c>
      <c r="B223" s="74">
        <v>39799</v>
      </c>
      <c r="C223" s="16">
        <v>2008</v>
      </c>
      <c r="D223" s="11" t="s">
        <v>38</v>
      </c>
      <c r="E223" s="16">
        <v>12</v>
      </c>
      <c r="F223" s="25">
        <v>6.0270000000000001</v>
      </c>
      <c r="G223" s="25">
        <v>8.8999999999999996E-2</v>
      </c>
    </row>
    <row r="224" spans="1:14">
      <c r="A224" s="16">
        <v>16</v>
      </c>
      <c r="B224" s="74">
        <v>39800</v>
      </c>
      <c r="C224" s="16">
        <v>2008</v>
      </c>
      <c r="D224" s="11" t="s">
        <v>38</v>
      </c>
      <c r="E224" s="16">
        <v>12</v>
      </c>
      <c r="F224" s="25">
        <v>4.6399999999999997</v>
      </c>
      <c r="G224" s="25">
        <v>0.20599999999999999</v>
      </c>
      <c r="I224" s="29">
        <f>AVERAGE(F223:F224)</f>
        <v>5.3334999999999999</v>
      </c>
      <c r="J224" s="29">
        <f>AVERAGE(G223:G224)</f>
        <v>0.14749999999999999</v>
      </c>
      <c r="L224">
        <f>+J224/I224</f>
        <v>2.7655385769194712E-2</v>
      </c>
      <c r="M224">
        <f>+(L224-$L$619)/$L$620</f>
        <v>1.13599632572814E-3</v>
      </c>
      <c r="N224">
        <f>+N222+M224</f>
        <v>-14.936212829694007</v>
      </c>
    </row>
    <row r="225" spans="1:14">
      <c r="A225" s="16">
        <v>2</v>
      </c>
      <c r="B225" s="74">
        <v>39825</v>
      </c>
      <c r="C225" s="16">
        <v>2009</v>
      </c>
      <c r="D225" s="11" t="s">
        <v>39</v>
      </c>
      <c r="E225" s="12">
        <v>1</v>
      </c>
      <c r="F225" s="25">
        <v>7.7110000000000003</v>
      </c>
      <c r="G225" s="25">
        <v>7.8E-2</v>
      </c>
    </row>
    <row r="226" spans="1:14">
      <c r="A226" s="16">
        <v>16</v>
      </c>
      <c r="B226" s="74">
        <v>39825</v>
      </c>
      <c r="C226" s="16">
        <v>2009</v>
      </c>
      <c r="D226" s="11" t="s">
        <v>39</v>
      </c>
      <c r="E226" s="12">
        <v>1</v>
      </c>
      <c r="F226" s="25">
        <v>6.8780000000000001</v>
      </c>
      <c r="G226" s="25">
        <v>0.11700000000000001</v>
      </c>
      <c r="I226" s="29">
        <f>AVERAGE(F225:F226)</f>
        <v>7.2945000000000002</v>
      </c>
      <c r="J226" s="29">
        <f>AVERAGE(G225:G226)</f>
        <v>9.7500000000000003E-2</v>
      </c>
      <c r="L226">
        <f>+J226/I226</f>
        <v>1.3366234834464322E-2</v>
      </c>
      <c r="M226">
        <f>+(L226-$L$619)/$L$620</f>
        <v>-0.22249622558589333</v>
      </c>
      <c r="N226">
        <f>+N224+M226</f>
        <v>-15.1587090552799</v>
      </c>
    </row>
    <row r="227" spans="1:14">
      <c r="A227" s="12">
        <v>2</v>
      </c>
      <c r="B227" s="74">
        <v>39855</v>
      </c>
      <c r="C227" s="16">
        <v>2009</v>
      </c>
      <c r="D227" s="11" t="s">
        <v>28</v>
      </c>
      <c r="E227" s="12">
        <v>2</v>
      </c>
      <c r="F227" s="25">
        <v>5.3019999999999996</v>
      </c>
      <c r="G227" s="27">
        <v>3.5999999999999997E-2</v>
      </c>
    </row>
    <row r="228" spans="1:14">
      <c r="A228" s="12">
        <v>16</v>
      </c>
      <c r="B228" s="74">
        <v>39854</v>
      </c>
      <c r="C228" s="16">
        <v>2009</v>
      </c>
      <c r="D228" s="11" t="s">
        <v>28</v>
      </c>
      <c r="E228" s="12">
        <v>2</v>
      </c>
      <c r="F228" s="25">
        <v>4.5049999999999999</v>
      </c>
      <c r="G228" s="25">
        <v>0.04</v>
      </c>
      <c r="I228" s="29">
        <f>AVERAGE(F227:F228)</f>
        <v>4.9034999999999993</v>
      </c>
      <c r="J228" s="29">
        <f>AVERAGE(G227:G228)</f>
        <v>3.7999999999999999E-2</v>
      </c>
      <c r="L228">
        <f>+J228/I228</f>
        <v>7.7495666360762726E-3</v>
      </c>
      <c r="M228">
        <f>+(L228-$L$619)/$L$620</f>
        <v>-0.31039983824162753</v>
      </c>
      <c r="N228">
        <f>+N226+M228</f>
        <v>-15.469108893521527</v>
      </c>
    </row>
    <row r="229" spans="1:14">
      <c r="A229" s="12">
        <v>2</v>
      </c>
      <c r="B229" s="74">
        <v>39890</v>
      </c>
      <c r="C229" s="16">
        <v>2009</v>
      </c>
      <c r="D229" s="11" t="s">
        <v>29</v>
      </c>
      <c r="E229" s="12">
        <v>3</v>
      </c>
      <c r="F229" s="25">
        <v>4.0570000000000004</v>
      </c>
      <c r="G229" s="27">
        <v>1.7999999999999999E-2</v>
      </c>
    </row>
    <row r="230" spans="1:14">
      <c r="A230" s="12">
        <v>16</v>
      </c>
      <c r="B230" s="74">
        <v>39890</v>
      </c>
      <c r="C230" s="16">
        <v>2009</v>
      </c>
      <c r="D230" s="11" t="s">
        <v>29</v>
      </c>
      <c r="E230" s="12">
        <v>3</v>
      </c>
      <c r="F230" s="25">
        <v>3.7959999999999998</v>
      </c>
      <c r="G230" s="27">
        <v>1.2999999999999999E-2</v>
      </c>
      <c r="I230" s="29">
        <f>AVERAGE(F229:F230)</f>
        <v>3.9264999999999999</v>
      </c>
      <c r="J230" s="29">
        <f>AVERAGE(G229:G230)</f>
        <v>1.55E-2</v>
      </c>
      <c r="L230">
        <f>+J230/I230</f>
        <v>3.9475359735133067E-3</v>
      </c>
      <c r="M230">
        <f>+(L230-$L$619)/$L$620</f>
        <v>-0.36990348326076483</v>
      </c>
      <c r="N230">
        <f>+N228+M230</f>
        <v>-15.839012376782293</v>
      </c>
    </row>
    <row r="231" spans="1:14">
      <c r="A231" s="12">
        <v>2</v>
      </c>
      <c r="B231" s="74">
        <v>39920</v>
      </c>
      <c r="C231" s="16">
        <v>2009</v>
      </c>
      <c r="D231" s="11" t="s">
        <v>30</v>
      </c>
      <c r="E231" s="12">
        <v>4</v>
      </c>
      <c r="F231" s="25">
        <v>2.726</v>
      </c>
      <c r="G231" s="27">
        <v>2.3E-2</v>
      </c>
    </row>
    <row r="232" spans="1:14">
      <c r="A232" s="12">
        <v>16</v>
      </c>
      <c r="B232" s="74">
        <v>39920</v>
      </c>
      <c r="C232" s="16">
        <v>2009</v>
      </c>
      <c r="D232" s="11" t="s">
        <v>30</v>
      </c>
      <c r="E232" s="12">
        <v>4</v>
      </c>
      <c r="F232" s="25">
        <v>2.3159999999999998</v>
      </c>
      <c r="G232" s="27">
        <v>8.9999999999999993E-3</v>
      </c>
      <c r="I232" s="29">
        <f>AVERAGE(F231:F232)</f>
        <v>2.5209999999999999</v>
      </c>
      <c r="J232" s="29">
        <f>AVERAGE(G231:G232)</f>
        <v>1.6E-2</v>
      </c>
      <c r="L232">
        <f>+J232/I232</f>
        <v>6.346687822292741E-3</v>
      </c>
      <c r="M232">
        <f>+(L232-$L$619)/$L$620</f>
        <v>-0.33235557988311448</v>
      </c>
      <c r="N232">
        <f>+N230+M232</f>
        <v>-16.171367956665406</v>
      </c>
    </row>
    <row r="233" spans="1:14">
      <c r="A233" s="12">
        <v>2</v>
      </c>
      <c r="B233" s="74">
        <v>39945</v>
      </c>
      <c r="C233" s="16">
        <v>2009</v>
      </c>
      <c r="D233" s="11" t="s">
        <v>31</v>
      </c>
      <c r="E233" s="12">
        <v>5</v>
      </c>
      <c r="F233" s="25">
        <v>3.7349999999999999</v>
      </c>
      <c r="G233" s="27">
        <v>3.2000000000000001E-2</v>
      </c>
    </row>
    <row r="234" spans="1:14">
      <c r="A234" s="12">
        <v>16</v>
      </c>
      <c r="B234" s="74">
        <v>39945</v>
      </c>
      <c r="C234" s="16">
        <v>2009</v>
      </c>
      <c r="D234" s="11" t="s">
        <v>31</v>
      </c>
      <c r="E234" s="12">
        <v>5</v>
      </c>
      <c r="F234" s="25">
        <v>8.7650000000000006</v>
      </c>
      <c r="G234" s="27">
        <v>0.112</v>
      </c>
      <c r="I234" s="29">
        <f>AVERAGE(F233:F234)</f>
        <v>6.25</v>
      </c>
      <c r="J234" s="29">
        <f>AVERAGE(G233:G234)</f>
        <v>7.2000000000000008E-2</v>
      </c>
      <c r="L234">
        <f>+J234/I234</f>
        <v>1.1520000000000001E-2</v>
      </c>
      <c r="M234">
        <f>+(L234-$L$619)/$L$620</f>
        <v>-0.25139070644678013</v>
      </c>
      <c r="N234">
        <f>+N232+M234</f>
        <v>-16.422758663112187</v>
      </c>
    </row>
    <row r="235" spans="1:14">
      <c r="A235" s="16">
        <v>2</v>
      </c>
      <c r="B235" s="74">
        <v>39980</v>
      </c>
      <c r="C235" s="16">
        <v>2009</v>
      </c>
      <c r="D235" s="11" t="s">
        <v>32</v>
      </c>
      <c r="E235" s="12">
        <v>6</v>
      </c>
      <c r="F235" s="25">
        <v>7.8079999999999998</v>
      </c>
      <c r="G235" s="27">
        <v>5.7000000000000002E-2</v>
      </c>
    </row>
    <row r="236" spans="1:14">
      <c r="A236" s="16">
        <v>16</v>
      </c>
      <c r="B236" s="74">
        <v>39980</v>
      </c>
      <c r="C236" s="16">
        <v>2009</v>
      </c>
      <c r="D236" s="11" t="s">
        <v>32</v>
      </c>
      <c r="E236" s="12">
        <v>6</v>
      </c>
      <c r="F236" s="25">
        <v>14.867000000000001</v>
      </c>
      <c r="G236" s="27">
        <v>0.13300000000000001</v>
      </c>
      <c r="I236" s="29">
        <f>AVERAGE(F235:F236)</f>
        <v>11.3375</v>
      </c>
      <c r="J236" s="29">
        <f>AVERAGE(G235:G236)</f>
        <v>9.5000000000000001E-2</v>
      </c>
      <c r="L236">
        <f>+J236/I236</f>
        <v>8.3792723263506064E-3</v>
      </c>
      <c r="M236">
        <f>+(L236-$L$619)/$L$620</f>
        <v>-0.30054463527612701</v>
      </c>
      <c r="N236">
        <f>+N234+M236</f>
        <v>-16.723303298388313</v>
      </c>
    </row>
    <row r="237" spans="1:14">
      <c r="A237" s="16">
        <v>2</v>
      </c>
      <c r="B237" s="74">
        <v>40009</v>
      </c>
      <c r="C237" s="16">
        <v>2009</v>
      </c>
      <c r="D237" s="11" t="s">
        <v>33</v>
      </c>
      <c r="E237" s="12">
        <v>7</v>
      </c>
      <c r="F237" s="25">
        <v>12.242000000000001</v>
      </c>
      <c r="G237" s="27">
        <v>0.11799999999999999</v>
      </c>
    </row>
    <row r="238" spans="1:14">
      <c r="A238" s="16">
        <v>16</v>
      </c>
      <c r="B238" s="74">
        <v>40009</v>
      </c>
      <c r="C238" s="16">
        <v>2009</v>
      </c>
      <c r="D238" s="11" t="s">
        <v>33</v>
      </c>
      <c r="E238" s="12">
        <v>7</v>
      </c>
      <c r="F238" s="25">
        <v>8.31</v>
      </c>
      <c r="G238" s="27">
        <v>0.1</v>
      </c>
      <c r="I238" s="29">
        <f>AVERAGE(F237:F238)</f>
        <v>10.276</v>
      </c>
      <c r="J238" s="29">
        <f>AVERAGE(G237:G238)</f>
        <v>0.109</v>
      </c>
      <c r="L238">
        <f>+J238/I238</f>
        <v>1.060724017127287E-2</v>
      </c>
      <c r="M238">
        <f>+(L238-$L$619)/$L$620</f>
        <v>-0.26567584553603085</v>
      </c>
      <c r="N238">
        <f>+N236+M238</f>
        <v>-16.988979143924343</v>
      </c>
    </row>
    <row r="239" spans="1:14">
      <c r="A239" s="16">
        <v>2</v>
      </c>
      <c r="B239" s="74">
        <v>40043</v>
      </c>
      <c r="C239" s="16">
        <v>2009</v>
      </c>
      <c r="D239" s="11" t="s">
        <v>34</v>
      </c>
      <c r="E239" s="12">
        <v>8</v>
      </c>
      <c r="F239" s="25">
        <v>15.622999999999999</v>
      </c>
      <c r="G239" s="27">
        <v>0.28299999999999997</v>
      </c>
    </row>
    <row r="240" spans="1:14">
      <c r="A240" s="16">
        <v>16</v>
      </c>
      <c r="B240" s="74">
        <v>40042</v>
      </c>
      <c r="C240" s="16">
        <v>2009</v>
      </c>
      <c r="D240" s="11" t="s">
        <v>34</v>
      </c>
      <c r="E240" s="12">
        <v>8</v>
      </c>
      <c r="F240" s="25">
        <v>17.271000000000001</v>
      </c>
      <c r="G240" s="27">
        <v>9.5000000000000001E-2</v>
      </c>
      <c r="I240" s="29">
        <f>AVERAGE(F239:F240)</f>
        <v>16.446999999999999</v>
      </c>
      <c r="J240" s="29">
        <f>AVERAGE(G239:G240)</f>
        <v>0.189</v>
      </c>
      <c r="L240">
        <f>+J240/I240</f>
        <v>1.1491457408645954E-2</v>
      </c>
      <c r="M240">
        <f>+(L240-$L$619)/$L$620</f>
        <v>-0.25183741200351878</v>
      </c>
      <c r="N240">
        <f>+N238+M240</f>
        <v>-17.240816555927861</v>
      </c>
    </row>
    <row r="241" spans="1:14">
      <c r="A241" s="16">
        <v>2</v>
      </c>
      <c r="B241" s="74">
        <v>40070</v>
      </c>
      <c r="C241" s="16">
        <v>2009</v>
      </c>
      <c r="D241" s="11" t="s">
        <v>40</v>
      </c>
      <c r="E241" s="12">
        <v>9</v>
      </c>
      <c r="F241" s="25">
        <v>4.9349999999999996</v>
      </c>
      <c r="G241" s="27">
        <v>0.32200000000000001</v>
      </c>
    </row>
    <row r="242" spans="1:14">
      <c r="A242" s="16">
        <v>16</v>
      </c>
      <c r="B242" s="74">
        <v>40070</v>
      </c>
      <c r="C242" s="16">
        <v>2009</v>
      </c>
      <c r="D242" s="11" t="s">
        <v>40</v>
      </c>
      <c r="E242" s="12">
        <v>9</v>
      </c>
      <c r="F242" s="25">
        <v>22.917000000000002</v>
      </c>
      <c r="G242" s="27">
        <v>0.19500000000000001</v>
      </c>
      <c r="I242" s="29">
        <f>AVERAGE(F241:F242)</f>
        <v>13.926</v>
      </c>
      <c r="J242" s="29">
        <f>AVERAGE(G241:G242)</f>
        <v>0.25850000000000001</v>
      </c>
      <c r="L242">
        <f>+J242/I242</f>
        <v>1.8562401263823067E-2</v>
      </c>
      <c r="M242">
        <f>+(L242-$L$619)/$L$620</f>
        <v>-0.14117367189967614</v>
      </c>
      <c r="N242">
        <f>+N240+M242</f>
        <v>-17.381990227827536</v>
      </c>
    </row>
    <row r="243" spans="1:14">
      <c r="A243" s="16">
        <v>2</v>
      </c>
      <c r="B243" s="74">
        <v>40099</v>
      </c>
      <c r="C243" s="16">
        <v>2009</v>
      </c>
      <c r="D243" s="11" t="s">
        <v>36</v>
      </c>
      <c r="E243" s="12">
        <v>10</v>
      </c>
      <c r="F243" s="25">
        <v>2.278</v>
      </c>
      <c r="G243" s="27">
        <v>0.03</v>
      </c>
    </row>
    <row r="244" spans="1:14">
      <c r="A244" s="16">
        <v>16</v>
      </c>
      <c r="B244" s="74">
        <v>40099</v>
      </c>
      <c r="C244" s="16">
        <v>2009</v>
      </c>
      <c r="D244" s="11" t="s">
        <v>36</v>
      </c>
      <c r="E244" s="12">
        <v>10</v>
      </c>
      <c r="F244" s="25">
        <v>5.1630000000000003</v>
      </c>
      <c r="G244" s="27">
        <v>4.1000000000000002E-2</v>
      </c>
      <c r="I244" s="29">
        <f>AVERAGE(F243:F244)</f>
        <v>3.7205000000000004</v>
      </c>
      <c r="J244" s="29">
        <f>AVERAGE(G243:G244)</f>
        <v>3.5500000000000004E-2</v>
      </c>
      <c r="L244">
        <f>+J244/I244</f>
        <v>9.5417282623303321E-3</v>
      </c>
      <c r="M244">
        <f>+(L244-$L$619)/$L$620</f>
        <v>-0.28235162961575222</v>
      </c>
      <c r="N244">
        <f>+N242+M244</f>
        <v>-17.66434185744329</v>
      </c>
    </row>
    <row r="245" spans="1:14">
      <c r="A245" s="16">
        <v>2</v>
      </c>
      <c r="B245" s="74">
        <v>40134</v>
      </c>
      <c r="C245" s="16">
        <v>2009</v>
      </c>
      <c r="D245" s="11" t="s">
        <v>37</v>
      </c>
      <c r="E245" s="12">
        <v>11</v>
      </c>
      <c r="F245" s="25">
        <v>2.2709999999999999</v>
      </c>
      <c r="G245" s="27">
        <v>0.22800000000000001</v>
      </c>
    </row>
    <row r="246" spans="1:14">
      <c r="A246" s="16">
        <v>16</v>
      </c>
      <c r="B246" s="74">
        <v>40133</v>
      </c>
      <c r="C246" s="16">
        <v>2009</v>
      </c>
      <c r="D246" s="11" t="s">
        <v>37</v>
      </c>
      <c r="E246" s="12">
        <v>11</v>
      </c>
      <c r="F246" s="25">
        <v>3.33</v>
      </c>
      <c r="G246" s="27">
        <v>8.3000000000000004E-2</v>
      </c>
      <c r="I246" s="29">
        <f>AVERAGE(F245:F246)</f>
        <v>2.8005</v>
      </c>
      <c r="J246" s="29">
        <f>AVERAGE(G245:G246)</f>
        <v>0.1555</v>
      </c>
      <c r="L246">
        <f>+J246/I246</f>
        <v>5.552579896447063E-2</v>
      </c>
      <c r="M246">
        <f>+(L246-$L$619)/$L$620</f>
        <v>0.43732163513129424</v>
      </c>
      <c r="N246">
        <f>+N244+M246</f>
        <v>-17.227020222311996</v>
      </c>
    </row>
    <row r="247" spans="1:14">
      <c r="A247" s="16">
        <v>2</v>
      </c>
      <c r="B247" s="74">
        <v>40161</v>
      </c>
      <c r="C247" s="16">
        <v>2009</v>
      </c>
      <c r="D247" s="11" t="s">
        <v>38</v>
      </c>
      <c r="E247" s="12">
        <v>12</v>
      </c>
      <c r="F247" s="25">
        <v>4.7210000000000001</v>
      </c>
      <c r="G247" s="27">
        <v>0.14399999999999999</v>
      </c>
    </row>
    <row r="248" spans="1:14">
      <c r="A248" s="16">
        <v>16</v>
      </c>
      <c r="B248" s="74">
        <v>40161</v>
      </c>
      <c r="C248" s="16">
        <v>2009</v>
      </c>
      <c r="D248" s="11" t="s">
        <v>38</v>
      </c>
      <c r="E248" s="12">
        <v>12</v>
      </c>
      <c r="F248" s="25">
        <v>5.6890000000000001</v>
      </c>
      <c r="G248" s="27">
        <v>0.32600000000000001</v>
      </c>
      <c r="I248" s="29">
        <f>AVERAGE(F247:F248)</f>
        <v>5.2050000000000001</v>
      </c>
      <c r="J248" s="29">
        <f>AVERAGE(G247:G248)</f>
        <v>0.23499999999999999</v>
      </c>
      <c r="L248">
        <f>+J248/I248</f>
        <v>4.5148895292987511E-2</v>
      </c>
      <c r="M248">
        <f>+(L248-$L$619)/$L$620</f>
        <v>0.27491800210812484</v>
      </c>
      <c r="N248">
        <f>+N246+M248</f>
        <v>-16.952102220203869</v>
      </c>
    </row>
    <row r="249" spans="1:14">
      <c r="A249" s="16">
        <v>2</v>
      </c>
      <c r="B249" s="71">
        <v>40198</v>
      </c>
      <c r="C249" s="16">
        <v>2010</v>
      </c>
      <c r="D249" s="11" t="s">
        <v>39</v>
      </c>
      <c r="E249" s="16">
        <v>1</v>
      </c>
      <c r="F249" s="28">
        <v>8.5489999999999995</v>
      </c>
      <c r="G249" s="29">
        <v>0.16344762499999999</v>
      </c>
    </row>
    <row r="250" spans="1:14">
      <c r="A250" s="16">
        <v>16</v>
      </c>
      <c r="B250" s="71">
        <v>40198</v>
      </c>
      <c r="C250" s="16">
        <v>2010</v>
      </c>
      <c r="D250" s="11" t="s">
        <v>39</v>
      </c>
      <c r="E250" s="16">
        <v>1</v>
      </c>
      <c r="F250" s="28">
        <v>3.5960000000000001</v>
      </c>
      <c r="G250" s="29">
        <v>9.3088875000000001E-2</v>
      </c>
      <c r="I250" s="29">
        <f>AVERAGE(F249:F250)</f>
        <v>6.0724999999999998</v>
      </c>
      <c r="J250" s="29">
        <f>AVERAGE(G249:G250)</f>
        <v>0.12826825</v>
      </c>
      <c r="L250">
        <f>+J250/I250</f>
        <v>2.1122807739810623E-2</v>
      </c>
      <c r="M250">
        <f>+(L250-$L$619)/$L$620</f>
        <v>-0.10110205450005173</v>
      </c>
      <c r="N250">
        <f>+N248+M250</f>
        <v>-17.053204274703923</v>
      </c>
    </row>
    <row r="251" spans="1:14">
      <c r="A251" s="16">
        <v>2</v>
      </c>
      <c r="B251" s="71">
        <v>40225</v>
      </c>
      <c r="C251" s="16">
        <v>2010</v>
      </c>
      <c r="D251" s="11" t="s">
        <v>28</v>
      </c>
      <c r="E251" s="16">
        <v>2</v>
      </c>
      <c r="F251" s="28">
        <v>8.0310000000000006</v>
      </c>
      <c r="G251" s="29">
        <v>0.41410862499999995</v>
      </c>
    </row>
    <row r="252" spans="1:14">
      <c r="A252" s="16">
        <v>16</v>
      </c>
      <c r="B252" s="71">
        <v>40225</v>
      </c>
      <c r="C252" s="16">
        <v>2010</v>
      </c>
      <c r="D252" s="11" t="s">
        <v>28</v>
      </c>
      <c r="E252" s="16">
        <v>2</v>
      </c>
      <c r="F252" s="28">
        <v>5.2069999999999999</v>
      </c>
      <c r="G252" s="29">
        <v>0</v>
      </c>
      <c r="I252" s="29">
        <f>AVERAGE(F251:F252)</f>
        <v>6.6189999999999998</v>
      </c>
      <c r="J252" s="29">
        <f>AVERAGE(G251:G252)</f>
        <v>0.20705431249999998</v>
      </c>
      <c r="L252">
        <f>+J252/I252</f>
        <v>3.1281811829581507E-2</v>
      </c>
      <c r="M252">
        <f>+(L252-$L$619)/$L$620</f>
        <v>5.7891343175020038E-2</v>
      </c>
      <c r="N252">
        <f>+N250+M252</f>
        <v>-16.995312931528904</v>
      </c>
    </row>
    <row r="253" spans="1:14">
      <c r="A253" s="16">
        <v>2</v>
      </c>
      <c r="B253" s="71">
        <v>40254</v>
      </c>
      <c r="C253" s="16">
        <v>2010</v>
      </c>
      <c r="D253" s="11" t="s">
        <v>29</v>
      </c>
      <c r="E253" s="16">
        <v>3</v>
      </c>
      <c r="F253" s="28">
        <v>1.774</v>
      </c>
      <c r="G253" s="29">
        <v>5.6615249999999992E-2</v>
      </c>
    </row>
    <row r="254" spans="1:14">
      <c r="A254" s="16">
        <v>16</v>
      </c>
      <c r="B254" s="71">
        <v>40254</v>
      </c>
      <c r="C254" s="16">
        <v>2010</v>
      </c>
      <c r="D254" s="11" t="s">
        <v>29</v>
      </c>
      <c r="E254" s="16">
        <v>3</v>
      </c>
      <c r="F254" s="28">
        <v>1.786</v>
      </c>
      <c r="G254" s="29">
        <v>1.9764999999999998E-2</v>
      </c>
      <c r="I254" s="29">
        <f>AVERAGE(F253:F254)</f>
        <v>1.78</v>
      </c>
      <c r="J254" s="29">
        <f>AVERAGE(G253:G254)</f>
        <v>3.8190124999999991E-2</v>
      </c>
      <c r="L254">
        <f>+J254/I254</f>
        <v>2.1455126404494377E-2</v>
      </c>
      <c r="M254">
        <f>+(L254-$L$619)/$L$620</f>
        <v>-9.5901104373246088E-2</v>
      </c>
      <c r="N254">
        <f>+N252+M254</f>
        <v>-17.091214035902151</v>
      </c>
    </row>
    <row r="255" spans="1:14">
      <c r="A255" s="16">
        <v>2</v>
      </c>
      <c r="B255" s="71">
        <v>40282</v>
      </c>
      <c r="C255" s="16">
        <v>2010</v>
      </c>
      <c r="D255" s="11" t="s">
        <v>30</v>
      </c>
      <c r="E255" s="16">
        <v>4</v>
      </c>
      <c r="F255" s="28">
        <v>1.8720000000000001</v>
      </c>
      <c r="G255" s="29">
        <v>1.1188249999999999E-2</v>
      </c>
    </row>
    <row r="256" spans="1:14">
      <c r="A256" s="16">
        <v>16</v>
      </c>
      <c r="B256" s="71">
        <v>40282</v>
      </c>
      <c r="C256" s="16">
        <v>2010</v>
      </c>
      <c r="D256" s="11" t="s">
        <v>30</v>
      </c>
      <c r="E256" s="16">
        <v>4</v>
      </c>
      <c r="F256" s="28">
        <v>2.0350000000000001</v>
      </c>
      <c r="G256" s="29">
        <v>0.125948</v>
      </c>
      <c r="I256" s="29">
        <f>AVERAGE(F255:F256)</f>
        <v>1.9535</v>
      </c>
      <c r="J256" s="29">
        <f>AVERAGE(G255:G256)</f>
        <v>6.8568125000000008E-2</v>
      </c>
      <c r="L256">
        <f>+J256/I256</f>
        <v>3.5100140772971591E-2</v>
      </c>
      <c r="M256">
        <f>+(L256-$L$619)/$L$620</f>
        <v>0.11765006428449722</v>
      </c>
      <c r="N256">
        <f>+N254+M256</f>
        <v>-16.973563971617654</v>
      </c>
    </row>
    <row r="257" spans="1:14">
      <c r="A257" s="16">
        <v>2</v>
      </c>
      <c r="B257" s="74">
        <v>40315</v>
      </c>
      <c r="C257" s="16">
        <v>2010</v>
      </c>
      <c r="D257" s="11" t="s">
        <v>31</v>
      </c>
      <c r="E257" s="16">
        <v>5</v>
      </c>
      <c r="F257" s="30">
        <v>1.4510000000000001</v>
      </c>
      <c r="G257" s="29">
        <v>3.6204874999999997E-2</v>
      </c>
    </row>
    <row r="258" spans="1:14">
      <c r="A258" s="16">
        <v>16</v>
      </c>
      <c r="B258" s="74">
        <v>40315</v>
      </c>
      <c r="C258" s="16">
        <v>2010</v>
      </c>
      <c r="D258" s="11" t="s">
        <v>31</v>
      </c>
      <c r="E258" s="16">
        <v>5</v>
      </c>
      <c r="F258" s="30">
        <v>3.1819999999999999</v>
      </c>
      <c r="G258" s="29">
        <v>7.8933624999999993E-2</v>
      </c>
      <c r="I258" s="29">
        <f>AVERAGE(F257:F258)</f>
        <v>2.3165</v>
      </c>
      <c r="J258" s="29">
        <f>AVERAGE(G257:G258)</f>
        <v>5.7569249999999995E-2</v>
      </c>
      <c r="L258">
        <f>+J258/I258</f>
        <v>2.485182387222102E-2</v>
      </c>
      <c r="M258">
        <f>+(L258-$L$619)/$L$620</f>
        <v>-4.274112269630681E-2</v>
      </c>
      <c r="N258">
        <f>+N256+M258</f>
        <v>-17.01630509431396</v>
      </c>
    </row>
    <row r="259" spans="1:14">
      <c r="A259" s="16">
        <v>2</v>
      </c>
      <c r="B259" s="74">
        <v>40344</v>
      </c>
      <c r="C259" s="16">
        <v>2010</v>
      </c>
      <c r="D259" s="11" t="s">
        <v>32</v>
      </c>
      <c r="E259" s="16">
        <v>6</v>
      </c>
      <c r="F259" s="30">
        <v>6.09</v>
      </c>
      <c r="G259" s="29">
        <v>0.15124800000000002</v>
      </c>
    </row>
    <row r="260" spans="1:14">
      <c r="A260" s="16">
        <v>16</v>
      </c>
      <c r="B260" s="74">
        <v>40344</v>
      </c>
      <c r="C260" s="16">
        <v>2010</v>
      </c>
      <c r="D260" s="11" t="s">
        <v>32</v>
      </c>
      <c r="E260" s="16">
        <v>6</v>
      </c>
      <c r="F260" s="30">
        <v>8.3989999999999991</v>
      </c>
      <c r="G260" s="29">
        <v>0.1656985</v>
      </c>
      <c r="I260" s="29">
        <f>AVERAGE(F259:F260)</f>
        <v>7.2444999999999995</v>
      </c>
      <c r="J260" s="29">
        <f>AVERAGE(G259:G260)</f>
        <v>0.15847325000000001</v>
      </c>
      <c r="L260">
        <f>+J260/I260</f>
        <v>2.1874974118296642E-2</v>
      </c>
      <c r="M260">
        <f>+(L260-$L$619)/$L$620</f>
        <v>-8.9330281688889956E-2</v>
      </c>
      <c r="N260">
        <f>+N258+M260</f>
        <v>-17.105635376002851</v>
      </c>
    </row>
    <row r="261" spans="1:14">
      <c r="A261" s="16">
        <v>2</v>
      </c>
      <c r="B261" s="74">
        <v>40371</v>
      </c>
      <c r="C261" s="16">
        <v>2010</v>
      </c>
      <c r="D261" s="11" t="s">
        <v>33</v>
      </c>
      <c r="E261" s="16">
        <v>7</v>
      </c>
      <c r="F261" s="30">
        <v>9.2140000000000004</v>
      </c>
      <c r="G261" s="29">
        <v>0.70648687499999985</v>
      </c>
    </row>
    <row r="262" spans="1:14">
      <c r="A262" s="16">
        <v>16</v>
      </c>
      <c r="B262" s="74">
        <v>40371</v>
      </c>
      <c r="C262" s="16">
        <v>2010</v>
      </c>
      <c r="D262" s="11" t="s">
        <v>33</v>
      </c>
      <c r="E262" s="16">
        <v>7</v>
      </c>
      <c r="F262" s="30">
        <v>13.456</v>
      </c>
      <c r="G262" s="29">
        <v>0.22884624999999997</v>
      </c>
      <c r="I262" s="29">
        <f>AVERAGE(F261:F262)</f>
        <v>11.335000000000001</v>
      </c>
      <c r="J262" s="29">
        <f>AVERAGE(G261:G262)</f>
        <v>0.46766656249999994</v>
      </c>
      <c r="L262">
        <f>+J262/I262</f>
        <v>4.1258629245699154E-2</v>
      </c>
      <c r="M262">
        <f>+(L262-$L$619)/$L$620</f>
        <v>0.2140334300326846</v>
      </c>
      <c r="N262">
        <f>+N260+M262</f>
        <v>-16.891601945970166</v>
      </c>
    </row>
    <row r="263" spans="1:14">
      <c r="A263" s="16">
        <v>2</v>
      </c>
      <c r="B263" s="74">
        <v>40407</v>
      </c>
      <c r="C263" s="16">
        <v>2010</v>
      </c>
      <c r="D263" s="11" t="s">
        <v>34</v>
      </c>
      <c r="E263" s="16">
        <v>8</v>
      </c>
      <c r="F263" s="30">
        <v>10.113</v>
      </c>
      <c r="G263" s="29">
        <v>0.35030887499999996</v>
      </c>
    </row>
    <row r="264" spans="1:14">
      <c r="A264" s="16">
        <v>16</v>
      </c>
      <c r="B264" s="74">
        <v>40407</v>
      </c>
      <c r="C264" s="16">
        <v>2010</v>
      </c>
      <c r="D264" s="11" t="s">
        <v>34</v>
      </c>
      <c r="E264" s="16">
        <v>8</v>
      </c>
      <c r="F264" s="30">
        <v>10.69</v>
      </c>
      <c r="G264" s="29">
        <v>0.18240324999999999</v>
      </c>
      <c r="I264" s="29">
        <f>AVERAGE(F263:F264)</f>
        <v>10.401499999999999</v>
      </c>
      <c r="J264" s="29">
        <f>AVERAGE(G263:G264)</f>
        <v>0.26635606249999999</v>
      </c>
      <c r="L264">
        <f>+J264/I264</f>
        <v>2.5607466471182044E-2</v>
      </c>
      <c r="M264">
        <f>+(L264-$L$619)/$L$620</f>
        <v>-3.0914945329392842E-2</v>
      </c>
      <c r="N264">
        <f>+N262+M264</f>
        <v>-16.922516891299558</v>
      </c>
    </row>
    <row r="265" spans="1:14">
      <c r="A265" s="16">
        <v>2</v>
      </c>
      <c r="B265" s="74">
        <v>40436</v>
      </c>
      <c r="C265" s="16">
        <v>2010</v>
      </c>
      <c r="D265" s="11" t="s">
        <v>40</v>
      </c>
      <c r="E265" s="16">
        <v>9</v>
      </c>
      <c r="F265" s="30">
        <v>15.021000000000001</v>
      </c>
      <c r="G265" s="29">
        <v>0</v>
      </c>
    </row>
    <row r="266" spans="1:14">
      <c r="A266" s="16">
        <v>16</v>
      </c>
      <c r="B266" s="74">
        <v>40436</v>
      </c>
      <c r="C266" s="16">
        <v>2010</v>
      </c>
      <c r="D266" s="11" t="s">
        <v>40</v>
      </c>
      <c r="E266" s="16">
        <v>9</v>
      </c>
      <c r="F266" s="30">
        <v>12.462999999999999</v>
      </c>
      <c r="G266" s="29">
        <v>0.23630837499999999</v>
      </c>
      <c r="I266" s="29">
        <f>AVERAGE(F265:F266)</f>
        <v>13.742000000000001</v>
      </c>
      <c r="J266" s="29">
        <f>AVERAGE(G265:G266)</f>
        <v>0.11815418749999999</v>
      </c>
      <c r="L266">
        <f>+J266/I266</f>
        <v>8.5980343108717789E-3</v>
      </c>
      <c r="M266">
        <f>+(L266-$L$619)/$L$620</f>
        <v>-0.29712090290100329</v>
      </c>
      <c r="N266">
        <f>+N264+M266</f>
        <v>-17.219637794200562</v>
      </c>
    </row>
    <row r="267" spans="1:14">
      <c r="A267" s="16">
        <v>2</v>
      </c>
      <c r="B267" s="74">
        <v>40464</v>
      </c>
      <c r="C267" s="16">
        <v>2010</v>
      </c>
      <c r="D267" s="11" t="s">
        <v>36</v>
      </c>
      <c r="E267" s="16">
        <v>10</v>
      </c>
      <c r="F267" s="28">
        <v>3.5270000000000001</v>
      </c>
      <c r="G267" s="29">
        <v>0</v>
      </c>
    </row>
    <row r="268" spans="1:14">
      <c r="A268" s="16">
        <v>16</v>
      </c>
      <c r="B268" s="74">
        <v>40464</v>
      </c>
      <c r="C268" s="16">
        <v>2010</v>
      </c>
      <c r="D268" s="11" t="s">
        <v>36</v>
      </c>
      <c r="E268" s="16">
        <v>10</v>
      </c>
      <c r="F268" s="28">
        <v>2.2570000000000001</v>
      </c>
      <c r="G268" s="29">
        <v>3.1358999999999998E-2</v>
      </c>
      <c r="I268" s="29">
        <f>AVERAGE(F267:F268)</f>
        <v>2.8920000000000003</v>
      </c>
      <c r="J268" s="29">
        <f>AVERAGE(G267:G268)</f>
        <v>1.5679499999999999E-2</v>
      </c>
      <c r="L268">
        <f>+J268/I268</f>
        <v>5.4216804979253103E-3</v>
      </c>
      <c r="M268">
        <f>+(L268-$L$619)/$L$620</f>
        <v>-0.34683239828735057</v>
      </c>
      <c r="N268">
        <f>+N266+M268</f>
        <v>-17.566470192487913</v>
      </c>
    </row>
    <row r="269" spans="1:14">
      <c r="A269" s="16">
        <v>2</v>
      </c>
      <c r="B269" s="74">
        <v>40498</v>
      </c>
      <c r="C269" s="16">
        <v>2010</v>
      </c>
      <c r="D269" s="11" t="s">
        <v>37</v>
      </c>
      <c r="E269" s="16">
        <v>11</v>
      </c>
      <c r="F269" s="28">
        <v>0.999</v>
      </c>
      <c r="G269" s="29">
        <v>0</v>
      </c>
    </row>
    <row r="270" spans="1:14">
      <c r="A270" s="16">
        <v>16</v>
      </c>
      <c r="B270" s="74">
        <v>40498</v>
      </c>
      <c r="C270" s="16">
        <v>2010</v>
      </c>
      <c r="D270" s="11" t="s">
        <v>37</v>
      </c>
      <c r="E270" s="16">
        <v>11</v>
      </c>
      <c r="F270" s="28">
        <v>1.748</v>
      </c>
      <c r="G270" s="29">
        <v>0</v>
      </c>
      <c r="I270" s="29">
        <f>AVERAGE(F269:F270)</f>
        <v>1.3734999999999999</v>
      </c>
      <c r="J270" s="29">
        <f>AVERAGE(G269:G270)</f>
        <v>0</v>
      </c>
      <c r="L270">
        <f>+J270/I270</f>
        <v>0</v>
      </c>
      <c r="M270">
        <f>+(L270-$L$619)/$L$620</f>
        <v>-0.43168435777635011</v>
      </c>
      <c r="N270">
        <f>+N268+M270</f>
        <v>-17.998154550264264</v>
      </c>
    </row>
    <row r="271" spans="1:14">
      <c r="A271" s="16">
        <v>2</v>
      </c>
      <c r="B271" s="74">
        <v>40520</v>
      </c>
      <c r="C271" s="16">
        <v>2010</v>
      </c>
      <c r="D271" s="11" t="s">
        <v>38</v>
      </c>
      <c r="E271" s="16">
        <v>12</v>
      </c>
      <c r="F271" s="28">
        <v>3.78</v>
      </c>
      <c r="G271" s="29">
        <v>3.0404750000000005E-2</v>
      </c>
    </row>
    <row r="272" spans="1:14">
      <c r="A272" s="16">
        <v>16</v>
      </c>
      <c r="B272" s="74">
        <v>40520</v>
      </c>
      <c r="C272" s="16">
        <v>2010</v>
      </c>
      <c r="D272" s="11" t="s">
        <v>38</v>
      </c>
      <c r="E272" s="16">
        <v>12</v>
      </c>
      <c r="F272" s="28">
        <v>2.7549999999999999</v>
      </c>
      <c r="G272" s="29">
        <v>5.2001375000000002E-2</v>
      </c>
      <c r="I272" s="29">
        <f>AVERAGE(F271:F272)</f>
        <v>3.2675000000000001</v>
      </c>
      <c r="J272" s="29">
        <f>AVERAGE(G271:G272)</f>
        <v>4.1203062500000005E-2</v>
      </c>
      <c r="L272">
        <f>+J272/I272</f>
        <v>1.2609965570007653E-2</v>
      </c>
      <c r="M272">
        <f>+(L272-$L$619)/$L$620</f>
        <v>-0.23433221057523543</v>
      </c>
      <c r="N272">
        <f>+N270+M272</f>
        <v>-18.2324867608395</v>
      </c>
    </row>
    <row r="273" spans="1:14">
      <c r="A273" s="16">
        <v>2</v>
      </c>
      <c r="B273" s="74">
        <v>40562</v>
      </c>
      <c r="C273" s="16">
        <v>2011</v>
      </c>
      <c r="D273" s="11" t="s">
        <v>39</v>
      </c>
      <c r="E273" s="16">
        <v>1</v>
      </c>
      <c r="F273" s="28">
        <v>6.5730000000000004</v>
      </c>
      <c r="G273" s="29">
        <v>4.8624500000000001E-2</v>
      </c>
    </row>
    <row r="274" spans="1:14">
      <c r="A274" s="16">
        <v>16</v>
      </c>
      <c r="B274" s="74">
        <v>40562</v>
      </c>
      <c r="C274" s="16">
        <v>2011</v>
      </c>
      <c r="D274" s="11" t="s">
        <v>39</v>
      </c>
      <c r="E274" s="16">
        <v>1</v>
      </c>
      <c r="F274" s="28">
        <v>4.1449999999999996</v>
      </c>
      <c r="G274" s="29">
        <v>4.5679749999999991E-2</v>
      </c>
      <c r="I274" s="29"/>
      <c r="J274" s="29"/>
    </row>
    <row r="275" spans="1:14">
      <c r="A275" s="16">
        <v>16</v>
      </c>
      <c r="B275" s="74">
        <v>40562</v>
      </c>
      <c r="C275" s="16">
        <v>2011</v>
      </c>
      <c r="D275" s="11" t="s">
        <v>39</v>
      </c>
      <c r="E275" s="16">
        <v>1</v>
      </c>
      <c r="F275" s="28">
        <v>4.1449999999999996</v>
      </c>
      <c r="G275" s="29">
        <v>7.1068999999999979E-2</v>
      </c>
      <c r="H275" t="s">
        <v>41</v>
      </c>
      <c r="I275" s="29">
        <f>AVERAGE(F273:F275)</f>
        <v>4.9543333333333335</v>
      </c>
      <c r="J275" s="29">
        <f>AVERAGE(G273:G275)</f>
        <v>5.5124416666666655E-2</v>
      </c>
      <c r="L275">
        <f>+J275/I275</f>
        <v>1.1126505416134021E-2</v>
      </c>
      <c r="M275">
        <f>+(L275-$L$619)/$L$620</f>
        <v>-0.25754908971966273</v>
      </c>
      <c r="N275">
        <f>+N272+M275</f>
        <v>-18.490035850559163</v>
      </c>
    </row>
    <row r="276" spans="1:14">
      <c r="A276" s="16">
        <v>2</v>
      </c>
      <c r="B276" s="74">
        <v>40591</v>
      </c>
      <c r="C276" s="16">
        <v>2011</v>
      </c>
      <c r="D276" s="11" t="s">
        <v>28</v>
      </c>
      <c r="E276" s="16">
        <v>2</v>
      </c>
      <c r="F276" s="28">
        <v>3.4020000000000001</v>
      </c>
      <c r="G276" s="29">
        <v>6.7142999999999994E-2</v>
      </c>
    </row>
    <row r="277" spans="1:14">
      <c r="A277" s="16">
        <v>16</v>
      </c>
      <c r="B277" s="74">
        <v>40591</v>
      </c>
      <c r="C277" s="16">
        <v>2011</v>
      </c>
      <c r="D277" s="11" t="s">
        <v>28</v>
      </c>
      <c r="E277" s="16">
        <v>2</v>
      </c>
      <c r="F277" s="28">
        <v>3.0339999999999998</v>
      </c>
      <c r="G277" s="29">
        <v>2.7748124999999998E-2</v>
      </c>
      <c r="I277" s="29">
        <f>AVERAGE(F276:F277)</f>
        <v>3.218</v>
      </c>
      <c r="J277" s="29">
        <f>AVERAGE(G276:G277)</f>
        <v>4.7445562499999996E-2</v>
      </c>
      <c r="L277">
        <f>+J277/I277</f>
        <v>1.4743804381603479E-2</v>
      </c>
      <c r="M277">
        <f>+(L277-$L$619)/$L$620</f>
        <v>-0.20093658638327694</v>
      </c>
      <c r="N277">
        <f>+N275+M277</f>
        <v>-18.690972436942442</v>
      </c>
    </row>
    <row r="278" spans="1:14">
      <c r="A278" s="16">
        <v>2</v>
      </c>
      <c r="B278" s="74">
        <v>40619</v>
      </c>
      <c r="C278" s="16">
        <v>2011</v>
      </c>
      <c r="D278" s="11" t="s">
        <v>29</v>
      </c>
      <c r="E278" s="16">
        <v>3</v>
      </c>
      <c r="F278" s="28">
        <v>8.7029999999999994</v>
      </c>
      <c r="G278" s="29">
        <v>1.7127625000000004E-2</v>
      </c>
    </row>
    <row r="279" spans="1:14">
      <c r="A279" s="16">
        <v>16</v>
      </c>
      <c r="B279" s="74">
        <v>40619</v>
      </c>
      <c r="C279" s="16">
        <v>2011</v>
      </c>
      <c r="D279" s="11" t="s">
        <v>29</v>
      </c>
      <c r="E279" s="16">
        <v>3</v>
      </c>
      <c r="F279" s="28">
        <v>2.177</v>
      </c>
      <c r="G279" s="29">
        <v>3.4391999999999999E-2</v>
      </c>
      <c r="I279" s="29">
        <f>AVERAGE(F278:F279)</f>
        <v>5.4399999999999995</v>
      </c>
      <c r="J279" s="29">
        <f>AVERAGE(G278:G279)</f>
        <v>2.57598125E-2</v>
      </c>
      <c r="L279">
        <f>+J279/I279</f>
        <v>4.7352596507352941E-3</v>
      </c>
      <c r="M279">
        <f>+(L279-$L$619)/$L$620</f>
        <v>-0.35757522128115482</v>
      </c>
      <c r="N279">
        <f>+N277+M279</f>
        <v>-19.048547658223598</v>
      </c>
    </row>
    <row r="280" spans="1:14">
      <c r="A280" s="16">
        <v>2</v>
      </c>
      <c r="B280" s="74">
        <v>40646</v>
      </c>
      <c r="C280" s="16">
        <v>2011</v>
      </c>
      <c r="D280" s="11" t="s">
        <v>30</v>
      </c>
      <c r="E280" s="16">
        <v>4</v>
      </c>
      <c r="F280" s="28">
        <v>2.101</v>
      </c>
      <c r="G280" s="29">
        <v>0</v>
      </c>
    </row>
    <row r="281" spans="1:14">
      <c r="A281" s="16">
        <v>16</v>
      </c>
      <c r="B281" s="74">
        <v>40646</v>
      </c>
      <c r="C281" s="16">
        <v>2011</v>
      </c>
      <c r="D281" s="11" t="s">
        <v>30</v>
      </c>
      <c r="E281" s="16">
        <v>4</v>
      </c>
      <c r="F281" s="28">
        <v>1.5069999999999999</v>
      </c>
      <c r="G281" s="29">
        <v>8.1073500000000007E-2</v>
      </c>
      <c r="I281" s="29">
        <f>AVERAGE(F280:F281)</f>
        <v>1.8039999999999998</v>
      </c>
      <c r="J281" s="29">
        <f>AVERAGE(G280:G281)</f>
        <v>4.0536750000000003E-2</v>
      </c>
      <c r="L281">
        <f>+J281/I281</f>
        <v>2.2470482261640803E-2</v>
      </c>
      <c r="M281">
        <f>+(L281-$L$619)/$L$620</f>
        <v>-8.0010287109027828E-2</v>
      </c>
      <c r="N281">
        <f>+N279+M281</f>
        <v>-19.128557945332627</v>
      </c>
    </row>
    <row r="282" spans="1:14">
      <c r="A282" s="16">
        <v>2</v>
      </c>
      <c r="B282" s="74">
        <v>40681</v>
      </c>
      <c r="C282" s="16">
        <v>2011</v>
      </c>
      <c r="D282" s="11" t="s">
        <v>31</v>
      </c>
      <c r="E282" s="16">
        <v>5</v>
      </c>
      <c r="F282" s="28">
        <v>4.0069999999999997</v>
      </c>
      <c r="G282" s="29">
        <v>6.4599124999999979E-2</v>
      </c>
    </row>
    <row r="283" spans="1:14">
      <c r="A283" s="16">
        <v>16</v>
      </c>
      <c r="B283" s="74">
        <v>40681</v>
      </c>
      <c r="C283" s="16">
        <v>2011</v>
      </c>
      <c r="D283" s="11" t="s">
        <v>31</v>
      </c>
      <c r="E283" s="16">
        <v>5</v>
      </c>
      <c r="F283" s="28">
        <v>4.7830000000000004</v>
      </c>
      <c r="G283" s="29">
        <v>0.21921187499999997</v>
      </c>
      <c r="I283" s="29">
        <f>AVERAGE(F282:F283)</f>
        <v>4.3949999999999996</v>
      </c>
      <c r="J283" s="29">
        <f>AVERAGE(G282:G283)</f>
        <v>0.14190549999999996</v>
      </c>
      <c r="L283">
        <f>+J283/I283</f>
        <v>3.2287940841865752E-2</v>
      </c>
      <c r="M283">
        <f>+(L283-$L$619)/$L$620</f>
        <v>7.3637755790761372E-2</v>
      </c>
      <c r="N283">
        <f>+N281+M283</f>
        <v>-19.054920189541864</v>
      </c>
    </row>
    <row r="284" spans="1:14">
      <c r="A284" s="16">
        <v>2</v>
      </c>
      <c r="B284" s="74">
        <v>40708</v>
      </c>
      <c r="C284" s="16">
        <v>2011</v>
      </c>
      <c r="D284" s="11" t="s">
        <v>32</v>
      </c>
      <c r="E284" s="16">
        <v>6</v>
      </c>
      <c r="F284" s="28">
        <v>10.315</v>
      </c>
      <c r="G284" s="29">
        <v>0.31901062499999999</v>
      </c>
    </row>
    <row r="285" spans="1:14">
      <c r="A285" s="16">
        <v>16</v>
      </c>
      <c r="B285" s="74">
        <v>40708</v>
      </c>
      <c r="C285" s="16">
        <v>2011</v>
      </c>
      <c r="D285" s="11" t="s">
        <v>32</v>
      </c>
      <c r="E285" s="16">
        <v>6</v>
      </c>
      <c r="F285" s="28">
        <v>9.5670000000000002</v>
      </c>
      <c r="G285" s="29">
        <v>4.6218250000000002E-2</v>
      </c>
      <c r="I285" s="29">
        <f>AVERAGE(F284:F285)</f>
        <v>9.9409999999999989</v>
      </c>
      <c r="J285" s="29">
        <f>AVERAGE(G284:G285)</f>
        <v>0.1826144375</v>
      </c>
      <c r="L285">
        <f>+J285/I285</f>
        <v>1.8369825721758378E-2</v>
      </c>
      <c r="M285">
        <f>+(L285-$L$619)/$L$620</f>
        <v>-0.14418757360415652</v>
      </c>
      <c r="N285">
        <f>+N283+M285</f>
        <v>-19.199107763146021</v>
      </c>
    </row>
    <row r="286" spans="1:14">
      <c r="A286" s="16">
        <v>2</v>
      </c>
      <c r="B286" s="74">
        <v>40735</v>
      </c>
      <c r="C286" s="16">
        <v>2011</v>
      </c>
      <c r="D286" s="11" t="s">
        <v>33</v>
      </c>
      <c r="E286" s="16">
        <v>7</v>
      </c>
      <c r="F286" s="28">
        <v>3.8050000000000002</v>
      </c>
      <c r="G286" s="29">
        <v>7.4171374999999984E-2</v>
      </c>
    </row>
    <row r="287" spans="1:14">
      <c r="A287" s="16">
        <v>16</v>
      </c>
      <c r="B287" s="74">
        <v>40735</v>
      </c>
      <c r="C287" s="16">
        <v>2011</v>
      </c>
      <c r="D287" s="11" t="s">
        <v>33</v>
      </c>
      <c r="E287" s="16">
        <v>7</v>
      </c>
      <c r="F287" s="28">
        <v>6.7519999999999998</v>
      </c>
      <c r="G287" s="29">
        <v>1.9534173750000001</v>
      </c>
      <c r="I287" s="29">
        <f>AVERAGE(F286:F287)</f>
        <v>5.2785000000000002</v>
      </c>
      <c r="J287" s="29">
        <f>AVERAGE(G286:G287)</f>
        <v>1.013794375</v>
      </c>
      <c r="L287">
        <f>+J287/I287</f>
        <v>0.19206107322155916</v>
      </c>
      <c r="M287">
        <f>+(L287-$L$619)/$L$620</f>
        <v>2.5741656569277116</v>
      </c>
      <c r="N287">
        <f>+N285+M287</f>
        <v>-16.62494210621831</v>
      </c>
    </row>
    <row r="288" spans="1:14">
      <c r="A288" s="16">
        <v>2</v>
      </c>
      <c r="B288" s="74">
        <v>40771</v>
      </c>
      <c r="C288" s="16">
        <v>2011</v>
      </c>
      <c r="D288" s="11" t="s">
        <v>34</v>
      </c>
      <c r="E288" s="16">
        <v>8</v>
      </c>
      <c r="F288" s="28">
        <v>15.933999999999999</v>
      </c>
      <c r="G288" s="29">
        <v>0.37619537500000005</v>
      </c>
    </row>
    <row r="289" spans="1:14">
      <c r="A289" s="16">
        <v>16</v>
      </c>
      <c r="B289" s="74">
        <v>40771</v>
      </c>
      <c r="C289" s="16">
        <v>2011</v>
      </c>
      <c r="D289" s="11" t="s">
        <v>34</v>
      </c>
      <c r="E289" s="16">
        <v>8</v>
      </c>
      <c r="F289" s="28">
        <v>12.702</v>
      </c>
      <c r="G289" s="29">
        <v>9.6066124999999988E-2</v>
      </c>
      <c r="I289" s="29">
        <f>AVERAGE(F288:F289)</f>
        <v>14.318</v>
      </c>
      <c r="J289" s="29">
        <f>AVERAGE(G288:G289)</f>
        <v>0.23613075000000003</v>
      </c>
      <c r="L289">
        <f>+J289/I289</f>
        <v>1.6491880849280629E-2</v>
      </c>
      <c r="M289">
        <f>+(L289-$L$619)/$L$620</f>
        <v>-0.1735783321158455</v>
      </c>
      <c r="N289">
        <f>+N287+M289</f>
        <v>-16.798520438334155</v>
      </c>
    </row>
    <row r="290" spans="1:14">
      <c r="A290" s="16">
        <v>2</v>
      </c>
      <c r="B290" s="74">
        <v>40799</v>
      </c>
      <c r="C290" s="16">
        <v>2011</v>
      </c>
      <c r="D290" s="11" t="s">
        <v>40</v>
      </c>
      <c r="E290" s="16">
        <v>9</v>
      </c>
      <c r="F290" s="28">
        <v>11.798999999999999</v>
      </c>
      <c r="G290" s="29">
        <v>0.15046449999999997</v>
      </c>
    </row>
    <row r="291" spans="1:14">
      <c r="A291" s="16">
        <v>16</v>
      </c>
      <c r="B291" s="74">
        <v>40799</v>
      </c>
      <c r="C291" s="16">
        <v>2011</v>
      </c>
      <c r="D291" s="11" t="s">
        <v>40</v>
      </c>
      <c r="E291" s="16">
        <v>9</v>
      </c>
      <c r="F291" s="28">
        <v>9.0269999999999992</v>
      </c>
      <c r="G291" s="29">
        <v>0</v>
      </c>
      <c r="I291" s="29">
        <f>AVERAGE(F290:F291)</f>
        <v>10.413</v>
      </c>
      <c r="J291" s="29">
        <f>AVERAGE(G290:G291)</f>
        <v>7.5232249999999987E-2</v>
      </c>
      <c r="L291">
        <f>+J291/I291</f>
        <v>7.2248391433784673E-3</v>
      </c>
      <c r="M291">
        <f>+(L291-$L$619)/$L$620</f>
        <v>-0.31861208091623677</v>
      </c>
      <c r="N291">
        <f>+N289+M291</f>
        <v>-17.11713251925039</v>
      </c>
    </row>
    <row r="292" spans="1:14">
      <c r="A292" s="16">
        <v>2</v>
      </c>
      <c r="B292" s="74">
        <v>40827</v>
      </c>
      <c r="C292" s="16">
        <v>2011</v>
      </c>
      <c r="D292" s="11" t="s">
        <v>36</v>
      </c>
      <c r="E292" s="16">
        <v>10</v>
      </c>
      <c r="F292" s="30">
        <v>8.0350000000000001</v>
      </c>
      <c r="G292" s="29">
        <v>3.4775749999999994E-2</v>
      </c>
    </row>
    <row r="293" spans="1:14">
      <c r="A293" s="16">
        <v>16</v>
      </c>
      <c r="B293" s="74">
        <v>40827</v>
      </c>
      <c r="C293" s="16">
        <v>2011</v>
      </c>
      <c r="D293" s="11" t="s">
        <v>36</v>
      </c>
      <c r="E293" s="16">
        <v>10</v>
      </c>
      <c r="F293" s="30">
        <v>3.6949999999999998</v>
      </c>
      <c r="G293" s="29">
        <v>0.11539912499999999</v>
      </c>
      <c r="I293" s="29">
        <f>AVERAGE(F292:F293)</f>
        <v>5.8650000000000002</v>
      </c>
      <c r="J293" s="29">
        <f>AVERAGE(G292:G293)</f>
        <v>7.5087437499999993E-2</v>
      </c>
      <c r="L293">
        <f>+J293/I293</f>
        <v>1.2802632139812444E-2</v>
      </c>
      <c r="M293">
        <f>+(L293-$L$619)/$L$620</f>
        <v>-0.23131688424196725</v>
      </c>
      <c r="N293">
        <f>+N291+M293</f>
        <v>-17.348449403492356</v>
      </c>
    </row>
    <row r="294" spans="1:14">
      <c r="A294" s="16">
        <v>2</v>
      </c>
      <c r="B294" s="75">
        <v>40862</v>
      </c>
      <c r="C294" s="16">
        <v>2011</v>
      </c>
      <c r="D294" s="11" t="s">
        <v>37</v>
      </c>
      <c r="E294" s="16">
        <v>11</v>
      </c>
      <c r="F294" s="30">
        <v>3.5640000000000001</v>
      </c>
      <c r="G294" s="29">
        <v>5.0587750000000001E-2</v>
      </c>
    </row>
    <row r="295" spans="1:14">
      <c r="A295" s="16">
        <v>16</v>
      </c>
      <c r="B295" s="75">
        <v>40862</v>
      </c>
      <c r="C295" s="16">
        <v>2011</v>
      </c>
      <c r="D295" s="11" t="s">
        <v>37</v>
      </c>
      <c r="E295" s="16">
        <v>11</v>
      </c>
      <c r="F295" s="30">
        <v>2.222</v>
      </c>
      <c r="G295" s="29">
        <v>4.2472249999999996E-2</v>
      </c>
      <c r="I295" s="29">
        <f>AVERAGE(F294:F295)</f>
        <v>2.8929999999999998</v>
      </c>
      <c r="J295" s="29">
        <f>AVERAGE(G294:G295)</f>
        <v>4.6530000000000002E-2</v>
      </c>
      <c r="L295">
        <f>+J295/I295</f>
        <v>1.6083650190114072E-2</v>
      </c>
      <c r="M295">
        <f>+(L295-$L$619)/$L$620</f>
        <v>-0.17996734219621144</v>
      </c>
      <c r="N295">
        <f>+N293+M295</f>
        <v>-17.528416745688567</v>
      </c>
    </row>
    <row r="296" spans="1:14">
      <c r="A296" s="16">
        <v>2</v>
      </c>
      <c r="B296" s="75">
        <v>40891</v>
      </c>
      <c r="C296" s="16">
        <v>2011</v>
      </c>
      <c r="D296" s="11" t="s">
        <v>38</v>
      </c>
      <c r="E296" s="16">
        <v>12</v>
      </c>
      <c r="F296" s="30">
        <v>1.893</v>
      </c>
      <c r="G296" s="29">
        <v>2.8561375000000003E-2</v>
      </c>
    </row>
    <row r="297" spans="1:14">
      <c r="A297" s="16">
        <v>16</v>
      </c>
      <c r="B297" s="75">
        <v>40890</v>
      </c>
      <c r="C297" s="16">
        <v>2011</v>
      </c>
      <c r="D297" s="11" t="s">
        <v>38</v>
      </c>
      <c r="E297" s="16">
        <v>12</v>
      </c>
      <c r="F297" s="30">
        <v>0.53800000000000003</v>
      </c>
      <c r="G297" s="29">
        <v>7.4596375000000006E-2</v>
      </c>
      <c r="I297" s="29"/>
      <c r="J297" s="29"/>
    </row>
    <row r="298" spans="1:14">
      <c r="A298" s="16">
        <v>16</v>
      </c>
      <c r="B298" s="75">
        <v>40890</v>
      </c>
      <c r="C298" s="16">
        <v>2011</v>
      </c>
      <c r="D298" s="11" t="s">
        <v>38</v>
      </c>
      <c r="E298" s="16">
        <v>12</v>
      </c>
      <c r="F298" s="30">
        <v>0.53800000000000003</v>
      </c>
      <c r="G298" s="29">
        <v>6.8961624999999999E-2</v>
      </c>
      <c r="H298" t="s">
        <v>41</v>
      </c>
      <c r="I298" s="29">
        <f>AVERAGE(F296:F298)</f>
        <v>0.98966666666666681</v>
      </c>
      <c r="J298" s="29">
        <f>AVERAGE(G296:G298)</f>
        <v>5.7373125000000004E-2</v>
      </c>
      <c r="L298">
        <f>+J298/I298</f>
        <v>5.7972170764567191E-2</v>
      </c>
      <c r="M298">
        <f>+(L298-$L$619)/$L$620</f>
        <v>0.47560855391159818</v>
      </c>
      <c r="N298">
        <f>+N295+M298</f>
        <v>-17.052808191776968</v>
      </c>
    </row>
    <row r="299" spans="1:14">
      <c r="A299" s="16">
        <v>2</v>
      </c>
      <c r="B299" s="74">
        <v>40917</v>
      </c>
      <c r="C299" s="16">
        <v>2012</v>
      </c>
      <c r="D299" s="11" t="s">
        <v>39</v>
      </c>
      <c r="E299" s="16">
        <v>1</v>
      </c>
      <c r="F299" s="32">
        <v>2.3969999999999998</v>
      </c>
      <c r="G299" s="29">
        <v>3.3167875000000006E-2</v>
      </c>
      <c r="I299" s="29"/>
      <c r="J299" s="29"/>
    </row>
    <row r="300" spans="1:14">
      <c r="A300" s="16">
        <v>16</v>
      </c>
      <c r="B300" s="74">
        <v>40917</v>
      </c>
      <c r="C300" s="16">
        <v>2012</v>
      </c>
      <c r="D300" s="11" t="s">
        <v>39</v>
      </c>
      <c r="E300" s="16">
        <v>1</v>
      </c>
      <c r="F300" s="32">
        <v>1.5760000000000001</v>
      </c>
      <c r="G300" s="29">
        <v>3.9474124999999999E-2</v>
      </c>
      <c r="I300" s="29">
        <f>AVERAGE(F299:F300)</f>
        <v>1.9864999999999999</v>
      </c>
      <c r="J300" s="29">
        <f>AVERAGE(G299:G300)</f>
        <v>3.6321000000000006E-2</v>
      </c>
      <c r="L300">
        <f>+J300/I300</f>
        <v>1.8283916435942616E-2</v>
      </c>
      <c r="M300">
        <f>+(L300-$L$619)/$L$620</f>
        <v>-0.14553209607141687</v>
      </c>
      <c r="N300">
        <f>+N298+M300</f>
        <v>-17.198340287848385</v>
      </c>
    </row>
    <row r="301" spans="1:14">
      <c r="A301" s="16">
        <v>2</v>
      </c>
      <c r="B301" s="74">
        <v>40962</v>
      </c>
      <c r="C301" s="16">
        <v>2012</v>
      </c>
      <c r="D301" s="11" t="s">
        <v>28</v>
      </c>
      <c r="E301" s="16">
        <v>2</v>
      </c>
      <c r="F301" s="32">
        <v>2.3370000000000002</v>
      </c>
      <c r="G301" s="29">
        <v>2.7399749999999997E-2</v>
      </c>
    </row>
    <row r="302" spans="1:14">
      <c r="A302" s="16">
        <v>16</v>
      </c>
      <c r="B302" s="74">
        <v>40962</v>
      </c>
      <c r="C302" s="16">
        <v>2012</v>
      </c>
      <c r="D302" s="11" t="s">
        <v>28</v>
      </c>
      <c r="E302" s="16">
        <v>2</v>
      </c>
      <c r="F302" s="32">
        <v>2.4569999999999999</v>
      </c>
      <c r="G302" s="29">
        <v>2.6955874999999997E-2</v>
      </c>
      <c r="I302" s="29">
        <f>AVERAGE(F301:F302)</f>
        <v>2.3970000000000002</v>
      </c>
      <c r="J302" s="29">
        <f>AVERAGE(G301:G302)</f>
        <v>2.7177812499999995E-2</v>
      </c>
      <c r="L302">
        <f>+J302/I302</f>
        <v>1.1338261368377135E-2</v>
      </c>
      <c r="M302">
        <f>+(L302-$L$619)/$L$620</f>
        <v>-0.25423500518661751</v>
      </c>
      <c r="N302">
        <f>+N300+M302</f>
        <v>-17.452575293035004</v>
      </c>
    </row>
    <row r="303" spans="1:14">
      <c r="A303" s="16">
        <v>2</v>
      </c>
      <c r="B303" s="74">
        <v>40980</v>
      </c>
      <c r="C303" s="16">
        <v>2012</v>
      </c>
      <c r="D303" s="11" t="s">
        <v>29</v>
      </c>
      <c r="E303" s="16">
        <v>3</v>
      </c>
      <c r="F303" s="32">
        <v>2.5830000000000002</v>
      </c>
      <c r="G303" s="29">
        <v>1.4937875000000001E-2</v>
      </c>
    </row>
    <row r="304" spans="1:14">
      <c r="A304" s="16">
        <v>16</v>
      </c>
      <c r="B304" s="74">
        <v>40980</v>
      </c>
      <c r="C304" s="16">
        <v>2012</v>
      </c>
      <c r="D304" s="11" t="s">
        <v>29</v>
      </c>
      <c r="E304" s="16">
        <v>3</v>
      </c>
      <c r="F304" s="32">
        <v>2.71</v>
      </c>
      <c r="G304" s="29">
        <v>0</v>
      </c>
    </row>
    <row r="305" spans="1:14">
      <c r="A305" s="16">
        <v>16</v>
      </c>
      <c r="B305" s="74">
        <v>40980</v>
      </c>
      <c r="C305" s="16">
        <v>2012</v>
      </c>
      <c r="D305" s="11" t="s">
        <v>29</v>
      </c>
      <c r="E305" s="16">
        <v>3</v>
      </c>
      <c r="F305" s="32">
        <v>2.71</v>
      </c>
      <c r="G305" s="29">
        <v>0.125015875</v>
      </c>
      <c r="H305" t="s">
        <v>41</v>
      </c>
      <c r="I305" s="29">
        <f>AVERAGE(F303:F305)</f>
        <v>2.6676666666666669</v>
      </c>
      <c r="J305" s="29">
        <f>AVERAGE(G303:G305)</f>
        <v>4.6651249999999998E-2</v>
      </c>
      <c r="L305">
        <f>+J305/I305</f>
        <v>1.748766087717106E-2</v>
      </c>
      <c r="M305">
        <f>+(L305-$L$619)/$L$620</f>
        <v>-0.15799388618273552</v>
      </c>
      <c r="N305">
        <f>+N302+M305</f>
        <v>-17.610569179217741</v>
      </c>
    </row>
    <row r="306" spans="1:14">
      <c r="A306" s="16">
        <v>2</v>
      </c>
      <c r="B306" s="74">
        <v>41015</v>
      </c>
      <c r="C306" s="16">
        <v>2012</v>
      </c>
      <c r="D306" s="11" t="s">
        <v>30</v>
      </c>
      <c r="E306" s="16">
        <v>4</v>
      </c>
      <c r="F306" s="28">
        <v>2.3580000000000001</v>
      </c>
      <c r="G306" s="29">
        <v>9.2269375000000015E-2</v>
      </c>
    </row>
    <row r="307" spans="1:14">
      <c r="A307" s="16">
        <v>16</v>
      </c>
      <c r="B307" s="74">
        <v>41015</v>
      </c>
      <c r="C307" s="16">
        <v>2012</v>
      </c>
      <c r="D307" s="11" t="s">
        <v>30</v>
      </c>
      <c r="E307" s="16">
        <v>4</v>
      </c>
      <c r="F307" s="28">
        <v>1.37</v>
      </c>
      <c r="G307" s="29">
        <v>0.16525937499999999</v>
      </c>
      <c r="I307" s="29">
        <f>AVERAGE(F306:F307)</f>
        <v>1.8640000000000001</v>
      </c>
      <c r="J307" s="29">
        <f>AVERAGE(G306:G307)</f>
        <v>0.12876437499999999</v>
      </c>
      <c r="L307">
        <f>+J307/I307</f>
        <v>6.9079600321888396E-2</v>
      </c>
      <c r="M307">
        <f>+(L307-$L$619)/$L$620</f>
        <v>0.64944527541988195</v>
      </c>
      <c r="N307">
        <f>+N305+M307</f>
        <v>-16.961123903797859</v>
      </c>
    </row>
    <row r="308" spans="1:14">
      <c r="A308" s="16">
        <v>2</v>
      </c>
      <c r="B308" s="74">
        <v>41045</v>
      </c>
      <c r="C308" s="16">
        <v>2012</v>
      </c>
      <c r="D308" s="11" t="s">
        <v>31</v>
      </c>
      <c r="E308" s="16">
        <v>5</v>
      </c>
      <c r="F308" s="28">
        <v>4.6139999999999999</v>
      </c>
      <c r="G308" s="29">
        <v>0.14553474999999996</v>
      </c>
    </row>
    <row r="309" spans="1:14">
      <c r="A309" s="16">
        <v>16</v>
      </c>
      <c r="B309" s="74">
        <v>41045</v>
      </c>
      <c r="C309" s="16">
        <v>2012</v>
      </c>
      <c r="D309" s="11" t="s">
        <v>31</v>
      </c>
      <c r="E309" s="16">
        <v>5</v>
      </c>
      <c r="F309" s="28">
        <v>3.7370000000000001</v>
      </c>
      <c r="G309" s="29">
        <v>0.28593362499999997</v>
      </c>
      <c r="I309" s="29">
        <f>AVERAGE(F308:F309)</f>
        <v>4.1754999999999995</v>
      </c>
      <c r="J309" s="29">
        <f>AVERAGE(G308:G309)</f>
        <v>0.21573418749999995</v>
      </c>
      <c r="L309">
        <f>+J309/I309</f>
        <v>5.1666671656089083E-2</v>
      </c>
      <c r="M309">
        <f>+(L309-$L$619)/$L$620</f>
        <v>0.37692439959537716</v>
      </c>
      <c r="N309">
        <f>+N307+M309</f>
        <v>-16.584199504202481</v>
      </c>
    </row>
    <row r="310" spans="1:14">
      <c r="A310" s="16">
        <v>2</v>
      </c>
      <c r="B310" s="74">
        <v>41073</v>
      </c>
      <c r="C310" s="16">
        <v>2012</v>
      </c>
      <c r="D310" s="11" t="s">
        <v>32</v>
      </c>
      <c r="E310" s="16">
        <v>6</v>
      </c>
      <c r="F310" s="28">
        <v>9.9949999999999992</v>
      </c>
      <c r="G310" s="29">
        <v>7.2381249999999994E-2</v>
      </c>
    </row>
    <row r="311" spans="1:14">
      <c r="A311" s="16">
        <v>16</v>
      </c>
      <c r="B311" s="74">
        <v>41073</v>
      </c>
      <c r="C311" s="16">
        <v>2012</v>
      </c>
      <c r="D311" s="11" t="s">
        <v>32</v>
      </c>
      <c r="E311" s="16">
        <v>6</v>
      </c>
      <c r="F311" s="28">
        <v>12.074999999999999</v>
      </c>
      <c r="G311" s="29">
        <v>0.76928300000000005</v>
      </c>
      <c r="I311" s="29">
        <f>AVERAGE(F310:F312)</f>
        <v>10.615</v>
      </c>
      <c r="J311" s="29">
        <f>AVERAGE(G310:G312)</f>
        <v>0.41510695833333333</v>
      </c>
      <c r="L311">
        <f>+J311/I311</f>
        <v>3.9105695556602288E-2</v>
      </c>
      <c r="M311">
        <f>+(L311-$L$619)/$L$620</f>
        <v>0.18033896164052185</v>
      </c>
      <c r="N311">
        <f>+N309+M311</f>
        <v>-16.403860542561958</v>
      </c>
    </row>
    <row r="312" spans="1:14">
      <c r="A312" s="16">
        <v>2</v>
      </c>
      <c r="B312" s="74">
        <v>41107</v>
      </c>
      <c r="C312" s="16">
        <v>2012</v>
      </c>
      <c r="D312" s="11" t="s">
        <v>33</v>
      </c>
      <c r="E312" s="16">
        <v>7</v>
      </c>
      <c r="F312" s="28">
        <v>9.7750000000000004</v>
      </c>
      <c r="G312" s="29">
        <v>0.40365662499999994</v>
      </c>
    </row>
    <row r="313" spans="1:14">
      <c r="A313" s="16">
        <v>2</v>
      </c>
      <c r="B313" s="74">
        <v>41107</v>
      </c>
      <c r="C313" s="16">
        <v>2012</v>
      </c>
      <c r="D313" s="11" t="s">
        <v>33</v>
      </c>
      <c r="E313" s="16">
        <v>7</v>
      </c>
      <c r="F313" s="28">
        <v>9.7750000000000004</v>
      </c>
      <c r="G313" s="29">
        <v>0</v>
      </c>
      <c r="H313" t="s">
        <v>41</v>
      </c>
    </row>
    <row r="314" spans="1:14">
      <c r="A314" s="16">
        <v>16</v>
      </c>
      <c r="B314" s="74">
        <v>41107</v>
      </c>
      <c r="C314" s="16">
        <v>2012</v>
      </c>
      <c r="D314" s="11" t="s">
        <v>33</v>
      </c>
      <c r="E314" s="16">
        <v>7</v>
      </c>
      <c r="F314" s="28">
        <v>6.5730000000000004</v>
      </c>
      <c r="G314" s="29">
        <v>0</v>
      </c>
      <c r="I314" s="29">
        <f>AVERAGE(F312:F314)</f>
        <v>8.7076666666666664</v>
      </c>
      <c r="J314" s="29">
        <f>AVERAGE(G312:G314)</f>
        <v>0.13455220833333331</v>
      </c>
      <c r="L314">
        <f>+J314/I314</f>
        <v>1.5452154231902918E-2</v>
      </c>
      <c r="M314">
        <f>+(L314-$L$619)/$L$620</f>
        <v>-0.1898505637331693</v>
      </c>
      <c r="N314">
        <f>+N311+M314</f>
        <v>-16.593711106295128</v>
      </c>
    </row>
    <row r="315" spans="1:14">
      <c r="A315" s="16">
        <v>2</v>
      </c>
      <c r="B315" s="74">
        <v>41135</v>
      </c>
      <c r="C315" s="16">
        <v>2012</v>
      </c>
      <c r="D315" s="11" t="s">
        <v>34</v>
      </c>
      <c r="E315" s="16">
        <v>8</v>
      </c>
      <c r="F315" s="28">
        <v>14.991</v>
      </c>
      <c r="G315" s="29">
        <v>0.10308912499999999</v>
      </c>
    </row>
    <row r="316" spans="1:14">
      <c r="A316" s="16">
        <v>2</v>
      </c>
      <c r="B316" s="74">
        <v>41135</v>
      </c>
      <c r="C316" s="16">
        <v>2012</v>
      </c>
      <c r="D316" s="11" t="s">
        <v>34</v>
      </c>
      <c r="E316" s="16">
        <v>8</v>
      </c>
      <c r="F316" s="28">
        <v>14.991</v>
      </c>
      <c r="G316" s="29">
        <v>0.1075995</v>
      </c>
      <c r="H316" t="s">
        <v>41</v>
      </c>
    </row>
    <row r="317" spans="1:14">
      <c r="A317" s="16">
        <v>16</v>
      </c>
      <c r="B317" s="74">
        <v>41135</v>
      </c>
      <c r="C317" s="16">
        <v>2012</v>
      </c>
      <c r="D317" s="11" t="s">
        <v>34</v>
      </c>
      <c r="E317" s="16">
        <v>8</v>
      </c>
      <c r="F317" s="28">
        <v>10.858000000000001</v>
      </c>
      <c r="G317" s="29">
        <v>3.2444499999999994E-2</v>
      </c>
      <c r="I317" s="29">
        <f>AVERAGE(F315:F317)</f>
        <v>13.613333333333335</v>
      </c>
      <c r="J317" s="29">
        <f>AVERAGE(G315:G317)</f>
        <v>8.1044374999999988E-2</v>
      </c>
      <c r="L317">
        <f>+J317/I317</f>
        <v>5.9533086434867761E-3</v>
      </c>
      <c r="M317">
        <f>+(L317-$L$619)/$L$620</f>
        <v>-0.33851215701019394</v>
      </c>
      <c r="N317">
        <f>+N314+M317</f>
        <v>-16.932223263305321</v>
      </c>
    </row>
    <row r="318" spans="1:14">
      <c r="A318" s="16">
        <v>2</v>
      </c>
      <c r="B318" s="74">
        <v>41164</v>
      </c>
      <c r="C318" s="16">
        <v>2012</v>
      </c>
      <c r="D318" s="11" t="s">
        <v>40</v>
      </c>
      <c r="E318" s="16">
        <v>9</v>
      </c>
      <c r="F318" s="28">
        <v>16.704000000000001</v>
      </c>
      <c r="G318" s="29">
        <v>0</v>
      </c>
    </row>
    <row r="319" spans="1:14">
      <c r="A319" s="16">
        <v>16</v>
      </c>
      <c r="B319" s="74">
        <v>41164</v>
      </c>
      <c r="C319" s="16">
        <v>2012</v>
      </c>
      <c r="D319" s="11" t="s">
        <v>40</v>
      </c>
      <c r="E319" s="16">
        <v>9</v>
      </c>
      <c r="F319" s="28">
        <v>8.1769999999999996</v>
      </c>
      <c r="G319" s="29">
        <v>5.661324999999999E-2</v>
      </c>
      <c r="I319" s="29">
        <f>AVERAGE(F318:F319)</f>
        <v>12.4405</v>
      </c>
      <c r="J319" s="29">
        <f>AVERAGE(G318:G319)</f>
        <v>2.8306624999999995E-2</v>
      </c>
      <c r="L319">
        <f>+J319/I319</f>
        <v>2.2753607170129812E-3</v>
      </c>
      <c r="M319">
        <f>+(L319-$L$619)/$L$620</f>
        <v>-0.39607384633866449</v>
      </c>
      <c r="N319">
        <f>+N317+M319</f>
        <v>-17.328297109643987</v>
      </c>
    </row>
    <row r="320" spans="1:14">
      <c r="A320" s="16">
        <v>2</v>
      </c>
      <c r="B320" s="74">
        <v>41200</v>
      </c>
      <c r="C320" s="16">
        <v>2012</v>
      </c>
      <c r="D320" s="11" t="s">
        <v>36</v>
      </c>
      <c r="E320" s="16">
        <v>10</v>
      </c>
      <c r="F320" s="28">
        <v>2.794</v>
      </c>
      <c r="G320" s="29">
        <v>0.150391</v>
      </c>
    </row>
    <row r="321" spans="1:14">
      <c r="A321" s="16">
        <v>16</v>
      </c>
      <c r="B321" s="74">
        <v>41200</v>
      </c>
      <c r="C321" s="16">
        <v>2012</v>
      </c>
      <c r="D321" s="11" t="s">
        <v>36</v>
      </c>
      <c r="E321" s="16">
        <v>10</v>
      </c>
      <c r="F321" s="28">
        <v>2.133</v>
      </c>
      <c r="G321" s="29">
        <v>2.861675E-2</v>
      </c>
      <c r="I321" s="29">
        <f>AVERAGE(F320:F321)</f>
        <v>2.4634999999999998</v>
      </c>
      <c r="J321" s="29">
        <f>AVERAGE(G320:G321)</f>
        <v>8.9503874999999997E-2</v>
      </c>
      <c r="L321">
        <f>+J321/I321</f>
        <v>3.6331997158514311E-2</v>
      </c>
      <c r="M321">
        <f>+(L321-$L$619)/$L$620</f>
        <v>0.13692922102608951</v>
      </c>
      <c r="N321">
        <f>+N319+M321</f>
        <v>-17.191367888617897</v>
      </c>
    </row>
    <row r="322" spans="1:14">
      <c r="A322" s="16">
        <v>2</v>
      </c>
      <c r="B322" s="74">
        <v>41226</v>
      </c>
      <c r="C322" s="16">
        <v>2012</v>
      </c>
      <c r="D322" s="11" t="s">
        <v>37</v>
      </c>
      <c r="E322" s="16">
        <v>11</v>
      </c>
      <c r="F322" s="28">
        <v>2.4950000000000001</v>
      </c>
      <c r="G322" s="29">
        <v>2.6190624999999999E-2</v>
      </c>
    </row>
    <row r="323" spans="1:14">
      <c r="A323" s="16">
        <v>16</v>
      </c>
      <c r="B323" s="74">
        <v>41226</v>
      </c>
      <c r="C323" s="16">
        <v>2012</v>
      </c>
      <c r="D323" s="11" t="s">
        <v>37</v>
      </c>
      <c r="E323" s="16">
        <v>11</v>
      </c>
      <c r="F323" s="28">
        <v>2.496</v>
      </c>
      <c r="G323" s="29">
        <v>0.22353124999999999</v>
      </c>
      <c r="I323" s="29">
        <f>AVERAGE(F322:F323)</f>
        <v>2.4954999999999998</v>
      </c>
      <c r="J323" s="29">
        <f>AVERAGE(G322:G323)</f>
        <v>0.12486093749999999</v>
      </c>
      <c r="L323">
        <f>+J323/I323</f>
        <v>5.0034436986575836E-2</v>
      </c>
      <c r="M323">
        <f>+(L323-$L$619)/$L$620</f>
        <v>0.35137912629735141</v>
      </c>
      <c r="N323">
        <f>+N321+M323</f>
        <v>-16.839988762320544</v>
      </c>
    </row>
    <row r="324" spans="1:14">
      <c r="A324" s="16">
        <v>2</v>
      </c>
      <c r="B324" s="74">
        <v>41254</v>
      </c>
      <c r="C324" s="16">
        <v>2012</v>
      </c>
      <c r="D324" s="11" t="s">
        <v>38</v>
      </c>
      <c r="E324" s="16">
        <v>12</v>
      </c>
      <c r="F324" s="28">
        <v>1.611</v>
      </c>
      <c r="G324" s="29">
        <v>9.2688749999999986E-2</v>
      </c>
    </row>
    <row r="325" spans="1:14">
      <c r="A325" s="16">
        <v>16</v>
      </c>
      <c r="B325" s="74">
        <v>41254</v>
      </c>
      <c r="C325" s="16">
        <v>2012</v>
      </c>
      <c r="D325" s="11" t="s">
        <v>38</v>
      </c>
      <c r="E325" s="16">
        <v>12</v>
      </c>
      <c r="F325" s="28">
        <v>0.92400000000000004</v>
      </c>
      <c r="G325" s="29">
        <v>0.12493099999999997</v>
      </c>
      <c r="I325" s="29">
        <f>AVERAGE(F324:F325)</f>
        <v>1.2675000000000001</v>
      </c>
      <c r="J325" s="29">
        <f>AVERAGE(G324:G325)</f>
        <v>0.10880987499999997</v>
      </c>
      <c r="L325">
        <f>+J325/I325</f>
        <v>8.5846055226824425E-2</v>
      </c>
      <c r="M325">
        <f>+(L325-$L$619)/$L$620</f>
        <v>0.91184851974831027</v>
      </c>
      <c r="N325">
        <f>+N323+M325</f>
        <v>-15.928140242572233</v>
      </c>
    </row>
    <row r="326" spans="1:14">
      <c r="A326" s="16">
        <v>2</v>
      </c>
      <c r="B326" s="74">
        <v>41288</v>
      </c>
      <c r="C326" s="16">
        <v>2013</v>
      </c>
      <c r="D326" s="11" t="s">
        <v>39</v>
      </c>
      <c r="E326" s="16">
        <v>1</v>
      </c>
      <c r="F326" s="28">
        <v>2.032</v>
      </c>
      <c r="G326" s="29">
        <v>0</v>
      </c>
    </row>
    <row r="327" spans="1:14">
      <c r="A327" s="16">
        <v>16</v>
      </c>
      <c r="B327" s="74">
        <v>41288</v>
      </c>
      <c r="C327" s="16">
        <v>2013</v>
      </c>
      <c r="D327" s="11" t="s">
        <v>39</v>
      </c>
      <c r="E327" s="16">
        <v>1</v>
      </c>
      <c r="F327" s="28">
        <v>2.7450000000000001</v>
      </c>
      <c r="G327" s="29">
        <v>0</v>
      </c>
      <c r="I327" s="29">
        <f>AVERAGE(F327:F328)</f>
        <v>5.3710000000000004</v>
      </c>
      <c r="J327" s="29">
        <f>AVERAGE(G327:G328)</f>
        <v>0</v>
      </c>
      <c r="L327">
        <f>+J327/I327</f>
        <v>0</v>
      </c>
      <c r="M327">
        <f>+(L327-$L$619)/$L$620</f>
        <v>-0.43168435777635011</v>
      </c>
      <c r="N327">
        <f>+N325+M327</f>
        <v>-16.359824600348585</v>
      </c>
    </row>
    <row r="328" spans="1:14">
      <c r="A328" s="16">
        <v>2</v>
      </c>
      <c r="B328" s="74">
        <v>41318</v>
      </c>
      <c r="C328" s="16">
        <v>2013</v>
      </c>
      <c r="D328" s="11" t="s">
        <v>28</v>
      </c>
      <c r="E328" s="16">
        <v>2</v>
      </c>
      <c r="F328" s="33">
        <v>7.9969999999999999</v>
      </c>
      <c r="G328" s="29">
        <v>0</v>
      </c>
    </row>
    <row r="329" spans="1:14">
      <c r="A329" s="16">
        <v>16</v>
      </c>
      <c r="B329" s="74">
        <v>41318</v>
      </c>
      <c r="C329" s="16">
        <v>2013</v>
      </c>
      <c r="D329" s="11" t="s">
        <v>28</v>
      </c>
      <c r="E329" s="16">
        <v>2</v>
      </c>
      <c r="F329" s="33">
        <v>8.891</v>
      </c>
      <c r="G329" s="29">
        <v>4.1467749999999998E-2</v>
      </c>
      <c r="I329" s="29">
        <f>AVERAGE(F329:F330)</f>
        <v>7.3365</v>
      </c>
      <c r="J329" s="29">
        <f>AVERAGE(G329:G330)</f>
        <v>4.8719562500000001E-2</v>
      </c>
      <c r="L329">
        <f>+J329/I329</f>
        <v>6.6407091256048528E-3</v>
      </c>
      <c r="M329">
        <f>+(L329-$L$619)/$L$620</f>
        <v>-0.3277540022491891</v>
      </c>
      <c r="N329">
        <f>+N327+M329</f>
        <v>-16.687578602597775</v>
      </c>
    </row>
    <row r="330" spans="1:14">
      <c r="A330" s="16">
        <v>2</v>
      </c>
      <c r="B330" s="74">
        <v>41344</v>
      </c>
      <c r="C330" s="16">
        <v>2013</v>
      </c>
      <c r="D330" s="11" t="s">
        <v>29</v>
      </c>
      <c r="E330" s="16">
        <v>3</v>
      </c>
      <c r="F330" s="33">
        <v>5.782</v>
      </c>
      <c r="G330" s="29">
        <v>5.5971375000000004E-2</v>
      </c>
    </row>
    <row r="331" spans="1:14">
      <c r="A331" s="16">
        <v>16</v>
      </c>
      <c r="B331" s="74">
        <v>41344</v>
      </c>
      <c r="C331" s="16">
        <v>2013</v>
      </c>
      <c r="D331" s="11" t="s">
        <v>29</v>
      </c>
      <c r="E331" s="16">
        <v>3</v>
      </c>
      <c r="F331" s="33">
        <v>6.2729999999999997</v>
      </c>
      <c r="G331" s="29">
        <v>4.2164374999999997E-2</v>
      </c>
      <c r="I331" s="29">
        <f>AVERAGE(F331:F332)</f>
        <v>3.371</v>
      </c>
      <c r="J331" s="29">
        <f>AVERAGE(G331:G332)</f>
        <v>5.0448812500000002E-2</v>
      </c>
      <c r="L331">
        <f>+J331/I331</f>
        <v>1.4965533224562445E-2</v>
      </c>
      <c r="M331">
        <f>+(L331-$L$619)/$L$620</f>
        <v>-0.19746642121815952</v>
      </c>
      <c r="N331">
        <f>+N329+M331</f>
        <v>-16.885045023815934</v>
      </c>
    </row>
    <row r="332" spans="1:14">
      <c r="A332" s="16">
        <v>2</v>
      </c>
      <c r="B332" s="74">
        <v>41381</v>
      </c>
      <c r="C332" s="16">
        <v>2013</v>
      </c>
      <c r="D332" s="11" t="s">
        <v>30</v>
      </c>
      <c r="E332" s="16">
        <v>4</v>
      </c>
      <c r="F332" s="34">
        <v>0.46899999999999997</v>
      </c>
      <c r="G332" s="29">
        <v>5.8733250000000008E-2</v>
      </c>
    </row>
    <row r="333" spans="1:14">
      <c r="A333" s="16">
        <v>16</v>
      </c>
      <c r="B333" s="74">
        <v>41379</v>
      </c>
      <c r="C333" s="16">
        <v>2013</v>
      </c>
      <c r="D333" s="11" t="s">
        <v>30</v>
      </c>
      <c r="E333" s="16">
        <v>4</v>
      </c>
      <c r="F333" s="34">
        <v>0.188</v>
      </c>
      <c r="G333" s="29">
        <v>0.28626825000000006</v>
      </c>
      <c r="I333" s="29">
        <f>AVERAGE(F333:F334)</f>
        <v>0.67199999999999993</v>
      </c>
      <c r="J333" s="29">
        <f>AVERAGE(G333:G334)</f>
        <v>0.36379962500000002</v>
      </c>
      <c r="L333">
        <f>+J333/I333</f>
        <v>0.54136848958333339</v>
      </c>
      <c r="M333">
        <f>+(L333-$L$619)/$L$620</f>
        <v>8.0409980816119671</v>
      </c>
      <c r="N333">
        <f>+N331+M333</f>
        <v>-8.8440469422039669</v>
      </c>
    </row>
    <row r="334" spans="1:14">
      <c r="A334" s="16">
        <v>2</v>
      </c>
      <c r="B334" s="74">
        <v>41408</v>
      </c>
      <c r="C334" s="16">
        <v>2013</v>
      </c>
      <c r="D334" s="11" t="s">
        <v>31</v>
      </c>
      <c r="E334" s="16">
        <v>5</v>
      </c>
      <c r="F334" s="34">
        <v>1.1559999999999999</v>
      </c>
      <c r="G334" s="29">
        <v>0.44133099999999997</v>
      </c>
      <c r="I334" s="29"/>
      <c r="J334" s="29"/>
    </row>
    <row r="335" spans="1:14">
      <c r="A335" s="16">
        <v>16</v>
      </c>
      <c r="B335" s="74">
        <v>41408</v>
      </c>
      <c r="C335" s="16">
        <v>2013</v>
      </c>
      <c r="D335" s="11" t="s">
        <v>31</v>
      </c>
      <c r="E335" s="16">
        <v>5</v>
      </c>
      <c r="F335" s="34">
        <v>0.72499999999999998</v>
      </c>
      <c r="G335" s="29">
        <v>0.90067375000000005</v>
      </c>
      <c r="I335" s="29">
        <f>AVERAGE(F334:F335)</f>
        <v>0.94049999999999989</v>
      </c>
      <c r="J335" s="29">
        <f>AVERAGE(G334:G335)</f>
        <v>0.67100237500000004</v>
      </c>
      <c r="L335">
        <f>+J335/I335</f>
        <v>0.7134528176501862</v>
      </c>
      <c r="M335">
        <f>+(L335-$L$619)/$L$620</f>
        <v>10.734202234716872</v>
      </c>
      <c r="N335">
        <f>+N333+M335</f>
        <v>1.8901552925129046</v>
      </c>
    </row>
    <row r="336" spans="1:14">
      <c r="A336" s="16">
        <v>2</v>
      </c>
      <c r="B336" s="74">
        <v>41436</v>
      </c>
      <c r="C336" s="16">
        <v>2013</v>
      </c>
      <c r="D336" s="11" t="s">
        <v>32</v>
      </c>
      <c r="E336" s="16">
        <v>6</v>
      </c>
      <c r="F336" s="34">
        <v>4.1029999999999998</v>
      </c>
      <c r="G336" s="29">
        <v>1.7550506249999998</v>
      </c>
    </row>
    <row r="337" spans="1:14">
      <c r="A337" s="16">
        <v>16</v>
      </c>
      <c r="B337" s="74">
        <v>41437</v>
      </c>
      <c r="C337" s="16">
        <v>2013</v>
      </c>
      <c r="D337" s="11" t="s">
        <v>32</v>
      </c>
      <c r="E337" s="16">
        <v>6</v>
      </c>
      <c r="F337" s="34">
        <v>3.2080000000000002</v>
      </c>
      <c r="G337" s="29">
        <v>0.15575749999999999</v>
      </c>
      <c r="I337" s="29">
        <f>AVERAGE(F336:F337)</f>
        <v>3.6555</v>
      </c>
      <c r="J337" s="29">
        <f>AVERAGE(G336:G337)</f>
        <v>0.95540406249999987</v>
      </c>
      <c r="L337">
        <f>+J337/I337</f>
        <v>0.26136070646970316</v>
      </c>
      <c r="M337">
        <f>+(L337-$L$619)/$L$620</f>
        <v>3.6587389133606929</v>
      </c>
      <c r="N337">
        <f>+N335+M337</f>
        <v>5.5488942058735979</v>
      </c>
    </row>
    <row r="338" spans="1:14">
      <c r="A338" s="16">
        <v>2</v>
      </c>
      <c r="B338" s="74">
        <v>41471</v>
      </c>
      <c r="C338" s="16">
        <v>2013</v>
      </c>
      <c r="D338" s="11" t="s">
        <v>33</v>
      </c>
      <c r="E338" s="16">
        <v>7</v>
      </c>
      <c r="F338" s="34">
        <v>7.593</v>
      </c>
      <c r="G338" s="29">
        <v>0.20189237499999999</v>
      </c>
    </row>
    <row r="339" spans="1:14">
      <c r="A339" s="16">
        <v>2</v>
      </c>
      <c r="B339" s="74">
        <v>41471</v>
      </c>
      <c r="C339" s="16">
        <v>2013</v>
      </c>
      <c r="D339" s="11" t="s">
        <v>33</v>
      </c>
      <c r="E339" s="16">
        <v>7</v>
      </c>
      <c r="F339" s="34">
        <v>7.593</v>
      </c>
      <c r="G339" s="29">
        <v>0</v>
      </c>
      <c r="H339" t="s">
        <v>41</v>
      </c>
    </row>
    <row r="340" spans="1:14">
      <c r="A340" s="16">
        <v>16</v>
      </c>
      <c r="B340" s="74">
        <v>41471</v>
      </c>
      <c r="C340" s="16">
        <v>2013</v>
      </c>
      <c r="D340" s="11" t="s">
        <v>33</v>
      </c>
      <c r="E340" s="16">
        <v>7</v>
      </c>
      <c r="F340" s="34">
        <v>10.65</v>
      </c>
      <c r="G340" s="29">
        <v>5.3848624999999983E-2</v>
      </c>
      <c r="I340" s="29">
        <f>AVERAGE(F338:F340)</f>
        <v>8.6120000000000001</v>
      </c>
      <c r="J340" s="29">
        <f>AVERAGE(G338:G340)</f>
        <v>8.5247000000000003E-2</v>
      </c>
      <c r="L340">
        <f>+J340/I340</f>
        <v>9.898629818857408E-3</v>
      </c>
      <c r="M340">
        <f>+(L340-$L$619)/$L$620</f>
        <v>-0.27676594517204789</v>
      </c>
      <c r="N340">
        <f>+N337+M340</f>
        <v>5.2721282607015496</v>
      </c>
    </row>
    <row r="341" spans="1:14">
      <c r="A341" s="16">
        <v>2</v>
      </c>
      <c r="B341" s="74">
        <v>41499</v>
      </c>
      <c r="C341" s="16">
        <v>2013</v>
      </c>
      <c r="D341" s="11" t="s">
        <v>34</v>
      </c>
      <c r="E341" s="16">
        <v>8</v>
      </c>
      <c r="F341" s="34">
        <v>6.907</v>
      </c>
      <c r="G341" s="29">
        <v>0</v>
      </c>
    </row>
    <row r="342" spans="1:14">
      <c r="A342" s="16">
        <v>16</v>
      </c>
      <c r="B342" s="74">
        <v>41499</v>
      </c>
      <c r="C342" s="16">
        <v>2013</v>
      </c>
      <c r="D342" s="11" t="s">
        <v>34</v>
      </c>
      <c r="E342" s="16">
        <v>8</v>
      </c>
      <c r="F342" s="34">
        <v>5.8710000000000004</v>
      </c>
      <c r="G342" s="29">
        <v>8.1372749999999994E-2</v>
      </c>
      <c r="I342" s="29">
        <f>AVERAGE(F341:F342)</f>
        <v>6.3890000000000002</v>
      </c>
      <c r="J342" s="29">
        <f>AVERAGE(G341:G342)</f>
        <v>4.0686374999999997E-2</v>
      </c>
      <c r="L342">
        <f>+J342/I342</f>
        <v>6.3681914227578648E-3</v>
      </c>
      <c r="M342">
        <f>+(L342-$L$619)/$L$620</f>
        <v>-0.3320190379868827</v>
      </c>
      <c r="N342">
        <f>+N340+M342</f>
        <v>4.9401092227146668</v>
      </c>
    </row>
    <row r="343" spans="1:14">
      <c r="A343" s="16">
        <v>2</v>
      </c>
      <c r="B343" s="74">
        <v>41533</v>
      </c>
      <c r="C343" s="16">
        <v>2013</v>
      </c>
      <c r="D343" s="11" t="s">
        <v>40</v>
      </c>
      <c r="E343" s="16">
        <v>9</v>
      </c>
      <c r="F343" s="34">
        <v>4.5720000000000001</v>
      </c>
      <c r="G343" s="29">
        <v>5.3491499999999997E-2</v>
      </c>
    </row>
    <row r="344" spans="1:14">
      <c r="A344" s="16">
        <v>16</v>
      </c>
      <c r="B344" s="74">
        <v>41533</v>
      </c>
      <c r="C344" s="16">
        <v>2013</v>
      </c>
      <c r="D344" s="11" t="s">
        <v>40</v>
      </c>
      <c r="E344" s="16">
        <v>9</v>
      </c>
      <c r="F344" s="34">
        <v>3.3290000000000002</v>
      </c>
      <c r="G344" s="29">
        <v>3.7790749999999991E-2</v>
      </c>
      <c r="I344" s="29">
        <f>AVERAGE(F343:F344)</f>
        <v>3.9504999999999999</v>
      </c>
      <c r="J344" s="29">
        <f>AVERAGE(G343:G344)</f>
        <v>4.5641124999999991E-2</v>
      </c>
      <c r="L344">
        <f>+J344/I344</f>
        <v>1.1553252752816098E-2</v>
      </c>
      <c r="M344">
        <f>+(L344-$L$619)/$L$620</f>
        <v>-0.25087028455251165</v>
      </c>
      <c r="N344">
        <f>+N342+M344</f>
        <v>4.6892389381621555</v>
      </c>
    </row>
    <row r="345" spans="1:14">
      <c r="A345" s="16">
        <v>2</v>
      </c>
      <c r="B345" s="74">
        <v>41569</v>
      </c>
      <c r="C345" s="16">
        <v>2013</v>
      </c>
      <c r="D345" s="11" t="s">
        <v>36</v>
      </c>
      <c r="E345" s="16">
        <v>10</v>
      </c>
      <c r="F345" s="28">
        <v>1.8440000000000001</v>
      </c>
      <c r="G345" s="29">
        <v>5.402912499999999E-2</v>
      </c>
    </row>
    <row r="346" spans="1:14">
      <c r="A346" s="16">
        <v>16</v>
      </c>
      <c r="B346" s="74">
        <v>41569</v>
      </c>
      <c r="C346" s="16">
        <v>2013</v>
      </c>
      <c r="D346" s="11" t="s">
        <v>36</v>
      </c>
      <c r="E346" s="16">
        <v>10</v>
      </c>
      <c r="F346" s="28">
        <v>1.95</v>
      </c>
      <c r="G346" s="29">
        <v>0</v>
      </c>
      <c r="I346" s="29">
        <f>AVERAGE(F345:F346)</f>
        <v>1.897</v>
      </c>
      <c r="J346" s="29">
        <f>AVERAGE(G345:G346)</f>
        <v>2.7014562499999995E-2</v>
      </c>
      <c r="L346">
        <f>+J346/I346</f>
        <v>1.4240676067474959E-2</v>
      </c>
      <c r="M346">
        <f>+(L346-$L$619)/$L$620</f>
        <v>-0.20881079131743682</v>
      </c>
      <c r="N346">
        <f>+N344+M346</f>
        <v>4.4804281468447185</v>
      </c>
    </row>
    <row r="347" spans="1:14">
      <c r="A347" s="16">
        <v>2</v>
      </c>
      <c r="B347" s="74">
        <v>41597</v>
      </c>
      <c r="C347" s="16">
        <v>2013</v>
      </c>
      <c r="D347" s="11" t="s">
        <v>37</v>
      </c>
      <c r="E347" s="16">
        <v>11</v>
      </c>
      <c r="F347" s="28">
        <v>0.54600000000000004</v>
      </c>
      <c r="G347" s="29">
        <v>0.11350887499999998</v>
      </c>
    </row>
    <row r="348" spans="1:14">
      <c r="A348" s="16">
        <v>16</v>
      </c>
      <c r="B348" s="74">
        <v>41597</v>
      </c>
      <c r="C348" s="16">
        <v>2013</v>
      </c>
      <c r="D348" s="11" t="s">
        <v>37</v>
      </c>
      <c r="E348" s="16">
        <v>11</v>
      </c>
      <c r="F348" s="28">
        <v>0.90700000000000003</v>
      </c>
      <c r="G348" s="29">
        <v>8.6924874999999999E-2</v>
      </c>
      <c r="I348" s="29">
        <f>AVERAGE(F348:F349)</f>
        <v>1.6074999999999999</v>
      </c>
      <c r="J348" s="29">
        <f>AVERAGE(G348:G349)</f>
        <v>7.0560437500000003E-2</v>
      </c>
      <c r="L348">
        <f>+J348/I348</f>
        <v>4.3894517884914469E-2</v>
      </c>
      <c r="M348">
        <f>+(L348-$L$619)/$L$620</f>
        <v>0.25528638031586692</v>
      </c>
      <c r="N348">
        <f>+N346+M348</f>
        <v>4.7357145271605852</v>
      </c>
    </row>
    <row r="349" spans="1:14">
      <c r="A349" s="16">
        <v>2</v>
      </c>
      <c r="B349" s="74">
        <v>41624</v>
      </c>
      <c r="C349" s="16">
        <v>2013</v>
      </c>
      <c r="D349" s="11" t="s">
        <v>38</v>
      </c>
      <c r="E349" s="16">
        <v>12</v>
      </c>
      <c r="F349" s="28">
        <v>2.3079999999999998</v>
      </c>
      <c r="G349" s="29">
        <v>5.4196000000000001E-2</v>
      </c>
    </row>
    <row r="350" spans="1:14">
      <c r="A350" s="16">
        <v>16</v>
      </c>
      <c r="B350" s="74">
        <v>41624</v>
      </c>
      <c r="C350" s="16">
        <v>2013</v>
      </c>
      <c r="D350" s="11" t="s">
        <v>38</v>
      </c>
      <c r="E350" s="16">
        <v>12</v>
      </c>
      <c r="F350" s="28">
        <v>2.0470000000000002</v>
      </c>
      <c r="G350" s="29">
        <v>2.2063124999999992E-2</v>
      </c>
      <c r="I350" s="29">
        <f>AVERAGE(F350:F351)</f>
        <v>2.1945000000000001</v>
      </c>
      <c r="J350" s="29">
        <f>AVERAGE(G350:G351)</f>
        <v>2.3479937499999996E-2</v>
      </c>
      <c r="L350">
        <f>+J350/I350</f>
        <v>1.0699447482342217E-2</v>
      </c>
      <c r="M350">
        <f>+(L350-$L$619)/$L$620</f>
        <v>-0.26423275588394973</v>
      </c>
      <c r="N350">
        <f>+N348+M350</f>
        <v>4.4714817712766353</v>
      </c>
    </row>
    <row r="351" spans="1:14">
      <c r="A351" s="16">
        <v>2</v>
      </c>
      <c r="B351" s="74">
        <v>41654</v>
      </c>
      <c r="C351" s="16">
        <v>2014</v>
      </c>
      <c r="D351" s="11" t="s">
        <v>39</v>
      </c>
      <c r="E351" s="16">
        <v>1</v>
      </c>
      <c r="F351" s="28">
        <v>2.3420000000000001</v>
      </c>
      <c r="G351" s="29">
        <v>2.4896749999999999E-2</v>
      </c>
    </row>
    <row r="352" spans="1:14">
      <c r="A352" s="16">
        <v>16</v>
      </c>
      <c r="B352" s="74">
        <v>41654</v>
      </c>
      <c r="C352" s="16">
        <v>2014</v>
      </c>
      <c r="D352" s="11" t="s">
        <v>39</v>
      </c>
      <c r="E352" s="16">
        <v>1</v>
      </c>
      <c r="F352" s="28">
        <v>2.7210000000000001</v>
      </c>
      <c r="G352" s="29">
        <v>1.6384250000000003E-2</v>
      </c>
      <c r="I352" s="29">
        <f>AVERAGE(F352:F353)</f>
        <v>3.4449999999999998</v>
      </c>
      <c r="J352" s="29">
        <f>AVERAGE(G352:G353)</f>
        <v>8.1921250000000015E-3</v>
      </c>
      <c r="L352">
        <f>+J352/I352</f>
        <v>2.3779753265602329E-3</v>
      </c>
      <c r="M352">
        <f>+(L352-$L$619)/$L$620</f>
        <v>-0.394467877359929</v>
      </c>
      <c r="N352">
        <f>+N350+M352</f>
        <v>4.077013893916706</v>
      </c>
    </row>
    <row r="353" spans="1:14">
      <c r="A353" s="16">
        <v>2</v>
      </c>
      <c r="B353" s="74">
        <v>41688</v>
      </c>
      <c r="C353" s="16">
        <v>2014</v>
      </c>
      <c r="D353" s="11" t="s">
        <v>28</v>
      </c>
      <c r="E353" s="16">
        <v>2</v>
      </c>
      <c r="F353" s="28">
        <v>4.1689999999999996</v>
      </c>
      <c r="G353" s="29">
        <v>0</v>
      </c>
    </row>
    <row r="354" spans="1:14">
      <c r="A354" s="16">
        <v>16</v>
      </c>
      <c r="B354" s="74">
        <v>41690</v>
      </c>
      <c r="C354" s="16">
        <v>2014</v>
      </c>
      <c r="D354" s="11" t="s">
        <v>28</v>
      </c>
      <c r="E354" s="16">
        <v>2</v>
      </c>
      <c r="F354" s="28">
        <v>4.2729999999999997</v>
      </c>
      <c r="G354" s="29">
        <v>0</v>
      </c>
      <c r="I354" s="29">
        <f>AVERAGE(F354:F355)</f>
        <v>2.8404999999999996</v>
      </c>
      <c r="J354" s="29">
        <f>AVERAGE(G354:G355)</f>
        <v>0.11047718749999999</v>
      </c>
      <c r="L354">
        <f>+J354/I354</f>
        <v>3.8893570674177085E-2</v>
      </c>
      <c r="M354">
        <f>+(L354-$L$619)/$L$620</f>
        <v>0.17701910316914202</v>
      </c>
      <c r="N354">
        <f>+N352+M354</f>
        <v>4.2540329970858481</v>
      </c>
    </row>
    <row r="355" spans="1:14">
      <c r="A355" s="16">
        <v>2</v>
      </c>
      <c r="B355" s="74">
        <v>41719</v>
      </c>
      <c r="C355" s="16">
        <v>2014</v>
      </c>
      <c r="D355" s="11" t="s">
        <v>29</v>
      </c>
      <c r="E355" s="16">
        <v>3</v>
      </c>
      <c r="F355" s="28">
        <v>1.4079999999999999</v>
      </c>
      <c r="G355" s="29">
        <v>0.22095437499999998</v>
      </c>
    </row>
    <row r="356" spans="1:14">
      <c r="A356" s="16">
        <v>16</v>
      </c>
      <c r="B356" s="74">
        <v>41719</v>
      </c>
      <c r="C356" s="16">
        <v>2014</v>
      </c>
      <c r="D356" s="11" t="s">
        <v>29</v>
      </c>
      <c r="E356" s="16">
        <v>3</v>
      </c>
      <c r="F356" s="28">
        <v>1.734</v>
      </c>
      <c r="G356" s="29">
        <v>7.3735750000000003E-2</v>
      </c>
      <c r="I356" s="29">
        <f>AVERAGE(F356:F357)</f>
        <v>3.5005000000000002</v>
      </c>
      <c r="J356" s="29">
        <f>AVERAGE(G356:G357)</f>
        <v>8.1671437499999999E-2</v>
      </c>
      <c r="L356">
        <f>+J356/I356</f>
        <v>2.3331363376660474E-2</v>
      </c>
      <c r="M356">
        <f>+(L356-$L$619)/$L$620</f>
        <v>-6.6537075339273652E-2</v>
      </c>
      <c r="N356">
        <f>+N354+M356</f>
        <v>4.1874959217465744</v>
      </c>
    </row>
    <row r="357" spans="1:14">
      <c r="A357" s="16">
        <v>2</v>
      </c>
      <c r="B357" s="74">
        <v>41747</v>
      </c>
      <c r="C357" s="16">
        <v>2014</v>
      </c>
      <c r="D357" s="11" t="s">
        <v>30</v>
      </c>
      <c r="E357" s="16">
        <v>4</v>
      </c>
      <c r="F357" s="35">
        <v>5.2670000000000003</v>
      </c>
      <c r="G357" s="29">
        <v>8.9607124999999982E-2</v>
      </c>
    </row>
    <row r="358" spans="1:14">
      <c r="A358" s="16">
        <v>16</v>
      </c>
      <c r="B358" s="74">
        <v>41747</v>
      </c>
      <c r="C358" s="16">
        <v>2014</v>
      </c>
      <c r="D358" s="11" t="s">
        <v>30</v>
      </c>
      <c r="E358" s="16">
        <v>4</v>
      </c>
      <c r="F358" s="35">
        <v>2.0419999999999998</v>
      </c>
      <c r="G358" s="29">
        <v>0.55776625000000002</v>
      </c>
      <c r="I358" s="29">
        <f>AVERAGE(F358:F359)</f>
        <v>2.306</v>
      </c>
      <c r="J358" s="29">
        <f>AVERAGE(G358:G359)</f>
        <v>0.36180325000000002</v>
      </c>
      <c r="L358">
        <f>+J358/I358</f>
        <v>0.15689646574154381</v>
      </c>
      <c r="M358">
        <f>+(L358-$L$619)/$L$620</f>
        <v>2.0238222992764028</v>
      </c>
      <c r="N358">
        <f>+N356+M358</f>
        <v>6.2113182210229771</v>
      </c>
    </row>
    <row r="359" spans="1:14">
      <c r="A359" s="16">
        <v>2</v>
      </c>
      <c r="B359" s="74">
        <v>41772</v>
      </c>
      <c r="C359" s="16">
        <v>2014</v>
      </c>
      <c r="D359" s="11" t="s">
        <v>31</v>
      </c>
      <c r="E359" s="16">
        <v>5</v>
      </c>
      <c r="F359" s="35">
        <v>2.57</v>
      </c>
      <c r="G359" s="29">
        <v>0.16584024999999997</v>
      </c>
    </row>
    <row r="360" spans="1:14">
      <c r="A360" s="16">
        <v>16</v>
      </c>
      <c r="B360" s="74">
        <v>41772</v>
      </c>
      <c r="C360" s="16">
        <v>2014</v>
      </c>
      <c r="D360" s="11" t="s">
        <v>31</v>
      </c>
      <c r="E360" s="16">
        <v>5</v>
      </c>
      <c r="F360" s="35">
        <v>1.5649999999999999</v>
      </c>
      <c r="G360" s="29">
        <v>0.55047175000000004</v>
      </c>
      <c r="I360" s="29">
        <f>AVERAGE(F360:F361)</f>
        <v>4.2640000000000002</v>
      </c>
      <c r="J360" s="29">
        <f>AVERAGE(G360:G361)</f>
        <v>0.40256381250000001</v>
      </c>
      <c r="L360">
        <f>+J360/I360</f>
        <v>9.4409899742026265E-2</v>
      </c>
      <c r="M360">
        <f>+(L360-$L$619)/$L$620</f>
        <v>1.0458768875490438</v>
      </c>
      <c r="N360">
        <f>+N358+M360</f>
        <v>7.257195108572021</v>
      </c>
    </row>
    <row r="361" spans="1:14">
      <c r="A361" s="16">
        <v>2</v>
      </c>
      <c r="B361" s="74">
        <v>41808</v>
      </c>
      <c r="C361" s="16">
        <v>2014</v>
      </c>
      <c r="D361" s="11" t="s">
        <v>32</v>
      </c>
      <c r="E361" s="16">
        <v>6</v>
      </c>
      <c r="F361" s="35">
        <v>6.9630000000000001</v>
      </c>
      <c r="G361" s="29">
        <v>0.25465587499999998</v>
      </c>
    </row>
    <row r="362" spans="1:14">
      <c r="A362" s="16">
        <v>2</v>
      </c>
      <c r="B362" s="74">
        <v>41808</v>
      </c>
      <c r="C362" s="16">
        <v>2014</v>
      </c>
      <c r="D362" s="11" t="s">
        <v>32</v>
      </c>
      <c r="E362" s="16">
        <v>6</v>
      </c>
      <c r="F362" s="35">
        <v>6.9630000000000001</v>
      </c>
      <c r="G362" s="29">
        <v>0.15112774999999998</v>
      </c>
      <c r="H362" t="s">
        <v>41</v>
      </c>
    </row>
    <row r="363" spans="1:14">
      <c r="A363" s="16">
        <v>16</v>
      </c>
      <c r="B363" s="74">
        <v>41808</v>
      </c>
      <c r="C363" s="16">
        <v>2014</v>
      </c>
      <c r="D363" s="11" t="s">
        <v>32</v>
      </c>
      <c r="E363" s="16">
        <v>6</v>
      </c>
      <c r="F363" s="35">
        <v>7.84</v>
      </c>
      <c r="G363" s="29">
        <v>4.952875000000001E-2</v>
      </c>
      <c r="I363" s="29">
        <f>AVERAGE(F361:F363)</f>
        <v>7.2553333333333327</v>
      </c>
      <c r="J363" s="29">
        <f>AVERAGE(G361:G363)</f>
        <v>0.15177079166666665</v>
      </c>
      <c r="L363">
        <f>+J363/I363</f>
        <v>2.0918513966737114E-2</v>
      </c>
      <c r="M363">
        <f>+(L363-$L$619)/$L$620</f>
        <v>-0.10429935226839526</v>
      </c>
      <c r="N363">
        <f>+N360+M363</f>
        <v>7.152895756303626</v>
      </c>
    </row>
    <row r="364" spans="1:14">
      <c r="A364" s="16">
        <v>2</v>
      </c>
      <c r="B364" s="74">
        <v>41834</v>
      </c>
      <c r="C364" s="16">
        <v>2014</v>
      </c>
      <c r="D364" s="11" t="s">
        <v>33</v>
      </c>
      <c r="E364" s="16">
        <v>7</v>
      </c>
      <c r="F364" s="35">
        <v>5.8369999999999997</v>
      </c>
      <c r="G364" s="29">
        <v>3.3527500000000002E-2</v>
      </c>
    </row>
    <row r="365" spans="1:14">
      <c r="A365" s="16">
        <v>16</v>
      </c>
      <c r="B365" s="74">
        <v>41834</v>
      </c>
      <c r="C365" s="16">
        <v>2014</v>
      </c>
      <c r="D365" s="11" t="s">
        <v>33</v>
      </c>
      <c r="E365" s="16">
        <v>7</v>
      </c>
      <c r="F365" s="35">
        <v>7.7990000000000004</v>
      </c>
      <c r="G365" s="29">
        <v>0</v>
      </c>
      <c r="I365" s="29">
        <f>AVERAGE(F365:F366)</f>
        <v>6.3004999999999995</v>
      </c>
      <c r="J365" s="29">
        <f>AVERAGE(G365:G366)</f>
        <v>0</v>
      </c>
      <c r="L365">
        <f>+J365/I365</f>
        <v>0</v>
      </c>
      <c r="M365">
        <f>+(L365-$L$619)/$L$620</f>
        <v>-0.43168435777635011</v>
      </c>
      <c r="N365">
        <f>+N363+M365</f>
        <v>6.7212113985272754</v>
      </c>
    </row>
    <row r="366" spans="1:14">
      <c r="A366" s="16">
        <v>2</v>
      </c>
      <c r="B366" s="74">
        <v>41864</v>
      </c>
      <c r="C366" s="16">
        <v>2014</v>
      </c>
      <c r="D366" s="11" t="s">
        <v>34</v>
      </c>
      <c r="E366" s="16">
        <v>8</v>
      </c>
      <c r="F366" s="35">
        <v>4.8019999999999996</v>
      </c>
      <c r="G366" s="29">
        <v>0</v>
      </c>
    </row>
    <row r="367" spans="1:14">
      <c r="A367" s="16">
        <v>16</v>
      </c>
      <c r="B367" s="74">
        <v>41862</v>
      </c>
      <c r="C367" s="16">
        <v>2014</v>
      </c>
      <c r="D367" s="11" t="s">
        <v>34</v>
      </c>
      <c r="E367" s="16">
        <v>8</v>
      </c>
      <c r="F367" s="35">
        <v>11.37</v>
      </c>
      <c r="G367" s="29">
        <v>4.3015749999999991E-2</v>
      </c>
      <c r="I367" s="29">
        <f>AVERAGE(F367:F368)</f>
        <v>8.5084999999999997</v>
      </c>
      <c r="J367" s="29">
        <f>AVERAGE(G367:G368)</f>
        <v>4.7552375000000001E-2</v>
      </c>
      <c r="L367">
        <f>+J367/I367</f>
        <v>5.5888082505729571E-3</v>
      </c>
      <c r="M367">
        <f>+(L367-$L$619)/$L$620</f>
        <v>-0.34421676697108755</v>
      </c>
      <c r="N367">
        <f>+N365+M367</f>
        <v>6.3769946315561876</v>
      </c>
    </row>
    <row r="368" spans="1:14">
      <c r="A368" s="16">
        <v>2</v>
      </c>
      <c r="B368" s="74">
        <v>41898</v>
      </c>
      <c r="C368" s="16">
        <v>2014</v>
      </c>
      <c r="D368" s="11" t="s">
        <v>40</v>
      </c>
      <c r="E368" s="16">
        <v>9</v>
      </c>
      <c r="F368" s="35">
        <v>5.6470000000000002</v>
      </c>
      <c r="G368" s="29">
        <v>5.208900000000001E-2</v>
      </c>
    </row>
    <row r="369" spans="1:14">
      <c r="A369" s="16">
        <v>16</v>
      </c>
      <c r="B369" s="74">
        <v>41898</v>
      </c>
      <c r="C369" s="16">
        <v>2014</v>
      </c>
      <c r="D369" s="11" t="s">
        <v>40</v>
      </c>
      <c r="E369" s="16">
        <v>9</v>
      </c>
      <c r="F369" s="35">
        <v>3.8079999999999998</v>
      </c>
    </row>
    <row r="370" spans="1:14">
      <c r="A370" s="16">
        <v>16</v>
      </c>
      <c r="B370" s="74">
        <v>41898</v>
      </c>
      <c r="C370" s="16">
        <v>2014</v>
      </c>
      <c r="D370" s="11" t="s">
        <v>40</v>
      </c>
      <c r="E370" s="16">
        <v>9</v>
      </c>
      <c r="F370" s="35">
        <v>3.8079999999999998</v>
      </c>
      <c r="H370" t="s">
        <v>41</v>
      </c>
      <c r="I370" s="29">
        <f>AVERAGE(F368:F370)</f>
        <v>4.4210000000000003</v>
      </c>
      <c r="J370" s="29">
        <f>AVERAGE(G368:G370)</f>
        <v>5.208900000000001E-2</v>
      </c>
      <c r="L370">
        <f>+J370/I370</f>
        <v>1.1782175978285457E-2</v>
      </c>
      <c r="M370">
        <f>+(L370-$L$619)/$L$620</f>
        <v>-0.24728752377178129</v>
      </c>
      <c r="N370">
        <f>+N367+M370</f>
        <v>6.1297071077844061</v>
      </c>
    </row>
    <row r="371" spans="1:14">
      <c r="A371" s="16">
        <v>2</v>
      </c>
      <c r="B371" s="74">
        <v>41929</v>
      </c>
      <c r="C371" s="16">
        <v>2014</v>
      </c>
      <c r="D371" s="11" t="s">
        <v>36</v>
      </c>
      <c r="E371" s="16">
        <v>10</v>
      </c>
      <c r="F371" s="28">
        <v>1.911</v>
      </c>
    </row>
    <row r="372" spans="1:14">
      <c r="A372" s="16">
        <v>16</v>
      </c>
      <c r="B372" s="74">
        <v>41929</v>
      </c>
      <c r="C372" s="16">
        <v>2014</v>
      </c>
      <c r="D372" s="11" t="s">
        <v>36</v>
      </c>
      <c r="E372" s="16">
        <v>10</v>
      </c>
      <c r="F372" s="28">
        <v>1.1919999999999999</v>
      </c>
      <c r="I372" s="29">
        <f>AVERAGE(F372:F373)</f>
        <v>0.96550000000000002</v>
      </c>
      <c r="J372" s="29"/>
      <c r="L372">
        <f>+J372/I372</f>
        <v>0</v>
      </c>
      <c r="M372">
        <f>+(L372-$L$619)/$L$620</f>
        <v>-0.43168435777635011</v>
      </c>
      <c r="N372">
        <f>+N370+M372</f>
        <v>5.6980227500080556</v>
      </c>
    </row>
    <row r="373" spans="1:14">
      <c r="A373" s="16">
        <v>2</v>
      </c>
      <c r="B373" s="74">
        <v>41953</v>
      </c>
      <c r="C373" s="16">
        <v>2014</v>
      </c>
      <c r="D373" s="11" t="s">
        <v>37</v>
      </c>
      <c r="E373" s="16">
        <v>11</v>
      </c>
      <c r="F373" s="28">
        <v>0.73899999999999999</v>
      </c>
    </row>
    <row r="374" spans="1:14">
      <c r="A374" s="16">
        <v>16</v>
      </c>
      <c r="B374" s="74">
        <v>41953</v>
      </c>
      <c r="C374" s="16">
        <v>2014</v>
      </c>
      <c r="D374" s="11" t="s">
        <v>37</v>
      </c>
      <c r="E374" s="16">
        <v>11</v>
      </c>
      <c r="F374" s="28">
        <v>0.96599999999999997</v>
      </c>
      <c r="I374" s="29">
        <f>AVERAGE(F374:F375)</f>
        <v>1.4449999999999998</v>
      </c>
      <c r="J374" s="29"/>
      <c r="L374">
        <f>+J374/I374</f>
        <v>0</v>
      </c>
      <c r="M374">
        <f>+(L374-$L$619)/$L$620</f>
        <v>-0.43168435777635011</v>
      </c>
      <c r="N374">
        <f>+N372+M374</f>
        <v>5.2663383922317051</v>
      </c>
    </row>
    <row r="375" spans="1:14">
      <c r="A375" s="16">
        <v>2</v>
      </c>
      <c r="B375" s="74">
        <v>41988</v>
      </c>
      <c r="C375" s="16">
        <v>2014</v>
      </c>
      <c r="D375" s="11" t="s">
        <v>38</v>
      </c>
      <c r="E375" s="16">
        <v>12</v>
      </c>
      <c r="F375" s="28">
        <v>1.9239999999999999</v>
      </c>
    </row>
    <row r="376" spans="1:14">
      <c r="A376" s="16">
        <v>16</v>
      </c>
      <c r="B376" s="74">
        <v>41988</v>
      </c>
      <c r="C376" s="16">
        <v>2014</v>
      </c>
      <c r="D376" s="11" t="s">
        <v>38</v>
      </c>
      <c r="E376" s="16">
        <v>12</v>
      </c>
      <c r="F376" s="28">
        <v>2.33</v>
      </c>
      <c r="I376" s="29">
        <f>AVERAGE(F376:F377)</f>
        <v>4.6814999999999998</v>
      </c>
      <c r="J376" s="29">
        <f>AVERAGE(G376:G377)</f>
        <v>3.5999999999999997E-2</v>
      </c>
      <c r="L376">
        <f>+J376/I376</f>
        <v>7.6898429990387698E-3</v>
      </c>
      <c r="M376">
        <f>+(L376-$L$619)/$L$620</f>
        <v>-0.31133454245969816</v>
      </c>
      <c r="N376">
        <f>+N374+M376</f>
        <v>4.955003849772007</v>
      </c>
    </row>
    <row r="377" spans="1:14">
      <c r="A377" s="16">
        <v>2</v>
      </c>
      <c r="B377" s="71">
        <v>42014</v>
      </c>
      <c r="E377" s="16">
        <v>1</v>
      </c>
      <c r="F377" s="80">
        <v>7.0330000000000004</v>
      </c>
      <c r="G377" s="80">
        <v>3.5999999999999997E-2</v>
      </c>
    </row>
    <row r="378" spans="1:14">
      <c r="A378" s="16">
        <v>16</v>
      </c>
      <c r="B378" s="71">
        <v>42009</v>
      </c>
      <c r="E378" s="16">
        <v>1</v>
      </c>
      <c r="F378" s="80">
        <v>6.181</v>
      </c>
      <c r="G378" s="80">
        <v>2.8000000000000001E-2</v>
      </c>
      <c r="I378" s="29">
        <f>AVERAGE(F377:F378)</f>
        <v>6.6070000000000002</v>
      </c>
      <c r="J378" s="29">
        <f>AVERAGE(G377:G378)</f>
        <v>3.2000000000000001E-2</v>
      </c>
      <c r="L378">
        <f>+J378/I378</f>
        <v>4.8433479642803088E-3</v>
      </c>
      <c r="M378">
        <f>+(L378-$L$619)/$L$620</f>
        <v>-0.35588358614963689</v>
      </c>
      <c r="N378">
        <f>+N376+M378</f>
        <v>4.5991202636223703</v>
      </c>
    </row>
    <row r="379" spans="1:14">
      <c r="A379" s="16">
        <v>2</v>
      </c>
      <c r="B379" s="76">
        <v>42036</v>
      </c>
      <c r="E379" s="16">
        <v>2</v>
      </c>
    </row>
    <row r="380" spans="1:14">
      <c r="A380" s="16">
        <v>16</v>
      </c>
      <c r="B380" s="76">
        <v>42036</v>
      </c>
      <c r="E380" s="16">
        <v>2</v>
      </c>
      <c r="I380" s="29"/>
      <c r="J380" s="29"/>
    </row>
    <row r="381" spans="1:14">
      <c r="A381" s="16">
        <v>2</v>
      </c>
      <c r="B381" s="76">
        <v>42064</v>
      </c>
      <c r="E381" s="16">
        <v>3</v>
      </c>
      <c r="F381" s="80">
        <v>10.528</v>
      </c>
      <c r="G381" s="80">
        <v>0.111</v>
      </c>
    </row>
    <row r="382" spans="1:14">
      <c r="A382" s="16">
        <v>16</v>
      </c>
      <c r="B382" s="76">
        <v>42064</v>
      </c>
      <c r="E382" s="16">
        <v>3</v>
      </c>
      <c r="F382" s="80">
        <v>10.226000000000001</v>
      </c>
      <c r="G382" s="80">
        <v>5.2999999999999999E-2</v>
      </c>
      <c r="I382" s="29">
        <f>AVERAGE(F381:F382)</f>
        <v>10.377000000000001</v>
      </c>
      <c r="J382" s="29">
        <f>AVERAGE(G381:G382)</f>
        <v>8.2000000000000003E-2</v>
      </c>
      <c r="L382">
        <f>+J382/I382</f>
        <v>7.9020911631492718E-3</v>
      </c>
      <c r="M382">
        <f>+(L382-$L$619)/$L$620</f>
        <v>-0.30801275456946553</v>
      </c>
      <c r="N382">
        <f>+N378+M382</f>
        <v>4.2911075090529049</v>
      </c>
    </row>
    <row r="383" spans="1:14">
      <c r="A383" s="16">
        <v>2</v>
      </c>
      <c r="B383" s="76">
        <v>42095</v>
      </c>
      <c r="E383" s="16">
        <v>4</v>
      </c>
      <c r="F383" s="80">
        <v>0.98799999999999999</v>
      </c>
      <c r="G383" s="80">
        <v>4.9000000000000002E-2</v>
      </c>
    </row>
    <row r="384" spans="1:14">
      <c r="A384" s="16">
        <v>16</v>
      </c>
      <c r="B384" s="76">
        <v>42095</v>
      </c>
      <c r="E384" s="16">
        <v>4</v>
      </c>
      <c r="F384" s="80">
        <v>1.2330000000000001</v>
      </c>
      <c r="G384" s="80">
        <v>4.1000000000000002E-2</v>
      </c>
      <c r="I384" s="29">
        <f>AVERAGE(F383:F384)</f>
        <v>1.1105</v>
      </c>
      <c r="J384" s="29">
        <f>AVERAGE(G383:G384)</f>
        <v>4.4999999999999998E-2</v>
      </c>
      <c r="L384">
        <f>+J384/I384</f>
        <v>4.0522287257991896E-2</v>
      </c>
      <c r="M384">
        <f>+(L384-$L$619)/$L$620</f>
        <v>0.20250931670013123</v>
      </c>
      <c r="N384">
        <f>+N382+M384</f>
        <v>4.493616825753036</v>
      </c>
    </row>
    <row r="385" spans="1:14">
      <c r="A385" s="16">
        <v>2</v>
      </c>
      <c r="B385" s="76">
        <v>42125</v>
      </c>
      <c r="E385" s="16">
        <v>5</v>
      </c>
      <c r="F385" s="80">
        <v>6.3710000000000004</v>
      </c>
      <c r="G385" s="80">
        <v>1.2749999999999999</v>
      </c>
    </row>
    <row r="386" spans="1:14">
      <c r="A386" s="16">
        <v>16</v>
      </c>
      <c r="B386" s="76">
        <v>42125</v>
      </c>
      <c r="E386" s="16">
        <v>5</v>
      </c>
      <c r="F386" s="80">
        <v>8.8930000000000007</v>
      </c>
      <c r="G386" s="80">
        <v>3.34</v>
      </c>
      <c r="I386" s="29">
        <f>AVERAGE(F385:F386)</f>
        <v>7.6320000000000006</v>
      </c>
      <c r="J386" s="29">
        <f>AVERAGE(G385:G386)</f>
        <v>2.3075000000000001</v>
      </c>
      <c r="L386">
        <f>+J386/I386</f>
        <v>0.30234538784067083</v>
      </c>
      <c r="M386">
        <f>+(L386-$L$619)/$L$620</f>
        <v>4.3001692825404465</v>
      </c>
      <c r="N386">
        <f>+N384+M386</f>
        <v>8.7937861082934816</v>
      </c>
    </row>
    <row r="387" spans="1:14">
      <c r="A387" s="16">
        <v>2</v>
      </c>
      <c r="B387" s="76">
        <v>42156</v>
      </c>
      <c r="E387" s="16">
        <v>6</v>
      </c>
      <c r="F387" s="80">
        <v>13.632999999999999</v>
      </c>
      <c r="G387" s="80">
        <v>0.503</v>
      </c>
    </row>
    <row r="388" spans="1:14">
      <c r="A388" s="16">
        <v>16</v>
      </c>
      <c r="B388" s="76">
        <v>42156</v>
      </c>
      <c r="E388" s="16">
        <v>6</v>
      </c>
      <c r="F388" s="80">
        <v>9.2569999999999997</v>
      </c>
      <c r="G388" s="80">
        <v>0.30499999999999999</v>
      </c>
      <c r="I388" s="29">
        <f>AVERAGE(F387:F388)</f>
        <v>11.445</v>
      </c>
      <c r="J388" s="29">
        <f>AVERAGE(G387:G388)</f>
        <v>0.40400000000000003</v>
      </c>
      <c r="L388">
        <f>+J388/I388</f>
        <v>3.5299257317605942E-2</v>
      </c>
      <c r="M388">
        <f>+(L388-$L$619)/$L$620</f>
        <v>0.12076633588799152</v>
      </c>
      <c r="N388">
        <f>+N386+M388</f>
        <v>8.9145524441814725</v>
      </c>
    </row>
    <row r="389" spans="1:14">
      <c r="A389" s="16">
        <v>2</v>
      </c>
      <c r="B389" s="76">
        <v>42186</v>
      </c>
      <c r="E389" s="16">
        <v>7</v>
      </c>
      <c r="F389" s="80">
        <v>8.4420000000000002</v>
      </c>
      <c r="G389" s="80">
        <v>0.255</v>
      </c>
    </row>
    <row r="390" spans="1:14">
      <c r="A390" s="16">
        <v>16</v>
      </c>
      <c r="B390" s="76">
        <v>42186</v>
      </c>
      <c r="E390" s="16">
        <v>7</v>
      </c>
      <c r="F390" s="80">
        <v>8.016</v>
      </c>
      <c r="G390" s="80">
        <v>0.79700000000000004</v>
      </c>
      <c r="I390" s="29">
        <f>AVERAGE(F389:F390)</f>
        <v>8.2289999999999992</v>
      </c>
      <c r="J390" s="29">
        <f>AVERAGE(G389:G390)</f>
        <v>0.52600000000000002</v>
      </c>
      <c r="L390">
        <f>+J390/I390</f>
        <v>6.3920281929760611E-2</v>
      </c>
      <c r="M390">
        <f>+(L390-$L$619)/$L$620</f>
        <v>0.56869941159275306</v>
      </c>
      <c r="N390">
        <f>+N388+M390</f>
        <v>9.4832518557742258</v>
      </c>
    </row>
    <row r="391" spans="1:14">
      <c r="A391" s="16">
        <v>2</v>
      </c>
      <c r="B391" s="76">
        <v>42217</v>
      </c>
      <c r="E391" s="16">
        <v>8</v>
      </c>
      <c r="F391" s="80">
        <v>7.8170000000000002</v>
      </c>
      <c r="G391" s="80">
        <v>0.45200000000000001</v>
      </c>
    </row>
    <row r="392" spans="1:14">
      <c r="A392" s="16">
        <v>16</v>
      </c>
      <c r="B392" s="76">
        <v>42217</v>
      </c>
      <c r="E392" s="16">
        <v>8</v>
      </c>
      <c r="F392" s="80">
        <v>11.515000000000001</v>
      </c>
      <c r="G392" s="80">
        <v>0.33500000000000002</v>
      </c>
      <c r="I392" s="29">
        <f>AVERAGE(F391:F392)</f>
        <v>9.6660000000000004</v>
      </c>
      <c r="J392" s="29">
        <f>AVERAGE(G391:G392)</f>
        <v>0.39350000000000002</v>
      </c>
      <c r="L392">
        <f>+J392/I392</f>
        <v>4.070970411752535E-2</v>
      </c>
      <c r="M392">
        <f>+(L392-$L$619)/$L$620</f>
        <v>0.20544248249231939</v>
      </c>
      <c r="N392">
        <f>+N390+M392</f>
        <v>9.6886943382665454</v>
      </c>
    </row>
    <row r="393" spans="1:14">
      <c r="A393" s="16">
        <v>2</v>
      </c>
      <c r="B393" s="76">
        <v>42248</v>
      </c>
      <c r="E393" s="16">
        <v>9</v>
      </c>
      <c r="F393" s="80">
        <v>5.4390000000000001</v>
      </c>
      <c r="G393" s="80">
        <v>3.1E-2</v>
      </c>
    </row>
    <row r="394" spans="1:14">
      <c r="A394" s="16">
        <v>16</v>
      </c>
      <c r="B394" s="76">
        <v>42248</v>
      </c>
      <c r="E394" s="16">
        <v>9</v>
      </c>
      <c r="F394" s="80">
        <v>4.944</v>
      </c>
      <c r="G394" s="80">
        <v>6.8000000000000005E-2</v>
      </c>
      <c r="I394" s="29">
        <f>AVERAGE(F393:F394)</f>
        <v>5.1914999999999996</v>
      </c>
      <c r="J394" s="29">
        <f>AVERAGE(G393:G394)</f>
        <v>4.9500000000000002E-2</v>
      </c>
      <c r="L394">
        <f>+J394/I394</f>
        <v>9.5348165270153148E-3</v>
      </c>
      <c r="M394">
        <f>+(L394-$L$619)/$L$620</f>
        <v>-0.28245980166410012</v>
      </c>
      <c r="N394">
        <f>+N392+M394</f>
        <v>9.4062345366024456</v>
      </c>
    </row>
    <row r="395" spans="1:14">
      <c r="A395" s="16">
        <v>2</v>
      </c>
      <c r="B395" s="76">
        <v>42278</v>
      </c>
      <c r="E395" s="16">
        <v>10</v>
      </c>
      <c r="F395" s="80">
        <v>2.5089999999999999</v>
      </c>
      <c r="G395" s="80">
        <v>3.3000000000000002E-2</v>
      </c>
    </row>
    <row r="396" spans="1:14">
      <c r="A396" s="16">
        <v>16</v>
      </c>
      <c r="B396" s="76">
        <v>42278</v>
      </c>
      <c r="E396" s="16">
        <v>10</v>
      </c>
      <c r="F396" s="80">
        <v>2.7269999999999999</v>
      </c>
      <c r="G396" s="80">
        <v>9.0999999999999998E-2</v>
      </c>
      <c r="I396" s="29">
        <f>AVERAGE(F395:F396)</f>
        <v>2.6179999999999999</v>
      </c>
      <c r="J396" s="29">
        <f>AVERAGE(G395:G396)</f>
        <v>6.2E-2</v>
      </c>
      <c r="L396">
        <f>+J396/I396</f>
        <v>2.368220015278839E-2</v>
      </c>
      <c r="M396">
        <f>+(L396-$L$619)/$L$620</f>
        <v>-6.1046307683996152E-2</v>
      </c>
      <c r="N396">
        <f>+N394+M396</f>
        <v>9.3451882289184489</v>
      </c>
    </row>
    <row r="397" spans="1:14">
      <c r="A397" s="16">
        <v>2</v>
      </c>
      <c r="B397" s="76">
        <v>42309</v>
      </c>
      <c r="E397" s="16">
        <v>11</v>
      </c>
      <c r="F397" s="80">
        <v>1.4650000000000001</v>
      </c>
      <c r="G397" s="80">
        <v>2.9000000000000001E-2</v>
      </c>
    </row>
    <row r="398" spans="1:14">
      <c r="A398" s="16">
        <v>16</v>
      </c>
      <c r="B398" s="76">
        <v>42309</v>
      </c>
      <c r="E398" s="16">
        <v>11</v>
      </c>
      <c r="F398" s="80">
        <v>0.85699999999999998</v>
      </c>
      <c r="G398" s="80">
        <v>1.2E-2</v>
      </c>
      <c r="I398" s="29">
        <f>AVERAGE(F397:F398)</f>
        <v>1.161</v>
      </c>
      <c r="J398" s="29">
        <f>AVERAGE(G397:G398)</f>
        <v>2.0500000000000001E-2</v>
      </c>
      <c r="L398">
        <f>+J398/I398</f>
        <v>1.7657192075796729E-2</v>
      </c>
      <c r="M398">
        <f>+(L398-$L$619)/$L$620</f>
        <v>-0.15534063975786572</v>
      </c>
      <c r="N398">
        <f>+N396+M398</f>
        <v>9.1898475891605838</v>
      </c>
    </row>
    <row r="399" spans="1:14">
      <c r="A399" s="16">
        <v>2</v>
      </c>
      <c r="B399" s="77">
        <v>42339</v>
      </c>
      <c r="C399" s="99" t="s">
        <v>97</v>
      </c>
      <c r="D399" s="101"/>
      <c r="E399" s="16">
        <v>12</v>
      </c>
      <c r="F399" s="80">
        <v>1.0980000000000001</v>
      </c>
      <c r="G399" s="80">
        <v>4.5999999999999999E-2</v>
      </c>
    </row>
    <row r="400" spans="1:14">
      <c r="A400" s="16">
        <v>2</v>
      </c>
      <c r="B400" s="76">
        <v>42339</v>
      </c>
      <c r="C400" s="99" t="s">
        <v>100</v>
      </c>
      <c r="D400" s="101"/>
      <c r="E400" s="16">
        <v>12</v>
      </c>
      <c r="F400" s="80">
        <v>1.488</v>
      </c>
      <c r="G400" s="80">
        <v>0.11899999999999999</v>
      </c>
      <c r="I400" s="29">
        <f>AVERAGE(F399:F400)</f>
        <v>1.2930000000000001</v>
      </c>
      <c r="J400" s="29">
        <f>AVERAGE(G399:G400)</f>
        <v>8.249999999999999E-2</v>
      </c>
      <c r="L400">
        <f>+J400/I400</f>
        <v>6.3805104408352659E-2</v>
      </c>
      <c r="M400">
        <f>+(L400-$L$619)/$L$620</f>
        <v>0.56689682688045018</v>
      </c>
      <c r="N400">
        <f>+N398+M400</f>
        <v>9.7567444160410339</v>
      </c>
    </row>
    <row r="401" spans="1:14">
      <c r="A401" s="16">
        <v>16</v>
      </c>
      <c r="B401" s="71">
        <v>42379</v>
      </c>
      <c r="C401" s="103" t="s">
        <v>99</v>
      </c>
      <c r="D401" s="11"/>
      <c r="E401" s="16">
        <v>1</v>
      </c>
      <c r="F401" s="81">
        <v>3.5179999999999998</v>
      </c>
      <c r="G401" s="81">
        <v>3.4000000000000002E-2</v>
      </c>
    </row>
    <row r="402" spans="1:14">
      <c r="A402" s="16">
        <v>2</v>
      </c>
      <c r="B402" s="71">
        <v>42374</v>
      </c>
      <c r="C402" s="103" t="s">
        <v>98</v>
      </c>
      <c r="D402" s="11"/>
      <c r="E402" s="16">
        <v>1</v>
      </c>
      <c r="F402" s="81">
        <v>4.8689999999999998</v>
      </c>
      <c r="G402" s="81">
        <v>4.9000000000000002E-2</v>
      </c>
      <c r="I402" s="29">
        <f>AVERAGE(F401:F402)</f>
        <v>4.1935000000000002</v>
      </c>
      <c r="J402" s="29">
        <f>AVERAGE(G401:G402)</f>
        <v>4.1500000000000002E-2</v>
      </c>
      <c r="L402">
        <f>+J402/I402</f>
        <v>9.8962680338619286E-3</v>
      </c>
      <c r="M402">
        <f>+(L402-$L$619)/$L$620</f>
        <v>-0.27680290826584053</v>
      </c>
      <c r="N402">
        <f>+N400+M402</f>
        <v>9.4799415077751927</v>
      </c>
    </row>
    <row r="403" spans="1:14">
      <c r="A403" s="16">
        <v>16</v>
      </c>
      <c r="B403" s="76">
        <v>42401</v>
      </c>
      <c r="C403" s="103"/>
      <c r="D403" s="11"/>
      <c r="E403" s="16">
        <v>2</v>
      </c>
      <c r="F403" s="81">
        <v>3.6659999999999999</v>
      </c>
      <c r="G403" s="81">
        <v>0.35599999999999998</v>
      </c>
    </row>
    <row r="404" spans="1:14">
      <c r="A404" s="16">
        <v>2</v>
      </c>
      <c r="B404" s="76">
        <v>42401</v>
      </c>
      <c r="C404" s="103"/>
      <c r="D404" s="11"/>
      <c r="E404" s="16">
        <v>2</v>
      </c>
      <c r="F404" s="81">
        <v>3.8159999999999998</v>
      </c>
      <c r="G404" s="81">
        <v>0.40600000000000003</v>
      </c>
      <c r="I404" s="29">
        <f>AVERAGE(F403:F404)</f>
        <v>3.7409999999999997</v>
      </c>
      <c r="J404" s="29">
        <f>AVERAGE(G403:G404)</f>
        <v>0.38100000000000001</v>
      </c>
      <c r="L404">
        <f>+J404/I404</f>
        <v>0.10184442662389737</v>
      </c>
      <c r="M404">
        <f>+(L404-$L$619)/$L$620</f>
        <v>1.1622308803824104</v>
      </c>
      <c r="N404">
        <f>+N402+M404</f>
        <v>10.642172388157602</v>
      </c>
    </row>
    <row r="405" spans="1:14">
      <c r="A405" s="16">
        <v>16</v>
      </c>
      <c r="B405" s="76">
        <v>42430</v>
      </c>
      <c r="C405" s="103"/>
      <c r="D405" s="11"/>
      <c r="E405" s="16">
        <v>3</v>
      </c>
      <c r="F405" s="81">
        <v>5.2290000000000001</v>
      </c>
      <c r="G405" s="81">
        <v>4.5999999999999999E-2</v>
      </c>
    </row>
    <row r="406" spans="1:14">
      <c r="A406" s="16">
        <v>2</v>
      </c>
      <c r="B406" s="76">
        <v>42430</v>
      </c>
      <c r="C406" s="103"/>
      <c r="D406" s="11"/>
      <c r="E406" s="16">
        <v>3</v>
      </c>
      <c r="F406" s="81">
        <v>1.456</v>
      </c>
      <c r="G406" s="81">
        <v>9.4E-2</v>
      </c>
      <c r="I406" s="29">
        <f>AVERAGE(F405:F406)</f>
        <v>3.3425000000000002</v>
      </c>
      <c r="J406" s="29">
        <f>AVERAGE(G405:G406)</f>
        <v>7.0000000000000007E-2</v>
      </c>
      <c r="L406">
        <f>+J406/I406</f>
        <v>2.0942408376963352E-2</v>
      </c>
      <c r="M406">
        <f>+(L406-$L$619)/$L$620</f>
        <v>-0.1039253930265502</v>
      </c>
      <c r="N406">
        <f>+N404+M406</f>
        <v>10.538246995131052</v>
      </c>
    </row>
    <row r="407" spans="1:14">
      <c r="A407" s="16">
        <v>16</v>
      </c>
      <c r="B407" s="76">
        <v>42461</v>
      </c>
      <c r="C407" s="103"/>
      <c r="D407" s="11"/>
      <c r="E407" s="16">
        <v>4</v>
      </c>
      <c r="F407" s="81">
        <v>2.37</v>
      </c>
      <c r="G407" s="81">
        <v>3.9E-2</v>
      </c>
    </row>
    <row r="408" spans="1:14">
      <c r="A408" s="16">
        <v>2</v>
      </c>
      <c r="B408" s="76">
        <v>42461</v>
      </c>
      <c r="C408" s="103"/>
      <c r="D408" s="11"/>
      <c r="E408" s="16">
        <v>4</v>
      </c>
      <c r="F408" s="81">
        <v>2.391</v>
      </c>
      <c r="G408" s="81">
        <v>3.2000000000000001E-2</v>
      </c>
      <c r="I408" s="29">
        <f>AVERAGE(F407:F408)</f>
        <v>2.3805000000000001</v>
      </c>
      <c r="J408" s="29">
        <f>AVERAGE(G407:G408)</f>
        <v>3.5500000000000004E-2</v>
      </c>
      <c r="L408">
        <f>+J408/I408</f>
        <v>1.4912833438353288E-2</v>
      </c>
      <c r="M408">
        <f>+(L408-$L$619)/$L$620</f>
        <v>-0.19829119872509846</v>
      </c>
      <c r="N408">
        <f>+N406+M408</f>
        <v>10.339955796405954</v>
      </c>
    </row>
    <row r="409" spans="1:14">
      <c r="A409" s="16">
        <v>16</v>
      </c>
      <c r="B409" s="76">
        <v>42491</v>
      </c>
      <c r="C409" s="103"/>
      <c r="D409" s="11"/>
      <c r="E409" s="16">
        <v>5</v>
      </c>
      <c r="F409" s="81">
        <v>7.3920000000000003</v>
      </c>
      <c r="G409" s="81">
        <v>7.9000000000000001E-2</v>
      </c>
    </row>
    <row r="410" spans="1:14">
      <c r="A410" s="16">
        <v>2</v>
      </c>
      <c r="B410" s="76">
        <v>42491</v>
      </c>
      <c r="C410" s="103"/>
      <c r="D410" s="11"/>
      <c r="E410" s="16">
        <v>5</v>
      </c>
      <c r="F410" s="81">
        <v>8.5350000000000001</v>
      </c>
      <c r="G410" s="81">
        <v>0.10100000000000001</v>
      </c>
      <c r="I410" s="29">
        <f>AVERAGE(F409:F410)</f>
        <v>7.9634999999999998</v>
      </c>
      <c r="J410" s="29">
        <f>AVERAGE(G409:G410)</f>
        <v>0.09</v>
      </c>
      <c r="L410">
        <f>+J410/I410</f>
        <v>1.1301563382934639E-2</v>
      </c>
      <c r="M410">
        <f>+(L410-$L$619)/$L$620</f>
        <v>-0.25480934666160598</v>
      </c>
      <c r="N410">
        <f>+N408+M410</f>
        <v>10.085146449744348</v>
      </c>
    </row>
    <row r="411" spans="1:14">
      <c r="A411" s="16">
        <v>16</v>
      </c>
      <c r="B411" s="76">
        <v>42522</v>
      </c>
      <c r="C411" s="103"/>
      <c r="D411" s="11"/>
      <c r="E411" s="16">
        <v>6</v>
      </c>
      <c r="F411" s="81">
        <v>15.529</v>
      </c>
      <c r="G411" s="81">
        <v>0.122</v>
      </c>
    </row>
    <row r="412" spans="1:14">
      <c r="A412" s="16">
        <v>2</v>
      </c>
      <c r="B412" s="76">
        <v>42522</v>
      </c>
      <c r="C412" s="103"/>
      <c r="D412" s="11"/>
      <c r="E412" s="16">
        <v>6</v>
      </c>
      <c r="F412" s="81">
        <v>14.457000000000001</v>
      </c>
      <c r="G412" s="81">
        <v>0.14199999999999999</v>
      </c>
      <c r="I412" s="29">
        <f>AVERAGE(F411:F412)</f>
        <v>14.993</v>
      </c>
      <c r="J412" s="29">
        <f>AVERAGE(G411:G412)</f>
        <v>0.13200000000000001</v>
      </c>
      <c r="L412">
        <f>+J412/I412</f>
        <v>8.8041085840058694E-3</v>
      </c>
      <c r="M412">
        <f>+(L412-$L$619)/$L$620</f>
        <v>-0.29389573943325742</v>
      </c>
      <c r="N412">
        <f>+N410+M412</f>
        <v>9.7912507103110915</v>
      </c>
    </row>
    <row r="413" spans="1:14">
      <c r="A413" s="16">
        <v>16</v>
      </c>
      <c r="B413" s="76">
        <v>42552</v>
      </c>
      <c r="C413" s="103"/>
      <c r="D413" s="11"/>
      <c r="E413" s="16">
        <v>7</v>
      </c>
      <c r="F413" s="81">
        <v>13.766999999999999</v>
      </c>
      <c r="G413" s="81">
        <v>0.191</v>
      </c>
    </row>
    <row r="414" spans="1:14">
      <c r="A414" s="16">
        <v>2</v>
      </c>
      <c r="B414" s="76">
        <v>42552</v>
      </c>
      <c r="C414" s="103"/>
      <c r="D414" s="11"/>
      <c r="E414" s="16">
        <v>7</v>
      </c>
      <c r="F414" s="81">
        <v>10.378</v>
      </c>
      <c r="G414" s="81">
        <v>0.10299999999999999</v>
      </c>
      <c r="I414" s="29">
        <f>AVERAGE(F413:F414)</f>
        <v>12.0725</v>
      </c>
      <c r="J414" s="29">
        <f>AVERAGE(G413:G414)</f>
        <v>0.14699999999999999</v>
      </c>
      <c r="L414">
        <f>+J414/I414</f>
        <v>1.2176434044315593E-2</v>
      </c>
      <c r="M414">
        <f>+(L414-$L$619)/$L$620</f>
        <v>-0.24111719162849071</v>
      </c>
      <c r="N414">
        <f>+N412+M414</f>
        <v>9.5501335186826015</v>
      </c>
    </row>
    <row r="415" spans="1:14">
      <c r="A415" s="16">
        <v>16</v>
      </c>
      <c r="B415" s="76">
        <v>42583</v>
      </c>
      <c r="C415" s="103"/>
      <c r="D415" s="11"/>
      <c r="E415" s="16">
        <v>8</v>
      </c>
      <c r="F415" s="81">
        <v>9.4060000000000006</v>
      </c>
      <c r="G415" s="81">
        <v>0.14899999999999999</v>
      </c>
    </row>
    <row r="416" spans="1:14">
      <c r="A416" s="16">
        <v>2</v>
      </c>
      <c r="B416" s="76">
        <v>42583</v>
      </c>
      <c r="C416" s="103"/>
      <c r="D416" s="11"/>
      <c r="E416" s="16">
        <v>8</v>
      </c>
      <c r="F416" s="81">
        <v>11.231999999999999</v>
      </c>
      <c r="G416" s="81">
        <v>0.10100000000000001</v>
      </c>
      <c r="I416" s="29">
        <f>AVERAGE(F415:F416)</f>
        <v>10.318999999999999</v>
      </c>
      <c r="J416" s="29">
        <f>AVERAGE(G415:G416)</f>
        <v>0.125</v>
      </c>
      <c r="L416">
        <f>+J416/I416</f>
        <v>1.2113576896986143E-2</v>
      </c>
      <c r="M416">
        <f>+(L416-$L$619)/$L$620</f>
        <v>-0.24210093681982642</v>
      </c>
      <c r="N416">
        <f>+N414+M416</f>
        <v>9.3080325818627756</v>
      </c>
    </row>
    <row r="417" spans="1:14">
      <c r="A417" s="16">
        <v>16</v>
      </c>
      <c r="B417" s="76">
        <v>42614</v>
      </c>
      <c r="C417" s="103"/>
      <c r="D417" s="11"/>
      <c r="E417" s="16">
        <v>9</v>
      </c>
      <c r="F417" s="81">
        <v>8.6259999999999994</v>
      </c>
      <c r="G417" s="81">
        <v>6.0999999999999999E-2</v>
      </c>
    </row>
    <row r="418" spans="1:14">
      <c r="A418" s="16">
        <v>2</v>
      </c>
      <c r="B418" s="76">
        <v>42614</v>
      </c>
      <c r="C418" s="103"/>
      <c r="D418" s="11"/>
      <c r="E418" s="16">
        <v>9</v>
      </c>
      <c r="F418" s="81">
        <v>11.244999999999999</v>
      </c>
      <c r="G418" s="81">
        <v>0.05</v>
      </c>
      <c r="I418" s="29">
        <f>AVERAGE(F417:F418)</f>
        <v>9.9354999999999993</v>
      </c>
      <c r="J418" s="29">
        <f>AVERAGE(G417:G418)</f>
        <v>5.5500000000000001E-2</v>
      </c>
      <c r="L418">
        <f>+J418/I418</f>
        <v>5.5860298928086163E-3</v>
      </c>
      <c r="M418">
        <f>+(L418-$L$619)/$L$620</f>
        <v>-0.34426024963306956</v>
      </c>
      <c r="N418">
        <f>+N416+M418</f>
        <v>8.9637723322297056</v>
      </c>
    </row>
    <row r="419" spans="1:14">
      <c r="A419" s="16">
        <v>16</v>
      </c>
      <c r="B419" s="76">
        <v>42644</v>
      </c>
      <c r="C419" s="103"/>
      <c r="D419" s="11"/>
      <c r="E419" s="16">
        <v>10</v>
      </c>
      <c r="F419" s="81">
        <v>1.5129999999999999</v>
      </c>
      <c r="G419" s="81">
        <v>5.8000000000000003E-2</v>
      </c>
    </row>
    <row r="420" spans="1:14">
      <c r="A420" s="16">
        <v>2</v>
      </c>
      <c r="B420" s="76">
        <v>42644</v>
      </c>
      <c r="C420" s="103"/>
      <c r="D420" s="11"/>
      <c r="E420" s="16">
        <v>10</v>
      </c>
      <c r="F420" s="81">
        <v>2.8109999999999999</v>
      </c>
      <c r="G420" s="81">
        <v>8.8999999999999996E-2</v>
      </c>
      <c r="I420" s="29">
        <f>AVERAGE(F419:F420)</f>
        <v>2.1619999999999999</v>
      </c>
      <c r="J420" s="29">
        <f>AVERAGE(G419:G420)</f>
        <v>7.3499999999999996E-2</v>
      </c>
      <c r="L420">
        <f>+J420/I420</f>
        <v>3.3996299722479188E-2</v>
      </c>
      <c r="M420">
        <f>+(L420-$L$619)/$L$620</f>
        <v>0.10037441033651601</v>
      </c>
      <c r="N420">
        <f>+N418+M420</f>
        <v>9.064146742566221</v>
      </c>
    </row>
    <row r="421" spans="1:14">
      <c r="A421" s="16">
        <v>16</v>
      </c>
      <c r="B421" s="76">
        <v>42675</v>
      </c>
      <c r="C421" s="103"/>
      <c r="D421" s="11"/>
      <c r="E421" s="16">
        <v>11</v>
      </c>
      <c r="F421" s="81">
        <v>0.70799999999999996</v>
      </c>
      <c r="G421" s="81">
        <v>0.01</v>
      </c>
    </row>
    <row r="422" spans="1:14">
      <c r="A422" s="16">
        <v>2</v>
      </c>
      <c r="B422" s="76">
        <v>42675</v>
      </c>
      <c r="C422" s="103"/>
      <c r="D422" s="11"/>
      <c r="E422" s="16">
        <v>11</v>
      </c>
      <c r="F422" s="81">
        <v>0.95299999999999996</v>
      </c>
      <c r="G422" s="81">
        <v>0.01</v>
      </c>
      <c r="I422" s="29">
        <f>AVERAGE(F421:F422)</f>
        <v>0.83050000000000002</v>
      </c>
      <c r="J422" s="29">
        <f>AVERAGE(G421:G422)</f>
        <v>0.01</v>
      </c>
      <c r="L422">
        <f>+J422/I422</f>
        <v>1.2040939193257074E-2</v>
      </c>
      <c r="M422">
        <f>+(L422-$L$619)/$L$620</f>
        <v>-0.24323775251683241</v>
      </c>
      <c r="N422">
        <f>+N420+M422</f>
        <v>8.8209089900493893</v>
      </c>
    </row>
    <row r="423" spans="1:14">
      <c r="A423" s="16">
        <v>16</v>
      </c>
      <c r="B423" s="77">
        <v>42705</v>
      </c>
      <c r="C423" s="103"/>
      <c r="D423" s="11"/>
      <c r="E423" s="16">
        <v>12</v>
      </c>
      <c r="F423" s="81">
        <v>2.5630000000000002</v>
      </c>
      <c r="G423" s="81">
        <v>0.125</v>
      </c>
    </row>
    <row r="424" spans="1:14">
      <c r="A424" s="16">
        <v>2</v>
      </c>
      <c r="B424" s="76">
        <v>42705</v>
      </c>
      <c r="C424" s="103"/>
      <c r="D424" s="11"/>
      <c r="E424" s="16">
        <v>12</v>
      </c>
      <c r="F424" s="81">
        <v>2.0110000000000001</v>
      </c>
      <c r="G424" s="81">
        <v>0.30299999999999999</v>
      </c>
      <c r="I424" s="29">
        <f>AVERAGE(F423:F424)</f>
        <v>2.2869999999999999</v>
      </c>
      <c r="J424" s="29">
        <f>AVERAGE(G423:G424)</f>
        <v>0.214</v>
      </c>
      <c r="L424">
        <f>+J424/I424</f>
        <v>9.3572365544381281E-2</v>
      </c>
      <c r="M424">
        <f>+(L424-$L$619)/$L$620</f>
        <v>1.0327690664894262</v>
      </c>
      <c r="N424">
        <f>+N422+M424</f>
        <v>9.8536780565388149</v>
      </c>
    </row>
    <row r="425" spans="1:14">
      <c r="A425" s="16">
        <v>16</v>
      </c>
      <c r="B425" s="71">
        <v>42745</v>
      </c>
      <c r="C425" s="103"/>
      <c r="D425" s="11"/>
      <c r="E425" s="16">
        <v>1</v>
      </c>
    </row>
    <row r="426" spans="1:14">
      <c r="A426" s="16">
        <v>2</v>
      </c>
      <c r="B426" s="71">
        <v>42740</v>
      </c>
      <c r="C426" s="103"/>
      <c r="D426" s="11"/>
      <c r="E426" s="16">
        <v>1</v>
      </c>
    </row>
    <row r="427" spans="1:14">
      <c r="A427" s="16">
        <v>16</v>
      </c>
      <c r="B427" s="76">
        <v>42767</v>
      </c>
      <c r="C427" s="103"/>
      <c r="D427" s="11"/>
      <c r="E427" s="16">
        <v>2</v>
      </c>
    </row>
    <row r="428" spans="1:14">
      <c r="A428" s="16">
        <v>2</v>
      </c>
      <c r="B428" s="76">
        <v>42767</v>
      </c>
      <c r="C428" s="103"/>
      <c r="D428" s="11"/>
      <c r="E428" s="16">
        <v>2</v>
      </c>
    </row>
    <row r="429" spans="1:14">
      <c r="A429" s="16">
        <v>16</v>
      </c>
      <c r="B429" s="76">
        <v>42795</v>
      </c>
      <c r="C429" s="103"/>
      <c r="D429" s="11"/>
      <c r="E429" s="16">
        <v>3</v>
      </c>
      <c r="F429" s="81">
        <v>4.5289999999999999</v>
      </c>
      <c r="G429" s="81">
        <v>0.04</v>
      </c>
    </row>
    <row r="430" spans="1:14">
      <c r="A430" s="16">
        <v>2</v>
      </c>
      <c r="B430" s="76">
        <v>42795</v>
      </c>
      <c r="C430" s="103"/>
      <c r="D430" s="11"/>
      <c r="E430" s="16">
        <v>3</v>
      </c>
      <c r="F430" s="81">
        <v>1.522</v>
      </c>
      <c r="G430" s="81">
        <v>1.2E-2</v>
      </c>
      <c r="I430" s="29">
        <f>AVERAGE(F429:F430)</f>
        <v>3.0255000000000001</v>
      </c>
      <c r="J430" s="29">
        <f>AVERAGE(G429:G430)</f>
        <v>2.6000000000000002E-2</v>
      </c>
      <c r="L430">
        <f>+J430/I430</f>
        <v>8.5936208891092391E-3</v>
      </c>
      <c r="M430">
        <f>+(L430-$L$619)/$L$620</f>
        <v>-0.29718997511666523</v>
      </c>
      <c r="N430">
        <f>+N424+M430</f>
        <v>9.5564880814221489</v>
      </c>
    </row>
    <row r="431" spans="1:14">
      <c r="A431" s="16">
        <v>2</v>
      </c>
      <c r="B431" s="76">
        <v>42826</v>
      </c>
      <c r="E431" s="16">
        <v>4</v>
      </c>
    </row>
    <row r="432" spans="1:14">
      <c r="A432" s="16">
        <v>16</v>
      </c>
      <c r="B432" s="76">
        <v>42826</v>
      </c>
      <c r="E432" s="16">
        <v>4</v>
      </c>
      <c r="I432" s="29"/>
      <c r="J432" s="29"/>
    </row>
    <row r="433" spans="1:14">
      <c r="A433" s="16">
        <v>2</v>
      </c>
      <c r="B433" s="76">
        <v>42856</v>
      </c>
      <c r="E433" s="16">
        <v>5</v>
      </c>
      <c r="F433" s="81">
        <v>6.6849999999999996</v>
      </c>
      <c r="G433" s="81">
        <v>0.153</v>
      </c>
    </row>
    <row r="434" spans="1:14">
      <c r="A434" s="16">
        <v>16</v>
      </c>
      <c r="B434" s="76">
        <v>42856</v>
      </c>
      <c r="E434" s="16">
        <v>5</v>
      </c>
      <c r="F434" s="81">
        <v>13.680999999999999</v>
      </c>
      <c r="G434" s="81">
        <v>6.0999999999999999E-2</v>
      </c>
      <c r="I434" s="29">
        <f>AVERAGE(F433:F434)</f>
        <v>10.183</v>
      </c>
      <c r="J434" s="29">
        <f>AVERAGE(G433:G434)</f>
        <v>0.107</v>
      </c>
      <c r="L434">
        <f>+J434/I434</f>
        <v>1.0507708926642443E-2</v>
      </c>
      <c r="M434">
        <f>+(L434-$L$619)/$L$620</f>
        <v>-0.26723355834122148</v>
      </c>
      <c r="N434">
        <f>+N430+M434</f>
        <v>9.2892545230809276</v>
      </c>
    </row>
    <row r="435" spans="1:14">
      <c r="A435" s="16">
        <v>2</v>
      </c>
      <c r="B435" s="76">
        <v>42887</v>
      </c>
      <c r="E435" s="16">
        <v>6</v>
      </c>
      <c r="F435" s="81">
        <v>8.0250000000000004</v>
      </c>
      <c r="G435" s="81">
        <v>0.04</v>
      </c>
    </row>
    <row r="436" spans="1:14">
      <c r="A436" s="16">
        <v>16</v>
      </c>
      <c r="B436" s="76">
        <v>42887</v>
      </c>
      <c r="E436" s="16">
        <v>6</v>
      </c>
      <c r="F436" s="81">
        <v>7.33</v>
      </c>
      <c r="G436" s="81">
        <v>2.1999999999999999E-2</v>
      </c>
      <c r="I436" s="29">
        <f>AVERAGE(F435:F436)</f>
        <v>7.6775000000000002</v>
      </c>
      <c r="J436" s="29">
        <f>AVERAGE(G435:G436)</f>
        <v>3.1E-2</v>
      </c>
      <c r="L436">
        <f>+J436/I436</f>
        <v>4.0377727124715074E-3</v>
      </c>
      <c r="M436">
        <f>+(L436-$L$619)/$L$620</f>
        <v>-0.36849123402892048</v>
      </c>
      <c r="N436">
        <f>+N434+M436</f>
        <v>8.9207632890520063</v>
      </c>
    </row>
    <row r="437" spans="1:14">
      <c r="A437" s="16">
        <v>2</v>
      </c>
      <c r="B437" s="76">
        <v>42917</v>
      </c>
      <c r="E437" s="16">
        <v>7</v>
      </c>
      <c r="F437" s="81">
        <v>13.879</v>
      </c>
      <c r="G437" s="81">
        <v>8.2000000000000003E-2</v>
      </c>
    </row>
    <row r="438" spans="1:14">
      <c r="A438" s="16">
        <v>16</v>
      </c>
      <c r="B438" s="76">
        <v>42917</v>
      </c>
      <c r="E438" s="16">
        <v>7</v>
      </c>
      <c r="F438" s="81">
        <v>9.4339999999999993</v>
      </c>
      <c r="G438" s="81">
        <v>3.4000000000000002E-2</v>
      </c>
      <c r="I438" s="29">
        <f>AVERAGE(F437:F438)</f>
        <v>11.656499999999999</v>
      </c>
      <c r="J438" s="29">
        <f>AVERAGE(G437:G438)</f>
        <v>5.8000000000000003E-2</v>
      </c>
      <c r="L438">
        <f>+J438/I438</f>
        <v>4.9757645948612364E-3</v>
      </c>
      <c r="M438">
        <f>+(L438-$L$619)/$L$620</f>
        <v>-0.35381120092184226</v>
      </c>
      <c r="N438">
        <f>+N436+M438</f>
        <v>8.5669520881301633</v>
      </c>
    </row>
    <row r="439" spans="1:14">
      <c r="A439" s="16">
        <v>2</v>
      </c>
      <c r="B439" s="76">
        <v>42948</v>
      </c>
      <c r="E439" s="16">
        <v>8</v>
      </c>
    </row>
    <row r="440" spans="1:14">
      <c r="A440" s="16">
        <v>16</v>
      </c>
      <c r="B440" s="76">
        <v>42948</v>
      </c>
      <c r="E440" s="16">
        <v>8</v>
      </c>
      <c r="I440" s="29"/>
      <c r="J440" s="29"/>
    </row>
    <row r="441" spans="1:14">
      <c r="A441" s="16">
        <v>2</v>
      </c>
      <c r="B441" s="76">
        <v>42979</v>
      </c>
      <c r="E441" s="16">
        <v>9</v>
      </c>
      <c r="F441" s="81">
        <v>1.897</v>
      </c>
      <c r="G441" s="81">
        <v>4.9000000000000002E-2</v>
      </c>
    </row>
    <row r="442" spans="1:14">
      <c r="A442" s="16">
        <v>16</v>
      </c>
      <c r="B442" s="76">
        <v>42979</v>
      </c>
      <c r="E442" s="16">
        <v>9</v>
      </c>
      <c r="F442" s="81">
        <v>2.0609999999999999</v>
      </c>
      <c r="G442" s="81">
        <v>1.7999999999999999E-2</v>
      </c>
      <c r="I442" s="29">
        <f>AVERAGE(F441:F442)</f>
        <v>1.9790000000000001</v>
      </c>
      <c r="J442" s="29">
        <f>AVERAGE(G441:G442)</f>
        <v>3.3500000000000002E-2</v>
      </c>
      <c r="L442">
        <f>+J442/I442</f>
        <v>1.6927741283476502E-2</v>
      </c>
      <c r="M442">
        <f>+(L442-$L$619)/$L$620</f>
        <v>-0.16675690250202035</v>
      </c>
      <c r="N442">
        <f>+N438+M442</f>
        <v>8.4001951856281423</v>
      </c>
    </row>
    <row r="443" spans="1:14">
      <c r="A443" s="16">
        <v>2</v>
      </c>
      <c r="B443" s="76">
        <v>43009</v>
      </c>
      <c r="E443" s="16">
        <v>10</v>
      </c>
      <c r="F443" s="81">
        <v>1.0269999999999999</v>
      </c>
      <c r="G443" s="81">
        <v>2.4E-2</v>
      </c>
    </row>
    <row r="444" spans="1:14">
      <c r="A444" s="16">
        <v>16</v>
      </c>
      <c r="B444" s="76">
        <v>43009</v>
      </c>
      <c r="E444" s="16">
        <v>10</v>
      </c>
      <c r="F444" s="81">
        <v>0.29899999999999999</v>
      </c>
      <c r="G444" s="81">
        <v>9.9989999999999996E-4</v>
      </c>
      <c r="I444" s="29">
        <f>AVERAGE(F443:F444)</f>
        <v>0.66299999999999992</v>
      </c>
      <c r="J444" s="29">
        <f>AVERAGE(G443:G444)</f>
        <v>1.2499950000000001E-2</v>
      </c>
      <c r="L444">
        <f>+J444/I444</f>
        <v>1.8853619909502267E-2</v>
      </c>
      <c r="M444">
        <f>+(L444-$L$619)/$L$620</f>
        <v>-0.1366159572325967</v>
      </c>
      <c r="N444">
        <f>+N442+M444</f>
        <v>8.263579228395546</v>
      </c>
    </row>
    <row r="445" spans="1:14">
      <c r="A445" s="16">
        <v>2</v>
      </c>
      <c r="B445" s="76">
        <v>43040</v>
      </c>
      <c r="E445" s="16">
        <v>11</v>
      </c>
    </row>
    <row r="446" spans="1:14">
      <c r="A446" s="16">
        <v>16</v>
      </c>
      <c r="B446" s="76">
        <v>43040</v>
      </c>
      <c r="E446" s="16">
        <v>11</v>
      </c>
      <c r="I446" s="29"/>
      <c r="J446" s="29"/>
    </row>
    <row r="447" spans="1:14">
      <c r="A447" s="16">
        <v>2</v>
      </c>
      <c r="B447" s="77">
        <v>43070</v>
      </c>
      <c r="E447" s="16">
        <v>12</v>
      </c>
      <c r="F447" s="81">
        <v>2.335</v>
      </c>
      <c r="G447" s="81">
        <v>0.17199999999999999</v>
      </c>
    </row>
    <row r="448" spans="1:14">
      <c r="A448" s="16">
        <v>16</v>
      </c>
      <c r="B448" s="76">
        <v>43070</v>
      </c>
      <c r="E448" s="16">
        <v>12</v>
      </c>
      <c r="F448" s="81">
        <v>2.4239999999999999</v>
      </c>
      <c r="G448" s="81">
        <v>0.216</v>
      </c>
      <c r="I448" s="29">
        <f>AVERAGE(F447:F448)</f>
        <v>2.3795000000000002</v>
      </c>
      <c r="J448" s="29">
        <f>AVERAGE(G447:G448)</f>
        <v>0.19400000000000001</v>
      </c>
      <c r="L448">
        <f>+J448/I448</f>
        <v>8.1529733137213692E-2</v>
      </c>
      <c r="M448">
        <f>+(L448-$L$619)/$L$620</f>
        <v>0.84429596160157427</v>
      </c>
      <c r="N448">
        <f>+N444+M448</f>
        <v>9.1078751899971202</v>
      </c>
    </row>
    <row r="449" spans="1:14">
      <c r="A449" s="16">
        <v>2</v>
      </c>
      <c r="B449" s="71">
        <v>43110</v>
      </c>
      <c r="E449" s="16">
        <v>1</v>
      </c>
      <c r="F449" s="78">
        <v>2.2909999999999999</v>
      </c>
      <c r="G449" s="78">
        <v>2.5999999999999999E-2</v>
      </c>
    </row>
    <row r="450" spans="1:14">
      <c r="A450" s="16">
        <v>16</v>
      </c>
      <c r="B450" s="71">
        <v>43105</v>
      </c>
      <c r="E450" s="16">
        <v>1</v>
      </c>
      <c r="F450" s="78">
        <v>2.8929999999999998</v>
      </c>
      <c r="G450" s="78">
        <v>7.3999999999999996E-2</v>
      </c>
      <c r="I450">
        <v>2.5919999999999996</v>
      </c>
      <c r="J450">
        <v>4.9999999999999996E-2</v>
      </c>
      <c r="L450">
        <v>1.9290123456790126E-2</v>
      </c>
      <c r="M450">
        <f>+(L450-$L$619)/$L$620</f>
        <v>-0.12978446258339205</v>
      </c>
      <c r="N450">
        <f>+N448+M450</f>
        <v>8.9780907274137274</v>
      </c>
    </row>
    <row r="451" spans="1:14">
      <c r="A451" s="16">
        <v>2</v>
      </c>
      <c r="B451" s="76">
        <v>43132</v>
      </c>
      <c r="E451" s="16">
        <v>2</v>
      </c>
      <c r="F451" s="78">
        <v>2.5449999999999999</v>
      </c>
      <c r="G451" s="78">
        <v>8.5000000000000006E-2</v>
      </c>
    </row>
    <row r="452" spans="1:14">
      <c r="A452" s="16">
        <v>16</v>
      </c>
      <c r="B452" s="76">
        <v>43132</v>
      </c>
      <c r="E452" s="16">
        <v>2</v>
      </c>
      <c r="F452" s="78">
        <v>1.992</v>
      </c>
      <c r="G452" s="78">
        <v>8.6999999999999994E-2</v>
      </c>
      <c r="I452">
        <v>2.2685</v>
      </c>
      <c r="J452">
        <v>8.5999999999999993E-2</v>
      </c>
      <c r="L452">
        <v>3.7910513555212695E-2</v>
      </c>
      <c r="M452">
        <f>+(L452-$L$619)/$L$620</f>
        <v>0.16163377700216136</v>
      </c>
      <c r="N452">
        <f>+N450+M452</f>
        <v>9.1397245044158879</v>
      </c>
    </row>
    <row r="453" spans="1:14">
      <c r="A453" s="16">
        <v>2</v>
      </c>
      <c r="B453" s="76">
        <v>43160</v>
      </c>
      <c r="E453" s="16">
        <v>3</v>
      </c>
      <c r="F453" s="78">
        <v>6.8920000000000003</v>
      </c>
      <c r="G453" s="78">
        <v>5.1999999999999998E-2</v>
      </c>
    </row>
    <row r="454" spans="1:14">
      <c r="A454" s="16">
        <v>16</v>
      </c>
      <c r="B454" s="76">
        <v>43160</v>
      </c>
      <c r="E454" s="16">
        <v>3</v>
      </c>
      <c r="F454" s="78">
        <v>4.516</v>
      </c>
      <c r="G454" s="78">
        <v>1.4E-2</v>
      </c>
      <c r="I454">
        <v>5.7040000000000006</v>
      </c>
      <c r="J454">
        <v>3.3000000000000002E-2</v>
      </c>
      <c r="L454">
        <v>5.7854137447405328E-3</v>
      </c>
      <c r="M454">
        <f>+(L454-$L$619)/$L$620</f>
        <v>-0.34113979453923632</v>
      </c>
      <c r="N454">
        <f>+N452+M454</f>
        <v>8.7985847098766516</v>
      </c>
    </row>
    <row r="455" spans="1:14">
      <c r="A455" s="16">
        <v>2</v>
      </c>
      <c r="B455" s="76">
        <v>43191</v>
      </c>
      <c r="E455" s="16">
        <v>4</v>
      </c>
      <c r="F455" s="78">
        <v>4.34</v>
      </c>
      <c r="G455" s="78">
        <v>9.9989999999999996E-4</v>
      </c>
    </row>
    <row r="456" spans="1:14">
      <c r="A456" s="16">
        <v>16</v>
      </c>
      <c r="B456" s="76">
        <v>43191</v>
      </c>
      <c r="E456" s="16">
        <v>4</v>
      </c>
      <c r="F456" s="79">
        <v>4.7510000000000003</v>
      </c>
      <c r="G456" s="79">
        <v>1.6E-2</v>
      </c>
      <c r="I456">
        <v>4.5455000000000005</v>
      </c>
      <c r="J456">
        <v>8.4999500000000009E-3</v>
      </c>
      <c r="L456">
        <v>1.869970300296997E-3</v>
      </c>
      <c r="M456">
        <f>+(L456-$L$619)/$L$620</f>
        <v>-0.40241840523135031</v>
      </c>
      <c r="N456">
        <f>+N454+M456</f>
        <v>8.3961663046453019</v>
      </c>
    </row>
    <row r="457" spans="1:14">
      <c r="A457" s="16">
        <v>2</v>
      </c>
      <c r="B457" s="76">
        <v>43221</v>
      </c>
      <c r="E457" s="16">
        <v>5</v>
      </c>
      <c r="F457" s="79">
        <v>14.69</v>
      </c>
      <c r="G457" s="79">
        <v>7.8E-2</v>
      </c>
    </row>
    <row r="458" spans="1:14">
      <c r="A458" s="16">
        <v>16</v>
      </c>
      <c r="B458" s="76">
        <v>43221</v>
      </c>
      <c r="E458" s="16">
        <v>5</v>
      </c>
      <c r="F458" s="79">
        <v>19.47</v>
      </c>
      <c r="G458" s="79">
        <v>7.0000000000000007E-2</v>
      </c>
      <c r="I458">
        <v>17.079999999999998</v>
      </c>
      <c r="J458">
        <v>7.400000000000001E-2</v>
      </c>
      <c r="L458">
        <v>4.3325526932084316E-3</v>
      </c>
      <c r="M458">
        <f>+(L458-$L$619)/$L$620</f>
        <v>-0.36387778272111487</v>
      </c>
      <c r="N458">
        <f>+N456+M458</f>
        <v>8.0322885219241869</v>
      </c>
    </row>
    <row r="459" spans="1:14">
      <c r="A459" s="16">
        <v>2</v>
      </c>
      <c r="B459" s="76">
        <v>43252</v>
      </c>
      <c r="E459" s="16">
        <v>6</v>
      </c>
      <c r="F459" s="79">
        <v>8.5050000000000008</v>
      </c>
      <c r="G459" s="79">
        <v>3.6999999999999998E-2</v>
      </c>
    </row>
    <row r="460" spans="1:14">
      <c r="A460" s="16">
        <v>16</v>
      </c>
      <c r="B460" s="76">
        <v>43252</v>
      </c>
      <c r="E460" s="16">
        <v>6</v>
      </c>
      <c r="F460" s="79">
        <v>7.37</v>
      </c>
      <c r="G460" s="79">
        <v>5.6000000000000001E-2</v>
      </c>
      <c r="I460">
        <v>7.9375</v>
      </c>
      <c r="J460">
        <v>4.65E-2</v>
      </c>
      <c r="L460">
        <v>5.8582677165354329E-3</v>
      </c>
      <c r="M460">
        <f>+(L460-$L$619)/$L$620</f>
        <v>-0.33999959414090614</v>
      </c>
      <c r="N460">
        <f>+N458+M460</f>
        <v>7.6922889277832809</v>
      </c>
    </row>
    <row r="461" spans="1:14">
      <c r="A461" s="16">
        <v>2</v>
      </c>
      <c r="B461" s="76">
        <v>43282</v>
      </c>
      <c r="C461" s="99" t="s">
        <v>97</v>
      </c>
      <c r="D461" s="104"/>
      <c r="E461" s="16">
        <v>7</v>
      </c>
      <c r="F461" s="79">
        <v>25.248000000000001</v>
      </c>
      <c r="G461" s="79">
        <v>6.0999999999999999E-2</v>
      </c>
    </row>
    <row r="462" spans="1:14">
      <c r="A462" s="16">
        <v>2</v>
      </c>
      <c r="B462" s="76">
        <v>43282</v>
      </c>
      <c r="C462" s="99" t="s">
        <v>100</v>
      </c>
      <c r="D462" s="104"/>
      <c r="E462" s="16">
        <v>7</v>
      </c>
      <c r="F462" s="79">
        <v>21.135999999999999</v>
      </c>
      <c r="G462" s="79">
        <v>0.12</v>
      </c>
      <c r="I462">
        <v>23.192</v>
      </c>
      <c r="J462">
        <v>9.0499999999999997E-2</v>
      </c>
      <c r="L462">
        <v>3.9022076578130388E-3</v>
      </c>
      <c r="M462">
        <f>+(L462-$L$619)/$L$620</f>
        <v>-0.37061289363804095</v>
      </c>
      <c r="N462">
        <f>+N460+M462</f>
        <v>7.3216760341452396</v>
      </c>
    </row>
    <row r="463" spans="1:14">
      <c r="A463" s="16">
        <v>16</v>
      </c>
      <c r="B463" s="76">
        <v>43313</v>
      </c>
      <c r="C463" s="103" t="s">
        <v>101</v>
      </c>
      <c r="D463" s="11"/>
      <c r="E463" s="16">
        <v>8</v>
      </c>
      <c r="F463" s="79">
        <v>7.7830000000000004</v>
      </c>
      <c r="G463" s="79">
        <v>9.9989999999999996E-4</v>
      </c>
    </row>
    <row r="464" spans="1:14">
      <c r="A464" s="16">
        <v>2</v>
      </c>
      <c r="B464" s="76">
        <v>43313</v>
      </c>
      <c r="C464" s="103" t="s">
        <v>98</v>
      </c>
      <c r="D464" s="11"/>
      <c r="E464" s="16">
        <v>8</v>
      </c>
      <c r="F464" s="79">
        <v>6.617</v>
      </c>
      <c r="G464" s="79">
        <v>1.7000000000000001E-2</v>
      </c>
      <c r="I464">
        <v>7.2</v>
      </c>
      <c r="J464">
        <v>8.9999500000000014E-3</v>
      </c>
      <c r="L464">
        <v>1.2499930555555556E-3</v>
      </c>
      <c r="M464">
        <f>+(L464-$L$619)/$L$620</f>
        <v>-0.41212135325180871</v>
      </c>
      <c r="N464">
        <f>+N462+M464</f>
        <v>6.9095546808934305</v>
      </c>
    </row>
    <row r="465" spans="1:14">
      <c r="A465" s="16">
        <v>16</v>
      </c>
      <c r="B465" s="76">
        <v>43344</v>
      </c>
      <c r="C465" s="103"/>
      <c r="D465" s="11"/>
      <c r="E465" s="16">
        <v>9</v>
      </c>
      <c r="F465" s="79">
        <v>10.451000000000001</v>
      </c>
      <c r="G465" s="79">
        <v>5.7000000000000002E-2</v>
      </c>
    </row>
    <row r="466" spans="1:14">
      <c r="A466" s="16">
        <v>2</v>
      </c>
      <c r="B466" s="76">
        <v>43344</v>
      </c>
      <c r="C466" s="103"/>
      <c r="D466" s="11"/>
      <c r="E466" s="16">
        <v>9</v>
      </c>
      <c r="F466" s="79">
        <v>12.564</v>
      </c>
      <c r="G466" s="79">
        <v>8.8999999999999996E-2</v>
      </c>
      <c r="I466">
        <v>11.5075</v>
      </c>
      <c r="J466">
        <v>7.2999999999999995E-2</v>
      </c>
      <c r="L466">
        <v>6.3436888985444273E-3</v>
      </c>
      <c r="M466">
        <f>+(L466-$L$619)/$L$620</f>
        <v>-0.33240251451094799</v>
      </c>
      <c r="N466">
        <f>+N464+M466</f>
        <v>6.5771521663824828</v>
      </c>
    </row>
    <row r="467" spans="1:14">
      <c r="A467" s="16">
        <v>16</v>
      </c>
      <c r="B467" s="76">
        <v>43374</v>
      </c>
      <c r="C467" s="103"/>
      <c r="D467" s="11"/>
      <c r="E467" s="16">
        <v>10</v>
      </c>
      <c r="F467" s="79">
        <v>1.891</v>
      </c>
      <c r="G467" s="79">
        <v>1.2999999999999999E-2</v>
      </c>
    </row>
    <row r="468" spans="1:14">
      <c r="A468" s="16">
        <v>2</v>
      </c>
      <c r="B468" s="76">
        <v>43374</v>
      </c>
      <c r="C468" s="103"/>
      <c r="D468" s="11"/>
      <c r="E468" s="16">
        <v>10</v>
      </c>
      <c r="F468" s="79">
        <v>2.4500000000000002</v>
      </c>
      <c r="G468" s="79">
        <v>0.04</v>
      </c>
      <c r="I468">
        <v>2.1705000000000001</v>
      </c>
      <c r="J468">
        <v>2.6499999999999999E-2</v>
      </c>
      <c r="L468">
        <v>1.2209168394379175E-2</v>
      </c>
      <c r="M468">
        <f>+(L468-$L$619)/$L$620</f>
        <v>-0.2406048829916102</v>
      </c>
      <c r="N468">
        <f>+N466+M468</f>
        <v>6.3365472833908729</v>
      </c>
    </row>
    <row r="469" spans="1:14">
      <c r="A469" s="16">
        <v>16</v>
      </c>
      <c r="B469" s="76">
        <v>43405</v>
      </c>
      <c r="C469" s="103"/>
      <c r="D469" s="11"/>
      <c r="E469" s="16">
        <v>11</v>
      </c>
      <c r="F469" s="79">
        <v>3.0779999999999998</v>
      </c>
      <c r="G469" s="79">
        <v>9.2999999999999999E-2</v>
      </c>
    </row>
    <row r="470" spans="1:14">
      <c r="A470" s="16">
        <v>2</v>
      </c>
      <c r="B470" s="76">
        <v>43405</v>
      </c>
      <c r="C470" s="103"/>
      <c r="D470" s="11"/>
      <c r="E470" s="16">
        <v>11</v>
      </c>
      <c r="F470" s="79">
        <v>2.302</v>
      </c>
      <c r="G470" s="79">
        <v>8.3000000000000004E-2</v>
      </c>
      <c r="I470">
        <v>2.69</v>
      </c>
      <c r="J470">
        <v>8.7999999999999995E-2</v>
      </c>
      <c r="L470">
        <v>3.2713754646840149E-2</v>
      </c>
      <c r="M470">
        <f>+(L470-$L$619)/$L$620</f>
        <v>8.0301950728727645E-2</v>
      </c>
      <c r="N470">
        <f>+N468+M470</f>
        <v>6.4168492341196002</v>
      </c>
    </row>
    <row r="471" spans="1:14">
      <c r="A471" s="16">
        <v>16</v>
      </c>
      <c r="B471" s="77">
        <v>43435</v>
      </c>
      <c r="C471" s="103"/>
      <c r="D471" s="11"/>
      <c r="E471" s="16">
        <v>12</v>
      </c>
    </row>
    <row r="472" spans="1:14">
      <c r="A472" s="16">
        <v>2</v>
      </c>
      <c r="B472" s="76">
        <v>43435</v>
      </c>
      <c r="C472" s="103"/>
      <c r="D472" s="11"/>
      <c r="E472" s="16">
        <v>12</v>
      </c>
    </row>
    <row r="473" spans="1:14">
      <c r="A473" s="16">
        <v>16</v>
      </c>
      <c r="B473" s="71">
        <v>43475</v>
      </c>
      <c r="C473" s="103"/>
      <c r="D473" s="11"/>
      <c r="E473" s="16">
        <v>1</v>
      </c>
    </row>
    <row r="474" spans="1:14">
      <c r="A474" s="16">
        <v>2</v>
      </c>
      <c r="B474" s="71">
        <v>43470</v>
      </c>
      <c r="C474" s="103"/>
      <c r="D474" s="11"/>
      <c r="E474" s="16">
        <v>1</v>
      </c>
    </row>
    <row r="475" spans="1:14">
      <c r="A475" s="16">
        <v>16</v>
      </c>
      <c r="B475" s="76">
        <v>43497</v>
      </c>
      <c r="C475" s="103"/>
      <c r="D475" s="11"/>
      <c r="E475" s="16">
        <v>2</v>
      </c>
    </row>
    <row r="476" spans="1:14">
      <c r="A476" s="16">
        <v>2</v>
      </c>
      <c r="B476" s="76">
        <v>43497</v>
      </c>
      <c r="C476" s="103"/>
      <c r="D476" s="11"/>
      <c r="E476" s="16">
        <v>2</v>
      </c>
    </row>
    <row r="477" spans="1:14">
      <c r="A477" s="16">
        <v>16</v>
      </c>
      <c r="B477" s="76">
        <v>43525</v>
      </c>
      <c r="C477" s="103"/>
      <c r="D477" s="11"/>
      <c r="E477" s="16">
        <v>3</v>
      </c>
      <c r="F477" s="84">
        <v>1.867</v>
      </c>
      <c r="G477" s="84">
        <v>0.03</v>
      </c>
    </row>
    <row r="478" spans="1:14">
      <c r="A478" s="16">
        <v>2</v>
      </c>
      <c r="B478" s="76">
        <v>43525</v>
      </c>
      <c r="C478" s="103"/>
      <c r="D478" s="11"/>
      <c r="E478" s="16">
        <v>3</v>
      </c>
      <c r="F478" s="84">
        <v>0.65800000000000003</v>
      </c>
      <c r="G478" s="84">
        <v>3.3000000000000002E-2</v>
      </c>
      <c r="I478" s="29">
        <f>AVERAGE(F477:F478)</f>
        <v>1.2625</v>
      </c>
      <c r="J478" s="29">
        <f>AVERAGE(G477:G478)</f>
        <v>3.15E-2</v>
      </c>
      <c r="L478">
        <f>+J478/I478</f>
        <v>2.4950495049504952E-2</v>
      </c>
      <c r="M478">
        <f>+(L478-$L$619)/$L$620</f>
        <v>-4.1196870367009288E-2</v>
      </c>
      <c r="N478">
        <f>+N470+M478</f>
        <v>6.3756523637525913</v>
      </c>
    </row>
    <row r="479" spans="1:14">
      <c r="A479" s="16">
        <v>16</v>
      </c>
      <c r="B479" s="76">
        <v>43556</v>
      </c>
      <c r="C479" s="103"/>
      <c r="D479" s="11"/>
      <c r="E479" s="16">
        <v>4</v>
      </c>
      <c r="F479" s="85">
        <v>3.7320000000000002</v>
      </c>
      <c r="G479" s="84">
        <v>1.0999999999999999E-2</v>
      </c>
    </row>
    <row r="480" spans="1:14">
      <c r="A480" s="16">
        <v>2</v>
      </c>
      <c r="B480" s="76">
        <v>43556</v>
      </c>
      <c r="C480" s="103"/>
      <c r="D480" s="11"/>
      <c r="E480" s="16">
        <v>4</v>
      </c>
      <c r="F480" s="85">
        <v>3.133</v>
      </c>
      <c r="G480" s="84">
        <v>2.5000000000000001E-2</v>
      </c>
      <c r="I480" s="29">
        <f>AVERAGE(F479:F480)</f>
        <v>3.4325000000000001</v>
      </c>
      <c r="J480" s="29">
        <f>AVERAGE(G479:G480)</f>
        <v>1.8000000000000002E-2</v>
      </c>
      <c r="L480">
        <f>+J480/I480</f>
        <v>5.2439912600145671E-3</v>
      </c>
      <c r="M480">
        <f>+(L480-$L$619)/$L$620</f>
        <v>-0.34961332202909501</v>
      </c>
      <c r="N480">
        <f>+N478+M480</f>
        <v>6.0260390417234966</v>
      </c>
    </row>
    <row r="481" spans="1:14">
      <c r="A481" s="16">
        <v>16</v>
      </c>
      <c r="B481" s="76">
        <v>43586</v>
      </c>
      <c r="C481" s="103"/>
      <c r="D481" s="11"/>
      <c r="E481" s="16">
        <v>5</v>
      </c>
      <c r="F481" s="85">
        <v>5.5910000000000002</v>
      </c>
      <c r="G481" s="84">
        <v>7.2999999999999995E-2</v>
      </c>
    </row>
    <row r="482" spans="1:14">
      <c r="A482" s="16">
        <v>2</v>
      </c>
      <c r="B482" s="76">
        <v>43586</v>
      </c>
      <c r="C482" s="103"/>
      <c r="D482" s="11"/>
      <c r="E482" s="16">
        <v>5</v>
      </c>
      <c r="F482" s="85">
        <v>4.952</v>
      </c>
      <c r="G482" s="84">
        <v>8.1000000000000003E-2</v>
      </c>
      <c r="I482" s="29">
        <f>AVERAGE(F481:F482)</f>
        <v>5.2714999999999996</v>
      </c>
      <c r="J482" s="29">
        <f>AVERAGE(G481:G482)</f>
        <v>7.6999999999999999E-2</v>
      </c>
      <c r="L482">
        <f>+J482/I482</f>
        <v>1.4606848145689084E-2</v>
      </c>
      <c r="M482">
        <f>+(L482-$L$619)/$L$620</f>
        <v>-0.20308001866152001</v>
      </c>
      <c r="N482">
        <f>+N480+M482</f>
        <v>5.8229590230619763</v>
      </c>
    </row>
    <row r="483" spans="1:14">
      <c r="A483" s="16">
        <v>16</v>
      </c>
      <c r="B483" s="76">
        <v>43617</v>
      </c>
      <c r="C483" s="103"/>
      <c r="D483" s="11"/>
      <c r="E483" s="16">
        <v>6</v>
      </c>
      <c r="F483" s="85">
        <v>5.7869999999999999</v>
      </c>
      <c r="G483" s="84">
        <v>6.2E-2</v>
      </c>
    </row>
    <row r="484" spans="1:14">
      <c r="A484" s="16">
        <v>2</v>
      </c>
      <c r="B484" s="76">
        <v>43617</v>
      </c>
      <c r="C484" s="103"/>
      <c r="D484" s="11"/>
      <c r="E484" s="16">
        <v>6</v>
      </c>
      <c r="F484" s="86">
        <v>4.359</v>
      </c>
      <c r="G484" s="86">
        <v>5.2999999999999999E-2</v>
      </c>
      <c r="I484" s="29">
        <f>AVERAGE(F483:F484)</f>
        <v>5.0730000000000004</v>
      </c>
      <c r="J484" s="29">
        <f>AVERAGE(G483:G484)</f>
        <v>5.7499999999999996E-2</v>
      </c>
      <c r="L484">
        <f>+J484/I484</f>
        <v>1.1334516065444509E-2</v>
      </c>
      <c r="M484">
        <f>+(L484-$L$619)/$L$620</f>
        <v>-0.25429362101483444</v>
      </c>
      <c r="N484">
        <f>+N482+M484</f>
        <v>5.5686654020471416</v>
      </c>
    </row>
    <row r="485" spans="1:14">
      <c r="A485" s="16">
        <v>16</v>
      </c>
      <c r="B485" s="76">
        <v>43647</v>
      </c>
      <c r="C485" s="103"/>
      <c r="D485" s="11"/>
      <c r="E485" s="16">
        <v>7</v>
      </c>
      <c r="F485" s="79">
        <v>4.468</v>
      </c>
      <c r="G485" s="79">
        <v>0.107</v>
      </c>
    </row>
    <row r="486" spans="1:14">
      <c r="A486" s="16">
        <v>2</v>
      </c>
      <c r="B486" s="76">
        <v>43647</v>
      </c>
      <c r="C486" s="103"/>
      <c r="D486" s="11"/>
      <c r="E486" s="16">
        <v>7</v>
      </c>
      <c r="F486" s="79">
        <v>3.464</v>
      </c>
      <c r="G486" s="79">
        <v>4.8000000000000001E-2</v>
      </c>
      <c r="I486" s="29">
        <f>AVERAGE(F485:F486)</f>
        <v>3.9660000000000002</v>
      </c>
      <c r="J486" s="29">
        <f>AVERAGE(G485:G486)</f>
        <v>7.7499999999999999E-2</v>
      </c>
      <c r="L486">
        <f>+J486/I486</f>
        <v>1.9541099344427635E-2</v>
      </c>
      <c r="M486">
        <f>+(L486-$L$619)/$L$620</f>
        <v>-0.12585656682142621</v>
      </c>
      <c r="N486">
        <f>+N484+M486</f>
        <v>5.4428088352257156</v>
      </c>
    </row>
    <row r="487" spans="1:14">
      <c r="A487" s="16">
        <v>16</v>
      </c>
      <c r="B487" s="76">
        <v>43678</v>
      </c>
      <c r="C487" s="103"/>
      <c r="D487" s="11"/>
      <c r="E487" s="16">
        <v>8</v>
      </c>
    </row>
    <row r="488" spans="1:14">
      <c r="A488" s="16">
        <v>2</v>
      </c>
      <c r="B488" s="76">
        <v>43678</v>
      </c>
      <c r="C488" s="103"/>
      <c r="D488" s="11"/>
      <c r="E488" s="16">
        <v>8</v>
      </c>
      <c r="I488" s="29"/>
      <c r="J488" s="29"/>
    </row>
    <row r="489" spans="1:14">
      <c r="A489" s="16">
        <v>16</v>
      </c>
      <c r="B489" s="76">
        <v>43709</v>
      </c>
      <c r="C489" s="103"/>
      <c r="D489" s="11"/>
      <c r="E489" s="16">
        <v>9</v>
      </c>
      <c r="F489" s="79">
        <v>4.1150000000000002</v>
      </c>
      <c r="G489" s="79">
        <v>9.9989999999999996E-4</v>
      </c>
    </row>
    <row r="490" spans="1:14">
      <c r="A490" s="16">
        <v>2</v>
      </c>
      <c r="B490" s="76">
        <v>43709</v>
      </c>
      <c r="C490" s="103"/>
      <c r="D490" s="11"/>
      <c r="E490" s="16">
        <v>9</v>
      </c>
      <c r="F490" s="79">
        <v>3.61</v>
      </c>
      <c r="G490" s="79">
        <v>9.9989999999999996E-4</v>
      </c>
      <c r="I490" s="29">
        <f>AVERAGE(F489:F490)</f>
        <v>3.8624999999999998</v>
      </c>
      <c r="J490" s="29">
        <f>AVERAGE(G489:G490)</f>
        <v>9.9989999999999996E-4</v>
      </c>
      <c r="L490">
        <f>+J490/I490</f>
        <v>2.5887378640776699E-4</v>
      </c>
      <c r="M490">
        <f>+(L490-$L$619)/$L$620</f>
        <v>-0.42763285602418277</v>
      </c>
      <c r="N490">
        <f>+N486+M490</f>
        <v>5.0151759792015325</v>
      </c>
    </row>
    <row r="491" spans="1:14">
      <c r="A491" s="16">
        <v>16</v>
      </c>
      <c r="B491" s="76">
        <v>43739</v>
      </c>
      <c r="C491" s="103"/>
      <c r="D491" s="11"/>
      <c r="E491" s="16">
        <v>10</v>
      </c>
      <c r="F491" s="79">
        <v>1.8440000000000001</v>
      </c>
      <c r="G491" s="79">
        <v>9.9989999999999996E-4</v>
      </c>
    </row>
    <row r="492" spans="1:14">
      <c r="A492" s="16">
        <v>2</v>
      </c>
      <c r="B492" s="76">
        <v>43739</v>
      </c>
      <c r="C492" s="103"/>
      <c r="D492" s="11"/>
      <c r="E492" s="16">
        <v>10</v>
      </c>
      <c r="F492" s="79">
        <v>1.2909999999999999</v>
      </c>
      <c r="G492" s="79">
        <v>9.9989999999999996E-4</v>
      </c>
      <c r="I492" s="29">
        <f>AVERAGE(F491:F492)</f>
        <v>1.5674999999999999</v>
      </c>
      <c r="J492" s="29">
        <f>AVERAGE(G491:G492)</f>
        <v>9.9989999999999996E-4</v>
      </c>
      <c r="L492">
        <f>+J492/I492</f>
        <v>6.378947368421053E-4</v>
      </c>
      <c r="M492">
        <f>+(L492-$L$619)/$L$620</f>
        <v>-0.42170099221478952</v>
      </c>
      <c r="N492">
        <f>+N490+M492</f>
        <v>4.5934749869867426</v>
      </c>
    </row>
    <row r="493" spans="1:14">
      <c r="A493" s="16">
        <v>2</v>
      </c>
      <c r="B493" s="76">
        <v>43770</v>
      </c>
      <c r="C493" s="103"/>
      <c r="D493" s="11"/>
      <c r="E493" s="16">
        <v>11</v>
      </c>
    </row>
    <row r="494" spans="1:14">
      <c r="A494" s="16">
        <v>16</v>
      </c>
      <c r="B494" s="76">
        <v>43770</v>
      </c>
      <c r="C494" s="103"/>
      <c r="D494" s="11"/>
      <c r="E494" s="16">
        <v>11</v>
      </c>
      <c r="I494" s="29"/>
      <c r="J494" s="29"/>
    </row>
    <row r="495" spans="1:14">
      <c r="A495" s="16">
        <v>2</v>
      </c>
      <c r="B495" s="77">
        <v>43800</v>
      </c>
      <c r="C495" s="103"/>
      <c r="D495" s="11"/>
      <c r="E495" s="16">
        <v>12</v>
      </c>
      <c r="F495" s="79">
        <v>1.1419999999999999</v>
      </c>
      <c r="G495" s="79">
        <v>1.2E-2</v>
      </c>
    </row>
    <row r="496" spans="1:14">
      <c r="A496" s="16">
        <v>16</v>
      </c>
      <c r="B496" s="76">
        <v>43800</v>
      </c>
      <c r="C496" s="103"/>
      <c r="D496" s="11"/>
      <c r="E496" s="16">
        <v>12</v>
      </c>
      <c r="F496" s="79">
        <v>1.02</v>
      </c>
      <c r="G496" s="79">
        <v>1.4E-2</v>
      </c>
      <c r="I496" s="29">
        <f>AVERAGE(F495:F496)</f>
        <v>1.081</v>
      </c>
      <c r="J496" s="29">
        <f>AVERAGE(G495:G496)</f>
        <v>1.3000000000000001E-2</v>
      </c>
      <c r="L496">
        <f>+J496/I496</f>
        <v>1.20259019426457E-2</v>
      </c>
      <c r="M496">
        <f>+(L496-$L$619)/$L$620</f>
        <v>-0.24347309286567639</v>
      </c>
      <c r="N496">
        <f>+N492+M496</f>
        <v>4.3500018941210659</v>
      </c>
    </row>
    <row r="497" spans="1:14">
      <c r="A497" s="91">
        <v>2</v>
      </c>
      <c r="B497" s="92">
        <v>43831</v>
      </c>
      <c r="C497" s="93">
        <v>2020</v>
      </c>
      <c r="D497" s="94" t="s">
        <v>39</v>
      </c>
      <c r="E497" s="91">
        <v>1</v>
      </c>
    </row>
    <row r="498" spans="1:14">
      <c r="A498" s="16">
        <v>16</v>
      </c>
      <c r="B498" s="72">
        <v>43831</v>
      </c>
      <c r="C498">
        <v>2020</v>
      </c>
      <c r="D498" s="11" t="s">
        <v>39</v>
      </c>
      <c r="E498" s="16">
        <v>1</v>
      </c>
    </row>
    <row r="499" spans="1:14">
      <c r="A499" s="16">
        <v>2</v>
      </c>
      <c r="B499" s="76">
        <v>43862</v>
      </c>
      <c r="C499">
        <v>2020</v>
      </c>
      <c r="D499" s="11" t="s">
        <v>28</v>
      </c>
      <c r="E499" s="16">
        <v>2</v>
      </c>
      <c r="F499" s="107">
        <v>1.6419999999999999</v>
      </c>
      <c r="G499" s="107">
        <v>1.6E-2</v>
      </c>
    </row>
    <row r="500" spans="1:14">
      <c r="A500" s="16">
        <v>16</v>
      </c>
      <c r="B500" s="76">
        <v>43862</v>
      </c>
      <c r="C500">
        <v>2020</v>
      </c>
      <c r="D500" s="11" t="s">
        <v>28</v>
      </c>
      <c r="E500" s="16">
        <v>2</v>
      </c>
      <c r="F500" s="107">
        <v>0.47299999999999998</v>
      </c>
      <c r="G500" s="107">
        <v>9.9989999999999996E-4</v>
      </c>
      <c r="I500" s="29">
        <f>AVERAGE(F499:F500)</f>
        <v>1.0574999999999999</v>
      </c>
      <c r="J500" s="29">
        <f>AVERAGE(G499:G500)</f>
        <v>8.4999500000000009E-3</v>
      </c>
      <c r="L500">
        <f>+J500/I500</f>
        <v>8.0377777777777791E-3</v>
      </c>
      <c r="M500">
        <f>+(L500-$L$619)/$L$620</f>
        <v>-0.30588919248718066</v>
      </c>
      <c r="N500">
        <f>+N496+M500</f>
        <v>4.0441127016338854</v>
      </c>
    </row>
    <row r="501" spans="1:14">
      <c r="A501" s="16">
        <v>2</v>
      </c>
      <c r="B501" s="76">
        <v>43891</v>
      </c>
      <c r="C501">
        <v>2020</v>
      </c>
      <c r="D501" s="11" t="s">
        <v>29</v>
      </c>
      <c r="E501" s="16">
        <v>3</v>
      </c>
    </row>
    <row r="502" spans="1:14">
      <c r="A502" s="16">
        <v>16</v>
      </c>
      <c r="B502" s="76">
        <v>43891</v>
      </c>
      <c r="C502">
        <v>2020</v>
      </c>
      <c r="D502" s="11" t="s">
        <v>29</v>
      </c>
      <c r="E502" s="16">
        <v>3</v>
      </c>
    </row>
    <row r="503" spans="1:14">
      <c r="A503" s="16">
        <v>2</v>
      </c>
      <c r="B503" s="76">
        <v>43922</v>
      </c>
      <c r="C503">
        <v>2020</v>
      </c>
      <c r="D503" s="11" t="s">
        <v>30</v>
      </c>
      <c r="E503" s="16">
        <v>4</v>
      </c>
    </row>
    <row r="504" spans="1:14">
      <c r="A504" s="16">
        <v>16</v>
      </c>
      <c r="B504" s="76">
        <v>43922</v>
      </c>
      <c r="C504">
        <v>2020</v>
      </c>
      <c r="D504" s="11" t="s">
        <v>30</v>
      </c>
      <c r="E504" s="16">
        <v>4</v>
      </c>
    </row>
    <row r="505" spans="1:14">
      <c r="A505" s="16">
        <v>2</v>
      </c>
      <c r="B505" s="76">
        <v>43952</v>
      </c>
      <c r="C505">
        <v>2020</v>
      </c>
      <c r="D505" s="11" t="s">
        <v>31</v>
      </c>
      <c r="E505" s="16">
        <v>5</v>
      </c>
    </row>
    <row r="506" spans="1:14">
      <c r="A506" s="16">
        <v>16</v>
      </c>
      <c r="B506" s="76">
        <v>43952</v>
      </c>
      <c r="C506">
        <v>2020</v>
      </c>
      <c r="D506" s="11" t="s">
        <v>31</v>
      </c>
      <c r="E506" s="16">
        <v>5</v>
      </c>
    </row>
    <row r="507" spans="1:14">
      <c r="A507" s="16">
        <v>2</v>
      </c>
      <c r="B507" s="76">
        <v>43983</v>
      </c>
      <c r="C507">
        <v>2020</v>
      </c>
      <c r="D507" s="11" t="s">
        <v>32</v>
      </c>
      <c r="E507" s="16">
        <v>6</v>
      </c>
      <c r="F507" s="107">
        <v>3.1960000000000002</v>
      </c>
      <c r="G507" s="107">
        <v>2.3E-2</v>
      </c>
    </row>
    <row r="508" spans="1:14">
      <c r="A508" s="16">
        <v>16</v>
      </c>
      <c r="B508" s="76">
        <v>43983</v>
      </c>
      <c r="C508">
        <v>2020</v>
      </c>
      <c r="D508" s="11" t="s">
        <v>32</v>
      </c>
      <c r="E508" s="16">
        <v>6</v>
      </c>
      <c r="F508" s="107">
        <v>6.8529999999999998</v>
      </c>
      <c r="G508" s="107">
        <v>0.111</v>
      </c>
      <c r="I508" s="29">
        <f>AVERAGE(F507:F508)</f>
        <v>5.0244999999999997</v>
      </c>
      <c r="J508" s="29">
        <f>AVERAGE(G507:G508)</f>
        <v>6.7000000000000004E-2</v>
      </c>
      <c r="L508">
        <f>J508/I508</f>
        <v>1.3334660165190568E-2</v>
      </c>
      <c r="M508">
        <f>+(L508-$L$619)/$L$620</f>
        <v>-0.22299038464951215</v>
      </c>
      <c r="N508">
        <f>+N500+M508</f>
        <v>3.8211223169843733</v>
      </c>
    </row>
    <row r="509" spans="1:14">
      <c r="A509" s="16">
        <v>2</v>
      </c>
      <c r="B509" s="76">
        <v>44013</v>
      </c>
      <c r="C509">
        <v>2020</v>
      </c>
      <c r="D509" s="11" t="s">
        <v>33</v>
      </c>
      <c r="E509" s="16">
        <v>7</v>
      </c>
      <c r="F509" s="107">
        <v>9.3040000000000003</v>
      </c>
      <c r="G509" s="5">
        <v>0.13600000000000001</v>
      </c>
      <c r="H509" s="108" t="s">
        <v>103</v>
      </c>
    </row>
    <row r="510" spans="1:14">
      <c r="A510" s="16">
        <v>16</v>
      </c>
      <c r="B510" s="76">
        <v>44013</v>
      </c>
      <c r="C510">
        <v>2020</v>
      </c>
      <c r="D510" s="11" t="s">
        <v>33</v>
      </c>
      <c r="E510" s="16">
        <v>7</v>
      </c>
      <c r="F510" s="107">
        <v>5.8360000000000003</v>
      </c>
      <c r="G510" s="107">
        <v>0.11</v>
      </c>
      <c r="I510" s="29">
        <f t="shared" ref="I510" si="0">AVERAGE(F509:F510)</f>
        <v>7.57</v>
      </c>
      <c r="J510" s="29">
        <f t="shared" ref="J510" si="1">AVERAGE(G509:G510)</f>
        <v>0.123</v>
      </c>
      <c r="L510">
        <f t="shared" ref="L510" si="2">J510/I510</f>
        <v>1.6248348745046236E-2</v>
      </c>
      <c r="M510">
        <f t="shared" ref="M510" si="3">+(L510-$L$619)/$L$620</f>
        <v>-0.17738972901587954</v>
      </c>
      <c r="N510">
        <f>+N508+M510</f>
        <v>3.6437325879684939</v>
      </c>
    </row>
    <row r="511" spans="1:14">
      <c r="A511" s="16">
        <v>2</v>
      </c>
      <c r="B511" s="76">
        <v>44044</v>
      </c>
      <c r="C511">
        <v>2020</v>
      </c>
      <c r="D511" s="11" t="s">
        <v>34</v>
      </c>
      <c r="E511" s="16">
        <v>8</v>
      </c>
      <c r="F511" s="107">
        <v>6.1509999999999998</v>
      </c>
      <c r="G511" s="107">
        <v>3.3000000000000002E-2</v>
      </c>
    </row>
    <row r="512" spans="1:14">
      <c r="A512" s="16">
        <v>16</v>
      </c>
      <c r="B512" s="76">
        <v>44044</v>
      </c>
      <c r="C512">
        <v>2020</v>
      </c>
      <c r="D512" s="11" t="s">
        <v>34</v>
      </c>
      <c r="E512" s="16">
        <v>8</v>
      </c>
      <c r="F512" s="107">
        <v>8.2629999999999999</v>
      </c>
      <c r="G512" s="107">
        <v>9.8000000000000004E-2</v>
      </c>
      <c r="I512" s="29">
        <f t="shared" ref="I512" si="4">AVERAGE(F511:F512)</f>
        <v>7.2069999999999999</v>
      </c>
      <c r="J512" s="29">
        <f t="shared" ref="J512" si="5">AVERAGE(G511:G512)</f>
        <v>6.5500000000000003E-2</v>
      </c>
      <c r="L512">
        <f t="shared" ref="L512" si="6">J512/I512</f>
        <v>9.0883862911058707E-3</v>
      </c>
      <c r="M512">
        <f t="shared" ref="M512" si="7">+(L512-$L$619)/$L$620</f>
        <v>-0.28944665385993645</v>
      </c>
      <c r="N512">
        <f t="shared" ref="N512" si="8">+N510+M512</f>
        <v>3.3542859341085576</v>
      </c>
    </row>
    <row r="513" spans="1:14">
      <c r="A513" s="16">
        <v>2</v>
      </c>
      <c r="B513" s="76">
        <v>44075</v>
      </c>
      <c r="C513">
        <v>2020</v>
      </c>
      <c r="D513" s="11" t="s">
        <v>40</v>
      </c>
      <c r="E513" s="16">
        <v>9</v>
      </c>
      <c r="F513" s="107">
        <v>3.258</v>
      </c>
      <c r="G513" s="107">
        <v>8.5000000000000006E-2</v>
      </c>
    </row>
    <row r="514" spans="1:14">
      <c r="A514" s="16">
        <v>16</v>
      </c>
      <c r="B514" s="76">
        <v>44075</v>
      </c>
      <c r="C514">
        <v>2020</v>
      </c>
      <c r="D514" s="11" t="s">
        <v>40</v>
      </c>
      <c r="E514" s="16">
        <v>9</v>
      </c>
      <c r="F514" s="107">
        <v>2.2799999999999998</v>
      </c>
      <c r="G514" s="107">
        <v>1.2E-2</v>
      </c>
      <c r="I514" s="29">
        <f t="shared" ref="I514" si="9">AVERAGE(F513:F514)</f>
        <v>2.7690000000000001</v>
      </c>
      <c r="J514" s="29">
        <f t="shared" ref="J514" si="10">AVERAGE(G513:G514)</f>
        <v>4.8500000000000001E-2</v>
      </c>
      <c r="L514">
        <f t="shared" ref="L514" si="11">J514/I514</f>
        <v>1.7515348501263996E-2</v>
      </c>
      <c r="M514">
        <f t="shared" ref="M514" si="12">+(L514-$L$619)/$L$620</f>
        <v>-0.15756056128305185</v>
      </c>
      <c r="N514">
        <f t="shared" ref="N514" si="13">+N512+M514</f>
        <v>3.1967253728255058</v>
      </c>
    </row>
    <row r="515" spans="1:14">
      <c r="A515" s="16">
        <v>2</v>
      </c>
      <c r="B515" s="76">
        <v>44105</v>
      </c>
      <c r="C515">
        <v>2020</v>
      </c>
      <c r="D515" s="11" t="s">
        <v>36</v>
      </c>
      <c r="E515" s="16">
        <v>10</v>
      </c>
      <c r="F515" s="107">
        <v>1.345</v>
      </c>
      <c r="G515" s="107">
        <v>0.03</v>
      </c>
    </row>
    <row r="516" spans="1:14">
      <c r="A516" s="16">
        <v>16</v>
      </c>
      <c r="B516" s="76">
        <v>44105</v>
      </c>
      <c r="C516">
        <v>2020</v>
      </c>
      <c r="D516" s="11" t="s">
        <v>36</v>
      </c>
      <c r="E516" s="16">
        <v>10</v>
      </c>
      <c r="F516" s="107">
        <v>1.117</v>
      </c>
      <c r="G516" s="107">
        <v>3.7999999999999999E-2</v>
      </c>
      <c r="I516" s="29">
        <f t="shared" ref="I516" si="14">AVERAGE(F515:F516)</f>
        <v>1.2309999999999999</v>
      </c>
      <c r="J516" s="29">
        <f t="shared" ref="J516" si="15">AVERAGE(G515:G516)</f>
        <v>3.4000000000000002E-2</v>
      </c>
      <c r="L516">
        <f t="shared" ref="L516" si="16">J516/I516</f>
        <v>2.7619821283509347E-2</v>
      </c>
      <c r="M516">
        <f t="shared" ref="M516" si="17">+(L516-$L$619)/$L$620</f>
        <v>5.7939467799613233E-4</v>
      </c>
      <c r="N516">
        <f t="shared" ref="N516" si="18">+N514+M516</f>
        <v>3.197304767503502</v>
      </c>
    </row>
    <row r="517" spans="1:14">
      <c r="A517" s="16">
        <v>2</v>
      </c>
      <c r="B517" s="76">
        <v>44136</v>
      </c>
      <c r="C517">
        <v>2020</v>
      </c>
      <c r="D517" s="11" t="s">
        <v>37</v>
      </c>
      <c r="E517" s="16">
        <v>11</v>
      </c>
      <c r="F517" s="109">
        <v>1.9065000000000001</v>
      </c>
      <c r="G517" s="109">
        <v>1E-3</v>
      </c>
    </row>
    <row r="518" spans="1:14">
      <c r="A518" s="16">
        <v>16</v>
      </c>
      <c r="B518" s="76">
        <v>44136</v>
      </c>
      <c r="C518">
        <v>2020</v>
      </c>
      <c r="D518" s="11" t="s">
        <v>37</v>
      </c>
      <c r="E518" s="16">
        <v>11</v>
      </c>
      <c r="F518" s="107">
        <v>1.268</v>
      </c>
      <c r="G518" s="109">
        <v>1E-3</v>
      </c>
      <c r="I518" s="29">
        <f t="shared" ref="I518:J518" si="19">AVERAGE(F517:F518)</f>
        <v>1.58725</v>
      </c>
      <c r="J518" s="29">
        <f t="shared" si="19"/>
        <v>1E-3</v>
      </c>
      <c r="L518">
        <f t="shared" ref="L518" si="20">J518/I518</f>
        <v>6.3002047566545908E-4</v>
      </c>
      <c r="M518">
        <f t="shared" ref="M518" si="21">+(L518-$L$619)/$L$620</f>
        <v>-0.42182422826505511</v>
      </c>
      <c r="N518">
        <f t="shared" ref="N518" si="22">+N516+M518</f>
        <v>2.7754805392384467</v>
      </c>
    </row>
    <row r="519" spans="1:14">
      <c r="A519" s="16">
        <v>2</v>
      </c>
      <c r="B519" s="77">
        <v>44166</v>
      </c>
      <c r="C519">
        <v>2020</v>
      </c>
      <c r="D519" s="11" t="s">
        <v>38</v>
      </c>
      <c r="E519" s="16">
        <v>12</v>
      </c>
    </row>
    <row r="520" spans="1:14">
      <c r="A520" s="16">
        <v>16</v>
      </c>
      <c r="B520" s="76">
        <v>44166</v>
      </c>
      <c r="C520">
        <v>2020</v>
      </c>
      <c r="D520" s="11" t="s">
        <v>38</v>
      </c>
      <c r="E520" s="16">
        <v>12</v>
      </c>
      <c r="J520" s="29"/>
    </row>
    <row r="521" spans="1:14">
      <c r="A521" s="91">
        <v>2</v>
      </c>
      <c r="B521" s="92">
        <v>44197</v>
      </c>
      <c r="C521" s="93">
        <v>2021</v>
      </c>
      <c r="D521" s="94" t="s">
        <v>39</v>
      </c>
      <c r="E521" s="91">
        <v>1</v>
      </c>
    </row>
    <row r="522" spans="1:14">
      <c r="A522" s="16">
        <v>16</v>
      </c>
      <c r="B522" s="72">
        <v>44197</v>
      </c>
      <c r="C522">
        <v>2021</v>
      </c>
      <c r="D522" s="11" t="s">
        <v>39</v>
      </c>
      <c r="E522" s="16">
        <v>1</v>
      </c>
      <c r="J522" s="29"/>
    </row>
    <row r="523" spans="1:14">
      <c r="A523" s="16">
        <v>2</v>
      </c>
      <c r="B523" s="76">
        <v>44228</v>
      </c>
      <c r="C523">
        <v>2021</v>
      </c>
      <c r="D523" s="11" t="s">
        <v>28</v>
      </c>
      <c r="E523" s="16">
        <v>2</v>
      </c>
      <c r="F523" s="111">
        <v>7.3609999999999998</v>
      </c>
      <c r="G523" s="113">
        <v>2.4E-2</v>
      </c>
    </row>
    <row r="524" spans="1:14">
      <c r="A524" s="16">
        <v>16</v>
      </c>
      <c r="B524" s="76">
        <v>44228</v>
      </c>
      <c r="C524">
        <v>2021</v>
      </c>
      <c r="D524" s="11" t="s">
        <v>28</v>
      </c>
      <c r="E524" s="16">
        <v>2</v>
      </c>
      <c r="F524" s="113">
        <v>3.9689999999999999</v>
      </c>
      <c r="G524" s="113">
        <v>2.4E-2</v>
      </c>
      <c r="I524" s="29">
        <f>AVERAGE(F523:F524)</f>
        <v>5.665</v>
      </c>
      <c r="J524" s="29">
        <f t="shared" ref="J524" si="23">AVERAGE(G523:G524)</f>
        <v>2.4E-2</v>
      </c>
      <c r="L524">
        <f t="shared" ref="L524" si="24">J524/I524</f>
        <v>4.2365401588702559E-3</v>
      </c>
      <c r="M524">
        <f t="shared" ref="M524" si="25">+(L524-$L$619)/$L$620</f>
        <v>-0.36538042598406933</v>
      </c>
      <c r="N524">
        <f>+N518+M524</f>
        <v>2.4101001132543773</v>
      </c>
    </row>
    <row r="525" spans="1:14">
      <c r="A525" s="16">
        <v>2</v>
      </c>
      <c r="B525" s="76">
        <v>44256</v>
      </c>
      <c r="C525">
        <v>2021</v>
      </c>
      <c r="D525" s="11" t="s">
        <v>29</v>
      </c>
      <c r="E525" s="16">
        <v>3</v>
      </c>
      <c r="F525" s="113">
        <v>2.6480000000000001</v>
      </c>
      <c r="G525" s="113">
        <v>0.01</v>
      </c>
    </row>
    <row r="526" spans="1:14">
      <c r="A526" s="16">
        <v>16</v>
      </c>
      <c r="B526" s="76">
        <v>44256</v>
      </c>
      <c r="C526">
        <v>2021</v>
      </c>
      <c r="D526" s="11" t="s">
        <v>29</v>
      </c>
      <c r="E526" s="16">
        <v>3</v>
      </c>
      <c r="F526" s="113">
        <v>1.1379999999999999</v>
      </c>
      <c r="G526" s="113">
        <v>9.9989999999999996E-4</v>
      </c>
      <c r="I526" s="29">
        <f t="shared" ref="I526" si="26">AVERAGE(F525:F526)</f>
        <v>1.893</v>
      </c>
      <c r="J526" s="29">
        <f t="shared" ref="J526" si="27">AVERAGE(G525:G526)</f>
        <v>5.49995E-3</v>
      </c>
      <c r="L526">
        <f t="shared" ref="L526" si="28">J526/I526</f>
        <v>2.9054146856840992E-3</v>
      </c>
      <c r="M526">
        <f t="shared" ref="M526" si="29">+(L526-$L$619)/$L$620</f>
        <v>-0.38621319264540038</v>
      </c>
      <c r="N526">
        <f t="shared" ref="N526" si="30">+N524+M526</f>
        <v>2.0238869206089771</v>
      </c>
    </row>
    <row r="527" spans="1:14">
      <c r="A527" s="16">
        <v>2</v>
      </c>
      <c r="B527" s="76">
        <v>44287</v>
      </c>
      <c r="C527">
        <v>2021</v>
      </c>
      <c r="D527" s="11" t="s">
        <v>30</v>
      </c>
      <c r="E527" s="16">
        <v>4</v>
      </c>
      <c r="F527" s="113">
        <v>1.4339999999999999</v>
      </c>
      <c r="G527" s="113">
        <v>0.113</v>
      </c>
    </row>
    <row r="528" spans="1:14">
      <c r="A528" s="16">
        <v>16</v>
      </c>
      <c r="B528" s="76">
        <v>44287</v>
      </c>
      <c r="C528">
        <v>2021</v>
      </c>
      <c r="D528" s="11" t="s">
        <v>30</v>
      </c>
      <c r="E528" s="16">
        <v>4</v>
      </c>
      <c r="F528" s="113">
        <v>1.1919999999999999</v>
      </c>
      <c r="G528" s="113">
        <v>0.129</v>
      </c>
      <c r="I528" s="29">
        <f t="shared" ref="I528" si="31">AVERAGE(F527:F528)</f>
        <v>1.3129999999999999</v>
      </c>
      <c r="J528" s="29">
        <f t="shared" ref="J528" si="32">AVERAGE(G527:G528)</f>
        <v>0.121</v>
      </c>
      <c r="L528">
        <f t="shared" ref="L528" si="33">J528/I528</f>
        <v>9.2155369383092156E-2</v>
      </c>
      <c r="M528">
        <f t="shared" ref="M528" si="34">+(L528-$L$619)/$L$620</f>
        <v>1.0105923814339748</v>
      </c>
      <c r="N528">
        <f t="shared" ref="N528" si="35">+N526+M528</f>
        <v>3.0344793020429517</v>
      </c>
    </row>
    <row r="529" spans="1:14">
      <c r="A529" s="16">
        <v>2</v>
      </c>
      <c r="B529" s="76">
        <v>44317</v>
      </c>
      <c r="C529">
        <v>2021</v>
      </c>
      <c r="D529" s="11" t="s">
        <v>31</v>
      </c>
      <c r="E529" s="16">
        <v>5</v>
      </c>
      <c r="F529" s="113">
        <v>5.2290000000000001</v>
      </c>
      <c r="G529" s="113">
        <v>2.3E-2</v>
      </c>
    </row>
    <row r="530" spans="1:14">
      <c r="A530" s="16">
        <v>16</v>
      </c>
      <c r="B530" s="76">
        <v>44317</v>
      </c>
      <c r="C530">
        <v>2021</v>
      </c>
      <c r="D530" s="11" t="s">
        <v>31</v>
      </c>
      <c r="E530" s="16">
        <v>5</v>
      </c>
      <c r="F530" s="113">
        <v>2.319</v>
      </c>
      <c r="G530" s="113">
        <v>3.2000000000000001E-2</v>
      </c>
      <c r="I530" s="29">
        <f t="shared" ref="I530" si="36">AVERAGE(F529:F530)</f>
        <v>3.774</v>
      </c>
      <c r="J530" s="29">
        <f t="shared" ref="J530" si="37">AVERAGE(G529:G530)</f>
        <v>2.75E-2</v>
      </c>
      <c r="L530">
        <f t="shared" ref="L530" si="38">J530/I530</f>
        <v>7.2866984631690512E-3</v>
      </c>
      <c r="M530">
        <f t="shared" ref="M530" si="39">+(L530-$L$619)/$L$620</f>
        <v>-0.31764395221538533</v>
      </c>
      <c r="N530">
        <f t="shared" ref="N530" si="40">+N528+M530</f>
        <v>2.7168353498275666</v>
      </c>
    </row>
    <row r="531" spans="1:14">
      <c r="A531" s="16">
        <v>2</v>
      </c>
      <c r="B531" s="76">
        <v>44348</v>
      </c>
      <c r="C531">
        <v>2021</v>
      </c>
      <c r="D531" s="11" t="s">
        <v>32</v>
      </c>
      <c r="E531" s="16">
        <v>6</v>
      </c>
      <c r="F531" s="113">
        <v>4.7839999999999998</v>
      </c>
      <c r="G531" s="113">
        <v>7.5999999999999998E-2</v>
      </c>
    </row>
    <row r="532" spans="1:14">
      <c r="A532" s="16">
        <v>16</v>
      </c>
      <c r="B532" s="76">
        <v>44348</v>
      </c>
      <c r="C532">
        <v>2021</v>
      </c>
      <c r="D532" s="11" t="s">
        <v>32</v>
      </c>
      <c r="E532" s="16">
        <v>6</v>
      </c>
      <c r="F532" s="113">
        <v>5.3979999999999997</v>
      </c>
      <c r="G532" s="113">
        <v>8.6999999999999994E-2</v>
      </c>
      <c r="I532" s="29">
        <f t="shared" ref="I532:J532" si="41">AVERAGE(F531:F532)</f>
        <v>5.0909999999999993</v>
      </c>
      <c r="J532" s="29">
        <f t="shared" si="41"/>
        <v>8.1499999999999989E-2</v>
      </c>
      <c r="L532">
        <f t="shared" ref="L532" si="42">J532/I532</f>
        <v>1.6008642702808877E-2</v>
      </c>
      <c r="M532">
        <f t="shared" ref="M532" si="43">+(L532-$L$619)/$L$620</f>
        <v>-0.18114124616872099</v>
      </c>
      <c r="N532">
        <f t="shared" ref="N532" si="44">+N530+M532</f>
        <v>2.5356941036588454</v>
      </c>
    </row>
    <row r="533" spans="1:14">
      <c r="A533" s="16">
        <v>2</v>
      </c>
      <c r="B533" s="76">
        <v>44378</v>
      </c>
      <c r="C533">
        <v>2021</v>
      </c>
      <c r="D533" s="11" t="s">
        <v>33</v>
      </c>
      <c r="E533" s="16">
        <v>7</v>
      </c>
      <c r="H533" s="108" t="s">
        <v>109</v>
      </c>
    </row>
    <row r="534" spans="1:14">
      <c r="A534" s="16">
        <v>16</v>
      </c>
      <c r="B534" s="76">
        <v>44378</v>
      </c>
      <c r="C534">
        <v>2021</v>
      </c>
      <c r="D534" s="11" t="s">
        <v>33</v>
      </c>
      <c r="E534" s="16">
        <v>7</v>
      </c>
      <c r="H534" s="108" t="s">
        <v>110</v>
      </c>
      <c r="J534" s="29"/>
    </row>
    <row r="535" spans="1:14">
      <c r="A535" s="16">
        <v>2</v>
      </c>
      <c r="B535" s="76">
        <v>44409</v>
      </c>
      <c r="C535">
        <v>2021</v>
      </c>
      <c r="D535" s="11" t="s">
        <v>34</v>
      </c>
      <c r="E535" s="16">
        <v>8</v>
      </c>
      <c r="F535" s="113">
        <v>5.032</v>
      </c>
      <c r="G535" s="113">
        <v>0.33300000000000002</v>
      </c>
    </row>
    <row r="536" spans="1:14">
      <c r="A536" s="16">
        <v>16</v>
      </c>
      <c r="B536" s="76">
        <v>44409</v>
      </c>
      <c r="C536">
        <v>2021</v>
      </c>
      <c r="D536" s="11" t="s">
        <v>34</v>
      </c>
      <c r="E536" s="16">
        <v>8</v>
      </c>
      <c r="F536" s="113">
        <v>4.444</v>
      </c>
      <c r="G536" s="113">
        <v>0.127</v>
      </c>
      <c r="I536" s="29">
        <f>AVERAGE(F535:F536)</f>
        <v>4.7379999999999995</v>
      </c>
      <c r="J536" s="29">
        <f t="shared" ref="J536" si="45">AVERAGE(G535:G536)</f>
        <v>0.23</v>
      </c>
      <c r="L536">
        <f t="shared" ref="L536" si="46">J536/I536</f>
        <v>4.8543689320388356E-2</v>
      </c>
      <c r="M536">
        <f t="shared" ref="M536" si="47">+(L536-$L$619)/$L$620</f>
        <v>0.32804819401020074</v>
      </c>
      <c r="N536">
        <f>+N532+M536</f>
        <v>2.8637422976690461</v>
      </c>
    </row>
    <row r="537" spans="1:14">
      <c r="A537" s="16">
        <v>2</v>
      </c>
      <c r="B537" s="76">
        <v>44440</v>
      </c>
      <c r="C537">
        <v>2021</v>
      </c>
      <c r="D537" s="11" t="s">
        <v>40</v>
      </c>
      <c r="E537" s="16">
        <v>9</v>
      </c>
      <c r="F537" s="113">
        <v>2.3610000000000002</v>
      </c>
      <c r="G537" s="113">
        <v>4.2000000000000003E-2</v>
      </c>
    </row>
    <row r="538" spans="1:14">
      <c r="A538" s="16">
        <v>16</v>
      </c>
      <c r="B538" s="76">
        <v>44440</v>
      </c>
      <c r="C538">
        <v>2021</v>
      </c>
      <c r="D538" s="11" t="s">
        <v>40</v>
      </c>
      <c r="E538" s="16">
        <v>9</v>
      </c>
      <c r="F538" s="113">
        <v>2.036</v>
      </c>
      <c r="G538" s="113">
        <v>5.2999999999999999E-2</v>
      </c>
      <c r="I538" s="29">
        <f t="shared" ref="I538" si="48">AVERAGE(F537:F538)</f>
        <v>2.1985000000000001</v>
      </c>
      <c r="J538" s="29">
        <f t="shared" ref="J538" si="49">AVERAGE(G537:G538)</f>
        <v>4.7500000000000001E-2</v>
      </c>
      <c r="L538">
        <f t="shared" ref="L538" si="50">J538/I538</f>
        <v>2.1605640209233567E-2</v>
      </c>
      <c r="M538">
        <f t="shared" ref="M538" si="51">+(L538-$L$619)/$L$620</f>
        <v>-9.3545489492001768E-2</v>
      </c>
      <c r="N538">
        <f t="shared" ref="N538" si="52">+N536+M538</f>
        <v>2.7701968081770443</v>
      </c>
    </row>
    <row r="539" spans="1:14">
      <c r="A539" s="16">
        <v>2</v>
      </c>
      <c r="B539" s="76">
        <v>44470</v>
      </c>
      <c r="C539">
        <v>2021</v>
      </c>
      <c r="D539" s="11" t="s">
        <v>36</v>
      </c>
      <c r="E539" s="16">
        <v>10</v>
      </c>
      <c r="F539" s="113">
        <v>0.96599999999999997</v>
      </c>
      <c r="G539" s="113">
        <v>9.9989999999999996E-4</v>
      </c>
    </row>
    <row r="540" spans="1:14">
      <c r="A540" s="16">
        <v>16</v>
      </c>
      <c r="B540" s="76">
        <v>44470</v>
      </c>
      <c r="C540">
        <v>2021</v>
      </c>
      <c r="D540" s="11" t="s">
        <v>36</v>
      </c>
      <c r="E540" s="16">
        <v>10</v>
      </c>
      <c r="F540" s="113">
        <v>1.0189999999999999</v>
      </c>
      <c r="G540" s="113">
        <v>9.9989999999999996E-4</v>
      </c>
      <c r="I540" s="29">
        <f t="shared" ref="I540" si="53">AVERAGE(F539:F540)</f>
        <v>0.99249999999999994</v>
      </c>
      <c r="J540" s="29">
        <f t="shared" ref="J540" si="54">AVERAGE(G539:G540)</f>
        <v>9.9989999999999996E-4</v>
      </c>
      <c r="L540">
        <f t="shared" ref="L540" si="55">J540/I540</f>
        <v>1.007455919395466E-3</v>
      </c>
      <c r="M540">
        <f t="shared" ref="M540" si="56">+(L540-$L$619)/$L$620</f>
        <v>-0.41591717841338161</v>
      </c>
      <c r="N540">
        <f t="shared" ref="N540" si="57">+N538+M540</f>
        <v>2.3542796297636626</v>
      </c>
    </row>
    <row r="541" spans="1:14">
      <c r="A541" s="16">
        <v>2</v>
      </c>
      <c r="B541" s="76">
        <v>44501</v>
      </c>
      <c r="C541">
        <v>2021</v>
      </c>
      <c r="D541" s="11" t="s">
        <v>37</v>
      </c>
      <c r="E541" s="16">
        <v>11</v>
      </c>
      <c r="F541" s="110">
        <v>1.0035000000000001</v>
      </c>
      <c r="G541" s="113">
        <v>9.9989999999999996E-4</v>
      </c>
    </row>
    <row r="542" spans="1:14">
      <c r="A542" s="16">
        <v>16</v>
      </c>
      <c r="B542" s="76">
        <v>44501</v>
      </c>
      <c r="C542">
        <v>2021</v>
      </c>
      <c r="D542" s="11" t="s">
        <v>37</v>
      </c>
      <c r="E542" s="16">
        <v>11</v>
      </c>
      <c r="F542" s="113">
        <v>0.98499999999999999</v>
      </c>
      <c r="G542" s="113">
        <v>9.9989999999999996E-4</v>
      </c>
      <c r="I542" s="29">
        <f t="shared" ref="I542" si="58">AVERAGE(F541:F542)</f>
        <v>0.99425000000000008</v>
      </c>
      <c r="J542" s="29">
        <f t="shared" ref="J542" si="59">AVERAGE(G541:G542)</f>
        <v>9.9989999999999996E-4</v>
      </c>
      <c r="L542">
        <f t="shared" ref="L542" si="60">J542/I542</f>
        <v>1.0056826753834548E-3</v>
      </c>
      <c r="M542">
        <f t="shared" ref="M542" si="61">+(L542-$L$619)/$L$620</f>
        <v>-0.41594493055206422</v>
      </c>
      <c r="N542">
        <f t="shared" ref="N542" si="62">+N540+M542</f>
        <v>1.9383346992115984</v>
      </c>
    </row>
    <row r="543" spans="1:14">
      <c r="A543" s="16">
        <v>2</v>
      </c>
      <c r="B543" s="77">
        <v>44531</v>
      </c>
      <c r="C543">
        <v>2021</v>
      </c>
      <c r="D543" s="11" t="s">
        <v>38</v>
      </c>
      <c r="E543" s="16">
        <v>12</v>
      </c>
      <c r="F543" s="113">
        <v>1.1919999999999999</v>
      </c>
      <c r="G543" s="113">
        <v>1.2E-2</v>
      </c>
    </row>
    <row r="544" spans="1:14">
      <c r="A544" s="16">
        <v>16</v>
      </c>
      <c r="B544" s="76">
        <v>44531</v>
      </c>
      <c r="C544">
        <v>2021</v>
      </c>
      <c r="D544" s="11" t="s">
        <v>38</v>
      </c>
      <c r="E544" s="16">
        <v>12</v>
      </c>
      <c r="F544" s="113">
        <v>1.1439999999999999</v>
      </c>
      <c r="G544" s="113">
        <v>9.9989999999999996E-4</v>
      </c>
      <c r="I544" s="29">
        <f t="shared" ref="I544:J544" si="63">AVERAGE(F543:F544)</f>
        <v>1.1679999999999999</v>
      </c>
      <c r="J544" s="29">
        <f t="shared" si="63"/>
        <v>6.49995E-3</v>
      </c>
      <c r="L544">
        <f t="shared" ref="L544" si="64">J544/I544</f>
        <v>5.5650256849315068E-3</v>
      </c>
      <c r="M544">
        <f t="shared" ref="M544" si="65">+(L544-$L$619)/$L$620</f>
        <v>-0.34458897579031345</v>
      </c>
      <c r="N544">
        <f t="shared" ref="N544" si="66">+N542+M544</f>
        <v>1.5937457234212848</v>
      </c>
    </row>
    <row r="545" spans="1:8">
      <c r="A545" s="91">
        <v>2</v>
      </c>
      <c r="B545" s="92">
        <v>44562</v>
      </c>
      <c r="C545" s="93">
        <v>2022</v>
      </c>
      <c r="D545" s="94" t="s">
        <v>39</v>
      </c>
      <c r="E545" s="91">
        <v>1</v>
      </c>
      <c r="H545" s="108" t="s">
        <v>106</v>
      </c>
    </row>
    <row r="546" spans="1:8">
      <c r="A546" s="16">
        <v>16</v>
      </c>
      <c r="B546" s="72">
        <v>44562</v>
      </c>
      <c r="C546">
        <v>2022</v>
      </c>
      <c r="D546" s="11" t="s">
        <v>39</v>
      </c>
      <c r="E546" s="16">
        <v>1</v>
      </c>
      <c r="H546" s="108" t="s">
        <v>107</v>
      </c>
    </row>
    <row r="547" spans="1:8">
      <c r="A547" s="16">
        <v>2</v>
      </c>
      <c r="B547" s="76">
        <v>44593</v>
      </c>
      <c r="C547">
        <v>2022</v>
      </c>
      <c r="D547" s="11" t="s">
        <v>28</v>
      </c>
      <c r="E547" s="16">
        <v>2</v>
      </c>
      <c r="H547" s="108" t="s">
        <v>108</v>
      </c>
    </row>
    <row r="548" spans="1:8">
      <c r="A548" s="16">
        <v>16</v>
      </c>
      <c r="B548" s="76">
        <v>44593</v>
      </c>
      <c r="C548">
        <v>2022</v>
      </c>
      <c r="D548" s="11" t="s">
        <v>28</v>
      </c>
      <c r="E548" s="16">
        <v>2</v>
      </c>
    </row>
    <row r="549" spans="1:8">
      <c r="A549" s="16">
        <v>2</v>
      </c>
      <c r="B549" s="76">
        <v>44621</v>
      </c>
      <c r="C549">
        <v>2022</v>
      </c>
      <c r="D549" s="11" t="s">
        <v>29</v>
      </c>
      <c r="E549" s="16">
        <v>3</v>
      </c>
    </row>
    <row r="550" spans="1:8">
      <c r="A550" s="16">
        <v>16</v>
      </c>
      <c r="B550" s="76">
        <v>44621</v>
      </c>
      <c r="C550">
        <v>2022</v>
      </c>
      <c r="D550" s="11" t="s">
        <v>29</v>
      </c>
      <c r="E550" s="16">
        <v>3</v>
      </c>
    </row>
    <row r="551" spans="1:8">
      <c r="A551" s="16">
        <v>2</v>
      </c>
      <c r="B551" s="76">
        <v>44652</v>
      </c>
      <c r="C551">
        <v>2022</v>
      </c>
      <c r="D551" s="11" t="s">
        <v>30</v>
      </c>
      <c r="E551" s="16">
        <v>4</v>
      </c>
    </row>
    <row r="552" spans="1:8">
      <c r="A552" s="16">
        <v>16</v>
      </c>
      <c r="B552" s="76">
        <v>44652</v>
      </c>
      <c r="C552">
        <v>2022</v>
      </c>
      <c r="D552" s="11" t="s">
        <v>30</v>
      </c>
      <c r="E552" s="16">
        <v>4</v>
      </c>
    </row>
    <row r="553" spans="1:8">
      <c r="A553" s="16">
        <v>2</v>
      </c>
      <c r="B553" s="76">
        <v>44682</v>
      </c>
      <c r="C553">
        <v>2022</v>
      </c>
      <c r="D553" s="11" t="s">
        <v>31</v>
      </c>
      <c r="E553" s="16">
        <v>5</v>
      </c>
    </row>
    <row r="554" spans="1:8">
      <c r="A554" s="16">
        <v>16</v>
      </c>
      <c r="B554" s="76">
        <v>44682</v>
      </c>
      <c r="C554">
        <v>2022</v>
      </c>
      <c r="D554" s="11" t="s">
        <v>31</v>
      </c>
      <c r="E554" s="16">
        <v>5</v>
      </c>
    </row>
    <row r="555" spans="1:8">
      <c r="A555" s="16">
        <v>2</v>
      </c>
      <c r="B555" s="76">
        <v>44713</v>
      </c>
      <c r="C555">
        <v>2022</v>
      </c>
      <c r="D555" s="11" t="s">
        <v>32</v>
      </c>
      <c r="E555" s="16">
        <v>6</v>
      </c>
    </row>
    <row r="556" spans="1:8">
      <c r="A556" s="16">
        <v>16</v>
      </c>
      <c r="B556" s="76">
        <v>44713</v>
      </c>
      <c r="C556">
        <v>2022</v>
      </c>
      <c r="D556" s="11" t="s">
        <v>32</v>
      </c>
      <c r="E556" s="16">
        <v>6</v>
      </c>
    </row>
    <row r="557" spans="1:8">
      <c r="A557" s="16">
        <v>2</v>
      </c>
      <c r="B557" s="76">
        <v>44743</v>
      </c>
      <c r="C557">
        <v>2022</v>
      </c>
      <c r="D557" s="11" t="s">
        <v>33</v>
      </c>
      <c r="E557" s="16">
        <v>7</v>
      </c>
    </row>
    <row r="558" spans="1:8">
      <c r="A558" s="16">
        <v>16</v>
      </c>
      <c r="B558" s="76">
        <v>44743</v>
      </c>
      <c r="C558">
        <v>2022</v>
      </c>
      <c r="D558" s="11" t="s">
        <v>33</v>
      </c>
      <c r="E558" s="16">
        <v>7</v>
      </c>
    </row>
    <row r="559" spans="1:8">
      <c r="A559" s="16">
        <v>2</v>
      </c>
      <c r="B559" s="76">
        <v>44774</v>
      </c>
      <c r="C559">
        <v>2022</v>
      </c>
      <c r="D559" s="11" t="s">
        <v>34</v>
      </c>
      <c r="E559" s="16">
        <v>8</v>
      </c>
    </row>
    <row r="560" spans="1:8">
      <c r="A560" s="16">
        <v>16</v>
      </c>
      <c r="B560" s="76">
        <v>44774</v>
      </c>
      <c r="C560">
        <v>2022</v>
      </c>
      <c r="D560" s="11" t="s">
        <v>34</v>
      </c>
      <c r="E560" s="16">
        <v>8</v>
      </c>
    </row>
    <row r="561" spans="1:14">
      <c r="A561" s="16">
        <v>2</v>
      </c>
      <c r="B561" s="76">
        <v>44805</v>
      </c>
      <c r="C561">
        <v>2022</v>
      </c>
      <c r="D561" s="11" t="s">
        <v>40</v>
      </c>
      <c r="E561" s="16">
        <v>9</v>
      </c>
    </row>
    <row r="562" spans="1:14">
      <c r="A562" s="16">
        <v>16</v>
      </c>
      <c r="B562" s="76">
        <v>44805</v>
      </c>
      <c r="C562">
        <v>2022</v>
      </c>
      <c r="D562" s="11" t="s">
        <v>40</v>
      </c>
      <c r="E562" s="16">
        <v>9</v>
      </c>
    </row>
    <row r="563" spans="1:14">
      <c r="A563" s="16">
        <v>2</v>
      </c>
      <c r="B563" s="76">
        <v>44835</v>
      </c>
      <c r="C563">
        <v>2022</v>
      </c>
      <c r="D563" s="11" t="s">
        <v>36</v>
      </c>
      <c r="E563" s="16">
        <v>10</v>
      </c>
    </row>
    <row r="564" spans="1:14">
      <c r="A564" s="16">
        <v>16</v>
      </c>
      <c r="B564" s="76">
        <v>44835</v>
      </c>
      <c r="C564">
        <v>2022</v>
      </c>
      <c r="D564" s="11" t="s">
        <v>36</v>
      </c>
      <c r="E564" s="16">
        <v>10</v>
      </c>
    </row>
    <row r="565" spans="1:14">
      <c r="A565" s="16">
        <v>2</v>
      </c>
      <c r="B565" s="76">
        <v>44866</v>
      </c>
      <c r="C565">
        <v>2022</v>
      </c>
      <c r="D565" s="11" t="s">
        <v>37</v>
      </c>
      <c r="E565" s="16">
        <v>11</v>
      </c>
    </row>
    <row r="566" spans="1:14">
      <c r="A566" s="16">
        <v>16</v>
      </c>
      <c r="B566" s="76">
        <v>44866</v>
      </c>
      <c r="C566">
        <v>2022</v>
      </c>
      <c r="D566" s="11" t="s">
        <v>37</v>
      </c>
      <c r="E566" s="16">
        <v>11</v>
      </c>
    </row>
    <row r="567" spans="1:14">
      <c r="A567" s="16">
        <v>2</v>
      </c>
      <c r="B567" s="77">
        <v>44896</v>
      </c>
      <c r="C567">
        <v>2022</v>
      </c>
      <c r="D567" s="11" t="s">
        <v>38</v>
      </c>
      <c r="E567" s="16">
        <v>12</v>
      </c>
    </row>
    <row r="568" spans="1:14">
      <c r="A568" s="16">
        <v>16</v>
      </c>
      <c r="B568" s="76">
        <v>44896</v>
      </c>
      <c r="C568">
        <v>2022</v>
      </c>
      <c r="D568" s="11" t="s">
        <v>38</v>
      </c>
      <c r="E568" s="16">
        <v>12</v>
      </c>
    </row>
    <row r="569" spans="1:14">
      <c r="A569" s="91">
        <v>2</v>
      </c>
      <c r="B569" s="92">
        <v>44927</v>
      </c>
      <c r="C569" s="93">
        <v>2023</v>
      </c>
      <c r="D569" s="94" t="s">
        <v>39</v>
      </c>
      <c r="E569" s="91">
        <v>1</v>
      </c>
      <c r="F569" s="114">
        <v>3.903</v>
      </c>
      <c r="G569" s="113">
        <v>0.11799999999999999</v>
      </c>
    </row>
    <row r="570" spans="1:14">
      <c r="A570" s="16">
        <v>16</v>
      </c>
      <c r="B570" s="72">
        <v>44927</v>
      </c>
      <c r="C570">
        <v>2023</v>
      </c>
      <c r="D570" s="11" t="s">
        <v>39</v>
      </c>
      <c r="E570" s="16">
        <v>1</v>
      </c>
      <c r="F570" s="114">
        <v>3.43</v>
      </c>
      <c r="G570" s="113">
        <v>3.3000000000000002E-2</v>
      </c>
      <c r="I570" s="29">
        <f>AVERAGE(F569:F570)</f>
        <v>3.6665000000000001</v>
      </c>
      <c r="J570" s="29">
        <f>AVERAGE(G569:G570)</f>
        <v>7.5499999999999998E-2</v>
      </c>
      <c r="L570">
        <f>+J570/I570</f>
        <v>2.0591845083867449E-2</v>
      </c>
      <c r="M570">
        <f>+(L570-$L$619)/$L$620</f>
        <v>-0.10941188053821502</v>
      </c>
      <c r="N570">
        <f>+N544/M570</f>
        <v>-14.566477749778066</v>
      </c>
    </row>
    <row r="571" spans="1:14">
      <c r="A571" s="16">
        <v>2</v>
      </c>
      <c r="B571" s="76">
        <v>44958</v>
      </c>
      <c r="C571">
        <v>2023</v>
      </c>
      <c r="D571" s="11" t="s">
        <v>28</v>
      </c>
      <c r="E571" s="16">
        <v>2</v>
      </c>
      <c r="F571" s="115">
        <v>1.373</v>
      </c>
      <c r="G571" s="115">
        <v>1.6E-2</v>
      </c>
    </row>
    <row r="572" spans="1:14">
      <c r="A572" s="16">
        <v>16</v>
      </c>
      <c r="B572" s="76">
        <v>44958</v>
      </c>
      <c r="C572">
        <v>2023</v>
      </c>
      <c r="D572" s="11" t="s">
        <v>28</v>
      </c>
      <c r="E572" s="16">
        <v>2</v>
      </c>
      <c r="F572" s="115">
        <v>2.0139999999999998</v>
      </c>
      <c r="G572" s="115">
        <v>1.7000000000000001E-2</v>
      </c>
      <c r="I572" s="29">
        <f t="shared" ref="I572" si="67">AVERAGE(F571:F572)</f>
        <v>1.6934999999999998</v>
      </c>
      <c r="J572" s="29">
        <f t="shared" ref="J572" si="68">AVERAGE(G571:G572)</f>
        <v>1.6500000000000001E-2</v>
      </c>
      <c r="L572">
        <f t="shared" ref="L572" si="69">+J572/I572</f>
        <v>9.7431355181576626E-3</v>
      </c>
      <c r="M572">
        <f t="shared" ref="M572" si="70">+(L572-$L$619)/$L$620</f>
        <v>-0.27919950725834092</v>
      </c>
      <c r="N572">
        <f>+N570+M572</f>
        <v>-14.845677257036407</v>
      </c>
    </row>
    <row r="573" spans="1:14">
      <c r="A573" s="16">
        <v>2</v>
      </c>
      <c r="B573" s="76">
        <v>44986</v>
      </c>
      <c r="C573">
        <v>2023</v>
      </c>
      <c r="D573" s="11" t="s">
        <v>29</v>
      </c>
      <c r="E573" s="16">
        <v>3</v>
      </c>
      <c r="F573" s="115">
        <v>4.9329999999999998</v>
      </c>
      <c r="G573" s="115">
        <v>8.4000000000000005E-2</v>
      </c>
    </row>
    <row r="574" spans="1:14">
      <c r="A574" s="16">
        <v>16</v>
      </c>
      <c r="B574" s="76">
        <v>44986</v>
      </c>
      <c r="C574">
        <v>2023</v>
      </c>
      <c r="D574" s="11" t="s">
        <v>29</v>
      </c>
      <c r="E574" s="16">
        <v>3</v>
      </c>
      <c r="F574" s="115">
        <v>4.423</v>
      </c>
      <c r="G574" s="115">
        <v>0.156</v>
      </c>
      <c r="I574" s="29">
        <f t="shared" ref="I574" si="71">AVERAGE(F573:F574)</f>
        <v>4.6779999999999999</v>
      </c>
      <c r="J574" s="29">
        <f t="shared" ref="J574" si="72">AVERAGE(G573:G574)</f>
        <v>0.12</v>
      </c>
      <c r="L574">
        <f t="shared" ref="L574" si="73">+J574/I574</f>
        <v>2.5651988029072252E-2</v>
      </c>
      <c r="M574">
        <f t="shared" ref="M574" si="74">+(L574-$L$619)/$L$620</f>
        <v>-3.0218161107612766E-2</v>
      </c>
      <c r="N574">
        <f t="shared" ref="N574" si="75">+N572+M574</f>
        <v>-14.875895418144019</v>
      </c>
    </row>
    <row r="575" spans="1:14">
      <c r="A575" s="16">
        <v>2</v>
      </c>
      <c r="B575" s="76">
        <v>45017</v>
      </c>
      <c r="C575">
        <v>2023</v>
      </c>
      <c r="D575" s="11" t="s">
        <v>30</v>
      </c>
      <c r="E575" s="16">
        <v>4</v>
      </c>
      <c r="F575" s="115">
        <v>5.367</v>
      </c>
      <c r="G575" s="115">
        <v>7.9000000000000001E-2</v>
      </c>
    </row>
    <row r="576" spans="1:14">
      <c r="A576" s="16">
        <v>16</v>
      </c>
      <c r="B576" s="76">
        <v>45017</v>
      </c>
      <c r="C576">
        <v>2023</v>
      </c>
      <c r="D576" s="11" t="s">
        <v>30</v>
      </c>
      <c r="E576" s="16">
        <v>4</v>
      </c>
      <c r="F576" s="115">
        <v>4.3739999999999997</v>
      </c>
      <c r="G576" s="115">
        <v>0.14000000000000001</v>
      </c>
      <c r="I576" s="29">
        <f t="shared" ref="I576" si="76">AVERAGE(F575:F576)</f>
        <v>4.8704999999999998</v>
      </c>
      <c r="J576" s="29">
        <f t="shared" ref="J576" si="77">AVERAGE(G575:G576)</f>
        <v>0.10950000000000001</v>
      </c>
      <c r="L576">
        <f t="shared" ref="L576" si="78">+J576/I576</f>
        <v>2.2482291345857719E-2</v>
      </c>
      <c r="M576">
        <f t="shared" ref="M576" si="79">+(L576-$L$619)/$L$620</f>
        <v>-7.9825469147888406E-2</v>
      </c>
      <c r="N576">
        <f t="shared" ref="N576" si="80">+N574+M576</f>
        <v>-14.955720887291907</v>
      </c>
    </row>
    <row r="577" spans="1:14">
      <c r="A577" s="16">
        <v>2</v>
      </c>
      <c r="B577" s="76">
        <v>45047</v>
      </c>
      <c r="C577">
        <v>2023</v>
      </c>
      <c r="D577" s="11" t="s">
        <v>31</v>
      </c>
      <c r="E577" s="16">
        <v>5</v>
      </c>
      <c r="F577" s="115">
        <v>1.7250000000000001</v>
      </c>
      <c r="G577" s="116">
        <v>9.9989999999999996E-4</v>
      </c>
    </row>
    <row r="578" spans="1:14">
      <c r="A578" s="16">
        <v>16</v>
      </c>
      <c r="B578" s="76">
        <v>45047</v>
      </c>
      <c r="C578">
        <v>2023</v>
      </c>
      <c r="D578" s="11" t="s">
        <v>31</v>
      </c>
      <c r="E578" s="16">
        <v>5</v>
      </c>
      <c r="F578" s="115">
        <v>2.133</v>
      </c>
      <c r="G578" s="116">
        <v>0.121</v>
      </c>
      <c r="I578" s="29">
        <f t="shared" ref="I578" si="81">AVERAGE(F577:F578)</f>
        <v>1.929</v>
      </c>
      <c r="J578" s="29">
        <f t="shared" ref="J578" si="82">AVERAGE(G577:G578)</f>
        <v>6.0999949999999997E-2</v>
      </c>
      <c r="L578">
        <f t="shared" ref="L578" si="83">+J578/I578</f>
        <v>3.162257646448937E-2</v>
      </c>
      <c r="M578">
        <f t="shared" ref="M578" si="84">+(L578-$L$619)/$L$620</f>
        <v>6.3224476879145591E-2</v>
      </c>
      <c r="N578">
        <f t="shared" ref="N578" si="85">+N576+M578</f>
        <v>-14.892496410412761</v>
      </c>
    </row>
    <row r="579" spans="1:14">
      <c r="A579" s="16">
        <v>2</v>
      </c>
      <c r="B579" s="76">
        <v>45078</v>
      </c>
      <c r="C579">
        <v>2023</v>
      </c>
      <c r="D579" s="11" t="s">
        <v>32</v>
      </c>
      <c r="E579" s="16">
        <v>6</v>
      </c>
      <c r="F579" s="115">
        <v>4.9729999999999999</v>
      </c>
      <c r="G579" s="116">
        <v>7.2999999999999995E-2</v>
      </c>
    </row>
    <row r="580" spans="1:14">
      <c r="A580" s="16">
        <v>16</v>
      </c>
      <c r="B580" s="76">
        <v>45078</v>
      </c>
      <c r="C580">
        <v>2023</v>
      </c>
      <c r="D580" s="11" t="s">
        <v>32</v>
      </c>
      <c r="E580" s="16">
        <v>6</v>
      </c>
      <c r="F580" s="115">
        <v>4.6719999999999997</v>
      </c>
      <c r="G580" s="116">
        <v>0.11899999999999999</v>
      </c>
      <c r="I580" s="29">
        <f t="shared" ref="I580" si="86">AVERAGE(F579:F580)</f>
        <v>4.8224999999999998</v>
      </c>
      <c r="J580" s="29">
        <f t="shared" ref="J580" si="87">AVERAGE(G579:G580)</f>
        <v>9.6000000000000002E-2</v>
      </c>
      <c r="L580">
        <f t="shared" ref="L580" si="88">+J580/I580</f>
        <v>1.990668740279938E-2</v>
      </c>
      <c r="M580">
        <f t="shared" ref="M580" si="89">+(L580-$L$619)/$L$620</f>
        <v>-0.12013493436254341</v>
      </c>
      <c r="N580">
        <f t="shared" ref="N580" si="90">+N578+M580</f>
        <v>-15.012631344775304</v>
      </c>
    </row>
    <row r="581" spans="1:14">
      <c r="A581" s="16">
        <v>2</v>
      </c>
      <c r="B581" s="76">
        <v>45108</v>
      </c>
      <c r="C581">
        <v>2023</v>
      </c>
      <c r="D581" s="11" t="s">
        <v>33</v>
      </c>
      <c r="E581" s="16">
        <v>7</v>
      </c>
      <c r="F581" s="115">
        <v>5.7270000000000003</v>
      </c>
      <c r="G581" s="116">
        <v>0.19500000000000001</v>
      </c>
    </row>
    <row r="582" spans="1:14">
      <c r="A582" s="16">
        <v>16</v>
      </c>
      <c r="B582" s="76">
        <v>45108</v>
      </c>
      <c r="C582">
        <v>2023</v>
      </c>
      <c r="D582" s="11" t="s">
        <v>33</v>
      </c>
      <c r="E582" s="16">
        <v>7</v>
      </c>
      <c r="F582" s="115">
        <v>7.0720000000000001</v>
      </c>
      <c r="G582" s="116">
        <v>0.40100000000000002</v>
      </c>
      <c r="I582" s="29">
        <f t="shared" ref="I582" si="91">AVERAGE(F581:F582)</f>
        <v>6.3994999999999997</v>
      </c>
      <c r="J582" s="29">
        <f t="shared" ref="J582" si="92">AVERAGE(G581:G582)</f>
        <v>0.29800000000000004</v>
      </c>
      <c r="L582">
        <f t="shared" ref="L582" si="93">+J582/I582</f>
        <v>4.6566137979529659E-2</v>
      </c>
      <c r="M582">
        <f t="shared" ref="M582" si="94">+(L582-$L$619)/$L$620</f>
        <v>0.29709854540472319</v>
      </c>
      <c r="N582">
        <f t="shared" ref="N582" si="95">+N580+M582</f>
        <v>-14.715532799370582</v>
      </c>
    </row>
    <row r="583" spans="1:14">
      <c r="A583" s="16">
        <v>2</v>
      </c>
      <c r="B583" s="76">
        <v>45139</v>
      </c>
      <c r="C583">
        <v>2023</v>
      </c>
      <c r="D583" s="11" t="s">
        <v>34</v>
      </c>
      <c r="E583" s="16">
        <v>8</v>
      </c>
      <c r="F583" s="115">
        <v>3.31</v>
      </c>
      <c r="G583" s="116">
        <v>0.186</v>
      </c>
    </row>
    <row r="584" spans="1:14">
      <c r="A584" s="16">
        <v>16</v>
      </c>
      <c r="B584" s="76">
        <v>45139</v>
      </c>
      <c r="C584">
        <v>2023</v>
      </c>
      <c r="D584" s="11" t="s">
        <v>34</v>
      </c>
      <c r="E584" s="16">
        <v>8</v>
      </c>
      <c r="F584" s="115">
        <v>6.7450000000000001</v>
      </c>
      <c r="G584" s="116">
        <v>9.0999999999999998E-2</v>
      </c>
      <c r="I584" s="29">
        <f t="shared" ref="I584" si="96">AVERAGE(F583:F584)</f>
        <v>5.0274999999999999</v>
      </c>
      <c r="J584" s="29">
        <f t="shared" ref="J584" si="97">AVERAGE(G583:G584)</f>
        <v>0.13850000000000001</v>
      </c>
      <c r="L584">
        <f t="shared" ref="L584" si="98">+J584/I584</f>
        <v>2.7548483341621088E-2</v>
      </c>
      <c r="M584">
        <f t="shared" ref="M584" si="99">+(L584-$L$619)/$L$620</f>
        <v>-5.370791085812102E-4</v>
      </c>
      <c r="N584">
        <f t="shared" ref="N584" si="100">+N582+M584</f>
        <v>-14.716069878479162</v>
      </c>
    </row>
    <row r="585" spans="1:14">
      <c r="A585" s="16">
        <v>2</v>
      </c>
      <c r="B585" s="76">
        <v>45170</v>
      </c>
      <c r="C585">
        <v>2023</v>
      </c>
      <c r="D585" s="11" t="s">
        <v>40</v>
      </c>
      <c r="E585" s="16">
        <v>9</v>
      </c>
      <c r="F585" s="115">
        <v>1.849</v>
      </c>
      <c r="G585" s="116">
        <v>3.2000000000000001E-2</v>
      </c>
    </row>
    <row r="586" spans="1:14">
      <c r="A586" s="16">
        <v>16</v>
      </c>
      <c r="B586" s="76">
        <v>45170</v>
      </c>
      <c r="C586">
        <v>2023</v>
      </c>
      <c r="D586" s="11" t="s">
        <v>40</v>
      </c>
      <c r="E586" s="16">
        <v>9</v>
      </c>
      <c r="F586" s="115">
        <v>1.9390000000000001</v>
      </c>
      <c r="G586" s="116">
        <v>6.2E-2</v>
      </c>
      <c r="I586" s="29">
        <f t="shared" ref="I586" si="101">AVERAGE(F585:F586)</f>
        <v>1.8940000000000001</v>
      </c>
      <c r="J586" s="29">
        <f t="shared" ref="J586" si="102">AVERAGE(G585:G586)</f>
        <v>4.7E-2</v>
      </c>
      <c r="L586">
        <f t="shared" ref="L586" si="103">+J586/I586</f>
        <v>2.4815205913410771E-2</v>
      </c>
      <c r="M586">
        <f t="shared" ref="M586" si="104">+(L586-$L$619)/$L$620</f>
        <v>-4.331421171524219E-2</v>
      </c>
      <c r="N586">
        <f t="shared" ref="N586" si="105">+N584+M586</f>
        <v>-14.759384090194404</v>
      </c>
    </row>
    <row r="587" spans="1:14">
      <c r="A587" s="16">
        <v>2</v>
      </c>
      <c r="B587" s="76">
        <v>45200</v>
      </c>
      <c r="C587">
        <v>2023</v>
      </c>
      <c r="D587" s="11" t="s">
        <v>36</v>
      </c>
      <c r="E587" s="16">
        <v>10</v>
      </c>
      <c r="F587" s="116">
        <v>0.50900000000000001</v>
      </c>
      <c r="G587" s="116">
        <v>9.9989999999999996E-4</v>
      </c>
    </row>
    <row r="588" spans="1:14">
      <c r="A588" s="16">
        <v>16</v>
      </c>
      <c r="B588" s="76">
        <v>45200</v>
      </c>
      <c r="C588">
        <v>2023</v>
      </c>
      <c r="D588" s="11" t="s">
        <v>36</v>
      </c>
      <c r="E588" s="16">
        <v>10</v>
      </c>
      <c r="F588" s="115">
        <v>0.65300000000000002</v>
      </c>
      <c r="G588" s="116">
        <v>9.9989999999999996E-4</v>
      </c>
      <c r="I588" s="29">
        <f t="shared" ref="I588" si="106">AVERAGE(F587:F588)</f>
        <v>0.58099999999999996</v>
      </c>
      <c r="J588" s="29">
        <f t="shared" ref="J588" si="107">AVERAGE(G587:G588)</f>
        <v>9.9989999999999996E-4</v>
      </c>
      <c r="L588">
        <f t="shared" ref="L588" si="108">+J588/I588</f>
        <v>1.7209982788296042E-3</v>
      </c>
      <c r="M588">
        <f t="shared" ref="M588" si="109">+(L588-$L$619)/$L$620</f>
        <v>-0.40474989044804333</v>
      </c>
      <c r="N588">
        <f t="shared" ref="N588" si="110">+N586+M588</f>
        <v>-15.164133980642447</v>
      </c>
    </row>
    <row r="589" spans="1:14">
      <c r="A589" s="16">
        <v>2</v>
      </c>
      <c r="B589" s="76">
        <v>45231</v>
      </c>
      <c r="C589">
        <v>2023</v>
      </c>
      <c r="D589" s="11" t="s">
        <v>37</v>
      </c>
      <c r="E589" s="16">
        <v>11</v>
      </c>
      <c r="F589" s="115">
        <v>0.56699999999999995</v>
      </c>
      <c r="G589" s="116">
        <v>9.9989999999999996E-4</v>
      </c>
    </row>
    <row r="590" spans="1:14">
      <c r="A590" s="16">
        <v>16</v>
      </c>
      <c r="B590" s="76">
        <v>45231</v>
      </c>
      <c r="C590">
        <v>2023</v>
      </c>
      <c r="D590" s="11" t="s">
        <v>37</v>
      </c>
      <c r="E590" s="16">
        <v>11</v>
      </c>
      <c r="F590" s="115">
        <v>0.41399999999999998</v>
      </c>
      <c r="G590" s="116">
        <v>9.9989999999999996E-4</v>
      </c>
      <c r="I590" s="29">
        <f t="shared" ref="I590" si="111">AVERAGE(F589:F590)</f>
        <v>0.49049999999999994</v>
      </c>
      <c r="J590" s="29">
        <f t="shared" ref="J590" si="112">AVERAGE(G589:G590)</f>
        <v>9.9989999999999996E-4</v>
      </c>
      <c r="L590">
        <f t="shared" ref="L590" si="113">+J590/I590</f>
        <v>2.0385321100917435E-3</v>
      </c>
      <c r="M590">
        <f t="shared" ref="M590" si="114">+(L590-$L$619)/$L$620</f>
        <v>-0.39978033021723436</v>
      </c>
      <c r="N590">
        <f t="shared" ref="N590" si="115">+N588+M590</f>
        <v>-15.563914310859682</v>
      </c>
    </row>
    <row r="591" spans="1:14">
      <c r="A591" s="16">
        <v>2</v>
      </c>
      <c r="B591" s="77">
        <v>45261</v>
      </c>
      <c r="C591">
        <v>2023</v>
      </c>
      <c r="D591" s="11" t="s">
        <v>38</v>
      </c>
      <c r="E591" s="16">
        <v>12</v>
      </c>
      <c r="F591" s="115">
        <v>0.66700000000000004</v>
      </c>
      <c r="G591" s="116">
        <v>1E-3</v>
      </c>
    </row>
    <row r="592" spans="1:14">
      <c r="A592" s="16">
        <v>16</v>
      </c>
      <c r="B592" s="76">
        <v>45261</v>
      </c>
      <c r="C592">
        <v>2023</v>
      </c>
      <c r="D592" s="11" t="s">
        <v>38</v>
      </c>
      <c r="E592" s="16">
        <v>12</v>
      </c>
      <c r="F592" s="115">
        <v>0.69799999999999995</v>
      </c>
      <c r="G592" s="116">
        <v>2.3E-2</v>
      </c>
      <c r="I592" s="29">
        <f t="shared" ref="I592" si="116">AVERAGE(F591:F592)</f>
        <v>0.6825</v>
      </c>
      <c r="J592" s="29">
        <f t="shared" ref="J592" si="117">AVERAGE(G591:G592)</f>
        <v>1.2E-2</v>
      </c>
      <c r="L592">
        <f t="shared" ref="L592" si="118">+J592/I592</f>
        <v>1.7582417582417582E-2</v>
      </c>
      <c r="M592">
        <f t="shared" ref="M592" si="119">+(L592-$L$619)/$L$620</f>
        <v>-0.15651089726113351</v>
      </c>
      <c r="N592">
        <f t="shared" ref="N592" si="120">+N590+M592</f>
        <v>-15.720425208120815</v>
      </c>
    </row>
    <row r="593" spans="1:14">
      <c r="A593" s="91">
        <v>2</v>
      </c>
      <c r="B593" s="92">
        <v>45292</v>
      </c>
      <c r="C593" s="93">
        <v>2024</v>
      </c>
      <c r="D593" s="94" t="s">
        <v>39</v>
      </c>
      <c r="E593" s="91">
        <v>1</v>
      </c>
      <c r="F593" s="115">
        <v>3.1520000000000001</v>
      </c>
      <c r="G593" s="116">
        <v>4.5999999999999999E-2</v>
      </c>
    </row>
    <row r="594" spans="1:14">
      <c r="A594" s="16">
        <v>16</v>
      </c>
      <c r="B594" s="72">
        <v>45292</v>
      </c>
      <c r="C594">
        <v>2024</v>
      </c>
      <c r="D594" s="11" t="s">
        <v>39</v>
      </c>
      <c r="E594" s="16">
        <v>1</v>
      </c>
      <c r="F594" s="115">
        <v>1.6479999999999999</v>
      </c>
      <c r="G594" s="116">
        <v>6.5000000000000002E-2</v>
      </c>
      <c r="I594" s="29">
        <f t="shared" ref="I594" si="121">AVERAGE(F593:F594)</f>
        <v>2.4</v>
      </c>
      <c r="J594" s="29">
        <f t="shared" ref="J594" si="122">AVERAGE(G593:G594)</f>
        <v>5.5500000000000001E-2</v>
      </c>
      <c r="L594">
        <f t="shared" ref="L594" si="123">+J594/I594</f>
        <v>2.3125E-2</v>
      </c>
      <c r="M594">
        <f t="shared" ref="M594" si="124">+(L594-$L$619)/$L$620</f>
        <v>-6.9766763419032013E-2</v>
      </c>
      <c r="N594">
        <f t="shared" ref="N594" si="125">+N592+M594</f>
        <v>-15.790191971539848</v>
      </c>
    </row>
    <row r="595" spans="1:14">
      <c r="A595" s="16">
        <v>2</v>
      </c>
      <c r="B595" s="76">
        <v>45323</v>
      </c>
      <c r="C595">
        <v>2024</v>
      </c>
      <c r="D595" s="11" t="s">
        <v>28</v>
      </c>
      <c r="E595" s="16">
        <v>2</v>
      </c>
      <c r="F595" s="115">
        <v>4.9139999999999997</v>
      </c>
      <c r="G595" s="116">
        <v>4.7E-2</v>
      </c>
    </row>
    <row r="596" spans="1:14">
      <c r="A596" s="16">
        <v>16</v>
      </c>
      <c r="B596" s="76">
        <v>45323</v>
      </c>
      <c r="C596">
        <v>2024</v>
      </c>
      <c r="D596" s="11" t="s">
        <v>28</v>
      </c>
      <c r="E596" s="16">
        <v>2</v>
      </c>
      <c r="F596" s="115">
        <v>2.052</v>
      </c>
      <c r="G596" s="116">
        <v>2.4E-2</v>
      </c>
      <c r="I596" s="29">
        <f t="shared" ref="I596" si="126">AVERAGE(F595:F596)</f>
        <v>3.4829999999999997</v>
      </c>
      <c r="J596" s="29">
        <f t="shared" ref="J596" si="127">AVERAGE(G595:G596)</f>
        <v>3.5500000000000004E-2</v>
      </c>
      <c r="L596">
        <f t="shared" ref="L596" si="128">+J596/I596</f>
        <v>1.0192362905541203E-2</v>
      </c>
      <c r="M596">
        <f t="shared" ref="M596" si="129">+(L596-$L$619)/$L$620</f>
        <v>-0.27216887826974528</v>
      </c>
      <c r="N596">
        <f t="shared" ref="N596" si="130">+N594+M596</f>
        <v>-16.062360849809593</v>
      </c>
    </row>
    <row r="597" spans="1:14">
      <c r="A597" s="16">
        <v>2</v>
      </c>
      <c r="B597" s="76">
        <v>45352</v>
      </c>
      <c r="C597">
        <v>2024</v>
      </c>
      <c r="D597" s="11" t="s">
        <v>29</v>
      </c>
      <c r="E597" s="16">
        <v>3</v>
      </c>
    </row>
    <row r="598" spans="1:14">
      <c r="A598" s="16">
        <v>16</v>
      </c>
      <c r="B598" s="76">
        <v>45352</v>
      </c>
      <c r="C598">
        <v>2024</v>
      </c>
      <c r="D598" s="11" t="s">
        <v>29</v>
      </c>
      <c r="E598" s="16">
        <v>3</v>
      </c>
      <c r="I598" s="29"/>
      <c r="J598" s="29"/>
    </row>
    <row r="599" spans="1:14">
      <c r="A599" s="16">
        <v>2</v>
      </c>
      <c r="B599" s="76">
        <v>45383</v>
      </c>
      <c r="C599">
        <v>2024</v>
      </c>
      <c r="D599" s="11" t="s">
        <v>30</v>
      </c>
      <c r="E599" s="16">
        <v>4</v>
      </c>
      <c r="F599" s="115">
        <v>1.42</v>
      </c>
      <c r="G599" s="116">
        <v>4.1000000000000002E-2</v>
      </c>
    </row>
    <row r="600" spans="1:14">
      <c r="A600" s="16">
        <v>16</v>
      </c>
      <c r="B600" s="76">
        <v>45383</v>
      </c>
      <c r="C600">
        <v>2024</v>
      </c>
      <c r="D600" s="11" t="s">
        <v>30</v>
      </c>
      <c r="E600" s="16">
        <v>4</v>
      </c>
      <c r="F600" s="115">
        <v>1.0109999999999999</v>
      </c>
      <c r="G600" s="116">
        <v>3.6999999999999998E-2</v>
      </c>
      <c r="I600" s="29">
        <f t="shared" ref="I600" si="131">AVERAGE(F599:F600)</f>
        <v>1.2155</v>
      </c>
      <c r="J600" s="29">
        <f t="shared" ref="J600" si="132">AVERAGE(G599:G600)</f>
        <v>3.9E-2</v>
      </c>
      <c r="L600">
        <f t="shared" ref="L600" si="133">+J600/I600</f>
        <v>3.20855614973262E-2</v>
      </c>
      <c r="M600">
        <f t="shared" ref="M600" si="134">+(L600-$L$619)/$L$620</f>
        <v>7.0470419768129344E-2</v>
      </c>
      <c r="N600">
        <f>+N596+M600</f>
        <v>-15.991890430041463</v>
      </c>
    </row>
    <row r="601" spans="1:14">
      <c r="A601" s="16">
        <v>2</v>
      </c>
      <c r="B601" s="76">
        <v>45413</v>
      </c>
      <c r="C601">
        <v>2024</v>
      </c>
      <c r="D601" s="11" t="s">
        <v>31</v>
      </c>
      <c r="E601" s="16">
        <v>5</v>
      </c>
      <c r="F601" s="115">
        <v>7.2709999999999999</v>
      </c>
      <c r="G601" s="116">
        <v>0.183</v>
      </c>
    </row>
    <row r="602" spans="1:14">
      <c r="A602" s="16">
        <v>16</v>
      </c>
      <c r="B602" s="76">
        <v>45413</v>
      </c>
      <c r="C602">
        <v>2024</v>
      </c>
      <c r="D602" s="11" t="s">
        <v>31</v>
      </c>
      <c r="E602" s="16">
        <v>5</v>
      </c>
      <c r="F602" s="115">
        <v>3.9809999999999999</v>
      </c>
      <c r="G602" s="116">
        <v>8.5000000000000006E-2</v>
      </c>
      <c r="I602" s="29">
        <f t="shared" ref="I602:J602" si="135">AVERAGE(F601:F602)</f>
        <v>5.6259999999999994</v>
      </c>
      <c r="J602" s="29">
        <f t="shared" si="135"/>
        <v>0.13400000000000001</v>
      </c>
      <c r="L602">
        <f t="shared" ref="L602" si="136">+J602/I602</f>
        <v>2.3817987913259869E-2</v>
      </c>
      <c r="M602">
        <f t="shared" ref="M602" si="137">+(L602-$L$619)/$L$620</f>
        <v>-5.8921162619649969E-2</v>
      </c>
      <c r="N602">
        <f t="shared" ref="N602" si="138">+N600+M602</f>
        <v>-16.050811592661113</v>
      </c>
    </row>
    <row r="603" spans="1:14">
      <c r="A603" s="16">
        <v>2</v>
      </c>
      <c r="B603" s="76">
        <v>45444</v>
      </c>
      <c r="C603">
        <v>2024</v>
      </c>
      <c r="D603" s="11" t="s">
        <v>32</v>
      </c>
      <c r="E603" s="16">
        <v>6</v>
      </c>
      <c r="H603" s="108" t="s">
        <v>104</v>
      </c>
    </row>
    <row r="604" spans="1:14">
      <c r="A604" s="16">
        <v>16</v>
      </c>
      <c r="B604" s="76">
        <v>45444</v>
      </c>
      <c r="C604">
        <v>2024</v>
      </c>
      <c r="D604" s="11" t="s">
        <v>32</v>
      </c>
      <c r="E604" s="16">
        <v>6</v>
      </c>
      <c r="H604" s="108" t="s">
        <v>105</v>
      </c>
    </row>
    <row r="605" spans="1:14">
      <c r="A605" s="16">
        <v>2</v>
      </c>
      <c r="B605" s="76">
        <v>45474</v>
      </c>
      <c r="C605">
        <v>2024</v>
      </c>
      <c r="D605" s="11" t="s">
        <v>33</v>
      </c>
      <c r="E605" s="16">
        <v>7</v>
      </c>
    </row>
    <row r="606" spans="1:14">
      <c r="A606" s="16">
        <v>16</v>
      </c>
      <c r="B606" s="76">
        <v>45474</v>
      </c>
      <c r="C606">
        <v>2024</v>
      </c>
      <c r="D606" s="11" t="s">
        <v>33</v>
      </c>
      <c r="E606" s="16">
        <v>7</v>
      </c>
    </row>
    <row r="607" spans="1:14">
      <c r="A607" s="16">
        <v>2</v>
      </c>
      <c r="B607" s="76">
        <v>45505</v>
      </c>
      <c r="C607">
        <v>2024</v>
      </c>
      <c r="D607" s="11" t="s">
        <v>34</v>
      </c>
      <c r="E607" s="16">
        <v>8</v>
      </c>
    </row>
    <row r="608" spans="1:14">
      <c r="A608" s="16">
        <v>16</v>
      </c>
      <c r="B608" s="76">
        <v>45505</v>
      </c>
      <c r="C608">
        <v>2024</v>
      </c>
      <c r="D608" s="11" t="s">
        <v>34</v>
      </c>
      <c r="E608" s="16">
        <v>8</v>
      </c>
    </row>
    <row r="609" spans="1:12">
      <c r="A609" s="16">
        <v>2</v>
      </c>
      <c r="B609" s="76">
        <v>45536</v>
      </c>
      <c r="C609">
        <v>2024</v>
      </c>
      <c r="D609" s="11" t="s">
        <v>40</v>
      </c>
      <c r="E609" s="16">
        <v>9</v>
      </c>
    </row>
    <row r="610" spans="1:12">
      <c r="A610" s="16">
        <v>16</v>
      </c>
      <c r="B610" s="76">
        <v>45536</v>
      </c>
      <c r="C610">
        <v>2024</v>
      </c>
      <c r="D610" s="11" t="s">
        <v>40</v>
      </c>
      <c r="E610" s="16">
        <v>9</v>
      </c>
    </row>
    <row r="611" spans="1:12">
      <c r="A611" s="16">
        <v>2</v>
      </c>
      <c r="B611" s="76">
        <v>45566</v>
      </c>
      <c r="C611">
        <v>2024</v>
      </c>
      <c r="D611" s="11" t="s">
        <v>36</v>
      </c>
      <c r="E611" s="16">
        <v>10</v>
      </c>
    </row>
    <row r="612" spans="1:12">
      <c r="A612" s="16">
        <v>16</v>
      </c>
      <c r="B612" s="76">
        <v>45566</v>
      </c>
      <c r="C612">
        <v>2024</v>
      </c>
      <c r="D612" s="11" t="s">
        <v>36</v>
      </c>
      <c r="E612" s="16">
        <v>10</v>
      </c>
    </row>
    <row r="613" spans="1:12">
      <c r="A613" s="16">
        <v>2</v>
      </c>
      <c r="B613" s="76">
        <v>45597</v>
      </c>
      <c r="C613">
        <v>2024</v>
      </c>
      <c r="D613" s="11" t="s">
        <v>37</v>
      </c>
      <c r="E613" s="16">
        <v>11</v>
      </c>
    </row>
    <row r="614" spans="1:12">
      <c r="A614" s="16">
        <v>16</v>
      </c>
      <c r="B614" s="76">
        <v>45597</v>
      </c>
      <c r="C614">
        <v>2024</v>
      </c>
      <c r="D614" s="11" t="s">
        <v>37</v>
      </c>
      <c r="E614" s="16">
        <v>11</v>
      </c>
    </row>
    <row r="615" spans="1:12">
      <c r="A615" s="16">
        <v>2</v>
      </c>
      <c r="B615" s="77">
        <v>45627</v>
      </c>
      <c r="C615">
        <v>2024</v>
      </c>
      <c r="D615" s="11" t="s">
        <v>38</v>
      </c>
      <c r="E615" s="16">
        <v>12</v>
      </c>
    </row>
    <row r="616" spans="1:12">
      <c r="A616" s="16">
        <v>16</v>
      </c>
      <c r="B616" s="76">
        <v>45627</v>
      </c>
      <c r="C616">
        <v>2024</v>
      </c>
      <c r="D616" s="11" t="s">
        <v>38</v>
      </c>
      <c r="E616" s="16">
        <v>12</v>
      </c>
    </row>
    <row r="619" spans="1:12">
      <c r="K619" s="89" t="s">
        <v>87</v>
      </c>
      <c r="L619" s="89">
        <f>AVERAGE(L4:L616)</f>
        <v>2.7582800419816735E-2</v>
      </c>
    </row>
    <row r="620" spans="1:12">
      <c r="K620" s="89" t="s">
        <v>88</v>
      </c>
      <c r="L620" s="89">
        <f>STDEV(L4:L616)</f>
        <v>6.3895760693990708E-2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6"/>
  <sheetViews>
    <sheetView workbookViewId="0">
      <pane ySplit="2" topLeftCell="A369" activePane="bottomLeft" state="frozen"/>
      <selection pane="bottomLeft" activeCell="N275" sqref="N275"/>
    </sheetView>
  </sheetViews>
  <sheetFormatPr defaultColWidth="8.85546875" defaultRowHeight="15"/>
  <cols>
    <col min="1" max="18" width="10" customWidth="1"/>
  </cols>
  <sheetData>
    <row r="1" spans="1:18" ht="18">
      <c r="F1" s="1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M1" s="1" t="s">
        <v>81</v>
      </c>
    </row>
    <row r="2" spans="1:18" ht="25.5">
      <c r="A2" s="2" t="s">
        <v>2</v>
      </c>
      <c r="B2" s="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7" t="s">
        <v>13</v>
      </c>
      <c r="M2" s="6" t="s">
        <v>7</v>
      </c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</row>
    <row r="3" spans="1:18">
      <c r="A3" s="8">
        <v>2</v>
      </c>
      <c r="B3" s="9">
        <v>36445</v>
      </c>
      <c r="C3" s="10">
        <v>1999</v>
      </c>
      <c r="D3" s="11" t="s">
        <v>14</v>
      </c>
      <c r="E3" s="12">
        <v>10</v>
      </c>
      <c r="F3" s="13">
        <v>1.3330102911201809</v>
      </c>
      <c r="G3" s="14">
        <v>0</v>
      </c>
      <c r="H3" s="14">
        <v>0</v>
      </c>
      <c r="I3" s="14">
        <v>0.2248281875</v>
      </c>
      <c r="J3" s="14">
        <v>3.3680958166666664E-2</v>
      </c>
      <c r="K3" s="15" t="s">
        <v>15</v>
      </c>
    </row>
    <row r="4" spans="1:18">
      <c r="A4" s="8">
        <v>16</v>
      </c>
      <c r="B4" s="9">
        <v>36444</v>
      </c>
      <c r="C4" s="10">
        <v>1999</v>
      </c>
      <c r="D4" s="11" t="s">
        <v>14</v>
      </c>
      <c r="E4" s="12">
        <v>10</v>
      </c>
      <c r="F4" s="13">
        <v>1.6606092731436428</v>
      </c>
      <c r="G4" s="14">
        <v>2.7688580000000004E-2</v>
      </c>
      <c r="H4" s="14">
        <v>0</v>
      </c>
      <c r="I4" s="14">
        <v>0.12100544750000002</v>
      </c>
      <c r="J4" s="14">
        <v>1.4040328333333331E-2</v>
      </c>
      <c r="K4" s="15" t="s">
        <v>15</v>
      </c>
      <c r="M4" s="29">
        <f>AVERAGE(F3:F4)</f>
        <v>1.496809782131912</v>
      </c>
      <c r="N4" s="29">
        <f t="shared" ref="N4:R4" si="0">AVERAGE(G3:G4)</f>
        <v>1.3844290000000002E-2</v>
      </c>
      <c r="O4" s="29">
        <f t="shared" si="0"/>
        <v>0</v>
      </c>
      <c r="P4" s="29">
        <f t="shared" si="0"/>
        <v>0.17291681750000001</v>
      </c>
      <c r="Q4" s="29">
        <f t="shared" si="0"/>
        <v>2.3860643249999997E-2</v>
      </c>
      <c r="R4" s="29" t="e">
        <f t="shared" si="0"/>
        <v>#DIV/0!</v>
      </c>
    </row>
    <row r="5" spans="1:18">
      <c r="A5" s="8">
        <v>2</v>
      </c>
      <c r="B5" s="9">
        <v>36472</v>
      </c>
      <c r="C5" s="10">
        <v>1999</v>
      </c>
      <c r="D5" s="11" t="s">
        <v>16</v>
      </c>
      <c r="E5" s="10">
        <v>11</v>
      </c>
      <c r="F5" s="13">
        <v>4.285993642125038</v>
      </c>
      <c r="G5" s="14">
        <v>2.8260655499999999E-2</v>
      </c>
      <c r="H5" s="14">
        <v>0</v>
      </c>
      <c r="I5" s="14">
        <v>1.5377500563333333</v>
      </c>
      <c r="J5" s="14">
        <v>1.3361113166666667E-2</v>
      </c>
      <c r="K5" s="15" t="s">
        <v>15</v>
      </c>
    </row>
    <row r="6" spans="1:18">
      <c r="A6" s="8">
        <v>16</v>
      </c>
      <c r="B6" s="9">
        <v>36472</v>
      </c>
      <c r="C6" s="10">
        <v>1999</v>
      </c>
      <c r="D6" s="11" t="s">
        <v>16</v>
      </c>
      <c r="E6" s="10">
        <v>11</v>
      </c>
      <c r="F6" s="13">
        <v>0.41591953889429528</v>
      </c>
      <c r="G6" s="14">
        <v>0</v>
      </c>
      <c r="H6" s="14">
        <v>0</v>
      </c>
      <c r="I6" s="14">
        <v>8.3146671333333325E-2</v>
      </c>
      <c r="J6" s="14">
        <v>0</v>
      </c>
      <c r="K6" s="15" t="s">
        <v>15</v>
      </c>
      <c r="M6" s="29">
        <f>AVERAGE(F5:F6)</f>
        <v>2.3509565905096665</v>
      </c>
      <c r="N6" s="29">
        <f t="shared" ref="N6:R6" si="1">AVERAGE(G5:G6)</f>
        <v>1.4130327749999999E-2</v>
      </c>
      <c r="O6" s="29">
        <f t="shared" si="1"/>
        <v>0</v>
      </c>
      <c r="P6" s="29">
        <f t="shared" si="1"/>
        <v>0.8104483638333333</v>
      </c>
      <c r="Q6" s="29">
        <f t="shared" si="1"/>
        <v>6.6805565833333337E-3</v>
      </c>
      <c r="R6" s="29" t="e">
        <f t="shared" si="1"/>
        <v>#DIV/0!</v>
      </c>
    </row>
    <row r="7" spans="1:18">
      <c r="A7" s="8">
        <v>2</v>
      </c>
      <c r="B7" s="9">
        <v>36501</v>
      </c>
      <c r="C7" s="10">
        <v>1999</v>
      </c>
      <c r="D7" s="11" t="s">
        <v>17</v>
      </c>
      <c r="E7" s="10">
        <v>12</v>
      </c>
      <c r="F7" s="13">
        <v>1.4014618639341168</v>
      </c>
      <c r="G7" s="14">
        <v>1.7573630999999999E-2</v>
      </c>
      <c r="H7" s="14">
        <v>0</v>
      </c>
      <c r="I7" s="14">
        <v>0.41018652016666662</v>
      </c>
      <c r="J7" s="14">
        <v>6.3514323333333338E-3</v>
      </c>
      <c r="K7" s="15" t="s">
        <v>15</v>
      </c>
    </row>
    <row r="8" spans="1:18">
      <c r="A8" s="8">
        <v>16</v>
      </c>
      <c r="B8" s="9">
        <v>36501</v>
      </c>
      <c r="C8" s="10">
        <v>1999</v>
      </c>
      <c r="D8" s="11" t="s">
        <v>17</v>
      </c>
      <c r="E8" s="10">
        <v>12</v>
      </c>
      <c r="F8" s="13">
        <v>1.2786164862718898</v>
      </c>
      <c r="G8" s="14">
        <v>2.0050528166666665E-2</v>
      </c>
      <c r="H8" s="14">
        <v>0</v>
      </c>
      <c r="I8" s="14">
        <v>0.32387618850000005</v>
      </c>
      <c r="J8" s="14">
        <v>0</v>
      </c>
      <c r="K8" s="15" t="s">
        <v>15</v>
      </c>
      <c r="M8" s="29">
        <f>AVERAGE(F7:F8)</f>
        <v>1.3400391751030032</v>
      </c>
      <c r="N8" s="29">
        <f t="shared" ref="N8:R8" si="2">AVERAGE(G7:G8)</f>
        <v>1.8812079583333332E-2</v>
      </c>
      <c r="O8" s="29">
        <f t="shared" si="2"/>
        <v>0</v>
      </c>
      <c r="P8" s="29">
        <f t="shared" si="2"/>
        <v>0.36703135433333334</v>
      </c>
      <c r="Q8" s="29">
        <f t="shared" si="2"/>
        <v>3.1757161666666669E-3</v>
      </c>
      <c r="R8" s="29" t="e">
        <f t="shared" si="2"/>
        <v>#DIV/0!</v>
      </c>
    </row>
    <row r="9" spans="1:18">
      <c r="A9" s="8">
        <v>2</v>
      </c>
      <c r="B9" s="9">
        <v>36530</v>
      </c>
      <c r="C9" s="12">
        <v>2000</v>
      </c>
      <c r="D9" s="11" t="s">
        <v>18</v>
      </c>
      <c r="E9" s="10">
        <v>1</v>
      </c>
      <c r="F9" s="13">
        <v>3.0782638208252844</v>
      </c>
      <c r="G9" s="14">
        <v>6.6303728666666673E-2</v>
      </c>
      <c r="H9" s="14">
        <v>3.1504932666666673E-2</v>
      </c>
      <c r="I9" s="14">
        <v>1.1697250916666666</v>
      </c>
      <c r="J9" s="14">
        <v>1.5582216999999999E-2</v>
      </c>
      <c r="K9" s="15" t="s">
        <v>15</v>
      </c>
    </row>
    <row r="10" spans="1:18">
      <c r="A10" s="8">
        <v>16</v>
      </c>
      <c r="B10" s="9">
        <v>36530</v>
      </c>
      <c r="C10" s="12">
        <v>2000</v>
      </c>
      <c r="D10" s="11" t="s">
        <v>18</v>
      </c>
      <c r="E10" s="10">
        <v>1</v>
      </c>
      <c r="F10" s="13">
        <v>3.6585839039056487</v>
      </c>
      <c r="G10" s="14">
        <v>5.8229360500000001E-2</v>
      </c>
      <c r="H10" s="14">
        <v>4.0905127999999999E-2</v>
      </c>
      <c r="I10" s="14">
        <v>1.3798645566666667</v>
      </c>
      <c r="J10" s="14">
        <v>1.7815167E-2</v>
      </c>
      <c r="K10" s="15" t="s">
        <v>15</v>
      </c>
      <c r="M10" s="29">
        <f>AVERAGE(F9:F10)</f>
        <v>3.3684238623654665</v>
      </c>
      <c r="N10" s="29">
        <f t="shared" ref="N10:R10" si="3">AVERAGE(G9:G10)</f>
        <v>6.2266544583333333E-2</v>
      </c>
      <c r="O10" s="29">
        <f t="shared" si="3"/>
        <v>3.6205030333333332E-2</v>
      </c>
      <c r="P10" s="29">
        <f t="shared" si="3"/>
        <v>1.2747948241666667</v>
      </c>
      <c r="Q10" s="29">
        <f t="shared" si="3"/>
        <v>1.6698692000000001E-2</v>
      </c>
      <c r="R10" s="29" t="e">
        <f t="shared" si="3"/>
        <v>#DIV/0!</v>
      </c>
    </row>
    <row r="11" spans="1:18">
      <c r="A11" s="8">
        <v>2</v>
      </c>
      <c r="B11" s="9">
        <v>36579</v>
      </c>
      <c r="C11" s="12">
        <v>2000</v>
      </c>
      <c r="D11" s="11" t="s">
        <v>19</v>
      </c>
      <c r="E11" s="12">
        <v>2</v>
      </c>
      <c r="F11" s="13">
        <v>2.5386928407093783</v>
      </c>
      <c r="G11" s="14">
        <v>3.5411966166666663E-2</v>
      </c>
      <c r="H11" s="14">
        <v>0</v>
      </c>
      <c r="I11" s="14">
        <v>0.94186166466666676</v>
      </c>
      <c r="J11" s="14">
        <v>2.8656925500000003E-2</v>
      </c>
      <c r="K11" s="15" t="s">
        <v>15</v>
      </c>
    </row>
    <row r="12" spans="1:18">
      <c r="A12" s="8">
        <v>16</v>
      </c>
      <c r="B12" s="9">
        <v>36579</v>
      </c>
      <c r="C12" s="12">
        <v>2000</v>
      </c>
      <c r="D12" s="11" t="s">
        <v>19</v>
      </c>
      <c r="E12" s="12">
        <v>2</v>
      </c>
      <c r="F12" s="13">
        <v>2.3945823862849616</v>
      </c>
      <c r="G12" s="14">
        <v>3.7185222000000004E-2</v>
      </c>
      <c r="H12" s="14">
        <v>0</v>
      </c>
      <c r="I12" s="14">
        <v>0.92685990983333344</v>
      </c>
      <c r="J12" s="14">
        <v>2.7480485833333335E-2</v>
      </c>
      <c r="K12" s="15" t="s">
        <v>15</v>
      </c>
      <c r="M12" s="29">
        <f>AVERAGE(F11:F12)</f>
        <v>2.4666376134971699</v>
      </c>
      <c r="N12" s="29">
        <f t="shared" ref="N12:R12" si="4">AVERAGE(G11:G12)</f>
        <v>3.629859408333333E-2</v>
      </c>
      <c r="O12" s="29">
        <f t="shared" si="4"/>
        <v>0</v>
      </c>
      <c r="P12" s="29">
        <f t="shared" si="4"/>
        <v>0.93436078725000016</v>
      </c>
      <c r="Q12" s="29">
        <f t="shared" si="4"/>
        <v>2.8068705666666669E-2</v>
      </c>
      <c r="R12" s="29" t="e">
        <f t="shared" si="4"/>
        <v>#DIV/0!</v>
      </c>
    </row>
    <row r="13" spans="1:18">
      <c r="A13" s="8">
        <v>2</v>
      </c>
      <c r="B13" s="9">
        <v>36600</v>
      </c>
      <c r="C13" s="12">
        <v>2000</v>
      </c>
      <c r="D13" s="11" t="s">
        <v>20</v>
      </c>
      <c r="E13" s="12">
        <v>3</v>
      </c>
      <c r="F13" s="13">
        <v>1.9050536432870002</v>
      </c>
      <c r="G13" s="14">
        <v>0</v>
      </c>
      <c r="H13" s="14">
        <v>3.7304102999999998E-2</v>
      </c>
      <c r="I13" s="14">
        <v>0.5894079095000001</v>
      </c>
      <c r="J13" s="14">
        <v>4.5800005999999997E-2</v>
      </c>
      <c r="K13" s="15" t="s">
        <v>15</v>
      </c>
    </row>
    <row r="14" spans="1:18">
      <c r="A14" s="8">
        <v>16</v>
      </c>
      <c r="B14" s="9">
        <v>36600</v>
      </c>
      <c r="C14" s="12">
        <v>2000</v>
      </c>
      <c r="D14" s="11" t="s">
        <v>20</v>
      </c>
      <c r="E14" s="12">
        <v>3</v>
      </c>
      <c r="F14" s="13">
        <v>1.5679274644511905</v>
      </c>
      <c r="G14" s="14">
        <v>1.3886013666666665E-2</v>
      </c>
      <c r="H14" s="14">
        <v>4.1424157833333329E-2</v>
      </c>
      <c r="I14" s="14">
        <v>0.44869054550000004</v>
      </c>
      <c r="J14" s="14">
        <v>3.5657590666666669E-2</v>
      </c>
      <c r="K14" s="15" t="s">
        <v>15</v>
      </c>
      <c r="M14" s="29">
        <f>AVERAGE(F13:F14)</f>
        <v>1.7364905538690953</v>
      </c>
      <c r="N14" s="29">
        <f t="shared" ref="N14:R14" si="5">AVERAGE(G13:G14)</f>
        <v>6.9430068333333327E-3</v>
      </c>
      <c r="O14" s="29">
        <f t="shared" si="5"/>
        <v>3.9364130416666664E-2</v>
      </c>
      <c r="P14" s="29">
        <f t="shared" si="5"/>
        <v>0.51904922750000004</v>
      </c>
      <c r="Q14" s="29">
        <f t="shared" si="5"/>
        <v>4.072879833333333E-2</v>
      </c>
      <c r="R14" s="29" t="e">
        <f t="shared" si="5"/>
        <v>#DIV/0!</v>
      </c>
    </row>
    <row r="15" spans="1:18">
      <c r="A15" s="8">
        <v>2</v>
      </c>
      <c r="B15" s="9">
        <v>36628</v>
      </c>
      <c r="C15" s="12">
        <v>2000</v>
      </c>
      <c r="D15" s="16" t="s">
        <v>21</v>
      </c>
      <c r="E15" s="12">
        <v>4</v>
      </c>
      <c r="F15" s="13">
        <v>4.7973446625707457</v>
      </c>
      <c r="G15" s="14">
        <v>0.12740667566666664</v>
      </c>
      <c r="H15" s="14">
        <v>4.6033679500000001E-2</v>
      </c>
      <c r="I15" s="14">
        <v>1.3127073798333333</v>
      </c>
      <c r="J15" s="14">
        <v>1.7523835166666668E-2</v>
      </c>
      <c r="K15" s="15" t="s">
        <v>15</v>
      </c>
    </row>
    <row r="16" spans="1:18">
      <c r="A16" s="8">
        <v>16</v>
      </c>
      <c r="B16" s="9">
        <v>36628</v>
      </c>
      <c r="C16" s="12">
        <v>2000</v>
      </c>
      <c r="D16" s="16" t="s">
        <v>21</v>
      </c>
      <c r="E16" s="12">
        <v>4</v>
      </c>
      <c r="F16" s="13">
        <v>2.7664028879625464</v>
      </c>
      <c r="G16" s="14">
        <v>0.14463142133333334</v>
      </c>
      <c r="H16" s="14">
        <v>2.477326983333333E-2</v>
      </c>
      <c r="I16" s="14">
        <v>0.51445784200000011</v>
      </c>
      <c r="J16" s="14">
        <v>6.7782088333333346E-3</v>
      </c>
      <c r="K16" s="15" t="s">
        <v>15</v>
      </c>
      <c r="M16" s="29">
        <f>AVERAGE(F15:F16)</f>
        <v>3.781873775266646</v>
      </c>
      <c r="N16" s="29">
        <f t="shared" ref="N16:R16" si="6">AVERAGE(G15:G16)</f>
        <v>0.13601904849999999</v>
      </c>
      <c r="O16" s="29">
        <f t="shared" si="6"/>
        <v>3.5403474666666664E-2</v>
      </c>
      <c r="P16" s="29">
        <f t="shared" si="6"/>
        <v>0.9135826109166667</v>
      </c>
      <c r="Q16" s="29">
        <f t="shared" si="6"/>
        <v>1.2151022000000001E-2</v>
      </c>
      <c r="R16" s="29" t="e">
        <f t="shared" si="6"/>
        <v>#DIV/0!</v>
      </c>
    </row>
    <row r="17" spans="1:18">
      <c r="A17" s="8">
        <v>2</v>
      </c>
      <c r="B17" s="9">
        <v>36661</v>
      </c>
      <c r="C17" s="12">
        <v>2000</v>
      </c>
      <c r="D17" s="16" t="s">
        <v>22</v>
      </c>
      <c r="E17" s="12">
        <v>5</v>
      </c>
      <c r="F17" s="13">
        <v>4.6886727747195547</v>
      </c>
      <c r="G17" s="14">
        <v>2.8767524666666665E-2</v>
      </c>
      <c r="H17" s="14">
        <v>0.34010837216666667</v>
      </c>
      <c r="I17" s="14">
        <v>2.1653510554999995</v>
      </c>
      <c r="J17" s="14">
        <v>7.0320312999999995E-2</v>
      </c>
      <c r="K17" s="15" t="s">
        <v>15</v>
      </c>
    </row>
    <row r="18" spans="1:18">
      <c r="A18" s="8">
        <v>16</v>
      </c>
      <c r="B18" s="9">
        <v>36661</v>
      </c>
      <c r="C18" s="12">
        <v>2000</v>
      </c>
      <c r="D18" s="16" t="s">
        <v>22</v>
      </c>
      <c r="E18" s="12">
        <v>5</v>
      </c>
      <c r="F18" s="13">
        <v>6.0927728226505344</v>
      </c>
      <c r="G18" s="14">
        <v>3.979410433333333E-2</v>
      </c>
      <c r="H18" s="14">
        <v>1.0903747498333334</v>
      </c>
      <c r="I18" s="14">
        <v>2.4888738508333335</v>
      </c>
      <c r="J18" s="14">
        <v>7.2132776499999995E-2</v>
      </c>
      <c r="K18" s="15" t="s">
        <v>15</v>
      </c>
      <c r="M18" s="29">
        <f>AVERAGE(F17:F18)</f>
        <v>5.3907227986850446</v>
      </c>
      <c r="N18" s="29">
        <f t="shared" ref="N18:R18" si="7">AVERAGE(G17:G18)</f>
        <v>3.4280814499999999E-2</v>
      </c>
      <c r="O18" s="29">
        <f t="shared" si="7"/>
        <v>0.71524156100000003</v>
      </c>
      <c r="P18" s="29">
        <f t="shared" si="7"/>
        <v>2.3271124531666665</v>
      </c>
      <c r="Q18" s="29">
        <f t="shared" si="7"/>
        <v>7.1226544749999995E-2</v>
      </c>
      <c r="R18" s="29" t="e">
        <f t="shared" si="7"/>
        <v>#DIV/0!</v>
      </c>
    </row>
    <row r="19" spans="1:18">
      <c r="A19" s="8">
        <v>2</v>
      </c>
      <c r="B19" s="9">
        <v>36691</v>
      </c>
      <c r="C19" s="12">
        <v>2000</v>
      </c>
      <c r="D19" s="16" t="s">
        <v>23</v>
      </c>
      <c r="E19" s="12">
        <v>6</v>
      </c>
      <c r="F19" s="13">
        <v>1.6994240245561543</v>
      </c>
      <c r="G19" s="14">
        <v>0.10535037133333333</v>
      </c>
      <c r="H19" s="14">
        <v>0</v>
      </c>
      <c r="I19" s="14">
        <v>0.50014777750000006</v>
      </c>
      <c r="J19" s="14">
        <v>1.5282603333333332E-2</v>
      </c>
      <c r="K19" s="15" t="s">
        <v>15</v>
      </c>
    </row>
    <row r="20" spans="1:18">
      <c r="A20" s="8">
        <v>16</v>
      </c>
      <c r="B20" s="9">
        <v>36691</v>
      </c>
      <c r="C20" s="12">
        <v>2000</v>
      </c>
      <c r="D20" s="16" t="s">
        <v>23</v>
      </c>
      <c r="E20" s="12">
        <v>6</v>
      </c>
      <c r="F20" s="13">
        <v>4.4627459706507473</v>
      </c>
      <c r="G20" s="14">
        <v>0.10673679216666666</v>
      </c>
      <c r="H20" s="14">
        <v>5.4309117999999997E-2</v>
      </c>
      <c r="I20" s="14">
        <v>1.5665815293333332</v>
      </c>
      <c r="J20" s="14">
        <v>4.7414963500000004E-2</v>
      </c>
      <c r="K20" s="15" t="s">
        <v>15</v>
      </c>
      <c r="M20" s="29">
        <f>AVERAGE(F19:F20)</f>
        <v>3.0810849976034507</v>
      </c>
      <c r="N20" s="29">
        <f t="shared" ref="N20" si="8">AVERAGE(G19:G20)</f>
        <v>0.10604358175</v>
      </c>
      <c r="O20" s="29">
        <f t="shared" ref="O20" si="9">AVERAGE(H19:H20)</f>
        <v>2.7154558999999998E-2</v>
      </c>
      <c r="P20" s="29">
        <f t="shared" ref="P20" si="10">AVERAGE(I19:I20)</f>
        <v>1.0333646534166667</v>
      </c>
      <c r="Q20" s="29">
        <f t="shared" ref="Q20" si="11">AVERAGE(J19:J20)</f>
        <v>3.1348783416666665E-2</v>
      </c>
      <c r="R20" s="29" t="e">
        <f t="shared" ref="R20" si="12">AVERAGE(K19:K20)</f>
        <v>#DIV/0!</v>
      </c>
    </row>
    <row r="21" spans="1:18">
      <c r="A21" s="8">
        <v>2</v>
      </c>
      <c r="B21" s="9">
        <v>36720</v>
      </c>
      <c r="C21" s="12">
        <v>2000</v>
      </c>
      <c r="D21" s="16" t="s">
        <v>24</v>
      </c>
      <c r="E21" s="12">
        <v>7</v>
      </c>
      <c r="F21" s="13">
        <v>10.384727236125432</v>
      </c>
      <c r="G21" s="14">
        <v>0.12871478599999997</v>
      </c>
      <c r="H21" s="14">
        <v>4.9327228333333334E-2</v>
      </c>
      <c r="I21" s="14">
        <v>1.5211288361666666</v>
      </c>
      <c r="J21" s="14">
        <v>0.80691401283333331</v>
      </c>
      <c r="K21" s="15" t="s">
        <v>15</v>
      </c>
    </row>
    <row r="22" spans="1:18">
      <c r="A22" s="8">
        <v>16</v>
      </c>
      <c r="B22" s="9">
        <v>36720</v>
      </c>
      <c r="C22" s="12">
        <v>2000</v>
      </c>
      <c r="D22" s="16" t="s">
        <v>24</v>
      </c>
      <c r="E22" s="12">
        <v>7</v>
      </c>
      <c r="F22" s="13">
        <v>9.8045028976455733</v>
      </c>
      <c r="G22" s="14">
        <v>7.8288589833333325E-2</v>
      </c>
      <c r="H22" s="14">
        <v>4.1493347833333333E-2</v>
      </c>
      <c r="I22" s="14">
        <v>1.3389058588333329</v>
      </c>
      <c r="J22" s="14">
        <v>1.0675680484999999</v>
      </c>
      <c r="K22" s="15" t="s">
        <v>15</v>
      </c>
      <c r="M22" s="29">
        <f>AVERAGE(F21:F22)</f>
        <v>10.094615066885503</v>
      </c>
      <c r="N22" s="29">
        <f t="shared" ref="N22" si="13">AVERAGE(G21:G22)</f>
        <v>0.10350168791666664</v>
      </c>
      <c r="O22" s="29">
        <f t="shared" ref="O22" si="14">AVERAGE(H21:H22)</f>
        <v>4.5410288083333333E-2</v>
      </c>
      <c r="P22" s="29">
        <f t="shared" ref="P22" si="15">AVERAGE(I21:I22)</f>
        <v>1.4300173474999998</v>
      </c>
      <c r="Q22" s="29">
        <f t="shared" ref="Q22" si="16">AVERAGE(J21:J22)</f>
        <v>0.93724103066666653</v>
      </c>
      <c r="R22" s="29" t="e">
        <f t="shared" ref="R22" si="17">AVERAGE(K21:K22)</f>
        <v>#DIV/0!</v>
      </c>
    </row>
    <row r="23" spans="1:18">
      <c r="A23" s="8">
        <v>2</v>
      </c>
      <c r="B23" s="9">
        <v>36754</v>
      </c>
      <c r="C23" s="12">
        <v>2000</v>
      </c>
      <c r="D23" s="16" t="s">
        <v>25</v>
      </c>
      <c r="E23" s="12">
        <v>8</v>
      </c>
      <c r="F23" s="13">
        <v>12.821283488842734</v>
      </c>
      <c r="G23" s="14">
        <v>6.8767836166666665E-2</v>
      </c>
      <c r="H23" s="14">
        <v>2.9916078666666669E-2</v>
      </c>
      <c r="I23" s="14">
        <v>2.6009346038333332</v>
      </c>
      <c r="J23" s="14">
        <v>1.498663786666667</v>
      </c>
      <c r="K23" s="15" t="s">
        <v>15</v>
      </c>
    </row>
    <row r="24" spans="1:18">
      <c r="A24" s="8">
        <v>16</v>
      </c>
      <c r="B24" s="9">
        <v>36754</v>
      </c>
      <c r="C24" s="12">
        <v>2000</v>
      </c>
      <c r="D24" s="16" t="s">
        <v>25</v>
      </c>
      <c r="E24" s="12">
        <v>8</v>
      </c>
      <c r="F24" s="13">
        <v>14.668265930659848</v>
      </c>
      <c r="G24" s="14">
        <v>0.34292346166666671</v>
      </c>
      <c r="H24" s="14">
        <v>2.64648605E-2</v>
      </c>
      <c r="I24" s="14">
        <v>2.6780168764999996</v>
      </c>
      <c r="J24" s="14">
        <v>1.7610295409999999</v>
      </c>
      <c r="K24" s="15" t="s">
        <v>15</v>
      </c>
      <c r="M24" s="29">
        <f>AVERAGE(F23:F24)</f>
        <v>13.74477470975129</v>
      </c>
      <c r="N24" s="29">
        <f t="shared" ref="N24" si="18">AVERAGE(G23:G24)</f>
        <v>0.20584564891666668</v>
      </c>
      <c r="O24" s="29">
        <f t="shared" ref="O24" si="19">AVERAGE(H23:H24)</f>
        <v>2.8190469583333336E-2</v>
      </c>
      <c r="P24" s="29">
        <f t="shared" ref="P24" si="20">AVERAGE(I23:I24)</f>
        <v>2.6394757401666666</v>
      </c>
      <c r="Q24" s="29">
        <f t="shared" ref="Q24" si="21">AVERAGE(J23:J24)</f>
        <v>1.6298466638333333</v>
      </c>
      <c r="R24" s="29" t="e">
        <f t="shared" ref="R24" si="22">AVERAGE(K23:K24)</f>
        <v>#DIV/0!</v>
      </c>
    </row>
    <row r="25" spans="1:18">
      <c r="A25" s="8">
        <v>2</v>
      </c>
      <c r="B25" s="9">
        <v>36782</v>
      </c>
      <c r="C25" s="12">
        <v>2000</v>
      </c>
      <c r="D25" s="16" t="s">
        <v>26</v>
      </c>
      <c r="E25" s="12">
        <v>9</v>
      </c>
      <c r="F25" s="13">
        <v>1.0846293683277899</v>
      </c>
      <c r="G25" s="14">
        <v>0</v>
      </c>
      <c r="H25" s="14">
        <v>0</v>
      </c>
      <c r="I25" s="14">
        <v>0.29662036050000001</v>
      </c>
      <c r="J25" s="14">
        <v>2.1051162333333338E-2</v>
      </c>
      <c r="K25" s="15" t="s">
        <v>15</v>
      </c>
    </row>
    <row r="26" spans="1:18">
      <c r="A26" s="8">
        <v>16</v>
      </c>
      <c r="B26" s="9">
        <v>36782</v>
      </c>
      <c r="C26" s="12">
        <v>2000</v>
      </c>
      <c r="D26" s="16" t="s">
        <v>26</v>
      </c>
      <c r="E26" s="12">
        <v>9</v>
      </c>
      <c r="F26" s="13">
        <v>3.9030508702619744</v>
      </c>
      <c r="G26" s="14">
        <v>5.0039466000000005E-2</v>
      </c>
      <c r="H26" s="14">
        <v>0</v>
      </c>
      <c r="I26" s="14">
        <v>1.2469303338333333</v>
      </c>
      <c r="J26" s="14">
        <v>0.15255336183333332</v>
      </c>
      <c r="K26" s="15" t="s">
        <v>15</v>
      </c>
      <c r="M26" s="29">
        <f>AVERAGE(F25:F26)</f>
        <v>2.493840119294882</v>
      </c>
      <c r="N26" s="29">
        <f t="shared" ref="N26" si="23">AVERAGE(G25:G26)</f>
        <v>2.5019733000000002E-2</v>
      </c>
      <c r="O26" s="29">
        <f t="shared" ref="O26" si="24">AVERAGE(H25:H26)</f>
        <v>0</v>
      </c>
      <c r="P26" s="29">
        <f t="shared" ref="P26" si="25">AVERAGE(I25:I26)</f>
        <v>0.77177534716666663</v>
      </c>
      <c r="Q26" s="29">
        <f t="shared" ref="Q26" si="26">AVERAGE(J25:J26)</f>
        <v>8.6802262083333331E-2</v>
      </c>
      <c r="R26" s="29" t="e">
        <f t="shared" ref="R26" si="27">AVERAGE(K25:K26)</f>
        <v>#DIV/0!</v>
      </c>
    </row>
    <row r="27" spans="1:18">
      <c r="A27" s="8">
        <v>2</v>
      </c>
      <c r="B27" s="9">
        <v>36818</v>
      </c>
      <c r="C27" s="12">
        <v>2000</v>
      </c>
      <c r="D27" s="16" t="s">
        <v>14</v>
      </c>
      <c r="E27" s="12">
        <v>10</v>
      </c>
      <c r="F27" s="17">
        <v>0.78369689681136157</v>
      </c>
      <c r="G27" s="15">
        <v>5.2189597666666671E-2</v>
      </c>
      <c r="H27" s="15">
        <v>0</v>
      </c>
      <c r="I27" s="15">
        <v>0.14521576233333333</v>
      </c>
      <c r="J27" s="15">
        <v>0</v>
      </c>
      <c r="K27" s="15" t="s">
        <v>15</v>
      </c>
    </row>
    <row r="28" spans="1:18">
      <c r="A28" s="8">
        <v>16</v>
      </c>
      <c r="B28" s="9">
        <v>36818</v>
      </c>
      <c r="C28" s="12">
        <v>2000</v>
      </c>
      <c r="D28" s="16" t="s">
        <v>14</v>
      </c>
      <c r="E28" s="12">
        <v>10</v>
      </c>
      <c r="F28" s="17">
        <v>1.3435023165554583</v>
      </c>
      <c r="G28" s="15">
        <v>6.7325224666666669E-2</v>
      </c>
      <c r="H28" s="15">
        <v>0</v>
      </c>
      <c r="I28" s="15">
        <v>9.0443385833333334E-2</v>
      </c>
      <c r="J28" s="15">
        <v>1.0305116666666664E-2</v>
      </c>
      <c r="K28" s="15" t="s">
        <v>15</v>
      </c>
      <c r="M28" s="29">
        <f>AVERAGE(F27:F28)</f>
        <v>1.0635996066834099</v>
      </c>
      <c r="N28" s="29">
        <f t="shared" ref="N28" si="28">AVERAGE(G27:G28)</f>
        <v>5.975741116666667E-2</v>
      </c>
      <c r="O28" s="29">
        <f t="shared" ref="O28" si="29">AVERAGE(H27:H28)</f>
        <v>0</v>
      </c>
      <c r="P28" s="29">
        <f t="shared" ref="P28" si="30">AVERAGE(I27:I28)</f>
        <v>0.11782957408333333</v>
      </c>
      <c r="Q28" s="29">
        <f t="shared" ref="Q28" si="31">AVERAGE(J27:J28)</f>
        <v>5.1525583333333321E-3</v>
      </c>
      <c r="R28" s="29" t="e">
        <f t="shared" ref="R28" si="32">AVERAGE(K27:K28)</f>
        <v>#DIV/0!</v>
      </c>
    </row>
    <row r="29" spans="1:18">
      <c r="A29" s="8">
        <v>2</v>
      </c>
      <c r="B29" s="9">
        <v>36845</v>
      </c>
      <c r="C29" s="12">
        <v>2000</v>
      </c>
      <c r="D29" s="16" t="s">
        <v>16</v>
      </c>
      <c r="E29" s="12">
        <v>11</v>
      </c>
      <c r="F29" s="17">
        <v>0.70124637049035787</v>
      </c>
      <c r="G29" s="15">
        <v>0</v>
      </c>
      <c r="H29" s="15">
        <v>0</v>
      </c>
      <c r="I29" s="15">
        <v>0.18300450983333336</v>
      </c>
      <c r="J29" s="15">
        <v>0</v>
      </c>
      <c r="K29" s="15" t="s">
        <v>15</v>
      </c>
    </row>
    <row r="30" spans="1:18">
      <c r="A30" s="8">
        <v>16</v>
      </c>
      <c r="B30" s="9">
        <v>36848</v>
      </c>
      <c r="C30" s="12">
        <v>2000</v>
      </c>
      <c r="D30" s="16" t="s">
        <v>16</v>
      </c>
      <c r="E30" s="12">
        <v>11</v>
      </c>
      <c r="F30" s="17">
        <v>0.33552353038791721</v>
      </c>
      <c r="G30" s="15">
        <v>2.2378037833333336E-2</v>
      </c>
      <c r="H30" s="15">
        <v>0</v>
      </c>
      <c r="I30" s="15">
        <v>3.920169116666667E-2</v>
      </c>
      <c r="J30" s="15">
        <v>0</v>
      </c>
      <c r="K30" s="15" t="s">
        <v>15</v>
      </c>
      <c r="M30" s="29">
        <f>AVERAGE(F29:F30)</f>
        <v>0.51838495043913757</v>
      </c>
      <c r="N30" s="29">
        <f t="shared" ref="N30" si="33">AVERAGE(G29:G30)</f>
        <v>1.1189018916666668E-2</v>
      </c>
      <c r="O30" s="29">
        <f t="shared" ref="O30" si="34">AVERAGE(H29:H30)</f>
        <v>0</v>
      </c>
      <c r="P30" s="29">
        <f t="shared" ref="P30" si="35">AVERAGE(I29:I30)</f>
        <v>0.11110310050000001</v>
      </c>
      <c r="Q30" s="29">
        <f t="shared" ref="Q30" si="36">AVERAGE(J29:J30)</f>
        <v>0</v>
      </c>
      <c r="R30" s="29" t="e">
        <f t="shared" ref="R30" si="37">AVERAGE(K29:K30)</f>
        <v>#DIV/0!</v>
      </c>
    </row>
    <row r="31" spans="1:18">
      <c r="A31" s="8">
        <v>2</v>
      </c>
      <c r="B31" s="9">
        <v>36875</v>
      </c>
      <c r="C31" s="12">
        <v>2000</v>
      </c>
      <c r="D31" s="16" t="s">
        <v>17</v>
      </c>
      <c r="E31" s="12">
        <v>12</v>
      </c>
      <c r="F31" s="17">
        <v>2.9105063210533353</v>
      </c>
      <c r="G31" s="15">
        <v>0.1120333915</v>
      </c>
      <c r="H31" s="15">
        <v>1.1417817666666665E-2</v>
      </c>
      <c r="I31" s="15">
        <v>0.70021202533333327</v>
      </c>
      <c r="J31" s="15">
        <v>2.1789503500000001E-2</v>
      </c>
      <c r="K31" s="15" t="s">
        <v>15</v>
      </c>
    </row>
    <row r="32" spans="1:18">
      <c r="A32" s="8">
        <v>16</v>
      </c>
      <c r="B32" s="9">
        <v>36871</v>
      </c>
      <c r="C32" s="12">
        <v>2000</v>
      </c>
      <c r="D32" s="16" t="s">
        <v>17</v>
      </c>
      <c r="E32" s="12">
        <v>12</v>
      </c>
      <c r="F32" s="17">
        <v>1.7729309077984674</v>
      </c>
      <c r="G32" s="15">
        <v>7.9575733500000009E-2</v>
      </c>
      <c r="H32" s="15">
        <v>0</v>
      </c>
      <c r="I32" s="15">
        <v>0.38842752316666662</v>
      </c>
      <c r="J32" s="15">
        <v>1.6581488333333335E-2</v>
      </c>
      <c r="K32" s="15" t="s">
        <v>15</v>
      </c>
      <c r="M32" s="29">
        <f>AVERAGE(F31:F32)</f>
        <v>2.3417186144259015</v>
      </c>
      <c r="N32" s="29">
        <f t="shared" ref="N32" si="38">AVERAGE(G31:G32)</f>
        <v>9.5804562499999996E-2</v>
      </c>
      <c r="O32" s="29">
        <f t="shared" ref="O32" si="39">AVERAGE(H31:H32)</f>
        <v>5.7089088333333324E-3</v>
      </c>
      <c r="P32" s="29">
        <f t="shared" ref="P32" si="40">AVERAGE(I31:I32)</f>
        <v>0.54431977424999989</v>
      </c>
      <c r="Q32" s="29">
        <f t="shared" ref="Q32" si="41">AVERAGE(J31:J32)</f>
        <v>1.918549591666667E-2</v>
      </c>
      <c r="R32" s="29" t="e">
        <f t="shared" ref="R32" si="42">AVERAGE(K31:K32)</f>
        <v>#DIV/0!</v>
      </c>
    </row>
    <row r="33" spans="1:18">
      <c r="A33" s="8">
        <v>2</v>
      </c>
      <c r="B33" s="9">
        <v>36901</v>
      </c>
      <c r="C33" s="12">
        <v>2001</v>
      </c>
      <c r="D33" s="16" t="s">
        <v>18</v>
      </c>
      <c r="E33" s="12">
        <v>1</v>
      </c>
      <c r="F33" s="17">
        <v>3.3393668982479086</v>
      </c>
      <c r="G33" s="15">
        <v>0.10870619116666665</v>
      </c>
      <c r="H33" s="15">
        <v>0</v>
      </c>
      <c r="I33" s="15">
        <v>1.0492803976666665</v>
      </c>
      <c r="J33" s="15">
        <v>1.5185737333333333E-2</v>
      </c>
      <c r="K33" s="15" t="s">
        <v>15</v>
      </c>
    </row>
    <row r="34" spans="1:18">
      <c r="A34" s="8">
        <v>16</v>
      </c>
      <c r="B34" s="9">
        <v>36901</v>
      </c>
      <c r="C34" s="12">
        <v>2001</v>
      </c>
      <c r="D34" s="16" t="s">
        <v>18</v>
      </c>
      <c r="E34" s="12">
        <v>1</v>
      </c>
      <c r="F34" s="17">
        <v>5.8894314886091754</v>
      </c>
      <c r="G34" s="15">
        <v>0.40430557766666664</v>
      </c>
      <c r="H34" s="15">
        <v>0</v>
      </c>
      <c r="I34" s="15">
        <v>1.3861628690000001</v>
      </c>
      <c r="J34" s="15">
        <v>5.1334418333333333E-2</v>
      </c>
      <c r="K34" s="15" t="s">
        <v>15</v>
      </c>
      <c r="M34" s="29">
        <f>AVERAGE(F33:F34)</f>
        <v>4.6143991934285422</v>
      </c>
      <c r="N34" s="29">
        <f t="shared" ref="N34" si="43">AVERAGE(G33:G34)</f>
        <v>0.25650588441666666</v>
      </c>
      <c r="O34" s="29">
        <f t="shared" ref="O34" si="44">AVERAGE(H33:H34)</f>
        <v>0</v>
      </c>
      <c r="P34" s="29">
        <f t="shared" ref="P34" si="45">AVERAGE(I33:I34)</f>
        <v>1.2177216333333334</v>
      </c>
      <c r="Q34" s="29">
        <f t="shared" ref="Q34" si="46">AVERAGE(J33:J34)</f>
        <v>3.3260077833333332E-2</v>
      </c>
      <c r="R34" s="29" t="e">
        <f t="shared" ref="R34" si="47">AVERAGE(K33:K34)</f>
        <v>#DIV/0!</v>
      </c>
    </row>
    <row r="35" spans="1:18">
      <c r="A35" s="12">
        <v>2</v>
      </c>
      <c r="B35" s="9">
        <v>36928</v>
      </c>
      <c r="C35" s="12">
        <v>2001</v>
      </c>
      <c r="D35" s="11" t="s">
        <v>19</v>
      </c>
      <c r="E35" s="12">
        <v>2</v>
      </c>
      <c r="F35" s="17">
        <v>3.9397994994377648</v>
      </c>
      <c r="G35" s="15">
        <v>5.4365518333333335E-2</v>
      </c>
      <c r="H35" s="15">
        <v>1.9531393499999997E-2</v>
      </c>
      <c r="I35" s="15">
        <v>1.5827543773333335</v>
      </c>
      <c r="J35" s="15">
        <v>3.722128466666666E-2</v>
      </c>
      <c r="K35" s="15" t="s">
        <v>15</v>
      </c>
    </row>
    <row r="36" spans="1:18">
      <c r="A36" s="12">
        <v>16</v>
      </c>
      <c r="B36" s="9">
        <v>36928</v>
      </c>
      <c r="C36" s="12">
        <v>2001</v>
      </c>
      <c r="D36" s="11" t="s">
        <v>19</v>
      </c>
      <c r="E36" s="12">
        <v>2</v>
      </c>
      <c r="F36" s="17">
        <v>2.9617176326205095</v>
      </c>
      <c r="G36" s="15">
        <v>0.13566093783333336</v>
      </c>
      <c r="H36" s="15">
        <v>5.3980675166666672E-2</v>
      </c>
      <c r="I36" s="15">
        <v>1.0459840183333331</v>
      </c>
      <c r="J36" s="15">
        <v>4.3983244333333331E-2</v>
      </c>
      <c r="K36" s="15" t="s">
        <v>15</v>
      </c>
      <c r="M36" s="29">
        <f>AVERAGE(F35:F36)</f>
        <v>3.4507585660291369</v>
      </c>
      <c r="N36" s="29">
        <f t="shared" ref="N36" si="48">AVERAGE(G35:G36)</f>
        <v>9.5013228083333345E-2</v>
      </c>
      <c r="O36" s="29">
        <f t="shared" ref="O36" si="49">AVERAGE(H35:H36)</f>
        <v>3.6756034333333333E-2</v>
      </c>
      <c r="P36" s="29">
        <f t="shared" ref="P36" si="50">AVERAGE(I35:I36)</f>
        <v>1.3143691978333334</v>
      </c>
      <c r="Q36" s="29">
        <f t="shared" ref="Q36" si="51">AVERAGE(J35:J36)</f>
        <v>4.0602264499999999E-2</v>
      </c>
      <c r="R36" s="29" t="e">
        <f t="shared" ref="R36" si="52">AVERAGE(K35:K36)</f>
        <v>#DIV/0!</v>
      </c>
    </row>
    <row r="37" spans="1:18">
      <c r="A37" s="8">
        <v>2</v>
      </c>
      <c r="B37" s="9">
        <v>36963</v>
      </c>
      <c r="C37" s="12">
        <v>2001</v>
      </c>
      <c r="D37" s="11" t="s">
        <v>20</v>
      </c>
      <c r="E37" s="12">
        <v>3</v>
      </c>
      <c r="F37" s="17">
        <v>1.7230646958731481</v>
      </c>
      <c r="G37" s="15">
        <v>0</v>
      </c>
      <c r="H37" s="15">
        <v>0</v>
      </c>
      <c r="I37" s="15">
        <v>0.37886955366666669</v>
      </c>
      <c r="J37" s="15">
        <v>0</v>
      </c>
      <c r="K37" s="15" t="s">
        <v>15</v>
      </c>
    </row>
    <row r="38" spans="1:18">
      <c r="A38" s="8">
        <v>16</v>
      </c>
      <c r="B38" s="9">
        <v>36963</v>
      </c>
      <c r="C38" s="12">
        <v>2001</v>
      </c>
      <c r="D38" s="11" t="s">
        <v>20</v>
      </c>
      <c r="E38" s="12">
        <v>3</v>
      </c>
      <c r="F38" s="17">
        <v>2.1962590343929107</v>
      </c>
      <c r="G38" s="15">
        <v>0</v>
      </c>
      <c r="H38" s="15">
        <v>3.3151130500000001E-2</v>
      </c>
      <c r="I38" s="15">
        <v>0.65994847733333328</v>
      </c>
      <c r="J38" s="15">
        <v>1.8334406499999997E-2</v>
      </c>
      <c r="K38" s="15" t="s">
        <v>15</v>
      </c>
      <c r="M38" s="29">
        <f>AVERAGE(F37:F38)</f>
        <v>1.9596618651330293</v>
      </c>
      <c r="N38" s="29">
        <f t="shared" ref="N38" si="53">AVERAGE(G37:G38)</f>
        <v>0</v>
      </c>
      <c r="O38" s="29">
        <f t="shared" ref="O38" si="54">AVERAGE(H37:H38)</f>
        <v>1.657556525E-2</v>
      </c>
      <c r="P38" s="29">
        <f t="shared" ref="P38" si="55">AVERAGE(I37:I38)</f>
        <v>0.51940901549999996</v>
      </c>
      <c r="Q38" s="29">
        <f t="shared" ref="Q38" si="56">AVERAGE(J37:J38)</f>
        <v>9.1672032499999986E-3</v>
      </c>
      <c r="R38" s="29" t="e">
        <f t="shared" ref="R38" si="57">AVERAGE(K37:K38)</f>
        <v>#DIV/0!</v>
      </c>
    </row>
    <row r="39" spans="1:18">
      <c r="A39" s="8">
        <v>2</v>
      </c>
      <c r="B39" s="9">
        <v>37000</v>
      </c>
      <c r="C39" s="12">
        <v>2001</v>
      </c>
      <c r="D39" s="16" t="s">
        <v>21</v>
      </c>
      <c r="E39" s="12">
        <v>4</v>
      </c>
      <c r="F39" s="17">
        <v>0.48624479623327538</v>
      </c>
      <c r="G39" s="15">
        <v>0</v>
      </c>
      <c r="H39" s="15">
        <v>0</v>
      </c>
      <c r="I39" s="15">
        <v>6.1269422333333337E-2</v>
      </c>
      <c r="J39" s="15">
        <v>0</v>
      </c>
      <c r="K39" s="15" t="s">
        <v>15</v>
      </c>
    </row>
    <row r="40" spans="1:18">
      <c r="A40" s="8">
        <v>16</v>
      </c>
      <c r="B40" s="9">
        <v>37000</v>
      </c>
      <c r="C40" s="12">
        <v>2001</v>
      </c>
      <c r="D40" s="16" t="s">
        <v>21</v>
      </c>
      <c r="E40" s="12">
        <v>4</v>
      </c>
      <c r="F40" s="17">
        <v>0.94233141158054823</v>
      </c>
      <c r="G40" s="15">
        <v>0</v>
      </c>
      <c r="H40" s="15">
        <v>0</v>
      </c>
      <c r="I40" s="15">
        <v>0.11752477116666667</v>
      </c>
      <c r="J40" s="15">
        <v>2.0470490500000001E-2</v>
      </c>
      <c r="K40" s="15" t="s">
        <v>15</v>
      </c>
      <c r="M40" s="29">
        <f>AVERAGE(F39:F40)</f>
        <v>0.71428810390691178</v>
      </c>
      <c r="N40" s="29">
        <f t="shared" ref="N40" si="58">AVERAGE(G39:G40)</f>
        <v>0</v>
      </c>
      <c r="O40" s="29">
        <f t="shared" ref="O40" si="59">AVERAGE(H39:H40)</f>
        <v>0</v>
      </c>
      <c r="P40" s="29">
        <f t="shared" ref="P40" si="60">AVERAGE(I39:I40)</f>
        <v>8.9397096750000002E-2</v>
      </c>
      <c r="Q40" s="29">
        <f t="shared" ref="Q40" si="61">AVERAGE(J39:J40)</f>
        <v>1.023524525E-2</v>
      </c>
      <c r="R40" s="29" t="e">
        <f t="shared" ref="R40" si="62">AVERAGE(K39:K40)</f>
        <v>#DIV/0!</v>
      </c>
    </row>
    <row r="41" spans="1:18">
      <c r="A41" s="8">
        <v>2</v>
      </c>
      <c r="B41" s="9">
        <v>37028</v>
      </c>
      <c r="C41" s="12">
        <v>2001</v>
      </c>
      <c r="D41" s="16" t="s">
        <v>22</v>
      </c>
      <c r="E41" s="12">
        <v>5</v>
      </c>
      <c r="F41" s="17">
        <v>0.71340617095896919</v>
      </c>
      <c r="G41" s="15">
        <v>4.748268583333333E-2</v>
      </c>
      <c r="H41" s="15">
        <v>0</v>
      </c>
      <c r="I41" s="15">
        <v>0.11190172083333333</v>
      </c>
      <c r="J41" s="15">
        <v>0</v>
      </c>
      <c r="K41" s="15" t="s">
        <v>15</v>
      </c>
    </row>
    <row r="42" spans="1:18">
      <c r="A42" s="8">
        <v>16</v>
      </c>
      <c r="B42" s="9">
        <v>37027</v>
      </c>
      <c r="C42" s="12">
        <v>2001</v>
      </c>
      <c r="D42" s="16" t="s">
        <v>22</v>
      </c>
      <c r="E42" s="12">
        <v>5</v>
      </c>
      <c r="F42" s="17">
        <v>1.9656313095361935</v>
      </c>
      <c r="G42" s="15">
        <v>0</v>
      </c>
      <c r="H42" s="15">
        <v>1.2669527666666666E-2</v>
      </c>
      <c r="I42" s="15">
        <v>0.47340122983333333</v>
      </c>
      <c r="J42" s="15">
        <v>2.4416102666666668E-2</v>
      </c>
      <c r="K42" s="15" t="s">
        <v>15</v>
      </c>
      <c r="M42" s="29">
        <f>AVERAGE(F41:F42)</f>
        <v>1.3395187402475814</v>
      </c>
      <c r="N42" s="29">
        <f t="shared" ref="N42" si="63">AVERAGE(G41:G42)</f>
        <v>2.3741342916666665E-2</v>
      </c>
      <c r="O42" s="29">
        <f t="shared" ref="O42" si="64">AVERAGE(H41:H42)</f>
        <v>6.3347638333333331E-3</v>
      </c>
      <c r="P42" s="29">
        <f t="shared" ref="P42" si="65">AVERAGE(I41:I42)</f>
        <v>0.29265147533333336</v>
      </c>
      <c r="Q42" s="29">
        <f t="shared" ref="Q42" si="66">AVERAGE(J41:J42)</f>
        <v>1.2208051333333334E-2</v>
      </c>
      <c r="R42" s="29" t="e">
        <f t="shared" ref="R42" si="67">AVERAGE(K41:K42)</f>
        <v>#DIV/0!</v>
      </c>
    </row>
    <row r="43" spans="1:18">
      <c r="A43" s="8">
        <v>2</v>
      </c>
      <c r="B43" s="9">
        <v>37058</v>
      </c>
      <c r="C43" s="12">
        <v>2001</v>
      </c>
      <c r="D43" s="16" t="s">
        <v>23</v>
      </c>
      <c r="E43" s="12">
        <v>6</v>
      </c>
      <c r="F43" s="17">
        <v>12.295525135357376</v>
      </c>
      <c r="G43" s="15">
        <v>0.10111845933333333</v>
      </c>
      <c r="H43" s="15">
        <v>1.8840950683333333</v>
      </c>
      <c r="I43" s="15">
        <v>4.2329559303333335</v>
      </c>
      <c r="J43" s="15">
        <v>0.30074880199999998</v>
      </c>
      <c r="K43" s="15" t="s">
        <v>15</v>
      </c>
    </row>
    <row r="44" spans="1:18">
      <c r="A44" s="8">
        <v>16</v>
      </c>
      <c r="B44" s="9">
        <v>37056</v>
      </c>
      <c r="C44" s="12">
        <v>2001</v>
      </c>
      <c r="D44" s="16" t="s">
        <v>23</v>
      </c>
      <c r="E44" s="12">
        <v>6</v>
      </c>
      <c r="F44" s="17">
        <v>17.841725850658584</v>
      </c>
      <c r="G44" s="15">
        <v>0.12306311616666667</v>
      </c>
      <c r="H44" s="15">
        <v>4.7504453426666666</v>
      </c>
      <c r="I44" s="15">
        <v>6.3776925591666664</v>
      </c>
      <c r="J44" s="15">
        <v>0.29544895283333333</v>
      </c>
      <c r="K44" s="15" t="s">
        <v>15</v>
      </c>
      <c r="M44" s="29">
        <f>AVERAGE(F43:F44)</f>
        <v>15.06862549300798</v>
      </c>
      <c r="N44" s="29">
        <f t="shared" ref="N44" si="68">AVERAGE(G43:G44)</f>
        <v>0.11209078775</v>
      </c>
      <c r="O44" s="29">
        <f t="shared" ref="O44" si="69">AVERAGE(H43:H44)</f>
        <v>3.3172702054999998</v>
      </c>
      <c r="P44" s="29">
        <f t="shared" ref="P44" si="70">AVERAGE(I43:I44)</f>
        <v>5.3053242447500004</v>
      </c>
      <c r="Q44" s="29">
        <f t="shared" ref="Q44" si="71">AVERAGE(J43:J44)</f>
        <v>0.29809887741666663</v>
      </c>
      <c r="R44" s="29" t="e">
        <f t="shared" ref="R44" si="72">AVERAGE(K43:K44)</f>
        <v>#DIV/0!</v>
      </c>
    </row>
    <row r="45" spans="1:18">
      <c r="A45" s="8">
        <v>2</v>
      </c>
      <c r="B45" s="9">
        <v>37089</v>
      </c>
      <c r="C45" s="12">
        <v>2001</v>
      </c>
      <c r="D45" s="16" t="s">
        <v>24</v>
      </c>
      <c r="E45" s="12">
        <v>7</v>
      </c>
      <c r="F45" s="17">
        <v>7.5105065548637011</v>
      </c>
      <c r="G45" s="15">
        <v>0.142450888</v>
      </c>
      <c r="H45" s="15">
        <v>0</v>
      </c>
      <c r="I45" s="15">
        <v>1.5703031126666667</v>
      </c>
      <c r="J45" s="15">
        <v>0.62690867983333332</v>
      </c>
      <c r="K45" s="15" t="s">
        <v>15</v>
      </c>
    </row>
    <row r="46" spans="1:18">
      <c r="A46" s="8">
        <v>16</v>
      </c>
      <c r="B46" s="9">
        <v>37089</v>
      </c>
      <c r="C46" s="12">
        <v>2001</v>
      </c>
      <c r="D46" s="16" t="s">
        <v>24</v>
      </c>
      <c r="E46" s="12">
        <v>7</v>
      </c>
      <c r="F46" s="17">
        <v>6.8793581967375523</v>
      </c>
      <c r="G46" s="15">
        <v>0.23474374349999999</v>
      </c>
      <c r="H46" s="15">
        <v>0</v>
      </c>
      <c r="I46" s="15">
        <v>0.8407431004999999</v>
      </c>
      <c r="J46" s="15">
        <v>1.2447645820000002</v>
      </c>
      <c r="K46" s="15" t="s">
        <v>15</v>
      </c>
      <c r="M46" s="29">
        <f>AVERAGE(F45:F46)</f>
        <v>7.1949323758006267</v>
      </c>
      <c r="N46" s="29">
        <f t="shared" ref="N46" si="73">AVERAGE(G45:G46)</f>
        <v>0.18859731574999999</v>
      </c>
      <c r="O46" s="29">
        <f t="shared" ref="O46" si="74">AVERAGE(H45:H46)</f>
        <v>0</v>
      </c>
      <c r="P46" s="29">
        <f t="shared" ref="P46" si="75">AVERAGE(I45:I46)</f>
        <v>1.2055231065833332</v>
      </c>
      <c r="Q46" s="29">
        <f t="shared" ref="Q46" si="76">AVERAGE(J45:J46)</f>
        <v>0.9358366309166668</v>
      </c>
      <c r="R46" s="29" t="e">
        <f t="shared" ref="R46" si="77">AVERAGE(K45:K46)</f>
        <v>#DIV/0!</v>
      </c>
    </row>
    <row r="47" spans="1:18">
      <c r="A47" s="8">
        <v>2</v>
      </c>
      <c r="B47" s="9">
        <v>37119</v>
      </c>
      <c r="C47" s="12">
        <v>2001</v>
      </c>
      <c r="D47" s="16" t="s">
        <v>25</v>
      </c>
      <c r="E47" s="12">
        <v>8</v>
      </c>
      <c r="F47" s="17">
        <v>2.8484052173891512</v>
      </c>
      <c r="G47" s="15">
        <v>0.21154108666666666</v>
      </c>
      <c r="H47" s="15">
        <v>0</v>
      </c>
      <c r="I47" s="15">
        <v>0.52956191416666676</v>
      </c>
      <c r="J47" s="15">
        <v>6.9240529666666675E-2</v>
      </c>
      <c r="K47" s="15" t="s">
        <v>15</v>
      </c>
    </row>
    <row r="48" spans="1:18">
      <c r="A48" s="8">
        <v>16</v>
      </c>
      <c r="B48" s="9">
        <v>37119</v>
      </c>
      <c r="C48" s="12">
        <v>2001</v>
      </c>
      <c r="D48" s="16" t="s">
        <v>25</v>
      </c>
      <c r="E48" s="12">
        <v>8</v>
      </c>
      <c r="F48" s="17">
        <v>2.349127100454246</v>
      </c>
      <c r="G48" s="15">
        <v>2.7588778666666668E-2</v>
      </c>
      <c r="H48" s="15">
        <v>0</v>
      </c>
      <c r="I48" s="15">
        <v>0.43156444800000004</v>
      </c>
      <c r="J48" s="15">
        <v>0.16268959200000002</v>
      </c>
      <c r="K48" s="15" t="s">
        <v>15</v>
      </c>
      <c r="M48" s="29">
        <f>AVERAGE(F47:F48)</f>
        <v>2.5987661589216984</v>
      </c>
      <c r="N48" s="29">
        <f t="shared" ref="N48" si="78">AVERAGE(G47:G48)</f>
        <v>0.11956493266666667</v>
      </c>
      <c r="O48" s="29">
        <f t="shared" ref="O48" si="79">AVERAGE(H47:H48)</f>
        <v>0</v>
      </c>
      <c r="P48" s="29">
        <f t="shared" ref="P48" si="80">AVERAGE(I47:I48)</f>
        <v>0.4805631810833334</v>
      </c>
      <c r="Q48" s="29">
        <f t="shared" ref="Q48" si="81">AVERAGE(J47:J48)</f>
        <v>0.11596506083333336</v>
      </c>
      <c r="R48" s="29" t="e">
        <f t="shared" ref="R48" si="82">AVERAGE(K47:K48)</f>
        <v>#DIV/0!</v>
      </c>
    </row>
    <row r="49" spans="1:18">
      <c r="A49" s="8">
        <v>2</v>
      </c>
      <c r="B49" s="9">
        <v>37152</v>
      </c>
      <c r="C49" s="12">
        <v>2001</v>
      </c>
      <c r="D49" s="16" t="s">
        <v>26</v>
      </c>
      <c r="E49" s="12">
        <v>9</v>
      </c>
      <c r="F49" s="17">
        <v>1.1426911228841896</v>
      </c>
      <c r="G49" s="15">
        <v>0</v>
      </c>
      <c r="H49" s="15">
        <v>0</v>
      </c>
      <c r="I49" s="15">
        <v>0.23569447700000001</v>
      </c>
      <c r="J49" s="15">
        <v>1.8718620666666668E-2</v>
      </c>
      <c r="K49" s="15" t="s">
        <v>15</v>
      </c>
    </row>
    <row r="50" spans="1:18">
      <c r="A50" s="8">
        <v>16</v>
      </c>
      <c r="B50" s="9">
        <v>37152</v>
      </c>
      <c r="C50" s="12">
        <v>2001</v>
      </c>
      <c r="D50" s="16" t="s">
        <v>26</v>
      </c>
      <c r="E50" s="12">
        <v>9</v>
      </c>
      <c r="F50" s="17">
        <v>3.559456607124281</v>
      </c>
      <c r="G50" s="15">
        <v>0</v>
      </c>
      <c r="H50" s="15">
        <v>0</v>
      </c>
      <c r="I50" s="15">
        <v>0.75686636983333333</v>
      </c>
      <c r="J50" s="15">
        <v>5.3373480500000001E-2</v>
      </c>
      <c r="K50" s="15" t="s">
        <v>15</v>
      </c>
      <c r="M50" s="29">
        <f>AVERAGE(F49:F50)</f>
        <v>2.3510738650042353</v>
      </c>
      <c r="N50" s="29">
        <f t="shared" ref="N50" si="83">AVERAGE(G49:G50)</f>
        <v>0</v>
      </c>
      <c r="O50" s="29">
        <f t="shared" ref="O50" si="84">AVERAGE(H49:H50)</f>
        <v>0</v>
      </c>
      <c r="P50" s="29">
        <f t="shared" ref="P50" si="85">AVERAGE(I49:I50)</f>
        <v>0.49628042341666667</v>
      </c>
      <c r="Q50" s="29">
        <f t="shared" ref="Q50" si="86">AVERAGE(J49:J50)</f>
        <v>3.6046050583333336E-2</v>
      </c>
      <c r="R50" s="29" t="e">
        <f t="shared" ref="R50" si="87">AVERAGE(K49:K50)</f>
        <v>#DIV/0!</v>
      </c>
    </row>
    <row r="51" spans="1:18">
      <c r="A51" s="8">
        <v>2</v>
      </c>
      <c r="B51" s="9">
        <v>37181</v>
      </c>
      <c r="C51" s="12">
        <v>2001</v>
      </c>
      <c r="D51" s="16" t="s">
        <v>14</v>
      </c>
      <c r="E51" s="12">
        <v>10</v>
      </c>
      <c r="F51" s="13">
        <v>0.88883623176181215</v>
      </c>
      <c r="G51" s="14">
        <v>0</v>
      </c>
      <c r="H51" s="18">
        <v>8.2482957302943069E-3</v>
      </c>
      <c r="I51" s="14">
        <v>0.1067178285299776</v>
      </c>
      <c r="J51" s="14">
        <v>1.068119441348549E-2</v>
      </c>
      <c r="K51" s="15" t="s">
        <v>27</v>
      </c>
    </row>
    <row r="52" spans="1:18">
      <c r="A52" s="8">
        <v>16</v>
      </c>
      <c r="B52" s="9">
        <v>37181</v>
      </c>
      <c r="C52" s="12">
        <v>2001</v>
      </c>
      <c r="D52" s="16" t="s">
        <v>14</v>
      </c>
      <c r="E52" s="12">
        <v>10</v>
      </c>
      <c r="F52" s="13">
        <v>1.3553329324301133</v>
      </c>
      <c r="G52" s="14">
        <v>1.1660501588595419E-2</v>
      </c>
      <c r="H52" s="18">
        <v>1.0384396816511836E-2</v>
      </c>
      <c r="I52" s="14">
        <v>0.21249617766617682</v>
      </c>
      <c r="J52" s="14">
        <v>1.9280572716094277E-2</v>
      </c>
      <c r="K52" s="15" t="s">
        <v>27</v>
      </c>
      <c r="M52" s="29">
        <f>AVERAGE(F51:F52)</f>
        <v>1.1220845820959626</v>
      </c>
      <c r="N52" s="29">
        <f t="shared" ref="N52" si="88">AVERAGE(G51:G52)</f>
        <v>5.8302507942977096E-3</v>
      </c>
      <c r="O52" s="29">
        <f t="shared" ref="O52" si="89">AVERAGE(H51:H52)</f>
        <v>9.3163462734030707E-3</v>
      </c>
      <c r="P52" s="29">
        <f t="shared" ref="P52" si="90">AVERAGE(I51:I52)</f>
        <v>0.15960700309807721</v>
      </c>
      <c r="Q52" s="29">
        <f t="shared" ref="Q52" si="91">AVERAGE(J51:J52)</f>
        <v>1.4980883564789884E-2</v>
      </c>
      <c r="R52" s="29" t="e">
        <f t="shared" ref="R52" si="92">AVERAGE(K51:K52)</f>
        <v>#DIV/0!</v>
      </c>
    </row>
    <row r="53" spans="1:18">
      <c r="A53" s="8">
        <v>2</v>
      </c>
      <c r="B53" s="9">
        <v>37203</v>
      </c>
      <c r="C53" s="12">
        <v>2001</v>
      </c>
      <c r="D53" s="16" t="s">
        <v>16</v>
      </c>
      <c r="E53" s="12">
        <v>11</v>
      </c>
      <c r="F53" s="13">
        <v>0.9134465601340287</v>
      </c>
      <c r="G53" s="14">
        <v>0</v>
      </c>
      <c r="H53" s="18">
        <v>6.6596944064881269E-3</v>
      </c>
      <c r="I53" s="14">
        <v>0.1924377386615021</v>
      </c>
      <c r="J53" s="14">
        <v>1.1237837137846197E-2</v>
      </c>
      <c r="K53" s="15" t="s">
        <v>27</v>
      </c>
    </row>
    <row r="54" spans="1:18">
      <c r="A54" s="8">
        <v>16</v>
      </c>
      <c r="B54" s="9">
        <v>37203</v>
      </c>
      <c r="C54" s="12">
        <v>2001</v>
      </c>
      <c r="D54" s="16" t="s">
        <v>16</v>
      </c>
      <c r="E54" s="12">
        <v>11</v>
      </c>
      <c r="F54" s="13">
        <v>1.2287094678118828</v>
      </c>
      <c r="G54" s="14">
        <v>0</v>
      </c>
      <c r="H54" s="18">
        <v>0</v>
      </c>
      <c r="I54" s="14">
        <v>0.1083110675135235</v>
      </c>
      <c r="J54" s="14">
        <v>1.1371638052323519E-2</v>
      </c>
      <c r="K54" s="15" t="s">
        <v>27</v>
      </c>
      <c r="M54" s="29">
        <f>AVERAGE(F53:F54)</f>
        <v>1.0710780139729557</v>
      </c>
      <c r="N54" s="29">
        <f t="shared" ref="N54" si="93">AVERAGE(G53:G54)</f>
        <v>0</v>
      </c>
      <c r="O54" s="29">
        <f t="shared" ref="O54" si="94">AVERAGE(H53:H54)</f>
        <v>3.3298472032440634E-3</v>
      </c>
      <c r="P54" s="29">
        <f t="shared" ref="P54" si="95">AVERAGE(I53:I54)</f>
        <v>0.15037440308751279</v>
      </c>
      <c r="Q54" s="29">
        <f t="shared" ref="Q54" si="96">AVERAGE(J53:J54)</f>
        <v>1.1304737595084859E-2</v>
      </c>
      <c r="R54" s="29" t="e">
        <f t="shared" ref="R54" si="97">AVERAGE(K53:K54)</f>
        <v>#DIV/0!</v>
      </c>
    </row>
    <row r="55" spans="1:18">
      <c r="A55" s="8">
        <v>2</v>
      </c>
      <c r="B55" s="9">
        <v>37228</v>
      </c>
      <c r="C55" s="12">
        <v>2001</v>
      </c>
      <c r="D55" s="16" t="s">
        <v>17</v>
      </c>
      <c r="E55" s="12">
        <v>12</v>
      </c>
      <c r="F55" s="13">
        <v>2.6464825212013325</v>
      </c>
      <c r="G55" s="14">
        <v>4.7265783038564678E-2</v>
      </c>
      <c r="H55" s="18">
        <v>1.3324431690722787E-2</v>
      </c>
      <c r="I55" s="14">
        <v>1.2139048247193502</v>
      </c>
      <c r="J55" s="14">
        <v>2.2985246051573968E-2</v>
      </c>
      <c r="K55" s="15" t="s">
        <v>27</v>
      </c>
    </row>
    <row r="56" spans="1:18">
      <c r="A56" s="8">
        <v>16</v>
      </c>
      <c r="B56" s="9">
        <v>37228</v>
      </c>
      <c r="C56" s="12">
        <v>2001</v>
      </c>
      <c r="D56" s="16" t="s">
        <v>17</v>
      </c>
      <c r="E56" s="12">
        <v>12</v>
      </c>
      <c r="F56" s="13">
        <v>0.65546728590943959</v>
      </c>
      <c r="G56" s="14">
        <v>0</v>
      </c>
      <c r="H56" s="18">
        <v>0</v>
      </c>
      <c r="I56" s="14">
        <v>0.12099235111096489</v>
      </c>
      <c r="J56" s="14">
        <v>0</v>
      </c>
      <c r="K56" s="15" t="s">
        <v>27</v>
      </c>
      <c r="M56" s="29">
        <f>AVERAGE(F55:F56)</f>
        <v>1.650974903555386</v>
      </c>
      <c r="N56" s="29">
        <f t="shared" ref="N56" si="98">AVERAGE(G55:G56)</f>
        <v>2.3632891519282339E-2</v>
      </c>
      <c r="O56" s="29">
        <f t="shared" ref="O56" si="99">AVERAGE(H55:H56)</f>
        <v>6.6622158453613937E-3</v>
      </c>
      <c r="P56" s="29">
        <f t="shared" ref="P56" si="100">AVERAGE(I55:I56)</f>
        <v>0.6674485879151576</v>
      </c>
      <c r="Q56" s="29">
        <f t="shared" ref="Q56" si="101">AVERAGE(J55:J56)</f>
        <v>1.1492623025786984E-2</v>
      </c>
      <c r="R56" s="29" t="e">
        <f t="shared" ref="R56" si="102">AVERAGE(K55:K56)</f>
        <v>#DIV/0!</v>
      </c>
    </row>
    <row r="57" spans="1:18">
      <c r="A57" s="8">
        <v>2</v>
      </c>
      <c r="B57" s="9">
        <v>37270</v>
      </c>
      <c r="C57" s="12">
        <v>2002</v>
      </c>
      <c r="D57" s="16" t="s">
        <v>18</v>
      </c>
      <c r="E57" s="12">
        <v>1</v>
      </c>
      <c r="F57" s="13">
        <v>2.5862509295428344</v>
      </c>
      <c r="G57" s="14">
        <v>0.39084031015956883</v>
      </c>
      <c r="H57" s="18">
        <v>9.8572134238050207E-3</v>
      </c>
      <c r="I57" s="14">
        <v>0.38473754074266103</v>
      </c>
      <c r="J57" s="14">
        <v>2.9443650230871234E-2</v>
      </c>
      <c r="K57" s="15" t="s">
        <v>27</v>
      </c>
    </row>
    <row r="58" spans="1:18">
      <c r="A58" s="8">
        <v>16</v>
      </c>
      <c r="B58" s="9">
        <v>37270</v>
      </c>
      <c r="C58" s="12">
        <v>2002</v>
      </c>
      <c r="D58" s="16" t="s">
        <v>18</v>
      </c>
      <c r="E58" s="12">
        <v>1</v>
      </c>
      <c r="F58" s="13">
        <v>2.4329208174935348</v>
      </c>
      <c r="G58" s="14">
        <v>0.29249953375234411</v>
      </c>
      <c r="H58" s="18">
        <v>1.7945876401081667E-2</v>
      </c>
      <c r="I58" s="14">
        <v>0.36395449015153003</v>
      </c>
      <c r="J58" s="14">
        <v>3.0110671679812153E-2</v>
      </c>
      <c r="K58" s="15" t="s">
        <v>27</v>
      </c>
      <c r="M58" s="29">
        <f>AVERAGE(F57:F58)</f>
        <v>2.5095858735181844</v>
      </c>
      <c r="N58" s="29">
        <f t="shared" ref="N58" si="103">AVERAGE(G57:G58)</f>
        <v>0.34166992195595647</v>
      </c>
      <c r="O58" s="29">
        <f t="shared" ref="O58" si="104">AVERAGE(H57:H58)</f>
        <v>1.3901544912443345E-2</v>
      </c>
      <c r="P58" s="29">
        <f t="shared" ref="P58" si="105">AVERAGE(I57:I58)</f>
        <v>0.37434601544709556</v>
      </c>
      <c r="Q58" s="29">
        <f t="shared" ref="Q58" si="106">AVERAGE(J57:J58)</f>
        <v>2.9777160955341692E-2</v>
      </c>
      <c r="R58" s="29" t="e">
        <f t="shared" ref="R58" si="107">AVERAGE(K57:K58)</f>
        <v>#DIV/0!</v>
      </c>
    </row>
    <row r="59" spans="1:18">
      <c r="A59" s="8">
        <v>2</v>
      </c>
      <c r="B59" s="9">
        <v>37300</v>
      </c>
      <c r="C59" s="12">
        <v>2002</v>
      </c>
      <c r="D59" s="11" t="s">
        <v>19</v>
      </c>
      <c r="E59" s="12">
        <v>2</v>
      </c>
      <c r="F59" s="13">
        <v>3.8015700259641796</v>
      </c>
      <c r="G59" s="14">
        <v>0.11375236069636757</v>
      </c>
      <c r="H59" s="18">
        <v>3.8877801275337534E-2</v>
      </c>
      <c r="I59" s="14">
        <v>1.306592674565118</v>
      </c>
      <c r="J59" s="14">
        <v>3.5730959298625159E-2</v>
      </c>
      <c r="K59" s="15" t="s">
        <v>27</v>
      </c>
    </row>
    <row r="60" spans="1:18">
      <c r="A60" s="8">
        <v>16</v>
      </c>
      <c r="B60" s="9">
        <v>37300</v>
      </c>
      <c r="C60" s="12">
        <v>2002</v>
      </c>
      <c r="D60" s="11" t="s">
        <v>19</v>
      </c>
      <c r="E60" s="12">
        <v>2</v>
      </c>
      <c r="F60" s="13">
        <v>1.8488222946788944</v>
      </c>
      <c r="G60" s="13">
        <v>3.2098689551771115E-2</v>
      </c>
      <c r="H60" s="19">
        <v>8.2420751820644872E-2</v>
      </c>
      <c r="I60" s="13">
        <v>0.68152197141055593</v>
      </c>
      <c r="J60" s="13">
        <v>2.0588270850320622E-2</v>
      </c>
      <c r="K60" s="17" t="s">
        <v>27</v>
      </c>
      <c r="M60" s="29">
        <f>AVERAGE(F59:F60)</f>
        <v>2.825196160321537</v>
      </c>
      <c r="N60" s="29">
        <f t="shared" ref="N60" si="108">AVERAGE(G59:G60)</f>
        <v>7.2925525124069343E-2</v>
      </c>
      <c r="O60" s="29">
        <f t="shared" ref="O60" si="109">AVERAGE(H59:H60)</f>
        <v>6.0649276547991203E-2</v>
      </c>
      <c r="P60" s="29">
        <f t="shared" ref="P60" si="110">AVERAGE(I59:I60)</f>
        <v>0.99405732298783689</v>
      </c>
      <c r="Q60" s="29">
        <f t="shared" ref="Q60" si="111">AVERAGE(J59:J60)</f>
        <v>2.8159615074472892E-2</v>
      </c>
      <c r="R60" s="29" t="e">
        <f t="shared" ref="R60" si="112">AVERAGE(K59:K60)</f>
        <v>#DIV/0!</v>
      </c>
    </row>
    <row r="61" spans="1:18">
      <c r="A61" s="8">
        <v>2</v>
      </c>
      <c r="B61" s="20">
        <v>37334</v>
      </c>
      <c r="C61" s="12">
        <v>2002</v>
      </c>
      <c r="D61" s="11" t="s">
        <v>20</v>
      </c>
      <c r="E61" s="12">
        <v>3</v>
      </c>
      <c r="F61" s="13">
        <v>2.5102946580494283</v>
      </c>
      <c r="G61" s="13">
        <v>9.2886905458886809E-2</v>
      </c>
      <c r="H61" s="19">
        <v>0</v>
      </c>
      <c r="I61" s="13">
        <v>0.8216695953244052</v>
      </c>
      <c r="J61" s="13">
        <v>1.6602869883041417E-2</v>
      </c>
      <c r="K61" s="17" t="s">
        <v>27</v>
      </c>
    </row>
    <row r="62" spans="1:18">
      <c r="A62" s="8">
        <v>16</v>
      </c>
      <c r="B62" s="20">
        <v>37334</v>
      </c>
      <c r="C62" s="12">
        <v>2002</v>
      </c>
      <c r="D62" s="11" t="s">
        <v>20</v>
      </c>
      <c r="E62" s="12">
        <v>3</v>
      </c>
      <c r="F62" s="13">
        <v>2.2858305706399227</v>
      </c>
      <c r="G62" s="21"/>
      <c r="H62" s="22"/>
      <c r="I62" s="21"/>
      <c r="J62" s="21"/>
      <c r="K62" s="17" t="s">
        <v>27</v>
      </c>
      <c r="M62" s="29">
        <f>AVERAGE(F61:F62)</f>
        <v>2.3980626143446755</v>
      </c>
      <c r="N62" s="29">
        <f t="shared" ref="N62" si="113">AVERAGE(G61:G62)</f>
        <v>9.2886905458886809E-2</v>
      </c>
      <c r="O62" s="29">
        <f t="shared" ref="O62" si="114">AVERAGE(H61:H62)</f>
        <v>0</v>
      </c>
      <c r="P62" s="29">
        <f t="shared" ref="P62" si="115">AVERAGE(I61:I62)</f>
        <v>0.8216695953244052</v>
      </c>
      <c r="Q62" s="29">
        <f t="shared" ref="Q62" si="116">AVERAGE(J61:J62)</f>
        <v>1.6602869883041417E-2</v>
      </c>
      <c r="R62" s="29" t="e">
        <f t="shared" ref="R62" si="117">AVERAGE(K61:K62)</f>
        <v>#DIV/0!</v>
      </c>
    </row>
    <row r="63" spans="1:18">
      <c r="A63" s="8">
        <v>2</v>
      </c>
      <c r="B63" s="20">
        <v>37361</v>
      </c>
      <c r="C63" s="12">
        <v>2002</v>
      </c>
      <c r="D63" s="16" t="s">
        <v>21</v>
      </c>
      <c r="E63" s="12">
        <v>4</v>
      </c>
      <c r="F63" s="13">
        <v>2.1580438395184895</v>
      </c>
      <c r="G63" s="13">
        <v>6.6318787926239867E-2</v>
      </c>
      <c r="H63" s="19">
        <v>0</v>
      </c>
      <c r="I63" s="13">
        <v>0.40112858776119326</v>
      </c>
      <c r="J63" s="13">
        <v>1.6938593859584839E-2</v>
      </c>
      <c r="K63" s="17" t="s">
        <v>27</v>
      </c>
    </row>
    <row r="64" spans="1:18">
      <c r="A64" s="8">
        <v>16</v>
      </c>
      <c r="B64" s="20">
        <v>37361</v>
      </c>
      <c r="C64" s="12">
        <v>2002</v>
      </c>
      <c r="D64" s="16" t="s">
        <v>21</v>
      </c>
      <c r="E64" s="12">
        <v>4</v>
      </c>
      <c r="F64" s="13">
        <v>1.774534540696767</v>
      </c>
      <c r="G64" s="13">
        <v>7.2430992718876694E-2</v>
      </c>
      <c r="H64" s="13">
        <v>0</v>
      </c>
      <c r="I64" s="13">
        <v>0.40847283622906355</v>
      </c>
      <c r="J64" s="13">
        <v>2.2219712879560968E-2</v>
      </c>
      <c r="K64" s="17" t="s">
        <v>27</v>
      </c>
      <c r="M64" s="29">
        <f>AVERAGE(F63:F64)</f>
        <v>1.9662891901076283</v>
      </c>
      <c r="N64" s="29">
        <f t="shared" ref="N64" si="118">AVERAGE(G63:G64)</f>
        <v>6.937489032255828E-2</v>
      </c>
      <c r="O64" s="29">
        <f t="shared" ref="O64" si="119">AVERAGE(H63:H64)</f>
        <v>0</v>
      </c>
      <c r="P64" s="29">
        <f t="shared" ref="P64" si="120">AVERAGE(I63:I64)</f>
        <v>0.4048007119951284</v>
      </c>
      <c r="Q64" s="29">
        <f t="shared" ref="Q64" si="121">AVERAGE(J63:J64)</f>
        <v>1.9579153369572902E-2</v>
      </c>
      <c r="R64" s="29" t="e">
        <f t="shared" ref="R64" si="122">AVERAGE(K63:K64)</f>
        <v>#DIV/0!</v>
      </c>
    </row>
    <row r="65" spans="1:18">
      <c r="A65" s="8">
        <v>2</v>
      </c>
      <c r="B65" s="20">
        <v>37389</v>
      </c>
      <c r="C65" s="12">
        <v>2002</v>
      </c>
      <c r="D65" s="16" t="s">
        <v>22</v>
      </c>
      <c r="E65" s="12">
        <v>5</v>
      </c>
      <c r="F65" s="13">
        <v>3.4447134973659104</v>
      </c>
      <c r="G65" s="21"/>
      <c r="H65" s="13">
        <v>6.5660356761196512E-2</v>
      </c>
      <c r="I65" s="21"/>
      <c r="J65" s="21"/>
      <c r="K65" s="17" t="s">
        <v>27</v>
      </c>
    </row>
    <row r="66" spans="1:18">
      <c r="A66" s="8">
        <v>16</v>
      </c>
      <c r="B66" s="20">
        <v>37389</v>
      </c>
      <c r="C66" s="12">
        <v>2002</v>
      </c>
      <c r="D66" s="16" t="s">
        <v>22</v>
      </c>
      <c r="E66" s="12">
        <v>5</v>
      </c>
      <c r="F66" s="13">
        <v>8.881687495300195</v>
      </c>
      <c r="G66" s="21"/>
      <c r="H66" s="13">
        <v>0.55108077566438374</v>
      </c>
      <c r="I66" s="21"/>
      <c r="J66" s="21"/>
      <c r="K66" s="17" t="s">
        <v>27</v>
      </c>
      <c r="M66" s="29">
        <f>AVERAGE(F65:F66)</f>
        <v>6.1632004963330527</v>
      </c>
      <c r="N66" s="29" t="e">
        <f t="shared" ref="N66" si="123">AVERAGE(G65:G66)</f>
        <v>#DIV/0!</v>
      </c>
      <c r="O66" s="29">
        <f t="shared" ref="O66" si="124">AVERAGE(H65:H66)</f>
        <v>0.30837056621279013</v>
      </c>
      <c r="P66" s="29" t="e">
        <f t="shared" ref="P66" si="125">AVERAGE(I65:I66)</f>
        <v>#DIV/0!</v>
      </c>
      <c r="Q66" s="29" t="e">
        <f t="shared" ref="Q66" si="126">AVERAGE(J65:J66)</f>
        <v>#DIV/0!</v>
      </c>
      <c r="R66" s="29" t="e">
        <f t="shared" ref="R66" si="127">AVERAGE(K65:K66)</f>
        <v>#DIV/0!</v>
      </c>
    </row>
    <row r="67" spans="1:18">
      <c r="A67" s="8">
        <v>2</v>
      </c>
      <c r="B67" s="20">
        <v>37418</v>
      </c>
      <c r="C67" s="12">
        <v>2002</v>
      </c>
      <c r="D67" s="16" t="s">
        <v>23</v>
      </c>
      <c r="E67" s="12">
        <v>6</v>
      </c>
      <c r="F67" s="13">
        <v>10.009571909247931</v>
      </c>
      <c r="G67" s="21"/>
      <c r="H67" s="13">
        <v>2.0966825137021363</v>
      </c>
      <c r="I67" s="21"/>
      <c r="J67" s="21"/>
      <c r="K67" s="17" t="s">
        <v>27</v>
      </c>
    </row>
    <row r="68" spans="1:18">
      <c r="A68" s="8">
        <v>16</v>
      </c>
      <c r="B68" s="20">
        <v>37418</v>
      </c>
      <c r="C68" s="12">
        <v>2002</v>
      </c>
      <c r="D68" s="16" t="s">
        <v>23</v>
      </c>
      <c r="E68" s="12">
        <v>6</v>
      </c>
      <c r="F68" s="13">
        <v>13.419695934897145</v>
      </c>
      <c r="G68" s="21"/>
      <c r="H68" s="13">
        <v>2.7149057388672482</v>
      </c>
      <c r="I68" s="21"/>
      <c r="J68" s="21"/>
      <c r="K68" s="17" t="s">
        <v>27</v>
      </c>
      <c r="M68" s="29">
        <f>AVERAGE(F67:F68)</f>
        <v>11.714633922072538</v>
      </c>
      <c r="N68" s="29" t="e">
        <f t="shared" ref="N68" si="128">AVERAGE(G67:G68)</f>
        <v>#DIV/0!</v>
      </c>
      <c r="O68" s="29">
        <f t="shared" ref="O68" si="129">AVERAGE(H67:H68)</f>
        <v>2.4057941262846922</v>
      </c>
      <c r="P68" s="29" t="e">
        <f t="shared" ref="P68" si="130">AVERAGE(I67:I68)</f>
        <v>#DIV/0!</v>
      </c>
      <c r="Q68" s="29" t="e">
        <f t="shared" ref="Q68" si="131">AVERAGE(J67:J68)</f>
        <v>#DIV/0!</v>
      </c>
      <c r="R68" s="29" t="e">
        <f t="shared" ref="R68" si="132">AVERAGE(K67:K68)</f>
        <v>#DIV/0!</v>
      </c>
    </row>
    <row r="69" spans="1:18">
      <c r="A69" s="8">
        <v>2</v>
      </c>
      <c r="B69" s="20">
        <v>37455</v>
      </c>
      <c r="C69" s="12">
        <v>2002</v>
      </c>
      <c r="D69" s="16" t="s">
        <v>24</v>
      </c>
      <c r="E69" s="12">
        <v>7</v>
      </c>
      <c r="F69" s="13">
        <v>5.3211790943017867</v>
      </c>
      <c r="G69" s="21"/>
      <c r="H69" s="13">
        <v>0</v>
      </c>
      <c r="I69" s="21"/>
      <c r="J69" s="21"/>
      <c r="K69" s="17" t="s">
        <v>27</v>
      </c>
    </row>
    <row r="70" spans="1:18">
      <c r="A70" s="8">
        <v>16</v>
      </c>
      <c r="B70" s="20">
        <v>37455</v>
      </c>
      <c r="C70" s="12">
        <v>2002</v>
      </c>
      <c r="D70" s="16" t="s">
        <v>24</v>
      </c>
      <c r="E70" s="12">
        <v>7</v>
      </c>
      <c r="F70" s="13">
        <v>4.7489580401675386</v>
      </c>
      <c r="G70" s="21"/>
      <c r="H70" s="13">
        <v>0</v>
      </c>
      <c r="I70" s="21"/>
      <c r="J70" s="21"/>
      <c r="K70" s="17" t="s">
        <v>27</v>
      </c>
      <c r="M70" s="29">
        <f>AVERAGE(F69:F70)</f>
        <v>5.0350685672346627</v>
      </c>
      <c r="N70" s="29" t="e">
        <f t="shared" ref="N70" si="133">AVERAGE(G69:G70)</f>
        <v>#DIV/0!</v>
      </c>
      <c r="O70" s="29">
        <f t="shared" ref="O70" si="134">AVERAGE(H69:H70)</f>
        <v>0</v>
      </c>
      <c r="P70" s="29" t="e">
        <f t="shared" ref="P70" si="135">AVERAGE(I69:I70)</f>
        <v>#DIV/0!</v>
      </c>
      <c r="Q70" s="29" t="e">
        <f t="shared" ref="Q70" si="136">AVERAGE(J69:J70)</f>
        <v>#DIV/0!</v>
      </c>
      <c r="R70" s="29" t="e">
        <f t="shared" ref="R70" si="137">AVERAGE(K69:K70)</f>
        <v>#DIV/0!</v>
      </c>
    </row>
    <row r="71" spans="1:18">
      <c r="A71" s="8">
        <v>2</v>
      </c>
      <c r="B71" s="20">
        <v>37483</v>
      </c>
      <c r="C71" s="12">
        <v>2002</v>
      </c>
      <c r="D71" s="16" t="s">
        <v>25</v>
      </c>
      <c r="E71" s="12">
        <v>8</v>
      </c>
      <c r="F71" s="13">
        <v>8.9276388533360702</v>
      </c>
      <c r="G71" s="21"/>
      <c r="H71" s="13">
        <v>0</v>
      </c>
      <c r="I71" s="21"/>
      <c r="J71" s="21"/>
      <c r="K71" s="17" t="s">
        <v>27</v>
      </c>
    </row>
    <row r="72" spans="1:18">
      <c r="A72" s="8">
        <v>16</v>
      </c>
      <c r="B72" s="20">
        <v>37483</v>
      </c>
      <c r="C72" s="12">
        <v>2002</v>
      </c>
      <c r="D72" s="16" t="s">
        <v>25</v>
      </c>
      <c r="E72" s="12">
        <v>8</v>
      </c>
      <c r="F72" s="13">
        <v>6.9124704484348456</v>
      </c>
      <c r="G72" s="21"/>
      <c r="H72" s="13">
        <v>3.2002631768975782E-2</v>
      </c>
      <c r="I72" s="21"/>
      <c r="J72" s="21"/>
      <c r="K72" s="17" t="s">
        <v>27</v>
      </c>
      <c r="M72" s="29">
        <f>AVERAGE(F71:F72)</f>
        <v>7.9200546508854579</v>
      </c>
      <c r="N72" s="29" t="e">
        <f t="shared" ref="N72" si="138">AVERAGE(G71:G72)</f>
        <v>#DIV/0!</v>
      </c>
      <c r="O72" s="29">
        <f t="shared" ref="O72" si="139">AVERAGE(H71:H72)</f>
        <v>1.6001315884487891E-2</v>
      </c>
      <c r="P72" s="29" t="e">
        <f t="shared" ref="P72" si="140">AVERAGE(I71:I72)</f>
        <v>#DIV/0!</v>
      </c>
      <c r="Q72" s="29" t="e">
        <f t="shared" ref="Q72" si="141">AVERAGE(J71:J72)</f>
        <v>#DIV/0!</v>
      </c>
      <c r="R72" s="29" t="e">
        <f t="shared" ref="R72" si="142">AVERAGE(K71:K72)</f>
        <v>#DIV/0!</v>
      </c>
    </row>
    <row r="73" spans="1:18">
      <c r="A73" s="8">
        <v>2</v>
      </c>
      <c r="B73" s="20">
        <v>37516</v>
      </c>
      <c r="C73" s="12">
        <v>2002</v>
      </c>
      <c r="D73" s="16" t="s">
        <v>26</v>
      </c>
      <c r="E73" s="12">
        <v>9</v>
      </c>
      <c r="F73" s="13">
        <v>3.173773117201462</v>
      </c>
      <c r="G73" s="21"/>
      <c r="H73" s="13">
        <v>0</v>
      </c>
      <c r="I73" s="21"/>
      <c r="J73" s="21"/>
      <c r="K73" s="17" t="s">
        <v>27</v>
      </c>
    </row>
    <row r="74" spans="1:18">
      <c r="A74" s="8">
        <v>16</v>
      </c>
      <c r="B74" s="20">
        <v>37516</v>
      </c>
      <c r="C74" s="12">
        <v>2002</v>
      </c>
      <c r="D74" s="16" t="s">
        <v>26</v>
      </c>
      <c r="E74" s="12">
        <v>9</v>
      </c>
      <c r="F74" s="13">
        <v>3.8178663332300089</v>
      </c>
      <c r="G74" s="21"/>
      <c r="H74" s="13">
        <v>0</v>
      </c>
      <c r="I74" s="21"/>
      <c r="J74" s="21"/>
      <c r="K74" s="17" t="s">
        <v>27</v>
      </c>
      <c r="M74" s="29">
        <f>AVERAGE(F73:F74)</f>
        <v>3.4958197252157355</v>
      </c>
      <c r="N74" s="29" t="e">
        <f t="shared" ref="N74" si="143">AVERAGE(G73:G74)</f>
        <v>#DIV/0!</v>
      </c>
      <c r="O74" s="29">
        <f t="shared" ref="O74" si="144">AVERAGE(H73:H74)</f>
        <v>0</v>
      </c>
      <c r="P74" s="29" t="e">
        <f t="shared" ref="P74" si="145">AVERAGE(I73:I74)</f>
        <v>#DIV/0!</v>
      </c>
      <c r="Q74" s="29" t="e">
        <f t="shared" ref="Q74" si="146">AVERAGE(J73:J74)</f>
        <v>#DIV/0!</v>
      </c>
      <c r="R74" s="29" t="e">
        <f t="shared" ref="R74" si="147">AVERAGE(K73:K74)</f>
        <v>#DIV/0!</v>
      </c>
    </row>
    <row r="75" spans="1:18">
      <c r="A75" s="8">
        <v>2</v>
      </c>
      <c r="B75" s="20">
        <v>37544</v>
      </c>
      <c r="C75" s="12">
        <v>2002</v>
      </c>
      <c r="D75" s="16" t="s">
        <v>14</v>
      </c>
      <c r="E75" s="12">
        <v>10</v>
      </c>
      <c r="F75" s="17">
        <v>0.59088981632737425</v>
      </c>
      <c r="G75" s="17">
        <v>0</v>
      </c>
      <c r="H75" s="17">
        <v>0</v>
      </c>
      <c r="I75" s="17">
        <v>0.16742750348797616</v>
      </c>
      <c r="J75" s="17">
        <v>4.791540442206743E-3</v>
      </c>
      <c r="K75" s="17">
        <v>0</v>
      </c>
    </row>
    <row r="76" spans="1:18">
      <c r="A76" s="8">
        <v>16</v>
      </c>
      <c r="B76" s="20">
        <v>37544</v>
      </c>
      <c r="C76" s="12">
        <v>2002</v>
      </c>
      <c r="D76" s="16" t="s">
        <v>14</v>
      </c>
      <c r="E76" s="12">
        <v>10</v>
      </c>
      <c r="F76" s="17">
        <v>0.85666815903047522</v>
      </c>
      <c r="G76" s="17">
        <v>0</v>
      </c>
      <c r="H76" s="17">
        <v>0</v>
      </c>
      <c r="I76" s="17">
        <v>0.13748606800473298</v>
      </c>
      <c r="J76" s="17">
        <v>7.5313555753946451E-3</v>
      </c>
      <c r="K76" s="17">
        <v>0</v>
      </c>
      <c r="M76" s="29">
        <f>AVERAGE(F75:F76)</f>
        <v>0.72377898767892468</v>
      </c>
      <c r="N76" s="29">
        <f t="shared" ref="N76" si="148">AVERAGE(G75:G76)</f>
        <v>0</v>
      </c>
      <c r="O76" s="29">
        <f t="shared" ref="O76" si="149">AVERAGE(H75:H76)</f>
        <v>0</v>
      </c>
      <c r="P76" s="29">
        <f t="shared" ref="P76" si="150">AVERAGE(I75:I76)</f>
        <v>0.15245678574635457</v>
      </c>
      <c r="Q76" s="29">
        <f t="shared" ref="Q76" si="151">AVERAGE(J75:J76)</f>
        <v>6.1614480088006945E-3</v>
      </c>
      <c r="R76" s="29">
        <f t="shared" ref="R76" si="152">AVERAGE(K75:K76)</f>
        <v>0</v>
      </c>
    </row>
    <row r="77" spans="1:18">
      <c r="A77" s="8">
        <v>2</v>
      </c>
      <c r="B77" s="20">
        <v>37575</v>
      </c>
      <c r="C77" s="12">
        <v>2002</v>
      </c>
      <c r="D77" s="16" t="s">
        <v>16</v>
      </c>
      <c r="E77" s="12">
        <v>11</v>
      </c>
      <c r="F77" s="17">
        <v>1.6548308255377724</v>
      </c>
      <c r="G77" s="17">
        <v>9.6716489709037193E-2</v>
      </c>
      <c r="H77" s="17">
        <v>0</v>
      </c>
      <c r="I77" s="17">
        <v>0.275401129091774</v>
      </c>
      <c r="J77" s="17">
        <v>1.1887805018903486E-2</v>
      </c>
      <c r="K77" s="17">
        <v>0</v>
      </c>
    </row>
    <row r="78" spans="1:18">
      <c r="A78" s="8">
        <v>16</v>
      </c>
      <c r="B78" s="20">
        <v>37575</v>
      </c>
      <c r="C78" s="12">
        <v>2002</v>
      </c>
      <c r="D78" s="16" t="s">
        <v>16</v>
      </c>
      <c r="E78" s="12">
        <v>11</v>
      </c>
      <c r="F78" s="17">
        <v>1.5187610701365515</v>
      </c>
      <c r="G78" s="17">
        <v>0.11314643892575946</v>
      </c>
      <c r="H78" s="17">
        <v>0</v>
      </c>
      <c r="I78" s="17">
        <v>0.1885345558854275</v>
      </c>
      <c r="J78" s="17">
        <v>1.1062403183478833E-2</v>
      </c>
      <c r="K78" s="17">
        <v>0</v>
      </c>
      <c r="M78" s="29">
        <f>AVERAGE(F77:F78)</f>
        <v>1.586795947837162</v>
      </c>
      <c r="N78" s="29">
        <f t="shared" ref="N78" si="153">AVERAGE(G77:G78)</f>
        <v>0.10493146431739833</v>
      </c>
      <c r="O78" s="29">
        <f t="shared" ref="O78" si="154">AVERAGE(H77:H78)</f>
        <v>0</v>
      </c>
      <c r="P78" s="29">
        <f t="shared" ref="P78" si="155">AVERAGE(I77:I78)</f>
        <v>0.23196784248860075</v>
      </c>
      <c r="Q78" s="29">
        <f t="shared" ref="Q78" si="156">AVERAGE(J77:J78)</f>
        <v>1.1475104101191159E-2</v>
      </c>
      <c r="R78" s="29">
        <f t="shared" ref="R78" si="157">AVERAGE(K77:K78)</f>
        <v>0</v>
      </c>
    </row>
    <row r="79" spans="1:18">
      <c r="A79" s="8">
        <v>2</v>
      </c>
      <c r="B79" s="20">
        <v>37609</v>
      </c>
      <c r="C79" s="12">
        <v>2002</v>
      </c>
      <c r="D79" s="16" t="s">
        <v>17</v>
      </c>
      <c r="E79" s="12">
        <v>12</v>
      </c>
      <c r="F79" s="17">
        <v>2.8975742868231502</v>
      </c>
      <c r="G79" s="17">
        <v>2.6134824642096009E-2</v>
      </c>
      <c r="H79" s="17">
        <v>0</v>
      </c>
      <c r="I79" s="17">
        <v>0.87987315910174091</v>
      </c>
      <c r="J79" s="17">
        <v>7.3420323127167163E-3</v>
      </c>
      <c r="K79" s="17">
        <v>0</v>
      </c>
    </row>
    <row r="80" spans="1:18">
      <c r="A80" s="8">
        <v>16</v>
      </c>
      <c r="B80" s="20">
        <v>37609</v>
      </c>
      <c r="C80" s="12">
        <v>2002</v>
      </c>
      <c r="D80" s="16" t="s">
        <v>17</v>
      </c>
      <c r="E80" s="12">
        <v>12</v>
      </c>
      <c r="F80" s="17">
        <v>2.2313565544436207</v>
      </c>
      <c r="G80" s="17">
        <v>4.3155254783528149E-2</v>
      </c>
      <c r="H80" s="17">
        <v>0</v>
      </c>
      <c r="I80" s="17">
        <v>0.41413982747815586</v>
      </c>
      <c r="J80" s="17">
        <v>1.3937670776334541E-2</v>
      </c>
      <c r="K80" s="17">
        <v>0</v>
      </c>
      <c r="M80" s="29">
        <f>AVERAGE(F79:F80)</f>
        <v>2.5644654206333852</v>
      </c>
      <c r="N80" s="29">
        <f t="shared" ref="N80" si="158">AVERAGE(G79:G80)</f>
        <v>3.4645039712812076E-2</v>
      </c>
      <c r="O80" s="29">
        <f t="shared" ref="O80" si="159">AVERAGE(H79:H80)</f>
        <v>0</v>
      </c>
      <c r="P80" s="29">
        <f t="shared" ref="P80" si="160">AVERAGE(I79:I80)</f>
        <v>0.64700649328994841</v>
      </c>
      <c r="Q80" s="29">
        <f t="shared" ref="Q80" si="161">AVERAGE(J79:J80)</f>
        <v>1.0639851544525628E-2</v>
      </c>
      <c r="R80" s="29">
        <f t="shared" ref="R80" si="162">AVERAGE(K79:K80)</f>
        <v>0</v>
      </c>
    </row>
    <row r="81" spans="1:18">
      <c r="A81" s="8">
        <v>2</v>
      </c>
      <c r="B81" s="20">
        <v>37635</v>
      </c>
      <c r="C81" s="12">
        <v>2003</v>
      </c>
      <c r="D81" s="16" t="s">
        <v>18</v>
      </c>
      <c r="E81" s="12">
        <v>1</v>
      </c>
      <c r="F81" s="17">
        <v>7.3807167788437722</v>
      </c>
      <c r="G81" s="17">
        <v>0.21960533683380767</v>
      </c>
      <c r="H81" s="17">
        <v>0</v>
      </c>
      <c r="I81" s="17">
        <v>1.5939515615038713</v>
      </c>
      <c r="J81" s="17">
        <v>4.831271317652161E-2</v>
      </c>
      <c r="K81" s="17">
        <v>0</v>
      </c>
    </row>
    <row r="82" spans="1:18">
      <c r="A82" s="8">
        <v>16</v>
      </c>
      <c r="B82" s="20">
        <v>37635</v>
      </c>
      <c r="C82" s="12">
        <v>2003</v>
      </c>
      <c r="D82" s="16" t="s">
        <v>18</v>
      </c>
      <c r="E82" s="12">
        <v>1</v>
      </c>
      <c r="F82" s="17">
        <v>8.3268224592865661</v>
      </c>
      <c r="G82" s="17">
        <v>0.39694352664205423</v>
      </c>
      <c r="H82" s="17">
        <v>0</v>
      </c>
      <c r="I82" s="17">
        <v>1.6394506053540789</v>
      </c>
      <c r="J82" s="17">
        <v>7.0156319650847399E-2</v>
      </c>
      <c r="K82" s="17">
        <v>0</v>
      </c>
      <c r="M82" s="29">
        <f>AVERAGE(F81:F82)</f>
        <v>7.8537696190651687</v>
      </c>
      <c r="N82" s="29">
        <f t="shared" ref="N82" si="163">AVERAGE(G81:G82)</f>
        <v>0.30827443173793095</v>
      </c>
      <c r="O82" s="29">
        <f t="shared" ref="O82" si="164">AVERAGE(H81:H82)</f>
        <v>0</v>
      </c>
      <c r="P82" s="29">
        <f t="shared" ref="P82" si="165">AVERAGE(I81:I82)</f>
        <v>1.6167010834289752</v>
      </c>
      <c r="Q82" s="29">
        <f t="shared" ref="Q82" si="166">AVERAGE(J81:J82)</f>
        <v>5.9234516413684504E-2</v>
      </c>
      <c r="R82" s="29">
        <f t="shared" ref="R82" si="167">AVERAGE(K81:K82)</f>
        <v>0</v>
      </c>
    </row>
    <row r="83" spans="1:18">
      <c r="A83" s="8">
        <v>2</v>
      </c>
      <c r="B83" s="20">
        <v>37665</v>
      </c>
      <c r="C83" s="12">
        <v>2003</v>
      </c>
      <c r="D83" s="11" t="s">
        <v>19</v>
      </c>
      <c r="E83" s="12">
        <v>2</v>
      </c>
      <c r="F83" s="17">
        <v>7.0307100892642236</v>
      </c>
      <c r="G83" s="17">
        <v>0.43414680307061976</v>
      </c>
      <c r="H83" s="17">
        <v>0</v>
      </c>
      <c r="I83" s="17">
        <v>2.518194460657488</v>
      </c>
      <c r="J83" s="17">
        <v>7.6820003784483781E-2</v>
      </c>
      <c r="K83" s="17">
        <v>0</v>
      </c>
    </row>
    <row r="84" spans="1:18">
      <c r="A84" s="8">
        <v>16</v>
      </c>
      <c r="B84" s="20">
        <v>37665</v>
      </c>
      <c r="C84" s="12">
        <v>2003</v>
      </c>
      <c r="D84" s="11" t="s">
        <v>19</v>
      </c>
      <c r="E84" s="12">
        <v>2</v>
      </c>
      <c r="F84" s="17">
        <v>5.7501164628940291</v>
      </c>
      <c r="G84" s="17">
        <v>0</v>
      </c>
      <c r="H84" s="17">
        <v>0</v>
      </c>
      <c r="I84" s="17">
        <v>2.0982849166212052</v>
      </c>
      <c r="J84" s="17">
        <v>8.4626537245197267E-2</v>
      </c>
      <c r="K84" s="17">
        <v>0</v>
      </c>
      <c r="M84" s="29">
        <f>AVERAGE(F83:F84)</f>
        <v>6.3904132760791263</v>
      </c>
      <c r="N84" s="29">
        <f t="shared" ref="N84" si="168">AVERAGE(G83:G84)</f>
        <v>0.21707340153530988</v>
      </c>
      <c r="O84" s="29">
        <f t="shared" ref="O84" si="169">AVERAGE(H83:H84)</f>
        <v>0</v>
      </c>
      <c r="P84" s="29">
        <f t="shared" ref="P84" si="170">AVERAGE(I83:I84)</f>
        <v>2.3082396886393468</v>
      </c>
      <c r="Q84" s="29">
        <f t="shared" ref="Q84" si="171">AVERAGE(J83:J84)</f>
        <v>8.0723270514840517E-2</v>
      </c>
      <c r="R84" s="29">
        <f t="shared" ref="R84" si="172">AVERAGE(K83:K84)</f>
        <v>0</v>
      </c>
    </row>
    <row r="85" spans="1:18">
      <c r="A85" s="8">
        <v>2</v>
      </c>
      <c r="B85" s="20">
        <v>37690</v>
      </c>
      <c r="C85" s="12">
        <v>2003</v>
      </c>
      <c r="D85" s="11" t="s">
        <v>20</v>
      </c>
      <c r="E85" s="12">
        <v>3</v>
      </c>
      <c r="F85" s="17">
        <v>5.4394671209078842</v>
      </c>
      <c r="G85" s="17">
        <v>0.1053373948435809</v>
      </c>
      <c r="H85" s="17">
        <v>0</v>
      </c>
      <c r="I85" s="17">
        <v>2.0529188246809227</v>
      </c>
      <c r="J85" s="17">
        <v>6.1647327367877536E-2</v>
      </c>
      <c r="K85" s="17">
        <v>0</v>
      </c>
    </row>
    <row r="86" spans="1:18">
      <c r="A86" s="8">
        <v>16</v>
      </c>
      <c r="B86" s="20">
        <v>37692</v>
      </c>
      <c r="C86" s="12">
        <v>2003</v>
      </c>
      <c r="D86" s="11" t="s">
        <v>20</v>
      </c>
      <c r="E86" s="12">
        <v>3</v>
      </c>
      <c r="F86" s="17">
        <v>6.7191308328276174</v>
      </c>
      <c r="G86" s="17">
        <v>0.36817556809912239</v>
      </c>
      <c r="H86" s="17">
        <v>0</v>
      </c>
      <c r="I86" s="17">
        <v>2.3962652413433645</v>
      </c>
      <c r="J86" s="17">
        <v>3.7315732980725012E-2</v>
      </c>
      <c r="K86" s="17">
        <v>0</v>
      </c>
      <c r="M86" s="29">
        <f>AVERAGE(F85:F86)</f>
        <v>6.0792989768677508</v>
      </c>
      <c r="N86" s="29">
        <f t="shared" ref="N86" si="173">AVERAGE(G85:G86)</f>
        <v>0.23675648147135164</v>
      </c>
      <c r="O86" s="29">
        <f t="shared" ref="O86" si="174">AVERAGE(H85:H86)</f>
        <v>0</v>
      </c>
      <c r="P86" s="29">
        <f t="shared" ref="P86" si="175">AVERAGE(I85:I86)</f>
        <v>2.2245920330121436</v>
      </c>
      <c r="Q86" s="29">
        <f t="shared" ref="Q86" si="176">AVERAGE(J85:J86)</f>
        <v>4.9481530174301278E-2</v>
      </c>
      <c r="R86" s="29">
        <f t="shared" ref="R86" si="177">AVERAGE(K85:K86)</f>
        <v>0</v>
      </c>
    </row>
    <row r="87" spans="1:18">
      <c r="A87" s="8">
        <v>2</v>
      </c>
      <c r="B87" s="20">
        <v>37725</v>
      </c>
      <c r="C87" s="12">
        <v>2003</v>
      </c>
      <c r="D87" s="11" t="s">
        <v>21</v>
      </c>
      <c r="E87" s="12">
        <v>4</v>
      </c>
      <c r="F87" s="17">
        <v>11.05539663202868</v>
      </c>
      <c r="G87" s="17">
        <v>0.11972093980649033</v>
      </c>
      <c r="H87" s="17">
        <v>0.16549202616848291</v>
      </c>
      <c r="I87" s="17">
        <v>4.1425907004633089</v>
      </c>
      <c r="J87" s="17">
        <v>6.4514350570017212E-2</v>
      </c>
      <c r="K87" s="17">
        <v>0</v>
      </c>
    </row>
    <row r="88" spans="1:18">
      <c r="A88" s="8">
        <v>16</v>
      </c>
      <c r="B88" s="20">
        <v>37725</v>
      </c>
      <c r="C88" s="12">
        <v>2003</v>
      </c>
      <c r="D88" s="11" t="s">
        <v>21</v>
      </c>
      <c r="E88" s="12">
        <v>4</v>
      </c>
      <c r="F88" s="17">
        <v>6.8301543624819328</v>
      </c>
      <c r="G88" s="17">
        <v>0</v>
      </c>
      <c r="H88" s="17">
        <v>7.0366604155830306E-2</v>
      </c>
      <c r="I88" s="17">
        <v>2.6557837799560433</v>
      </c>
      <c r="J88" s="17">
        <v>6.5798600286557055E-2</v>
      </c>
      <c r="K88" s="17">
        <v>0</v>
      </c>
      <c r="M88" s="29">
        <f>AVERAGE(F87:F88)</f>
        <v>8.9427754972553064</v>
      </c>
      <c r="N88" s="29">
        <f t="shared" ref="N88" si="178">AVERAGE(G87:G88)</f>
        <v>5.9860469903245166E-2</v>
      </c>
      <c r="O88" s="29">
        <f t="shared" ref="O88" si="179">AVERAGE(H87:H88)</f>
        <v>0.1179293151621566</v>
      </c>
      <c r="P88" s="29">
        <f t="shared" ref="P88" si="180">AVERAGE(I87:I88)</f>
        <v>3.3991872402096761</v>
      </c>
      <c r="Q88" s="29">
        <f t="shared" ref="Q88" si="181">AVERAGE(J87:J88)</f>
        <v>6.5156475428287133E-2</v>
      </c>
      <c r="R88" s="29">
        <f t="shared" ref="R88" si="182">AVERAGE(K87:K88)</f>
        <v>0</v>
      </c>
    </row>
    <row r="89" spans="1:18">
      <c r="A89" s="8">
        <v>2</v>
      </c>
      <c r="B89" s="20">
        <v>37753</v>
      </c>
      <c r="C89" s="12">
        <v>2003</v>
      </c>
      <c r="D89" s="11" t="s">
        <v>22</v>
      </c>
      <c r="E89" s="12">
        <v>5</v>
      </c>
      <c r="F89" s="17">
        <v>5.7161307948784339</v>
      </c>
      <c r="G89" s="17">
        <v>0.13912008593762468</v>
      </c>
      <c r="H89" s="17">
        <v>0.38263911807805073</v>
      </c>
      <c r="I89" s="17">
        <v>2.7439324492822754</v>
      </c>
      <c r="J89" s="17">
        <v>7.5447954944742976E-2</v>
      </c>
      <c r="K89" s="17">
        <v>0</v>
      </c>
    </row>
    <row r="90" spans="1:18">
      <c r="A90" s="8">
        <v>16</v>
      </c>
      <c r="B90" s="20">
        <v>37753</v>
      </c>
      <c r="C90" s="12">
        <v>2003</v>
      </c>
      <c r="D90" s="11" t="s">
        <v>22</v>
      </c>
      <c r="E90" s="12">
        <v>5</v>
      </c>
      <c r="F90" s="17">
        <v>4.8233307954777436</v>
      </c>
      <c r="G90" s="17">
        <v>0.20796188306511784</v>
      </c>
      <c r="H90" s="17">
        <v>0.24416664590930581</v>
      </c>
      <c r="I90" s="17">
        <v>1.8906373248426707</v>
      </c>
      <c r="J90" s="17">
        <v>9.682159525919054E-2</v>
      </c>
      <c r="K90" s="17">
        <v>0</v>
      </c>
      <c r="M90" s="29">
        <f>AVERAGE(F89:F90)</f>
        <v>5.2697307951780887</v>
      </c>
      <c r="N90" s="29">
        <f t="shared" ref="N90" si="183">AVERAGE(G89:G90)</f>
        <v>0.17354098450137126</v>
      </c>
      <c r="O90" s="29">
        <f t="shared" ref="O90" si="184">AVERAGE(H89:H90)</f>
        <v>0.31340288199367827</v>
      </c>
      <c r="P90" s="29">
        <f t="shared" ref="P90" si="185">AVERAGE(I89:I90)</f>
        <v>2.3172848870624732</v>
      </c>
      <c r="Q90" s="29">
        <f t="shared" ref="Q90" si="186">AVERAGE(J89:J90)</f>
        <v>8.6134775101966765E-2</v>
      </c>
      <c r="R90" s="29">
        <f t="shared" ref="R90" si="187">AVERAGE(K89:K90)</f>
        <v>0</v>
      </c>
    </row>
    <row r="91" spans="1:18">
      <c r="A91" s="8">
        <v>2</v>
      </c>
      <c r="B91" s="20">
        <v>37792</v>
      </c>
      <c r="C91" s="12">
        <v>2003</v>
      </c>
      <c r="D91" s="11" t="s">
        <v>23</v>
      </c>
      <c r="E91" s="12">
        <v>6</v>
      </c>
      <c r="F91" s="17">
        <v>9.9054037962471089</v>
      </c>
      <c r="G91" s="17">
        <v>8.0063962151786641E-2</v>
      </c>
      <c r="H91" s="17">
        <v>1.1804607946114292</v>
      </c>
      <c r="I91" s="17">
        <v>4.4420833048860686</v>
      </c>
      <c r="J91" s="17">
        <v>0.17170285024907414</v>
      </c>
      <c r="K91" s="17">
        <v>0</v>
      </c>
    </row>
    <row r="92" spans="1:18">
      <c r="A92" s="8">
        <v>16</v>
      </c>
      <c r="B92" s="20">
        <v>37792</v>
      </c>
      <c r="C92" s="12">
        <v>2003</v>
      </c>
      <c r="D92" s="11" t="s">
        <v>23</v>
      </c>
      <c r="E92" s="12">
        <v>6</v>
      </c>
      <c r="F92" s="17">
        <v>19.594853935043346</v>
      </c>
      <c r="G92" s="17">
        <v>0.11164201499045166</v>
      </c>
      <c r="H92" s="17">
        <v>3.3070706611538112</v>
      </c>
      <c r="I92" s="17">
        <v>9.1565451289376032</v>
      </c>
      <c r="J92" s="17">
        <v>0.53181928202869644</v>
      </c>
      <c r="K92" s="17">
        <v>0</v>
      </c>
      <c r="M92" s="29">
        <f>AVERAGE(F91:F92)</f>
        <v>14.750128865645227</v>
      </c>
      <c r="N92" s="29">
        <f t="shared" ref="N92" si="188">AVERAGE(G91:G92)</f>
        <v>9.5852988571119152E-2</v>
      </c>
      <c r="O92" s="29">
        <f t="shared" ref="O92" si="189">AVERAGE(H91:H92)</f>
        <v>2.2437657278826202</v>
      </c>
      <c r="P92" s="29">
        <f t="shared" ref="P92" si="190">AVERAGE(I91:I92)</f>
        <v>6.7993142169118359</v>
      </c>
      <c r="Q92" s="29">
        <f t="shared" ref="Q92" si="191">AVERAGE(J91:J92)</f>
        <v>0.3517610661388853</v>
      </c>
      <c r="R92" s="29">
        <f t="shared" ref="R92" si="192">AVERAGE(K91:K92)</f>
        <v>0</v>
      </c>
    </row>
    <row r="93" spans="1:18">
      <c r="A93" s="8">
        <v>2</v>
      </c>
      <c r="B93" s="20">
        <v>37817</v>
      </c>
      <c r="C93" s="12">
        <v>2003</v>
      </c>
      <c r="D93" s="16" t="s">
        <v>24</v>
      </c>
      <c r="E93" s="12">
        <v>7</v>
      </c>
      <c r="F93" s="17">
        <v>14.487619123674301</v>
      </c>
      <c r="G93" s="17">
        <v>3.3281539366335336E-2</v>
      </c>
      <c r="H93" s="17">
        <v>0</v>
      </c>
      <c r="I93" s="17">
        <v>1.5187089819661199</v>
      </c>
      <c r="J93" s="17">
        <v>1.5883515272942197</v>
      </c>
      <c r="K93" s="17">
        <v>0</v>
      </c>
    </row>
    <row r="94" spans="1:18">
      <c r="A94" s="8">
        <v>16</v>
      </c>
      <c r="B94" s="20">
        <v>37817</v>
      </c>
      <c r="C94" s="12">
        <v>2003</v>
      </c>
      <c r="D94" s="16" t="s">
        <v>24</v>
      </c>
      <c r="E94" s="12">
        <v>7</v>
      </c>
      <c r="F94" s="17">
        <v>12.646929840868735</v>
      </c>
      <c r="G94" s="17">
        <v>3.9553462445262012E-2</v>
      </c>
      <c r="H94" s="17">
        <v>0</v>
      </c>
      <c r="I94" s="17">
        <v>0.81330394610459533</v>
      </c>
      <c r="J94" s="17">
        <v>1.3989971585090175</v>
      </c>
      <c r="K94" s="17">
        <v>0</v>
      </c>
      <c r="M94" s="29">
        <f>AVERAGE(F93:F94)</f>
        <v>13.567274482271518</v>
      </c>
      <c r="N94" s="29">
        <f t="shared" ref="N94" si="193">AVERAGE(G93:G94)</f>
        <v>3.6417500905798678E-2</v>
      </c>
      <c r="O94" s="29">
        <f t="shared" ref="O94" si="194">AVERAGE(H93:H94)</f>
        <v>0</v>
      </c>
      <c r="P94" s="29">
        <f t="shared" ref="P94" si="195">AVERAGE(I93:I94)</f>
        <v>1.1660064640353576</v>
      </c>
      <c r="Q94" s="29">
        <f t="shared" ref="Q94" si="196">AVERAGE(J93:J94)</f>
        <v>1.4936743429016186</v>
      </c>
      <c r="R94" s="29">
        <f t="shared" ref="R94" si="197">AVERAGE(K93:K94)</f>
        <v>0</v>
      </c>
    </row>
    <row r="95" spans="1:18">
      <c r="A95" s="8">
        <v>2</v>
      </c>
      <c r="B95" s="20">
        <v>37845</v>
      </c>
      <c r="C95" s="12">
        <v>2003</v>
      </c>
      <c r="D95" s="16" t="s">
        <v>25</v>
      </c>
      <c r="E95" s="12">
        <v>8</v>
      </c>
      <c r="F95" s="17">
        <v>19.537651800896953</v>
      </c>
      <c r="G95" s="17">
        <v>4.7498284696608911E-2</v>
      </c>
      <c r="H95" s="17">
        <v>0</v>
      </c>
      <c r="I95" s="17">
        <v>2.2782867328957348</v>
      </c>
      <c r="J95" s="17">
        <v>1.6479803163303393</v>
      </c>
      <c r="K95" s="17">
        <v>0</v>
      </c>
    </row>
    <row r="96" spans="1:18">
      <c r="A96" s="8">
        <v>16</v>
      </c>
      <c r="B96" s="20">
        <v>37845</v>
      </c>
      <c r="C96" s="12">
        <v>2003</v>
      </c>
      <c r="D96" s="16" t="s">
        <v>25</v>
      </c>
      <c r="E96" s="12">
        <v>8</v>
      </c>
      <c r="F96" s="17">
        <v>20.502660158281593</v>
      </c>
      <c r="G96" s="17">
        <v>0.22084992207923673</v>
      </c>
      <c r="H96" s="17">
        <v>4.0856259570099321E-2</v>
      </c>
      <c r="I96" s="17">
        <v>1.9303375580033511</v>
      </c>
      <c r="J96" s="17">
        <v>2.2523599888758055</v>
      </c>
      <c r="K96" s="17">
        <v>0</v>
      </c>
      <c r="M96" s="29">
        <f>AVERAGE(F95:F96)</f>
        <v>20.020155979589273</v>
      </c>
      <c r="N96" s="29">
        <f t="shared" ref="N96" si="198">AVERAGE(G95:G96)</f>
        <v>0.13417410338792282</v>
      </c>
      <c r="O96" s="29">
        <f t="shared" ref="O96" si="199">AVERAGE(H95:H96)</f>
        <v>2.042812978504966E-2</v>
      </c>
      <c r="P96" s="29">
        <f t="shared" ref="P96" si="200">AVERAGE(I95:I96)</f>
        <v>2.1043121454495428</v>
      </c>
      <c r="Q96" s="29">
        <f t="shared" ref="Q96" si="201">AVERAGE(J95:J96)</f>
        <v>1.9501701526030724</v>
      </c>
      <c r="R96" s="29">
        <f t="shared" ref="R96" si="202">AVERAGE(K95:K96)</f>
        <v>0</v>
      </c>
    </row>
    <row r="97" spans="1:18">
      <c r="A97" s="8">
        <v>2</v>
      </c>
      <c r="B97" s="20">
        <v>37888</v>
      </c>
      <c r="C97" s="12">
        <v>2003</v>
      </c>
      <c r="D97" s="16" t="s">
        <v>26</v>
      </c>
      <c r="E97" s="12">
        <v>9</v>
      </c>
      <c r="F97" s="17">
        <v>3.6079961892922769</v>
      </c>
      <c r="G97" s="17">
        <v>4.0434524415230697E-2</v>
      </c>
      <c r="H97" s="17">
        <v>0</v>
      </c>
      <c r="I97" s="17">
        <v>0.58998941386310078</v>
      </c>
      <c r="J97" s="17">
        <v>0.3008309410747394</v>
      </c>
      <c r="K97" s="17">
        <v>0</v>
      </c>
    </row>
    <row r="98" spans="1:18">
      <c r="A98" s="8">
        <v>16</v>
      </c>
      <c r="B98" s="20">
        <v>37888</v>
      </c>
      <c r="C98" s="12">
        <v>2003</v>
      </c>
      <c r="D98" s="16" t="s">
        <v>26</v>
      </c>
      <c r="E98" s="12">
        <v>9</v>
      </c>
      <c r="F98" s="17">
        <v>4.389143577658345</v>
      </c>
      <c r="G98" s="17">
        <v>4.1603652540718523E-2</v>
      </c>
      <c r="H98" s="17">
        <v>0</v>
      </c>
      <c r="I98" s="17">
        <v>1.0287609995914782</v>
      </c>
      <c r="J98" s="17">
        <v>0.23036489278971495</v>
      </c>
      <c r="K98" s="17">
        <v>0</v>
      </c>
      <c r="M98" s="29">
        <f>AVERAGE(F97:F98)</f>
        <v>3.9985698834753109</v>
      </c>
      <c r="N98" s="29">
        <f t="shared" ref="N98" si="203">AVERAGE(G97:G98)</f>
        <v>4.1019088477974613E-2</v>
      </c>
      <c r="O98" s="29">
        <f t="shared" ref="O98" si="204">AVERAGE(H97:H98)</f>
        <v>0</v>
      </c>
      <c r="P98" s="29">
        <f t="shared" ref="P98" si="205">AVERAGE(I97:I98)</f>
        <v>0.80937520672728946</v>
      </c>
      <c r="Q98" s="29">
        <f t="shared" ref="Q98" si="206">AVERAGE(J97:J98)</f>
        <v>0.26559791693222717</v>
      </c>
      <c r="R98" s="29">
        <f t="shared" ref="R98" si="207">AVERAGE(K97:K98)</f>
        <v>0</v>
      </c>
    </row>
    <row r="99" spans="1:18">
      <c r="A99" s="8">
        <v>2</v>
      </c>
      <c r="B99" s="20">
        <v>37908</v>
      </c>
      <c r="C99" s="12">
        <v>2003</v>
      </c>
      <c r="D99" s="16" t="s">
        <v>14</v>
      </c>
      <c r="E99" s="12">
        <v>10</v>
      </c>
      <c r="F99" s="13">
        <v>2.2682000000000002</v>
      </c>
      <c r="G99" s="17">
        <v>2.4101823893501573E-2</v>
      </c>
      <c r="H99" s="17">
        <v>0</v>
      </c>
      <c r="I99" s="17">
        <v>0.38630853874783067</v>
      </c>
      <c r="J99" s="17">
        <v>4.5589647962011662E-2</v>
      </c>
      <c r="K99" s="17">
        <v>0</v>
      </c>
    </row>
    <row r="100" spans="1:18">
      <c r="A100" s="8">
        <v>16</v>
      </c>
      <c r="B100" s="20">
        <v>37908</v>
      </c>
      <c r="C100" s="12">
        <v>2003</v>
      </c>
      <c r="D100" s="16" t="s">
        <v>14</v>
      </c>
      <c r="E100" s="12">
        <v>10</v>
      </c>
      <c r="F100" s="13">
        <v>4.5435999999999996</v>
      </c>
      <c r="G100" s="17">
        <v>7.5867921799150126E-2</v>
      </c>
      <c r="H100" s="17">
        <v>0</v>
      </c>
      <c r="I100" s="17">
        <v>0.56843939941998611</v>
      </c>
      <c r="J100" s="17">
        <v>0.17876911264586298</v>
      </c>
      <c r="K100" s="17">
        <v>0</v>
      </c>
      <c r="M100" s="29">
        <f>AVERAGE(F99:F100)</f>
        <v>3.4058999999999999</v>
      </c>
      <c r="N100" s="29">
        <f t="shared" ref="N100" si="208">AVERAGE(G99:G100)</f>
        <v>4.9984872846325849E-2</v>
      </c>
      <c r="O100" s="29">
        <f t="shared" ref="O100" si="209">AVERAGE(H99:H100)</f>
        <v>0</v>
      </c>
      <c r="P100" s="29">
        <f t="shared" ref="P100" si="210">AVERAGE(I99:I100)</f>
        <v>0.47737396908390839</v>
      </c>
      <c r="Q100" s="29">
        <f t="shared" ref="Q100" si="211">AVERAGE(J99:J100)</f>
        <v>0.11217938030393731</v>
      </c>
      <c r="R100" s="29">
        <f t="shared" ref="R100" si="212">AVERAGE(K99:K100)</f>
        <v>0</v>
      </c>
    </row>
    <row r="101" spans="1:18">
      <c r="A101" s="8">
        <v>2</v>
      </c>
      <c r="B101" s="20">
        <v>37943</v>
      </c>
      <c r="C101" s="12">
        <v>2003</v>
      </c>
      <c r="D101" s="16" t="s">
        <v>16</v>
      </c>
      <c r="E101" s="12">
        <v>11</v>
      </c>
      <c r="F101" s="13">
        <v>1.7544</v>
      </c>
      <c r="G101" s="17">
        <v>3.1315016456698458E-2</v>
      </c>
      <c r="H101" s="17">
        <v>0</v>
      </c>
      <c r="I101" s="17">
        <v>0.45697952891881594</v>
      </c>
      <c r="J101" s="17">
        <v>1.9751001225855901E-2</v>
      </c>
      <c r="K101" s="17">
        <v>0</v>
      </c>
    </row>
    <row r="102" spans="1:18">
      <c r="A102" s="8">
        <v>16</v>
      </c>
      <c r="B102" s="20">
        <v>37943</v>
      </c>
      <c r="C102" s="12">
        <v>2003</v>
      </c>
      <c r="D102" s="16" t="s">
        <v>16</v>
      </c>
      <c r="E102" s="12">
        <v>11</v>
      </c>
      <c r="F102" s="13">
        <v>2.1516000000000002</v>
      </c>
      <c r="G102" s="17">
        <v>4.9572584186487037E-2</v>
      </c>
      <c r="H102" s="17">
        <v>0</v>
      </c>
      <c r="I102" s="17">
        <v>0.37417733881173781</v>
      </c>
      <c r="J102" s="17">
        <v>2.3292149040411544E-2</v>
      </c>
      <c r="K102" s="17">
        <v>0</v>
      </c>
      <c r="M102" s="29">
        <f>AVERAGE(F101:F102)</f>
        <v>1.9530000000000001</v>
      </c>
      <c r="N102" s="29">
        <f t="shared" ref="N102" si="213">AVERAGE(G101:G102)</f>
        <v>4.0443800321592747E-2</v>
      </c>
      <c r="O102" s="29">
        <f t="shared" ref="O102" si="214">AVERAGE(H101:H102)</f>
        <v>0</v>
      </c>
      <c r="P102" s="29">
        <f t="shared" ref="P102" si="215">AVERAGE(I101:I102)</f>
        <v>0.41557843386527688</v>
      </c>
      <c r="Q102" s="29">
        <f t="shared" ref="Q102" si="216">AVERAGE(J101:J102)</f>
        <v>2.152157513313372E-2</v>
      </c>
      <c r="R102" s="29">
        <f t="shared" ref="R102" si="217">AVERAGE(K101:K102)</f>
        <v>0</v>
      </c>
    </row>
    <row r="103" spans="1:18">
      <c r="A103" s="8">
        <v>2</v>
      </c>
      <c r="B103" s="20">
        <v>37973</v>
      </c>
      <c r="C103" s="12">
        <v>2003</v>
      </c>
      <c r="D103" s="16" t="s">
        <v>17</v>
      </c>
      <c r="E103" s="12">
        <v>12</v>
      </c>
      <c r="F103" s="13">
        <v>6.9042000000000003</v>
      </c>
      <c r="G103" s="17">
        <v>0.11367078859666899</v>
      </c>
      <c r="H103" s="17">
        <v>0</v>
      </c>
      <c r="I103" s="17">
        <v>1.9167876880213932</v>
      </c>
      <c r="J103" s="17">
        <v>6.0448130676380669E-2</v>
      </c>
      <c r="K103" s="17">
        <v>0</v>
      </c>
    </row>
    <row r="104" spans="1:18">
      <c r="A104" s="8">
        <v>16</v>
      </c>
      <c r="B104" s="20">
        <v>37973</v>
      </c>
      <c r="C104" s="12">
        <v>2003</v>
      </c>
      <c r="D104" s="16" t="s">
        <v>17</v>
      </c>
      <c r="E104" s="12">
        <v>12</v>
      </c>
      <c r="F104" s="13">
        <v>8.3348999999999993</v>
      </c>
      <c r="G104" s="17">
        <v>0.15049579202833516</v>
      </c>
      <c r="H104" s="17">
        <v>0</v>
      </c>
      <c r="I104" s="17">
        <v>2.3124631306178207</v>
      </c>
      <c r="J104" s="17">
        <v>5.7173341510828361E-2</v>
      </c>
      <c r="K104" s="17">
        <v>0</v>
      </c>
      <c r="M104" s="29">
        <f>AVERAGE(F103:F104)</f>
        <v>7.6195500000000003</v>
      </c>
      <c r="N104" s="29">
        <f t="shared" ref="N104" si="218">AVERAGE(G103:G104)</f>
        <v>0.13208329031250207</v>
      </c>
      <c r="O104" s="29">
        <f t="shared" ref="O104" si="219">AVERAGE(H103:H104)</f>
        <v>0</v>
      </c>
      <c r="P104" s="29">
        <f t="shared" ref="P104" si="220">AVERAGE(I103:I104)</f>
        <v>2.1146254093196069</v>
      </c>
      <c r="Q104" s="29">
        <f t="shared" ref="Q104" si="221">AVERAGE(J103:J104)</f>
        <v>5.8810736093604515E-2</v>
      </c>
      <c r="R104" s="29">
        <f t="shared" ref="R104" si="222">AVERAGE(K103:K104)</f>
        <v>0</v>
      </c>
    </row>
    <row r="105" spans="1:18">
      <c r="A105" s="8">
        <v>2</v>
      </c>
      <c r="B105" s="20">
        <v>38000</v>
      </c>
      <c r="C105" s="12">
        <v>2004</v>
      </c>
      <c r="D105" s="16" t="s">
        <v>18</v>
      </c>
      <c r="E105" s="12">
        <v>1</v>
      </c>
      <c r="F105" s="13">
        <v>7.9244000000000003</v>
      </c>
      <c r="G105" s="13">
        <v>6.9294091716351633E-2</v>
      </c>
      <c r="H105" s="13">
        <v>0</v>
      </c>
      <c r="I105" s="13">
        <v>2.658166202296588</v>
      </c>
      <c r="J105" s="13">
        <v>3.1286729623826386E-2</v>
      </c>
      <c r="K105" s="13">
        <v>0</v>
      </c>
    </row>
    <row r="106" spans="1:18">
      <c r="A106" s="8">
        <v>16</v>
      </c>
      <c r="B106" s="20">
        <v>37999</v>
      </c>
      <c r="C106" s="12">
        <v>2004</v>
      </c>
      <c r="D106" s="16" t="s">
        <v>18</v>
      </c>
      <c r="E106" s="12">
        <v>1</v>
      </c>
      <c r="F106" s="13">
        <v>4.7584999999999997</v>
      </c>
      <c r="G106" s="13">
        <v>2.0371153086774077E-2</v>
      </c>
      <c r="H106" s="13">
        <v>0</v>
      </c>
      <c r="I106" s="13">
        <v>1.7826682150826958</v>
      </c>
      <c r="J106" s="13">
        <v>3.0557197562010176E-2</v>
      </c>
      <c r="K106" s="13">
        <v>0</v>
      </c>
      <c r="M106" s="29">
        <f>AVERAGE(F105:F106)</f>
        <v>6.34145</v>
      </c>
      <c r="N106" s="29">
        <f t="shared" ref="N106" si="223">AVERAGE(G105:G106)</f>
        <v>4.4832622401562855E-2</v>
      </c>
      <c r="O106" s="29">
        <f t="shared" ref="O106" si="224">AVERAGE(H105:H106)</f>
        <v>0</v>
      </c>
      <c r="P106" s="29">
        <f t="shared" ref="P106" si="225">AVERAGE(I105:I106)</f>
        <v>2.2204172086896419</v>
      </c>
      <c r="Q106" s="29">
        <f t="shared" ref="Q106" si="226">AVERAGE(J105:J106)</f>
        <v>3.0921963592918281E-2</v>
      </c>
      <c r="R106" s="29">
        <f t="shared" ref="R106" si="227">AVERAGE(K105:K106)</f>
        <v>0</v>
      </c>
    </row>
    <row r="107" spans="1:18">
      <c r="A107" s="8">
        <v>2</v>
      </c>
      <c r="B107" s="20">
        <v>38027</v>
      </c>
      <c r="C107" s="12">
        <v>2004</v>
      </c>
      <c r="D107" s="11" t="s">
        <v>19</v>
      </c>
      <c r="E107" s="12">
        <v>2</v>
      </c>
      <c r="F107" s="13">
        <v>8.4512999999999998</v>
      </c>
      <c r="G107" s="13">
        <v>0.10587675287421577</v>
      </c>
      <c r="H107" s="13">
        <v>0</v>
      </c>
      <c r="I107" s="13">
        <v>3.4366160320971737</v>
      </c>
      <c r="J107" s="13">
        <v>3.7833460229407395E-2</v>
      </c>
      <c r="K107" s="13">
        <v>0</v>
      </c>
    </row>
    <row r="108" spans="1:18">
      <c r="A108" s="8">
        <v>16</v>
      </c>
      <c r="B108" s="20">
        <v>38027</v>
      </c>
      <c r="C108" s="12">
        <v>2004</v>
      </c>
      <c r="D108" s="11" t="s">
        <v>19</v>
      </c>
      <c r="E108" s="12">
        <v>2</v>
      </c>
      <c r="F108" s="13">
        <v>6.8272000000000004</v>
      </c>
      <c r="G108" s="13">
        <v>3.4639787288167981E-2</v>
      </c>
      <c r="H108" s="13">
        <v>0</v>
      </c>
      <c r="I108" s="13">
        <v>2.627782684980164</v>
      </c>
      <c r="J108" s="13">
        <v>2.9879817604819E-2</v>
      </c>
      <c r="K108" s="13">
        <v>0</v>
      </c>
      <c r="M108" s="29">
        <f>AVERAGE(F107:F108)</f>
        <v>7.6392500000000005</v>
      </c>
      <c r="N108" s="29">
        <f t="shared" ref="N108" si="228">AVERAGE(G107:G108)</f>
        <v>7.025827008119187E-2</v>
      </c>
      <c r="O108" s="29">
        <f t="shared" ref="O108" si="229">AVERAGE(H107:H108)</f>
        <v>0</v>
      </c>
      <c r="P108" s="29">
        <f t="shared" ref="P108" si="230">AVERAGE(I107:I108)</f>
        <v>3.0321993585386688</v>
      </c>
      <c r="Q108" s="29">
        <f t="shared" ref="Q108" si="231">AVERAGE(J107:J108)</f>
        <v>3.3856638917113199E-2</v>
      </c>
      <c r="R108" s="29">
        <f t="shared" ref="R108" si="232">AVERAGE(K107:K108)</f>
        <v>0</v>
      </c>
    </row>
    <row r="109" spans="1:18">
      <c r="A109" s="8">
        <v>2</v>
      </c>
      <c r="B109" s="20">
        <v>38063</v>
      </c>
      <c r="C109" s="12">
        <v>2004</v>
      </c>
      <c r="D109" s="11" t="s">
        <v>20</v>
      </c>
      <c r="E109" s="12">
        <v>3</v>
      </c>
      <c r="F109" s="13">
        <v>5.9840999999999998</v>
      </c>
      <c r="G109" s="13">
        <v>9.9309948680048041E-2</v>
      </c>
      <c r="H109" s="13">
        <v>1.5937718946000549E-2</v>
      </c>
      <c r="I109" s="13">
        <v>2.2269674446284151</v>
      </c>
      <c r="J109" s="13">
        <v>2.4161048666527511E-2</v>
      </c>
      <c r="K109" s="13">
        <v>0</v>
      </c>
    </row>
    <row r="110" spans="1:18">
      <c r="A110" s="8">
        <v>16</v>
      </c>
      <c r="B110" s="20">
        <v>38063</v>
      </c>
      <c r="C110" s="12">
        <v>2004</v>
      </c>
      <c r="D110" s="11" t="s">
        <v>20</v>
      </c>
      <c r="E110" s="12">
        <v>3</v>
      </c>
      <c r="F110" s="13">
        <v>5.5353000000000003</v>
      </c>
      <c r="G110" s="13">
        <v>4.5258676202371555E-2</v>
      </c>
      <c r="H110" s="13">
        <v>1.0860460455290995E-2</v>
      </c>
      <c r="I110" s="13">
        <v>2.1785938216464897</v>
      </c>
      <c r="J110" s="13">
        <v>4.2328048876012776E-2</v>
      </c>
      <c r="K110" s="13">
        <v>0</v>
      </c>
      <c r="M110" s="29">
        <f>AVERAGE(F109:F110)</f>
        <v>5.7597000000000005</v>
      </c>
      <c r="N110" s="29">
        <f t="shared" ref="N110" si="233">AVERAGE(G109:G110)</f>
        <v>7.2284312441209794E-2</v>
      </c>
      <c r="O110" s="29">
        <f t="shared" ref="O110" si="234">AVERAGE(H109:H110)</f>
        <v>1.3399089700645772E-2</v>
      </c>
      <c r="P110" s="29">
        <f t="shared" ref="P110" si="235">AVERAGE(I109:I110)</f>
        <v>2.2027806331374524</v>
      </c>
      <c r="Q110" s="29">
        <f t="shared" ref="Q110" si="236">AVERAGE(J109:J110)</f>
        <v>3.3244548771270144E-2</v>
      </c>
      <c r="R110" s="29">
        <f t="shared" ref="R110" si="237">AVERAGE(K109:K110)</f>
        <v>0</v>
      </c>
    </row>
    <row r="111" spans="1:18">
      <c r="A111" s="8">
        <v>2</v>
      </c>
      <c r="B111" s="20">
        <v>38094</v>
      </c>
      <c r="C111" s="12">
        <v>2004</v>
      </c>
      <c r="D111" s="11" t="s">
        <v>21</v>
      </c>
      <c r="E111" s="12">
        <v>4</v>
      </c>
      <c r="F111" s="13">
        <v>5.3353000000000002</v>
      </c>
      <c r="G111" s="23">
        <v>2.9936142451045748E-2</v>
      </c>
      <c r="H111" s="23">
        <v>9.8750546190221208E-2</v>
      </c>
      <c r="I111" s="23">
        <v>1.9262581044497677</v>
      </c>
      <c r="J111" s="23">
        <v>4.5330781055786182E-2</v>
      </c>
      <c r="K111" s="23">
        <v>0</v>
      </c>
    </row>
    <row r="112" spans="1:18">
      <c r="A112" s="8">
        <v>16</v>
      </c>
      <c r="B112" s="20">
        <v>38094</v>
      </c>
      <c r="C112" s="12">
        <v>2004</v>
      </c>
      <c r="D112" s="11" t="s">
        <v>21</v>
      </c>
      <c r="E112" s="12">
        <v>4</v>
      </c>
      <c r="F112" s="13">
        <v>6.4290000000000003</v>
      </c>
      <c r="G112" s="23">
        <v>5.107431439066594E-2</v>
      </c>
      <c r="H112" s="23">
        <v>8.9604443079694868E-2</v>
      </c>
      <c r="I112" s="23">
        <v>2.3503058093316689</v>
      </c>
      <c r="J112" s="23">
        <v>5.5164507634608367E-2</v>
      </c>
      <c r="K112" s="23">
        <v>0</v>
      </c>
      <c r="M112" s="29">
        <f>AVERAGE(F111:F112)</f>
        <v>5.8821500000000002</v>
      </c>
      <c r="N112" s="29">
        <f t="shared" ref="N112" si="238">AVERAGE(G111:G112)</f>
        <v>4.0505228420855841E-2</v>
      </c>
      <c r="O112" s="29">
        <f t="shared" ref="O112" si="239">AVERAGE(H111:H112)</f>
        <v>9.4177494634958031E-2</v>
      </c>
      <c r="P112" s="29">
        <f t="shared" ref="P112" si="240">AVERAGE(I111:I112)</f>
        <v>2.1382819568907183</v>
      </c>
      <c r="Q112" s="29">
        <f t="shared" ref="Q112" si="241">AVERAGE(J111:J112)</f>
        <v>5.0247644345197275E-2</v>
      </c>
      <c r="R112" s="29">
        <f t="shared" ref="R112" si="242">AVERAGE(K111:K112)</f>
        <v>0</v>
      </c>
    </row>
    <row r="113" spans="1:18">
      <c r="A113" s="8">
        <v>2</v>
      </c>
      <c r="B113" s="20">
        <v>38118</v>
      </c>
      <c r="C113" s="12">
        <v>2004</v>
      </c>
      <c r="D113" s="11" t="s">
        <v>22</v>
      </c>
      <c r="E113" s="12">
        <v>5</v>
      </c>
      <c r="F113" s="13">
        <v>3.1080999999999999</v>
      </c>
      <c r="G113" s="23">
        <v>2.3726658587918888E-2</v>
      </c>
      <c r="H113" s="23">
        <v>6.0631256512209332E-2</v>
      </c>
      <c r="I113" s="23">
        <v>0.89779515353207762</v>
      </c>
      <c r="J113" s="23">
        <v>8.9438372881926312E-2</v>
      </c>
      <c r="K113" s="23">
        <v>0</v>
      </c>
    </row>
    <row r="114" spans="1:18">
      <c r="A114" s="8">
        <v>16</v>
      </c>
      <c r="B114" s="20">
        <v>38118</v>
      </c>
      <c r="C114" s="12">
        <v>2004</v>
      </c>
      <c r="D114" s="11" t="s">
        <v>22</v>
      </c>
      <c r="E114" s="12">
        <v>5</v>
      </c>
      <c r="F114" s="13">
        <v>4.1181999999999999</v>
      </c>
      <c r="G114" s="23">
        <v>3.6471212823303359E-2</v>
      </c>
      <c r="H114" s="23">
        <v>8.5490666808374055E-2</v>
      </c>
      <c r="I114" s="23">
        <v>1.258275822638689</v>
      </c>
      <c r="J114" s="23">
        <v>0.12093198016623749</v>
      </c>
      <c r="K114" s="23">
        <v>0</v>
      </c>
      <c r="M114" s="29">
        <f>AVERAGE(F113:F114)</f>
        <v>3.6131500000000001</v>
      </c>
      <c r="N114" s="29">
        <f t="shared" ref="N114" si="243">AVERAGE(G113:G114)</f>
        <v>3.0098935705611125E-2</v>
      </c>
      <c r="O114" s="29">
        <f t="shared" ref="O114" si="244">AVERAGE(H113:H114)</f>
        <v>7.306096166029169E-2</v>
      </c>
      <c r="P114" s="29">
        <f t="shared" ref="P114" si="245">AVERAGE(I113:I114)</f>
        <v>1.0780354880853833</v>
      </c>
      <c r="Q114" s="29">
        <f t="shared" ref="Q114" si="246">AVERAGE(J113:J114)</f>
        <v>0.10518517652408191</v>
      </c>
      <c r="R114" s="29">
        <f t="shared" ref="R114" si="247">AVERAGE(K113:K114)</f>
        <v>0</v>
      </c>
    </row>
    <row r="115" spans="1:18">
      <c r="A115" s="8">
        <v>2</v>
      </c>
      <c r="B115" s="20">
        <v>38153</v>
      </c>
      <c r="C115" s="12">
        <v>2004</v>
      </c>
      <c r="D115" s="11" t="s">
        <v>23</v>
      </c>
      <c r="E115" s="12">
        <v>6</v>
      </c>
      <c r="F115" s="13">
        <v>21.325199999999999</v>
      </c>
      <c r="G115" s="23">
        <v>6.0613869861052411E-2</v>
      </c>
      <c r="H115" s="23">
        <v>2.1702426693377448</v>
      </c>
      <c r="I115" s="23">
        <v>6.8347429983009533</v>
      </c>
      <c r="J115" s="23">
        <v>1.1233502708113325</v>
      </c>
      <c r="K115" s="23">
        <v>0</v>
      </c>
    </row>
    <row r="116" spans="1:18">
      <c r="A116" s="8">
        <v>16</v>
      </c>
      <c r="B116" s="20">
        <v>38153</v>
      </c>
      <c r="C116" s="12">
        <v>2004</v>
      </c>
      <c r="D116" s="11" t="s">
        <v>23</v>
      </c>
      <c r="E116" s="12">
        <v>6</v>
      </c>
      <c r="F116" s="13">
        <v>21.731999999999999</v>
      </c>
      <c r="G116" s="23">
        <v>4.107528084838856E-2</v>
      </c>
      <c r="H116" s="23">
        <v>2.3976296734828382</v>
      </c>
      <c r="I116" s="23">
        <v>7.3968172160911374</v>
      </c>
      <c r="J116" s="23">
        <v>0.78357596870982993</v>
      </c>
      <c r="K116" s="23">
        <v>0</v>
      </c>
      <c r="M116" s="29">
        <f>AVERAGE(F115:F116)</f>
        <v>21.528599999999997</v>
      </c>
      <c r="N116" s="29">
        <f t="shared" ref="N116" si="248">AVERAGE(G115:G116)</f>
        <v>5.0844575354720485E-2</v>
      </c>
      <c r="O116" s="29">
        <f t="shared" ref="O116" si="249">AVERAGE(H115:H116)</f>
        <v>2.2839361714102915</v>
      </c>
      <c r="P116" s="29">
        <f t="shared" ref="P116" si="250">AVERAGE(I115:I116)</f>
        <v>7.1157801071960449</v>
      </c>
      <c r="Q116" s="29">
        <f t="shared" ref="Q116" si="251">AVERAGE(J115:J116)</f>
        <v>0.95346311976058118</v>
      </c>
      <c r="R116" s="29">
        <f t="shared" ref="R116" si="252">AVERAGE(K115:K116)</f>
        <v>0</v>
      </c>
    </row>
    <row r="117" spans="1:18">
      <c r="A117" s="8">
        <v>2</v>
      </c>
      <c r="B117" s="20">
        <v>38181</v>
      </c>
      <c r="C117" s="12">
        <v>2004</v>
      </c>
      <c r="D117" s="16" t="s">
        <v>24</v>
      </c>
      <c r="E117" s="12">
        <v>7</v>
      </c>
      <c r="F117" s="13">
        <v>19.874500000000001</v>
      </c>
      <c r="G117" s="23">
        <v>0.2572405959284354</v>
      </c>
      <c r="H117" s="23">
        <v>0.13274452024995922</v>
      </c>
      <c r="I117" s="23">
        <v>2.0537356233112702</v>
      </c>
      <c r="J117" s="23">
        <v>2.3449651579625383</v>
      </c>
      <c r="K117" s="23">
        <v>0</v>
      </c>
    </row>
    <row r="118" spans="1:18">
      <c r="A118" s="8">
        <v>16</v>
      </c>
      <c r="B118" s="20">
        <v>38181</v>
      </c>
      <c r="C118" s="12">
        <v>2004</v>
      </c>
      <c r="D118" s="16" t="s">
        <v>24</v>
      </c>
      <c r="E118" s="12">
        <v>7</v>
      </c>
      <c r="F118" s="13">
        <v>16.134699999999999</v>
      </c>
      <c r="G118" s="23">
        <v>0.42717518330885967</v>
      </c>
      <c r="H118" s="23">
        <v>0.17113397418887033</v>
      </c>
      <c r="I118" s="23">
        <v>1.6482818492262057</v>
      </c>
      <c r="J118" s="23">
        <v>2.1284722064524413</v>
      </c>
      <c r="K118" s="23">
        <v>5.2053585139342495E-2</v>
      </c>
      <c r="M118" s="29">
        <f>AVERAGE(F117:F118)</f>
        <v>18.0046</v>
      </c>
      <c r="N118" s="29">
        <f t="shared" ref="N118" si="253">AVERAGE(G117:G118)</f>
        <v>0.34220788961864756</v>
      </c>
      <c r="O118" s="29">
        <f t="shared" ref="O118" si="254">AVERAGE(H117:H118)</f>
        <v>0.15193924721941476</v>
      </c>
      <c r="P118" s="29">
        <f t="shared" ref="P118" si="255">AVERAGE(I117:I118)</f>
        <v>1.851008736268738</v>
      </c>
      <c r="Q118" s="29">
        <f t="shared" ref="Q118" si="256">AVERAGE(J117:J118)</f>
        <v>2.2367186822074898</v>
      </c>
      <c r="R118" s="29">
        <f t="shared" ref="R118" si="257">AVERAGE(K117:K118)</f>
        <v>2.6026792569671248E-2</v>
      </c>
    </row>
    <row r="119" spans="1:18">
      <c r="A119" s="8">
        <v>2</v>
      </c>
      <c r="B119" s="20">
        <v>38217</v>
      </c>
      <c r="C119" s="12">
        <v>2004</v>
      </c>
      <c r="D119" s="16" t="s">
        <v>25</v>
      </c>
      <c r="E119" s="12">
        <v>8</v>
      </c>
      <c r="F119" s="13">
        <v>16.3978</v>
      </c>
      <c r="G119" s="21"/>
      <c r="H119" s="21"/>
      <c r="I119" s="21"/>
      <c r="J119" s="21"/>
      <c r="K119" s="21"/>
    </row>
    <row r="120" spans="1:18">
      <c r="A120" s="8">
        <v>16</v>
      </c>
      <c r="B120" s="20">
        <v>38217</v>
      </c>
      <c r="C120" s="12">
        <v>2004</v>
      </c>
      <c r="D120" s="16" t="s">
        <v>25</v>
      </c>
      <c r="E120" s="12">
        <v>8</v>
      </c>
      <c r="F120" s="13">
        <v>14.690899999999999</v>
      </c>
      <c r="G120" s="21"/>
      <c r="H120" s="21"/>
      <c r="I120" s="21"/>
      <c r="J120" s="21"/>
      <c r="K120" s="21"/>
      <c r="M120" s="29">
        <f>AVERAGE(F119:F120)</f>
        <v>15.54435</v>
      </c>
      <c r="N120" s="29" t="e">
        <f t="shared" ref="N120" si="258">AVERAGE(G119:G120)</f>
        <v>#DIV/0!</v>
      </c>
      <c r="O120" s="29" t="e">
        <f t="shared" ref="O120" si="259">AVERAGE(H119:H120)</f>
        <v>#DIV/0!</v>
      </c>
      <c r="P120" s="29" t="e">
        <f t="shared" ref="P120" si="260">AVERAGE(I119:I120)</f>
        <v>#DIV/0!</v>
      </c>
      <c r="Q120" s="29" t="e">
        <f t="shared" ref="Q120" si="261">AVERAGE(J119:J120)</f>
        <v>#DIV/0!</v>
      </c>
      <c r="R120" s="29" t="e">
        <f t="shared" ref="R120" si="262">AVERAGE(K119:K120)</f>
        <v>#DIV/0!</v>
      </c>
    </row>
    <row r="121" spans="1:18">
      <c r="A121" s="8">
        <v>2</v>
      </c>
      <c r="B121" s="20">
        <v>38244</v>
      </c>
      <c r="C121" s="12">
        <v>2004</v>
      </c>
      <c r="D121" s="16" t="s">
        <v>26</v>
      </c>
      <c r="E121" s="12">
        <v>9</v>
      </c>
      <c r="F121" s="13">
        <v>9.6735000000000007</v>
      </c>
      <c r="G121" s="23">
        <v>4.9319956238623661E-2</v>
      </c>
      <c r="H121" s="23">
        <v>0</v>
      </c>
      <c r="I121" s="23">
        <v>3.1648309505247276</v>
      </c>
      <c r="J121" s="23">
        <v>0.27769424813168825</v>
      </c>
      <c r="K121" s="23">
        <v>0</v>
      </c>
    </row>
    <row r="122" spans="1:18">
      <c r="A122" s="8">
        <v>16</v>
      </c>
      <c r="B122" s="20">
        <v>38244</v>
      </c>
      <c r="C122" s="12">
        <v>2004</v>
      </c>
      <c r="D122" s="16" t="s">
        <v>26</v>
      </c>
      <c r="E122" s="12">
        <v>9</v>
      </c>
      <c r="F122" s="13">
        <v>8.8986999999999998</v>
      </c>
      <c r="G122" s="23">
        <v>7.3857332851544805E-2</v>
      </c>
      <c r="H122" s="23">
        <v>0</v>
      </c>
      <c r="I122" s="23">
        <v>2.5730708134478908</v>
      </c>
      <c r="J122" s="23">
        <v>0.58207156159378493</v>
      </c>
      <c r="K122" s="23">
        <v>0</v>
      </c>
      <c r="M122" s="29">
        <f>AVERAGE(F121:F122)</f>
        <v>9.2861000000000011</v>
      </c>
      <c r="N122" s="29">
        <f t="shared" ref="N122" si="263">AVERAGE(G121:G122)</f>
        <v>6.1588644545084233E-2</v>
      </c>
      <c r="O122" s="29">
        <f t="shared" ref="O122" si="264">AVERAGE(H121:H122)</f>
        <v>0</v>
      </c>
      <c r="P122" s="29">
        <f t="shared" ref="P122" si="265">AVERAGE(I121:I122)</f>
        <v>2.8689508819863092</v>
      </c>
      <c r="Q122" s="29">
        <f t="shared" ref="Q122" si="266">AVERAGE(J121:J122)</f>
        <v>0.42988290486273661</v>
      </c>
      <c r="R122" s="29">
        <f t="shared" ref="R122" si="267">AVERAGE(K121:K122)</f>
        <v>0</v>
      </c>
    </row>
    <row r="123" spans="1:18">
      <c r="A123" s="8">
        <v>2</v>
      </c>
      <c r="B123" s="20">
        <v>38272</v>
      </c>
      <c r="C123" s="12">
        <v>2004</v>
      </c>
      <c r="D123" s="16" t="s">
        <v>14</v>
      </c>
      <c r="E123" s="12">
        <v>10</v>
      </c>
      <c r="F123" s="17">
        <v>5.6414</v>
      </c>
      <c r="G123" s="17">
        <v>1.9972939609712807E-2</v>
      </c>
      <c r="H123" s="17">
        <v>0</v>
      </c>
      <c r="I123" s="17">
        <v>1.4353386392692853</v>
      </c>
      <c r="J123" s="17">
        <v>0.12182307577381461</v>
      </c>
      <c r="K123" s="17">
        <v>0</v>
      </c>
    </row>
    <row r="124" spans="1:18">
      <c r="A124" s="8">
        <v>16</v>
      </c>
      <c r="B124" s="20">
        <v>38272</v>
      </c>
      <c r="C124" s="12">
        <v>2004</v>
      </c>
      <c r="D124" s="16" t="s">
        <v>14</v>
      </c>
      <c r="E124" s="12">
        <v>10</v>
      </c>
      <c r="F124" s="17">
        <v>3.5736300000000001</v>
      </c>
      <c r="G124" s="17">
        <v>1.7930587608687088E-2</v>
      </c>
      <c r="H124" s="17">
        <v>0</v>
      </c>
      <c r="I124" s="17">
        <v>0.56432032434767199</v>
      </c>
      <c r="J124" s="17">
        <v>0.30400715453116672</v>
      </c>
      <c r="K124" s="17">
        <v>0</v>
      </c>
      <c r="M124" s="29">
        <f>AVERAGE(F123:F124)</f>
        <v>4.6075150000000002</v>
      </c>
      <c r="N124" s="29">
        <f t="shared" ref="N124" si="268">AVERAGE(G123:G124)</f>
        <v>1.8951763609199947E-2</v>
      </c>
      <c r="O124" s="29">
        <f t="shared" ref="O124" si="269">AVERAGE(H123:H124)</f>
        <v>0</v>
      </c>
      <c r="P124" s="29">
        <f t="shared" ref="P124" si="270">AVERAGE(I123:I124)</f>
        <v>0.99982948180847864</v>
      </c>
      <c r="Q124" s="29">
        <f t="shared" ref="Q124" si="271">AVERAGE(J123:J124)</f>
        <v>0.21291511515249067</v>
      </c>
      <c r="R124" s="29">
        <f t="shared" ref="R124" si="272">AVERAGE(K123:K124)</f>
        <v>0</v>
      </c>
    </row>
    <row r="125" spans="1:18">
      <c r="A125" s="8">
        <v>2</v>
      </c>
      <c r="B125" s="20">
        <v>38306</v>
      </c>
      <c r="C125" s="12">
        <v>2004</v>
      </c>
      <c r="D125" s="16" t="s">
        <v>16</v>
      </c>
      <c r="E125" s="12">
        <v>11</v>
      </c>
      <c r="F125" s="17">
        <v>3.9119600000000001</v>
      </c>
      <c r="G125" s="17">
        <v>2.7779572180683353E-2</v>
      </c>
      <c r="H125" s="17">
        <v>0</v>
      </c>
      <c r="I125" s="17">
        <v>1.3540303823378843</v>
      </c>
      <c r="J125" s="17">
        <v>2.6320034750734682E-2</v>
      </c>
      <c r="K125" s="17">
        <v>0</v>
      </c>
    </row>
    <row r="126" spans="1:18">
      <c r="A126" s="8">
        <v>16</v>
      </c>
      <c r="B126" s="20">
        <v>38306</v>
      </c>
      <c r="C126" s="12">
        <v>2004</v>
      </c>
      <c r="D126" s="16" t="s">
        <v>16</v>
      </c>
      <c r="E126" s="12">
        <v>11</v>
      </c>
      <c r="F126" s="17">
        <v>2.7208100000000002</v>
      </c>
      <c r="G126" s="17">
        <v>0</v>
      </c>
      <c r="H126" s="17">
        <v>0</v>
      </c>
      <c r="I126" s="17">
        <v>0.93094196113316885</v>
      </c>
      <c r="J126" s="17">
        <v>2.9495809973888537E-2</v>
      </c>
      <c r="K126" s="17">
        <v>0</v>
      </c>
      <c r="M126" s="29">
        <f>AVERAGE(F125:F126)</f>
        <v>3.3163850000000004</v>
      </c>
      <c r="N126" s="29">
        <f t="shared" ref="N126" si="273">AVERAGE(G125:G126)</f>
        <v>1.3889786090341676E-2</v>
      </c>
      <c r="O126" s="29">
        <f t="shared" ref="O126" si="274">AVERAGE(H125:H126)</f>
        <v>0</v>
      </c>
      <c r="P126" s="29">
        <f t="shared" ref="P126" si="275">AVERAGE(I125:I126)</f>
        <v>1.1424861717355266</v>
      </c>
      <c r="Q126" s="29">
        <f t="shared" ref="Q126" si="276">AVERAGE(J125:J126)</f>
        <v>2.7907922362311609E-2</v>
      </c>
      <c r="R126" s="29">
        <f t="shared" ref="R126" si="277">AVERAGE(K125:K126)</f>
        <v>0</v>
      </c>
    </row>
    <row r="127" spans="1:18">
      <c r="A127" s="8">
        <v>2</v>
      </c>
      <c r="B127" s="20">
        <v>38335</v>
      </c>
      <c r="C127" s="12">
        <v>2004</v>
      </c>
      <c r="D127" s="16" t="s">
        <v>17</v>
      </c>
      <c r="E127" s="12">
        <v>12</v>
      </c>
      <c r="F127" s="17">
        <v>2.8012800000000002</v>
      </c>
      <c r="G127" s="17">
        <v>0.1872535155647298</v>
      </c>
      <c r="H127" s="17">
        <v>0</v>
      </c>
      <c r="I127" s="17">
        <v>0.41641287662626703</v>
      </c>
      <c r="J127" s="17">
        <v>1.7869609825886642E-2</v>
      </c>
      <c r="K127" s="17">
        <v>0</v>
      </c>
    </row>
    <row r="128" spans="1:18">
      <c r="A128" s="8">
        <v>16</v>
      </c>
      <c r="B128" s="20">
        <v>38335</v>
      </c>
      <c r="C128" s="12">
        <v>2004</v>
      </c>
      <c r="D128" s="16" t="s">
        <v>17</v>
      </c>
      <c r="E128" s="12">
        <v>12</v>
      </c>
      <c r="F128" s="15">
        <v>2.6802199999999998</v>
      </c>
      <c r="G128" s="15">
        <v>0.18266247507028233</v>
      </c>
      <c r="H128" s="15">
        <v>0</v>
      </c>
      <c r="I128" s="15">
        <v>0.3832539185692459</v>
      </c>
      <c r="J128" s="15">
        <v>2.1135868774475011E-2</v>
      </c>
      <c r="K128" s="15">
        <v>0</v>
      </c>
      <c r="M128" s="29">
        <f>AVERAGE(F127:F128)</f>
        <v>2.7407500000000002</v>
      </c>
      <c r="N128" s="29">
        <f t="shared" ref="N128" si="278">AVERAGE(G127:G128)</f>
        <v>0.18495799531750606</v>
      </c>
      <c r="O128" s="29">
        <f t="shared" ref="O128" si="279">AVERAGE(H127:H128)</f>
        <v>0</v>
      </c>
      <c r="P128" s="29">
        <f t="shared" ref="P128" si="280">AVERAGE(I127:I128)</f>
        <v>0.39983339759775649</v>
      </c>
      <c r="Q128" s="29">
        <f t="shared" ref="Q128" si="281">AVERAGE(J127:J128)</f>
        <v>1.9502739300180826E-2</v>
      </c>
      <c r="R128" s="29">
        <f t="shared" ref="R128" si="282">AVERAGE(K127:K128)</f>
        <v>0</v>
      </c>
    </row>
    <row r="129" spans="1:18">
      <c r="A129" s="8">
        <v>2</v>
      </c>
      <c r="B129" s="24">
        <v>38362</v>
      </c>
      <c r="C129" s="12">
        <v>2005</v>
      </c>
      <c r="D129" s="16" t="s">
        <v>18</v>
      </c>
      <c r="E129" s="12">
        <v>1</v>
      </c>
      <c r="F129" s="15">
        <v>10.834250000000001</v>
      </c>
      <c r="G129" s="15">
        <v>6.5776920566511021E-2</v>
      </c>
      <c r="H129" s="15">
        <v>0</v>
      </c>
      <c r="I129" s="15">
        <v>4.0634113018595022</v>
      </c>
      <c r="J129" s="15">
        <v>1.5587088604620008E-2</v>
      </c>
      <c r="K129" s="15">
        <v>0</v>
      </c>
    </row>
    <row r="130" spans="1:18">
      <c r="A130" s="8">
        <v>16</v>
      </c>
      <c r="B130" s="24">
        <v>38362</v>
      </c>
      <c r="C130" s="12">
        <v>2005</v>
      </c>
      <c r="D130" s="16" t="s">
        <v>18</v>
      </c>
      <c r="E130" s="12">
        <v>1</v>
      </c>
      <c r="F130" s="15">
        <v>5.9218200000000003</v>
      </c>
      <c r="G130" s="15">
        <v>5.0625114510626457E-2</v>
      </c>
      <c r="H130" s="15">
        <v>0</v>
      </c>
      <c r="I130" s="15">
        <v>2.0905064811457255</v>
      </c>
      <c r="J130" s="15">
        <v>1.4376011471362516E-2</v>
      </c>
      <c r="K130" s="15">
        <v>0</v>
      </c>
      <c r="M130" s="29">
        <f>AVERAGE(F129:F130)</f>
        <v>8.3780350000000006</v>
      </c>
      <c r="N130" s="29">
        <f t="shared" ref="N130" si="283">AVERAGE(G129:G130)</f>
        <v>5.8201017538568739E-2</v>
      </c>
      <c r="O130" s="29">
        <f t="shared" ref="O130" si="284">AVERAGE(H129:H130)</f>
        <v>0</v>
      </c>
      <c r="P130" s="29">
        <f t="shared" ref="P130" si="285">AVERAGE(I129:I130)</f>
        <v>3.0769588915026138</v>
      </c>
      <c r="Q130" s="29">
        <f t="shared" ref="Q130" si="286">AVERAGE(J129:J130)</f>
        <v>1.4981550037991263E-2</v>
      </c>
      <c r="R130" s="29">
        <f t="shared" ref="R130" si="287">AVERAGE(K129:K130)</f>
        <v>0</v>
      </c>
    </row>
    <row r="131" spans="1:18">
      <c r="A131" s="8">
        <v>2</v>
      </c>
      <c r="B131" s="24">
        <v>38399</v>
      </c>
      <c r="C131" s="12">
        <v>2005</v>
      </c>
      <c r="D131" s="11" t="s">
        <v>19</v>
      </c>
      <c r="E131" s="12">
        <v>2</v>
      </c>
      <c r="F131" s="15">
        <v>2.6156700000000002</v>
      </c>
      <c r="G131" s="15">
        <v>0.1487672924129475</v>
      </c>
      <c r="H131" s="15">
        <v>0</v>
      </c>
      <c r="I131" s="15">
        <v>0.64993405818447247</v>
      </c>
      <c r="J131" s="15">
        <v>2.3465685387934178E-2</v>
      </c>
      <c r="K131" s="15">
        <v>0</v>
      </c>
    </row>
    <row r="132" spans="1:18">
      <c r="A132" s="8">
        <v>16</v>
      </c>
      <c r="B132" s="24">
        <v>38399</v>
      </c>
      <c r="C132" s="12">
        <v>2005</v>
      </c>
      <c r="D132" s="11" t="s">
        <v>19</v>
      </c>
      <c r="E132" s="12">
        <v>2</v>
      </c>
      <c r="F132" s="15">
        <v>2.10026</v>
      </c>
      <c r="G132" s="15">
        <v>0.11968008223239902</v>
      </c>
      <c r="H132" s="15">
        <v>0</v>
      </c>
      <c r="I132" s="15">
        <v>0.50445582463619298</v>
      </c>
      <c r="J132" s="15">
        <v>4.2600111359063254E-2</v>
      </c>
      <c r="K132" s="15">
        <v>0</v>
      </c>
      <c r="M132" s="29">
        <f>AVERAGE(F131:F132)</f>
        <v>2.3579650000000001</v>
      </c>
      <c r="N132" s="29">
        <f t="shared" ref="N132" si="288">AVERAGE(G131:G132)</f>
        <v>0.13422368732267326</v>
      </c>
      <c r="O132" s="29">
        <f t="shared" ref="O132" si="289">AVERAGE(H131:H132)</f>
        <v>0</v>
      </c>
      <c r="P132" s="29">
        <f t="shared" ref="P132" si="290">AVERAGE(I131:I132)</f>
        <v>0.57719494141033278</v>
      </c>
      <c r="Q132" s="29">
        <f t="shared" ref="Q132" si="291">AVERAGE(J131:J132)</f>
        <v>3.3032898373498716E-2</v>
      </c>
      <c r="R132" s="29">
        <f t="shared" ref="R132" si="292">AVERAGE(K131:K132)</f>
        <v>0</v>
      </c>
    </row>
    <row r="133" spans="1:18">
      <c r="A133" s="8">
        <v>2</v>
      </c>
      <c r="B133" s="24">
        <v>38428</v>
      </c>
      <c r="C133" s="12">
        <v>2005</v>
      </c>
      <c r="D133" s="11" t="s">
        <v>20</v>
      </c>
      <c r="E133" s="12">
        <v>3</v>
      </c>
      <c r="F133" s="15">
        <v>1.12016</v>
      </c>
      <c r="G133" s="15">
        <v>0.16156920794626586</v>
      </c>
      <c r="H133" s="15">
        <v>0</v>
      </c>
      <c r="I133" s="15">
        <v>0.24335266181546064</v>
      </c>
      <c r="J133" s="15">
        <v>7.7794234249698646E-3</v>
      </c>
      <c r="K133" s="15">
        <v>0</v>
      </c>
    </row>
    <row r="134" spans="1:18">
      <c r="A134" s="8">
        <v>16</v>
      </c>
      <c r="B134" s="24">
        <v>38428</v>
      </c>
      <c r="C134" s="12">
        <v>2005</v>
      </c>
      <c r="D134" s="11" t="s">
        <v>20</v>
      </c>
      <c r="E134" s="12">
        <v>3</v>
      </c>
      <c r="F134" s="15">
        <v>1.08748</v>
      </c>
      <c r="G134" s="15">
        <v>0.21058671824713315</v>
      </c>
      <c r="H134" s="15">
        <v>0</v>
      </c>
      <c r="I134" s="15">
        <v>0.11852538681527564</v>
      </c>
      <c r="J134" s="15">
        <v>5.8393801012338077E-3</v>
      </c>
      <c r="K134" s="15">
        <v>0</v>
      </c>
      <c r="M134" s="29">
        <f>AVERAGE(F133:F134)</f>
        <v>1.10382</v>
      </c>
      <c r="N134" s="29">
        <f t="shared" ref="N134" si="293">AVERAGE(G133:G134)</f>
        <v>0.18607796309669949</v>
      </c>
      <c r="O134" s="29">
        <f t="shared" ref="O134" si="294">AVERAGE(H133:H134)</f>
        <v>0</v>
      </c>
      <c r="P134" s="29">
        <f t="shared" ref="P134" si="295">AVERAGE(I133:I134)</f>
        <v>0.18093902431536812</v>
      </c>
      <c r="Q134" s="29">
        <f t="shared" ref="Q134" si="296">AVERAGE(J133:J134)</f>
        <v>6.8094017631018366E-3</v>
      </c>
      <c r="R134" s="29">
        <f t="shared" ref="R134" si="297">AVERAGE(K133:K134)</f>
        <v>0</v>
      </c>
    </row>
    <row r="135" spans="1:18">
      <c r="A135" s="8">
        <v>2</v>
      </c>
      <c r="B135" s="24">
        <v>38468</v>
      </c>
      <c r="C135" s="12">
        <v>2005</v>
      </c>
      <c r="D135" s="11" t="s">
        <v>21</v>
      </c>
      <c r="E135" s="12">
        <v>4</v>
      </c>
      <c r="F135" s="15">
        <v>3.4178600000000001</v>
      </c>
      <c r="G135" s="15">
        <v>1.3604257420501826E-2</v>
      </c>
      <c r="H135" s="15">
        <v>6.0852529834738857E-2</v>
      </c>
      <c r="I135" s="15">
        <v>1.4967194201384131</v>
      </c>
      <c r="J135" s="15">
        <v>3.6286569352754851E-2</v>
      </c>
      <c r="K135" s="15">
        <v>0</v>
      </c>
    </row>
    <row r="136" spans="1:18">
      <c r="A136" s="8">
        <v>16</v>
      </c>
      <c r="B136" s="24">
        <v>38468</v>
      </c>
      <c r="C136" s="12">
        <v>2005</v>
      </c>
      <c r="D136" s="11" t="s">
        <v>21</v>
      </c>
      <c r="E136" s="12">
        <v>4</v>
      </c>
      <c r="F136" s="15">
        <v>3.3993099999999998</v>
      </c>
      <c r="G136" s="15">
        <v>1.4157899790154747E-2</v>
      </c>
      <c r="H136" s="15">
        <v>4.1917394758639842E-2</v>
      </c>
      <c r="I136" s="15">
        <v>1.5139602861847938</v>
      </c>
      <c r="J136" s="15">
        <v>2.7612899764537419E-2</v>
      </c>
      <c r="K136" s="15">
        <v>0</v>
      </c>
      <c r="M136" s="29">
        <f>AVERAGE(F135:F136)</f>
        <v>3.408585</v>
      </c>
      <c r="N136" s="29">
        <f t="shared" ref="N136" si="298">AVERAGE(G135:G136)</f>
        <v>1.3881078605328286E-2</v>
      </c>
      <c r="O136" s="29">
        <f t="shared" ref="O136" si="299">AVERAGE(H135:H136)</f>
        <v>5.1384962296689346E-2</v>
      </c>
      <c r="P136" s="29">
        <f t="shared" ref="P136" si="300">AVERAGE(I135:I136)</f>
        <v>1.5053398531616033</v>
      </c>
      <c r="Q136" s="29">
        <f t="shared" ref="Q136" si="301">AVERAGE(J135:J136)</f>
        <v>3.1949734558646137E-2</v>
      </c>
      <c r="R136" s="29">
        <f t="shared" ref="R136" si="302">AVERAGE(K135:K136)</f>
        <v>0</v>
      </c>
    </row>
    <row r="137" spans="1:18">
      <c r="A137" s="8">
        <v>2</v>
      </c>
      <c r="B137" s="24">
        <v>38489</v>
      </c>
      <c r="C137" s="12">
        <v>2005</v>
      </c>
      <c r="D137" s="11" t="s">
        <v>22</v>
      </c>
      <c r="E137" s="12">
        <v>5</v>
      </c>
      <c r="F137" s="15">
        <v>8.4405800000000006</v>
      </c>
      <c r="G137" s="15">
        <v>4.5658220608082327E-2</v>
      </c>
      <c r="H137" s="15">
        <v>1.1670740010055471</v>
      </c>
      <c r="I137" s="15">
        <v>3.787496655811974</v>
      </c>
      <c r="J137" s="15">
        <v>7.579153429054783E-2</v>
      </c>
      <c r="K137" s="15">
        <v>0</v>
      </c>
    </row>
    <row r="138" spans="1:18">
      <c r="A138" s="8">
        <v>16</v>
      </c>
      <c r="B138" s="24">
        <v>38489</v>
      </c>
      <c r="C138" s="12">
        <v>2005</v>
      </c>
      <c r="D138" s="11" t="s">
        <v>22</v>
      </c>
      <c r="E138" s="12">
        <v>5</v>
      </c>
      <c r="F138" s="15">
        <v>8.5562199999999997</v>
      </c>
      <c r="G138" s="15">
        <v>5.3426145360376438E-2</v>
      </c>
      <c r="H138" s="15">
        <v>1.1020894258838754</v>
      </c>
      <c r="I138" s="15">
        <v>4.0693693429275539</v>
      </c>
      <c r="J138" s="15">
        <v>5.8748295306824107E-2</v>
      </c>
      <c r="K138" s="15">
        <v>0</v>
      </c>
      <c r="M138" s="29">
        <f>AVERAGE(F137:F138)</f>
        <v>8.4984000000000002</v>
      </c>
      <c r="N138" s="29">
        <f t="shared" ref="N138" si="303">AVERAGE(G137:G138)</f>
        <v>4.9542182984229383E-2</v>
      </c>
      <c r="O138" s="29">
        <f t="shared" ref="O138" si="304">AVERAGE(H137:H138)</f>
        <v>1.1345817134447111</v>
      </c>
      <c r="P138" s="29">
        <f t="shared" ref="P138" si="305">AVERAGE(I137:I138)</f>
        <v>3.9284329993697638</v>
      </c>
      <c r="Q138" s="29">
        <f t="shared" ref="Q138" si="306">AVERAGE(J137:J138)</f>
        <v>6.7269914798685965E-2</v>
      </c>
      <c r="R138" s="29">
        <f t="shared" ref="R138" si="307">AVERAGE(K137:K138)</f>
        <v>0</v>
      </c>
    </row>
    <row r="139" spans="1:18">
      <c r="A139" s="8">
        <v>2</v>
      </c>
      <c r="B139" s="24">
        <v>38517</v>
      </c>
      <c r="C139" s="12">
        <v>2005</v>
      </c>
      <c r="D139" s="11" t="s">
        <v>23</v>
      </c>
      <c r="E139" s="12">
        <v>6</v>
      </c>
      <c r="F139" s="15">
        <v>27.824159999999999</v>
      </c>
      <c r="G139" s="15">
        <v>6.647752668789661E-2</v>
      </c>
      <c r="H139" s="15">
        <v>3.5641820013687329</v>
      </c>
      <c r="I139" s="15">
        <v>7.2676147152786852</v>
      </c>
      <c r="J139" s="15">
        <v>0.92471339230740102</v>
      </c>
      <c r="K139" s="15">
        <v>3.9423314667575753E-2</v>
      </c>
    </row>
    <row r="140" spans="1:18">
      <c r="A140" s="8">
        <v>16</v>
      </c>
      <c r="B140" s="24">
        <v>38518</v>
      </c>
      <c r="C140" s="12">
        <v>2005</v>
      </c>
      <c r="D140" s="11" t="s">
        <v>23</v>
      </c>
      <c r="E140" s="12">
        <v>6</v>
      </c>
      <c r="F140" s="15">
        <v>11.79562</v>
      </c>
      <c r="G140" s="15">
        <v>7.4725624894796699E-2</v>
      </c>
      <c r="H140" s="15">
        <v>0.20136711404013816</v>
      </c>
      <c r="I140" s="15">
        <v>2.3434671466644907</v>
      </c>
      <c r="J140" s="15">
        <v>0.66825868617563433</v>
      </c>
      <c r="K140" s="15">
        <v>1.6924883813850908E-2</v>
      </c>
      <c r="M140" s="29">
        <f>AVERAGE(F139:F140)</f>
        <v>19.809889999999999</v>
      </c>
      <c r="N140" s="29">
        <f t="shared" ref="N140" si="308">AVERAGE(G139:G140)</f>
        <v>7.0601575791346655E-2</v>
      </c>
      <c r="O140" s="29">
        <f t="shared" ref="O140" si="309">AVERAGE(H139:H140)</f>
        <v>1.8827745577044355</v>
      </c>
      <c r="P140" s="29">
        <f t="shared" ref="P140" si="310">AVERAGE(I139:I140)</f>
        <v>4.8055409309715884</v>
      </c>
      <c r="Q140" s="29">
        <f t="shared" ref="Q140" si="311">AVERAGE(J139:J140)</f>
        <v>0.79648603924151762</v>
      </c>
      <c r="R140" s="29">
        <f t="shared" ref="R140" si="312">AVERAGE(K139:K140)</f>
        <v>2.8174099240713332E-2</v>
      </c>
    </row>
    <row r="141" spans="1:18">
      <c r="A141" s="8">
        <v>2</v>
      </c>
      <c r="B141" s="24">
        <v>38547</v>
      </c>
      <c r="C141" s="12">
        <v>2005</v>
      </c>
      <c r="D141" s="16" t="s">
        <v>24</v>
      </c>
      <c r="E141" s="12">
        <v>7</v>
      </c>
      <c r="F141" s="15">
        <v>15.015750000000001</v>
      </c>
      <c r="G141" s="15">
        <v>0.18386253331851815</v>
      </c>
      <c r="H141" s="15">
        <v>0</v>
      </c>
      <c r="I141" s="15">
        <v>1.8213964749577989</v>
      </c>
      <c r="J141" s="15">
        <v>1.3750777901535156</v>
      </c>
      <c r="K141" s="15">
        <v>7.0539539137084916E-3</v>
      </c>
    </row>
    <row r="142" spans="1:18">
      <c r="A142" s="8">
        <v>16</v>
      </c>
      <c r="B142" s="24">
        <v>38547</v>
      </c>
      <c r="C142" s="12">
        <v>2005</v>
      </c>
      <c r="D142" s="16" t="s">
        <v>24</v>
      </c>
      <c r="E142" s="12">
        <v>7</v>
      </c>
      <c r="F142" s="15">
        <v>14.90771</v>
      </c>
      <c r="G142" s="15">
        <v>0.34415764751863437</v>
      </c>
      <c r="H142" s="15">
        <v>0</v>
      </c>
      <c r="I142" s="15">
        <v>1.8933633202295186</v>
      </c>
      <c r="J142" s="15">
        <v>1.3329755896878075</v>
      </c>
      <c r="K142" s="15">
        <v>2.7736675207469263E-2</v>
      </c>
      <c r="M142" s="29">
        <f>AVERAGE(F141:F142)</f>
        <v>14.961729999999999</v>
      </c>
      <c r="N142" s="29">
        <f t="shared" ref="N142" si="313">AVERAGE(G141:G142)</f>
        <v>0.26401009041857626</v>
      </c>
      <c r="O142" s="29">
        <f t="shared" ref="O142" si="314">AVERAGE(H141:H142)</f>
        <v>0</v>
      </c>
      <c r="P142" s="29">
        <f t="shared" ref="P142" si="315">AVERAGE(I141:I142)</f>
        <v>1.8573798975936588</v>
      </c>
      <c r="Q142" s="29">
        <f t="shared" ref="Q142" si="316">AVERAGE(J141:J142)</f>
        <v>1.3540266899206617</v>
      </c>
      <c r="R142" s="29">
        <f t="shared" ref="R142" si="317">AVERAGE(K141:K142)</f>
        <v>1.7395314560588876E-2</v>
      </c>
    </row>
    <row r="143" spans="1:18">
      <c r="A143" s="8">
        <v>2</v>
      </c>
      <c r="B143" s="24">
        <v>38587</v>
      </c>
      <c r="C143" s="12">
        <v>2005</v>
      </c>
      <c r="D143" s="16" t="s">
        <v>25</v>
      </c>
      <c r="E143" s="12">
        <v>8</v>
      </c>
      <c r="F143" s="15">
        <v>15.00104</v>
      </c>
      <c r="G143" s="15">
        <v>0.10971532953347103</v>
      </c>
      <c r="H143" s="15">
        <v>0</v>
      </c>
      <c r="I143" s="15">
        <v>3.3326864957936828</v>
      </c>
      <c r="J143" s="15">
        <v>1.0686465952721076</v>
      </c>
      <c r="K143" s="15">
        <v>0</v>
      </c>
    </row>
    <row r="144" spans="1:18">
      <c r="A144" s="8">
        <v>16</v>
      </c>
      <c r="B144" s="24">
        <v>38588</v>
      </c>
      <c r="C144" s="12">
        <v>2005</v>
      </c>
      <c r="D144" s="16" t="s">
        <v>25</v>
      </c>
      <c r="E144" s="12">
        <v>8</v>
      </c>
      <c r="F144" s="15">
        <v>12.040520000000001</v>
      </c>
      <c r="G144" s="15">
        <v>0.31276793268441266</v>
      </c>
      <c r="H144" s="15">
        <v>0</v>
      </c>
      <c r="I144" s="15">
        <v>2.6079020243684865</v>
      </c>
      <c r="J144" s="15">
        <v>0.91660257044702464</v>
      </c>
      <c r="K144" s="15">
        <v>0</v>
      </c>
      <c r="M144" s="29">
        <f>AVERAGE(F143:F144)</f>
        <v>13.52078</v>
      </c>
      <c r="N144" s="29">
        <f t="shared" ref="N144" si="318">AVERAGE(G143:G144)</f>
        <v>0.21124163110894184</v>
      </c>
      <c r="O144" s="29">
        <f t="shared" ref="O144" si="319">AVERAGE(H143:H144)</f>
        <v>0</v>
      </c>
      <c r="P144" s="29">
        <f t="shared" ref="P144" si="320">AVERAGE(I143:I144)</f>
        <v>2.9702942600810847</v>
      </c>
      <c r="Q144" s="29">
        <f t="shared" ref="Q144" si="321">AVERAGE(J143:J144)</f>
        <v>0.99262458285956612</v>
      </c>
      <c r="R144" s="29">
        <f t="shared" ref="R144" si="322">AVERAGE(K143:K144)</f>
        <v>0</v>
      </c>
    </row>
    <row r="145" spans="1:18">
      <c r="A145" s="8">
        <v>2</v>
      </c>
      <c r="B145" s="24">
        <v>38608</v>
      </c>
      <c r="C145" s="12">
        <v>2005</v>
      </c>
      <c r="D145" s="16" t="s">
        <v>26</v>
      </c>
      <c r="E145" s="12">
        <v>9</v>
      </c>
      <c r="F145" s="15">
        <v>11.77708</v>
      </c>
      <c r="G145" s="15">
        <v>0.13193479512499467</v>
      </c>
      <c r="H145" s="15">
        <v>0</v>
      </c>
      <c r="I145" s="15">
        <v>2.8904033210730491</v>
      </c>
      <c r="J145" s="15">
        <v>0.74574908534311946</v>
      </c>
      <c r="K145" s="15">
        <v>0</v>
      </c>
    </row>
    <row r="146" spans="1:18">
      <c r="A146" s="8">
        <v>16</v>
      </c>
      <c r="B146" s="24">
        <v>38608</v>
      </c>
      <c r="C146" s="12">
        <v>2005</v>
      </c>
      <c r="D146" s="16" t="s">
        <v>26</v>
      </c>
      <c r="E146" s="12">
        <v>9</v>
      </c>
      <c r="F146" s="15">
        <v>13.10258</v>
      </c>
      <c r="G146" s="15">
        <v>0.53538088081771484</v>
      </c>
      <c r="H146" s="15">
        <v>3.4658950124568363E-2</v>
      </c>
      <c r="I146" s="15">
        <v>3.1396457665300233</v>
      </c>
      <c r="J146" s="15">
        <v>0.55729083572926941</v>
      </c>
      <c r="K146" s="15">
        <v>0</v>
      </c>
      <c r="M146" s="29">
        <f>AVERAGE(F145:F146)</f>
        <v>12.439830000000001</v>
      </c>
      <c r="N146" s="29">
        <f t="shared" ref="N146" si="323">AVERAGE(G145:G146)</f>
        <v>0.33365783797135473</v>
      </c>
      <c r="O146" s="29">
        <f t="shared" ref="O146" si="324">AVERAGE(H145:H146)</f>
        <v>1.7329475062284182E-2</v>
      </c>
      <c r="P146" s="29">
        <f t="shared" ref="P146" si="325">AVERAGE(I145:I146)</f>
        <v>3.0150245438015362</v>
      </c>
      <c r="Q146" s="29">
        <f t="shared" ref="Q146" si="326">AVERAGE(J145:J146)</f>
        <v>0.65151996053619443</v>
      </c>
      <c r="R146" s="29">
        <f t="shared" ref="R146" si="327">AVERAGE(K145:K146)</f>
        <v>0</v>
      </c>
    </row>
    <row r="147" spans="1:18">
      <c r="A147" s="8">
        <v>2</v>
      </c>
      <c r="B147" s="24">
        <v>38637</v>
      </c>
      <c r="C147" s="12">
        <v>2005</v>
      </c>
      <c r="D147" s="16" t="s">
        <v>14</v>
      </c>
      <c r="E147" s="12">
        <v>10</v>
      </c>
      <c r="F147" s="15">
        <v>3.4838</v>
      </c>
      <c r="G147" s="15">
        <v>1.9599999999999999E-2</v>
      </c>
      <c r="H147" s="15">
        <v>1E-4</v>
      </c>
      <c r="I147" s="15">
        <v>1.2817000000000001</v>
      </c>
      <c r="J147" s="15">
        <v>0.114</v>
      </c>
      <c r="K147" s="15">
        <v>1E-4</v>
      </c>
    </row>
    <row r="148" spans="1:18">
      <c r="A148" s="8">
        <v>16</v>
      </c>
      <c r="B148" s="24">
        <v>38636</v>
      </c>
      <c r="C148" s="12">
        <v>2005</v>
      </c>
      <c r="D148" s="16" t="s">
        <v>14</v>
      </c>
      <c r="E148" s="12">
        <v>10</v>
      </c>
      <c r="F148" s="15">
        <v>3.7355</v>
      </c>
      <c r="G148" s="15">
        <v>1.09E-2</v>
      </c>
      <c r="H148" s="15">
        <v>1E-4</v>
      </c>
      <c r="I148" s="15">
        <v>1.4303999999999999</v>
      </c>
      <c r="J148" s="15">
        <v>5.04E-2</v>
      </c>
      <c r="K148" s="15">
        <v>1E-4</v>
      </c>
      <c r="M148" s="29">
        <f>AVERAGE(F147:F148)</f>
        <v>3.6096500000000002</v>
      </c>
      <c r="N148" s="29">
        <f t="shared" ref="N148" si="328">AVERAGE(G147:G148)</f>
        <v>1.525E-2</v>
      </c>
      <c r="O148" s="29">
        <f t="shared" ref="O148" si="329">AVERAGE(H147:H148)</f>
        <v>1E-4</v>
      </c>
      <c r="P148" s="29">
        <f t="shared" ref="P148" si="330">AVERAGE(I147:I148)</f>
        <v>1.35605</v>
      </c>
      <c r="Q148" s="29">
        <f t="shared" ref="Q148" si="331">AVERAGE(J147:J148)</f>
        <v>8.2199999999999995E-2</v>
      </c>
      <c r="R148" s="29">
        <f t="shared" ref="R148" si="332">AVERAGE(K147:K148)</f>
        <v>1E-4</v>
      </c>
    </row>
    <row r="149" spans="1:18">
      <c r="A149" s="8">
        <v>2</v>
      </c>
      <c r="B149" s="24">
        <v>38671</v>
      </c>
      <c r="C149" s="12">
        <v>2005</v>
      </c>
      <c r="D149" s="16" t="s">
        <v>16</v>
      </c>
      <c r="E149" s="12">
        <v>11</v>
      </c>
      <c r="F149" s="15">
        <v>3.9666999999999999</v>
      </c>
      <c r="G149" s="15">
        <v>1E-4</v>
      </c>
      <c r="H149" s="15">
        <v>1E-4</v>
      </c>
      <c r="I149" s="15">
        <v>1.1249</v>
      </c>
      <c r="J149" s="15">
        <v>1.1599999999999999E-2</v>
      </c>
      <c r="K149" s="15">
        <v>1E-4</v>
      </c>
    </row>
    <row r="150" spans="1:18">
      <c r="A150" s="8">
        <v>16</v>
      </c>
      <c r="B150" s="24">
        <v>38671</v>
      </c>
      <c r="C150" s="12">
        <v>2005</v>
      </c>
      <c r="D150" s="16" t="s">
        <v>16</v>
      </c>
      <c r="E150" s="12">
        <v>11</v>
      </c>
      <c r="F150" s="15">
        <v>4.5237999999999996</v>
      </c>
      <c r="G150" s="15">
        <v>1.23E-2</v>
      </c>
      <c r="H150" s="15">
        <v>0.16259999999999999</v>
      </c>
      <c r="I150" s="15">
        <v>1.798</v>
      </c>
      <c r="J150" s="15">
        <v>3.2300000000000002E-2</v>
      </c>
      <c r="K150" s="15">
        <v>1E-4</v>
      </c>
      <c r="M150" s="29">
        <f>AVERAGE(F149:F150)</f>
        <v>4.2452499999999995</v>
      </c>
      <c r="N150" s="29">
        <f t="shared" ref="N150" si="333">AVERAGE(G149:G150)</f>
        <v>6.1999999999999998E-3</v>
      </c>
      <c r="O150" s="29">
        <f t="shared" ref="O150" si="334">AVERAGE(H149:H150)</f>
        <v>8.1349999999999992E-2</v>
      </c>
      <c r="P150" s="29">
        <f t="shared" ref="P150" si="335">AVERAGE(I149:I150)</f>
        <v>1.4614500000000001</v>
      </c>
      <c r="Q150" s="29">
        <f t="shared" ref="Q150" si="336">AVERAGE(J149:J150)</f>
        <v>2.1950000000000001E-2</v>
      </c>
      <c r="R150" s="29">
        <f t="shared" ref="R150" si="337">AVERAGE(K149:K150)</f>
        <v>1E-4</v>
      </c>
    </row>
    <row r="151" spans="1:18">
      <c r="A151" s="8">
        <v>2</v>
      </c>
      <c r="B151" s="24">
        <v>38707</v>
      </c>
      <c r="C151" s="12">
        <v>2005</v>
      </c>
      <c r="D151" s="16" t="s">
        <v>17</v>
      </c>
      <c r="E151" s="12">
        <v>12</v>
      </c>
      <c r="F151" s="15">
        <v>2.8999000000000001</v>
      </c>
      <c r="G151" s="15">
        <v>1.7600000000000001E-2</v>
      </c>
      <c r="H151" s="15">
        <v>1E-4</v>
      </c>
      <c r="I151" s="15">
        <v>0.84099999999999997</v>
      </c>
      <c r="J151" s="15">
        <v>1.0500000000000001E-2</v>
      </c>
      <c r="K151" s="15">
        <v>1E-4</v>
      </c>
    </row>
    <row r="152" spans="1:18">
      <c r="A152" s="8">
        <v>16</v>
      </c>
      <c r="B152" s="24">
        <v>38707</v>
      </c>
      <c r="C152" s="12">
        <v>2005</v>
      </c>
      <c r="D152" s="16" t="s">
        <v>17</v>
      </c>
      <c r="E152" s="12">
        <v>12</v>
      </c>
      <c r="F152" s="15">
        <v>2.8738000000000001</v>
      </c>
      <c r="G152" s="15">
        <v>2.6599999999999999E-2</v>
      </c>
      <c r="H152" s="15">
        <v>1E-4</v>
      </c>
      <c r="I152" s="15">
        <v>0.72509999999999997</v>
      </c>
      <c r="J152" s="15">
        <v>1.2699999999999999E-2</v>
      </c>
      <c r="K152" s="15">
        <v>1E-4</v>
      </c>
      <c r="M152" s="29">
        <f>AVERAGE(F151:F152)</f>
        <v>2.8868499999999999</v>
      </c>
      <c r="N152" s="29">
        <f t="shared" ref="N152" si="338">AVERAGE(G151:G152)</f>
        <v>2.2100000000000002E-2</v>
      </c>
      <c r="O152" s="29">
        <f t="shared" ref="O152" si="339">AVERAGE(H151:H152)</f>
        <v>1E-4</v>
      </c>
      <c r="P152" s="29">
        <f t="shared" ref="P152" si="340">AVERAGE(I151:I152)</f>
        <v>0.78305000000000002</v>
      </c>
      <c r="Q152" s="29">
        <f t="shared" ref="Q152" si="341">AVERAGE(J151:J152)</f>
        <v>1.1599999999999999E-2</v>
      </c>
      <c r="R152" s="29">
        <f t="shared" ref="R152" si="342">AVERAGE(K151:K152)</f>
        <v>1E-4</v>
      </c>
    </row>
    <row r="153" spans="1:18">
      <c r="A153" s="12">
        <v>2</v>
      </c>
      <c r="B153" s="24">
        <v>38734</v>
      </c>
      <c r="C153" s="12">
        <v>2006</v>
      </c>
      <c r="D153" s="11" t="s">
        <v>18</v>
      </c>
      <c r="E153" s="12">
        <v>1</v>
      </c>
      <c r="F153" s="15">
        <v>8.8552999999999997</v>
      </c>
      <c r="G153" s="15">
        <v>0.1082</v>
      </c>
      <c r="H153" s="15">
        <v>1E-4</v>
      </c>
      <c r="I153" s="15">
        <v>3.2823000000000002</v>
      </c>
      <c r="J153" s="15">
        <v>2.23E-2</v>
      </c>
      <c r="K153" s="15">
        <v>1E-4</v>
      </c>
    </row>
    <row r="154" spans="1:18">
      <c r="A154" s="12">
        <v>16</v>
      </c>
      <c r="B154" s="24">
        <v>38734</v>
      </c>
      <c r="C154" s="12">
        <v>2006</v>
      </c>
      <c r="D154" s="11" t="s">
        <v>18</v>
      </c>
      <c r="E154" s="12">
        <v>1</v>
      </c>
      <c r="F154" s="15">
        <v>6.5289000000000001</v>
      </c>
      <c r="G154" s="15">
        <v>8.43E-2</v>
      </c>
      <c r="H154" s="15">
        <v>1E-4</v>
      </c>
      <c r="I154" s="15">
        <v>2.4308000000000001</v>
      </c>
      <c r="J154" s="15">
        <v>3.2599999999999997E-2</v>
      </c>
      <c r="K154" s="15">
        <v>1E-4</v>
      </c>
      <c r="M154" s="29">
        <f>AVERAGE(F153:F154)</f>
        <v>7.6920999999999999</v>
      </c>
      <c r="N154" s="29">
        <f t="shared" ref="N154" si="343">AVERAGE(G153:G154)</f>
        <v>9.6250000000000002E-2</v>
      </c>
      <c r="O154" s="29">
        <f t="shared" ref="O154" si="344">AVERAGE(H153:H154)</f>
        <v>1E-4</v>
      </c>
      <c r="P154" s="29">
        <f t="shared" ref="P154" si="345">AVERAGE(I153:I154)</f>
        <v>2.8565500000000004</v>
      </c>
      <c r="Q154" s="29">
        <f t="shared" ref="Q154" si="346">AVERAGE(J153:J154)</f>
        <v>2.7449999999999999E-2</v>
      </c>
      <c r="R154" s="29">
        <f t="shared" ref="R154" si="347">AVERAGE(K153:K154)</f>
        <v>1E-4</v>
      </c>
    </row>
    <row r="155" spans="1:18">
      <c r="A155" s="12">
        <v>2</v>
      </c>
      <c r="B155" s="24">
        <v>38762</v>
      </c>
      <c r="C155" s="16">
        <v>2006</v>
      </c>
      <c r="D155" s="11" t="s">
        <v>28</v>
      </c>
      <c r="E155" s="16">
        <v>2</v>
      </c>
      <c r="F155" s="15">
        <v>7.7049000000000003</v>
      </c>
      <c r="G155" s="15">
        <v>3.0499999999999999E-2</v>
      </c>
      <c r="H155" s="15">
        <v>5.7299999999999997E-2</v>
      </c>
      <c r="I155" s="15">
        <v>2.3563999999999998</v>
      </c>
      <c r="J155" s="15">
        <v>5.2600000000000001E-2</v>
      </c>
      <c r="K155" s="15">
        <v>1E-4</v>
      </c>
    </row>
    <row r="156" spans="1:18">
      <c r="A156" s="12">
        <v>16</v>
      </c>
      <c r="B156" s="24">
        <v>38762</v>
      </c>
      <c r="C156" s="16">
        <v>2006</v>
      </c>
      <c r="D156" s="11" t="s">
        <v>28</v>
      </c>
      <c r="E156" s="16">
        <v>2</v>
      </c>
      <c r="F156" s="15">
        <v>7.5313999999999997</v>
      </c>
      <c r="G156" s="15">
        <v>5.4199999999999998E-2</v>
      </c>
      <c r="H156" s="15">
        <v>4.5999999999999999E-2</v>
      </c>
      <c r="I156" s="15">
        <v>2.2690000000000001</v>
      </c>
      <c r="J156" s="15">
        <v>5.7000000000000002E-2</v>
      </c>
      <c r="K156" s="15">
        <v>1E-4</v>
      </c>
      <c r="M156" s="29">
        <f>AVERAGE(F155:F156)</f>
        <v>7.61815</v>
      </c>
      <c r="N156" s="29">
        <f t="shared" ref="N156" si="348">AVERAGE(G155:G156)</f>
        <v>4.2349999999999999E-2</v>
      </c>
      <c r="O156" s="29">
        <f t="shared" ref="O156" si="349">AVERAGE(H155:H156)</f>
        <v>5.1650000000000001E-2</v>
      </c>
      <c r="P156" s="29">
        <f t="shared" ref="P156" si="350">AVERAGE(I155:I156)</f>
        <v>2.3127</v>
      </c>
      <c r="Q156" s="29">
        <f t="shared" ref="Q156" si="351">AVERAGE(J155:J156)</f>
        <v>5.4800000000000001E-2</v>
      </c>
      <c r="R156" s="29">
        <f t="shared" ref="R156" si="352">AVERAGE(K155:K156)</f>
        <v>1E-4</v>
      </c>
    </row>
    <row r="157" spans="1:18">
      <c r="A157" s="12">
        <v>2</v>
      </c>
      <c r="B157" s="24">
        <v>38789</v>
      </c>
      <c r="C157" s="12">
        <v>2006</v>
      </c>
      <c r="D157" s="11" t="s">
        <v>29</v>
      </c>
      <c r="E157" s="16">
        <v>3</v>
      </c>
      <c r="F157" s="15">
        <v>7.3952</v>
      </c>
      <c r="G157" s="15">
        <v>1E-4</v>
      </c>
      <c r="H157" s="15">
        <v>0.17330000000000001</v>
      </c>
      <c r="I157" s="15">
        <v>2.6539999999999999</v>
      </c>
      <c r="J157" s="15">
        <v>4.3200000000000002E-2</v>
      </c>
      <c r="K157" s="15">
        <v>1E-4</v>
      </c>
    </row>
    <row r="158" spans="1:18">
      <c r="A158" s="12">
        <v>16</v>
      </c>
      <c r="B158" s="24">
        <v>38789</v>
      </c>
      <c r="C158" s="12">
        <v>2006</v>
      </c>
      <c r="D158" s="11" t="s">
        <v>29</v>
      </c>
      <c r="E158" s="16">
        <v>3</v>
      </c>
      <c r="F158" s="15">
        <v>7.0606999999999998</v>
      </c>
      <c r="G158" s="15">
        <v>1E-4</v>
      </c>
      <c r="H158" s="15">
        <v>0.1206</v>
      </c>
      <c r="I158" s="15">
        <v>2.5817999999999999</v>
      </c>
      <c r="J158" s="15">
        <v>3.2399999999999998E-2</v>
      </c>
      <c r="K158" s="15">
        <v>1E-4</v>
      </c>
      <c r="M158" s="29">
        <f>AVERAGE(F157:F158)</f>
        <v>7.2279499999999999</v>
      </c>
      <c r="N158" s="29">
        <f t="shared" ref="N158" si="353">AVERAGE(G157:G158)</f>
        <v>1E-4</v>
      </c>
      <c r="O158" s="29">
        <f t="shared" ref="O158" si="354">AVERAGE(H157:H158)</f>
        <v>0.14695</v>
      </c>
      <c r="P158" s="29">
        <f t="shared" ref="P158" si="355">AVERAGE(I157:I158)</f>
        <v>2.6178999999999997</v>
      </c>
      <c r="Q158" s="29">
        <f t="shared" ref="Q158" si="356">AVERAGE(J157:J158)</f>
        <v>3.78E-2</v>
      </c>
      <c r="R158" s="29">
        <f t="shared" ref="R158" si="357">AVERAGE(K157:K158)</f>
        <v>1E-4</v>
      </c>
    </row>
    <row r="159" spans="1:18">
      <c r="A159" s="12">
        <v>2</v>
      </c>
      <c r="B159" s="9">
        <v>38825</v>
      </c>
      <c r="C159" s="12">
        <v>2006</v>
      </c>
      <c r="D159" s="11" t="s">
        <v>30</v>
      </c>
      <c r="E159" s="12">
        <v>4</v>
      </c>
      <c r="F159" s="15">
        <v>2.0038999999999998</v>
      </c>
      <c r="G159" s="15">
        <v>1.5299999999999999E-2</v>
      </c>
      <c r="H159" s="15">
        <v>2.81E-2</v>
      </c>
      <c r="I159" s="15">
        <v>0.75600000000000001</v>
      </c>
      <c r="J159" s="15">
        <v>3.2899999999999999E-2</v>
      </c>
      <c r="K159" s="15">
        <v>1E-4</v>
      </c>
    </row>
    <row r="160" spans="1:18">
      <c r="A160" s="12">
        <v>16</v>
      </c>
      <c r="B160" s="9">
        <v>38825</v>
      </c>
      <c r="C160" s="12">
        <v>2006</v>
      </c>
      <c r="D160" s="11" t="s">
        <v>30</v>
      </c>
      <c r="E160" s="12">
        <v>4</v>
      </c>
      <c r="F160" s="15">
        <v>2.5667</v>
      </c>
      <c r="G160" s="15">
        <v>1.5900000000000001E-2</v>
      </c>
      <c r="H160" s="15">
        <v>6.3200000000000006E-2</v>
      </c>
      <c r="I160" s="15">
        <v>0.755</v>
      </c>
      <c r="J160" s="15">
        <v>4.4400000000000002E-2</v>
      </c>
      <c r="K160" s="15">
        <v>1E-4</v>
      </c>
      <c r="M160" s="29">
        <f>AVERAGE(F159:F160)</f>
        <v>2.2852999999999999</v>
      </c>
      <c r="N160" s="29">
        <f t="shared" ref="N160" si="358">AVERAGE(G159:G160)</f>
        <v>1.5599999999999999E-2</v>
      </c>
      <c r="O160" s="29">
        <f t="shared" ref="O160" si="359">AVERAGE(H159:H160)</f>
        <v>4.5650000000000003E-2</v>
      </c>
      <c r="P160" s="29">
        <f t="shared" ref="P160" si="360">AVERAGE(I159:I160)</f>
        <v>0.75550000000000006</v>
      </c>
      <c r="Q160" s="29">
        <f t="shared" ref="Q160" si="361">AVERAGE(J159:J160)</f>
        <v>3.8650000000000004E-2</v>
      </c>
      <c r="R160" s="29">
        <f t="shared" ref="R160" si="362">AVERAGE(K159:K160)</f>
        <v>1E-4</v>
      </c>
    </row>
    <row r="161" spans="1:18">
      <c r="A161" s="12">
        <v>2</v>
      </c>
      <c r="B161" s="9">
        <v>38852</v>
      </c>
      <c r="C161" s="12">
        <v>2006</v>
      </c>
      <c r="D161" s="11" t="s">
        <v>31</v>
      </c>
      <c r="E161" s="12">
        <v>5</v>
      </c>
      <c r="F161" s="15">
        <v>0.93030000000000002</v>
      </c>
      <c r="G161" s="15">
        <v>1.15E-2</v>
      </c>
      <c r="H161" s="15">
        <v>1E-4</v>
      </c>
      <c r="I161" s="15">
        <v>0.19259999999999999</v>
      </c>
      <c r="J161" s="15">
        <v>8.9999999999999993E-3</v>
      </c>
      <c r="K161" s="15">
        <v>1E-4</v>
      </c>
    </row>
    <row r="162" spans="1:18">
      <c r="A162" s="12">
        <v>16</v>
      </c>
      <c r="B162" s="9">
        <v>38852</v>
      </c>
      <c r="C162" s="12">
        <v>2006</v>
      </c>
      <c r="D162" s="11" t="s">
        <v>31</v>
      </c>
      <c r="E162" s="12">
        <v>5</v>
      </c>
      <c r="F162" s="15">
        <v>1.3180000000000001</v>
      </c>
      <c r="G162" s="15">
        <v>1E-4</v>
      </c>
      <c r="H162" s="15">
        <v>1E-4</v>
      </c>
      <c r="I162" s="15">
        <v>0.23050000000000001</v>
      </c>
      <c r="J162" s="15">
        <v>8.3999999999999995E-3</v>
      </c>
      <c r="K162" s="15">
        <v>1E-4</v>
      </c>
      <c r="M162" s="29">
        <f>AVERAGE(F161:F162)</f>
        <v>1.12415</v>
      </c>
      <c r="N162" s="29">
        <f t="shared" ref="N162" si="363">AVERAGE(G161:G162)</f>
        <v>5.7999999999999996E-3</v>
      </c>
      <c r="O162" s="29">
        <f t="shared" ref="O162" si="364">AVERAGE(H161:H162)</f>
        <v>1E-4</v>
      </c>
      <c r="P162" s="29">
        <f t="shared" ref="P162" si="365">AVERAGE(I161:I162)</f>
        <v>0.21155000000000002</v>
      </c>
      <c r="Q162" s="29">
        <f t="shared" ref="Q162" si="366">AVERAGE(J161:J162)</f>
        <v>8.6999999999999994E-3</v>
      </c>
      <c r="R162" s="29">
        <f t="shared" ref="R162" si="367">AVERAGE(K161:K162)</f>
        <v>1E-4</v>
      </c>
    </row>
    <row r="163" spans="1:18">
      <c r="A163" s="12">
        <v>2</v>
      </c>
      <c r="B163" s="9">
        <v>38883</v>
      </c>
      <c r="C163" s="12">
        <v>2006</v>
      </c>
      <c r="D163" s="11" t="s">
        <v>32</v>
      </c>
      <c r="E163" s="12">
        <v>6</v>
      </c>
      <c r="F163" s="15">
        <v>13.7333</v>
      </c>
      <c r="G163" s="15">
        <v>0.1119</v>
      </c>
      <c r="H163" s="15">
        <v>1.3374999999999999</v>
      </c>
      <c r="I163" s="15">
        <v>6.03</v>
      </c>
      <c r="J163" s="15">
        <v>0.3624</v>
      </c>
      <c r="K163" s="15">
        <v>1E-4</v>
      </c>
    </row>
    <row r="164" spans="1:18">
      <c r="A164" s="12">
        <v>16</v>
      </c>
      <c r="B164" s="9">
        <v>38883</v>
      </c>
      <c r="C164" s="12">
        <v>2006</v>
      </c>
      <c r="D164" s="11" t="s">
        <v>32</v>
      </c>
      <c r="E164" s="12">
        <v>6</v>
      </c>
      <c r="F164" s="15">
        <v>20.088100000000001</v>
      </c>
      <c r="G164" s="15">
        <v>1E-4</v>
      </c>
      <c r="H164" s="15">
        <v>1.232</v>
      </c>
      <c r="I164" s="15">
        <v>9.5981000000000005</v>
      </c>
      <c r="J164" s="15">
        <v>0.45450000000000002</v>
      </c>
      <c r="K164" s="15">
        <v>1E-4</v>
      </c>
      <c r="M164" s="29">
        <f>AVERAGE(F163:F164)</f>
        <v>16.910699999999999</v>
      </c>
      <c r="N164" s="29">
        <f t="shared" ref="N164" si="368">AVERAGE(G163:G164)</f>
        <v>5.6000000000000001E-2</v>
      </c>
      <c r="O164" s="29">
        <f t="shared" ref="O164" si="369">AVERAGE(H163:H164)</f>
        <v>1.2847499999999998</v>
      </c>
      <c r="P164" s="29">
        <f t="shared" ref="P164" si="370">AVERAGE(I163:I164)</f>
        <v>7.8140499999999999</v>
      </c>
      <c r="Q164" s="29">
        <f t="shared" ref="Q164" si="371">AVERAGE(J163:J164)</f>
        <v>0.40844999999999998</v>
      </c>
      <c r="R164" s="29">
        <f t="shared" ref="R164" si="372">AVERAGE(K163:K164)</f>
        <v>1E-4</v>
      </c>
    </row>
    <row r="165" spans="1:18">
      <c r="A165" s="12">
        <v>2</v>
      </c>
      <c r="B165" s="9">
        <v>38916</v>
      </c>
      <c r="C165" s="12">
        <v>2006</v>
      </c>
      <c r="D165" s="11" t="s">
        <v>33</v>
      </c>
      <c r="E165" s="12">
        <v>7</v>
      </c>
      <c r="F165" s="15">
        <v>16.374400000000001</v>
      </c>
      <c r="G165" s="15">
        <v>5.5399999999999998E-2</v>
      </c>
      <c r="H165" s="15">
        <v>1E-4</v>
      </c>
      <c r="I165" s="15">
        <v>1.3028</v>
      </c>
      <c r="J165" s="15">
        <v>2.1</v>
      </c>
      <c r="K165" s="15">
        <v>1E-4</v>
      </c>
    </row>
    <row r="166" spans="1:18">
      <c r="A166" s="12">
        <v>16</v>
      </c>
      <c r="B166" s="9">
        <v>38916</v>
      </c>
      <c r="C166" s="12">
        <v>2006</v>
      </c>
      <c r="D166" s="11" t="s">
        <v>33</v>
      </c>
      <c r="E166" s="12">
        <v>7</v>
      </c>
      <c r="F166" s="15">
        <v>13.152699999999999</v>
      </c>
      <c r="G166" s="15">
        <v>6.2E-2</v>
      </c>
      <c r="H166" s="15">
        <v>1E-4</v>
      </c>
      <c r="I166" s="15">
        <v>1.2091000000000001</v>
      </c>
      <c r="J166" s="15">
        <v>1.8488</v>
      </c>
      <c r="K166" s="15">
        <v>1E-4</v>
      </c>
      <c r="M166" s="29">
        <f>AVERAGE(F165:F166)</f>
        <v>14.76355</v>
      </c>
      <c r="N166" s="29">
        <f t="shared" ref="N166" si="373">AVERAGE(G165:G166)</f>
        <v>5.8700000000000002E-2</v>
      </c>
      <c r="O166" s="29">
        <f t="shared" ref="O166" si="374">AVERAGE(H165:H166)</f>
        <v>1E-4</v>
      </c>
      <c r="P166" s="29">
        <f t="shared" ref="P166" si="375">AVERAGE(I165:I166)</f>
        <v>1.2559499999999999</v>
      </c>
      <c r="Q166" s="29">
        <f t="shared" ref="Q166" si="376">AVERAGE(J165:J166)</f>
        <v>1.9744000000000002</v>
      </c>
      <c r="R166" s="29">
        <f t="shared" ref="R166" si="377">AVERAGE(K165:K166)</f>
        <v>1E-4</v>
      </c>
    </row>
    <row r="167" spans="1:18">
      <c r="A167" s="12">
        <v>2</v>
      </c>
      <c r="B167" s="9">
        <v>38953</v>
      </c>
      <c r="C167" s="12">
        <v>2006</v>
      </c>
      <c r="D167" s="11" t="s">
        <v>34</v>
      </c>
      <c r="E167" s="12">
        <v>8</v>
      </c>
      <c r="F167" s="15">
        <v>13.5991</v>
      </c>
      <c r="G167" s="15">
        <v>0.10009999999999999</v>
      </c>
      <c r="H167" s="15">
        <v>1E-4</v>
      </c>
      <c r="I167" s="15">
        <v>2.0367000000000002</v>
      </c>
      <c r="J167" s="15">
        <v>1.698</v>
      </c>
      <c r="K167" s="15">
        <v>1E-4</v>
      </c>
    </row>
    <row r="168" spans="1:18">
      <c r="A168" s="12">
        <v>16</v>
      </c>
      <c r="B168" s="9">
        <v>38953</v>
      </c>
      <c r="C168" s="12">
        <v>2006</v>
      </c>
      <c r="D168" s="11" t="s">
        <v>34</v>
      </c>
      <c r="E168" s="12">
        <v>8</v>
      </c>
      <c r="F168" s="15">
        <v>15.647600000000001</v>
      </c>
      <c r="G168" s="15">
        <v>0.32169999999999999</v>
      </c>
      <c r="H168" s="15">
        <v>1E-4</v>
      </c>
      <c r="I168" s="15">
        <v>3.7646000000000002</v>
      </c>
      <c r="J168" s="15">
        <v>1.3992</v>
      </c>
      <c r="K168" s="15">
        <v>1E-4</v>
      </c>
      <c r="M168" s="29">
        <f>AVERAGE(F167:F168)</f>
        <v>14.62335</v>
      </c>
      <c r="N168" s="29">
        <f t="shared" ref="N168" si="378">AVERAGE(G167:G168)</f>
        <v>0.21089999999999998</v>
      </c>
      <c r="O168" s="29">
        <f t="shared" ref="O168" si="379">AVERAGE(H167:H168)</f>
        <v>1E-4</v>
      </c>
      <c r="P168" s="29">
        <f t="shared" ref="P168" si="380">AVERAGE(I167:I168)</f>
        <v>2.9006500000000002</v>
      </c>
      <c r="Q168" s="29">
        <f t="shared" ref="Q168" si="381">AVERAGE(J167:J168)</f>
        <v>1.5486</v>
      </c>
      <c r="R168" s="29">
        <f t="shared" ref="R168" si="382">AVERAGE(K167:K168)</f>
        <v>1E-4</v>
      </c>
    </row>
    <row r="169" spans="1:18">
      <c r="A169" s="12">
        <v>2</v>
      </c>
      <c r="B169" s="9">
        <v>38972</v>
      </c>
      <c r="C169" s="12">
        <v>2006</v>
      </c>
      <c r="D169" s="11" t="s">
        <v>35</v>
      </c>
      <c r="E169" s="12">
        <v>9</v>
      </c>
      <c r="F169" s="15">
        <v>3.3815</v>
      </c>
      <c r="G169" s="15">
        <v>1.9300000000000001E-2</v>
      </c>
      <c r="H169" s="15">
        <v>1E-4</v>
      </c>
      <c r="I169" s="15">
        <v>1.1519999999999999</v>
      </c>
      <c r="J169" s="15">
        <v>5.9700000000000003E-2</v>
      </c>
      <c r="K169" s="15">
        <v>1E-4</v>
      </c>
    </row>
    <row r="170" spans="1:18">
      <c r="A170" s="12">
        <v>16</v>
      </c>
      <c r="B170" s="9">
        <v>38972</v>
      </c>
      <c r="C170" s="12">
        <v>2006</v>
      </c>
      <c r="D170" s="11" t="s">
        <v>35</v>
      </c>
      <c r="E170" s="12">
        <v>9</v>
      </c>
      <c r="F170" s="15">
        <v>5.4568000000000003</v>
      </c>
      <c r="G170" s="15">
        <v>2.06E-2</v>
      </c>
      <c r="H170" s="15">
        <v>1E-4</v>
      </c>
      <c r="I170" s="15">
        <v>1.9071</v>
      </c>
      <c r="J170" s="15">
        <v>6.2399999999999997E-2</v>
      </c>
      <c r="K170" s="15">
        <v>1E-4</v>
      </c>
      <c r="M170" s="29">
        <f>AVERAGE(F169:F170)</f>
        <v>4.4191500000000001</v>
      </c>
      <c r="N170" s="29">
        <f t="shared" ref="N170" si="383">AVERAGE(G169:G170)</f>
        <v>1.9950000000000002E-2</v>
      </c>
      <c r="O170" s="29">
        <f t="shared" ref="O170" si="384">AVERAGE(H169:H170)</f>
        <v>1E-4</v>
      </c>
      <c r="P170" s="29">
        <f t="shared" ref="P170" si="385">AVERAGE(I169:I170)</f>
        <v>1.52955</v>
      </c>
      <c r="Q170" s="29">
        <f t="shared" ref="Q170" si="386">AVERAGE(J169:J170)</f>
        <v>6.105E-2</v>
      </c>
      <c r="R170" s="29">
        <f t="shared" ref="R170" si="387">AVERAGE(K169:K170)</f>
        <v>1E-4</v>
      </c>
    </row>
    <row r="171" spans="1:18">
      <c r="A171" s="12">
        <v>2</v>
      </c>
      <c r="B171" s="9">
        <v>39009</v>
      </c>
      <c r="C171" s="12">
        <v>2006</v>
      </c>
      <c r="D171" s="11" t="s">
        <v>36</v>
      </c>
      <c r="E171" s="12">
        <v>10</v>
      </c>
      <c r="F171" s="15">
        <v>7.5449999999999999</v>
      </c>
      <c r="G171" s="15">
        <v>9.9989999999999996E-4</v>
      </c>
      <c r="H171" s="15">
        <v>0.53300000000000003</v>
      </c>
      <c r="I171" s="15">
        <v>3.82</v>
      </c>
      <c r="J171" s="15">
        <v>0.218</v>
      </c>
      <c r="K171" s="15">
        <v>9.9989999999999996E-4</v>
      </c>
    </row>
    <row r="172" spans="1:18">
      <c r="A172" s="12">
        <v>16</v>
      </c>
      <c r="B172" s="9">
        <v>39008</v>
      </c>
      <c r="C172" s="12">
        <v>2006</v>
      </c>
      <c r="D172" s="11" t="s">
        <v>36</v>
      </c>
      <c r="E172" s="12">
        <v>10</v>
      </c>
      <c r="F172" s="15">
        <v>23.14</v>
      </c>
      <c r="G172" s="15">
        <v>9.9989999999999996E-4</v>
      </c>
      <c r="H172" s="15">
        <v>1.675</v>
      </c>
      <c r="I172" s="15">
        <v>10.865</v>
      </c>
      <c r="J172" s="15">
        <v>1.0549999999999999</v>
      </c>
      <c r="K172" s="15">
        <v>9.9989999999999996E-4</v>
      </c>
      <c r="M172" s="29">
        <f>AVERAGE(F171:F172)</f>
        <v>15.342500000000001</v>
      </c>
      <c r="N172" s="29">
        <f t="shared" ref="N172" si="388">AVERAGE(G171:G172)</f>
        <v>9.9989999999999996E-4</v>
      </c>
      <c r="O172" s="29">
        <f t="shared" ref="O172" si="389">AVERAGE(H171:H172)</f>
        <v>1.1040000000000001</v>
      </c>
      <c r="P172" s="29">
        <f t="shared" ref="P172" si="390">AVERAGE(I171:I172)</f>
        <v>7.3425000000000002</v>
      </c>
      <c r="Q172" s="29">
        <f t="shared" ref="Q172" si="391">AVERAGE(J171:J172)</f>
        <v>0.63649999999999995</v>
      </c>
      <c r="R172" s="29">
        <f t="shared" ref="R172" si="392">AVERAGE(K171:K172)</f>
        <v>9.9989999999999996E-4</v>
      </c>
    </row>
    <row r="173" spans="1:18">
      <c r="A173" s="12">
        <v>2</v>
      </c>
      <c r="B173" s="9">
        <v>39035</v>
      </c>
      <c r="C173" s="12">
        <v>2006</v>
      </c>
      <c r="D173" s="11" t="s">
        <v>37</v>
      </c>
      <c r="E173" s="12">
        <v>11</v>
      </c>
      <c r="F173" s="15">
        <v>2.8820000000000001</v>
      </c>
      <c r="G173" s="15">
        <v>3.3000000000000002E-2</v>
      </c>
      <c r="H173" s="15">
        <v>9.9989999999999996E-4</v>
      </c>
      <c r="I173" s="15">
        <v>0.79300000000000004</v>
      </c>
      <c r="J173" s="15">
        <v>0.04</v>
      </c>
      <c r="K173" s="15">
        <v>9.9989999999999996E-4</v>
      </c>
    </row>
    <row r="174" spans="1:18">
      <c r="A174" s="12">
        <v>16</v>
      </c>
      <c r="B174" s="9">
        <v>39035</v>
      </c>
      <c r="C174" s="12">
        <v>2006</v>
      </c>
      <c r="D174" s="11" t="s">
        <v>37</v>
      </c>
      <c r="E174" s="12">
        <v>11</v>
      </c>
      <c r="F174" s="15">
        <v>7.0620000000000003</v>
      </c>
      <c r="G174" s="15">
        <v>1.7999999999999999E-2</v>
      </c>
      <c r="H174" s="15">
        <v>0.21299999999999999</v>
      </c>
      <c r="I174" s="15">
        <v>3.1930000000000001</v>
      </c>
      <c r="J174" s="15">
        <v>0.10199999999999999</v>
      </c>
      <c r="K174" s="15">
        <v>9.9989999999999996E-4</v>
      </c>
      <c r="M174" s="29">
        <f>AVERAGE(F173:F174)</f>
        <v>4.9720000000000004</v>
      </c>
      <c r="N174" s="29">
        <f t="shared" ref="N174" si="393">AVERAGE(G173:G174)</f>
        <v>2.5500000000000002E-2</v>
      </c>
      <c r="O174" s="29">
        <f t="shared" ref="O174" si="394">AVERAGE(H173:H174)</f>
        <v>0.10699995</v>
      </c>
      <c r="P174" s="29">
        <f t="shared" ref="P174" si="395">AVERAGE(I173:I174)</f>
        <v>1.9930000000000001</v>
      </c>
      <c r="Q174" s="29">
        <f t="shared" ref="Q174" si="396">AVERAGE(J173:J174)</f>
        <v>7.0999999999999994E-2</v>
      </c>
      <c r="R174" s="29">
        <f t="shared" ref="R174" si="397">AVERAGE(K173:K174)</f>
        <v>9.9989999999999996E-4</v>
      </c>
    </row>
    <row r="175" spans="1:18">
      <c r="A175" s="12">
        <v>2</v>
      </c>
      <c r="B175" s="24">
        <v>39063</v>
      </c>
      <c r="C175" s="16">
        <v>2006</v>
      </c>
      <c r="D175" s="11" t="s">
        <v>38</v>
      </c>
      <c r="E175" s="16">
        <v>12</v>
      </c>
      <c r="F175" s="15">
        <v>5.9379999999999997</v>
      </c>
      <c r="G175" s="15">
        <v>7.2999999999999995E-2</v>
      </c>
      <c r="H175" s="15">
        <v>7.0999999999999994E-2</v>
      </c>
      <c r="I175" s="15">
        <v>2.1909999999999998</v>
      </c>
      <c r="J175" s="15">
        <v>3.1E-2</v>
      </c>
      <c r="K175" s="15">
        <v>9.9989999999999996E-4</v>
      </c>
    </row>
    <row r="176" spans="1:18">
      <c r="A176" s="12">
        <v>16</v>
      </c>
      <c r="B176" s="24">
        <v>39063</v>
      </c>
      <c r="C176" s="16">
        <v>2006</v>
      </c>
      <c r="D176" s="11" t="s">
        <v>38</v>
      </c>
      <c r="E176" s="16">
        <v>12</v>
      </c>
      <c r="F176" s="15">
        <v>12.098000000000001</v>
      </c>
      <c r="G176" s="15">
        <v>0.17699999999999999</v>
      </c>
      <c r="H176" s="15">
        <v>0.90600000000000003</v>
      </c>
      <c r="I176" s="15">
        <v>4.7249999999999996</v>
      </c>
      <c r="J176" s="15">
        <v>0.28999999999999998</v>
      </c>
      <c r="K176" s="15">
        <v>9.9989999999999996E-4</v>
      </c>
      <c r="M176" s="29">
        <f>AVERAGE(F175:F176)</f>
        <v>9.0180000000000007</v>
      </c>
      <c r="N176" s="29">
        <f t="shared" ref="N176" si="398">AVERAGE(G175:G176)</f>
        <v>0.125</v>
      </c>
      <c r="O176" s="29">
        <f t="shared" ref="O176" si="399">AVERAGE(H175:H176)</f>
        <v>0.48849999999999999</v>
      </c>
      <c r="P176" s="29">
        <f t="shared" ref="P176" si="400">AVERAGE(I175:I176)</f>
        <v>3.4579999999999997</v>
      </c>
      <c r="Q176" s="29">
        <f t="shared" ref="Q176" si="401">AVERAGE(J175:J176)</f>
        <v>0.16049999999999998</v>
      </c>
      <c r="R176" s="29">
        <f t="shared" ref="R176" si="402">AVERAGE(K175:K176)</f>
        <v>9.9989999999999996E-4</v>
      </c>
    </row>
    <row r="177" spans="1:18">
      <c r="A177" s="16">
        <v>2</v>
      </c>
      <c r="B177" s="24">
        <v>39098</v>
      </c>
      <c r="C177" s="16">
        <v>2007</v>
      </c>
      <c r="D177" s="11" t="s">
        <v>39</v>
      </c>
      <c r="E177" s="16">
        <v>1</v>
      </c>
      <c r="F177" s="15">
        <v>15.638</v>
      </c>
      <c r="G177" s="15">
        <v>0.17899999999999999</v>
      </c>
      <c r="H177" s="15">
        <v>0.70799999999999996</v>
      </c>
      <c r="I177" s="15">
        <v>7.25</v>
      </c>
      <c r="J177" s="15">
        <v>0.48</v>
      </c>
      <c r="K177" s="15">
        <v>9.9989999999999996E-4</v>
      </c>
    </row>
    <row r="178" spans="1:18">
      <c r="A178" s="16">
        <v>16</v>
      </c>
      <c r="B178" s="24">
        <v>39098</v>
      </c>
      <c r="C178" s="16">
        <v>2007</v>
      </c>
      <c r="D178" s="11" t="s">
        <v>39</v>
      </c>
      <c r="E178" s="16">
        <v>1</v>
      </c>
      <c r="F178" s="15">
        <v>17.384</v>
      </c>
      <c r="G178" s="15">
        <v>0.10199999999999999</v>
      </c>
      <c r="H178" s="15">
        <v>0.35399999999999998</v>
      </c>
      <c r="I178" s="15">
        <v>7.4429999999999996</v>
      </c>
      <c r="J178" s="15">
        <v>0.442</v>
      </c>
      <c r="K178" s="15">
        <v>9.9989999999999996E-4</v>
      </c>
      <c r="M178" s="29">
        <f>AVERAGE(F177:F178)</f>
        <v>16.510999999999999</v>
      </c>
      <c r="N178" s="29">
        <f t="shared" ref="N178" si="403">AVERAGE(G177:G178)</f>
        <v>0.14049999999999999</v>
      </c>
      <c r="O178" s="29">
        <f t="shared" ref="O178" si="404">AVERAGE(H177:H178)</f>
        <v>0.53099999999999992</v>
      </c>
      <c r="P178" s="29">
        <f t="shared" ref="P178" si="405">AVERAGE(I177:I178)</f>
        <v>7.3464999999999998</v>
      </c>
      <c r="Q178" s="29">
        <f t="shared" ref="Q178" si="406">AVERAGE(J177:J178)</f>
        <v>0.46099999999999997</v>
      </c>
      <c r="R178" s="29">
        <f t="shared" ref="R178" si="407">AVERAGE(K177:K178)</f>
        <v>9.9989999999999996E-4</v>
      </c>
    </row>
    <row r="179" spans="1:18">
      <c r="A179" s="16">
        <v>2</v>
      </c>
      <c r="B179" s="24">
        <v>39133</v>
      </c>
      <c r="C179" s="16">
        <v>2007</v>
      </c>
      <c r="D179" s="11" t="s">
        <v>28</v>
      </c>
      <c r="E179" s="16">
        <v>2</v>
      </c>
      <c r="F179" s="15">
        <v>5.827</v>
      </c>
      <c r="G179" s="15">
        <v>8.5999999999999993E-2</v>
      </c>
      <c r="H179" s="15">
        <v>9.9989999999999996E-4</v>
      </c>
      <c r="I179" s="15">
        <v>1.764</v>
      </c>
      <c r="J179" s="15">
        <v>3.6999999999999998E-2</v>
      </c>
      <c r="K179" s="15">
        <v>9.9989999999999996E-4</v>
      </c>
    </row>
    <row r="180" spans="1:18">
      <c r="A180" s="16">
        <v>16</v>
      </c>
      <c r="B180" s="24">
        <v>39134</v>
      </c>
      <c r="C180" s="16">
        <v>2007</v>
      </c>
      <c r="D180" s="11" t="s">
        <v>28</v>
      </c>
      <c r="E180" s="16">
        <v>2</v>
      </c>
      <c r="F180" s="15">
        <v>3.9449999999999998</v>
      </c>
      <c r="G180" s="15">
        <v>5.3999999999999999E-2</v>
      </c>
      <c r="H180" s="15">
        <v>8.9999999999999993E-3</v>
      </c>
      <c r="I180" s="15">
        <v>1.099</v>
      </c>
      <c r="J180" s="15">
        <v>3.7999999999999999E-2</v>
      </c>
      <c r="K180" s="15">
        <v>9.9989999999999996E-4</v>
      </c>
      <c r="M180" s="29">
        <f>AVERAGE(F179:F180)</f>
        <v>4.8860000000000001</v>
      </c>
      <c r="N180" s="29">
        <f t="shared" ref="N180" si="408">AVERAGE(G179:G180)</f>
        <v>6.9999999999999993E-2</v>
      </c>
      <c r="O180" s="29">
        <f t="shared" ref="O180" si="409">AVERAGE(H179:H180)</f>
        <v>4.9999499999999995E-3</v>
      </c>
      <c r="P180" s="29">
        <f t="shared" ref="P180" si="410">AVERAGE(I179:I180)</f>
        <v>1.4315</v>
      </c>
      <c r="Q180" s="29">
        <f t="shared" ref="Q180" si="411">AVERAGE(J179:J180)</f>
        <v>3.7499999999999999E-2</v>
      </c>
      <c r="R180" s="29">
        <f t="shared" ref="R180" si="412">AVERAGE(K179:K180)</f>
        <v>9.9989999999999996E-4</v>
      </c>
    </row>
    <row r="181" spans="1:18">
      <c r="A181" s="16">
        <v>2</v>
      </c>
      <c r="B181" s="24">
        <v>39154</v>
      </c>
      <c r="C181" s="16">
        <v>2007</v>
      </c>
      <c r="D181" s="11" t="s">
        <v>29</v>
      </c>
      <c r="E181" s="16">
        <v>3</v>
      </c>
      <c r="F181" s="15">
        <v>2.7410000000000001</v>
      </c>
      <c r="G181" s="15">
        <v>7.5999999999999998E-2</v>
      </c>
      <c r="H181" s="15">
        <v>9.9989999999999996E-4</v>
      </c>
      <c r="I181" s="15">
        <v>1.0429999999999999</v>
      </c>
      <c r="J181" s="15">
        <v>2.1999999999999999E-2</v>
      </c>
      <c r="K181" s="15">
        <v>9.9989999999999996E-4</v>
      </c>
    </row>
    <row r="182" spans="1:18">
      <c r="A182" s="16">
        <v>16</v>
      </c>
      <c r="B182" s="24">
        <v>39154</v>
      </c>
      <c r="C182" s="16">
        <v>2007</v>
      </c>
      <c r="D182" s="11" t="s">
        <v>29</v>
      </c>
      <c r="E182" s="16">
        <v>3</v>
      </c>
      <c r="F182" s="15">
        <v>2.4710000000000001</v>
      </c>
      <c r="G182" s="15">
        <v>0.109</v>
      </c>
      <c r="H182" s="15">
        <v>9.9989999999999996E-4</v>
      </c>
      <c r="I182" s="15">
        <v>0.84199999999999997</v>
      </c>
      <c r="J182" s="15">
        <v>2.1000000000000001E-2</v>
      </c>
      <c r="K182" s="15">
        <v>9.9989999999999996E-4</v>
      </c>
      <c r="M182" s="29">
        <f>AVERAGE(F181:F182)</f>
        <v>2.6059999999999999</v>
      </c>
      <c r="N182" s="29">
        <f t="shared" ref="N182" si="413">AVERAGE(G181:G182)</f>
        <v>9.2499999999999999E-2</v>
      </c>
      <c r="O182" s="29">
        <f t="shared" ref="O182" si="414">AVERAGE(H181:H182)</f>
        <v>9.9989999999999996E-4</v>
      </c>
      <c r="P182" s="29">
        <f t="shared" ref="P182" si="415">AVERAGE(I181:I182)</f>
        <v>0.94249999999999989</v>
      </c>
      <c r="Q182" s="29">
        <f t="shared" ref="Q182" si="416">AVERAGE(J181:J182)</f>
        <v>2.1499999999999998E-2</v>
      </c>
      <c r="R182" s="29">
        <f t="shared" ref="R182" si="417">AVERAGE(K181:K182)</f>
        <v>9.9989999999999996E-4</v>
      </c>
    </row>
    <row r="183" spans="1:18">
      <c r="A183" s="16">
        <v>2</v>
      </c>
      <c r="B183" s="24">
        <v>39190</v>
      </c>
      <c r="C183" s="16">
        <v>2007</v>
      </c>
      <c r="D183" s="11" t="s">
        <v>30</v>
      </c>
      <c r="E183" s="16">
        <v>4</v>
      </c>
      <c r="F183" s="15">
        <v>5.0179999999999998</v>
      </c>
      <c r="G183" s="15">
        <v>2.3E-2</v>
      </c>
      <c r="H183" s="15">
        <v>9.9989999999999996E-4</v>
      </c>
      <c r="I183" s="15">
        <v>2.0830000000000002</v>
      </c>
      <c r="J183" s="15">
        <v>1.2999999999999999E-2</v>
      </c>
      <c r="K183" s="15">
        <v>9.9989999999999996E-4</v>
      </c>
    </row>
    <row r="184" spans="1:18">
      <c r="A184" s="16">
        <v>16</v>
      </c>
      <c r="B184" s="24">
        <v>39190</v>
      </c>
      <c r="C184" s="16">
        <v>2007</v>
      </c>
      <c r="D184" s="11" t="s">
        <v>30</v>
      </c>
      <c r="E184" s="16">
        <v>4</v>
      </c>
      <c r="F184" s="15">
        <v>8.9130000000000003</v>
      </c>
      <c r="G184" s="15">
        <v>0.04</v>
      </c>
      <c r="H184" s="15">
        <v>6.9000000000000006E-2</v>
      </c>
      <c r="I184" s="15">
        <v>4.2300000000000004</v>
      </c>
      <c r="J184" s="15">
        <v>2.1000000000000001E-2</v>
      </c>
      <c r="K184" s="15">
        <v>9.9989999999999996E-4</v>
      </c>
      <c r="M184" s="29">
        <f>AVERAGE(F183:F184)</f>
        <v>6.9655000000000005</v>
      </c>
      <c r="N184" s="29">
        <f t="shared" ref="N184" si="418">AVERAGE(G183:G184)</f>
        <v>3.15E-2</v>
      </c>
      <c r="O184" s="29">
        <f t="shared" ref="O184" si="419">AVERAGE(H183:H184)</f>
        <v>3.4999950000000002E-2</v>
      </c>
      <c r="P184" s="29">
        <f t="shared" ref="P184" si="420">AVERAGE(I183:I184)</f>
        <v>3.1565000000000003</v>
      </c>
      <c r="Q184" s="29">
        <f t="shared" ref="Q184" si="421">AVERAGE(J183:J184)</f>
        <v>1.7000000000000001E-2</v>
      </c>
      <c r="R184" s="29">
        <f t="shared" ref="R184" si="422">AVERAGE(K183:K184)</f>
        <v>9.9989999999999996E-4</v>
      </c>
    </row>
    <row r="185" spans="1:18">
      <c r="A185" s="16">
        <v>2</v>
      </c>
      <c r="B185" s="24">
        <v>39217</v>
      </c>
      <c r="C185" s="16">
        <v>2007</v>
      </c>
      <c r="D185" s="11" t="s">
        <v>31</v>
      </c>
      <c r="E185" s="16">
        <v>5</v>
      </c>
      <c r="F185" s="15">
        <v>3.7530000000000001</v>
      </c>
      <c r="G185" s="15">
        <v>6.2E-2</v>
      </c>
      <c r="H185" s="15">
        <v>0.159</v>
      </c>
      <c r="I185" s="15">
        <v>1.022</v>
      </c>
      <c r="J185" s="15">
        <v>2.7E-2</v>
      </c>
      <c r="K185" s="15">
        <v>9.9989999999999996E-4</v>
      </c>
    </row>
    <row r="186" spans="1:18">
      <c r="A186" s="16">
        <v>16</v>
      </c>
      <c r="B186" s="24">
        <v>39217</v>
      </c>
      <c r="C186" s="16">
        <v>2007</v>
      </c>
      <c r="D186" s="11" t="s">
        <v>31</v>
      </c>
      <c r="E186" s="16">
        <v>5</v>
      </c>
      <c r="F186" s="15">
        <v>7.5650000000000004</v>
      </c>
      <c r="G186" s="15">
        <v>2.5000000000000001E-2</v>
      </c>
      <c r="H186" s="15">
        <v>1.3109999999999999</v>
      </c>
      <c r="I186" s="15">
        <v>3.3319999999999999</v>
      </c>
      <c r="J186" s="15">
        <v>6.4000000000000001E-2</v>
      </c>
      <c r="K186" s="15">
        <v>9.9989999999999996E-4</v>
      </c>
      <c r="M186" s="29">
        <f>AVERAGE(F185:F186)</f>
        <v>5.6590000000000007</v>
      </c>
      <c r="N186" s="29">
        <f t="shared" ref="N186" si="423">AVERAGE(G185:G186)</f>
        <v>4.3499999999999997E-2</v>
      </c>
      <c r="O186" s="29">
        <f t="shared" ref="O186" si="424">AVERAGE(H185:H186)</f>
        <v>0.73499999999999999</v>
      </c>
      <c r="P186" s="29">
        <f t="shared" ref="P186" si="425">AVERAGE(I185:I186)</f>
        <v>2.177</v>
      </c>
      <c r="Q186" s="29">
        <f t="shared" ref="Q186" si="426">AVERAGE(J185:J186)</f>
        <v>4.5499999999999999E-2</v>
      </c>
      <c r="R186" s="29">
        <f t="shared" ref="R186" si="427">AVERAGE(K185:K186)</f>
        <v>9.9989999999999996E-4</v>
      </c>
    </row>
    <row r="187" spans="1:18">
      <c r="A187" s="16">
        <v>2</v>
      </c>
      <c r="B187" s="24">
        <v>39245</v>
      </c>
      <c r="C187" s="16">
        <v>2007</v>
      </c>
      <c r="D187" s="11" t="s">
        <v>32</v>
      </c>
      <c r="E187" s="16">
        <v>6</v>
      </c>
      <c r="F187" s="15">
        <v>17.007000000000001</v>
      </c>
      <c r="G187" s="15">
        <v>4.2999999999999997E-2</v>
      </c>
      <c r="H187" s="15">
        <v>3.484</v>
      </c>
      <c r="I187" s="15">
        <v>5.7590000000000003</v>
      </c>
      <c r="J187" s="15">
        <v>0.30099999999999999</v>
      </c>
      <c r="K187" s="15">
        <v>9.9989999999999996E-4</v>
      </c>
    </row>
    <row r="188" spans="1:18">
      <c r="A188" s="16">
        <v>16</v>
      </c>
      <c r="B188" s="24">
        <v>39245</v>
      </c>
      <c r="C188" s="16">
        <v>2007</v>
      </c>
      <c r="D188" s="11" t="s">
        <v>32</v>
      </c>
      <c r="E188" s="16">
        <v>6</v>
      </c>
      <c r="F188" s="15">
        <v>24.376999999999999</v>
      </c>
      <c r="G188" s="15">
        <v>4.3999999999999997E-2</v>
      </c>
      <c r="H188" s="15">
        <v>4.96</v>
      </c>
      <c r="I188" s="15">
        <v>8.9410000000000007</v>
      </c>
      <c r="J188" s="15">
        <v>0.45300000000000001</v>
      </c>
      <c r="K188" s="15">
        <v>6.0000000000000001E-3</v>
      </c>
      <c r="M188" s="29">
        <f>AVERAGE(F187:F188)</f>
        <v>20.692</v>
      </c>
      <c r="N188" s="29">
        <f t="shared" ref="N188" si="428">AVERAGE(G187:G188)</f>
        <v>4.3499999999999997E-2</v>
      </c>
      <c r="O188" s="29">
        <f t="shared" ref="O188" si="429">AVERAGE(H187:H188)</f>
        <v>4.2219999999999995</v>
      </c>
      <c r="P188" s="29">
        <f t="shared" ref="P188" si="430">AVERAGE(I187:I188)</f>
        <v>7.3500000000000005</v>
      </c>
      <c r="Q188" s="29">
        <f t="shared" ref="Q188" si="431">AVERAGE(J187:J188)</f>
        <v>0.377</v>
      </c>
      <c r="R188" s="29">
        <f t="shared" ref="R188" si="432">AVERAGE(K187:K188)</f>
        <v>3.4999499999999999E-3</v>
      </c>
    </row>
    <row r="189" spans="1:18">
      <c r="A189" s="16">
        <v>2</v>
      </c>
      <c r="B189" s="24">
        <v>39280</v>
      </c>
      <c r="C189" s="16">
        <v>2007</v>
      </c>
      <c r="D189" s="11" t="s">
        <v>33</v>
      </c>
      <c r="E189" s="16">
        <v>7</v>
      </c>
      <c r="F189" s="15">
        <v>16.196000000000002</v>
      </c>
      <c r="G189" s="15">
        <v>0.32300000000000001</v>
      </c>
      <c r="H189" s="15">
        <v>7.8E-2</v>
      </c>
      <c r="I189" s="15">
        <v>1.9139999999999999</v>
      </c>
      <c r="J189" s="15">
        <v>2.153</v>
      </c>
      <c r="K189" s="15">
        <v>9.9989999999999996E-4</v>
      </c>
    </row>
    <row r="190" spans="1:18">
      <c r="A190" s="16">
        <v>16</v>
      </c>
      <c r="B190" s="24">
        <v>39280</v>
      </c>
      <c r="C190" s="16">
        <v>2007</v>
      </c>
      <c r="D190" s="11" t="s">
        <v>33</v>
      </c>
      <c r="E190" s="16">
        <v>7</v>
      </c>
      <c r="F190" s="15">
        <v>17.375</v>
      </c>
      <c r="G190" s="15">
        <v>0.25800000000000001</v>
      </c>
      <c r="H190" s="15">
        <v>8.5999999999999993E-2</v>
      </c>
      <c r="I190" s="15">
        <v>2.012</v>
      </c>
      <c r="J190" s="15">
        <v>2.0369999999999999</v>
      </c>
      <c r="K190" s="15">
        <v>1.2E-2</v>
      </c>
      <c r="M190" s="29">
        <f>AVERAGE(F189:F190)</f>
        <v>16.785499999999999</v>
      </c>
      <c r="N190" s="29">
        <f t="shared" ref="N190" si="433">AVERAGE(G189:G190)</f>
        <v>0.29049999999999998</v>
      </c>
      <c r="O190" s="29">
        <f t="shared" ref="O190" si="434">AVERAGE(H189:H190)</f>
        <v>8.199999999999999E-2</v>
      </c>
      <c r="P190" s="29">
        <f t="shared" ref="P190" si="435">AVERAGE(I189:I190)</f>
        <v>1.9630000000000001</v>
      </c>
      <c r="Q190" s="29">
        <f t="shared" ref="Q190" si="436">AVERAGE(J189:J190)</f>
        <v>2.0949999999999998</v>
      </c>
      <c r="R190" s="29">
        <f t="shared" ref="R190" si="437">AVERAGE(K189:K190)</f>
        <v>6.49995E-3</v>
      </c>
    </row>
    <row r="191" spans="1:18">
      <c r="A191" s="16">
        <v>2</v>
      </c>
      <c r="B191" s="24">
        <v>39308</v>
      </c>
      <c r="C191" s="16">
        <v>2007</v>
      </c>
      <c r="D191" s="11" t="s">
        <v>34</v>
      </c>
      <c r="E191" s="16">
        <v>8</v>
      </c>
      <c r="F191" s="15">
        <v>10.210000000000001</v>
      </c>
      <c r="G191" s="15">
        <v>0.154</v>
      </c>
      <c r="H191" s="15">
        <v>0.312</v>
      </c>
      <c r="I191" s="15">
        <v>3.3119999999999998</v>
      </c>
      <c r="J191" s="15">
        <v>0.51900000000000002</v>
      </c>
      <c r="K191" s="15">
        <v>9.9989999999999996E-4</v>
      </c>
    </row>
    <row r="192" spans="1:18">
      <c r="A192" s="16">
        <v>16</v>
      </c>
      <c r="B192" s="24">
        <v>39308</v>
      </c>
      <c r="C192" s="16">
        <v>2007</v>
      </c>
      <c r="D192" s="11" t="s">
        <v>34</v>
      </c>
      <c r="E192" s="16">
        <v>8</v>
      </c>
      <c r="F192" s="15">
        <v>14.263</v>
      </c>
      <c r="G192" s="15">
        <v>6.0999999999999999E-2</v>
      </c>
      <c r="H192" s="15">
        <v>4.3999999999999997E-2</v>
      </c>
      <c r="I192" s="15">
        <v>1.31</v>
      </c>
      <c r="J192" s="15">
        <v>1.7490000000000001</v>
      </c>
      <c r="K192" s="15">
        <v>9.9989999999999996E-4</v>
      </c>
      <c r="M192" s="29">
        <f>AVERAGE(F191:F192)</f>
        <v>12.236499999999999</v>
      </c>
      <c r="N192" s="29">
        <f t="shared" ref="N192" si="438">AVERAGE(G191:G192)</f>
        <v>0.1075</v>
      </c>
      <c r="O192" s="29">
        <f t="shared" ref="O192" si="439">AVERAGE(H191:H192)</f>
        <v>0.17799999999999999</v>
      </c>
      <c r="P192" s="29">
        <f t="shared" ref="P192" si="440">AVERAGE(I191:I192)</f>
        <v>2.3109999999999999</v>
      </c>
      <c r="Q192" s="29">
        <f t="shared" ref="Q192" si="441">AVERAGE(J191:J192)</f>
        <v>1.1340000000000001</v>
      </c>
      <c r="R192" s="29">
        <f t="shared" ref="R192" si="442">AVERAGE(K191:K192)</f>
        <v>9.9989999999999996E-4</v>
      </c>
    </row>
    <row r="193" spans="1:18">
      <c r="A193" s="16">
        <v>2</v>
      </c>
      <c r="B193" s="24">
        <v>39337</v>
      </c>
      <c r="C193" s="16">
        <v>2007</v>
      </c>
      <c r="D193" s="11" t="s">
        <v>40</v>
      </c>
      <c r="E193" s="16">
        <v>9</v>
      </c>
      <c r="F193" s="15">
        <v>13.247999999999999</v>
      </c>
      <c r="G193" s="15">
        <v>9.9989999999999996E-4</v>
      </c>
      <c r="H193" s="15">
        <v>9.9989999999999996E-4</v>
      </c>
      <c r="I193" s="15">
        <v>1.29</v>
      </c>
      <c r="J193" s="15">
        <v>1.8280000000000001</v>
      </c>
      <c r="K193" s="15">
        <v>9.9989999999999996E-4</v>
      </c>
    </row>
    <row r="194" spans="1:18">
      <c r="A194" s="16">
        <v>16</v>
      </c>
      <c r="B194" s="24">
        <v>39336</v>
      </c>
      <c r="C194" s="16">
        <v>2007</v>
      </c>
      <c r="D194" s="11" t="s">
        <v>40</v>
      </c>
      <c r="E194" s="16">
        <v>9</v>
      </c>
      <c r="F194" s="15">
        <v>12.465999999999999</v>
      </c>
      <c r="G194" s="15">
        <v>0.112</v>
      </c>
      <c r="H194" s="15">
        <v>9.9989999999999996E-4</v>
      </c>
      <c r="I194" s="15">
        <v>1.464</v>
      </c>
      <c r="J194" s="15">
        <v>1.7949999999999999</v>
      </c>
      <c r="K194" s="15">
        <v>9.9989999999999996E-4</v>
      </c>
      <c r="M194" s="29">
        <f>AVERAGE(F193:F194)</f>
        <v>12.856999999999999</v>
      </c>
      <c r="N194" s="29">
        <f t="shared" ref="N194" si="443">AVERAGE(G193:G194)</f>
        <v>5.649995E-2</v>
      </c>
      <c r="O194" s="29">
        <f t="shared" ref="O194" si="444">AVERAGE(H193:H194)</f>
        <v>9.9989999999999996E-4</v>
      </c>
      <c r="P194" s="29">
        <f t="shared" ref="P194" si="445">AVERAGE(I193:I194)</f>
        <v>1.377</v>
      </c>
      <c r="Q194" s="29">
        <f t="shared" ref="Q194" si="446">AVERAGE(J193:J194)</f>
        <v>1.8115000000000001</v>
      </c>
      <c r="R194" s="29">
        <f t="shared" ref="R194" si="447">AVERAGE(K193:K194)</f>
        <v>9.9989999999999996E-4</v>
      </c>
    </row>
    <row r="195" spans="1:18">
      <c r="A195" s="16">
        <v>2</v>
      </c>
      <c r="B195" s="24">
        <v>39373</v>
      </c>
      <c r="C195" s="16">
        <v>2007</v>
      </c>
      <c r="D195" s="11" t="s">
        <v>36</v>
      </c>
      <c r="E195" s="16">
        <v>10</v>
      </c>
      <c r="F195" s="15">
        <v>2.7330000000000001</v>
      </c>
      <c r="G195" s="15">
        <v>3.4000000000000002E-2</v>
      </c>
      <c r="H195" s="15">
        <v>9.9989999999999996E-4</v>
      </c>
      <c r="I195" s="15">
        <v>0.32400000000000001</v>
      </c>
      <c r="J195" s="15">
        <v>0.05</v>
      </c>
      <c r="K195" s="15">
        <v>9.9989999999999996E-4</v>
      </c>
    </row>
    <row r="196" spans="1:18">
      <c r="A196" s="16">
        <v>16</v>
      </c>
      <c r="B196" s="24">
        <v>39373</v>
      </c>
      <c r="C196" s="16">
        <v>2007</v>
      </c>
      <c r="D196" s="11" t="s">
        <v>36</v>
      </c>
      <c r="E196" s="16">
        <v>10</v>
      </c>
      <c r="F196" s="15">
        <v>4.891</v>
      </c>
      <c r="G196" s="15">
        <v>2.1999999999999999E-2</v>
      </c>
      <c r="H196" s="15">
        <v>3.1E-2</v>
      </c>
      <c r="I196" s="15">
        <v>0.97099999999999997</v>
      </c>
      <c r="J196" s="15">
        <v>0.44500000000000001</v>
      </c>
      <c r="K196" s="15">
        <v>9.9989999999999996E-4</v>
      </c>
      <c r="M196" s="29">
        <f>AVERAGE(F195:F196)</f>
        <v>3.8120000000000003</v>
      </c>
      <c r="N196" s="29">
        <f t="shared" ref="N196" si="448">AVERAGE(G195:G196)</f>
        <v>2.8000000000000001E-2</v>
      </c>
      <c r="O196" s="29">
        <f t="shared" ref="O196" si="449">AVERAGE(H195:H196)</f>
        <v>1.5999949999999999E-2</v>
      </c>
      <c r="P196" s="29">
        <f t="shared" ref="P196" si="450">AVERAGE(I195:I196)</f>
        <v>0.64749999999999996</v>
      </c>
      <c r="Q196" s="29">
        <f t="shared" ref="Q196" si="451">AVERAGE(J195:J196)</f>
        <v>0.2475</v>
      </c>
      <c r="R196" s="29">
        <f t="shared" ref="R196" si="452">AVERAGE(K195:K196)</f>
        <v>9.9989999999999996E-4</v>
      </c>
    </row>
    <row r="197" spans="1:18">
      <c r="A197" s="16">
        <v>2</v>
      </c>
      <c r="B197" s="24">
        <v>39399</v>
      </c>
      <c r="C197" s="16">
        <v>2007</v>
      </c>
      <c r="D197" s="11" t="s">
        <v>37</v>
      </c>
      <c r="E197" s="16">
        <v>11</v>
      </c>
      <c r="F197" s="15">
        <v>0.96299999999999997</v>
      </c>
      <c r="G197" s="15">
        <v>9.9989999999999996E-4</v>
      </c>
      <c r="H197" s="15">
        <v>9.9989999999999996E-4</v>
      </c>
      <c r="I197" s="15">
        <v>0.123</v>
      </c>
      <c r="J197" s="15">
        <v>4.0000000000000001E-3</v>
      </c>
      <c r="K197" s="15">
        <v>9.9989999999999996E-4</v>
      </c>
    </row>
    <row r="198" spans="1:18">
      <c r="A198" s="16">
        <v>16</v>
      </c>
      <c r="B198" s="24">
        <v>39399</v>
      </c>
      <c r="C198" s="16">
        <v>2007</v>
      </c>
      <c r="D198" s="11" t="s">
        <v>37</v>
      </c>
      <c r="E198" s="16">
        <v>11</v>
      </c>
      <c r="F198" s="15">
        <v>3.145</v>
      </c>
      <c r="G198" s="15">
        <v>4.4999999999999998E-2</v>
      </c>
      <c r="H198" s="15">
        <v>5.0999999999999997E-2</v>
      </c>
      <c r="I198" s="15">
        <v>0.64200000000000002</v>
      </c>
      <c r="J198" s="15">
        <v>3.5000000000000003E-2</v>
      </c>
      <c r="K198" s="15">
        <v>9.9989999999999996E-4</v>
      </c>
      <c r="M198" s="29">
        <f>AVERAGE(F197:F198)</f>
        <v>2.0539999999999998</v>
      </c>
      <c r="N198" s="29">
        <f t="shared" ref="N198" si="453">AVERAGE(G197:G198)</f>
        <v>2.2999949999999998E-2</v>
      </c>
      <c r="O198" s="29">
        <f t="shared" ref="O198" si="454">AVERAGE(H197:H198)</f>
        <v>2.5999949999999997E-2</v>
      </c>
      <c r="P198" s="29">
        <f t="shared" ref="P198" si="455">AVERAGE(I197:I198)</f>
        <v>0.38250000000000001</v>
      </c>
      <c r="Q198" s="29">
        <f t="shared" ref="Q198" si="456">AVERAGE(J197:J198)</f>
        <v>1.9500000000000003E-2</v>
      </c>
      <c r="R198" s="29">
        <f t="shared" ref="R198" si="457">AVERAGE(K197:K198)</f>
        <v>9.9989999999999996E-4</v>
      </c>
    </row>
    <row r="199" spans="1:18">
      <c r="A199" s="16">
        <v>2</v>
      </c>
      <c r="B199" s="24">
        <v>39426</v>
      </c>
      <c r="C199" s="16">
        <v>2007</v>
      </c>
      <c r="D199" s="11" t="s">
        <v>38</v>
      </c>
      <c r="E199" s="16">
        <v>12</v>
      </c>
      <c r="F199" s="15">
        <v>1.2290000000000001</v>
      </c>
      <c r="G199" s="15">
        <v>9.9989999999999996E-4</v>
      </c>
      <c r="H199" s="15">
        <v>9.9989999999999996E-4</v>
      </c>
      <c r="I199" s="15">
        <v>0.36099999999999999</v>
      </c>
      <c r="J199" s="15">
        <v>5.0000000000000001E-3</v>
      </c>
      <c r="K199" s="15">
        <v>9.9989999999999996E-4</v>
      </c>
    </row>
    <row r="200" spans="1:18">
      <c r="A200" s="16">
        <v>16</v>
      </c>
      <c r="B200" s="24">
        <v>39427</v>
      </c>
      <c r="C200" s="16">
        <v>2007</v>
      </c>
      <c r="D200" s="11" t="s">
        <v>38</v>
      </c>
      <c r="E200" s="16">
        <v>12</v>
      </c>
      <c r="F200" s="15">
        <v>2.2930000000000001</v>
      </c>
      <c r="G200" s="15">
        <v>1.2E-2</v>
      </c>
      <c r="H200" s="15">
        <v>9.9989999999999996E-4</v>
      </c>
      <c r="I200" s="15">
        <v>0.68</v>
      </c>
      <c r="J200" s="15">
        <v>4.0000000000000001E-3</v>
      </c>
      <c r="K200" s="15">
        <v>9.9989999999999996E-4</v>
      </c>
      <c r="M200" s="29">
        <f>AVERAGE(F199:F200)</f>
        <v>1.7610000000000001</v>
      </c>
      <c r="N200" s="29">
        <f t="shared" ref="N200" si="458">AVERAGE(G199:G200)</f>
        <v>6.49995E-3</v>
      </c>
      <c r="O200" s="29">
        <f t="shared" ref="O200" si="459">AVERAGE(H199:H200)</f>
        <v>9.9989999999999996E-4</v>
      </c>
      <c r="P200" s="29">
        <f t="shared" ref="P200" si="460">AVERAGE(I199:I200)</f>
        <v>0.52049999999999996</v>
      </c>
      <c r="Q200" s="29">
        <f t="shared" ref="Q200" si="461">AVERAGE(J199:J200)</f>
        <v>4.5000000000000005E-3</v>
      </c>
      <c r="R200" s="29">
        <f t="shared" ref="R200" si="462">AVERAGE(K199:K200)</f>
        <v>9.9989999999999996E-4</v>
      </c>
    </row>
    <row r="201" spans="1:18">
      <c r="A201" s="16">
        <v>2</v>
      </c>
      <c r="B201" s="24">
        <v>39462</v>
      </c>
      <c r="C201" s="16">
        <v>2008</v>
      </c>
      <c r="D201" s="11" t="s">
        <v>39</v>
      </c>
      <c r="E201" s="16">
        <v>1</v>
      </c>
      <c r="F201" s="25">
        <v>3.5289999999999999</v>
      </c>
      <c r="G201" s="25">
        <v>6.3E-2</v>
      </c>
      <c r="H201" s="25">
        <v>9.9989999999999996E-4</v>
      </c>
      <c r="I201" s="25">
        <v>1.107</v>
      </c>
      <c r="J201" s="25">
        <v>8.9999999999999993E-3</v>
      </c>
      <c r="K201" s="25">
        <v>9.9989999999999996E-4</v>
      </c>
    </row>
    <row r="202" spans="1:18">
      <c r="A202" s="16">
        <v>16</v>
      </c>
      <c r="B202" s="24">
        <v>39462</v>
      </c>
      <c r="C202" s="16">
        <v>2008</v>
      </c>
      <c r="D202" s="11" t="s">
        <v>39</v>
      </c>
      <c r="E202" s="16">
        <v>1</v>
      </c>
      <c r="F202" s="25">
        <v>2.8180000000000001</v>
      </c>
      <c r="G202" s="25">
        <v>7.4999999999999997E-2</v>
      </c>
      <c r="H202" s="25">
        <v>9.9989999999999996E-4</v>
      </c>
      <c r="I202" s="25">
        <v>0.77900000000000003</v>
      </c>
      <c r="J202" s="25">
        <v>1.0999999999999999E-2</v>
      </c>
      <c r="K202" s="25">
        <v>9.9989999999999996E-4</v>
      </c>
      <c r="M202" s="29">
        <f>AVERAGE(F201:F202)</f>
        <v>3.1734999999999998</v>
      </c>
      <c r="N202" s="29">
        <f t="shared" ref="N202" si="463">AVERAGE(G201:G202)</f>
        <v>6.9000000000000006E-2</v>
      </c>
      <c r="O202" s="29">
        <f t="shared" ref="O202" si="464">AVERAGE(H201:H202)</f>
        <v>9.9989999999999996E-4</v>
      </c>
      <c r="P202" s="29">
        <f t="shared" ref="P202" si="465">AVERAGE(I201:I202)</f>
        <v>0.94300000000000006</v>
      </c>
      <c r="Q202" s="29">
        <f t="shared" ref="Q202" si="466">AVERAGE(J201:J202)</f>
        <v>9.9999999999999985E-3</v>
      </c>
      <c r="R202" s="29">
        <f t="shared" ref="R202" si="467">AVERAGE(K201:K202)</f>
        <v>9.9989999999999996E-4</v>
      </c>
    </row>
    <row r="203" spans="1:18">
      <c r="A203" s="16">
        <v>2</v>
      </c>
      <c r="B203" s="24">
        <v>39490</v>
      </c>
      <c r="C203" s="16">
        <v>2008</v>
      </c>
      <c r="D203" s="11" t="s">
        <v>28</v>
      </c>
      <c r="E203" s="16">
        <v>2</v>
      </c>
      <c r="F203" s="25">
        <v>6.0679999999999996</v>
      </c>
      <c r="G203" s="25">
        <v>0.157</v>
      </c>
      <c r="H203" s="25">
        <v>9.9989999999999996E-4</v>
      </c>
      <c r="I203" s="25">
        <v>1.8260000000000001</v>
      </c>
      <c r="J203" s="25">
        <v>2.4E-2</v>
      </c>
      <c r="K203" s="25">
        <v>9.9989999999999996E-4</v>
      </c>
    </row>
    <row r="204" spans="1:18">
      <c r="A204" s="16">
        <v>16</v>
      </c>
      <c r="B204" s="24">
        <v>39490</v>
      </c>
      <c r="C204" s="16">
        <v>2008</v>
      </c>
      <c r="D204" s="11" t="s">
        <v>28</v>
      </c>
      <c r="E204" s="16">
        <v>2</v>
      </c>
      <c r="F204" s="25">
        <v>5.6310000000000002</v>
      </c>
      <c r="G204" s="25">
        <v>0.2</v>
      </c>
      <c r="H204" s="25">
        <v>9.9989999999999996E-4</v>
      </c>
      <c r="I204" s="25">
        <v>1.0289999999999999</v>
      </c>
      <c r="J204" s="25">
        <v>0.129</v>
      </c>
      <c r="K204" s="25">
        <v>9.9989999999999996E-4</v>
      </c>
      <c r="M204" s="29">
        <f>AVERAGE(F203:F204)</f>
        <v>5.8494999999999999</v>
      </c>
      <c r="N204" s="29">
        <f t="shared" ref="N204" si="468">AVERAGE(G203:G204)</f>
        <v>0.17849999999999999</v>
      </c>
      <c r="O204" s="29">
        <f t="shared" ref="O204" si="469">AVERAGE(H203:H204)</f>
        <v>9.9989999999999996E-4</v>
      </c>
      <c r="P204" s="29">
        <f t="shared" ref="P204" si="470">AVERAGE(I203:I204)</f>
        <v>1.4275</v>
      </c>
      <c r="Q204" s="29">
        <f t="shared" ref="Q204" si="471">AVERAGE(J203:J204)</f>
        <v>7.6499999999999999E-2</v>
      </c>
      <c r="R204" s="29">
        <f t="shared" ref="R204" si="472">AVERAGE(K203:K204)</f>
        <v>9.9989999999999996E-4</v>
      </c>
    </row>
    <row r="205" spans="1:18">
      <c r="A205" s="16">
        <v>2</v>
      </c>
      <c r="B205" s="24">
        <v>39520</v>
      </c>
      <c r="C205" s="16">
        <v>2008</v>
      </c>
      <c r="D205" s="11" t="s">
        <v>29</v>
      </c>
      <c r="E205" s="16">
        <v>3</v>
      </c>
      <c r="F205" s="26">
        <v>1.8859999999999999</v>
      </c>
      <c r="G205" s="25">
        <v>4.1000000000000002E-2</v>
      </c>
      <c r="H205" s="25">
        <v>2.5999999999999999E-2</v>
      </c>
      <c r="I205" s="25">
        <v>0.61099999999999999</v>
      </c>
      <c r="J205" s="25">
        <v>2.4E-2</v>
      </c>
      <c r="K205" s="25">
        <v>9.9989999999999996E-4</v>
      </c>
    </row>
    <row r="206" spans="1:18">
      <c r="A206" s="16">
        <v>16</v>
      </c>
      <c r="B206" s="24">
        <v>39520</v>
      </c>
      <c r="C206" s="16">
        <v>2008</v>
      </c>
      <c r="D206" s="11" t="s">
        <v>29</v>
      </c>
      <c r="E206" s="16">
        <v>3</v>
      </c>
      <c r="F206" s="26">
        <v>1.9970000000000001</v>
      </c>
      <c r="G206" s="25">
        <v>1.4E-2</v>
      </c>
      <c r="H206" s="25">
        <v>4.2000000000000003E-2</v>
      </c>
      <c r="I206" s="25">
        <v>0.73499999999999999</v>
      </c>
      <c r="J206" s="25">
        <v>5.0999999999999997E-2</v>
      </c>
      <c r="K206" s="25">
        <v>9.9989999999999996E-4</v>
      </c>
      <c r="M206" s="29">
        <f>AVERAGE(F205:F206)</f>
        <v>1.9415</v>
      </c>
      <c r="N206" s="29">
        <f t="shared" ref="N206" si="473">AVERAGE(G205:G206)</f>
        <v>2.75E-2</v>
      </c>
      <c r="O206" s="29">
        <f t="shared" ref="O206" si="474">AVERAGE(H205:H206)</f>
        <v>3.4000000000000002E-2</v>
      </c>
      <c r="P206" s="29">
        <f t="shared" ref="P206" si="475">AVERAGE(I205:I206)</f>
        <v>0.67300000000000004</v>
      </c>
      <c r="Q206" s="29">
        <f t="shared" ref="Q206" si="476">AVERAGE(J205:J206)</f>
        <v>3.7499999999999999E-2</v>
      </c>
      <c r="R206" s="29">
        <f t="shared" ref="R206" si="477">AVERAGE(K205:K206)</f>
        <v>9.9989999999999996E-4</v>
      </c>
    </row>
    <row r="207" spans="1:18">
      <c r="A207" s="16">
        <v>2</v>
      </c>
      <c r="B207" s="24">
        <v>39553</v>
      </c>
      <c r="C207" s="16">
        <v>2008</v>
      </c>
      <c r="D207" s="11" t="s">
        <v>30</v>
      </c>
      <c r="E207" s="16">
        <v>4</v>
      </c>
      <c r="F207" s="26">
        <v>0.93100000000000005</v>
      </c>
      <c r="G207" s="25">
        <v>9.9989999999999996E-4</v>
      </c>
      <c r="H207" s="25">
        <v>9.9989999999999996E-4</v>
      </c>
      <c r="I207" s="25">
        <v>0.30299999999999999</v>
      </c>
      <c r="J207" s="25">
        <v>8.9999999999999993E-3</v>
      </c>
      <c r="K207" s="25">
        <v>9.9989999999999996E-4</v>
      </c>
    </row>
    <row r="208" spans="1:18">
      <c r="A208" s="16">
        <v>16</v>
      </c>
      <c r="B208" s="24">
        <v>39553</v>
      </c>
      <c r="C208" s="16">
        <v>2008</v>
      </c>
      <c r="D208" s="11" t="s">
        <v>30</v>
      </c>
      <c r="E208" s="16">
        <v>4</v>
      </c>
      <c r="F208" s="26">
        <v>1.046</v>
      </c>
      <c r="G208" s="25">
        <v>1.2999999999999999E-2</v>
      </c>
      <c r="H208" s="25">
        <v>9.9989999999999996E-4</v>
      </c>
      <c r="I208" s="25">
        <v>0.16800000000000001</v>
      </c>
      <c r="J208" s="25">
        <v>1.2E-2</v>
      </c>
      <c r="K208" s="25">
        <v>9.9989999999999996E-4</v>
      </c>
      <c r="M208" s="29">
        <f>AVERAGE(F207:F208)</f>
        <v>0.98850000000000005</v>
      </c>
      <c r="N208" s="29">
        <f t="shared" ref="N208" si="478">AVERAGE(G207:G208)</f>
        <v>6.9999499999999996E-3</v>
      </c>
      <c r="O208" s="29">
        <f t="shared" ref="O208" si="479">AVERAGE(H207:H208)</f>
        <v>9.9989999999999996E-4</v>
      </c>
      <c r="P208" s="29">
        <f t="shared" ref="P208" si="480">AVERAGE(I207:I208)</f>
        <v>0.23549999999999999</v>
      </c>
      <c r="Q208" s="29">
        <f t="shared" ref="Q208" si="481">AVERAGE(J207:J208)</f>
        <v>1.0499999999999999E-2</v>
      </c>
      <c r="R208" s="29">
        <f t="shared" ref="R208" si="482">AVERAGE(K207:K208)</f>
        <v>9.9989999999999996E-4</v>
      </c>
    </row>
    <row r="209" spans="1:18">
      <c r="A209" s="16">
        <v>2</v>
      </c>
      <c r="B209" s="24">
        <v>39582</v>
      </c>
      <c r="C209" s="16">
        <v>2008</v>
      </c>
      <c r="D209" s="11" t="s">
        <v>31</v>
      </c>
      <c r="E209" s="16">
        <v>5</v>
      </c>
      <c r="F209" s="26">
        <v>3.9430000000000001</v>
      </c>
      <c r="G209" s="25">
        <v>9.2999999999999999E-2</v>
      </c>
      <c r="H209" s="25">
        <v>0.253</v>
      </c>
      <c r="I209" s="25">
        <v>1.577</v>
      </c>
      <c r="J209" s="25">
        <v>6.7000000000000004E-2</v>
      </c>
      <c r="K209" s="25">
        <v>9.9989999999999996E-4</v>
      </c>
    </row>
    <row r="210" spans="1:18">
      <c r="A210" s="16">
        <v>16</v>
      </c>
      <c r="B210" s="24">
        <v>39583</v>
      </c>
      <c r="C210" s="16">
        <v>2008</v>
      </c>
      <c r="D210" s="11" t="s">
        <v>31</v>
      </c>
      <c r="E210" s="16">
        <v>5</v>
      </c>
      <c r="F210" s="26">
        <v>4.1219999999999999</v>
      </c>
      <c r="G210" s="25">
        <v>4.2999999999999997E-2</v>
      </c>
      <c r="H210" s="25">
        <v>0.188</v>
      </c>
      <c r="I210" s="25">
        <v>1.4490000000000001</v>
      </c>
      <c r="J210" s="25">
        <v>7.0999999999999994E-2</v>
      </c>
      <c r="K210" s="25">
        <v>9.9989999999999996E-4</v>
      </c>
      <c r="M210" s="29">
        <f>AVERAGE(F209:F210)</f>
        <v>4.0324999999999998</v>
      </c>
      <c r="N210" s="29">
        <f t="shared" ref="N210" si="483">AVERAGE(G209:G210)</f>
        <v>6.8000000000000005E-2</v>
      </c>
      <c r="O210" s="29">
        <f t="shared" ref="O210" si="484">AVERAGE(H209:H210)</f>
        <v>0.2205</v>
      </c>
      <c r="P210" s="29">
        <f t="shared" ref="P210" si="485">AVERAGE(I209:I210)</f>
        <v>1.5129999999999999</v>
      </c>
      <c r="Q210" s="29">
        <f t="shared" ref="Q210" si="486">AVERAGE(J209:J210)</f>
        <v>6.9000000000000006E-2</v>
      </c>
      <c r="R210" s="29">
        <f t="shared" ref="R210" si="487">AVERAGE(K209:K210)</f>
        <v>9.9989999999999996E-4</v>
      </c>
    </row>
    <row r="211" spans="1:18">
      <c r="A211" s="16">
        <v>2</v>
      </c>
      <c r="B211" s="24">
        <v>39616</v>
      </c>
      <c r="C211" s="16">
        <v>2008</v>
      </c>
      <c r="D211" s="11" t="s">
        <v>32</v>
      </c>
      <c r="E211" s="16">
        <v>6</v>
      </c>
      <c r="F211" s="26">
        <v>10.725</v>
      </c>
      <c r="G211" s="25">
        <v>0.158</v>
      </c>
      <c r="H211" s="25">
        <v>9.9989999999999996E-4</v>
      </c>
      <c r="I211" s="25">
        <v>1.2070000000000001</v>
      </c>
      <c r="J211" s="25">
        <v>1.054</v>
      </c>
      <c r="K211" s="25">
        <v>9.9989999999999996E-4</v>
      </c>
    </row>
    <row r="212" spans="1:18">
      <c r="A212" s="16">
        <v>16</v>
      </c>
      <c r="B212" s="24">
        <v>39616</v>
      </c>
      <c r="C212" s="16">
        <v>2008</v>
      </c>
      <c r="D212" s="11" t="s">
        <v>32</v>
      </c>
      <c r="E212" s="16">
        <v>6</v>
      </c>
      <c r="F212" s="26">
        <v>11.07</v>
      </c>
      <c r="G212" s="25">
        <v>8.5000000000000006E-2</v>
      </c>
      <c r="H212" s="25">
        <v>9.9989999999999996E-4</v>
      </c>
      <c r="I212" s="25">
        <v>2.073</v>
      </c>
      <c r="J212" s="25">
        <v>0.76</v>
      </c>
      <c r="K212" s="25">
        <v>9.9989999999999996E-4</v>
      </c>
      <c r="M212" s="29">
        <f>AVERAGE(F211:F212)</f>
        <v>10.897500000000001</v>
      </c>
      <c r="N212" s="29">
        <f t="shared" ref="N212" si="488">AVERAGE(G211:G212)</f>
        <v>0.1215</v>
      </c>
      <c r="O212" s="29">
        <f t="shared" ref="O212" si="489">AVERAGE(H211:H212)</f>
        <v>9.9989999999999996E-4</v>
      </c>
      <c r="P212" s="29">
        <f t="shared" ref="P212" si="490">AVERAGE(I211:I212)</f>
        <v>1.6400000000000001</v>
      </c>
      <c r="Q212" s="29">
        <f t="shared" ref="Q212" si="491">AVERAGE(J211:J212)</f>
        <v>0.90700000000000003</v>
      </c>
      <c r="R212" s="29">
        <f t="shared" ref="R212" si="492">AVERAGE(K211:K212)</f>
        <v>9.9989999999999996E-4</v>
      </c>
    </row>
    <row r="213" spans="1:18">
      <c r="A213" s="16">
        <v>2</v>
      </c>
      <c r="B213" s="24">
        <v>39644</v>
      </c>
      <c r="C213" s="16">
        <v>2008</v>
      </c>
      <c r="D213" s="11" t="s">
        <v>33</v>
      </c>
      <c r="E213" s="16">
        <v>7</v>
      </c>
      <c r="F213" s="26">
        <v>12.685</v>
      </c>
      <c r="G213" s="25">
        <v>0.435</v>
      </c>
      <c r="H213" s="25">
        <v>9.9989999999999996E-4</v>
      </c>
      <c r="I213" s="25">
        <v>2.702</v>
      </c>
      <c r="J213" s="25">
        <v>0.9</v>
      </c>
      <c r="K213" s="25">
        <v>9.9989999999999996E-4</v>
      </c>
    </row>
    <row r="214" spans="1:18">
      <c r="A214" s="16">
        <v>16</v>
      </c>
      <c r="B214" s="24">
        <v>39644</v>
      </c>
      <c r="C214" s="16">
        <v>2008</v>
      </c>
      <c r="D214" s="11" t="s">
        <v>33</v>
      </c>
      <c r="E214" s="16">
        <v>7</v>
      </c>
      <c r="F214" s="26">
        <v>14.726000000000001</v>
      </c>
      <c r="G214" s="25">
        <v>0.33200000000000002</v>
      </c>
      <c r="H214" s="25">
        <v>9.9989999999999996E-4</v>
      </c>
      <c r="I214" s="25">
        <v>2.9039999999999999</v>
      </c>
      <c r="J214" s="25">
        <v>1.3919999999999999</v>
      </c>
      <c r="K214" s="25">
        <v>9.9989999999999996E-4</v>
      </c>
      <c r="M214" s="29">
        <f>AVERAGE(F213:F214)</f>
        <v>13.705500000000001</v>
      </c>
      <c r="N214" s="29">
        <f t="shared" ref="N214" si="493">AVERAGE(G213:G214)</f>
        <v>0.38350000000000001</v>
      </c>
      <c r="O214" s="29">
        <f t="shared" ref="O214" si="494">AVERAGE(H213:H214)</f>
        <v>9.9989999999999996E-4</v>
      </c>
      <c r="P214" s="29">
        <f t="shared" ref="P214" si="495">AVERAGE(I213:I214)</f>
        <v>2.8029999999999999</v>
      </c>
      <c r="Q214" s="29">
        <f t="shared" ref="Q214" si="496">AVERAGE(J213:J214)</f>
        <v>1.1459999999999999</v>
      </c>
      <c r="R214" s="29">
        <f t="shared" ref="R214" si="497">AVERAGE(K213:K214)</f>
        <v>9.9989999999999996E-4</v>
      </c>
    </row>
    <row r="215" spans="1:18">
      <c r="A215" s="16">
        <v>2</v>
      </c>
      <c r="B215" s="24">
        <v>39673</v>
      </c>
      <c r="C215" s="16">
        <v>2008</v>
      </c>
      <c r="D215" s="11" t="s">
        <v>34</v>
      </c>
      <c r="E215" s="16">
        <v>8</v>
      </c>
      <c r="F215" s="26">
        <v>7.4409999999999998</v>
      </c>
      <c r="G215" s="25">
        <v>0.68899999999999995</v>
      </c>
      <c r="H215" s="25">
        <v>9.9989999999999996E-4</v>
      </c>
      <c r="I215" s="25">
        <v>1.1910000000000001</v>
      </c>
      <c r="J215" s="25">
        <v>0.49399999999999999</v>
      </c>
      <c r="K215" s="25">
        <v>9.9989999999999996E-4</v>
      </c>
    </row>
    <row r="216" spans="1:18">
      <c r="A216" s="16">
        <v>16</v>
      </c>
      <c r="B216" s="24">
        <v>39673</v>
      </c>
      <c r="C216" s="16">
        <v>2008</v>
      </c>
      <c r="D216" s="11" t="s">
        <v>34</v>
      </c>
      <c r="E216" s="16">
        <v>8</v>
      </c>
      <c r="F216" s="26">
        <v>7.3840000000000003</v>
      </c>
      <c r="G216" s="25">
        <v>0.215</v>
      </c>
      <c r="H216" s="25">
        <v>9.9989999999999996E-4</v>
      </c>
      <c r="I216" s="25">
        <v>0.96199999999999997</v>
      </c>
      <c r="J216" s="25">
        <v>0.91</v>
      </c>
      <c r="K216" s="25">
        <v>9.9989999999999996E-4</v>
      </c>
      <c r="M216" s="29">
        <f>AVERAGE(F215:F216)</f>
        <v>7.4124999999999996</v>
      </c>
      <c r="N216" s="29">
        <f t="shared" ref="N216" si="498">AVERAGE(G215:G216)</f>
        <v>0.45199999999999996</v>
      </c>
      <c r="O216" s="29">
        <f t="shared" ref="O216" si="499">AVERAGE(H215:H216)</f>
        <v>9.9989999999999996E-4</v>
      </c>
      <c r="P216" s="29">
        <f t="shared" ref="P216" si="500">AVERAGE(I215:I216)</f>
        <v>1.0765</v>
      </c>
      <c r="Q216" s="29">
        <f t="shared" ref="Q216" si="501">AVERAGE(J215:J216)</f>
        <v>0.70199999999999996</v>
      </c>
      <c r="R216" s="29">
        <f t="shared" ref="R216" si="502">AVERAGE(K215:K216)</f>
        <v>9.9989999999999996E-4</v>
      </c>
    </row>
    <row r="217" spans="1:18">
      <c r="A217" s="16">
        <v>2</v>
      </c>
      <c r="B217" s="24">
        <v>39707</v>
      </c>
      <c r="C217" s="16">
        <v>2008</v>
      </c>
      <c r="D217" s="11" t="s">
        <v>40</v>
      </c>
      <c r="E217" s="16">
        <v>9</v>
      </c>
      <c r="F217" s="25">
        <v>22.388000000000002</v>
      </c>
      <c r="G217" s="25">
        <v>8.7999999999999995E-2</v>
      </c>
      <c r="H217" s="25">
        <v>1.4370000000000001</v>
      </c>
      <c r="I217" s="25">
        <v>9.2729999999999997</v>
      </c>
      <c r="J217" s="25">
        <v>0.81499999999999995</v>
      </c>
      <c r="K217" s="25">
        <v>9.9989999999999996E-4</v>
      </c>
    </row>
    <row r="218" spans="1:18">
      <c r="A218" s="16">
        <v>16</v>
      </c>
      <c r="B218" s="24">
        <v>39707</v>
      </c>
      <c r="C218" s="16">
        <v>2008</v>
      </c>
      <c r="D218" s="11" t="s">
        <v>40</v>
      </c>
      <c r="E218" s="16">
        <v>9</v>
      </c>
      <c r="F218" s="25">
        <v>16.899999999999999</v>
      </c>
      <c r="G218" s="25">
        <v>0.09</v>
      </c>
      <c r="H218" s="25">
        <v>1.56</v>
      </c>
      <c r="I218" s="25">
        <v>6.1479999999999997</v>
      </c>
      <c r="J218" s="25">
        <v>0.93600000000000005</v>
      </c>
      <c r="K218" s="25">
        <v>9.9989999999999996E-4</v>
      </c>
      <c r="M218" s="29">
        <f>AVERAGE(F217:F218)</f>
        <v>19.643999999999998</v>
      </c>
      <c r="N218" s="29">
        <f t="shared" ref="N218" si="503">AVERAGE(G217:G218)</f>
        <v>8.8999999999999996E-2</v>
      </c>
      <c r="O218" s="29">
        <f t="shared" ref="O218" si="504">AVERAGE(H217:H218)</f>
        <v>1.4984999999999999</v>
      </c>
      <c r="P218" s="29">
        <f t="shared" ref="P218" si="505">AVERAGE(I217:I218)</f>
        <v>7.7104999999999997</v>
      </c>
      <c r="Q218" s="29">
        <f t="shared" ref="Q218" si="506">AVERAGE(J217:J218)</f>
        <v>0.87549999999999994</v>
      </c>
      <c r="R218" s="29">
        <f t="shared" ref="R218" si="507">AVERAGE(K217:K218)</f>
        <v>9.9989999999999996E-4</v>
      </c>
    </row>
    <row r="219" spans="1:18">
      <c r="A219" s="16">
        <v>2</v>
      </c>
      <c r="B219" s="24">
        <v>39737</v>
      </c>
      <c r="C219" s="16">
        <v>2008</v>
      </c>
      <c r="D219" s="11" t="s">
        <v>36</v>
      </c>
      <c r="E219" s="16">
        <v>10</v>
      </c>
      <c r="F219" s="25">
        <v>1.742</v>
      </c>
      <c r="G219" s="25">
        <v>1.4999999999999999E-2</v>
      </c>
      <c r="H219" s="25">
        <v>9.9989999999999996E-4</v>
      </c>
      <c r="I219" s="25">
        <v>0.32500000000000001</v>
      </c>
      <c r="J219" s="25">
        <v>2.5000000000000001E-2</v>
      </c>
      <c r="K219" s="25">
        <v>9.9989999999999996E-4</v>
      </c>
    </row>
    <row r="220" spans="1:18">
      <c r="A220" s="16">
        <v>16</v>
      </c>
      <c r="B220" s="24">
        <v>39737</v>
      </c>
      <c r="C220" s="16">
        <v>2008</v>
      </c>
      <c r="D220" s="11" t="s">
        <v>36</v>
      </c>
      <c r="E220" s="16">
        <v>10</v>
      </c>
      <c r="F220" s="25">
        <v>5.1740000000000004</v>
      </c>
      <c r="G220" s="25">
        <v>0.04</v>
      </c>
      <c r="H220" s="25">
        <v>0.218</v>
      </c>
      <c r="I220" s="25">
        <v>2.028</v>
      </c>
      <c r="J220" s="25">
        <v>0.34799999999999998</v>
      </c>
      <c r="K220" s="25">
        <v>9.9989999999999996E-4</v>
      </c>
      <c r="M220" s="29">
        <f>AVERAGE(F219:F220)</f>
        <v>3.4580000000000002</v>
      </c>
      <c r="N220" s="29">
        <f t="shared" ref="N220" si="508">AVERAGE(G219:G220)</f>
        <v>2.75E-2</v>
      </c>
      <c r="O220" s="29">
        <f t="shared" ref="O220" si="509">AVERAGE(H219:H220)</f>
        <v>0.10949995</v>
      </c>
      <c r="P220" s="29">
        <f t="shared" ref="P220" si="510">AVERAGE(I219:I220)</f>
        <v>1.1765000000000001</v>
      </c>
      <c r="Q220" s="29">
        <f t="shared" ref="Q220" si="511">AVERAGE(J219:J220)</f>
        <v>0.1865</v>
      </c>
      <c r="R220" s="29">
        <f t="shared" ref="R220" si="512">AVERAGE(K219:K220)</f>
        <v>9.9989999999999996E-4</v>
      </c>
    </row>
    <row r="221" spans="1:18">
      <c r="A221" s="16">
        <v>2</v>
      </c>
      <c r="B221" s="24">
        <v>39763</v>
      </c>
      <c r="C221" s="16">
        <v>2008</v>
      </c>
      <c r="D221" s="11" t="s">
        <v>37</v>
      </c>
      <c r="E221" s="16">
        <v>11</v>
      </c>
      <c r="F221" s="25">
        <v>2.1349999999999998</v>
      </c>
      <c r="G221" s="25">
        <v>0.03</v>
      </c>
      <c r="H221" s="25">
        <v>4.4999999999999998E-2</v>
      </c>
      <c r="I221" s="25">
        <v>0.56699999999999995</v>
      </c>
      <c r="J221" s="25">
        <v>2.5999999999999999E-2</v>
      </c>
      <c r="K221" s="25">
        <v>9.9989999999999996E-4</v>
      </c>
    </row>
    <row r="222" spans="1:18">
      <c r="A222" s="16">
        <v>16</v>
      </c>
      <c r="B222" s="24">
        <v>39763</v>
      </c>
      <c r="C222" s="16">
        <v>2008</v>
      </c>
      <c r="D222" s="11" t="s">
        <v>37</v>
      </c>
      <c r="E222" s="16">
        <v>11</v>
      </c>
      <c r="F222" s="25">
        <v>3.6680000000000001</v>
      </c>
      <c r="G222" s="25">
        <v>3.4000000000000002E-2</v>
      </c>
      <c r="H222" s="25">
        <v>0.104</v>
      </c>
      <c r="I222" s="25">
        <v>1.1859999999999999</v>
      </c>
      <c r="J222" s="25">
        <v>5.3999999999999999E-2</v>
      </c>
      <c r="K222" s="25">
        <v>9.9989999999999996E-4</v>
      </c>
      <c r="M222" s="29">
        <f>AVERAGE(F221:F222)</f>
        <v>2.9015</v>
      </c>
      <c r="N222" s="29">
        <f t="shared" ref="N222" si="513">AVERAGE(G221:G222)</f>
        <v>3.2000000000000001E-2</v>
      </c>
      <c r="O222" s="29">
        <f t="shared" ref="O222" si="514">AVERAGE(H221:H222)</f>
        <v>7.4499999999999997E-2</v>
      </c>
      <c r="P222" s="29">
        <f t="shared" ref="P222" si="515">AVERAGE(I221:I222)</f>
        <v>0.87649999999999995</v>
      </c>
      <c r="Q222" s="29">
        <f t="shared" ref="Q222" si="516">AVERAGE(J221:J222)</f>
        <v>0.04</v>
      </c>
      <c r="R222" s="29">
        <f t="shared" ref="R222" si="517">AVERAGE(K221:K222)</f>
        <v>9.9989999999999996E-4</v>
      </c>
    </row>
    <row r="223" spans="1:18">
      <c r="A223" s="16">
        <v>2</v>
      </c>
      <c r="B223" s="24">
        <v>39799</v>
      </c>
      <c r="C223" s="16">
        <v>2008</v>
      </c>
      <c r="D223" s="11" t="s">
        <v>38</v>
      </c>
      <c r="E223" s="16">
        <v>12</v>
      </c>
      <c r="F223" s="25">
        <v>6.0270000000000001</v>
      </c>
      <c r="G223" s="25">
        <v>8.8999999999999996E-2</v>
      </c>
      <c r="H223" s="25">
        <v>4.4999999999999998E-2</v>
      </c>
      <c r="I223" s="25">
        <v>2.09</v>
      </c>
      <c r="J223" s="25">
        <v>2.4E-2</v>
      </c>
      <c r="K223" s="25">
        <v>9.9989999999999996E-4</v>
      </c>
    </row>
    <row r="224" spans="1:18">
      <c r="A224" s="16">
        <v>16</v>
      </c>
      <c r="B224" s="24">
        <v>39800</v>
      </c>
      <c r="C224" s="16">
        <v>2008</v>
      </c>
      <c r="D224" s="11" t="s">
        <v>38</v>
      </c>
      <c r="E224" s="16">
        <v>12</v>
      </c>
      <c r="F224" s="25">
        <v>4.6399999999999997</v>
      </c>
      <c r="G224" s="25">
        <v>0.20599999999999999</v>
      </c>
      <c r="H224" s="25">
        <v>9.9989999999999996E-4</v>
      </c>
      <c r="I224" s="25">
        <v>1.4750000000000001</v>
      </c>
      <c r="J224" s="25">
        <v>6.9000000000000006E-2</v>
      </c>
      <c r="K224" s="25">
        <v>9.9989999999999996E-4</v>
      </c>
      <c r="M224" s="29">
        <f>AVERAGE(F223:F224)</f>
        <v>5.3334999999999999</v>
      </c>
      <c r="N224" s="29">
        <f t="shared" ref="N224" si="518">AVERAGE(G223:G224)</f>
        <v>0.14749999999999999</v>
      </c>
      <c r="O224" s="29">
        <f t="shared" ref="O224" si="519">AVERAGE(H223:H224)</f>
        <v>2.2999949999999998E-2</v>
      </c>
      <c r="P224" s="29">
        <f t="shared" ref="P224" si="520">AVERAGE(I223:I224)</f>
        <v>1.7825</v>
      </c>
      <c r="Q224" s="29">
        <f t="shared" ref="Q224" si="521">AVERAGE(J223:J224)</f>
        <v>4.65E-2</v>
      </c>
      <c r="R224" s="29">
        <f t="shared" ref="R224" si="522">AVERAGE(K223:K224)</f>
        <v>9.9989999999999996E-4</v>
      </c>
    </row>
    <row r="225" spans="1:18">
      <c r="A225" s="16">
        <v>2</v>
      </c>
      <c r="B225" s="24">
        <v>39825</v>
      </c>
      <c r="C225" s="16">
        <v>2009</v>
      </c>
      <c r="D225" s="11" t="s">
        <v>39</v>
      </c>
      <c r="E225" s="12">
        <v>1</v>
      </c>
      <c r="F225" s="25">
        <v>7.7110000000000003</v>
      </c>
      <c r="G225" s="25">
        <v>7.8E-2</v>
      </c>
      <c r="H225" s="25">
        <v>9.9989999999999996E-4</v>
      </c>
      <c r="I225" s="25">
        <v>3.0720000000000001</v>
      </c>
      <c r="J225" s="25">
        <v>1.6E-2</v>
      </c>
      <c r="K225" s="25">
        <v>9.9989999999999996E-4</v>
      </c>
    </row>
    <row r="226" spans="1:18">
      <c r="A226" s="16">
        <v>16</v>
      </c>
      <c r="B226" s="24">
        <v>39825</v>
      </c>
      <c r="C226" s="16">
        <v>2009</v>
      </c>
      <c r="D226" s="11" t="s">
        <v>39</v>
      </c>
      <c r="E226" s="12">
        <v>1</v>
      </c>
      <c r="F226" s="25">
        <v>6.8780000000000001</v>
      </c>
      <c r="G226" s="25">
        <v>0.11700000000000001</v>
      </c>
      <c r="H226" s="25">
        <v>9.9989999999999996E-4</v>
      </c>
      <c r="I226" s="25">
        <v>2.302</v>
      </c>
      <c r="J226" s="25">
        <v>2.7E-2</v>
      </c>
      <c r="K226" s="25">
        <v>9.9989999999999996E-4</v>
      </c>
      <c r="M226" s="29">
        <f>AVERAGE(F225:F226)</f>
        <v>7.2945000000000002</v>
      </c>
      <c r="N226" s="29">
        <f t="shared" ref="N226" si="523">AVERAGE(G225:G226)</f>
        <v>9.7500000000000003E-2</v>
      </c>
      <c r="O226" s="29">
        <f t="shared" ref="O226" si="524">AVERAGE(H225:H226)</f>
        <v>9.9989999999999996E-4</v>
      </c>
      <c r="P226" s="29">
        <f t="shared" ref="P226" si="525">AVERAGE(I225:I226)</f>
        <v>2.6870000000000003</v>
      </c>
      <c r="Q226" s="29">
        <f t="shared" ref="Q226" si="526">AVERAGE(J225:J226)</f>
        <v>2.1499999999999998E-2</v>
      </c>
      <c r="R226" s="29">
        <f t="shared" ref="R226" si="527">AVERAGE(K225:K226)</f>
        <v>9.9989999999999996E-4</v>
      </c>
    </row>
    <row r="227" spans="1:18">
      <c r="A227" s="12">
        <v>2</v>
      </c>
      <c r="B227" s="24">
        <v>39855</v>
      </c>
      <c r="C227" s="16">
        <v>2009</v>
      </c>
      <c r="D227" s="11" t="s">
        <v>28</v>
      </c>
      <c r="E227" s="12">
        <v>2</v>
      </c>
      <c r="F227" s="25">
        <v>5.3019999999999996</v>
      </c>
      <c r="G227" s="27">
        <v>3.5999999999999997E-2</v>
      </c>
      <c r="H227" s="27">
        <v>1E-3</v>
      </c>
      <c r="I227" s="27">
        <v>2.1419999999999999</v>
      </c>
      <c r="J227" s="27">
        <v>3.5999999999999997E-2</v>
      </c>
      <c r="K227" s="27">
        <v>9.9989999999999996E-4</v>
      </c>
    </row>
    <row r="228" spans="1:18">
      <c r="A228" s="12">
        <v>16</v>
      </c>
      <c r="B228" s="24">
        <v>39854</v>
      </c>
      <c r="C228" s="16">
        <v>2009</v>
      </c>
      <c r="D228" s="11" t="s">
        <v>28</v>
      </c>
      <c r="E228" s="12">
        <v>2</v>
      </c>
      <c r="F228" s="25">
        <v>4.5049999999999999</v>
      </c>
      <c r="G228" s="25">
        <v>0.04</v>
      </c>
      <c r="H228" s="25">
        <v>1E-3</v>
      </c>
      <c r="I228" s="25">
        <v>1.804</v>
      </c>
      <c r="J228" s="25">
        <v>2.7E-2</v>
      </c>
      <c r="K228" s="25">
        <v>9.9989999999999996E-4</v>
      </c>
      <c r="M228" s="29">
        <f>AVERAGE(F227:F228)</f>
        <v>4.9034999999999993</v>
      </c>
      <c r="N228" s="29">
        <f t="shared" ref="N228" si="528">AVERAGE(G227:G228)</f>
        <v>3.7999999999999999E-2</v>
      </c>
      <c r="O228" s="29">
        <f t="shared" ref="O228" si="529">AVERAGE(H227:H228)</f>
        <v>1E-3</v>
      </c>
      <c r="P228" s="29">
        <f t="shared" ref="P228" si="530">AVERAGE(I227:I228)</f>
        <v>1.9729999999999999</v>
      </c>
      <c r="Q228" s="29">
        <f t="shared" ref="Q228" si="531">AVERAGE(J227:J228)</f>
        <v>3.15E-2</v>
      </c>
      <c r="R228" s="29">
        <f t="shared" ref="R228" si="532">AVERAGE(K227:K228)</f>
        <v>9.9989999999999996E-4</v>
      </c>
    </row>
    <row r="229" spans="1:18">
      <c r="A229" s="12">
        <v>2</v>
      </c>
      <c r="B229" s="24">
        <v>39890</v>
      </c>
      <c r="C229" s="16">
        <v>2009</v>
      </c>
      <c r="D229" s="11" t="s">
        <v>29</v>
      </c>
      <c r="E229" s="12">
        <v>3</v>
      </c>
      <c r="F229" s="25">
        <v>4.0570000000000004</v>
      </c>
      <c r="G229" s="27">
        <v>1.7999999999999999E-2</v>
      </c>
      <c r="H229" s="27">
        <v>9.9989999999999996E-4</v>
      </c>
      <c r="I229" s="27">
        <v>1.752</v>
      </c>
      <c r="J229" s="27">
        <v>1.4999999999999999E-2</v>
      </c>
      <c r="K229" s="27">
        <v>9.9989999999999996E-4</v>
      </c>
    </row>
    <row r="230" spans="1:18">
      <c r="A230" s="12">
        <v>16</v>
      </c>
      <c r="B230" s="24">
        <v>39890</v>
      </c>
      <c r="C230" s="16">
        <v>2009</v>
      </c>
      <c r="D230" s="11" t="s">
        <v>29</v>
      </c>
      <c r="E230" s="12">
        <v>3</v>
      </c>
      <c r="F230" s="25">
        <v>3.7959999999999998</v>
      </c>
      <c r="G230" s="27">
        <v>1.2999999999999999E-2</v>
      </c>
      <c r="H230" s="27">
        <v>9.9989999999999996E-4</v>
      </c>
      <c r="I230" s="27">
        <v>1.6439999999999999</v>
      </c>
      <c r="J230" s="27">
        <v>3.5999999999999997E-2</v>
      </c>
      <c r="K230" s="27">
        <v>9.9989999999999996E-4</v>
      </c>
      <c r="M230" s="29">
        <f>AVERAGE(F229:F230)</f>
        <v>3.9264999999999999</v>
      </c>
      <c r="N230" s="29">
        <f t="shared" ref="N230" si="533">AVERAGE(G229:G230)</f>
        <v>1.55E-2</v>
      </c>
      <c r="O230" s="29">
        <f t="shared" ref="O230" si="534">AVERAGE(H229:H230)</f>
        <v>9.9989999999999996E-4</v>
      </c>
      <c r="P230" s="29">
        <f t="shared" ref="P230" si="535">AVERAGE(I229:I230)</f>
        <v>1.698</v>
      </c>
      <c r="Q230" s="29">
        <f t="shared" ref="Q230" si="536">AVERAGE(J229:J230)</f>
        <v>2.5499999999999998E-2</v>
      </c>
      <c r="R230" s="29">
        <f t="shared" ref="R230" si="537">AVERAGE(K229:K230)</f>
        <v>9.9989999999999996E-4</v>
      </c>
    </row>
    <row r="231" spans="1:18">
      <c r="A231" s="12">
        <v>2</v>
      </c>
      <c r="B231" s="24">
        <v>39920</v>
      </c>
      <c r="C231" s="16">
        <v>2009</v>
      </c>
      <c r="D231" s="11" t="s">
        <v>30</v>
      </c>
      <c r="E231" s="12">
        <v>4</v>
      </c>
      <c r="F231" s="25">
        <v>2.726</v>
      </c>
      <c r="G231" s="27">
        <v>2.3E-2</v>
      </c>
      <c r="H231" s="27">
        <v>1E-3</v>
      </c>
      <c r="I231" s="27">
        <v>1.1160000000000001</v>
      </c>
      <c r="J231" s="27">
        <v>1.4E-2</v>
      </c>
      <c r="K231" s="27">
        <v>9.9989999999999996E-4</v>
      </c>
    </row>
    <row r="232" spans="1:18">
      <c r="A232" s="12">
        <v>16</v>
      </c>
      <c r="B232" s="24">
        <v>39920</v>
      </c>
      <c r="C232" s="16">
        <v>2009</v>
      </c>
      <c r="D232" s="11" t="s">
        <v>30</v>
      </c>
      <c r="E232" s="12">
        <v>4</v>
      </c>
      <c r="F232" s="25">
        <v>2.3159999999999998</v>
      </c>
      <c r="G232" s="27">
        <v>8.9999999999999993E-3</v>
      </c>
      <c r="H232" s="27">
        <v>1E-3</v>
      </c>
      <c r="I232" s="27">
        <v>0.98</v>
      </c>
      <c r="J232" s="27">
        <v>1.4999999999999999E-2</v>
      </c>
      <c r="K232" s="27">
        <v>9.9989999999999996E-4</v>
      </c>
      <c r="M232" s="29">
        <f>AVERAGE(F231:F232)</f>
        <v>2.5209999999999999</v>
      </c>
      <c r="N232" s="29">
        <f t="shared" ref="N232" si="538">AVERAGE(G231:G232)</f>
        <v>1.6E-2</v>
      </c>
      <c r="O232" s="29">
        <f t="shared" ref="O232" si="539">AVERAGE(H231:H232)</f>
        <v>1E-3</v>
      </c>
      <c r="P232" s="29">
        <f t="shared" ref="P232" si="540">AVERAGE(I231:I232)</f>
        <v>1.048</v>
      </c>
      <c r="Q232" s="29">
        <f t="shared" ref="Q232" si="541">AVERAGE(J231:J232)</f>
        <v>1.4499999999999999E-2</v>
      </c>
      <c r="R232" s="29">
        <f t="shared" ref="R232" si="542">AVERAGE(K231:K232)</f>
        <v>9.9989999999999996E-4</v>
      </c>
    </row>
    <row r="233" spans="1:18">
      <c r="A233" s="12">
        <v>2</v>
      </c>
      <c r="B233" s="24">
        <v>39945</v>
      </c>
      <c r="C233" s="16">
        <v>2009</v>
      </c>
      <c r="D233" s="11" t="s">
        <v>31</v>
      </c>
      <c r="E233" s="12">
        <v>5</v>
      </c>
      <c r="F233" s="25">
        <v>3.7349999999999999</v>
      </c>
      <c r="G233" s="27">
        <v>3.2000000000000001E-2</v>
      </c>
      <c r="H233" s="27">
        <v>9.2999999999999999E-2</v>
      </c>
      <c r="I233" s="27">
        <v>0.85899999999999999</v>
      </c>
      <c r="J233" s="27">
        <v>1.4E-2</v>
      </c>
      <c r="K233" s="27">
        <v>9.9989999999999996E-4</v>
      </c>
    </row>
    <row r="234" spans="1:18">
      <c r="A234" s="12">
        <v>16</v>
      </c>
      <c r="B234" s="24">
        <v>39945</v>
      </c>
      <c r="C234" s="16">
        <v>2009</v>
      </c>
      <c r="D234" s="11" t="s">
        <v>31</v>
      </c>
      <c r="E234" s="12">
        <v>5</v>
      </c>
      <c r="F234" s="25">
        <v>8.7650000000000006</v>
      </c>
      <c r="G234" s="27">
        <v>0.112</v>
      </c>
      <c r="H234" s="27">
        <v>1.347</v>
      </c>
      <c r="I234" s="27">
        <v>3.9329999999999998</v>
      </c>
      <c r="J234" s="27">
        <v>6.9000000000000006E-2</v>
      </c>
      <c r="K234" s="27">
        <v>9.9989999999999996E-4</v>
      </c>
      <c r="M234" s="29">
        <f>AVERAGE(F233:F234)</f>
        <v>6.25</v>
      </c>
      <c r="N234" s="29">
        <f t="shared" ref="N234" si="543">AVERAGE(G233:G234)</f>
        <v>7.2000000000000008E-2</v>
      </c>
      <c r="O234" s="29">
        <f t="shared" ref="O234" si="544">AVERAGE(H233:H234)</f>
        <v>0.72</v>
      </c>
      <c r="P234" s="29">
        <f t="shared" ref="P234" si="545">AVERAGE(I233:I234)</f>
        <v>2.3959999999999999</v>
      </c>
      <c r="Q234" s="29">
        <f t="shared" ref="Q234" si="546">AVERAGE(J233:J234)</f>
        <v>4.1500000000000002E-2</v>
      </c>
      <c r="R234" s="29">
        <f t="shared" ref="R234" si="547">AVERAGE(K233:K234)</f>
        <v>9.9989999999999996E-4</v>
      </c>
    </row>
    <row r="235" spans="1:18">
      <c r="A235" s="16">
        <v>2</v>
      </c>
      <c r="B235" s="24">
        <v>39980</v>
      </c>
      <c r="C235" s="16">
        <v>2009</v>
      </c>
      <c r="D235" s="11" t="s">
        <v>32</v>
      </c>
      <c r="E235" s="12">
        <v>6</v>
      </c>
      <c r="F235" s="25">
        <v>7.8079999999999998</v>
      </c>
      <c r="G235" s="27">
        <v>5.7000000000000002E-2</v>
      </c>
      <c r="H235" s="27">
        <v>0.47099999999999997</v>
      </c>
      <c r="I235" s="27">
        <v>2.1469999999999998</v>
      </c>
      <c r="J235" s="27">
        <v>0.61099999999999999</v>
      </c>
      <c r="K235" s="27">
        <v>9.9989999999999996E-4</v>
      </c>
    </row>
    <row r="236" spans="1:18">
      <c r="A236" s="16">
        <v>16</v>
      </c>
      <c r="B236" s="24">
        <v>39980</v>
      </c>
      <c r="C236" s="16">
        <v>2009</v>
      </c>
      <c r="D236" s="11" t="s">
        <v>32</v>
      </c>
      <c r="E236" s="12">
        <v>6</v>
      </c>
      <c r="F236" s="25">
        <v>14.867000000000001</v>
      </c>
      <c r="G236" s="27">
        <v>0.13300000000000001</v>
      </c>
      <c r="H236" s="27">
        <v>1.1000000000000001</v>
      </c>
      <c r="I236" s="27">
        <v>4.673</v>
      </c>
      <c r="J236" s="27">
        <v>0.78200000000000003</v>
      </c>
      <c r="K236" s="27">
        <v>1E-3</v>
      </c>
      <c r="M236" s="29">
        <f>AVERAGE(F235:F236)</f>
        <v>11.3375</v>
      </c>
      <c r="N236" s="29">
        <f t="shared" ref="N236" si="548">AVERAGE(G235:G236)</f>
        <v>9.5000000000000001E-2</v>
      </c>
      <c r="O236" s="29">
        <f t="shared" ref="O236" si="549">AVERAGE(H235:H236)</f>
        <v>0.78550000000000009</v>
      </c>
      <c r="P236" s="29">
        <f t="shared" ref="P236" si="550">AVERAGE(I235:I236)</f>
        <v>3.41</v>
      </c>
      <c r="Q236" s="29">
        <f t="shared" ref="Q236" si="551">AVERAGE(J235:J236)</f>
        <v>0.69650000000000001</v>
      </c>
      <c r="R236" s="29">
        <f t="shared" ref="R236" si="552">AVERAGE(K235:K236)</f>
        <v>9.9994999999999988E-4</v>
      </c>
    </row>
    <row r="237" spans="1:18">
      <c r="A237" s="16">
        <v>2</v>
      </c>
      <c r="B237" s="24">
        <v>40009</v>
      </c>
      <c r="C237" s="16">
        <v>2009</v>
      </c>
      <c r="D237" s="11" t="s">
        <v>33</v>
      </c>
      <c r="E237" s="12">
        <v>7</v>
      </c>
      <c r="F237" s="25">
        <v>12.242000000000001</v>
      </c>
      <c r="G237" s="27">
        <v>0.11799999999999999</v>
      </c>
      <c r="H237" s="27">
        <v>0.03</v>
      </c>
      <c r="I237" s="27">
        <v>1.296</v>
      </c>
      <c r="J237" s="27">
        <v>2.2469999999999999</v>
      </c>
      <c r="K237" s="27">
        <v>1E-3</v>
      </c>
    </row>
    <row r="238" spans="1:18">
      <c r="A238" s="16">
        <v>16</v>
      </c>
      <c r="B238" s="24">
        <v>40009</v>
      </c>
      <c r="C238" s="16">
        <v>2009</v>
      </c>
      <c r="D238" s="11" t="s">
        <v>33</v>
      </c>
      <c r="E238" s="12">
        <v>7</v>
      </c>
      <c r="F238" s="25">
        <v>8.31</v>
      </c>
      <c r="G238" s="27">
        <v>0.1</v>
      </c>
      <c r="H238" s="27">
        <v>2.7E-2</v>
      </c>
      <c r="I238" s="27">
        <v>0.96699999999999997</v>
      </c>
      <c r="J238" s="27">
        <v>2.097</v>
      </c>
      <c r="K238" s="27">
        <v>1E-3</v>
      </c>
      <c r="M238" s="29">
        <f>AVERAGE(F237:F238)</f>
        <v>10.276</v>
      </c>
      <c r="N238" s="29">
        <f t="shared" ref="N238" si="553">AVERAGE(G237:G238)</f>
        <v>0.109</v>
      </c>
      <c r="O238" s="29">
        <f t="shared" ref="O238" si="554">AVERAGE(H237:H238)</f>
        <v>2.8499999999999998E-2</v>
      </c>
      <c r="P238" s="29">
        <f t="shared" ref="P238" si="555">AVERAGE(I237:I238)</f>
        <v>1.1315</v>
      </c>
      <c r="Q238" s="29">
        <f t="shared" ref="Q238" si="556">AVERAGE(J237:J238)</f>
        <v>2.1719999999999997</v>
      </c>
      <c r="R238" s="29">
        <f t="shared" ref="R238" si="557">AVERAGE(K237:K238)</f>
        <v>1E-3</v>
      </c>
    </row>
    <row r="239" spans="1:18">
      <c r="A239" s="16">
        <v>2</v>
      </c>
      <c r="B239" s="24">
        <v>40043</v>
      </c>
      <c r="C239" s="16">
        <v>2009</v>
      </c>
      <c r="D239" s="11" t="s">
        <v>34</v>
      </c>
      <c r="E239" s="12">
        <v>8</v>
      </c>
      <c r="F239" s="25">
        <v>15.622999999999999</v>
      </c>
      <c r="G239" s="27">
        <v>0.28299999999999997</v>
      </c>
      <c r="H239" s="27">
        <v>9.9989999999999996E-4</v>
      </c>
      <c r="I239" s="27">
        <v>2.4830000000000001</v>
      </c>
      <c r="J239" s="27">
        <v>1.58</v>
      </c>
      <c r="K239" s="27">
        <v>1E-3</v>
      </c>
    </row>
    <row r="240" spans="1:18">
      <c r="A240" s="16">
        <v>16</v>
      </c>
      <c r="B240" s="24">
        <v>40042</v>
      </c>
      <c r="C240" s="16">
        <v>2009</v>
      </c>
      <c r="D240" s="11" t="s">
        <v>34</v>
      </c>
      <c r="E240" s="12">
        <v>8</v>
      </c>
      <c r="F240" s="25">
        <v>17.271000000000001</v>
      </c>
      <c r="G240" s="27">
        <v>9.5000000000000001E-2</v>
      </c>
      <c r="H240" s="27">
        <v>1E-3</v>
      </c>
      <c r="I240" s="27">
        <v>3</v>
      </c>
      <c r="J240" s="27">
        <v>1.5209999999999999</v>
      </c>
      <c r="K240" s="27">
        <v>1E-3</v>
      </c>
      <c r="M240" s="29">
        <f>AVERAGE(F239:F240)</f>
        <v>16.446999999999999</v>
      </c>
      <c r="N240" s="29">
        <f t="shared" ref="N240" si="558">AVERAGE(G239:G240)</f>
        <v>0.189</v>
      </c>
      <c r="O240" s="29">
        <f t="shared" ref="O240" si="559">AVERAGE(H239:H240)</f>
        <v>9.9994999999999988E-4</v>
      </c>
      <c r="P240" s="29">
        <f t="shared" ref="P240" si="560">AVERAGE(I239:I240)</f>
        <v>2.7415000000000003</v>
      </c>
      <c r="Q240" s="29">
        <f t="shared" ref="Q240" si="561">AVERAGE(J239:J240)</f>
        <v>1.5505</v>
      </c>
      <c r="R240" s="29">
        <f t="shared" ref="R240" si="562">AVERAGE(K239:K240)</f>
        <v>1E-3</v>
      </c>
    </row>
    <row r="241" spans="1:18">
      <c r="A241" s="16">
        <v>2</v>
      </c>
      <c r="B241" s="24">
        <v>40070</v>
      </c>
      <c r="C241" s="16">
        <v>2009</v>
      </c>
      <c r="D241" s="11" t="s">
        <v>40</v>
      </c>
      <c r="E241" s="12">
        <v>9</v>
      </c>
      <c r="F241" s="25">
        <v>4.9349999999999996</v>
      </c>
      <c r="G241" s="27">
        <v>0.32200000000000001</v>
      </c>
      <c r="H241" s="27">
        <v>9.9989999999999996E-4</v>
      </c>
      <c r="I241" s="27">
        <v>0.98599999999999999</v>
      </c>
      <c r="J241" s="27">
        <v>0.10100000000000001</v>
      </c>
      <c r="K241" s="27">
        <v>9.9989999999999996E-4</v>
      </c>
    </row>
    <row r="242" spans="1:18">
      <c r="A242" s="16">
        <v>16</v>
      </c>
      <c r="B242" s="24">
        <v>40070</v>
      </c>
      <c r="C242" s="16">
        <v>2009</v>
      </c>
      <c r="D242" s="11" t="s">
        <v>40</v>
      </c>
      <c r="E242" s="12">
        <v>9</v>
      </c>
      <c r="F242" s="25">
        <v>22.917000000000002</v>
      </c>
      <c r="G242" s="27">
        <v>0.19500000000000001</v>
      </c>
      <c r="H242" s="27">
        <v>1E-3</v>
      </c>
      <c r="I242" s="27">
        <v>6.6849999999999996</v>
      </c>
      <c r="J242" s="27">
        <v>1.361</v>
      </c>
      <c r="K242" s="27">
        <v>9.9989999999999996E-4</v>
      </c>
      <c r="M242" s="29">
        <f>AVERAGE(F241:F242)</f>
        <v>13.926</v>
      </c>
      <c r="N242" s="29">
        <f t="shared" ref="N242" si="563">AVERAGE(G241:G242)</f>
        <v>0.25850000000000001</v>
      </c>
      <c r="O242" s="29">
        <f t="shared" ref="O242" si="564">AVERAGE(H241:H242)</f>
        <v>9.9994999999999988E-4</v>
      </c>
      <c r="P242" s="29">
        <f t="shared" ref="P242" si="565">AVERAGE(I241:I242)</f>
        <v>3.8354999999999997</v>
      </c>
      <c r="Q242" s="29">
        <f t="shared" ref="Q242" si="566">AVERAGE(J241:J242)</f>
        <v>0.73099999999999998</v>
      </c>
      <c r="R242" s="29">
        <f t="shared" ref="R242" si="567">AVERAGE(K241:K242)</f>
        <v>9.9989999999999996E-4</v>
      </c>
    </row>
    <row r="243" spans="1:18">
      <c r="A243" s="16">
        <v>2</v>
      </c>
      <c r="B243" s="24">
        <v>40099</v>
      </c>
      <c r="C243" s="16">
        <v>2009</v>
      </c>
      <c r="D243" s="11" t="s">
        <v>36</v>
      </c>
      <c r="E243" s="12">
        <v>10</v>
      </c>
      <c r="F243" s="25">
        <v>2.278</v>
      </c>
      <c r="G243" s="27">
        <v>0.03</v>
      </c>
      <c r="H243" s="27">
        <v>1.2999999999999999E-2</v>
      </c>
      <c r="I243" s="27">
        <v>0.31900000000000001</v>
      </c>
      <c r="J243" s="27">
        <v>9.1999999999999998E-2</v>
      </c>
      <c r="K243" s="27">
        <v>9.9989999999999996E-4</v>
      </c>
    </row>
    <row r="244" spans="1:18">
      <c r="A244" s="16">
        <v>16</v>
      </c>
      <c r="B244" s="24">
        <v>40099</v>
      </c>
      <c r="C244" s="16">
        <v>2009</v>
      </c>
      <c r="D244" s="11" t="s">
        <v>36</v>
      </c>
      <c r="E244" s="12">
        <v>10</v>
      </c>
      <c r="F244" s="25">
        <v>5.1630000000000003</v>
      </c>
      <c r="G244" s="27">
        <v>4.1000000000000002E-2</v>
      </c>
      <c r="H244" s="27">
        <v>3.3000000000000002E-2</v>
      </c>
      <c r="I244" s="27">
        <v>0.752</v>
      </c>
      <c r="J244" s="27">
        <v>0.46100000000000002</v>
      </c>
      <c r="K244" s="27">
        <v>9.9989999999999996E-4</v>
      </c>
      <c r="M244" s="29">
        <f>AVERAGE(F243:F244)</f>
        <v>3.7205000000000004</v>
      </c>
      <c r="N244" s="29">
        <f t="shared" ref="N244" si="568">AVERAGE(G243:G244)</f>
        <v>3.5500000000000004E-2</v>
      </c>
      <c r="O244" s="29">
        <f t="shared" ref="O244" si="569">AVERAGE(H243:H244)</f>
        <v>2.3E-2</v>
      </c>
      <c r="P244" s="29">
        <f t="shared" ref="P244" si="570">AVERAGE(I243:I244)</f>
        <v>0.53549999999999998</v>
      </c>
      <c r="Q244" s="29">
        <f t="shared" ref="Q244" si="571">AVERAGE(J243:J244)</f>
        <v>0.27650000000000002</v>
      </c>
      <c r="R244" s="29">
        <f t="shared" ref="R244" si="572">AVERAGE(K243:K244)</f>
        <v>9.9989999999999996E-4</v>
      </c>
    </row>
    <row r="245" spans="1:18">
      <c r="A245" s="16">
        <v>2</v>
      </c>
      <c r="B245" s="24">
        <v>40134</v>
      </c>
      <c r="C245" s="16">
        <v>2009</v>
      </c>
      <c r="D245" s="11" t="s">
        <v>37</v>
      </c>
      <c r="E245" s="12">
        <v>11</v>
      </c>
      <c r="F245" s="25">
        <v>2.2709999999999999</v>
      </c>
      <c r="G245" s="27">
        <v>0.22800000000000001</v>
      </c>
      <c r="H245" s="27">
        <v>9.9989999999999996E-4</v>
      </c>
      <c r="I245" s="27">
        <v>0.4</v>
      </c>
      <c r="J245" s="27">
        <v>2.1000000000000001E-2</v>
      </c>
      <c r="K245" s="27">
        <v>9.9989999999999996E-4</v>
      </c>
    </row>
    <row r="246" spans="1:18">
      <c r="A246" s="16">
        <v>16</v>
      </c>
      <c r="B246" s="24">
        <v>40133</v>
      </c>
      <c r="C246" s="16">
        <v>2009</v>
      </c>
      <c r="D246" s="11" t="s">
        <v>37</v>
      </c>
      <c r="E246" s="12">
        <v>11</v>
      </c>
      <c r="F246" s="25">
        <v>3.33</v>
      </c>
      <c r="G246" s="27">
        <v>8.3000000000000004E-2</v>
      </c>
      <c r="H246" s="27">
        <v>9.9989999999999996E-4</v>
      </c>
      <c r="I246" s="27">
        <v>0.57799999999999996</v>
      </c>
      <c r="J246" s="27">
        <v>4.2000000000000003E-2</v>
      </c>
      <c r="K246" s="27">
        <v>9.9989999999999996E-4</v>
      </c>
      <c r="M246" s="29">
        <f>AVERAGE(F245:F246)</f>
        <v>2.8005</v>
      </c>
      <c r="N246" s="29">
        <f t="shared" ref="N246" si="573">AVERAGE(G245:G246)</f>
        <v>0.1555</v>
      </c>
      <c r="O246" s="29">
        <f t="shared" ref="O246" si="574">AVERAGE(H245:H246)</f>
        <v>9.9989999999999996E-4</v>
      </c>
      <c r="P246" s="29">
        <f t="shared" ref="P246" si="575">AVERAGE(I245:I246)</f>
        <v>0.48899999999999999</v>
      </c>
      <c r="Q246" s="29">
        <f t="shared" ref="Q246" si="576">AVERAGE(J245:J246)</f>
        <v>3.15E-2</v>
      </c>
      <c r="R246" s="29">
        <f t="shared" ref="R246" si="577">AVERAGE(K245:K246)</f>
        <v>9.9989999999999996E-4</v>
      </c>
    </row>
    <row r="247" spans="1:18">
      <c r="A247" s="16">
        <v>2</v>
      </c>
      <c r="B247" s="24">
        <v>40161</v>
      </c>
      <c r="C247" s="16">
        <v>2009</v>
      </c>
      <c r="D247" s="11" t="s">
        <v>38</v>
      </c>
      <c r="E247" s="12">
        <v>12</v>
      </c>
      <c r="F247" s="25">
        <v>4.7210000000000001</v>
      </c>
      <c r="G247" s="27">
        <v>0.14399999999999999</v>
      </c>
      <c r="H247" s="27">
        <v>9.9989999999999996E-4</v>
      </c>
      <c r="I247" s="27">
        <v>1.171</v>
      </c>
      <c r="J247" s="27">
        <v>1.4999999999999999E-2</v>
      </c>
      <c r="K247" s="27">
        <v>9.9989999999999996E-4</v>
      </c>
    </row>
    <row r="248" spans="1:18">
      <c r="A248" s="16">
        <v>16</v>
      </c>
      <c r="B248" s="24">
        <v>40161</v>
      </c>
      <c r="C248" s="16">
        <v>2009</v>
      </c>
      <c r="D248" s="11" t="s">
        <v>38</v>
      </c>
      <c r="E248" s="12">
        <v>12</v>
      </c>
      <c r="F248" s="25">
        <v>5.6890000000000001</v>
      </c>
      <c r="G248" s="27">
        <v>0.32600000000000001</v>
      </c>
      <c r="H248" s="27">
        <v>1.0999999999999999E-2</v>
      </c>
      <c r="I248" s="27">
        <v>1.236</v>
      </c>
      <c r="J248" s="27">
        <v>2.5000000000000001E-2</v>
      </c>
      <c r="K248" s="27">
        <v>9.9989999999999996E-4</v>
      </c>
      <c r="M248" s="29">
        <f>AVERAGE(F247:F248)</f>
        <v>5.2050000000000001</v>
      </c>
      <c r="N248" s="29">
        <f t="shared" ref="N248" si="578">AVERAGE(G247:G248)</f>
        <v>0.23499999999999999</v>
      </c>
      <c r="O248" s="29">
        <f t="shared" ref="O248" si="579">AVERAGE(H247:H248)</f>
        <v>5.9999499999999996E-3</v>
      </c>
      <c r="P248" s="29">
        <f t="shared" ref="P248" si="580">AVERAGE(I247:I248)</f>
        <v>1.2035</v>
      </c>
      <c r="Q248" s="29">
        <f t="shared" ref="Q248" si="581">AVERAGE(J247:J248)</f>
        <v>0.02</v>
      </c>
      <c r="R248" s="29">
        <f t="shared" ref="R248" si="582">AVERAGE(K247:K248)</f>
        <v>9.9989999999999996E-4</v>
      </c>
    </row>
    <row r="249" spans="1:18">
      <c r="A249" s="16">
        <v>2</v>
      </c>
      <c r="B249" s="20">
        <v>40198</v>
      </c>
      <c r="C249" s="16">
        <v>2010</v>
      </c>
      <c r="D249" s="11" t="s">
        <v>39</v>
      </c>
      <c r="E249" s="16">
        <v>1</v>
      </c>
      <c r="F249" s="28">
        <v>8.5489999999999995</v>
      </c>
      <c r="G249" s="29">
        <v>0.16344762499999999</v>
      </c>
      <c r="H249" s="29">
        <v>0</v>
      </c>
      <c r="I249" s="29">
        <v>3.6769590000000001</v>
      </c>
      <c r="J249" s="29">
        <v>1.4557749999999998E-2</v>
      </c>
      <c r="K249" s="29">
        <v>0</v>
      </c>
    </row>
    <row r="250" spans="1:18">
      <c r="A250" s="16">
        <v>16</v>
      </c>
      <c r="B250" s="20">
        <v>40198</v>
      </c>
      <c r="C250" s="16">
        <v>2010</v>
      </c>
      <c r="D250" s="11" t="s">
        <v>39</v>
      </c>
      <c r="E250" s="16">
        <v>1</v>
      </c>
      <c r="F250" s="28">
        <v>3.5960000000000001</v>
      </c>
      <c r="G250" s="29">
        <v>9.3088875000000001E-2</v>
      </c>
      <c r="H250" s="29">
        <v>1.121525E-2</v>
      </c>
      <c r="I250" s="29">
        <v>1.4637470000000001</v>
      </c>
      <c r="J250" s="29">
        <v>1.0241375E-2</v>
      </c>
      <c r="K250" s="29">
        <v>0</v>
      </c>
      <c r="M250" s="29">
        <f>AVERAGE(F249:F250)</f>
        <v>6.0724999999999998</v>
      </c>
      <c r="N250" s="29">
        <f t="shared" ref="N250" si="583">AVERAGE(G249:G250)</f>
        <v>0.12826825</v>
      </c>
      <c r="O250" s="29">
        <f t="shared" ref="O250" si="584">AVERAGE(H249:H250)</f>
        <v>5.6076249999999998E-3</v>
      </c>
      <c r="P250" s="29">
        <f t="shared" ref="P250" si="585">AVERAGE(I249:I250)</f>
        <v>2.5703529999999999</v>
      </c>
      <c r="Q250" s="29">
        <f t="shared" ref="Q250" si="586">AVERAGE(J249:J250)</f>
        <v>1.2399562499999999E-2</v>
      </c>
      <c r="R250" s="29">
        <f t="shared" ref="R250" si="587">AVERAGE(K249:K250)</f>
        <v>0</v>
      </c>
    </row>
    <row r="251" spans="1:18">
      <c r="A251" s="16">
        <v>2</v>
      </c>
      <c r="B251" s="20">
        <v>40225</v>
      </c>
      <c r="C251" s="16">
        <v>2010</v>
      </c>
      <c r="D251" s="11" t="s">
        <v>28</v>
      </c>
      <c r="E251" s="16">
        <v>2</v>
      </c>
      <c r="F251" s="28">
        <v>8.0310000000000006</v>
      </c>
      <c r="G251" s="29">
        <v>0.41410862499999995</v>
      </c>
      <c r="H251" s="29">
        <v>0</v>
      </c>
      <c r="I251" s="29">
        <v>3.4302912500000002</v>
      </c>
      <c r="J251" s="29">
        <v>3.7194999999999999E-2</v>
      </c>
      <c r="K251" s="29">
        <v>0</v>
      </c>
    </row>
    <row r="252" spans="1:18">
      <c r="A252" s="16">
        <v>16</v>
      </c>
      <c r="B252" s="20">
        <v>40225</v>
      </c>
      <c r="C252" s="16">
        <v>2010</v>
      </c>
      <c r="D252" s="11" t="s">
        <v>28</v>
      </c>
      <c r="E252" s="16">
        <v>2</v>
      </c>
      <c r="F252" s="28">
        <v>5.2069999999999999</v>
      </c>
      <c r="G252" s="29">
        <v>0</v>
      </c>
      <c r="H252" s="29">
        <v>0</v>
      </c>
      <c r="I252" s="29">
        <v>0.95153149999999975</v>
      </c>
      <c r="J252" s="29">
        <v>5.2312374999999994E-2</v>
      </c>
      <c r="K252" s="29">
        <v>0</v>
      </c>
      <c r="M252" s="29">
        <f>AVERAGE(F251:F252)</f>
        <v>6.6189999999999998</v>
      </c>
      <c r="N252" s="29">
        <f t="shared" ref="N252" si="588">AVERAGE(G251:G252)</f>
        <v>0.20705431249999998</v>
      </c>
      <c r="O252" s="29">
        <f t="shared" ref="O252" si="589">AVERAGE(H251:H252)</f>
        <v>0</v>
      </c>
      <c r="P252" s="29">
        <f t="shared" ref="P252" si="590">AVERAGE(I251:I252)</f>
        <v>2.1909113749999998</v>
      </c>
      <c r="Q252" s="29">
        <f t="shared" ref="Q252" si="591">AVERAGE(J251:J252)</f>
        <v>4.47536875E-2</v>
      </c>
      <c r="R252" s="29">
        <f t="shared" ref="R252" si="592">AVERAGE(K251:K252)</f>
        <v>0</v>
      </c>
    </row>
    <row r="253" spans="1:18">
      <c r="A253" s="16">
        <v>2</v>
      </c>
      <c r="B253" s="20">
        <v>40254</v>
      </c>
      <c r="C253" s="16">
        <v>2010</v>
      </c>
      <c r="D253" s="11" t="s">
        <v>29</v>
      </c>
      <c r="E253" s="16">
        <v>3</v>
      </c>
      <c r="F253" s="28">
        <v>1.774</v>
      </c>
      <c r="G253" s="29">
        <v>5.6615249999999992E-2</v>
      </c>
      <c r="H253" s="29">
        <v>0</v>
      </c>
      <c r="I253" s="29">
        <v>0.70002162499999976</v>
      </c>
      <c r="J253" s="29">
        <v>1.5207874999999997E-2</v>
      </c>
      <c r="K253" s="29">
        <v>0</v>
      </c>
    </row>
    <row r="254" spans="1:18">
      <c r="A254" s="16">
        <v>16</v>
      </c>
      <c r="B254" s="20">
        <v>40254</v>
      </c>
      <c r="C254" s="16">
        <v>2010</v>
      </c>
      <c r="D254" s="11" t="s">
        <v>29</v>
      </c>
      <c r="E254" s="16">
        <v>3</v>
      </c>
      <c r="F254" s="28">
        <v>1.786</v>
      </c>
      <c r="G254" s="29">
        <v>1.9764999999999998E-2</v>
      </c>
      <c r="H254" s="29">
        <v>3.7476750000000003E-2</v>
      </c>
      <c r="I254" s="29">
        <v>0.80557250000000002</v>
      </c>
      <c r="J254" s="29">
        <v>2.3378625E-2</v>
      </c>
      <c r="K254" s="29">
        <v>0</v>
      </c>
      <c r="M254" s="29">
        <f>AVERAGE(F253:F254)</f>
        <v>1.78</v>
      </c>
      <c r="N254" s="29">
        <f t="shared" ref="N254" si="593">AVERAGE(G253:G254)</f>
        <v>3.8190124999999991E-2</v>
      </c>
      <c r="O254" s="29">
        <f t="shared" ref="O254" si="594">AVERAGE(H253:H254)</f>
        <v>1.8738375000000002E-2</v>
      </c>
      <c r="P254" s="29">
        <f t="shared" ref="P254" si="595">AVERAGE(I253:I254)</f>
        <v>0.75279706249999989</v>
      </c>
      <c r="Q254" s="29">
        <f t="shared" ref="Q254" si="596">AVERAGE(J253:J254)</f>
        <v>1.9293249999999998E-2</v>
      </c>
      <c r="R254" s="29">
        <f t="shared" ref="R254" si="597">AVERAGE(K253:K254)</f>
        <v>0</v>
      </c>
    </row>
    <row r="255" spans="1:18">
      <c r="A255" s="16">
        <v>2</v>
      </c>
      <c r="B255" s="20">
        <v>40282</v>
      </c>
      <c r="C255" s="16">
        <v>2010</v>
      </c>
      <c r="D255" s="11" t="s">
        <v>30</v>
      </c>
      <c r="E255" s="16">
        <v>4</v>
      </c>
      <c r="F255" s="28">
        <v>1.8720000000000001</v>
      </c>
      <c r="G255" s="29">
        <v>1.1188249999999999E-2</v>
      </c>
      <c r="H255" s="29">
        <v>0</v>
      </c>
      <c r="I255" s="29">
        <v>0.83571474999999995</v>
      </c>
      <c r="J255" s="29">
        <v>2.3276749999999995E-2</v>
      </c>
      <c r="K255" s="29">
        <v>0</v>
      </c>
    </row>
    <row r="256" spans="1:18">
      <c r="A256" s="16">
        <v>16</v>
      </c>
      <c r="B256" s="20">
        <v>40282</v>
      </c>
      <c r="C256" s="16">
        <v>2010</v>
      </c>
      <c r="D256" s="11" t="s">
        <v>30</v>
      </c>
      <c r="E256" s="16">
        <v>4</v>
      </c>
      <c r="F256" s="28">
        <v>2.0350000000000001</v>
      </c>
      <c r="G256" s="29">
        <v>0.125948</v>
      </c>
      <c r="H256" s="29">
        <v>0</v>
      </c>
      <c r="I256" s="29">
        <v>0.46775262499999998</v>
      </c>
      <c r="J256" s="29">
        <v>1.7507000000000002E-2</v>
      </c>
      <c r="K256" s="29">
        <v>0</v>
      </c>
      <c r="M256" s="29">
        <f>AVERAGE(F255:F256)</f>
        <v>1.9535</v>
      </c>
      <c r="N256" s="29">
        <f t="shared" ref="N256" si="598">AVERAGE(G255:G256)</f>
        <v>6.8568125000000008E-2</v>
      </c>
      <c r="O256" s="29">
        <f t="shared" ref="O256" si="599">AVERAGE(H255:H256)</f>
        <v>0</v>
      </c>
      <c r="P256" s="29">
        <f t="shared" ref="P256" si="600">AVERAGE(I255:I256)</f>
        <v>0.65173368749999994</v>
      </c>
      <c r="Q256" s="29">
        <f t="shared" ref="Q256" si="601">AVERAGE(J255:J256)</f>
        <v>2.0391874999999997E-2</v>
      </c>
      <c r="R256" s="29">
        <f t="shared" ref="R256" si="602">AVERAGE(K255:K256)</f>
        <v>0</v>
      </c>
    </row>
    <row r="257" spans="1:18">
      <c r="A257" s="16">
        <v>2</v>
      </c>
      <c r="B257" s="24">
        <v>40315</v>
      </c>
      <c r="C257" s="16">
        <v>2010</v>
      </c>
      <c r="D257" s="11" t="s">
        <v>31</v>
      </c>
      <c r="E257" s="16">
        <v>5</v>
      </c>
      <c r="F257" s="30">
        <v>1.4510000000000001</v>
      </c>
      <c r="G257" s="29">
        <v>3.6204874999999997E-2</v>
      </c>
      <c r="H257" s="29">
        <v>0</v>
      </c>
      <c r="I257" s="29">
        <v>0.35122549999999991</v>
      </c>
      <c r="J257" s="29">
        <v>1.87885E-2</v>
      </c>
      <c r="K257" s="29">
        <v>0</v>
      </c>
    </row>
    <row r="258" spans="1:18">
      <c r="A258" s="16">
        <v>16</v>
      </c>
      <c r="B258" s="24">
        <v>40315</v>
      </c>
      <c r="C258" s="16">
        <v>2010</v>
      </c>
      <c r="D258" s="11" t="s">
        <v>31</v>
      </c>
      <c r="E258" s="16">
        <v>5</v>
      </c>
      <c r="F258" s="30">
        <v>3.1819999999999999</v>
      </c>
      <c r="G258" s="29">
        <v>7.8933624999999993E-2</v>
      </c>
      <c r="H258" s="29">
        <v>5.3531124999999999E-2</v>
      </c>
      <c r="I258" s="29">
        <v>1.169100875</v>
      </c>
      <c r="J258" s="29">
        <v>6.5391500000000005E-2</v>
      </c>
      <c r="K258" s="29">
        <v>0</v>
      </c>
      <c r="M258" s="29">
        <f>AVERAGE(F257:F258)</f>
        <v>2.3165</v>
      </c>
      <c r="N258" s="29">
        <f t="shared" ref="N258" si="603">AVERAGE(G257:G258)</f>
        <v>5.7569249999999995E-2</v>
      </c>
      <c r="O258" s="29">
        <f t="shared" ref="O258" si="604">AVERAGE(H257:H258)</f>
        <v>2.6765562499999999E-2</v>
      </c>
      <c r="P258" s="29">
        <f t="shared" ref="P258" si="605">AVERAGE(I257:I258)</f>
        <v>0.7601631875</v>
      </c>
      <c r="Q258" s="29">
        <f t="shared" ref="Q258" si="606">AVERAGE(J257:J258)</f>
        <v>4.2090000000000002E-2</v>
      </c>
      <c r="R258" s="29">
        <f t="shared" ref="R258" si="607">AVERAGE(K257:K258)</f>
        <v>0</v>
      </c>
    </row>
    <row r="259" spans="1:18">
      <c r="A259" s="16">
        <v>2</v>
      </c>
      <c r="B259" s="24">
        <v>40344</v>
      </c>
      <c r="C259" s="16">
        <v>2010</v>
      </c>
      <c r="D259" s="11" t="s">
        <v>32</v>
      </c>
      <c r="E259" s="16">
        <v>6</v>
      </c>
      <c r="F259" s="30">
        <v>6.09</v>
      </c>
      <c r="G259" s="29">
        <v>0.15124800000000002</v>
      </c>
      <c r="H259" s="29">
        <v>1.5235625000000001E-2</v>
      </c>
      <c r="I259" s="29">
        <v>1.5108619999999997</v>
      </c>
      <c r="J259" s="29">
        <v>0.94931462499999986</v>
      </c>
      <c r="K259" s="29">
        <v>0</v>
      </c>
    </row>
    <row r="260" spans="1:18">
      <c r="A260" s="16">
        <v>16</v>
      </c>
      <c r="B260" s="24">
        <v>40344</v>
      </c>
      <c r="C260" s="16">
        <v>2010</v>
      </c>
      <c r="D260" s="11" t="s">
        <v>32</v>
      </c>
      <c r="E260" s="16">
        <v>6</v>
      </c>
      <c r="F260" s="30">
        <v>8.3989999999999991</v>
      </c>
      <c r="G260" s="29">
        <v>0.1656985</v>
      </c>
      <c r="H260" s="29">
        <v>0</v>
      </c>
      <c r="I260" s="29">
        <v>1.5433611249999997</v>
      </c>
      <c r="J260" s="29">
        <v>2.1816978749999998</v>
      </c>
      <c r="K260" s="29">
        <v>0</v>
      </c>
      <c r="M260" s="29">
        <f>AVERAGE(F259:F260)</f>
        <v>7.2444999999999995</v>
      </c>
      <c r="N260" s="29">
        <f t="shared" ref="N260" si="608">AVERAGE(G259:G260)</f>
        <v>0.15847325000000001</v>
      </c>
      <c r="O260" s="29">
        <f t="shared" ref="O260" si="609">AVERAGE(H259:H260)</f>
        <v>7.6178125000000005E-3</v>
      </c>
      <c r="P260" s="29">
        <f t="shared" ref="P260" si="610">AVERAGE(I259:I260)</f>
        <v>1.5271115624999996</v>
      </c>
      <c r="Q260" s="29">
        <f t="shared" ref="Q260" si="611">AVERAGE(J259:J260)</f>
        <v>1.5655062499999999</v>
      </c>
      <c r="R260" s="29">
        <f t="shared" ref="R260" si="612">AVERAGE(K259:K260)</f>
        <v>0</v>
      </c>
    </row>
    <row r="261" spans="1:18">
      <c r="A261" s="16">
        <v>2</v>
      </c>
      <c r="B261" s="24">
        <v>40371</v>
      </c>
      <c r="C261" s="16">
        <v>2010</v>
      </c>
      <c r="D261" s="11" t="s">
        <v>33</v>
      </c>
      <c r="E261" s="16">
        <v>7</v>
      </c>
      <c r="F261" s="30">
        <v>9.2140000000000004</v>
      </c>
      <c r="G261" s="29">
        <v>0.70648687499999985</v>
      </c>
      <c r="H261" s="29">
        <v>0</v>
      </c>
      <c r="I261" s="29">
        <v>2.5314336249999996</v>
      </c>
      <c r="J261" s="29">
        <v>0.32747687499999995</v>
      </c>
      <c r="K261" s="29">
        <v>0</v>
      </c>
    </row>
    <row r="262" spans="1:18">
      <c r="A262" s="16">
        <v>16</v>
      </c>
      <c r="B262" s="24">
        <v>40371</v>
      </c>
      <c r="C262" s="16">
        <v>2010</v>
      </c>
      <c r="D262" s="11" t="s">
        <v>33</v>
      </c>
      <c r="E262" s="16">
        <v>7</v>
      </c>
      <c r="F262" s="30">
        <v>13.456</v>
      </c>
      <c r="G262" s="29">
        <v>0.22884624999999997</v>
      </c>
      <c r="H262" s="29">
        <v>4.1947375000000002E-2</v>
      </c>
      <c r="I262" s="29">
        <v>2.285654375</v>
      </c>
      <c r="J262" s="29">
        <v>2.4358744999999997</v>
      </c>
      <c r="K262" s="29">
        <v>0</v>
      </c>
      <c r="M262" s="29">
        <f>AVERAGE(F261:F262)</f>
        <v>11.335000000000001</v>
      </c>
      <c r="N262" s="29">
        <f t="shared" ref="N262" si="613">AVERAGE(G261:G262)</f>
        <v>0.46766656249999994</v>
      </c>
      <c r="O262" s="29">
        <f t="shared" ref="O262" si="614">AVERAGE(H261:H262)</f>
        <v>2.0973687500000001E-2</v>
      </c>
      <c r="P262" s="29">
        <f t="shared" ref="P262" si="615">AVERAGE(I261:I262)</f>
        <v>2.408544</v>
      </c>
      <c r="Q262" s="29">
        <f t="shared" ref="Q262" si="616">AVERAGE(J261:J262)</f>
        <v>1.3816756874999998</v>
      </c>
      <c r="R262" s="29">
        <f t="shared" ref="R262" si="617">AVERAGE(K261:K262)</f>
        <v>0</v>
      </c>
    </row>
    <row r="263" spans="1:18">
      <c r="A263" s="16">
        <v>2</v>
      </c>
      <c r="B263" s="24">
        <v>40407</v>
      </c>
      <c r="C263" s="16">
        <v>2010</v>
      </c>
      <c r="D263" s="11" t="s">
        <v>34</v>
      </c>
      <c r="E263" s="16">
        <v>8</v>
      </c>
      <c r="F263" s="30">
        <v>10.113</v>
      </c>
      <c r="G263" s="29">
        <v>0.35030887499999996</v>
      </c>
      <c r="H263" s="29">
        <v>0</v>
      </c>
      <c r="I263" s="29">
        <v>3.7327789999999998</v>
      </c>
      <c r="J263" s="29">
        <v>0.92951324999999985</v>
      </c>
      <c r="K263" s="29">
        <v>0</v>
      </c>
    </row>
    <row r="264" spans="1:18">
      <c r="A264" s="16">
        <v>16</v>
      </c>
      <c r="B264" s="24">
        <v>40407</v>
      </c>
      <c r="C264" s="16">
        <v>2010</v>
      </c>
      <c r="D264" s="11" t="s">
        <v>34</v>
      </c>
      <c r="E264" s="16">
        <v>8</v>
      </c>
      <c r="F264" s="30">
        <v>10.69</v>
      </c>
      <c r="G264" s="29">
        <v>0.18240324999999999</v>
      </c>
      <c r="H264" s="29">
        <v>0</v>
      </c>
      <c r="I264" s="29">
        <v>4.1785708750000001</v>
      </c>
      <c r="J264" s="29">
        <v>0.90516687499999993</v>
      </c>
      <c r="K264" s="29">
        <v>0</v>
      </c>
      <c r="M264" s="29">
        <f>AVERAGE(F263:F264)</f>
        <v>10.401499999999999</v>
      </c>
      <c r="N264" s="29">
        <f t="shared" ref="N264" si="618">AVERAGE(G263:G264)</f>
        <v>0.26635606249999999</v>
      </c>
      <c r="O264" s="29">
        <f t="shared" ref="O264" si="619">AVERAGE(H263:H264)</f>
        <v>0</v>
      </c>
      <c r="P264" s="29">
        <f t="shared" ref="P264" si="620">AVERAGE(I263:I264)</f>
        <v>3.9556749375</v>
      </c>
      <c r="Q264" s="29">
        <f t="shared" ref="Q264" si="621">AVERAGE(J263:J264)</f>
        <v>0.91734006249999989</v>
      </c>
      <c r="R264" s="29">
        <f t="shared" ref="R264" si="622">AVERAGE(K263:K264)</f>
        <v>0</v>
      </c>
    </row>
    <row r="265" spans="1:18">
      <c r="A265" s="16">
        <v>2</v>
      </c>
      <c r="B265" s="24">
        <v>40436</v>
      </c>
      <c r="C265" s="16">
        <v>2010</v>
      </c>
      <c r="D265" s="11" t="s">
        <v>40</v>
      </c>
      <c r="E265" s="16">
        <v>9</v>
      </c>
      <c r="F265" s="30">
        <v>15.021000000000001</v>
      </c>
      <c r="G265" s="29">
        <v>0</v>
      </c>
      <c r="H265" s="29">
        <v>0</v>
      </c>
      <c r="I265" s="29">
        <v>7.8999865000000007</v>
      </c>
      <c r="J265" s="29">
        <v>0.27267437500000002</v>
      </c>
      <c r="K265" s="29">
        <v>0</v>
      </c>
    </row>
    <row r="266" spans="1:18">
      <c r="A266" s="16">
        <v>16</v>
      </c>
      <c r="B266" s="24">
        <v>40436</v>
      </c>
      <c r="C266" s="16">
        <v>2010</v>
      </c>
      <c r="D266" s="11" t="s">
        <v>40</v>
      </c>
      <c r="E266" s="16">
        <v>9</v>
      </c>
      <c r="F266" s="30">
        <v>12.462999999999999</v>
      </c>
      <c r="G266" s="29">
        <v>0.23630837499999999</v>
      </c>
      <c r="H266" s="29">
        <v>0</v>
      </c>
      <c r="I266" s="29">
        <v>4.76846675</v>
      </c>
      <c r="J266" s="29">
        <v>0.73649462499999985</v>
      </c>
      <c r="K266" s="29">
        <v>0</v>
      </c>
      <c r="M266" s="29">
        <f>AVERAGE(F265:F266)</f>
        <v>13.742000000000001</v>
      </c>
      <c r="N266" s="29">
        <f t="shared" ref="N266" si="623">AVERAGE(G265:G266)</f>
        <v>0.11815418749999999</v>
      </c>
      <c r="O266" s="29">
        <f t="shared" ref="O266" si="624">AVERAGE(H265:H266)</f>
        <v>0</v>
      </c>
      <c r="P266" s="29">
        <f t="shared" ref="P266" si="625">AVERAGE(I265:I266)</f>
        <v>6.3342266250000003</v>
      </c>
      <c r="Q266" s="29">
        <f t="shared" ref="Q266" si="626">AVERAGE(J265:J266)</f>
        <v>0.50458449999999999</v>
      </c>
      <c r="R266" s="29">
        <f t="shared" ref="R266" si="627">AVERAGE(K265:K266)</f>
        <v>0</v>
      </c>
    </row>
    <row r="267" spans="1:18">
      <c r="A267" s="16">
        <v>2</v>
      </c>
      <c r="B267" s="24">
        <v>40464</v>
      </c>
      <c r="C267" s="16">
        <v>2010</v>
      </c>
      <c r="D267" s="11" t="s">
        <v>36</v>
      </c>
      <c r="E267" s="16">
        <v>10</v>
      </c>
      <c r="F267" s="28">
        <v>3.5270000000000001</v>
      </c>
      <c r="G267" s="29">
        <v>0</v>
      </c>
      <c r="H267" s="29">
        <v>0</v>
      </c>
      <c r="I267" s="29">
        <v>0.82859950000000004</v>
      </c>
      <c r="J267" s="29">
        <v>6.1223999999999994E-2</v>
      </c>
      <c r="K267" s="29">
        <v>0</v>
      </c>
    </row>
    <row r="268" spans="1:18">
      <c r="A268" s="16">
        <v>16</v>
      </c>
      <c r="B268" s="24">
        <v>40464</v>
      </c>
      <c r="C268" s="16">
        <v>2010</v>
      </c>
      <c r="D268" s="11" t="s">
        <v>36</v>
      </c>
      <c r="E268" s="16">
        <v>10</v>
      </c>
      <c r="F268" s="28">
        <v>2.2570000000000001</v>
      </c>
      <c r="G268" s="29">
        <v>3.1358999999999998E-2</v>
      </c>
      <c r="H268" s="29">
        <v>0</v>
      </c>
      <c r="I268" s="29">
        <v>0.39194024999999993</v>
      </c>
      <c r="J268" s="29">
        <v>6.5480750000000004E-2</v>
      </c>
      <c r="K268" s="29">
        <v>0</v>
      </c>
      <c r="M268" s="29">
        <f>AVERAGE(F267:F268)</f>
        <v>2.8920000000000003</v>
      </c>
      <c r="N268" s="29">
        <f t="shared" ref="N268" si="628">AVERAGE(G267:G268)</f>
        <v>1.5679499999999999E-2</v>
      </c>
      <c r="O268" s="29">
        <f t="shared" ref="O268" si="629">AVERAGE(H267:H268)</f>
        <v>0</v>
      </c>
      <c r="P268" s="29">
        <f t="shared" ref="P268" si="630">AVERAGE(I267:I268)</f>
        <v>0.61026987499999996</v>
      </c>
      <c r="Q268" s="29">
        <f t="shared" ref="Q268" si="631">AVERAGE(J267:J268)</f>
        <v>6.3352375000000002E-2</v>
      </c>
      <c r="R268" s="29">
        <f t="shared" ref="R268" si="632">AVERAGE(K267:K268)</f>
        <v>0</v>
      </c>
    </row>
    <row r="269" spans="1:18">
      <c r="A269" s="16">
        <v>2</v>
      </c>
      <c r="B269" s="24">
        <v>40498</v>
      </c>
      <c r="C269" s="16">
        <v>2010</v>
      </c>
      <c r="D269" s="11" t="s">
        <v>37</v>
      </c>
      <c r="E269" s="16">
        <v>11</v>
      </c>
      <c r="F269" s="28">
        <v>0.999</v>
      </c>
      <c r="G269" s="29">
        <v>0</v>
      </c>
      <c r="H269" s="29">
        <v>0</v>
      </c>
      <c r="I269" s="29">
        <v>0.30490949999999994</v>
      </c>
      <c r="J269" s="29">
        <v>0</v>
      </c>
      <c r="K269" s="29">
        <v>0</v>
      </c>
    </row>
    <row r="270" spans="1:18">
      <c r="A270" s="16">
        <v>16</v>
      </c>
      <c r="B270" s="24">
        <v>40498</v>
      </c>
      <c r="C270" s="16">
        <v>2010</v>
      </c>
      <c r="D270" s="11" t="s">
        <v>37</v>
      </c>
      <c r="E270" s="16">
        <v>11</v>
      </c>
      <c r="F270" s="28">
        <v>1.748</v>
      </c>
      <c r="G270" s="29">
        <v>0</v>
      </c>
      <c r="H270" s="29">
        <v>0.12859987500000003</v>
      </c>
      <c r="I270" s="29">
        <v>0.54359587499999984</v>
      </c>
      <c r="J270" s="29">
        <v>0.15645562499999999</v>
      </c>
      <c r="K270" s="29">
        <v>0</v>
      </c>
      <c r="M270" s="29">
        <f>AVERAGE(F269:F270)</f>
        <v>1.3734999999999999</v>
      </c>
      <c r="N270" s="29">
        <f t="shared" ref="N270" si="633">AVERAGE(G269:G270)</f>
        <v>0</v>
      </c>
      <c r="O270" s="29">
        <f t="shared" ref="O270" si="634">AVERAGE(H269:H270)</f>
        <v>6.4299937500000015E-2</v>
      </c>
      <c r="P270" s="29">
        <f t="shared" ref="P270" si="635">AVERAGE(I269:I270)</f>
        <v>0.42425268749999989</v>
      </c>
      <c r="Q270" s="29">
        <f t="shared" ref="Q270" si="636">AVERAGE(J269:J270)</f>
        <v>7.8227812499999994E-2</v>
      </c>
      <c r="R270" s="29">
        <f t="shared" ref="R270" si="637">AVERAGE(K269:K270)</f>
        <v>0</v>
      </c>
    </row>
    <row r="271" spans="1:18">
      <c r="A271" s="16">
        <v>2</v>
      </c>
      <c r="B271" s="24">
        <v>40520</v>
      </c>
      <c r="C271" s="16">
        <v>2010</v>
      </c>
      <c r="D271" s="11" t="s">
        <v>38</v>
      </c>
      <c r="E271" s="16">
        <v>12</v>
      </c>
      <c r="F271" s="28">
        <v>3.78</v>
      </c>
      <c r="G271" s="29">
        <v>3.0404750000000005E-2</v>
      </c>
      <c r="H271" s="29">
        <v>0.10052362499999998</v>
      </c>
      <c r="I271" s="29">
        <v>1.3998647499999997</v>
      </c>
      <c r="J271" s="29">
        <v>0.14647699999999997</v>
      </c>
      <c r="K271" s="29">
        <v>0</v>
      </c>
    </row>
    <row r="272" spans="1:18">
      <c r="A272" s="16">
        <v>16</v>
      </c>
      <c r="B272" s="24">
        <v>40520</v>
      </c>
      <c r="C272" s="16">
        <v>2010</v>
      </c>
      <c r="D272" s="11" t="s">
        <v>38</v>
      </c>
      <c r="E272" s="16">
        <v>12</v>
      </c>
      <c r="F272" s="28">
        <v>2.7549999999999999</v>
      </c>
      <c r="G272" s="29">
        <v>5.2001375000000002E-2</v>
      </c>
      <c r="H272" s="29">
        <v>7.1455000000000005E-2</v>
      </c>
      <c r="I272" s="29">
        <v>0.84848762499999997</v>
      </c>
      <c r="J272" s="29">
        <v>7.2767625000000002E-2</v>
      </c>
      <c r="K272" s="29">
        <v>0</v>
      </c>
      <c r="M272" s="29">
        <f>AVERAGE(F271:F272)</f>
        <v>3.2675000000000001</v>
      </c>
      <c r="N272" s="29">
        <f t="shared" ref="N272" si="638">AVERAGE(G271:G272)</f>
        <v>4.1203062500000005E-2</v>
      </c>
      <c r="O272" s="29">
        <f t="shared" ref="O272" si="639">AVERAGE(H271:H272)</f>
        <v>8.5989312499999998E-2</v>
      </c>
      <c r="P272" s="29">
        <f t="shared" ref="P272" si="640">AVERAGE(I271:I272)</f>
        <v>1.1241761874999998</v>
      </c>
      <c r="Q272" s="29">
        <f t="shared" ref="Q272" si="641">AVERAGE(J271:J272)</f>
        <v>0.10962231249999999</v>
      </c>
      <c r="R272" s="29">
        <f t="shared" ref="R272" si="642">AVERAGE(K271:K272)</f>
        <v>0</v>
      </c>
    </row>
    <row r="273" spans="1:18">
      <c r="A273" s="16">
        <v>2</v>
      </c>
      <c r="B273" s="24">
        <v>40562</v>
      </c>
      <c r="C273" s="16">
        <v>2011</v>
      </c>
      <c r="D273" s="11" t="s">
        <v>39</v>
      </c>
      <c r="E273" s="16">
        <v>1</v>
      </c>
      <c r="F273" s="28">
        <v>6.5730000000000004</v>
      </c>
      <c r="G273" s="29">
        <v>4.8624500000000001E-2</v>
      </c>
      <c r="H273" s="29">
        <v>0</v>
      </c>
      <c r="I273" s="29">
        <v>3.0776975000000002</v>
      </c>
      <c r="J273" s="29">
        <v>2.2323875E-2</v>
      </c>
      <c r="K273" s="29">
        <v>0</v>
      </c>
    </row>
    <row r="274" spans="1:18">
      <c r="A274" s="16">
        <v>16</v>
      </c>
      <c r="B274" s="24">
        <v>40562</v>
      </c>
      <c r="C274" s="16">
        <v>2011</v>
      </c>
      <c r="D274" s="11" t="s">
        <v>39</v>
      </c>
      <c r="E274" s="16">
        <v>1</v>
      </c>
      <c r="F274" s="28">
        <v>4.1449999999999996</v>
      </c>
      <c r="G274" s="29">
        <v>4.5679749999999991E-2</v>
      </c>
      <c r="H274" s="29">
        <v>0</v>
      </c>
      <c r="I274" s="29">
        <v>1.620601</v>
      </c>
      <c r="J274" s="29">
        <v>1.7066125000000001E-2</v>
      </c>
      <c r="K274" s="29">
        <v>3.0343750000000006E-3</v>
      </c>
      <c r="M274" s="29"/>
      <c r="N274" s="29"/>
      <c r="O274" s="29"/>
      <c r="P274" s="29"/>
      <c r="Q274" s="29"/>
      <c r="R274" s="29"/>
    </row>
    <row r="275" spans="1:18">
      <c r="A275" s="16">
        <v>16</v>
      </c>
      <c r="B275" s="24">
        <v>40562</v>
      </c>
      <c r="C275" s="16">
        <v>2011</v>
      </c>
      <c r="D275" s="11" t="s">
        <v>39</v>
      </c>
      <c r="E275" s="16">
        <v>1</v>
      </c>
      <c r="F275" s="28">
        <v>4.1449999999999996</v>
      </c>
      <c r="G275" s="29">
        <v>3.0444624999999993E-2</v>
      </c>
      <c r="H275" s="29">
        <v>0</v>
      </c>
      <c r="I275" s="29">
        <v>1.528445625</v>
      </c>
      <c r="J275" s="29">
        <v>1.4728374999999998E-2</v>
      </c>
      <c r="K275" s="29">
        <v>0</v>
      </c>
      <c r="L275" t="s">
        <v>41</v>
      </c>
      <c r="M275" s="29">
        <f>AVERAGE(F273:F275)</f>
        <v>4.9543333333333335</v>
      </c>
      <c r="N275" s="29">
        <f t="shared" ref="N275:R275" si="643">AVERAGE(G273:G275)</f>
        <v>4.1582958333333329E-2</v>
      </c>
      <c r="O275" s="29">
        <f t="shared" si="643"/>
        <v>0</v>
      </c>
      <c r="P275" s="29">
        <f t="shared" si="643"/>
        <v>2.0755813750000001</v>
      </c>
      <c r="Q275" s="29">
        <f t="shared" si="643"/>
        <v>1.8039458333333331E-2</v>
      </c>
      <c r="R275" s="29">
        <f t="shared" si="643"/>
        <v>1.0114583333333336E-3</v>
      </c>
    </row>
    <row r="276" spans="1:18">
      <c r="A276" s="16">
        <v>2</v>
      </c>
      <c r="B276" s="24">
        <v>40591</v>
      </c>
      <c r="C276" s="16">
        <v>2011</v>
      </c>
      <c r="D276" s="11" t="s">
        <v>28</v>
      </c>
      <c r="E276" s="16">
        <v>2</v>
      </c>
      <c r="F276" s="28">
        <v>3.4020000000000001</v>
      </c>
      <c r="G276" s="29">
        <v>7.1068999999999979E-2</v>
      </c>
      <c r="H276" s="29">
        <v>0</v>
      </c>
      <c r="I276" s="29">
        <v>1.2885806249999998</v>
      </c>
      <c r="J276" s="29">
        <v>2.0115124999999998E-2</v>
      </c>
      <c r="K276" s="29">
        <v>0</v>
      </c>
    </row>
    <row r="277" spans="1:18">
      <c r="A277" s="16">
        <v>16</v>
      </c>
      <c r="B277" s="24">
        <v>40591</v>
      </c>
      <c r="C277" s="16">
        <v>2011</v>
      </c>
      <c r="D277" s="11" t="s">
        <v>28</v>
      </c>
      <c r="E277" s="16">
        <v>2</v>
      </c>
      <c r="F277" s="28">
        <v>3.0339999999999998</v>
      </c>
      <c r="G277" s="29">
        <v>6.7142999999999994E-2</v>
      </c>
      <c r="H277" s="29">
        <v>0</v>
      </c>
      <c r="I277" s="29">
        <v>1.1445351249999998</v>
      </c>
      <c r="J277" s="29">
        <v>2.2108749999999996E-2</v>
      </c>
      <c r="K277" s="29">
        <v>0</v>
      </c>
      <c r="M277" s="29">
        <f>AVERAGE(F276:F277)</f>
        <v>3.218</v>
      </c>
      <c r="N277" s="29">
        <f t="shared" ref="N277" si="644">AVERAGE(G276:G277)</f>
        <v>6.9105999999999987E-2</v>
      </c>
      <c r="O277" s="29">
        <f t="shared" ref="O277" si="645">AVERAGE(H276:H277)</f>
        <v>0</v>
      </c>
      <c r="P277" s="29">
        <f t="shared" ref="P277" si="646">AVERAGE(I276:I277)</f>
        <v>1.2165578749999999</v>
      </c>
      <c r="Q277" s="29">
        <f t="shared" ref="Q277" si="647">AVERAGE(J276:J277)</f>
        <v>2.1111937499999997E-2</v>
      </c>
      <c r="R277" s="29">
        <f t="shared" ref="R277" si="648">AVERAGE(K276:K277)</f>
        <v>0</v>
      </c>
    </row>
    <row r="278" spans="1:18">
      <c r="A278" s="16">
        <v>2</v>
      </c>
      <c r="B278" s="24">
        <v>40619</v>
      </c>
      <c r="C278" s="16">
        <v>2011</v>
      </c>
      <c r="D278" s="11" t="s">
        <v>29</v>
      </c>
      <c r="E278" s="16">
        <v>3</v>
      </c>
      <c r="F278" s="28">
        <v>8.7029999999999994</v>
      </c>
      <c r="G278" s="29">
        <v>2.7748124999999998E-2</v>
      </c>
      <c r="H278" s="29">
        <v>0</v>
      </c>
      <c r="I278" s="29">
        <v>4.005196625</v>
      </c>
      <c r="J278" s="29">
        <v>1.7829749999999998E-2</v>
      </c>
      <c r="K278" s="29">
        <v>0</v>
      </c>
    </row>
    <row r="279" spans="1:18">
      <c r="A279" s="16">
        <v>16</v>
      </c>
      <c r="B279" s="24">
        <v>40619</v>
      </c>
      <c r="C279" s="16">
        <v>2011</v>
      </c>
      <c r="D279" s="11" t="s">
        <v>29</v>
      </c>
      <c r="E279" s="16">
        <v>3</v>
      </c>
      <c r="F279" s="28">
        <v>2.177</v>
      </c>
      <c r="G279" s="29">
        <v>1.7127625000000004E-2</v>
      </c>
      <c r="H279" s="29">
        <v>0</v>
      </c>
      <c r="I279" s="29">
        <v>0.84790675000000004</v>
      </c>
      <c r="J279" s="29">
        <v>0</v>
      </c>
      <c r="K279" s="29">
        <v>0</v>
      </c>
      <c r="M279" s="29">
        <f>AVERAGE(F278:F279)</f>
        <v>5.4399999999999995</v>
      </c>
      <c r="N279" s="29">
        <f t="shared" ref="N279" si="649">AVERAGE(G278:G279)</f>
        <v>2.2437875000000003E-2</v>
      </c>
      <c r="O279" s="29">
        <f t="shared" ref="O279" si="650">AVERAGE(H278:H279)</f>
        <v>0</v>
      </c>
      <c r="P279" s="29">
        <f t="shared" ref="P279" si="651">AVERAGE(I278:I279)</f>
        <v>2.4265516874999999</v>
      </c>
      <c r="Q279" s="29">
        <f t="shared" ref="Q279" si="652">AVERAGE(J278:J279)</f>
        <v>8.9148749999999992E-3</v>
      </c>
      <c r="R279" s="29">
        <f t="shared" ref="R279" si="653">AVERAGE(K278:K279)</f>
        <v>0</v>
      </c>
    </row>
    <row r="280" spans="1:18">
      <c r="A280" s="16">
        <v>2</v>
      </c>
      <c r="B280" s="24">
        <v>40646</v>
      </c>
      <c r="C280" s="16">
        <v>2011</v>
      </c>
      <c r="D280" s="11" t="s">
        <v>30</v>
      </c>
      <c r="E280" s="16">
        <v>4</v>
      </c>
      <c r="F280" s="28">
        <v>2.101</v>
      </c>
      <c r="G280" s="29">
        <v>3.4391999999999999E-2</v>
      </c>
      <c r="H280" s="29">
        <v>0</v>
      </c>
      <c r="I280" s="29">
        <v>0.413138375</v>
      </c>
      <c r="J280" s="29">
        <v>7.8059999999999996E-3</v>
      </c>
      <c r="K280" s="29">
        <v>0</v>
      </c>
    </row>
    <row r="281" spans="1:18">
      <c r="A281" s="16">
        <v>16</v>
      </c>
      <c r="B281" s="24">
        <v>40646</v>
      </c>
      <c r="C281" s="16">
        <v>2011</v>
      </c>
      <c r="D281" s="11" t="s">
        <v>30</v>
      </c>
      <c r="E281" s="16">
        <v>4</v>
      </c>
      <c r="F281" s="28">
        <v>1.5069999999999999</v>
      </c>
      <c r="G281" s="29">
        <v>0</v>
      </c>
      <c r="H281" s="29">
        <v>0</v>
      </c>
      <c r="I281" s="29">
        <v>0.267429625</v>
      </c>
      <c r="J281" s="29">
        <v>8.3463749999999996E-3</v>
      </c>
      <c r="K281" s="29">
        <v>0</v>
      </c>
      <c r="M281" s="29">
        <f>AVERAGE(F280:F281)</f>
        <v>1.8039999999999998</v>
      </c>
      <c r="N281" s="29">
        <f t="shared" ref="N281" si="654">AVERAGE(G280:G281)</f>
        <v>1.7195999999999999E-2</v>
      </c>
      <c r="O281" s="29">
        <f t="shared" ref="O281" si="655">AVERAGE(H280:H281)</f>
        <v>0</v>
      </c>
      <c r="P281" s="29">
        <f t="shared" ref="P281" si="656">AVERAGE(I280:I281)</f>
        <v>0.34028400000000003</v>
      </c>
      <c r="Q281" s="29">
        <f t="shared" ref="Q281" si="657">AVERAGE(J280:J281)</f>
        <v>8.0761875E-3</v>
      </c>
      <c r="R281" s="29">
        <f t="shared" ref="R281" si="658">AVERAGE(K280:K281)</f>
        <v>0</v>
      </c>
    </row>
    <row r="282" spans="1:18">
      <c r="A282" s="16">
        <v>2</v>
      </c>
      <c r="B282" s="24">
        <v>40681</v>
      </c>
      <c r="C282" s="16">
        <v>2011</v>
      </c>
      <c r="D282" s="11" t="s">
        <v>31</v>
      </c>
      <c r="E282" s="16">
        <v>5</v>
      </c>
      <c r="F282" s="28">
        <v>4.0069999999999997</v>
      </c>
      <c r="G282" s="29">
        <v>8.1073500000000007E-2</v>
      </c>
      <c r="H282" s="29">
        <v>0</v>
      </c>
      <c r="I282" s="29">
        <v>0.89100512499999973</v>
      </c>
      <c r="J282" s="29">
        <v>0.31554275000000004</v>
      </c>
      <c r="K282" s="29">
        <v>0</v>
      </c>
    </row>
    <row r="283" spans="1:18">
      <c r="A283" s="16">
        <v>16</v>
      </c>
      <c r="B283" s="24">
        <v>40681</v>
      </c>
      <c r="C283" s="16">
        <v>2011</v>
      </c>
      <c r="D283" s="11" t="s">
        <v>31</v>
      </c>
      <c r="E283" s="16">
        <v>5</v>
      </c>
      <c r="F283" s="28">
        <v>4.7830000000000004</v>
      </c>
      <c r="G283" s="29">
        <v>6.4599124999999979E-2</v>
      </c>
      <c r="H283" s="29">
        <v>0.14697512499999998</v>
      </c>
      <c r="I283" s="29">
        <v>1.3415611249999997</v>
      </c>
      <c r="J283" s="29">
        <v>0.30502287500000003</v>
      </c>
      <c r="K283" s="29">
        <v>0</v>
      </c>
      <c r="M283" s="29">
        <f>AVERAGE(F282:F283)</f>
        <v>4.3949999999999996</v>
      </c>
      <c r="N283" s="29">
        <f t="shared" ref="N283" si="659">AVERAGE(G282:G283)</f>
        <v>7.28363125E-2</v>
      </c>
      <c r="O283" s="29">
        <f t="shared" ref="O283" si="660">AVERAGE(H282:H283)</f>
        <v>7.3487562499999992E-2</v>
      </c>
      <c r="P283" s="29">
        <f t="shared" ref="P283" si="661">AVERAGE(I282:I283)</f>
        <v>1.1162831249999998</v>
      </c>
      <c r="Q283" s="29">
        <f t="shared" ref="Q283" si="662">AVERAGE(J282:J283)</f>
        <v>0.3102828125</v>
      </c>
      <c r="R283" s="29">
        <f t="shared" ref="R283" si="663">AVERAGE(K282:K283)</f>
        <v>0</v>
      </c>
    </row>
    <row r="284" spans="1:18">
      <c r="A284" s="16">
        <v>2</v>
      </c>
      <c r="B284" s="24">
        <v>40708</v>
      </c>
      <c r="C284" s="16">
        <v>2011</v>
      </c>
      <c r="D284" s="11" t="s">
        <v>32</v>
      </c>
      <c r="E284" s="16">
        <v>6</v>
      </c>
      <c r="F284" s="28">
        <v>10.315</v>
      </c>
      <c r="G284" s="29">
        <v>0.21921187499999997</v>
      </c>
      <c r="H284" s="29">
        <v>0</v>
      </c>
      <c r="I284" s="29">
        <v>3.2439346250000001</v>
      </c>
      <c r="J284" s="29">
        <v>0.94100474999999983</v>
      </c>
      <c r="K284" s="29">
        <v>3.0427999999999997E-2</v>
      </c>
    </row>
    <row r="285" spans="1:18">
      <c r="A285" s="16">
        <v>16</v>
      </c>
      <c r="B285" s="24">
        <v>40708</v>
      </c>
      <c r="C285" s="16">
        <v>2011</v>
      </c>
      <c r="D285" s="11" t="s">
        <v>32</v>
      </c>
      <c r="E285" s="16">
        <v>6</v>
      </c>
      <c r="F285" s="28">
        <v>9.5670000000000002</v>
      </c>
      <c r="G285" s="29">
        <v>0.31901062499999999</v>
      </c>
      <c r="H285" s="29">
        <v>0</v>
      </c>
      <c r="I285" s="29">
        <v>2.5446656249999999</v>
      </c>
      <c r="J285" s="29">
        <v>1.295104875</v>
      </c>
      <c r="K285" s="29">
        <v>0</v>
      </c>
      <c r="M285" s="29">
        <f>AVERAGE(F284:F285)</f>
        <v>9.9409999999999989</v>
      </c>
      <c r="N285" s="29">
        <f t="shared" ref="N285" si="664">AVERAGE(G284:G285)</f>
        <v>0.26911124999999997</v>
      </c>
      <c r="O285" s="29">
        <f t="shared" ref="O285" si="665">AVERAGE(H284:H285)</f>
        <v>0</v>
      </c>
      <c r="P285" s="29">
        <f t="shared" ref="P285" si="666">AVERAGE(I284:I285)</f>
        <v>2.894300125</v>
      </c>
      <c r="Q285" s="29">
        <f t="shared" ref="Q285" si="667">AVERAGE(J284:J285)</f>
        <v>1.1180548125000001</v>
      </c>
      <c r="R285" s="29">
        <f t="shared" ref="R285" si="668">AVERAGE(K284:K285)</f>
        <v>1.5213999999999998E-2</v>
      </c>
    </row>
    <row r="286" spans="1:18">
      <c r="A286" s="16">
        <v>2</v>
      </c>
      <c r="B286" s="24">
        <v>40735</v>
      </c>
      <c r="C286" s="16">
        <v>2011</v>
      </c>
      <c r="D286" s="11" t="s">
        <v>33</v>
      </c>
      <c r="E286" s="16">
        <v>7</v>
      </c>
      <c r="F286" s="28">
        <v>3.8050000000000002</v>
      </c>
      <c r="G286" s="29">
        <v>4.6218250000000002E-2</v>
      </c>
      <c r="H286" s="29">
        <v>0</v>
      </c>
      <c r="I286" s="29">
        <v>0.64259912500000005</v>
      </c>
      <c r="J286" s="29">
        <v>0.79859975000000005</v>
      </c>
      <c r="K286" s="29">
        <v>0</v>
      </c>
    </row>
    <row r="287" spans="1:18">
      <c r="A287" s="16">
        <v>16</v>
      </c>
      <c r="B287" s="24">
        <v>40735</v>
      </c>
      <c r="C287" s="16">
        <v>2011</v>
      </c>
      <c r="D287" s="11" t="s">
        <v>33</v>
      </c>
      <c r="E287" s="16">
        <v>7</v>
      </c>
      <c r="F287" s="28">
        <v>6.7519999999999998</v>
      </c>
      <c r="G287" s="29">
        <v>7.4171374999999984E-2</v>
      </c>
      <c r="H287" s="29">
        <v>0</v>
      </c>
      <c r="I287" s="29">
        <v>0.88578087500000002</v>
      </c>
      <c r="J287" s="29">
        <v>1.5391929999999998</v>
      </c>
      <c r="K287" s="29">
        <v>2.8655875000000004E-2</v>
      </c>
      <c r="M287" s="29">
        <f>AVERAGE(F286:F287)</f>
        <v>5.2785000000000002</v>
      </c>
      <c r="N287" s="29">
        <f t="shared" ref="N287" si="669">AVERAGE(G286:G287)</f>
        <v>6.0194812499999993E-2</v>
      </c>
      <c r="O287" s="29">
        <f t="shared" ref="O287" si="670">AVERAGE(H286:H287)</f>
        <v>0</v>
      </c>
      <c r="P287" s="29">
        <f t="shared" ref="P287" si="671">AVERAGE(I286:I287)</f>
        <v>0.76419000000000004</v>
      </c>
      <c r="Q287" s="29">
        <f t="shared" ref="Q287" si="672">AVERAGE(J286:J287)</f>
        <v>1.1688963749999999</v>
      </c>
      <c r="R287" s="29">
        <f t="shared" ref="R287" si="673">AVERAGE(K286:K287)</f>
        <v>1.4327937500000002E-2</v>
      </c>
    </row>
    <row r="288" spans="1:18">
      <c r="A288" s="16">
        <v>2</v>
      </c>
      <c r="B288" s="24">
        <v>40771</v>
      </c>
      <c r="C288" s="16">
        <v>2011</v>
      </c>
      <c r="D288" s="11" t="s">
        <v>34</v>
      </c>
      <c r="E288" s="16">
        <v>8</v>
      </c>
      <c r="F288" s="28">
        <v>15.933999999999999</v>
      </c>
      <c r="G288" s="29">
        <v>1.9534173750000001</v>
      </c>
      <c r="H288" s="29">
        <v>0</v>
      </c>
      <c r="I288" s="29">
        <v>2.2013342499999999</v>
      </c>
      <c r="J288" s="29">
        <v>2.2523906249999994</v>
      </c>
      <c r="K288" s="29">
        <v>5.6748624999999997E-2</v>
      </c>
    </row>
    <row r="289" spans="1:18">
      <c r="A289" s="16">
        <v>16</v>
      </c>
      <c r="B289" s="24">
        <v>40771</v>
      </c>
      <c r="C289" s="16">
        <v>2011</v>
      </c>
      <c r="D289" s="11" t="s">
        <v>34</v>
      </c>
      <c r="E289" s="16">
        <v>8</v>
      </c>
      <c r="F289" s="28">
        <v>12.702</v>
      </c>
      <c r="G289" s="29">
        <v>0.37619537500000005</v>
      </c>
      <c r="H289" s="29">
        <v>0</v>
      </c>
      <c r="I289" s="29">
        <v>1.5547489999999999</v>
      </c>
      <c r="J289" s="29">
        <v>2.6617537499999999</v>
      </c>
      <c r="K289" s="29">
        <v>4.5802874999999993E-2</v>
      </c>
      <c r="M289" s="29">
        <f>AVERAGE(F288:F289)</f>
        <v>14.318</v>
      </c>
      <c r="N289" s="29">
        <f t="shared" ref="N289" si="674">AVERAGE(G288:G289)</f>
        <v>1.1648063750000002</v>
      </c>
      <c r="O289" s="29">
        <f t="shared" ref="O289" si="675">AVERAGE(H288:H289)</f>
        <v>0</v>
      </c>
      <c r="P289" s="29">
        <f t="shared" ref="P289" si="676">AVERAGE(I288:I289)</f>
        <v>1.8780416249999998</v>
      </c>
      <c r="Q289" s="29">
        <f t="shared" ref="Q289" si="677">AVERAGE(J288:J289)</f>
        <v>2.4570721874999997</v>
      </c>
      <c r="R289" s="29">
        <f t="shared" ref="R289" si="678">AVERAGE(K288:K289)</f>
        <v>5.1275749999999995E-2</v>
      </c>
    </row>
    <row r="290" spans="1:18">
      <c r="A290" s="16">
        <v>2</v>
      </c>
      <c r="B290" s="24">
        <v>40799</v>
      </c>
      <c r="C290" s="16">
        <v>2011</v>
      </c>
      <c r="D290" s="11" t="s">
        <v>40</v>
      </c>
      <c r="E290" s="16">
        <v>9</v>
      </c>
      <c r="F290" s="28">
        <v>11.798999999999999</v>
      </c>
      <c r="G290" s="29">
        <v>9.6066124999999988E-2</v>
      </c>
      <c r="H290" s="29">
        <v>0</v>
      </c>
      <c r="I290" s="29">
        <v>4.3887483749999987</v>
      </c>
      <c r="J290" s="29">
        <v>1.3197622499999999</v>
      </c>
      <c r="K290" s="29">
        <v>4.0556874999999999E-2</v>
      </c>
    </row>
    <row r="291" spans="1:18">
      <c r="A291" s="16">
        <v>16</v>
      </c>
      <c r="B291" s="24">
        <v>40799</v>
      </c>
      <c r="C291" s="16">
        <v>2011</v>
      </c>
      <c r="D291" s="11" t="s">
        <v>40</v>
      </c>
      <c r="E291" s="16">
        <v>9</v>
      </c>
      <c r="F291" s="28">
        <v>9.0269999999999992</v>
      </c>
      <c r="G291" s="29">
        <v>0.15046449999999997</v>
      </c>
      <c r="H291" s="29">
        <v>0</v>
      </c>
      <c r="I291" s="29">
        <v>2.6886367500000006</v>
      </c>
      <c r="J291" s="29">
        <v>1.53077025</v>
      </c>
      <c r="K291" s="29">
        <v>0</v>
      </c>
      <c r="M291" s="29">
        <f>AVERAGE(F290:F291)</f>
        <v>10.413</v>
      </c>
      <c r="N291" s="29">
        <f t="shared" ref="N291" si="679">AVERAGE(G290:G291)</f>
        <v>0.12326531249999997</v>
      </c>
      <c r="O291" s="29">
        <f t="shared" ref="O291" si="680">AVERAGE(H290:H291)</f>
        <v>0</v>
      </c>
      <c r="P291" s="29">
        <f t="shared" ref="P291" si="681">AVERAGE(I290:I291)</f>
        <v>3.5386925624999996</v>
      </c>
      <c r="Q291" s="29">
        <f t="shared" ref="Q291" si="682">AVERAGE(J290:J291)</f>
        <v>1.42526625</v>
      </c>
      <c r="R291" s="29">
        <f t="shared" ref="R291" si="683">AVERAGE(K290:K291)</f>
        <v>2.02784375E-2</v>
      </c>
    </row>
    <row r="292" spans="1:18">
      <c r="A292" s="16">
        <v>2</v>
      </c>
      <c r="B292" s="24">
        <v>40827</v>
      </c>
      <c r="C292" s="16">
        <v>2011</v>
      </c>
      <c r="D292" s="11" t="s">
        <v>36</v>
      </c>
      <c r="E292" s="16">
        <v>10</v>
      </c>
      <c r="F292" s="30">
        <v>8.0350000000000001</v>
      </c>
      <c r="G292" s="29">
        <v>0</v>
      </c>
      <c r="H292" s="29">
        <v>0</v>
      </c>
      <c r="I292" s="29">
        <v>0</v>
      </c>
      <c r="J292" s="29">
        <v>0</v>
      </c>
      <c r="K292" s="29">
        <v>0</v>
      </c>
    </row>
    <row r="293" spans="1:18">
      <c r="A293" s="16">
        <v>16</v>
      </c>
      <c r="B293" s="24">
        <v>40827</v>
      </c>
      <c r="C293" s="16">
        <v>2011</v>
      </c>
      <c r="D293" s="11" t="s">
        <v>36</v>
      </c>
      <c r="E293" s="16">
        <v>10</v>
      </c>
      <c r="F293" s="30">
        <v>3.6949999999999998</v>
      </c>
      <c r="G293" s="29">
        <v>3.4775749999999994E-2</v>
      </c>
      <c r="H293" s="29">
        <v>0</v>
      </c>
      <c r="I293" s="29">
        <v>0.72420012499999975</v>
      </c>
      <c r="J293" s="29">
        <v>2.7034124999999999E-2</v>
      </c>
      <c r="K293" s="29">
        <v>0</v>
      </c>
      <c r="M293" s="29">
        <f>AVERAGE(F292:F293)</f>
        <v>5.8650000000000002</v>
      </c>
      <c r="N293" s="29">
        <f t="shared" ref="N293" si="684">AVERAGE(G292:G293)</f>
        <v>1.7387874999999997E-2</v>
      </c>
      <c r="O293" s="29">
        <f t="shared" ref="O293" si="685">AVERAGE(H292:H293)</f>
        <v>0</v>
      </c>
      <c r="P293" s="29">
        <f t="shared" ref="P293" si="686">AVERAGE(I292:I293)</f>
        <v>0.36210006249999988</v>
      </c>
      <c r="Q293" s="29">
        <f t="shared" ref="Q293" si="687">AVERAGE(J292:J293)</f>
        <v>1.35170625E-2</v>
      </c>
      <c r="R293" s="29">
        <f t="shared" ref="R293" si="688">AVERAGE(K292:K293)</f>
        <v>0</v>
      </c>
    </row>
    <row r="294" spans="1:18">
      <c r="A294" s="16">
        <v>2</v>
      </c>
      <c r="B294" s="31">
        <v>40862</v>
      </c>
      <c r="C294" s="16">
        <v>2011</v>
      </c>
      <c r="D294" s="11" t="s">
        <v>37</v>
      </c>
      <c r="E294" s="16">
        <v>11</v>
      </c>
      <c r="F294" s="30">
        <v>3.5640000000000001</v>
      </c>
      <c r="G294" s="29">
        <v>0.11539912499999999</v>
      </c>
      <c r="H294" s="29">
        <v>0</v>
      </c>
      <c r="I294" s="29">
        <v>1.1125987500000001</v>
      </c>
      <c r="J294" s="29">
        <v>8.6628499999999983E-2</v>
      </c>
      <c r="K294" s="29">
        <v>0</v>
      </c>
    </row>
    <row r="295" spans="1:18">
      <c r="A295" s="16">
        <v>16</v>
      </c>
      <c r="B295" s="31">
        <v>40862</v>
      </c>
      <c r="C295" s="16">
        <v>2011</v>
      </c>
      <c r="D295" s="11" t="s">
        <v>37</v>
      </c>
      <c r="E295" s="16">
        <v>11</v>
      </c>
      <c r="F295" s="30">
        <v>2.222</v>
      </c>
      <c r="G295" s="29">
        <v>5.0587750000000001E-2</v>
      </c>
      <c r="H295" s="29">
        <v>0</v>
      </c>
      <c r="I295" s="29">
        <v>0.70912149999999985</v>
      </c>
      <c r="J295" s="29">
        <v>3.6646499999999999E-2</v>
      </c>
      <c r="K295" s="29">
        <v>0</v>
      </c>
      <c r="M295" s="29">
        <f>AVERAGE(F294:F295)</f>
        <v>2.8929999999999998</v>
      </c>
      <c r="N295" s="29">
        <f t="shared" ref="N295" si="689">AVERAGE(G294:G295)</f>
        <v>8.2993437499999989E-2</v>
      </c>
      <c r="O295" s="29">
        <f t="shared" ref="O295" si="690">AVERAGE(H294:H295)</f>
        <v>0</v>
      </c>
      <c r="P295" s="29">
        <f t="shared" ref="P295" si="691">AVERAGE(I294:I295)</f>
        <v>0.91086012499999991</v>
      </c>
      <c r="Q295" s="29">
        <f t="shared" ref="Q295" si="692">AVERAGE(J294:J295)</f>
        <v>6.1637499999999991E-2</v>
      </c>
      <c r="R295" s="29">
        <f t="shared" ref="R295" si="693">AVERAGE(K294:K295)</f>
        <v>0</v>
      </c>
    </row>
    <row r="296" spans="1:18">
      <c r="A296" s="16">
        <v>2</v>
      </c>
      <c r="B296" s="31">
        <v>40891</v>
      </c>
      <c r="C296" s="16">
        <v>2011</v>
      </c>
      <c r="D296" s="11" t="s">
        <v>38</v>
      </c>
      <c r="E296" s="16">
        <v>12</v>
      </c>
      <c r="F296" s="30">
        <v>1.893</v>
      </c>
      <c r="G296" s="29">
        <v>4.2472249999999996E-2</v>
      </c>
      <c r="H296" s="29">
        <v>0</v>
      </c>
      <c r="I296" s="29">
        <v>0.73796424999999999</v>
      </c>
      <c r="J296" s="29">
        <v>1.322125E-2</v>
      </c>
      <c r="K296" s="29">
        <v>0</v>
      </c>
    </row>
    <row r="297" spans="1:18">
      <c r="A297" s="16">
        <v>16</v>
      </c>
      <c r="B297" s="31">
        <v>40890</v>
      </c>
      <c r="C297" s="16">
        <v>2011</v>
      </c>
      <c r="D297" s="11" t="s">
        <v>38</v>
      </c>
      <c r="E297" s="16">
        <v>12</v>
      </c>
      <c r="F297" s="30">
        <v>0.53800000000000003</v>
      </c>
      <c r="G297" s="29">
        <v>2.8561375000000003E-2</v>
      </c>
      <c r="H297" s="29">
        <v>0</v>
      </c>
      <c r="I297" s="29">
        <v>0.10019225</v>
      </c>
      <c r="J297" s="29">
        <v>0</v>
      </c>
      <c r="K297" s="29">
        <v>0</v>
      </c>
      <c r="M297" s="29"/>
      <c r="N297" s="29"/>
      <c r="O297" s="29"/>
      <c r="P297" s="29"/>
      <c r="Q297" s="29"/>
      <c r="R297" s="29"/>
    </row>
    <row r="298" spans="1:18">
      <c r="A298" s="16">
        <v>16</v>
      </c>
      <c r="B298" s="31">
        <v>40890</v>
      </c>
      <c r="C298" s="16">
        <v>2011</v>
      </c>
      <c r="D298" s="11" t="s">
        <v>38</v>
      </c>
      <c r="E298" s="16">
        <v>12</v>
      </c>
      <c r="F298" s="30">
        <v>0.53800000000000003</v>
      </c>
      <c r="G298" s="29">
        <v>2.7760875000000001E-2</v>
      </c>
      <c r="H298" s="29">
        <v>0</v>
      </c>
      <c r="I298" s="29">
        <v>0.10978425</v>
      </c>
      <c r="J298" s="29">
        <v>0</v>
      </c>
      <c r="K298" s="29">
        <v>0</v>
      </c>
      <c r="L298" t="s">
        <v>41</v>
      </c>
      <c r="M298" s="29">
        <f>AVERAGE(F296:F298)</f>
        <v>0.98966666666666681</v>
      </c>
      <c r="N298" s="29">
        <f t="shared" ref="N298" si="694">AVERAGE(G296:G298)</f>
        <v>3.2931500000000002E-2</v>
      </c>
      <c r="O298" s="29">
        <f t="shared" ref="O298" si="695">AVERAGE(H296:H298)</f>
        <v>0</v>
      </c>
      <c r="P298" s="29">
        <f t="shared" ref="P298" si="696">AVERAGE(I296:I298)</f>
        <v>0.31598025000000002</v>
      </c>
      <c r="Q298" s="29">
        <f t="shared" ref="Q298" si="697">AVERAGE(J296:J298)</f>
        <v>4.4070833333333332E-3</v>
      </c>
      <c r="R298" s="29">
        <f t="shared" ref="R298" si="698">AVERAGE(K296:K298)</f>
        <v>0</v>
      </c>
    </row>
    <row r="299" spans="1:18">
      <c r="A299" s="16">
        <v>2</v>
      </c>
      <c r="B299" s="24">
        <v>40917</v>
      </c>
      <c r="C299" s="16">
        <v>2012</v>
      </c>
      <c r="D299" s="11" t="s">
        <v>39</v>
      </c>
      <c r="E299" s="16">
        <v>1</v>
      </c>
      <c r="F299" s="32">
        <v>2.3969999999999998</v>
      </c>
      <c r="G299" s="29">
        <v>7.4596375000000006E-2</v>
      </c>
      <c r="H299" s="29">
        <v>0</v>
      </c>
      <c r="I299" s="29">
        <v>1.00586475</v>
      </c>
      <c r="J299" s="29">
        <v>1.361775E-2</v>
      </c>
      <c r="K299" s="29">
        <v>0</v>
      </c>
      <c r="M299" s="29"/>
      <c r="N299" s="29"/>
      <c r="O299" s="29"/>
      <c r="P299" s="29"/>
      <c r="Q299" s="29"/>
      <c r="R299" s="29"/>
    </row>
    <row r="300" spans="1:18">
      <c r="A300" s="16">
        <v>16</v>
      </c>
      <c r="B300" s="24">
        <v>40917</v>
      </c>
      <c r="C300" s="16">
        <v>2012</v>
      </c>
      <c r="D300" s="11" t="s">
        <v>39</v>
      </c>
      <c r="E300" s="16">
        <v>1</v>
      </c>
      <c r="F300" s="32">
        <v>1.5760000000000001</v>
      </c>
      <c r="G300" s="29">
        <v>6.8961624999999999E-2</v>
      </c>
      <c r="H300" s="29">
        <v>0</v>
      </c>
      <c r="I300" s="29">
        <v>0.41484762499999994</v>
      </c>
      <c r="J300" s="29">
        <v>8.1927499999999986E-3</v>
      </c>
      <c r="K300" s="29">
        <v>0</v>
      </c>
      <c r="M300" s="29">
        <f>AVERAGE(F299:F300)</f>
        <v>1.9864999999999999</v>
      </c>
      <c r="N300" s="29">
        <f t="shared" ref="N300" si="699">AVERAGE(G299:G300)</f>
        <v>7.1779000000000009E-2</v>
      </c>
      <c r="O300" s="29">
        <f t="shared" ref="O300" si="700">AVERAGE(H299:H300)</f>
        <v>0</v>
      </c>
      <c r="P300" s="29">
        <f t="shared" ref="P300" si="701">AVERAGE(I299:I300)</f>
        <v>0.71035618749999996</v>
      </c>
      <c r="Q300" s="29">
        <f t="shared" ref="Q300" si="702">AVERAGE(J299:J300)</f>
        <v>1.0905249999999998E-2</v>
      </c>
      <c r="R300" s="29">
        <f t="shared" ref="R300" si="703">AVERAGE(K299:K300)</f>
        <v>0</v>
      </c>
    </row>
    <row r="301" spans="1:18">
      <c r="A301" s="16">
        <v>2</v>
      </c>
      <c r="B301" s="24">
        <v>40962</v>
      </c>
      <c r="C301" s="16">
        <v>2012</v>
      </c>
      <c r="D301" s="11" t="s">
        <v>28</v>
      </c>
      <c r="E301" s="16">
        <v>2</v>
      </c>
      <c r="F301" s="32">
        <v>2.3370000000000002</v>
      </c>
      <c r="G301" s="29">
        <v>3.3167875000000006E-2</v>
      </c>
      <c r="H301" s="29">
        <v>0</v>
      </c>
      <c r="I301" s="29">
        <v>1.3045762499999998</v>
      </c>
      <c r="J301" s="29">
        <v>3.528425000000001E-2</v>
      </c>
      <c r="K301" s="29">
        <v>0</v>
      </c>
    </row>
    <row r="302" spans="1:18">
      <c r="A302" s="16">
        <v>16</v>
      </c>
      <c r="B302" s="24">
        <v>40962</v>
      </c>
      <c r="C302" s="16">
        <v>2012</v>
      </c>
      <c r="D302" s="11" t="s">
        <v>28</v>
      </c>
      <c r="E302" s="16">
        <v>2</v>
      </c>
      <c r="F302" s="32">
        <v>2.4569999999999999</v>
      </c>
      <c r="G302" s="29">
        <v>3.9474124999999999E-2</v>
      </c>
      <c r="H302" s="29">
        <v>0</v>
      </c>
      <c r="I302" s="29">
        <v>1.2616114999999999</v>
      </c>
      <c r="J302" s="29">
        <v>2.9786499999999997E-2</v>
      </c>
      <c r="K302" s="29">
        <v>0</v>
      </c>
      <c r="M302" s="29">
        <f>AVERAGE(F301:F302)</f>
        <v>2.3970000000000002</v>
      </c>
      <c r="N302" s="29">
        <f t="shared" ref="N302" si="704">AVERAGE(G301:G302)</f>
        <v>3.6321000000000006E-2</v>
      </c>
      <c r="O302" s="29">
        <f t="shared" ref="O302" si="705">AVERAGE(H301:H302)</f>
        <v>0</v>
      </c>
      <c r="P302" s="29">
        <f t="shared" ref="P302" si="706">AVERAGE(I301:I302)</f>
        <v>1.2830938749999998</v>
      </c>
      <c r="Q302" s="29">
        <f t="shared" ref="Q302" si="707">AVERAGE(J301:J302)</f>
        <v>3.2535375000000005E-2</v>
      </c>
      <c r="R302" s="29">
        <f t="shared" ref="R302" si="708">AVERAGE(K301:K302)</f>
        <v>0</v>
      </c>
    </row>
    <row r="303" spans="1:18">
      <c r="A303" s="16">
        <v>2</v>
      </c>
      <c r="B303" s="24">
        <v>40980</v>
      </c>
      <c r="C303" s="16">
        <v>2012</v>
      </c>
      <c r="D303" s="11" t="s">
        <v>29</v>
      </c>
      <c r="E303" s="16">
        <v>3</v>
      </c>
      <c r="F303" s="32">
        <v>2.5830000000000002</v>
      </c>
      <c r="G303" s="29">
        <v>2.7399749999999997E-2</v>
      </c>
      <c r="H303" s="29">
        <v>3.5522625000000002E-2</v>
      </c>
      <c r="I303" s="29">
        <v>1.1059663749999999</v>
      </c>
      <c r="J303" s="29">
        <v>8.0484499999999987E-2</v>
      </c>
      <c r="K303" s="29">
        <v>0</v>
      </c>
    </row>
    <row r="304" spans="1:18">
      <c r="A304" s="16">
        <v>16</v>
      </c>
      <c r="B304" s="24">
        <v>40980</v>
      </c>
      <c r="C304" s="16">
        <v>2012</v>
      </c>
      <c r="D304" s="11" t="s">
        <v>29</v>
      </c>
      <c r="E304" s="16">
        <v>3</v>
      </c>
      <c r="F304" s="32">
        <v>2.71</v>
      </c>
      <c r="G304" s="29">
        <v>2.6955874999999997E-2</v>
      </c>
      <c r="H304" s="29">
        <v>7.1598124999999999E-2</v>
      </c>
      <c r="I304" s="29">
        <v>1.2276173749999999</v>
      </c>
      <c r="J304" s="29">
        <v>8.5160750000000007E-2</v>
      </c>
      <c r="K304" s="29">
        <v>0</v>
      </c>
    </row>
    <row r="305" spans="1:18">
      <c r="A305" s="16">
        <v>16</v>
      </c>
      <c r="B305" s="24">
        <v>40980</v>
      </c>
      <c r="C305" s="16">
        <v>2012</v>
      </c>
      <c r="D305" s="11" t="s">
        <v>29</v>
      </c>
      <c r="E305" s="16">
        <v>3</v>
      </c>
      <c r="F305" s="32">
        <v>2.71</v>
      </c>
      <c r="G305" s="29">
        <v>2.0946249999999996E-2</v>
      </c>
      <c r="H305" s="29">
        <v>6.7663374999999984E-2</v>
      </c>
      <c r="I305" s="29">
        <v>1.1403291250000001</v>
      </c>
      <c r="J305" s="29">
        <v>8.3294624999999997E-2</v>
      </c>
      <c r="K305" s="29">
        <v>0</v>
      </c>
      <c r="L305" t="s">
        <v>41</v>
      </c>
      <c r="M305" s="29">
        <f>AVERAGE(F303:F305)</f>
        <v>2.6676666666666669</v>
      </c>
      <c r="N305" s="29">
        <f t="shared" ref="N305" si="709">AVERAGE(G303:G305)</f>
        <v>2.5100624999999998E-2</v>
      </c>
      <c r="O305" s="29">
        <f t="shared" ref="O305" si="710">AVERAGE(H303:H305)</f>
        <v>5.8261374999999997E-2</v>
      </c>
      <c r="P305" s="29">
        <f t="shared" ref="P305" si="711">AVERAGE(I303:I305)</f>
        <v>1.1579709583333333</v>
      </c>
      <c r="Q305" s="29">
        <f t="shared" ref="Q305" si="712">AVERAGE(J303:J305)</f>
        <v>8.2979958333333326E-2</v>
      </c>
      <c r="R305" s="29">
        <f t="shared" ref="R305" si="713">AVERAGE(K303:K305)</f>
        <v>0</v>
      </c>
    </row>
    <row r="306" spans="1:18">
      <c r="A306" s="16">
        <v>2</v>
      </c>
      <c r="B306" s="24">
        <v>41015</v>
      </c>
      <c r="C306" s="16">
        <v>2012</v>
      </c>
      <c r="D306" s="11" t="s">
        <v>30</v>
      </c>
      <c r="E306" s="16">
        <v>4</v>
      </c>
      <c r="F306" s="28">
        <v>2.3580000000000001</v>
      </c>
      <c r="G306" s="29">
        <v>1.4937875000000001E-2</v>
      </c>
      <c r="H306" s="29">
        <v>5.3953249999999994E-2</v>
      </c>
      <c r="I306" s="29">
        <v>0.9930342499999999</v>
      </c>
      <c r="J306" s="29">
        <v>3.5394124999999999E-2</v>
      </c>
      <c r="K306" s="29">
        <v>0</v>
      </c>
    </row>
    <row r="307" spans="1:18">
      <c r="A307" s="16">
        <v>16</v>
      </c>
      <c r="B307" s="24">
        <v>41015</v>
      </c>
      <c r="C307" s="16">
        <v>2012</v>
      </c>
      <c r="D307" s="11" t="s">
        <v>30</v>
      </c>
      <c r="E307" s="16">
        <v>4</v>
      </c>
      <c r="F307" s="28">
        <v>1.37</v>
      </c>
      <c r="G307" s="29">
        <v>0</v>
      </c>
      <c r="H307" s="29">
        <v>0</v>
      </c>
      <c r="I307" s="29">
        <v>0.59757037499999999</v>
      </c>
      <c r="J307" s="29">
        <v>1.8219875E-2</v>
      </c>
      <c r="K307" s="29">
        <v>0</v>
      </c>
      <c r="M307" s="29">
        <f>AVERAGE(F306:F307)</f>
        <v>1.8640000000000001</v>
      </c>
      <c r="N307" s="29">
        <f t="shared" ref="N307" si="714">AVERAGE(G306:G307)</f>
        <v>7.4689375000000007E-3</v>
      </c>
      <c r="O307" s="29">
        <f t="shared" ref="O307" si="715">AVERAGE(H306:H307)</f>
        <v>2.6976624999999997E-2</v>
      </c>
      <c r="P307" s="29">
        <f t="shared" ref="P307" si="716">AVERAGE(I306:I307)</f>
        <v>0.79530231249999994</v>
      </c>
      <c r="Q307" s="29">
        <f t="shared" ref="Q307" si="717">AVERAGE(J306:J307)</f>
        <v>2.6806999999999997E-2</v>
      </c>
      <c r="R307" s="29">
        <f t="shared" ref="R307" si="718">AVERAGE(K306:K307)</f>
        <v>0</v>
      </c>
    </row>
    <row r="308" spans="1:18">
      <c r="A308" s="16">
        <v>2</v>
      </c>
      <c r="B308" s="24">
        <v>41045</v>
      </c>
      <c r="C308" s="16">
        <v>2012</v>
      </c>
      <c r="D308" s="11" t="s">
        <v>31</v>
      </c>
      <c r="E308" s="16">
        <v>5</v>
      </c>
      <c r="F308" s="28">
        <v>4.6139999999999999</v>
      </c>
      <c r="G308" s="29">
        <v>0.125015875</v>
      </c>
      <c r="H308" s="29">
        <v>0.16606649999999995</v>
      </c>
      <c r="I308" s="29">
        <v>2.2938743750000001</v>
      </c>
      <c r="J308" s="29">
        <v>6.553287499999999E-2</v>
      </c>
      <c r="K308" s="29">
        <v>0</v>
      </c>
    </row>
    <row r="309" spans="1:18">
      <c r="A309" s="16">
        <v>16</v>
      </c>
      <c r="B309" s="24">
        <v>41045</v>
      </c>
      <c r="C309" s="16">
        <v>2012</v>
      </c>
      <c r="D309" s="11" t="s">
        <v>31</v>
      </c>
      <c r="E309" s="16">
        <v>5</v>
      </c>
      <c r="F309" s="28">
        <v>3.7370000000000001</v>
      </c>
      <c r="G309" s="29">
        <v>9.2269375000000015E-2</v>
      </c>
      <c r="H309" s="29">
        <v>0</v>
      </c>
      <c r="I309" s="29">
        <v>1.442352125</v>
      </c>
      <c r="J309" s="29">
        <v>5.1675624999999989E-2</v>
      </c>
      <c r="K309" s="29">
        <v>0</v>
      </c>
      <c r="M309" s="29">
        <f>AVERAGE(F308:F309)</f>
        <v>4.1754999999999995</v>
      </c>
      <c r="N309" s="29">
        <f t="shared" ref="N309" si="719">AVERAGE(G308:G309)</f>
        <v>0.10864262500000001</v>
      </c>
      <c r="O309" s="29">
        <f t="shared" ref="O309" si="720">AVERAGE(H308:H309)</f>
        <v>8.3033249999999975E-2</v>
      </c>
      <c r="P309" s="29">
        <f t="shared" ref="P309" si="721">AVERAGE(I308:I309)</f>
        <v>1.8681132499999999</v>
      </c>
      <c r="Q309" s="29">
        <f t="shared" ref="Q309" si="722">AVERAGE(J308:J309)</f>
        <v>5.860424999999999E-2</v>
      </c>
      <c r="R309" s="29">
        <f t="shared" ref="R309" si="723">AVERAGE(K308:K309)</f>
        <v>0</v>
      </c>
    </row>
    <row r="310" spans="1:18">
      <c r="A310" s="16">
        <v>2</v>
      </c>
      <c r="B310" s="24">
        <v>41073</v>
      </c>
      <c r="C310" s="16">
        <v>2012</v>
      </c>
      <c r="D310" s="11" t="s">
        <v>32</v>
      </c>
      <c r="E310" s="16">
        <v>6</v>
      </c>
      <c r="F310" s="28">
        <v>9.9949999999999992</v>
      </c>
      <c r="G310" s="29">
        <v>0.16525937499999999</v>
      </c>
      <c r="H310" s="29">
        <v>9.5793875000000001E-2</v>
      </c>
      <c r="I310" s="29">
        <v>3.3168867500000001</v>
      </c>
      <c r="J310" s="29">
        <v>0.42628212499999996</v>
      </c>
      <c r="K310" s="29">
        <v>2.0968374999999997E-2</v>
      </c>
    </row>
    <row r="311" spans="1:18">
      <c r="A311" s="16">
        <v>16</v>
      </c>
      <c r="B311" s="24">
        <v>41073</v>
      </c>
      <c r="C311" s="16">
        <v>2012</v>
      </c>
      <c r="D311" s="11" t="s">
        <v>32</v>
      </c>
      <c r="E311" s="16">
        <v>6</v>
      </c>
      <c r="F311" s="28">
        <v>12.074999999999999</v>
      </c>
      <c r="G311" s="29">
        <v>0.14553474999999996</v>
      </c>
      <c r="H311" s="29">
        <v>7.0132E-2</v>
      </c>
      <c r="I311" s="29">
        <v>2.7136045000000002</v>
      </c>
      <c r="J311" s="29">
        <v>0.37448062499999996</v>
      </c>
      <c r="K311" s="29">
        <v>0</v>
      </c>
      <c r="M311" s="29">
        <f t="shared" ref="M311:R311" si="724">AVERAGE(F310:F312)</f>
        <v>10.615</v>
      </c>
      <c r="N311" s="29">
        <f t="shared" si="724"/>
        <v>0.19890924999999995</v>
      </c>
      <c r="O311" s="29">
        <f t="shared" si="724"/>
        <v>5.5308625E-2</v>
      </c>
      <c r="P311" s="29">
        <f t="shared" si="724"/>
        <v>3.345672041666667</v>
      </c>
      <c r="Q311" s="29">
        <f t="shared" si="724"/>
        <v>0.47781370833333331</v>
      </c>
      <c r="R311" s="29">
        <f t="shared" si="724"/>
        <v>6.9894583333333328E-3</v>
      </c>
    </row>
    <row r="312" spans="1:18">
      <c r="A312" s="16">
        <v>2</v>
      </c>
      <c r="B312" s="24">
        <v>41107</v>
      </c>
      <c r="C312" s="16">
        <v>2012</v>
      </c>
      <c r="D312" s="11" t="s">
        <v>33</v>
      </c>
      <c r="E312" s="16">
        <v>7</v>
      </c>
      <c r="F312" s="28">
        <v>9.7750000000000004</v>
      </c>
      <c r="G312" s="29">
        <v>0.28593362499999997</v>
      </c>
      <c r="H312" s="29">
        <v>0</v>
      </c>
      <c r="I312" s="29">
        <v>4.0065248749999993</v>
      </c>
      <c r="J312" s="29">
        <v>0.63267837500000002</v>
      </c>
      <c r="K312" s="29">
        <v>0</v>
      </c>
    </row>
    <row r="313" spans="1:18">
      <c r="A313" s="16">
        <v>2</v>
      </c>
      <c r="B313" s="24">
        <v>41107</v>
      </c>
      <c r="C313" s="16">
        <v>2012</v>
      </c>
      <c r="D313" s="11" t="s">
        <v>33</v>
      </c>
      <c r="E313" s="16">
        <v>7</v>
      </c>
      <c r="F313" s="28">
        <v>9.7750000000000004</v>
      </c>
      <c r="G313" s="29">
        <v>0.48331499999999999</v>
      </c>
      <c r="H313" s="29">
        <v>0</v>
      </c>
      <c r="I313" s="29">
        <v>4.4740653750000012</v>
      </c>
      <c r="J313" s="29">
        <v>0.64168499999999995</v>
      </c>
      <c r="K313" s="29">
        <v>0</v>
      </c>
      <c r="L313" t="s">
        <v>41</v>
      </c>
    </row>
    <row r="314" spans="1:18">
      <c r="A314" s="16">
        <v>16</v>
      </c>
      <c r="B314" s="24">
        <v>41107</v>
      </c>
      <c r="C314" s="16">
        <v>2012</v>
      </c>
      <c r="D314" s="11" t="s">
        <v>33</v>
      </c>
      <c r="E314" s="16">
        <v>7</v>
      </c>
      <c r="F314" s="28">
        <v>6.5730000000000004</v>
      </c>
      <c r="G314" s="29">
        <v>7.2381249999999994E-2</v>
      </c>
      <c r="H314" s="29">
        <v>0</v>
      </c>
      <c r="I314" s="29">
        <v>2.2643098749999999</v>
      </c>
      <c r="J314" s="29">
        <v>0.97094249999999993</v>
      </c>
      <c r="K314" s="29">
        <v>0</v>
      </c>
      <c r="M314" s="29">
        <f>AVERAGE(F312:F314)</f>
        <v>8.7076666666666664</v>
      </c>
      <c r="N314" s="29">
        <f t="shared" ref="N314" si="725">AVERAGE(G312:G314)</f>
        <v>0.28054329166666664</v>
      </c>
      <c r="O314" s="29">
        <f t="shared" ref="O314" si="726">AVERAGE(H312:H314)</f>
        <v>0</v>
      </c>
      <c r="P314" s="29">
        <f t="shared" ref="P314" si="727">AVERAGE(I312:I314)</f>
        <v>3.5816333750000005</v>
      </c>
      <c r="Q314" s="29">
        <f t="shared" ref="Q314" si="728">AVERAGE(J312:J314)</f>
        <v>0.74843529166666667</v>
      </c>
      <c r="R314" s="29">
        <f t="shared" ref="R314" si="729">AVERAGE(K312:K314)</f>
        <v>0</v>
      </c>
    </row>
    <row r="315" spans="1:18">
      <c r="A315" s="16">
        <v>2</v>
      </c>
      <c r="B315" s="24">
        <v>41135</v>
      </c>
      <c r="C315" s="16">
        <v>2012</v>
      </c>
      <c r="D315" s="11" t="s">
        <v>34</v>
      </c>
      <c r="E315" s="16">
        <v>8</v>
      </c>
      <c r="F315" s="28">
        <v>14.991</v>
      </c>
      <c r="G315" s="29">
        <v>0.76928300000000005</v>
      </c>
      <c r="H315" s="29">
        <v>0</v>
      </c>
      <c r="I315" s="29">
        <v>5.0638333749999997</v>
      </c>
      <c r="J315" s="29">
        <v>1.7980672499999997</v>
      </c>
      <c r="K315" s="29">
        <v>0</v>
      </c>
    </row>
    <row r="316" spans="1:18">
      <c r="A316" s="16">
        <v>2</v>
      </c>
      <c r="B316" s="24">
        <v>41135</v>
      </c>
      <c r="C316" s="16">
        <v>2012</v>
      </c>
      <c r="D316" s="11" t="s">
        <v>34</v>
      </c>
      <c r="E316" s="16">
        <v>8</v>
      </c>
      <c r="F316" s="28">
        <v>14.991</v>
      </c>
      <c r="G316" s="29">
        <v>0.7820332499999999</v>
      </c>
      <c r="H316" s="29">
        <v>0</v>
      </c>
      <c r="I316" s="29">
        <v>5.1441118750000001</v>
      </c>
      <c r="J316" s="29">
        <v>1.8566452499999999</v>
      </c>
      <c r="K316" s="29">
        <v>0</v>
      </c>
      <c r="L316" t="s">
        <v>41</v>
      </c>
    </row>
    <row r="317" spans="1:18">
      <c r="A317" s="16">
        <v>16</v>
      </c>
      <c r="B317" s="24">
        <v>41135</v>
      </c>
      <c r="C317" s="16">
        <v>2012</v>
      </c>
      <c r="D317" s="11" t="s">
        <v>34</v>
      </c>
      <c r="E317" s="16">
        <v>8</v>
      </c>
      <c r="F317" s="28">
        <v>10.858000000000001</v>
      </c>
      <c r="G317" s="29">
        <v>0.40365662499999994</v>
      </c>
      <c r="H317" s="29">
        <v>0</v>
      </c>
      <c r="I317" s="29">
        <v>3.7688416249999994</v>
      </c>
      <c r="J317" s="29">
        <v>1.117968375</v>
      </c>
      <c r="K317" s="29">
        <v>2.3257874999999994E-2</v>
      </c>
      <c r="M317" s="29">
        <f>AVERAGE(F315:F317)</f>
        <v>13.613333333333335</v>
      </c>
      <c r="N317" s="29">
        <f t="shared" ref="N317" si="730">AVERAGE(G315:G317)</f>
        <v>0.65165762500000002</v>
      </c>
      <c r="O317" s="29">
        <f t="shared" ref="O317" si="731">AVERAGE(H315:H317)</f>
        <v>0</v>
      </c>
      <c r="P317" s="29">
        <f t="shared" ref="P317" si="732">AVERAGE(I315:I317)</f>
        <v>4.6589289583333331</v>
      </c>
      <c r="Q317" s="29">
        <f t="shared" ref="Q317" si="733">AVERAGE(J315:J317)</f>
        <v>1.5908936249999999</v>
      </c>
      <c r="R317" s="29">
        <f t="shared" ref="R317" si="734">AVERAGE(K315:K317)</f>
        <v>7.7526249999999982E-3</v>
      </c>
    </row>
    <row r="318" spans="1:18">
      <c r="A318" s="16">
        <v>2</v>
      </c>
      <c r="B318" s="24">
        <v>41164</v>
      </c>
      <c r="C318" s="16">
        <v>2012</v>
      </c>
      <c r="D318" s="11" t="s">
        <v>40</v>
      </c>
      <c r="E318" s="16">
        <v>9</v>
      </c>
      <c r="F318" s="28">
        <v>16.704000000000001</v>
      </c>
      <c r="G318" s="29">
        <v>0</v>
      </c>
      <c r="H318" s="29">
        <v>0</v>
      </c>
      <c r="I318" s="29">
        <v>9.5270276250000006</v>
      </c>
      <c r="J318" s="29">
        <v>0.51851749999999985</v>
      </c>
      <c r="K318" s="29">
        <v>0</v>
      </c>
    </row>
    <row r="319" spans="1:18">
      <c r="A319" s="16">
        <v>16</v>
      </c>
      <c r="B319" s="24">
        <v>41164</v>
      </c>
      <c r="C319" s="16">
        <v>2012</v>
      </c>
      <c r="D319" s="11" t="s">
        <v>40</v>
      </c>
      <c r="E319" s="16">
        <v>9</v>
      </c>
      <c r="F319" s="28">
        <v>8.1769999999999996</v>
      </c>
      <c r="G319" s="29">
        <v>0</v>
      </c>
      <c r="H319" s="29">
        <v>0</v>
      </c>
      <c r="I319" s="29">
        <v>4.9475738749999989</v>
      </c>
      <c r="J319" s="29">
        <v>0.44327062499999997</v>
      </c>
      <c r="K319" s="29">
        <v>0</v>
      </c>
      <c r="M319" s="29">
        <f>AVERAGE(F318:F319)</f>
        <v>12.4405</v>
      </c>
      <c r="N319" s="29">
        <f t="shared" ref="N319" si="735">AVERAGE(G318:G319)</f>
        <v>0</v>
      </c>
      <c r="O319" s="29">
        <f t="shared" ref="O319" si="736">AVERAGE(H318:H319)</f>
        <v>0</v>
      </c>
      <c r="P319" s="29">
        <f t="shared" ref="P319" si="737">AVERAGE(I318:I319)</f>
        <v>7.2373007499999993</v>
      </c>
      <c r="Q319" s="29">
        <f t="shared" ref="Q319" si="738">AVERAGE(J318:J319)</f>
        <v>0.48089406249999989</v>
      </c>
      <c r="R319" s="29">
        <f t="shared" ref="R319" si="739">AVERAGE(K318:K319)</f>
        <v>0</v>
      </c>
    </row>
    <row r="320" spans="1:18">
      <c r="A320" s="16">
        <v>2</v>
      </c>
      <c r="B320" s="24">
        <v>41200</v>
      </c>
      <c r="C320" s="16">
        <v>2012</v>
      </c>
      <c r="D320" s="11" t="s">
        <v>36</v>
      </c>
      <c r="E320" s="16">
        <v>10</v>
      </c>
      <c r="F320" s="28">
        <v>2.794</v>
      </c>
      <c r="G320" s="29">
        <v>0.10308912499999999</v>
      </c>
      <c r="H320" s="29">
        <v>0</v>
      </c>
      <c r="I320" s="29">
        <v>0.87255487499999995</v>
      </c>
      <c r="J320" s="29">
        <v>6.305899999999999E-2</v>
      </c>
      <c r="K320" s="29">
        <v>0</v>
      </c>
    </row>
    <row r="321" spans="1:18">
      <c r="A321" s="16">
        <v>16</v>
      </c>
      <c r="B321" s="24">
        <v>41200</v>
      </c>
      <c r="C321" s="16">
        <v>2012</v>
      </c>
      <c r="D321" s="11" t="s">
        <v>36</v>
      </c>
      <c r="E321" s="16">
        <v>10</v>
      </c>
      <c r="F321" s="28">
        <v>2.133</v>
      </c>
      <c r="G321" s="29">
        <v>0.1075995</v>
      </c>
      <c r="H321" s="29">
        <v>0</v>
      </c>
      <c r="I321" s="29">
        <v>0.41223537499999996</v>
      </c>
      <c r="J321" s="29">
        <v>4.2762374999999991E-2</v>
      </c>
      <c r="K321" s="29">
        <v>0</v>
      </c>
      <c r="M321" s="29">
        <f>AVERAGE(F320:F321)</f>
        <v>2.4634999999999998</v>
      </c>
      <c r="N321" s="29">
        <f t="shared" ref="N321" si="740">AVERAGE(G320:G321)</f>
        <v>0.1053443125</v>
      </c>
      <c r="O321" s="29">
        <f t="shared" ref="O321" si="741">AVERAGE(H320:H321)</f>
        <v>0</v>
      </c>
      <c r="P321" s="29">
        <f t="shared" ref="P321" si="742">AVERAGE(I320:I321)</f>
        <v>0.64239512499999996</v>
      </c>
      <c r="Q321" s="29">
        <f t="shared" ref="Q321" si="743">AVERAGE(J320:J321)</f>
        <v>5.2910687499999991E-2</v>
      </c>
      <c r="R321" s="29">
        <f t="shared" ref="R321" si="744">AVERAGE(K320:K321)</f>
        <v>0</v>
      </c>
    </row>
    <row r="322" spans="1:18">
      <c r="A322" s="16">
        <v>2</v>
      </c>
      <c r="B322" s="24">
        <v>41226</v>
      </c>
      <c r="C322" s="16">
        <v>2012</v>
      </c>
      <c r="D322" s="11" t="s">
        <v>37</v>
      </c>
      <c r="E322" s="16">
        <v>11</v>
      </c>
      <c r="F322" s="28">
        <v>2.4950000000000001</v>
      </c>
      <c r="G322" s="29">
        <v>3.2444499999999994E-2</v>
      </c>
      <c r="H322" s="29">
        <v>0</v>
      </c>
      <c r="I322" s="29">
        <v>0.764262</v>
      </c>
      <c r="J322" s="29">
        <v>2.4771749999999995E-2</v>
      </c>
      <c r="K322" s="29">
        <v>0</v>
      </c>
    </row>
    <row r="323" spans="1:18">
      <c r="A323" s="16">
        <v>16</v>
      </c>
      <c r="B323" s="24">
        <v>41226</v>
      </c>
      <c r="C323" s="16">
        <v>2012</v>
      </c>
      <c r="D323" s="11" t="s">
        <v>37</v>
      </c>
      <c r="E323" s="16">
        <v>11</v>
      </c>
      <c r="F323" s="28">
        <v>2.496</v>
      </c>
      <c r="G323" s="29">
        <v>0</v>
      </c>
      <c r="H323" s="29">
        <v>0</v>
      </c>
      <c r="I323" s="29">
        <v>0</v>
      </c>
      <c r="J323" s="29">
        <v>0</v>
      </c>
      <c r="K323" s="29">
        <v>0</v>
      </c>
      <c r="M323" s="29">
        <f>AVERAGE(F322:F323)</f>
        <v>2.4954999999999998</v>
      </c>
      <c r="N323" s="29">
        <f t="shared" ref="N323" si="745">AVERAGE(G322:G323)</f>
        <v>1.6222249999999997E-2</v>
      </c>
      <c r="O323" s="29">
        <f t="shared" ref="O323" si="746">AVERAGE(H322:H323)</f>
        <v>0</v>
      </c>
      <c r="P323" s="29">
        <f t="shared" ref="P323" si="747">AVERAGE(I322:I323)</f>
        <v>0.382131</v>
      </c>
      <c r="Q323" s="29">
        <f t="shared" ref="Q323" si="748">AVERAGE(J322:J323)</f>
        <v>1.2385874999999998E-2</v>
      </c>
      <c r="R323" s="29">
        <f t="shared" ref="R323" si="749">AVERAGE(K322:K323)</f>
        <v>0</v>
      </c>
    </row>
    <row r="324" spans="1:18">
      <c r="A324" s="16">
        <v>2</v>
      </c>
      <c r="B324" s="24">
        <v>41254</v>
      </c>
      <c r="C324" s="16">
        <v>2012</v>
      </c>
      <c r="D324" s="11" t="s">
        <v>38</v>
      </c>
      <c r="E324" s="16">
        <v>12</v>
      </c>
      <c r="F324" s="28">
        <v>1.611</v>
      </c>
      <c r="G324" s="29">
        <v>5.661324999999999E-2</v>
      </c>
      <c r="H324" s="29">
        <v>0</v>
      </c>
      <c r="I324" s="29">
        <v>0.64646587499999986</v>
      </c>
      <c r="J324" s="29">
        <v>0</v>
      </c>
      <c r="K324" s="29">
        <v>0</v>
      </c>
    </row>
    <row r="325" spans="1:18">
      <c r="A325" s="16">
        <v>16</v>
      </c>
      <c r="B325" s="24">
        <v>41254</v>
      </c>
      <c r="C325" s="16">
        <v>2012</v>
      </c>
      <c r="D325" s="11" t="s">
        <v>38</v>
      </c>
      <c r="E325" s="16">
        <v>12</v>
      </c>
      <c r="F325" s="28">
        <v>0.92400000000000004</v>
      </c>
      <c r="G325" s="29">
        <v>0.150391</v>
      </c>
      <c r="H325" s="29">
        <v>0</v>
      </c>
      <c r="I325" s="29">
        <v>0.20867687499999998</v>
      </c>
      <c r="J325" s="29">
        <v>0</v>
      </c>
      <c r="K325" s="29">
        <v>0</v>
      </c>
      <c r="M325" s="29">
        <f>AVERAGE(F324:F325)</f>
        <v>1.2675000000000001</v>
      </c>
      <c r="N325" s="29">
        <f t="shared" ref="N325" si="750">AVERAGE(G324:G325)</f>
        <v>0.103502125</v>
      </c>
      <c r="O325" s="29">
        <f t="shared" ref="O325" si="751">AVERAGE(H324:H325)</f>
        <v>0</v>
      </c>
      <c r="P325" s="29">
        <f t="shared" ref="P325" si="752">AVERAGE(I324:I325)</f>
        <v>0.42757137499999992</v>
      </c>
      <c r="Q325" s="29">
        <f t="shared" ref="Q325" si="753">AVERAGE(J324:J325)</f>
        <v>0</v>
      </c>
      <c r="R325" s="29">
        <f t="shared" ref="R325" si="754">AVERAGE(K324:K325)</f>
        <v>0</v>
      </c>
    </row>
    <row r="326" spans="1:18">
      <c r="A326" s="16">
        <v>2</v>
      </c>
      <c r="B326" s="24">
        <v>41288</v>
      </c>
      <c r="C326" s="16">
        <v>2013</v>
      </c>
      <c r="D326" s="11" t="s">
        <v>39</v>
      </c>
      <c r="E326" s="16">
        <v>1</v>
      </c>
      <c r="F326" s="28">
        <v>2.032</v>
      </c>
      <c r="G326" s="29">
        <v>2.861675E-2</v>
      </c>
      <c r="H326" s="29">
        <v>0</v>
      </c>
      <c r="I326" s="29">
        <v>0.88756687499999987</v>
      </c>
      <c r="J326" s="29">
        <v>0</v>
      </c>
      <c r="K326" s="29">
        <v>0</v>
      </c>
    </row>
    <row r="327" spans="1:18">
      <c r="A327" s="16">
        <v>16</v>
      </c>
      <c r="B327" s="24">
        <v>41288</v>
      </c>
      <c r="C327" s="16">
        <v>2013</v>
      </c>
      <c r="D327" s="11" t="s">
        <v>39</v>
      </c>
      <c r="E327" s="16">
        <v>1</v>
      </c>
      <c r="F327" s="28">
        <v>2.7450000000000001</v>
      </c>
      <c r="G327" s="29">
        <v>2.6190624999999999E-2</v>
      </c>
      <c r="H327" s="29">
        <v>0</v>
      </c>
      <c r="I327" s="29">
        <v>1.4783541249999999</v>
      </c>
      <c r="J327" s="29">
        <v>1.638125E-2</v>
      </c>
      <c r="K327" s="29">
        <v>0</v>
      </c>
      <c r="M327" s="29">
        <f t="shared" ref="M327:R327" si="755">AVERAGE(F327:F328)</f>
        <v>5.3710000000000004</v>
      </c>
      <c r="N327" s="29">
        <f t="shared" si="755"/>
        <v>0.12486093749999999</v>
      </c>
      <c r="O327" s="29">
        <f t="shared" si="755"/>
        <v>4.2576250000000001E-3</v>
      </c>
      <c r="P327" s="29">
        <f t="shared" si="755"/>
        <v>2.8824569375000006</v>
      </c>
      <c r="Q327" s="29">
        <f t="shared" si="755"/>
        <v>8.190625E-3</v>
      </c>
      <c r="R327" s="29">
        <f t="shared" si="755"/>
        <v>0</v>
      </c>
    </row>
    <row r="328" spans="1:18">
      <c r="A328" s="16">
        <v>2</v>
      </c>
      <c r="B328" s="24">
        <v>41318</v>
      </c>
      <c r="C328" s="16">
        <v>2013</v>
      </c>
      <c r="D328" s="11" t="s">
        <v>28</v>
      </c>
      <c r="E328" s="16">
        <v>2</v>
      </c>
      <c r="F328" s="33">
        <v>7.9969999999999999</v>
      </c>
      <c r="G328" s="29">
        <v>0.22353124999999999</v>
      </c>
      <c r="H328" s="29">
        <v>8.5152500000000002E-3</v>
      </c>
      <c r="I328" s="29">
        <v>4.2865597500000012</v>
      </c>
      <c r="J328" s="29">
        <v>0</v>
      </c>
      <c r="K328" s="29">
        <v>0</v>
      </c>
    </row>
    <row r="329" spans="1:18">
      <c r="A329" s="16">
        <v>16</v>
      </c>
      <c r="B329" s="24">
        <v>41318</v>
      </c>
      <c r="C329" s="16">
        <v>2013</v>
      </c>
      <c r="D329" s="11" t="s">
        <v>28</v>
      </c>
      <c r="E329" s="16">
        <v>2</v>
      </c>
      <c r="F329" s="33">
        <v>8.891</v>
      </c>
      <c r="G329" s="29">
        <v>9.2688749999999986E-2</v>
      </c>
      <c r="H329" s="29">
        <v>0</v>
      </c>
      <c r="I329" s="29">
        <v>5.0490748749999996</v>
      </c>
      <c r="J329" s="29">
        <v>2.4691749999999998E-2</v>
      </c>
      <c r="K329" s="29">
        <v>0</v>
      </c>
      <c r="M329" s="29">
        <f t="shared" ref="M329:R329" si="756">AVERAGE(F329:F330)</f>
        <v>7.3365</v>
      </c>
      <c r="N329" s="29">
        <f t="shared" si="756"/>
        <v>0.10880987499999997</v>
      </c>
      <c r="O329" s="29">
        <f t="shared" si="756"/>
        <v>0</v>
      </c>
      <c r="P329" s="29">
        <f t="shared" si="756"/>
        <v>3.8467793750000001</v>
      </c>
      <c r="Q329" s="29">
        <f t="shared" si="756"/>
        <v>2.1961812499999997E-2</v>
      </c>
      <c r="R329" s="29">
        <f t="shared" si="756"/>
        <v>0</v>
      </c>
    </row>
    <row r="330" spans="1:18">
      <c r="A330" s="16">
        <v>2</v>
      </c>
      <c r="B330" s="24">
        <v>41344</v>
      </c>
      <c r="C330" s="16">
        <v>2013</v>
      </c>
      <c r="D330" s="11" t="s">
        <v>29</v>
      </c>
      <c r="E330" s="16">
        <v>3</v>
      </c>
      <c r="F330" s="33">
        <v>5.782</v>
      </c>
      <c r="G330" s="29">
        <v>0.12493099999999997</v>
      </c>
      <c r="H330" s="29">
        <v>0</v>
      </c>
      <c r="I330" s="29">
        <v>2.6444838750000006</v>
      </c>
      <c r="J330" s="29">
        <v>1.9231874999999996E-2</v>
      </c>
      <c r="K330" s="29">
        <v>0</v>
      </c>
    </row>
    <row r="331" spans="1:18">
      <c r="A331" s="16">
        <v>16</v>
      </c>
      <c r="B331" s="24">
        <v>41344</v>
      </c>
      <c r="C331" s="16">
        <v>2013</v>
      </c>
      <c r="D331" s="11" t="s">
        <v>29</v>
      </c>
      <c r="E331" s="16">
        <v>3</v>
      </c>
      <c r="F331" s="33">
        <v>6.2729999999999997</v>
      </c>
      <c r="G331" s="29">
        <v>0</v>
      </c>
      <c r="H331" s="29">
        <v>0</v>
      </c>
      <c r="I331" s="29">
        <v>3.7286902500000001</v>
      </c>
      <c r="J331" s="29">
        <v>3.6736124999999994E-2</v>
      </c>
      <c r="K331" s="29">
        <v>0</v>
      </c>
      <c r="M331" s="29">
        <f t="shared" ref="M331:R331" si="757">AVERAGE(F331:F332)</f>
        <v>3.371</v>
      </c>
      <c r="N331" s="29">
        <f t="shared" si="757"/>
        <v>0</v>
      </c>
      <c r="O331" s="29">
        <f t="shared" si="757"/>
        <v>0</v>
      </c>
      <c r="P331" s="29">
        <f t="shared" si="757"/>
        <v>2.0290606250000001</v>
      </c>
      <c r="Q331" s="29">
        <f t="shared" si="757"/>
        <v>2.2769249999999998E-2</v>
      </c>
      <c r="R331" s="29">
        <f t="shared" si="757"/>
        <v>0</v>
      </c>
    </row>
    <row r="332" spans="1:18">
      <c r="A332" s="16">
        <v>2</v>
      </c>
      <c r="B332" s="24">
        <v>41381</v>
      </c>
      <c r="C332" s="16">
        <v>2013</v>
      </c>
      <c r="D332" s="11" t="s">
        <v>30</v>
      </c>
      <c r="E332" s="16">
        <v>4</v>
      </c>
      <c r="F332" s="34">
        <v>0.46899999999999997</v>
      </c>
      <c r="G332" s="29">
        <v>0</v>
      </c>
      <c r="H332" s="29">
        <v>0</v>
      </c>
      <c r="I332" s="29">
        <v>0.32943099999999997</v>
      </c>
      <c r="J332" s="29">
        <v>8.8023749999999994E-3</v>
      </c>
      <c r="K332" s="29">
        <v>0</v>
      </c>
    </row>
    <row r="333" spans="1:18">
      <c r="A333" s="16">
        <v>16</v>
      </c>
      <c r="B333" s="24">
        <v>41379</v>
      </c>
      <c r="C333" s="16">
        <v>2013</v>
      </c>
      <c r="D333" s="11" t="s">
        <v>30</v>
      </c>
      <c r="E333" s="16">
        <v>4</v>
      </c>
      <c r="F333" s="34">
        <v>0.188</v>
      </c>
      <c r="G333" s="29">
        <v>0</v>
      </c>
      <c r="H333" s="29">
        <v>0</v>
      </c>
      <c r="I333" s="29">
        <v>0.124840125</v>
      </c>
      <c r="J333" s="29">
        <v>0</v>
      </c>
      <c r="K333" s="29">
        <v>0</v>
      </c>
      <c r="M333" s="29">
        <f t="shared" ref="M333:R333" si="758">AVERAGE(F333:F334)</f>
        <v>0.67199999999999993</v>
      </c>
      <c r="N333" s="29">
        <f t="shared" si="758"/>
        <v>2.0733874999999999E-2</v>
      </c>
      <c r="O333" s="29">
        <f t="shared" si="758"/>
        <v>0</v>
      </c>
      <c r="P333" s="29">
        <f t="shared" si="758"/>
        <v>0.12845862499999999</v>
      </c>
      <c r="Q333" s="29">
        <f t="shared" si="758"/>
        <v>1.0925125000000001E-2</v>
      </c>
      <c r="R333" s="29">
        <f t="shared" si="758"/>
        <v>0</v>
      </c>
    </row>
    <row r="334" spans="1:18">
      <c r="A334" s="16">
        <v>2</v>
      </c>
      <c r="B334" s="24">
        <v>41408</v>
      </c>
      <c r="C334" s="16">
        <v>2013</v>
      </c>
      <c r="D334" s="11" t="s">
        <v>31</v>
      </c>
      <c r="E334" s="16">
        <v>5</v>
      </c>
      <c r="F334" s="34">
        <v>1.1559999999999999</v>
      </c>
      <c r="G334" s="29">
        <v>4.1467749999999998E-2</v>
      </c>
      <c r="H334" s="29">
        <v>0</v>
      </c>
      <c r="I334" s="29">
        <v>0.13207712499999999</v>
      </c>
      <c r="J334" s="29">
        <v>2.1850250000000002E-2</v>
      </c>
      <c r="K334" s="29">
        <v>0</v>
      </c>
      <c r="M334" s="29"/>
      <c r="N334" s="29"/>
      <c r="O334" s="29"/>
      <c r="P334" s="29"/>
      <c r="Q334" s="29"/>
      <c r="R334" s="29"/>
    </row>
    <row r="335" spans="1:18">
      <c r="A335" s="16">
        <v>16</v>
      </c>
      <c r="B335" s="24">
        <v>41408</v>
      </c>
      <c r="C335" s="16">
        <v>2013</v>
      </c>
      <c r="D335" s="11" t="s">
        <v>31</v>
      </c>
      <c r="E335" s="16">
        <v>5</v>
      </c>
      <c r="F335" s="34">
        <v>0.72499999999999998</v>
      </c>
      <c r="G335" s="29">
        <v>5.5971375000000004E-2</v>
      </c>
      <c r="H335" s="29">
        <v>0</v>
      </c>
      <c r="I335" s="29">
        <v>9.3803874999999995E-2</v>
      </c>
      <c r="J335" s="29">
        <v>1.4923250000000001E-2</v>
      </c>
      <c r="K335" s="29">
        <v>0</v>
      </c>
      <c r="M335" s="29">
        <f>AVERAGE(F334:F335)</f>
        <v>0.94049999999999989</v>
      </c>
      <c r="N335" s="29">
        <f t="shared" ref="N335" si="759">AVERAGE(G334:G335)</f>
        <v>4.8719562500000001E-2</v>
      </c>
      <c r="O335" s="29">
        <f t="shared" ref="O335" si="760">AVERAGE(H334:H335)</f>
        <v>0</v>
      </c>
      <c r="P335" s="29">
        <f t="shared" ref="P335" si="761">AVERAGE(I334:I335)</f>
        <v>0.1129405</v>
      </c>
      <c r="Q335" s="29">
        <f t="shared" ref="Q335" si="762">AVERAGE(J334:J335)</f>
        <v>1.838675E-2</v>
      </c>
      <c r="R335" s="29">
        <f t="shared" ref="R335" si="763">AVERAGE(K334:K335)</f>
        <v>0</v>
      </c>
    </row>
    <row r="336" spans="1:18">
      <c r="A336" s="16">
        <v>2</v>
      </c>
      <c r="B336" s="24">
        <v>41436</v>
      </c>
      <c r="C336" s="16">
        <v>2013</v>
      </c>
      <c r="D336" s="11" t="s">
        <v>32</v>
      </c>
      <c r="E336" s="16">
        <v>6</v>
      </c>
      <c r="F336" s="34">
        <v>4.1029999999999998</v>
      </c>
      <c r="G336" s="29">
        <v>4.2164374999999997E-2</v>
      </c>
      <c r="H336" s="29">
        <v>0</v>
      </c>
      <c r="I336" s="29">
        <v>1.5419622499999999</v>
      </c>
      <c r="J336" s="29">
        <v>8.5822499999999996E-2</v>
      </c>
      <c r="K336" s="29">
        <v>0</v>
      </c>
    </row>
    <row r="337" spans="1:18">
      <c r="A337" s="16">
        <v>16</v>
      </c>
      <c r="B337" s="24">
        <v>41437</v>
      </c>
      <c r="C337" s="16">
        <v>2013</v>
      </c>
      <c r="D337" s="11" t="s">
        <v>32</v>
      </c>
      <c r="E337" s="16">
        <v>6</v>
      </c>
      <c r="F337" s="34">
        <v>3.2080000000000002</v>
      </c>
      <c r="G337" s="29">
        <v>5.8733250000000008E-2</v>
      </c>
      <c r="H337" s="29">
        <v>0</v>
      </c>
      <c r="I337" s="29">
        <v>1.4860301249999999</v>
      </c>
      <c r="J337" s="29">
        <v>5.189524999999999E-2</v>
      </c>
      <c r="K337" s="29">
        <v>0</v>
      </c>
      <c r="M337" s="29">
        <f>AVERAGE(F336:F337)</f>
        <v>3.6555</v>
      </c>
      <c r="N337" s="29">
        <f t="shared" ref="N337" si="764">AVERAGE(G336:G337)</f>
        <v>5.0448812500000002E-2</v>
      </c>
      <c r="O337" s="29">
        <f t="shared" ref="O337" si="765">AVERAGE(H336:H337)</f>
        <v>0</v>
      </c>
      <c r="P337" s="29">
        <f t="shared" ref="P337" si="766">AVERAGE(I336:I337)</f>
        <v>1.5139961874999999</v>
      </c>
      <c r="Q337" s="29">
        <f t="shared" ref="Q337" si="767">AVERAGE(J336:J337)</f>
        <v>6.8858874999999986E-2</v>
      </c>
      <c r="R337" s="29">
        <f t="shared" ref="R337" si="768">AVERAGE(K336:K337)</f>
        <v>0</v>
      </c>
    </row>
    <row r="338" spans="1:18">
      <c r="A338" s="16">
        <v>2</v>
      </c>
      <c r="B338" s="24">
        <v>41471</v>
      </c>
      <c r="C338" s="16">
        <v>2013</v>
      </c>
      <c r="D338" s="11" t="s">
        <v>33</v>
      </c>
      <c r="E338" s="16">
        <v>7</v>
      </c>
      <c r="F338" s="34">
        <v>7.593</v>
      </c>
      <c r="G338" s="29">
        <v>0.28626825000000006</v>
      </c>
      <c r="H338" s="29">
        <v>0</v>
      </c>
      <c r="I338" s="29">
        <v>1.8937832499999998</v>
      </c>
      <c r="J338" s="29">
        <v>0.30018362500000001</v>
      </c>
      <c r="K338" s="29">
        <v>0</v>
      </c>
    </row>
    <row r="339" spans="1:18">
      <c r="A339" s="16">
        <v>2</v>
      </c>
      <c r="B339" s="24">
        <v>41471</v>
      </c>
      <c r="C339" s="16">
        <v>2013</v>
      </c>
      <c r="D339" s="11" t="s">
        <v>33</v>
      </c>
      <c r="E339" s="16">
        <v>7</v>
      </c>
      <c r="F339" s="34">
        <v>7.593</v>
      </c>
      <c r="G339" s="29">
        <v>0.28473037499999998</v>
      </c>
      <c r="H339" s="29">
        <v>0</v>
      </c>
      <c r="I339" s="29">
        <v>1.9084731249999998</v>
      </c>
      <c r="J339" s="29">
        <v>0.30742424999999995</v>
      </c>
      <c r="K339" s="29">
        <v>0</v>
      </c>
      <c r="L339" t="s">
        <v>41</v>
      </c>
    </row>
    <row r="340" spans="1:18">
      <c r="A340" s="16">
        <v>16</v>
      </c>
      <c r="B340" s="24">
        <v>41471</v>
      </c>
      <c r="C340" s="16">
        <v>2013</v>
      </c>
      <c r="D340" s="11" t="s">
        <v>33</v>
      </c>
      <c r="E340" s="16">
        <v>7</v>
      </c>
      <c r="F340" s="34">
        <v>10.65</v>
      </c>
      <c r="G340" s="29">
        <v>0.44133099999999997</v>
      </c>
      <c r="H340" s="29">
        <v>0</v>
      </c>
      <c r="I340" s="29">
        <v>1.426776375</v>
      </c>
      <c r="J340" s="29">
        <v>0.68329187499999999</v>
      </c>
      <c r="K340" s="29">
        <v>0</v>
      </c>
      <c r="M340" s="29">
        <f>AVERAGE(F338:F340)</f>
        <v>8.6120000000000001</v>
      </c>
      <c r="N340" s="29">
        <f t="shared" ref="N340" si="769">AVERAGE(G338:G340)</f>
        <v>0.33744320833333336</v>
      </c>
      <c r="O340" s="29">
        <f t="shared" ref="O340" si="770">AVERAGE(H338:H340)</f>
        <v>0</v>
      </c>
      <c r="P340" s="29">
        <f t="shared" ref="P340" si="771">AVERAGE(I338:I340)</f>
        <v>1.7430109166666667</v>
      </c>
      <c r="Q340" s="29">
        <f t="shared" ref="Q340" si="772">AVERAGE(J338:J340)</f>
        <v>0.43029991666666662</v>
      </c>
      <c r="R340" s="29">
        <f t="shared" ref="R340" si="773">AVERAGE(K338:K340)</f>
        <v>0</v>
      </c>
    </row>
    <row r="341" spans="1:18">
      <c r="A341" s="16">
        <v>2</v>
      </c>
      <c r="B341" s="24">
        <v>41499</v>
      </c>
      <c r="C341" s="16">
        <v>2013</v>
      </c>
      <c r="D341" s="11" t="s">
        <v>34</v>
      </c>
      <c r="E341" s="16">
        <v>8</v>
      </c>
      <c r="F341" s="34">
        <v>6.907</v>
      </c>
      <c r="G341" s="29">
        <v>0.90067375000000005</v>
      </c>
      <c r="H341" s="29">
        <v>0</v>
      </c>
      <c r="I341" s="29">
        <v>1.9100388749999999</v>
      </c>
      <c r="J341" s="29">
        <v>0.53124662500000008</v>
      </c>
      <c r="K341" s="29">
        <v>0</v>
      </c>
    </row>
    <row r="342" spans="1:18">
      <c r="A342" s="16">
        <v>16</v>
      </c>
      <c r="B342" s="24">
        <v>41499</v>
      </c>
      <c r="C342" s="16">
        <v>2013</v>
      </c>
      <c r="D342" s="11" t="s">
        <v>34</v>
      </c>
      <c r="E342" s="16">
        <v>8</v>
      </c>
      <c r="F342" s="34">
        <v>5.8710000000000004</v>
      </c>
      <c r="G342" s="29">
        <v>1.7550506249999998</v>
      </c>
      <c r="H342" s="29">
        <v>0</v>
      </c>
      <c r="I342" s="29">
        <v>0.59580437500000005</v>
      </c>
      <c r="J342" s="29">
        <v>0.50217149999999999</v>
      </c>
      <c r="K342" s="29">
        <v>0</v>
      </c>
      <c r="M342" s="29">
        <f>AVERAGE(F341:F342)</f>
        <v>6.3890000000000002</v>
      </c>
      <c r="N342" s="29">
        <f t="shared" ref="N342" si="774">AVERAGE(G341:G342)</f>
        <v>1.3278621874999998</v>
      </c>
      <c r="O342" s="29">
        <f t="shared" ref="O342" si="775">AVERAGE(H341:H342)</f>
        <v>0</v>
      </c>
      <c r="P342" s="29">
        <f t="shared" ref="P342" si="776">AVERAGE(I341:I342)</f>
        <v>1.2529216249999999</v>
      </c>
      <c r="Q342" s="29">
        <f t="shared" ref="Q342" si="777">AVERAGE(J341:J342)</f>
        <v>0.51670906250000004</v>
      </c>
      <c r="R342" s="29">
        <f t="shared" ref="R342" si="778">AVERAGE(K341:K342)</f>
        <v>0</v>
      </c>
    </row>
    <row r="343" spans="1:18">
      <c r="A343" s="16">
        <v>2</v>
      </c>
      <c r="B343" s="24">
        <v>41533</v>
      </c>
      <c r="C343" s="16">
        <v>2013</v>
      </c>
      <c r="D343" s="11" t="s">
        <v>40</v>
      </c>
      <c r="E343" s="16">
        <v>9</v>
      </c>
      <c r="F343" s="34">
        <v>4.5720000000000001</v>
      </c>
      <c r="G343" s="29">
        <v>0.15575749999999999</v>
      </c>
      <c r="H343" s="29">
        <v>0</v>
      </c>
      <c r="I343" s="29">
        <v>1.5528502500000003</v>
      </c>
      <c r="J343" s="29">
        <v>6.5026125000000004E-2</v>
      </c>
      <c r="K343" s="29">
        <v>0</v>
      </c>
    </row>
    <row r="344" spans="1:18">
      <c r="A344" s="16">
        <v>16</v>
      </c>
      <c r="B344" s="24">
        <v>41533</v>
      </c>
      <c r="C344" s="16">
        <v>2013</v>
      </c>
      <c r="D344" s="11" t="s">
        <v>40</v>
      </c>
      <c r="E344" s="16">
        <v>9</v>
      </c>
      <c r="F344" s="34">
        <v>3.3290000000000002</v>
      </c>
      <c r="G344" s="29">
        <v>0.20189237499999999</v>
      </c>
      <c r="H344" s="29">
        <v>0</v>
      </c>
      <c r="I344" s="29">
        <v>1.0128671249999999</v>
      </c>
      <c r="J344" s="29">
        <v>6.3891375E-2</v>
      </c>
      <c r="K344" s="29">
        <v>0</v>
      </c>
      <c r="M344" s="29">
        <f>AVERAGE(F343:F344)</f>
        <v>3.9504999999999999</v>
      </c>
      <c r="N344" s="29">
        <f t="shared" ref="N344" si="779">AVERAGE(G343:G344)</f>
        <v>0.1788249375</v>
      </c>
      <c r="O344" s="29">
        <f t="shared" ref="O344" si="780">AVERAGE(H343:H344)</f>
        <v>0</v>
      </c>
      <c r="P344" s="29">
        <f t="shared" ref="P344" si="781">AVERAGE(I343:I344)</f>
        <v>1.2828586875000001</v>
      </c>
      <c r="Q344" s="29">
        <f t="shared" ref="Q344" si="782">AVERAGE(J343:J344)</f>
        <v>6.4458750000000009E-2</v>
      </c>
      <c r="R344" s="29">
        <f t="shared" ref="R344" si="783">AVERAGE(K343:K344)</f>
        <v>0</v>
      </c>
    </row>
    <row r="345" spans="1:18">
      <c r="A345" s="16">
        <v>2</v>
      </c>
      <c r="B345" s="24">
        <v>41569</v>
      </c>
      <c r="C345" s="16">
        <v>2013</v>
      </c>
      <c r="D345" s="11" t="s">
        <v>36</v>
      </c>
      <c r="E345" s="16">
        <v>10</v>
      </c>
      <c r="F345" s="28">
        <v>1.8440000000000001</v>
      </c>
      <c r="G345" s="29">
        <v>0</v>
      </c>
      <c r="H345" s="29">
        <v>0</v>
      </c>
      <c r="I345" s="29">
        <v>0.109402</v>
      </c>
      <c r="J345" s="29">
        <v>0</v>
      </c>
      <c r="K345" s="29">
        <v>0</v>
      </c>
    </row>
    <row r="346" spans="1:18">
      <c r="A346" s="16">
        <v>16</v>
      </c>
      <c r="B346" s="24">
        <v>41569</v>
      </c>
      <c r="C346" s="16">
        <v>2013</v>
      </c>
      <c r="D346" s="11" t="s">
        <v>36</v>
      </c>
      <c r="E346" s="16">
        <v>10</v>
      </c>
      <c r="F346" s="28">
        <v>1.95</v>
      </c>
      <c r="G346" s="29">
        <v>5.3848624999999983E-2</v>
      </c>
      <c r="H346" s="29">
        <v>0</v>
      </c>
      <c r="I346" s="29">
        <v>9.3876874999999985E-2</v>
      </c>
      <c r="J346" s="29">
        <v>0</v>
      </c>
      <c r="K346" s="29">
        <v>0</v>
      </c>
      <c r="M346" s="29">
        <f>AVERAGE(F345:F346)</f>
        <v>1.897</v>
      </c>
      <c r="N346" s="29">
        <f t="shared" ref="N346" si="784">AVERAGE(G345:G346)</f>
        <v>2.6924312499999992E-2</v>
      </c>
      <c r="O346" s="29">
        <f t="shared" ref="O346" si="785">AVERAGE(H345:H346)</f>
        <v>0</v>
      </c>
      <c r="P346" s="29">
        <f t="shared" ref="P346" si="786">AVERAGE(I345:I346)</f>
        <v>0.10163943749999999</v>
      </c>
      <c r="Q346" s="29">
        <f t="shared" ref="Q346" si="787">AVERAGE(J345:J346)</f>
        <v>0</v>
      </c>
      <c r="R346" s="29">
        <f t="shared" ref="R346" si="788">AVERAGE(K345:K346)</f>
        <v>0</v>
      </c>
    </row>
    <row r="347" spans="1:18">
      <c r="A347" s="16">
        <v>2</v>
      </c>
      <c r="B347" s="24">
        <v>41597</v>
      </c>
      <c r="C347" s="16">
        <v>2013</v>
      </c>
      <c r="D347" s="11" t="s">
        <v>37</v>
      </c>
      <c r="E347" s="16">
        <v>11</v>
      </c>
      <c r="F347" s="28">
        <v>0.54600000000000004</v>
      </c>
      <c r="G347" s="29">
        <v>0</v>
      </c>
      <c r="H347" s="29">
        <v>0</v>
      </c>
      <c r="I347" s="29">
        <v>0.19918550000000002</v>
      </c>
      <c r="J347" s="29">
        <v>0</v>
      </c>
      <c r="K347" s="29">
        <v>0</v>
      </c>
    </row>
    <row r="348" spans="1:18">
      <c r="A348" s="16">
        <v>16</v>
      </c>
      <c r="B348" s="24">
        <v>41597</v>
      </c>
      <c r="C348" s="16">
        <v>2013</v>
      </c>
      <c r="D348" s="11" t="s">
        <v>37</v>
      </c>
      <c r="E348" s="16">
        <v>11</v>
      </c>
      <c r="F348" s="28">
        <v>0.90700000000000003</v>
      </c>
      <c r="G348" s="29">
        <v>8.1372749999999994E-2</v>
      </c>
      <c r="H348" s="29">
        <v>0</v>
      </c>
      <c r="I348" s="29">
        <v>0.16989412499999998</v>
      </c>
      <c r="J348" s="29">
        <v>0</v>
      </c>
      <c r="K348" s="29">
        <v>0</v>
      </c>
      <c r="M348" s="29">
        <f t="shared" ref="M348:R348" si="789">AVERAGE(F348:F349)</f>
        <v>1.6074999999999999</v>
      </c>
      <c r="N348" s="29">
        <f t="shared" si="789"/>
        <v>6.7432124999999996E-2</v>
      </c>
      <c r="O348" s="29">
        <f t="shared" si="789"/>
        <v>0</v>
      </c>
      <c r="P348" s="29">
        <f t="shared" si="789"/>
        <v>0.59577262499999983</v>
      </c>
      <c r="Q348" s="29">
        <f t="shared" si="789"/>
        <v>4.3170624999999997E-3</v>
      </c>
      <c r="R348" s="29">
        <f t="shared" si="789"/>
        <v>0</v>
      </c>
    </row>
    <row r="349" spans="1:18">
      <c r="A349" s="16">
        <v>2</v>
      </c>
      <c r="B349" s="24">
        <v>41624</v>
      </c>
      <c r="C349" s="16">
        <v>2013</v>
      </c>
      <c r="D349" s="11" t="s">
        <v>38</v>
      </c>
      <c r="E349" s="16">
        <v>12</v>
      </c>
      <c r="F349" s="28">
        <v>2.3079999999999998</v>
      </c>
      <c r="G349" s="29">
        <v>5.3491499999999997E-2</v>
      </c>
      <c r="H349" s="29">
        <v>0</v>
      </c>
      <c r="I349" s="29">
        <v>1.0216511249999998</v>
      </c>
      <c r="J349" s="29">
        <v>8.6341249999999994E-3</v>
      </c>
      <c r="K349" s="29">
        <v>0</v>
      </c>
    </row>
    <row r="350" spans="1:18">
      <c r="A350" s="16">
        <v>16</v>
      </c>
      <c r="B350" s="24">
        <v>41624</v>
      </c>
      <c r="C350" s="16">
        <v>2013</v>
      </c>
      <c r="D350" s="11" t="s">
        <v>38</v>
      </c>
      <c r="E350" s="16">
        <v>12</v>
      </c>
      <c r="F350" s="28">
        <v>2.0470000000000002</v>
      </c>
      <c r="G350" s="29">
        <v>3.7790749999999991E-2</v>
      </c>
      <c r="H350" s="29">
        <v>0</v>
      </c>
      <c r="I350" s="29">
        <v>0.80317462500000003</v>
      </c>
      <c r="J350" s="29">
        <v>0</v>
      </c>
      <c r="K350" s="29">
        <v>0</v>
      </c>
      <c r="M350" s="29">
        <f t="shared" ref="M350:R350" si="790">AVERAGE(F350:F351)</f>
        <v>2.1945000000000001</v>
      </c>
      <c r="N350" s="29">
        <f t="shared" si="790"/>
        <v>4.5909937499999991E-2</v>
      </c>
      <c r="O350" s="29">
        <f t="shared" si="790"/>
        <v>0</v>
      </c>
      <c r="P350" s="29">
        <f t="shared" si="790"/>
        <v>0.85953893749999988</v>
      </c>
      <c r="Q350" s="29">
        <f t="shared" si="790"/>
        <v>5.1223749999999985E-3</v>
      </c>
      <c r="R350" s="29">
        <f t="shared" si="790"/>
        <v>0</v>
      </c>
    </row>
    <row r="351" spans="1:18">
      <c r="A351" s="16">
        <v>2</v>
      </c>
      <c r="B351" s="24">
        <v>41654</v>
      </c>
      <c r="C351" s="16">
        <v>2014</v>
      </c>
      <c r="D351" s="11" t="s">
        <v>39</v>
      </c>
      <c r="E351" s="16">
        <v>1</v>
      </c>
      <c r="F351" s="28">
        <v>2.3420000000000001</v>
      </c>
      <c r="G351" s="29">
        <v>5.402912499999999E-2</v>
      </c>
      <c r="H351" s="29">
        <v>0</v>
      </c>
      <c r="I351" s="29">
        <v>0.91590324999999972</v>
      </c>
      <c r="J351" s="29">
        <v>1.0244749999999997E-2</v>
      </c>
      <c r="K351" s="29">
        <v>0</v>
      </c>
    </row>
    <row r="352" spans="1:18">
      <c r="A352" s="16">
        <v>16</v>
      </c>
      <c r="B352" s="24">
        <v>41654</v>
      </c>
      <c r="C352" s="16">
        <v>2014</v>
      </c>
      <c r="D352" s="11" t="s">
        <v>39</v>
      </c>
      <c r="E352" s="16">
        <v>1</v>
      </c>
      <c r="F352" s="28">
        <v>2.7210000000000001</v>
      </c>
      <c r="G352" s="29">
        <v>0</v>
      </c>
      <c r="H352" s="29">
        <v>0</v>
      </c>
      <c r="I352" s="29">
        <v>1.074390875</v>
      </c>
      <c r="J352" s="29">
        <v>1.5335999999999997E-2</v>
      </c>
      <c r="K352" s="29">
        <v>0</v>
      </c>
      <c r="M352" s="29">
        <f t="shared" ref="M352:R352" si="791">AVERAGE(F352:F353)</f>
        <v>3.4449999999999998</v>
      </c>
      <c r="N352" s="29">
        <f t="shared" si="791"/>
        <v>5.6754437499999991E-2</v>
      </c>
      <c r="O352" s="29">
        <f t="shared" si="791"/>
        <v>0</v>
      </c>
      <c r="P352" s="29">
        <f t="shared" si="791"/>
        <v>1.4384468749999999</v>
      </c>
      <c r="Q352" s="29">
        <f t="shared" si="791"/>
        <v>1.69311875E-2</v>
      </c>
      <c r="R352" s="29">
        <f t="shared" si="791"/>
        <v>0</v>
      </c>
    </row>
    <row r="353" spans="1:18">
      <c r="A353" s="16">
        <v>2</v>
      </c>
      <c r="B353" s="24">
        <v>41688</v>
      </c>
      <c r="C353" s="16">
        <v>2014</v>
      </c>
      <c r="D353" s="11" t="s">
        <v>28</v>
      </c>
      <c r="E353" s="16">
        <v>2</v>
      </c>
      <c r="F353" s="28">
        <v>4.1689999999999996</v>
      </c>
      <c r="G353" s="29">
        <v>0.11350887499999998</v>
      </c>
      <c r="H353" s="29">
        <v>0</v>
      </c>
      <c r="I353" s="29">
        <v>1.8025028749999998</v>
      </c>
      <c r="J353" s="29">
        <v>1.8526375000000001E-2</v>
      </c>
      <c r="K353" s="29">
        <v>0</v>
      </c>
    </row>
    <row r="354" spans="1:18">
      <c r="A354" s="16">
        <v>16</v>
      </c>
      <c r="B354" s="24">
        <v>41690</v>
      </c>
      <c r="C354" s="16">
        <v>2014</v>
      </c>
      <c r="D354" s="11" t="s">
        <v>28</v>
      </c>
      <c r="E354" s="16">
        <v>2</v>
      </c>
      <c r="F354" s="28">
        <v>4.2729999999999997</v>
      </c>
      <c r="G354" s="29">
        <v>8.6924874999999999E-2</v>
      </c>
      <c r="H354" s="29">
        <v>0</v>
      </c>
      <c r="I354" s="29">
        <v>1.7758881250000003</v>
      </c>
      <c r="J354" s="29">
        <v>1.9015000000000001E-2</v>
      </c>
      <c r="K354" s="29">
        <v>0</v>
      </c>
      <c r="M354" s="29">
        <f t="shared" ref="M354:R354" si="792">AVERAGE(F354:F355)</f>
        <v>2.8404999999999996</v>
      </c>
      <c r="N354" s="29">
        <f t="shared" si="792"/>
        <v>7.0560437500000003E-2</v>
      </c>
      <c r="O354" s="29">
        <f t="shared" si="792"/>
        <v>0</v>
      </c>
      <c r="P354" s="29">
        <f t="shared" si="792"/>
        <v>1.1415993750000002</v>
      </c>
      <c r="Q354" s="29">
        <f t="shared" si="792"/>
        <v>3.7290249999999997E-2</v>
      </c>
      <c r="R354" s="29">
        <f t="shared" si="792"/>
        <v>0</v>
      </c>
    </row>
    <row r="355" spans="1:18">
      <c r="A355" s="16">
        <v>2</v>
      </c>
      <c r="B355" s="24">
        <v>41719</v>
      </c>
      <c r="C355" s="16">
        <v>2014</v>
      </c>
      <c r="D355" s="11" t="s">
        <v>29</v>
      </c>
      <c r="E355" s="16">
        <v>3</v>
      </c>
      <c r="F355" s="28">
        <v>1.4079999999999999</v>
      </c>
      <c r="G355" s="29">
        <v>5.4196000000000001E-2</v>
      </c>
      <c r="H355" s="29">
        <v>0</v>
      </c>
      <c r="I355" s="29">
        <v>0.50731062500000002</v>
      </c>
      <c r="J355" s="29">
        <v>5.5565499999999997E-2</v>
      </c>
      <c r="K355" s="29">
        <v>0</v>
      </c>
    </row>
    <row r="356" spans="1:18">
      <c r="A356" s="16">
        <v>16</v>
      </c>
      <c r="B356" s="24">
        <v>41719</v>
      </c>
      <c r="C356" s="16">
        <v>2014</v>
      </c>
      <c r="D356" s="11" t="s">
        <v>29</v>
      </c>
      <c r="E356" s="16">
        <v>3</v>
      </c>
      <c r="F356" s="28">
        <v>1.734</v>
      </c>
      <c r="G356" s="29">
        <v>2.2063124999999992E-2</v>
      </c>
      <c r="H356" s="29">
        <v>0</v>
      </c>
      <c r="I356" s="29">
        <v>0.81328912500000006</v>
      </c>
      <c r="J356" s="29">
        <v>3.5028249999999997E-2</v>
      </c>
      <c r="K356" s="29">
        <v>0</v>
      </c>
      <c r="M356" s="29">
        <f t="shared" ref="M356:R356" si="793">AVERAGE(F356:F357)</f>
        <v>3.5005000000000002</v>
      </c>
      <c r="N356" s="29">
        <f t="shared" si="793"/>
        <v>2.3479937499999996E-2</v>
      </c>
      <c r="O356" s="29">
        <f t="shared" si="793"/>
        <v>3.8884437500000001E-2</v>
      </c>
      <c r="P356" s="29">
        <f t="shared" si="793"/>
        <v>1.8676389374999998</v>
      </c>
      <c r="Q356" s="29">
        <f t="shared" si="793"/>
        <v>3.5259187499999997E-2</v>
      </c>
      <c r="R356" s="29">
        <f t="shared" si="793"/>
        <v>0</v>
      </c>
    </row>
    <row r="357" spans="1:18">
      <c r="A357" s="16">
        <v>2</v>
      </c>
      <c r="B357" s="24">
        <v>41747</v>
      </c>
      <c r="C357" s="16">
        <v>2014</v>
      </c>
      <c r="D357" s="11" t="s">
        <v>30</v>
      </c>
      <c r="E357" s="16">
        <v>4</v>
      </c>
      <c r="F357" s="35">
        <v>5.2670000000000003</v>
      </c>
      <c r="G357" s="29">
        <v>2.4896749999999999E-2</v>
      </c>
      <c r="H357" s="29">
        <v>7.7768875000000001E-2</v>
      </c>
      <c r="I357" s="29">
        <v>2.9219887499999997</v>
      </c>
      <c r="J357" s="29">
        <v>3.5490124999999997E-2</v>
      </c>
      <c r="K357" s="29">
        <v>0</v>
      </c>
    </row>
    <row r="358" spans="1:18">
      <c r="A358" s="16">
        <v>16</v>
      </c>
      <c r="B358" s="24">
        <v>41747</v>
      </c>
      <c r="C358" s="16">
        <v>2014</v>
      </c>
      <c r="D358" s="11" t="s">
        <v>30</v>
      </c>
      <c r="E358" s="16">
        <v>4</v>
      </c>
      <c r="F358" s="35">
        <v>2.0419999999999998</v>
      </c>
      <c r="G358" s="29">
        <v>1.6384250000000003E-2</v>
      </c>
      <c r="H358" s="29">
        <v>6.2575875000000003E-2</v>
      </c>
      <c r="I358" s="29">
        <v>1.004286</v>
      </c>
      <c r="J358" s="29">
        <v>2.0927874999999999E-2</v>
      </c>
      <c r="K358" s="29">
        <v>0</v>
      </c>
      <c r="M358" s="29">
        <f t="shared" ref="M358:R358" si="794">AVERAGE(F358:F359)</f>
        <v>2.306</v>
      </c>
      <c r="N358" s="29">
        <f t="shared" si="794"/>
        <v>8.1921250000000015E-3</v>
      </c>
      <c r="O358" s="29">
        <f t="shared" si="794"/>
        <v>3.1287937500000002E-2</v>
      </c>
      <c r="P358" s="29">
        <f t="shared" si="794"/>
        <v>0.75769025000000001</v>
      </c>
      <c r="Q358" s="29">
        <f t="shared" si="794"/>
        <v>2.6054250000000001E-2</v>
      </c>
      <c r="R358" s="29">
        <f t="shared" si="794"/>
        <v>0</v>
      </c>
    </row>
    <row r="359" spans="1:18">
      <c r="A359" s="16">
        <v>2</v>
      </c>
      <c r="B359" s="24">
        <v>41772</v>
      </c>
      <c r="C359" s="16">
        <v>2014</v>
      </c>
      <c r="D359" s="11" t="s">
        <v>31</v>
      </c>
      <c r="E359" s="16">
        <v>5</v>
      </c>
      <c r="F359" s="35">
        <v>2.57</v>
      </c>
      <c r="G359" s="29">
        <v>0</v>
      </c>
      <c r="H359" s="29">
        <v>0</v>
      </c>
      <c r="I359" s="29">
        <v>0.51109450000000001</v>
      </c>
      <c r="J359" s="29">
        <v>3.1180625E-2</v>
      </c>
      <c r="K359" s="29">
        <v>0</v>
      </c>
    </row>
    <row r="360" spans="1:18">
      <c r="A360" s="16">
        <v>16</v>
      </c>
      <c r="B360" s="24">
        <v>41772</v>
      </c>
      <c r="C360" s="16">
        <v>2014</v>
      </c>
      <c r="D360" s="11" t="s">
        <v>31</v>
      </c>
      <c r="E360" s="16">
        <v>5</v>
      </c>
      <c r="F360" s="35">
        <v>1.5649999999999999</v>
      </c>
      <c r="G360" s="29">
        <v>0</v>
      </c>
      <c r="H360" s="29">
        <v>0</v>
      </c>
      <c r="I360" s="29">
        <v>0.35300124999999993</v>
      </c>
      <c r="J360" s="29">
        <v>1.5259375E-2</v>
      </c>
      <c r="K360" s="29">
        <v>0</v>
      </c>
      <c r="M360" s="29">
        <f t="shared" ref="M360:R360" si="795">AVERAGE(F360:F361)</f>
        <v>4.2640000000000002</v>
      </c>
      <c r="N360" s="29">
        <f t="shared" si="795"/>
        <v>0.11047718749999999</v>
      </c>
      <c r="O360" s="29">
        <f t="shared" si="795"/>
        <v>0.17308006249999999</v>
      </c>
      <c r="P360" s="29">
        <f t="shared" si="795"/>
        <v>1.3765811874999998</v>
      </c>
      <c r="Q360" s="29">
        <f t="shared" si="795"/>
        <v>0.35159849999999992</v>
      </c>
      <c r="R360" s="29">
        <f t="shared" si="795"/>
        <v>0</v>
      </c>
    </row>
    <row r="361" spans="1:18">
      <c r="A361" s="16">
        <v>2</v>
      </c>
      <c r="B361" s="24">
        <v>41808</v>
      </c>
      <c r="C361" s="16">
        <v>2014</v>
      </c>
      <c r="D361" s="11" t="s">
        <v>32</v>
      </c>
      <c r="E361" s="16">
        <v>6</v>
      </c>
      <c r="F361" s="35">
        <v>6.9630000000000001</v>
      </c>
      <c r="G361" s="29">
        <v>0.22095437499999998</v>
      </c>
      <c r="H361" s="29">
        <v>0.34616012499999999</v>
      </c>
      <c r="I361" s="29">
        <v>2.4001611249999999</v>
      </c>
      <c r="J361" s="29">
        <v>0.68793762499999989</v>
      </c>
      <c r="K361" s="29">
        <v>0</v>
      </c>
    </row>
    <row r="362" spans="1:18">
      <c r="A362" s="16">
        <v>2</v>
      </c>
      <c r="B362" s="24">
        <v>41808</v>
      </c>
      <c r="C362" s="16">
        <v>2014</v>
      </c>
      <c r="D362" s="11" t="s">
        <v>32</v>
      </c>
      <c r="E362" s="16">
        <v>6</v>
      </c>
      <c r="F362" s="35">
        <v>6.9630000000000001</v>
      </c>
      <c r="G362" s="29">
        <v>0.22744637500000001</v>
      </c>
      <c r="H362" s="29">
        <v>0.33268849999999994</v>
      </c>
      <c r="I362" s="29">
        <v>2.3404357500000001</v>
      </c>
      <c r="J362" s="29">
        <v>0.69858324999999999</v>
      </c>
      <c r="K362" s="29">
        <v>0</v>
      </c>
      <c r="L362" t="s">
        <v>41</v>
      </c>
    </row>
    <row r="363" spans="1:18">
      <c r="A363" s="16">
        <v>16</v>
      </c>
      <c r="B363" s="24">
        <v>41808</v>
      </c>
      <c r="C363" s="16">
        <v>2014</v>
      </c>
      <c r="D363" s="11" t="s">
        <v>32</v>
      </c>
      <c r="E363" s="16">
        <v>6</v>
      </c>
      <c r="F363" s="35">
        <v>7.84</v>
      </c>
      <c r="G363" s="29">
        <v>7.3735750000000003E-2</v>
      </c>
      <c r="H363" s="29">
        <v>0.968249625</v>
      </c>
      <c r="I363" s="29">
        <v>2.7001621250000003</v>
      </c>
      <c r="J363" s="29">
        <v>0.99409162500000003</v>
      </c>
      <c r="K363" s="29">
        <v>0</v>
      </c>
      <c r="M363" s="29">
        <f>AVERAGE(F361:F363)</f>
        <v>7.2553333333333327</v>
      </c>
      <c r="N363" s="29">
        <f t="shared" ref="N363" si="796">AVERAGE(G361:G363)</f>
        <v>0.17404549999999999</v>
      </c>
      <c r="O363" s="29">
        <f t="shared" ref="O363" si="797">AVERAGE(H361:H363)</f>
        <v>0.54903274999999996</v>
      </c>
      <c r="P363" s="29">
        <f t="shared" ref="P363" si="798">AVERAGE(I361:I363)</f>
        <v>2.4802529999999998</v>
      </c>
      <c r="Q363" s="29">
        <f t="shared" ref="Q363" si="799">AVERAGE(J361:J363)</f>
        <v>0.7935374999999999</v>
      </c>
      <c r="R363" s="29">
        <f t="shared" ref="R363" si="800">AVERAGE(K361:K363)</f>
        <v>0</v>
      </c>
    </row>
    <row r="364" spans="1:18">
      <c r="A364" s="16">
        <v>2</v>
      </c>
      <c r="B364" s="24">
        <v>41834</v>
      </c>
      <c r="C364" s="16">
        <v>2014</v>
      </c>
      <c r="D364" s="11" t="s">
        <v>33</v>
      </c>
      <c r="E364" s="16">
        <v>7</v>
      </c>
      <c r="F364" s="35">
        <v>5.8369999999999997</v>
      </c>
      <c r="G364" s="29">
        <v>8.9607124999999982E-2</v>
      </c>
      <c r="H364" s="29">
        <v>0</v>
      </c>
      <c r="I364" s="29">
        <v>2.3108348749999994</v>
      </c>
      <c r="J364" s="29">
        <v>0.27418824999999997</v>
      </c>
      <c r="K364" s="29">
        <v>0</v>
      </c>
    </row>
    <row r="365" spans="1:18">
      <c r="A365" s="16">
        <v>16</v>
      </c>
      <c r="B365" s="24">
        <v>41834</v>
      </c>
      <c r="C365" s="16">
        <v>2014</v>
      </c>
      <c r="D365" s="11" t="s">
        <v>33</v>
      </c>
      <c r="E365" s="16">
        <v>7</v>
      </c>
      <c r="F365" s="35">
        <v>7.7990000000000004</v>
      </c>
      <c r="G365" s="29">
        <v>0.55776625000000002</v>
      </c>
      <c r="H365" s="29">
        <v>0</v>
      </c>
      <c r="I365" s="29">
        <v>2.3334291249999994</v>
      </c>
      <c r="J365" s="29">
        <v>0.74946875000000013</v>
      </c>
      <c r="K365" s="29">
        <v>0</v>
      </c>
      <c r="M365" s="29">
        <f t="shared" ref="M365:R365" si="801">AVERAGE(F365:F366)</f>
        <v>6.3004999999999995</v>
      </c>
      <c r="N365" s="29">
        <f t="shared" si="801"/>
        <v>0.36180325000000002</v>
      </c>
      <c r="O365" s="29">
        <f t="shared" si="801"/>
        <v>0</v>
      </c>
      <c r="P365" s="29">
        <f t="shared" si="801"/>
        <v>1.9483252499999995</v>
      </c>
      <c r="Q365" s="29">
        <f t="shared" si="801"/>
        <v>0.52104337500000009</v>
      </c>
      <c r="R365" s="29">
        <f t="shared" si="801"/>
        <v>0</v>
      </c>
    </row>
    <row r="366" spans="1:18">
      <c r="A366" s="16">
        <v>2</v>
      </c>
      <c r="B366" s="24">
        <v>41864</v>
      </c>
      <c r="C366" s="16">
        <v>2014</v>
      </c>
      <c r="D366" s="11" t="s">
        <v>34</v>
      </c>
      <c r="E366" s="16">
        <v>8</v>
      </c>
      <c r="F366" s="35">
        <v>4.8019999999999996</v>
      </c>
      <c r="G366" s="29">
        <v>0.16584024999999997</v>
      </c>
      <c r="H366" s="29">
        <v>0</v>
      </c>
      <c r="I366" s="29">
        <v>1.5632213749999997</v>
      </c>
      <c r="J366" s="29">
        <v>0.29261799999999999</v>
      </c>
      <c r="K366" s="29">
        <v>0</v>
      </c>
    </row>
    <row r="367" spans="1:18">
      <c r="A367" s="16">
        <v>16</v>
      </c>
      <c r="B367" s="24">
        <v>41862</v>
      </c>
      <c r="C367" s="16">
        <v>2014</v>
      </c>
      <c r="D367" s="11" t="s">
        <v>34</v>
      </c>
      <c r="E367" s="16">
        <v>8</v>
      </c>
      <c r="F367" s="35">
        <v>11.37</v>
      </c>
      <c r="G367" s="29">
        <v>0.55047175000000004</v>
      </c>
      <c r="H367" s="29">
        <v>0</v>
      </c>
      <c r="I367" s="29">
        <v>2.8870642499999999</v>
      </c>
      <c r="J367" s="29">
        <v>0.61387637500000003</v>
      </c>
      <c r="K367" s="29">
        <v>0</v>
      </c>
      <c r="M367" s="29">
        <f t="shared" ref="M367:R367" si="802">AVERAGE(F367:F368)</f>
        <v>8.5084999999999997</v>
      </c>
      <c r="N367" s="29">
        <f t="shared" si="802"/>
        <v>0.40256381250000001</v>
      </c>
      <c r="O367" s="29">
        <f t="shared" si="802"/>
        <v>0</v>
      </c>
      <c r="P367" s="29">
        <f t="shared" si="802"/>
        <v>2.1640055624999999</v>
      </c>
      <c r="Q367" s="29">
        <f t="shared" si="802"/>
        <v>0.34797050000000002</v>
      </c>
      <c r="R367" s="29">
        <f t="shared" si="802"/>
        <v>0</v>
      </c>
    </row>
    <row r="368" spans="1:18">
      <c r="A368" s="16">
        <v>2</v>
      </c>
      <c r="B368" s="24">
        <v>41898</v>
      </c>
      <c r="C368" s="16">
        <v>2014</v>
      </c>
      <c r="D368" s="11" t="s">
        <v>40</v>
      </c>
      <c r="E368" s="16">
        <v>9</v>
      </c>
      <c r="F368" s="35">
        <v>5.6470000000000002</v>
      </c>
      <c r="G368" s="29">
        <v>0.25465587499999998</v>
      </c>
      <c r="H368" s="29">
        <v>0</v>
      </c>
      <c r="I368" s="29">
        <v>1.4409468749999998</v>
      </c>
      <c r="J368" s="29">
        <v>8.2064624999999988E-2</v>
      </c>
      <c r="K368" s="29">
        <v>0</v>
      </c>
    </row>
    <row r="369" spans="1:18">
      <c r="A369" s="16">
        <v>16</v>
      </c>
      <c r="B369" s="24">
        <v>41898</v>
      </c>
      <c r="C369" s="16">
        <v>2014</v>
      </c>
      <c r="D369" s="11" t="s">
        <v>40</v>
      </c>
      <c r="E369" s="16">
        <v>9</v>
      </c>
      <c r="F369" s="35">
        <v>3.8079999999999998</v>
      </c>
      <c r="G369" s="29">
        <v>0.15112774999999998</v>
      </c>
      <c r="H369" s="29">
        <v>0</v>
      </c>
      <c r="I369" s="29">
        <v>0.64423237499999997</v>
      </c>
      <c r="J369" s="29">
        <v>5.3126874999999983E-2</v>
      </c>
      <c r="K369" s="29">
        <v>0</v>
      </c>
    </row>
    <row r="370" spans="1:18">
      <c r="A370" s="16">
        <v>16</v>
      </c>
      <c r="B370" s="24">
        <v>41898</v>
      </c>
      <c r="C370" s="16">
        <v>2014</v>
      </c>
      <c r="D370" s="11" t="s">
        <v>40</v>
      </c>
      <c r="E370" s="16">
        <v>9</v>
      </c>
      <c r="F370" s="35">
        <v>3.8079999999999998</v>
      </c>
      <c r="G370" s="29">
        <v>0.19313212499999999</v>
      </c>
      <c r="H370" s="29">
        <v>0</v>
      </c>
      <c r="I370" s="29">
        <v>0.6932053749999999</v>
      </c>
      <c r="J370" s="29">
        <v>5.3516624999999991E-2</v>
      </c>
      <c r="K370" s="29">
        <v>0</v>
      </c>
      <c r="L370" t="s">
        <v>41</v>
      </c>
      <c r="M370" s="29">
        <f>AVERAGE(F368:F370)</f>
        <v>4.4210000000000003</v>
      </c>
      <c r="N370" s="29">
        <f t="shared" ref="N370" si="803">AVERAGE(G368:G370)</f>
        <v>0.19963858333333331</v>
      </c>
      <c r="O370" s="29">
        <f t="shared" ref="O370" si="804">AVERAGE(H368:H370)</f>
        <v>0</v>
      </c>
      <c r="P370" s="29">
        <f t="shared" ref="P370" si="805">AVERAGE(I368:I370)</f>
        <v>0.9261282083333332</v>
      </c>
      <c r="Q370" s="29">
        <f t="shared" ref="Q370" si="806">AVERAGE(J368:J370)</f>
        <v>6.2902708333333321E-2</v>
      </c>
      <c r="R370" s="29">
        <f t="shared" ref="R370" si="807">AVERAGE(K368:K370)</f>
        <v>0</v>
      </c>
    </row>
    <row r="371" spans="1:18">
      <c r="A371" s="16">
        <v>2</v>
      </c>
      <c r="B371" s="24">
        <v>41929</v>
      </c>
      <c r="C371" s="16">
        <v>2014</v>
      </c>
      <c r="D371" s="11" t="s">
        <v>36</v>
      </c>
      <c r="E371" s="16">
        <v>10</v>
      </c>
      <c r="F371" s="28">
        <v>1.911</v>
      </c>
      <c r="G371" s="29">
        <v>4.952875000000001E-2</v>
      </c>
      <c r="H371" s="29">
        <v>0</v>
      </c>
      <c r="I371" s="29">
        <v>0.37114737499999995</v>
      </c>
      <c r="J371" s="29">
        <v>1.3363874999999997E-2</v>
      </c>
      <c r="K371" s="29">
        <v>0</v>
      </c>
    </row>
    <row r="372" spans="1:18">
      <c r="A372" s="16">
        <v>16</v>
      </c>
      <c r="B372" s="24">
        <v>41929</v>
      </c>
      <c r="C372" s="16">
        <v>2014</v>
      </c>
      <c r="D372" s="11" t="s">
        <v>36</v>
      </c>
      <c r="E372" s="16">
        <v>10</v>
      </c>
      <c r="F372" s="28">
        <v>1.1919999999999999</v>
      </c>
      <c r="G372" s="29">
        <v>3.3527500000000002E-2</v>
      </c>
      <c r="H372" s="29">
        <v>0</v>
      </c>
      <c r="I372" s="29">
        <v>0.23935949999999998</v>
      </c>
      <c r="J372" s="29">
        <v>0</v>
      </c>
      <c r="K372" s="29">
        <v>0</v>
      </c>
      <c r="M372" s="29">
        <f t="shared" ref="M372:R372" si="808">AVERAGE(F372:F373)</f>
        <v>0.96550000000000002</v>
      </c>
      <c r="N372" s="29">
        <f t="shared" si="808"/>
        <v>1.6763750000000001E-2</v>
      </c>
      <c r="O372" s="29">
        <f t="shared" si="808"/>
        <v>0</v>
      </c>
      <c r="P372" s="29">
        <f t="shared" si="808"/>
        <v>0.20819712499999998</v>
      </c>
      <c r="Q372" s="29">
        <f t="shared" si="808"/>
        <v>0</v>
      </c>
      <c r="R372" s="29">
        <f t="shared" si="808"/>
        <v>0</v>
      </c>
    </row>
    <row r="373" spans="1:18">
      <c r="A373" s="16">
        <v>2</v>
      </c>
      <c r="B373" s="24">
        <v>41953</v>
      </c>
      <c r="C373" s="16">
        <v>2014</v>
      </c>
      <c r="D373" s="11" t="s">
        <v>37</v>
      </c>
      <c r="E373" s="16">
        <v>11</v>
      </c>
      <c r="F373" s="28">
        <v>0.73899999999999999</v>
      </c>
      <c r="G373" s="29">
        <v>0</v>
      </c>
      <c r="H373" s="29">
        <v>0</v>
      </c>
      <c r="I373" s="29">
        <v>0.17703474999999996</v>
      </c>
      <c r="J373" s="29">
        <v>0</v>
      </c>
      <c r="K373" s="29">
        <v>0</v>
      </c>
    </row>
    <row r="374" spans="1:18">
      <c r="A374" s="16">
        <v>16</v>
      </c>
      <c r="B374" s="24">
        <v>41953</v>
      </c>
      <c r="C374" s="16">
        <v>2014</v>
      </c>
      <c r="D374" s="11" t="s">
        <v>37</v>
      </c>
      <c r="E374" s="16">
        <v>11</v>
      </c>
      <c r="F374" s="28">
        <v>0.96599999999999997</v>
      </c>
      <c r="G374" s="29">
        <v>0</v>
      </c>
      <c r="H374" s="29">
        <v>0</v>
      </c>
      <c r="I374" s="29">
        <v>0.114953125</v>
      </c>
      <c r="J374" s="29">
        <v>1.0116374999999999E-2</v>
      </c>
      <c r="K374" s="29">
        <v>0</v>
      </c>
      <c r="M374" s="29">
        <f t="shared" ref="M374:R374" si="809">AVERAGE(F374:F375)</f>
        <v>1.4449999999999998</v>
      </c>
      <c r="N374" s="29">
        <f t="shared" si="809"/>
        <v>2.1507874999999996E-2</v>
      </c>
      <c r="O374" s="29">
        <f t="shared" si="809"/>
        <v>0</v>
      </c>
      <c r="P374" s="29">
        <f t="shared" si="809"/>
        <v>0.42541468750000005</v>
      </c>
      <c r="Q374" s="29">
        <f t="shared" si="809"/>
        <v>5.0581874999999993E-3</v>
      </c>
      <c r="R374" s="29">
        <f t="shared" si="809"/>
        <v>0</v>
      </c>
    </row>
    <row r="375" spans="1:18">
      <c r="A375" s="16">
        <v>2</v>
      </c>
      <c r="B375" s="24">
        <v>41988</v>
      </c>
      <c r="C375" s="16">
        <v>2014</v>
      </c>
      <c r="D375" s="11" t="s">
        <v>38</v>
      </c>
      <c r="E375" s="16">
        <v>12</v>
      </c>
      <c r="F375" s="28">
        <v>1.9239999999999999</v>
      </c>
      <c r="G375" s="29">
        <v>4.3015749999999991E-2</v>
      </c>
      <c r="H375" s="29">
        <v>0</v>
      </c>
      <c r="I375" s="29">
        <v>0.73587625000000012</v>
      </c>
      <c r="J375" s="29">
        <v>0</v>
      </c>
      <c r="K375" s="29">
        <v>0</v>
      </c>
    </row>
    <row r="376" spans="1:18">
      <c r="A376" s="16">
        <v>16</v>
      </c>
      <c r="B376" s="24">
        <v>41988</v>
      </c>
      <c r="C376" s="16">
        <v>2014</v>
      </c>
      <c r="D376" s="11" t="s">
        <v>38</v>
      </c>
      <c r="E376" s="16">
        <v>12</v>
      </c>
      <c r="F376" s="28">
        <v>2.33</v>
      </c>
      <c r="G376" s="29">
        <v>5.208900000000001E-2</v>
      </c>
      <c r="H376" s="29">
        <v>0</v>
      </c>
      <c r="I376" s="29">
        <v>0.81190949999999984</v>
      </c>
      <c r="J376" s="29">
        <v>0</v>
      </c>
      <c r="K376" s="29">
        <v>0</v>
      </c>
      <c r="M376" s="29">
        <f t="shared" ref="M376:R376" si="810">AVERAGE(F376:F377)</f>
        <v>2.33</v>
      </c>
      <c r="N376" s="29">
        <f t="shared" si="810"/>
        <v>5.208900000000001E-2</v>
      </c>
      <c r="O376" s="29">
        <f t="shared" si="810"/>
        <v>0</v>
      </c>
      <c r="P376" s="29">
        <f t="shared" si="810"/>
        <v>0.81190949999999984</v>
      </c>
      <c r="Q376" s="29">
        <f t="shared" si="810"/>
        <v>0</v>
      </c>
      <c r="R376" s="29">
        <f t="shared" si="810"/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8"/>
  <sheetViews>
    <sheetView workbookViewId="0">
      <selection activeCell="G1" sqref="G1:G1048576"/>
    </sheetView>
  </sheetViews>
  <sheetFormatPr defaultColWidth="8.85546875" defaultRowHeight="15"/>
  <sheetData>
    <row r="1" spans="1:12" ht="18">
      <c r="F1" s="1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 spans="1:12" ht="25.5">
      <c r="A2" s="2" t="s">
        <v>2</v>
      </c>
      <c r="B2" s="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7" t="s">
        <v>13</v>
      </c>
    </row>
    <row r="3" spans="1:12">
      <c r="A3" s="8">
        <v>2</v>
      </c>
      <c r="B3" s="9">
        <v>36445</v>
      </c>
      <c r="C3" s="10">
        <v>1999</v>
      </c>
      <c r="D3" s="11" t="s">
        <v>14</v>
      </c>
      <c r="E3" s="12">
        <v>10</v>
      </c>
      <c r="F3" s="13">
        <v>1.3330102911201809</v>
      </c>
      <c r="G3" s="14">
        <v>0</v>
      </c>
      <c r="H3" s="14">
        <v>0</v>
      </c>
      <c r="I3" s="14">
        <v>0.2248281875</v>
      </c>
      <c r="J3" s="14">
        <v>3.3680958166666664E-2</v>
      </c>
      <c r="K3" s="15" t="s">
        <v>15</v>
      </c>
    </row>
    <row r="4" spans="1:12">
      <c r="A4" s="8">
        <v>16</v>
      </c>
      <c r="B4" s="9">
        <v>36444</v>
      </c>
      <c r="C4" s="10">
        <v>1999</v>
      </c>
      <c r="D4" s="11" t="s">
        <v>14</v>
      </c>
      <c r="E4" s="12">
        <v>10</v>
      </c>
      <c r="F4" s="13">
        <v>1.6606092731436428</v>
      </c>
      <c r="G4" s="14">
        <v>2.7688580000000004E-2</v>
      </c>
      <c r="H4" s="14">
        <v>0</v>
      </c>
      <c r="I4" s="14">
        <v>0.12100544750000002</v>
      </c>
      <c r="J4" s="14">
        <v>1.4040328333333331E-2</v>
      </c>
      <c r="K4" s="15" t="s">
        <v>15</v>
      </c>
    </row>
    <row r="5" spans="1:12">
      <c r="A5" s="8">
        <v>2</v>
      </c>
      <c r="B5" s="9">
        <v>36472</v>
      </c>
      <c r="C5" s="10">
        <v>1999</v>
      </c>
      <c r="D5" s="11" t="s">
        <v>16</v>
      </c>
      <c r="E5" s="10">
        <v>11</v>
      </c>
      <c r="F5" s="13">
        <v>4.285993642125038</v>
      </c>
      <c r="G5" s="14">
        <v>2.8260655499999999E-2</v>
      </c>
      <c r="H5" s="14">
        <v>0</v>
      </c>
      <c r="I5" s="14">
        <v>1.5377500563333333</v>
      </c>
      <c r="J5" s="14">
        <v>1.3361113166666667E-2</v>
      </c>
      <c r="K5" s="15" t="s">
        <v>15</v>
      </c>
    </row>
    <row r="6" spans="1:12">
      <c r="A6" s="8">
        <v>16</v>
      </c>
      <c r="B6" s="9">
        <v>36472</v>
      </c>
      <c r="C6" s="10">
        <v>1999</v>
      </c>
      <c r="D6" s="11" t="s">
        <v>16</v>
      </c>
      <c r="E6" s="10">
        <v>11</v>
      </c>
      <c r="F6" s="13">
        <v>0.41591953889429528</v>
      </c>
      <c r="G6" s="14">
        <v>0</v>
      </c>
      <c r="H6" s="14">
        <v>0</v>
      </c>
      <c r="I6" s="14">
        <v>8.3146671333333325E-2</v>
      </c>
      <c r="J6" s="14">
        <v>0</v>
      </c>
      <c r="K6" s="15" t="s">
        <v>15</v>
      </c>
    </row>
    <row r="7" spans="1:12">
      <c r="A7" s="8">
        <v>2</v>
      </c>
      <c r="B7" s="9">
        <v>36501</v>
      </c>
      <c r="C7" s="10">
        <v>1999</v>
      </c>
      <c r="D7" s="11" t="s">
        <v>17</v>
      </c>
      <c r="E7" s="10">
        <v>12</v>
      </c>
      <c r="F7" s="13">
        <v>1.4014618639341168</v>
      </c>
      <c r="G7" s="14">
        <v>1.7573630999999999E-2</v>
      </c>
      <c r="H7" s="14">
        <v>0</v>
      </c>
      <c r="I7" s="14">
        <v>0.41018652016666662</v>
      </c>
      <c r="J7" s="14">
        <v>6.3514323333333338E-3</v>
      </c>
      <c r="K7" s="15" t="s">
        <v>15</v>
      </c>
    </row>
    <row r="8" spans="1:12">
      <c r="A8" s="8">
        <v>16</v>
      </c>
      <c r="B8" s="9">
        <v>36501</v>
      </c>
      <c r="C8" s="10">
        <v>1999</v>
      </c>
      <c r="D8" s="11" t="s">
        <v>17</v>
      </c>
      <c r="E8" s="10">
        <v>12</v>
      </c>
      <c r="F8" s="13">
        <v>1.2786164862718898</v>
      </c>
      <c r="G8" s="14">
        <v>2.0050528166666665E-2</v>
      </c>
      <c r="H8" s="14">
        <v>0</v>
      </c>
      <c r="I8" s="14">
        <v>0.32387618850000005</v>
      </c>
      <c r="J8" s="14">
        <v>0</v>
      </c>
      <c r="K8" s="15" t="s">
        <v>15</v>
      </c>
    </row>
    <row r="9" spans="1:12">
      <c r="A9" s="8">
        <v>2</v>
      </c>
      <c r="B9" s="9">
        <v>36530</v>
      </c>
      <c r="C9" s="12">
        <v>2000</v>
      </c>
      <c r="D9" s="11" t="s">
        <v>18</v>
      </c>
      <c r="E9" s="10">
        <v>1</v>
      </c>
      <c r="F9" s="13">
        <v>3.0782638208252844</v>
      </c>
      <c r="G9" s="14">
        <v>6.6303728666666673E-2</v>
      </c>
      <c r="H9" s="14">
        <v>3.1504932666666673E-2</v>
      </c>
      <c r="I9" s="14">
        <v>1.1697250916666666</v>
      </c>
      <c r="J9" s="14">
        <v>1.5582216999999999E-2</v>
      </c>
      <c r="K9" s="15" t="s">
        <v>15</v>
      </c>
    </row>
    <row r="10" spans="1:12">
      <c r="A10" s="8">
        <v>16</v>
      </c>
      <c r="B10" s="9">
        <v>36530</v>
      </c>
      <c r="C10" s="12">
        <v>2000</v>
      </c>
      <c r="D10" s="11" t="s">
        <v>18</v>
      </c>
      <c r="E10" s="10">
        <v>1</v>
      </c>
      <c r="F10" s="13">
        <v>3.6585839039056487</v>
      </c>
      <c r="G10" s="14">
        <v>5.8229360500000001E-2</v>
      </c>
      <c r="H10" s="14">
        <v>4.0905127999999999E-2</v>
      </c>
      <c r="I10" s="14">
        <v>1.3798645566666667</v>
      </c>
      <c r="J10" s="14">
        <v>1.7815167E-2</v>
      </c>
      <c r="K10" s="15" t="s">
        <v>15</v>
      </c>
    </row>
    <row r="11" spans="1:12">
      <c r="A11" s="8">
        <v>2</v>
      </c>
      <c r="B11" s="9">
        <v>36579</v>
      </c>
      <c r="C11" s="12">
        <v>2000</v>
      </c>
      <c r="D11" s="11" t="s">
        <v>19</v>
      </c>
      <c r="E11" s="12">
        <v>2</v>
      </c>
      <c r="F11" s="13">
        <v>2.5386928407093783</v>
      </c>
      <c r="G11" s="14">
        <v>3.5411966166666663E-2</v>
      </c>
      <c r="H11" s="14">
        <v>0</v>
      </c>
      <c r="I11" s="14">
        <v>0.94186166466666676</v>
      </c>
      <c r="J11" s="14">
        <v>2.8656925500000003E-2</v>
      </c>
      <c r="K11" s="15" t="s">
        <v>15</v>
      </c>
    </row>
    <row r="12" spans="1:12">
      <c r="A12" s="8">
        <v>16</v>
      </c>
      <c r="B12" s="9">
        <v>36579</v>
      </c>
      <c r="C12" s="12">
        <v>2000</v>
      </c>
      <c r="D12" s="11" t="s">
        <v>19</v>
      </c>
      <c r="E12" s="12">
        <v>2</v>
      </c>
      <c r="F12" s="13">
        <v>2.3945823862849616</v>
      </c>
      <c r="G12" s="14">
        <v>3.7185222000000004E-2</v>
      </c>
      <c r="H12" s="14">
        <v>0</v>
      </c>
      <c r="I12" s="14">
        <v>0.92685990983333344</v>
      </c>
      <c r="J12" s="14">
        <v>2.7480485833333335E-2</v>
      </c>
      <c r="K12" s="15" t="s">
        <v>15</v>
      </c>
    </row>
    <row r="13" spans="1:12">
      <c r="A13" s="8">
        <v>2</v>
      </c>
      <c r="B13" s="9">
        <v>36600</v>
      </c>
      <c r="C13" s="12">
        <v>2000</v>
      </c>
      <c r="D13" s="11" t="s">
        <v>20</v>
      </c>
      <c r="E13" s="12">
        <v>3</v>
      </c>
      <c r="F13" s="13">
        <v>1.9050536432870002</v>
      </c>
      <c r="G13" s="14">
        <v>0</v>
      </c>
      <c r="H13" s="14">
        <v>3.7304102999999998E-2</v>
      </c>
      <c r="I13" s="14">
        <v>0.5894079095000001</v>
      </c>
      <c r="J13" s="14">
        <v>4.5800005999999997E-2</v>
      </c>
      <c r="K13" s="15" t="s">
        <v>15</v>
      </c>
    </row>
    <row r="14" spans="1:12">
      <c r="A14" s="8">
        <v>16</v>
      </c>
      <c r="B14" s="9">
        <v>36600</v>
      </c>
      <c r="C14" s="12">
        <v>2000</v>
      </c>
      <c r="D14" s="11" t="s">
        <v>20</v>
      </c>
      <c r="E14" s="12">
        <v>3</v>
      </c>
      <c r="F14" s="13">
        <v>1.5679274644511905</v>
      </c>
      <c r="G14" s="14">
        <v>1.3886013666666665E-2</v>
      </c>
      <c r="H14" s="14">
        <v>4.1424157833333329E-2</v>
      </c>
      <c r="I14" s="14">
        <v>0.44869054550000004</v>
      </c>
      <c r="J14" s="14">
        <v>3.5657590666666669E-2</v>
      </c>
      <c r="K14" s="15" t="s">
        <v>15</v>
      </c>
    </row>
    <row r="15" spans="1:12">
      <c r="A15" s="8">
        <v>2</v>
      </c>
      <c r="B15" s="9">
        <v>36628</v>
      </c>
      <c r="C15" s="12">
        <v>2000</v>
      </c>
      <c r="D15" s="16" t="s">
        <v>21</v>
      </c>
      <c r="E15" s="12">
        <v>4</v>
      </c>
      <c r="F15" s="13">
        <v>4.7973446625707457</v>
      </c>
      <c r="G15" s="14">
        <v>0.12740667566666664</v>
      </c>
      <c r="H15" s="14">
        <v>4.6033679500000001E-2</v>
      </c>
      <c r="I15" s="14">
        <v>1.3127073798333333</v>
      </c>
      <c r="J15" s="14">
        <v>1.7523835166666668E-2</v>
      </c>
      <c r="K15" s="15" t="s">
        <v>15</v>
      </c>
    </row>
    <row r="16" spans="1:12">
      <c r="A16" s="8">
        <v>16</v>
      </c>
      <c r="B16" s="9">
        <v>36628</v>
      </c>
      <c r="C16" s="12">
        <v>2000</v>
      </c>
      <c r="D16" s="16" t="s">
        <v>21</v>
      </c>
      <c r="E16" s="12">
        <v>4</v>
      </c>
      <c r="F16" s="13">
        <v>2.7664028879625464</v>
      </c>
      <c r="G16" s="14">
        <v>0.14463142133333334</v>
      </c>
      <c r="H16" s="14">
        <v>2.477326983333333E-2</v>
      </c>
      <c r="I16" s="14">
        <v>0.51445784200000011</v>
      </c>
      <c r="J16" s="14">
        <v>6.7782088333333346E-3</v>
      </c>
      <c r="K16" s="15" t="s">
        <v>15</v>
      </c>
    </row>
    <row r="17" spans="1:11">
      <c r="A17" s="8">
        <v>2</v>
      </c>
      <c r="B17" s="9">
        <v>36661</v>
      </c>
      <c r="C17" s="12">
        <v>2000</v>
      </c>
      <c r="D17" s="16" t="s">
        <v>22</v>
      </c>
      <c r="E17" s="12">
        <v>5</v>
      </c>
      <c r="F17" s="13">
        <v>4.6886727747195547</v>
      </c>
      <c r="G17" s="14">
        <v>2.8767524666666665E-2</v>
      </c>
      <c r="H17" s="14">
        <v>0.34010837216666667</v>
      </c>
      <c r="I17" s="14">
        <v>2.1653510554999995</v>
      </c>
      <c r="J17" s="14">
        <v>7.0320312999999995E-2</v>
      </c>
      <c r="K17" s="15" t="s">
        <v>15</v>
      </c>
    </row>
    <row r="18" spans="1:11">
      <c r="A18" s="8">
        <v>16</v>
      </c>
      <c r="B18" s="9">
        <v>36661</v>
      </c>
      <c r="C18" s="12">
        <v>2000</v>
      </c>
      <c r="D18" s="16" t="s">
        <v>22</v>
      </c>
      <c r="E18" s="12">
        <v>5</v>
      </c>
      <c r="F18" s="13">
        <v>6.0927728226505344</v>
      </c>
      <c r="G18" s="14">
        <v>3.979410433333333E-2</v>
      </c>
      <c r="H18" s="14">
        <v>1.0903747498333334</v>
      </c>
      <c r="I18" s="14">
        <v>2.4888738508333335</v>
      </c>
      <c r="J18" s="14">
        <v>7.2132776499999995E-2</v>
      </c>
      <c r="K18" s="15" t="s">
        <v>15</v>
      </c>
    </row>
    <row r="19" spans="1:11">
      <c r="A19" s="8">
        <v>2</v>
      </c>
      <c r="B19" s="9">
        <v>36691</v>
      </c>
      <c r="C19" s="12">
        <v>2000</v>
      </c>
      <c r="D19" s="16" t="s">
        <v>23</v>
      </c>
      <c r="E19" s="12">
        <v>6</v>
      </c>
      <c r="F19" s="13">
        <v>1.6994240245561543</v>
      </c>
      <c r="G19" s="14">
        <v>0.10535037133333333</v>
      </c>
      <c r="H19" s="14">
        <v>0</v>
      </c>
      <c r="I19" s="14">
        <v>0.50014777750000006</v>
      </c>
      <c r="J19" s="14">
        <v>1.5282603333333332E-2</v>
      </c>
      <c r="K19" s="15" t="s">
        <v>15</v>
      </c>
    </row>
    <row r="20" spans="1:11">
      <c r="A20" s="8">
        <v>16</v>
      </c>
      <c r="B20" s="9">
        <v>36691</v>
      </c>
      <c r="C20" s="12">
        <v>2000</v>
      </c>
      <c r="D20" s="16" t="s">
        <v>23</v>
      </c>
      <c r="E20" s="12">
        <v>6</v>
      </c>
      <c r="F20" s="13">
        <v>4.4627459706507473</v>
      </c>
      <c r="G20" s="14">
        <v>0.10673679216666666</v>
      </c>
      <c r="H20" s="14">
        <v>5.4309117999999997E-2</v>
      </c>
      <c r="I20" s="14">
        <v>1.5665815293333332</v>
      </c>
      <c r="J20" s="14">
        <v>4.7414963500000004E-2</v>
      </c>
      <c r="K20" s="15" t="s">
        <v>15</v>
      </c>
    </row>
    <row r="21" spans="1:11">
      <c r="A21" s="8">
        <v>2</v>
      </c>
      <c r="B21" s="9">
        <v>36720</v>
      </c>
      <c r="C21" s="12">
        <v>2000</v>
      </c>
      <c r="D21" s="16" t="s">
        <v>24</v>
      </c>
      <c r="E21" s="12">
        <v>7</v>
      </c>
      <c r="F21" s="13">
        <v>10.384727236125432</v>
      </c>
      <c r="G21" s="14">
        <v>0.12871478599999997</v>
      </c>
      <c r="H21" s="14">
        <v>4.9327228333333334E-2</v>
      </c>
      <c r="I21" s="14">
        <v>1.5211288361666666</v>
      </c>
      <c r="J21" s="14">
        <v>0.80691401283333331</v>
      </c>
      <c r="K21" s="15" t="s">
        <v>15</v>
      </c>
    </row>
    <row r="22" spans="1:11">
      <c r="A22" s="8">
        <v>16</v>
      </c>
      <c r="B22" s="9">
        <v>36720</v>
      </c>
      <c r="C22" s="12">
        <v>2000</v>
      </c>
      <c r="D22" s="16" t="s">
        <v>24</v>
      </c>
      <c r="E22" s="12">
        <v>7</v>
      </c>
      <c r="F22" s="13">
        <v>9.8045028976455733</v>
      </c>
      <c r="G22" s="14">
        <v>7.8288589833333325E-2</v>
      </c>
      <c r="H22" s="14">
        <v>4.1493347833333333E-2</v>
      </c>
      <c r="I22" s="14">
        <v>1.3389058588333329</v>
      </c>
      <c r="J22" s="14">
        <v>1.0675680484999999</v>
      </c>
      <c r="K22" s="15" t="s">
        <v>15</v>
      </c>
    </row>
    <row r="23" spans="1:11">
      <c r="A23" s="8">
        <v>2</v>
      </c>
      <c r="B23" s="9">
        <v>36754</v>
      </c>
      <c r="C23" s="12">
        <v>2000</v>
      </c>
      <c r="D23" s="16" t="s">
        <v>25</v>
      </c>
      <c r="E23" s="12">
        <v>8</v>
      </c>
      <c r="F23" s="13">
        <v>12.821283488842734</v>
      </c>
      <c r="G23" s="14">
        <v>6.8767836166666665E-2</v>
      </c>
      <c r="H23" s="14">
        <v>2.9916078666666669E-2</v>
      </c>
      <c r="I23" s="14">
        <v>2.6009346038333332</v>
      </c>
      <c r="J23" s="14">
        <v>1.498663786666667</v>
      </c>
      <c r="K23" s="15" t="s">
        <v>15</v>
      </c>
    </row>
    <row r="24" spans="1:11">
      <c r="A24" s="8">
        <v>16</v>
      </c>
      <c r="B24" s="9">
        <v>36754</v>
      </c>
      <c r="C24" s="12">
        <v>2000</v>
      </c>
      <c r="D24" s="16" t="s">
        <v>25</v>
      </c>
      <c r="E24" s="12">
        <v>8</v>
      </c>
      <c r="F24" s="13">
        <v>14.668265930659848</v>
      </c>
      <c r="G24" s="14">
        <v>0.34292346166666671</v>
      </c>
      <c r="H24" s="14">
        <v>2.64648605E-2</v>
      </c>
      <c r="I24" s="14">
        <v>2.6780168764999996</v>
      </c>
      <c r="J24" s="14">
        <v>1.7610295409999999</v>
      </c>
      <c r="K24" s="15" t="s">
        <v>15</v>
      </c>
    </row>
    <row r="25" spans="1:11">
      <c r="A25" s="8">
        <v>2</v>
      </c>
      <c r="B25" s="9">
        <v>36782</v>
      </c>
      <c r="C25" s="12">
        <v>2000</v>
      </c>
      <c r="D25" s="16" t="s">
        <v>26</v>
      </c>
      <c r="E25" s="12">
        <v>9</v>
      </c>
      <c r="F25" s="13">
        <v>1.0846293683277899</v>
      </c>
      <c r="G25" s="14">
        <v>0</v>
      </c>
      <c r="H25" s="14">
        <v>0</v>
      </c>
      <c r="I25" s="14">
        <v>0.29662036050000001</v>
      </c>
      <c r="J25" s="14">
        <v>2.1051162333333338E-2</v>
      </c>
      <c r="K25" s="15" t="s">
        <v>15</v>
      </c>
    </row>
    <row r="26" spans="1:11">
      <c r="A26" s="8">
        <v>16</v>
      </c>
      <c r="B26" s="9">
        <v>36782</v>
      </c>
      <c r="C26" s="12">
        <v>2000</v>
      </c>
      <c r="D26" s="16" t="s">
        <v>26</v>
      </c>
      <c r="E26" s="12">
        <v>9</v>
      </c>
      <c r="F26" s="13">
        <v>3.9030508702619744</v>
      </c>
      <c r="G26" s="14">
        <v>5.0039466000000005E-2</v>
      </c>
      <c r="H26" s="14">
        <v>0</v>
      </c>
      <c r="I26" s="14">
        <v>1.2469303338333333</v>
      </c>
      <c r="J26" s="14">
        <v>0.15255336183333332</v>
      </c>
      <c r="K26" s="15" t="s">
        <v>15</v>
      </c>
    </row>
    <row r="27" spans="1:11">
      <c r="A27" s="8">
        <v>2</v>
      </c>
      <c r="B27" s="9">
        <v>36818</v>
      </c>
      <c r="C27" s="12">
        <v>2000</v>
      </c>
      <c r="D27" s="16" t="s">
        <v>14</v>
      </c>
      <c r="E27" s="12">
        <v>10</v>
      </c>
      <c r="F27" s="17">
        <v>0.78369689681136157</v>
      </c>
      <c r="G27" s="15">
        <v>5.2189597666666671E-2</v>
      </c>
      <c r="H27" s="15">
        <v>0</v>
      </c>
      <c r="I27" s="15">
        <v>0.14521576233333333</v>
      </c>
      <c r="J27" s="15">
        <v>0</v>
      </c>
      <c r="K27" s="15" t="s">
        <v>15</v>
      </c>
    </row>
    <row r="28" spans="1:11">
      <c r="A28" s="8">
        <v>16</v>
      </c>
      <c r="B28" s="9">
        <v>36818</v>
      </c>
      <c r="C28" s="12">
        <v>2000</v>
      </c>
      <c r="D28" s="16" t="s">
        <v>14</v>
      </c>
      <c r="E28" s="12">
        <v>10</v>
      </c>
      <c r="F28" s="17">
        <v>1.3435023165554583</v>
      </c>
      <c r="G28" s="15">
        <v>6.7325224666666669E-2</v>
      </c>
      <c r="H28" s="15">
        <v>0</v>
      </c>
      <c r="I28" s="15">
        <v>9.0443385833333334E-2</v>
      </c>
      <c r="J28" s="15">
        <v>1.0305116666666664E-2</v>
      </c>
      <c r="K28" s="15" t="s">
        <v>15</v>
      </c>
    </row>
    <row r="29" spans="1:11">
      <c r="A29" s="8">
        <v>2</v>
      </c>
      <c r="B29" s="9">
        <v>36845</v>
      </c>
      <c r="C29" s="12">
        <v>2000</v>
      </c>
      <c r="D29" s="16" t="s">
        <v>16</v>
      </c>
      <c r="E29" s="12">
        <v>11</v>
      </c>
      <c r="F29" s="17">
        <v>0.70124637049035787</v>
      </c>
      <c r="G29" s="15">
        <v>0</v>
      </c>
      <c r="H29" s="15">
        <v>0</v>
      </c>
      <c r="I29" s="15">
        <v>0.18300450983333336</v>
      </c>
      <c r="J29" s="15">
        <v>0</v>
      </c>
      <c r="K29" s="15" t="s">
        <v>15</v>
      </c>
    </row>
    <row r="30" spans="1:11">
      <c r="A30" s="8">
        <v>16</v>
      </c>
      <c r="B30" s="9">
        <v>36848</v>
      </c>
      <c r="C30" s="12">
        <v>2000</v>
      </c>
      <c r="D30" s="16" t="s">
        <v>16</v>
      </c>
      <c r="E30" s="12">
        <v>11</v>
      </c>
      <c r="F30" s="17">
        <v>0.33552353038791721</v>
      </c>
      <c r="G30" s="15">
        <v>2.2378037833333336E-2</v>
      </c>
      <c r="H30" s="15">
        <v>0</v>
      </c>
      <c r="I30" s="15">
        <v>3.920169116666667E-2</v>
      </c>
      <c r="J30" s="15">
        <v>0</v>
      </c>
      <c r="K30" s="15" t="s">
        <v>15</v>
      </c>
    </row>
    <row r="31" spans="1:11">
      <c r="A31" s="8">
        <v>2</v>
      </c>
      <c r="B31" s="9">
        <v>36875</v>
      </c>
      <c r="C31" s="12">
        <v>2000</v>
      </c>
      <c r="D31" s="16" t="s">
        <v>17</v>
      </c>
      <c r="E31" s="12">
        <v>12</v>
      </c>
      <c r="F31" s="17">
        <v>2.9105063210533353</v>
      </c>
      <c r="G31" s="15">
        <v>0.1120333915</v>
      </c>
      <c r="H31" s="15">
        <v>1.1417817666666665E-2</v>
      </c>
      <c r="I31" s="15">
        <v>0.70021202533333327</v>
      </c>
      <c r="J31" s="15">
        <v>2.1789503500000001E-2</v>
      </c>
      <c r="K31" s="15" t="s">
        <v>15</v>
      </c>
    </row>
    <row r="32" spans="1:11">
      <c r="A32" s="8">
        <v>16</v>
      </c>
      <c r="B32" s="9">
        <v>36871</v>
      </c>
      <c r="C32" s="12">
        <v>2000</v>
      </c>
      <c r="D32" s="16" t="s">
        <v>17</v>
      </c>
      <c r="E32" s="12">
        <v>12</v>
      </c>
      <c r="F32" s="17">
        <v>1.7729309077984674</v>
      </c>
      <c r="G32" s="15">
        <v>7.9575733500000009E-2</v>
      </c>
      <c r="H32" s="15">
        <v>0</v>
      </c>
      <c r="I32" s="15">
        <v>0.38842752316666662</v>
      </c>
      <c r="J32" s="15">
        <v>1.6581488333333335E-2</v>
      </c>
      <c r="K32" s="15" t="s">
        <v>15</v>
      </c>
    </row>
    <row r="33" spans="1:11">
      <c r="A33" s="8">
        <v>2</v>
      </c>
      <c r="B33" s="9">
        <v>36901</v>
      </c>
      <c r="C33" s="12">
        <v>2001</v>
      </c>
      <c r="D33" s="16" t="s">
        <v>18</v>
      </c>
      <c r="E33" s="12">
        <v>1</v>
      </c>
      <c r="F33" s="17">
        <v>3.3393668982479086</v>
      </c>
      <c r="G33" s="15">
        <v>0.10870619116666665</v>
      </c>
      <c r="H33" s="15">
        <v>0</v>
      </c>
      <c r="I33" s="15">
        <v>1.0492803976666665</v>
      </c>
      <c r="J33" s="15">
        <v>1.5185737333333333E-2</v>
      </c>
      <c r="K33" s="15" t="s">
        <v>15</v>
      </c>
    </row>
    <row r="34" spans="1:11">
      <c r="A34" s="8">
        <v>16</v>
      </c>
      <c r="B34" s="9">
        <v>36901</v>
      </c>
      <c r="C34" s="12">
        <v>2001</v>
      </c>
      <c r="D34" s="16" t="s">
        <v>18</v>
      </c>
      <c r="E34" s="12">
        <v>1</v>
      </c>
      <c r="F34" s="17">
        <v>5.8894314886091754</v>
      </c>
      <c r="G34" s="15">
        <v>0.40430557766666664</v>
      </c>
      <c r="H34" s="15">
        <v>0</v>
      </c>
      <c r="I34" s="15">
        <v>1.3861628690000001</v>
      </c>
      <c r="J34" s="15">
        <v>5.1334418333333333E-2</v>
      </c>
      <c r="K34" s="15" t="s">
        <v>15</v>
      </c>
    </row>
    <row r="35" spans="1:11">
      <c r="A35" s="12">
        <v>2</v>
      </c>
      <c r="B35" s="9">
        <v>36928</v>
      </c>
      <c r="C35" s="12">
        <v>2001</v>
      </c>
      <c r="D35" s="11" t="s">
        <v>19</v>
      </c>
      <c r="E35" s="12">
        <v>2</v>
      </c>
      <c r="F35" s="17">
        <v>3.9397994994377648</v>
      </c>
      <c r="G35" s="15">
        <v>5.4365518333333335E-2</v>
      </c>
      <c r="H35" s="15">
        <v>1.9531393499999997E-2</v>
      </c>
      <c r="I35" s="15">
        <v>1.5827543773333335</v>
      </c>
      <c r="J35" s="15">
        <v>3.722128466666666E-2</v>
      </c>
      <c r="K35" s="15" t="s">
        <v>15</v>
      </c>
    </row>
    <row r="36" spans="1:11">
      <c r="A36" s="12">
        <v>16</v>
      </c>
      <c r="B36" s="9">
        <v>36928</v>
      </c>
      <c r="C36" s="12">
        <v>2001</v>
      </c>
      <c r="D36" s="11" t="s">
        <v>19</v>
      </c>
      <c r="E36" s="12">
        <v>2</v>
      </c>
      <c r="F36" s="17">
        <v>2.9617176326205095</v>
      </c>
      <c r="G36" s="15">
        <v>0.13566093783333336</v>
      </c>
      <c r="H36" s="15">
        <v>5.3980675166666672E-2</v>
      </c>
      <c r="I36" s="15">
        <v>1.0459840183333331</v>
      </c>
      <c r="J36" s="15">
        <v>4.3983244333333331E-2</v>
      </c>
      <c r="K36" s="15" t="s">
        <v>15</v>
      </c>
    </row>
    <row r="37" spans="1:11">
      <c r="A37" s="8">
        <v>2</v>
      </c>
      <c r="B37" s="9">
        <v>36963</v>
      </c>
      <c r="C37" s="12">
        <v>2001</v>
      </c>
      <c r="D37" s="11" t="s">
        <v>20</v>
      </c>
      <c r="E37" s="12">
        <v>3</v>
      </c>
      <c r="F37" s="17">
        <v>1.7230646958731481</v>
      </c>
      <c r="G37" s="15">
        <v>0</v>
      </c>
      <c r="H37" s="15">
        <v>0</v>
      </c>
      <c r="I37" s="15">
        <v>0.37886955366666669</v>
      </c>
      <c r="J37" s="15">
        <v>0</v>
      </c>
      <c r="K37" s="15" t="s">
        <v>15</v>
      </c>
    </row>
    <row r="38" spans="1:11">
      <c r="A38" s="8">
        <v>16</v>
      </c>
      <c r="B38" s="9">
        <v>36963</v>
      </c>
      <c r="C38" s="12">
        <v>2001</v>
      </c>
      <c r="D38" s="11" t="s">
        <v>20</v>
      </c>
      <c r="E38" s="12">
        <v>3</v>
      </c>
      <c r="F38" s="17">
        <v>2.1962590343929107</v>
      </c>
      <c r="G38" s="15">
        <v>0</v>
      </c>
      <c r="H38" s="15">
        <v>3.3151130500000001E-2</v>
      </c>
      <c r="I38" s="15">
        <v>0.65994847733333328</v>
      </c>
      <c r="J38" s="15">
        <v>1.8334406499999997E-2</v>
      </c>
      <c r="K38" s="15" t="s">
        <v>15</v>
      </c>
    </row>
    <row r="39" spans="1:11">
      <c r="A39" s="8">
        <v>2</v>
      </c>
      <c r="B39" s="9">
        <v>37000</v>
      </c>
      <c r="C39" s="12">
        <v>2001</v>
      </c>
      <c r="D39" s="16" t="s">
        <v>21</v>
      </c>
      <c r="E39" s="12">
        <v>4</v>
      </c>
      <c r="F39" s="17">
        <v>0.48624479623327538</v>
      </c>
      <c r="G39" s="15">
        <v>0</v>
      </c>
      <c r="H39" s="15">
        <v>0</v>
      </c>
      <c r="I39" s="15">
        <v>6.1269422333333337E-2</v>
      </c>
      <c r="J39" s="15">
        <v>0</v>
      </c>
      <c r="K39" s="15" t="s">
        <v>15</v>
      </c>
    </row>
    <row r="40" spans="1:11">
      <c r="A40" s="8">
        <v>16</v>
      </c>
      <c r="B40" s="9">
        <v>37000</v>
      </c>
      <c r="C40" s="12">
        <v>2001</v>
      </c>
      <c r="D40" s="16" t="s">
        <v>21</v>
      </c>
      <c r="E40" s="12">
        <v>4</v>
      </c>
      <c r="F40" s="17">
        <v>0.94233141158054823</v>
      </c>
      <c r="G40" s="15">
        <v>0</v>
      </c>
      <c r="H40" s="15">
        <v>0</v>
      </c>
      <c r="I40" s="15">
        <v>0.11752477116666667</v>
      </c>
      <c r="J40" s="15">
        <v>2.0470490500000001E-2</v>
      </c>
      <c r="K40" s="15" t="s">
        <v>15</v>
      </c>
    </row>
    <row r="41" spans="1:11">
      <c r="A41" s="8">
        <v>2</v>
      </c>
      <c r="B41" s="9">
        <v>37028</v>
      </c>
      <c r="C41" s="12">
        <v>2001</v>
      </c>
      <c r="D41" s="16" t="s">
        <v>22</v>
      </c>
      <c r="E41" s="12">
        <v>5</v>
      </c>
      <c r="F41" s="17">
        <v>0.71340617095896919</v>
      </c>
      <c r="G41" s="15">
        <v>4.748268583333333E-2</v>
      </c>
      <c r="H41" s="15">
        <v>0</v>
      </c>
      <c r="I41" s="15">
        <v>0.11190172083333333</v>
      </c>
      <c r="J41" s="15">
        <v>0</v>
      </c>
      <c r="K41" s="15" t="s">
        <v>15</v>
      </c>
    </row>
    <row r="42" spans="1:11">
      <c r="A42" s="8">
        <v>16</v>
      </c>
      <c r="B42" s="9">
        <v>37027</v>
      </c>
      <c r="C42" s="12">
        <v>2001</v>
      </c>
      <c r="D42" s="16" t="s">
        <v>22</v>
      </c>
      <c r="E42" s="12">
        <v>5</v>
      </c>
      <c r="F42" s="17">
        <v>1.9656313095361935</v>
      </c>
      <c r="G42" s="15">
        <v>0</v>
      </c>
      <c r="H42" s="15">
        <v>1.2669527666666666E-2</v>
      </c>
      <c r="I42" s="15">
        <v>0.47340122983333333</v>
      </c>
      <c r="J42" s="15">
        <v>2.4416102666666668E-2</v>
      </c>
      <c r="K42" s="15" t="s">
        <v>15</v>
      </c>
    </row>
    <row r="43" spans="1:11">
      <c r="A43" s="8">
        <v>2</v>
      </c>
      <c r="B43" s="9">
        <v>37058</v>
      </c>
      <c r="C43" s="12">
        <v>2001</v>
      </c>
      <c r="D43" s="16" t="s">
        <v>23</v>
      </c>
      <c r="E43" s="12">
        <v>6</v>
      </c>
      <c r="F43" s="17">
        <v>12.295525135357376</v>
      </c>
      <c r="G43" s="15">
        <v>0.10111845933333333</v>
      </c>
      <c r="H43" s="15">
        <v>1.8840950683333333</v>
      </c>
      <c r="I43" s="15">
        <v>4.2329559303333335</v>
      </c>
      <c r="J43" s="15">
        <v>0.30074880199999998</v>
      </c>
      <c r="K43" s="15" t="s">
        <v>15</v>
      </c>
    </row>
    <row r="44" spans="1:11">
      <c r="A44" s="8">
        <v>16</v>
      </c>
      <c r="B44" s="9">
        <v>37056</v>
      </c>
      <c r="C44" s="12">
        <v>2001</v>
      </c>
      <c r="D44" s="16" t="s">
        <v>23</v>
      </c>
      <c r="E44" s="12">
        <v>6</v>
      </c>
      <c r="F44" s="17">
        <v>17.841725850658584</v>
      </c>
      <c r="G44" s="15">
        <v>0.12306311616666667</v>
      </c>
      <c r="H44" s="15">
        <v>4.7504453426666666</v>
      </c>
      <c r="I44" s="15">
        <v>6.3776925591666664</v>
      </c>
      <c r="J44" s="15">
        <v>0.29544895283333333</v>
      </c>
      <c r="K44" s="15" t="s">
        <v>15</v>
      </c>
    </row>
    <row r="45" spans="1:11">
      <c r="A45" s="8">
        <v>2</v>
      </c>
      <c r="B45" s="9">
        <v>37089</v>
      </c>
      <c r="C45" s="12">
        <v>2001</v>
      </c>
      <c r="D45" s="16" t="s">
        <v>24</v>
      </c>
      <c r="E45" s="12">
        <v>7</v>
      </c>
      <c r="F45" s="17">
        <v>7.5105065548637011</v>
      </c>
      <c r="G45" s="15">
        <v>0.142450888</v>
      </c>
      <c r="H45" s="15">
        <v>0</v>
      </c>
      <c r="I45" s="15">
        <v>1.5703031126666667</v>
      </c>
      <c r="J45" s="15">
        <v>0.62690867983333332</v>
      </c>
      <c r="K45" s="15" t="s">
        <v>15</v>
      </c>
    </row>
    <row r="46" spans="1:11">
      <c r="A46" s="8">
        <v>16</v>
      </c>
      <c r="B46" s="9">
        <v>37089</v>
      </c>
      <c r="C46" s="12">
        <v>2001</v>
      </c>
      <c r="D46" s="16" t="s">
        <v>24</v>
      </c>
      <c r="E46" s="12">
        <v>7</v>
      </c>
      <c r="F46" s="17">
        <v>6.8793581967375523</v>
      </c>
      <c r="G46" s="15">
        <v>0.23474374349999999</v>
      </c>
      <c r="H46" s="15">
        <v>0</v>
      </c>
      <c r="I46" s="15">
        <v>0.8407431004999999</v>
      </c>
      <c r="J46" s="15">
        <v>1.2447645820000002</v>
      </c>
      <c r="K46" s="15" t="s">
        <v>15</v>
      </c>
    </row>
    <row r="47" spans="1:11">
      <c r="A47" s="8">
        <v>2</v>
      </c>
      <c r="B47" s="9">
        <v>37119</v>
      </c>
      <c r="C47" s="12">
        <v>2001</v>
      </c>
      <c r="D47" s="16" t="s">
        <v>25</v>
      </c>
      <c r="E47" s="12">
        <v>8</v>
      </c>
      <c r="F47" s="17">
        <v>2.8484052173891512</v>
      </c>
      <c r="G47" s="15">
        <v>0.21154108666666666</v>
      </c>
      <c r="H47" s="15">
        <v>0</v>
      </c>
      <c r="I47" s="15">
        <v>0.52956191416666676</v>
      </c>
      <c r="J47" s="15">
        <v>6.9240529666666675E-2</v>
      </c>
      <c r="K47" s="15" t="s">
        <v>15</v>
      </c>
    </row>
    <row r="48" spans="1:11">
      <c r="A48" s="8">
        <v>16</v>
      </c>
      <c r="B48" s="9">
        <v>37119</v>
      </c>
      <c r="C48" s="12">
        <v>2001</v>
      </c>
      <c r="D48" s="16" t="s">
        <v>25</v>
      </c>
      <c r="E48" s="12">
        <v>8</v>
      </c>
      <c r="F48" s="17">
        <v>2.349127100454246</v>
      </c>
      <c r="G48" s="15">
        <v>2.7588778666666668E-2</v>
      </c>
      <c r="H48" s="15">
        <v>0</v>
      </c>
      <c r="I48" s="15">
        <v>0.43156444800000004</v>
      </c>
      <c r="J48" s="15">
        <v>0.16268959200000002</v>
      </c>
      <c r="K48" s="15" t="s">
        <v>15</v>
      </c>
    </row>
    <row r="49" spans="1:11">
      <c r="A49" s="8">
        <v>2</v>
      </c>
      <c r="B49" s="9">
        <v>37152</v>
      </c>
      <c r="C49" s="12">
        <v>2001</v>
      </c>
      <c r="D49" s="16" t="s">
        <v>26</v>
      </c>
      <c r="E49" s="12">
        <v>9</v>
      </c>
      <c r="F49" s="17">
        <v>1.1426911228841896</v>
      </c>
      <c r="G49" s="15">
        <v>0</v>
      </c>
      <c r="H49" s="15">
        <v>0</v>
      </c>
      <c r="I49" s="15">
        <v>0.23569447700000001</v>
      </c>
      <c r="J49" s="15">
        <v>1.8718620666666668E-2</v>
      </c>
      <c r="K49" s="15" t="s">
        <v>15</v>
      </c>
    </row>
    <row r="50" spans="1:11">
      <c r="A50" s="8">
        <v>16</v>
      </c>
      <c r="B50" s="9">
        <v>37152</v>
      </c>
      <c r="C50" s="12">
        <v>2001</v>
      </c>
      <c r="D50" s="16" t="s">
        <v>26</v>
      </c>
      <c r="E50" s="12">
        <v>9</v>
      </c>
      <c r="F50" s="17">
        <v>3.559456607124281</v>
      </c>
      <c r="G50" s="15">
        <v>0</v>
      </c>
      <c r="H50" s="15">
        <v>0</v>
      </c>
      <c r="I50" s="15">
        <v>0.75686636983333333</v>
      </c>
      <c r="J50" s="15">
        <v>5.3373480500000001E-2</v>
      </c>
      <c r="K50" s="15" t="s">
        <v>15</v>
      </c>
    </row>
    <row r="51" spans="1:11">
      <c r="A51" s="8">
        <v>2</v>
      </c>
      <c r="B51" s="9">
        <v>37181</v>
      </c>
      <c r="C51" s="12">
        <v>2001</v>
      </c>
      <c r="D51" s="16" t="s">
        <v>14</v>
      </c>
      <c r="E51" s="12">
        <v>10</v>
      </c>
      <c r="F51" s="13">
        <v>0.88883623176181215</v>
      </c>
      <c r="G51" s="14">
        <v>0</v>
      </c>
      <c r="H51" s="18">
        <v>8.2482957302943069E-3</v>
      </c>
      <c r="I51" s="14">
        <v>0.1067178285299776</v>
      </c>
      <c r="J51" s="14">
        <v>1.068119441348549E-2</v>
      </c>
      <c r="K51" s="15" t="s">
        <v>27</v>
      </c>
    </row>
    <row r="52" spans="1:11">
      <c r="A52" s="8">
        <v>16</v>
      </c>
      <c r="B52" s="9">
        <v>37181</v>
      </c>
      <c r="C52" s="12">
        <v>2001</v>
      </c>
      <c r="D52" s="16" t="s">
        <v>14</v>
      </c>
      <c r="E52" s="12">
        <v>10</v>
      </c>
      <c r="F52" s="13">
        <v>1.3553329324301133</v>
      </c>
      <c r="G52" s="14">
        <v>1.1660501588595419E-2</v>
      </c>
      <c r="H52" s="18">
        <v>1.0384396816511836E-2</v>
      </c>
      <c r="I52" s="14">
        <v>0.21249617766617682</v>
      </c>
      <c r="J52" s="14">
        <v>1.9280572716094277E-2</v>
      </c>
      <c r="K52" s="15" t="s">
        <v>27</v>
      </c>
    </row>
    <row r="53" spans="1:11">
      <c r="A53" s="8">
        <v>2</v>
      </c>
      <c r="B53" s="9">
        <v>37203</v>
      </c>
      <c r="C53" s="12">
        <v>2001</v>
      </c>
      <c r="D53" s="16" t="s">
        <v>16</v>
      </c>
      <c r="E53" s="12">
        <v>11</v>
      </c>
      <c r="F53" s="13">
        <v>0.9134465601340287</v>
      </c>
      <c r="G53" s="14">
        <v>0</v>
      </c>
      <c r="H53" s="18">
        <v>6.6596944064881269E-3</v>
      </c>
      <c r="I53" s="14">
        <v>0.1924377386615021</v>
      </c>
      <c r="J53" s="14">
        <v>1.1237837137846197E-2</v>
      </c>
      <c r="K53" s="15" t="s">
        <v>27</v>
      </c>
    </row>
    <row r="54" spans="1:11">
      <c r="A54" s="8">
        <v>16</v>
      </c>
      <c r="B54" s="9">
        <v>37203</v>
      </c>
      <c r="C54" s="12">
        <v>2001</v>
      </c>
      <c r="D54" s="16" t="s">
        <v>16</v>
      </c>
      <c r="E54" s="12">
        <v>11</v>
      </c>
      <c r="F54" s="13">
        <v>1.2287094678118828</v>
      </c>
      <c r="G54" s="14">
        <v>0</v>
      </c>
      <c r="H54" s="18">
        <v>0</v>
      </c>
      <c r="I54" s="14">
        <v>0.1083110675135235</v>
      </c>
      <c r="J54" s="14">
        <v>1.1371638052323519E-2</v>
      </c>
      <c r="K54" s="15" t="s">
        <v>27</v>
      </c>
    </row>
    <row r="55" spans="1:11">
      <c r="A55" s="8">
        <v>2</v>
      </c>
      <c r="B55" s="9">
        <v>37228</v>
      </c>
      <c r="C55" s="12">
        <v>2001</v>
      </c>
      <c r="D55" s="16" t="s">
        <v>17</v>
      </c>
      <c r="E55" s="12">
        <v>12</v>
      </c>
      <c r="F55" s="13">
        <v>2.6464825212013325</v>
      </c>
      <c r="G55" s="14">
        <v>4.7265783038564678E-2</v>
      </c>
      <c r="H55" s="18">
        <v>1.3324431690722787E-2</v>
      </c>
      <c r="I55" s="14">
        <v>1.2139048247193502</v>
      </c>
      <c r="J55" s="14">
        <v>2.2985246051573968E-2</v>
      </c>
      <c r="K55" s="15" t="s">
        <v>27</v>
      </c>
    </row>
    <row r="56" spans="1:11">
      <c r="A56" s="8">
        <v>16</v>
      </c>
      <c r="B56" s="9">
        <v>37228</v>
      </c>
      <c r="C56" s="12">
        <v>2001</v>
      </c>
      <c r="D56" s="16" t="s">
        <v>17</v>
      </c>
      <c r="E56" s="12">
        <v>12</v>
      </c>
      <c r="F56" s="13">
        <v>0.65546728590943959</v>
      </c>
      <c r="G56" s="14">
        <v>0</v>
      </c>
      <c r="H56" s="18">
        <v>0</v>
      </c>
      <c r="I56" s="14">
        <v>0.12099235111096489</v>
      </c>
      <c r="J56" s="14">
        <v>0</v>
      </c>
      <c r="K56" s="15" t="s">
        <v>27</v>
      </c>
    </row>
    <row r="57" spans="1:11">
      <c r="A57" s="8">
        <v>2</v>
      </c>
      <c r="B57" s="9">
        <v>37270</v>
      </c>
      <c r="C57" s="12">
        <v>2002</v>
      </c>
      <c r="D57" s="16" t="s">
        <v>18</v>
      </c>
      <c r="E57" s="12">
        <v>1</v>
      </c>
      <c r="F57" s="13">
        <v>2.5862509295428344</v>
      </c>
      <c r="G57" s="14">
        <v>0.39084031015956883</v>
      </c>
      <c r="H57" s="18">
        <v>9.8572134238050207E-3</v>
      </c>
      <c r="I57" s="14">
        <v>0.38473754074266103</v>
      </c>
      <c r="J57" s="14">
        <v>2.9443650230871234E-2</v>
      </c>
      <c r="K57" s="15" t="s">
        <v>27</v>
      </c>
    </row>
    <row r="58" spans="1:11">
      <c r="A58" s="8">
        <v>16</v>
      </c>
      <c r="B58" s="9">
        <v>37270</v>
      </c>
      <c r="C58" s="12">
        <v>2002</v>
      </c>
      <c r="D58" s="16" t="s">
        <v>18</v>
      </c>
      <c r="E58" s="12">
        <v>1</v>
      </c>
      <c r="F58" s="13">
        <v>2.4329208174935348</v>
      </c>
      <c r="G58" s="14">
        <v>0.29249953375234411</v>
      </c>
      <c r="H58" s="18">
        <v>1.7945876401081667E-2</v>
      </c>
      <c r="I58" s="14">
        <v>0.36395449015153003</v>
      </c>
      <c r="J58" s="14">
        <v>3.0110671679812153E-2</v>
      </c>
      <c r="K58" s="15" t="s">
        <v>27</v>
      </c>
    </row>
    <row r="59" spans="1:11">
      <c r="A59" s="8">
        <v>2</v>
      </c>
      <c r="B59" s="9">
        <v>37300</v>
      </c>
      <c r="C59" s="12">
        <v>2002</v>
      </c>
      <c r="D59" s="11" t="s">
        <v>19</v>
      </c>
      <c r="E59" s="12">
        <v>2</v>
      </c>
      <c r="F59" s="13">
        <v>3.8015700259641796</v>
      </c>
      <c r="G59" s="14">
        <v>0.11375236069636757</v>
      </c>
      <c r="H59" s="18">
        <v>3.8877801275337534E-2</v>
      </c>
      <c r="I59" s="14">
        <v>1.306592674565118</v>
      </c>
      <c r="J59" s="14">
        <v>3.5730959298625159E-2</v>
      </c>
      <c r="K59" s="15" t="s">
        <v>27</v>
      </c>
    </row>
    <row r="60" spans="1:11">
      <c r="A60" s="8">
        <v>16</v>
      </c>
      <c r="B60" s="9">
        <v>37300</v>
      </c>
      <c r="C60" s="12">
        <v>2002</v>
      </c>
      <c r="D60" s="11" t="s">
        <v>19</v>
      </c>
      <c r="E60" s="12">
        <v>2</v>
      </c>
      <c r="F60" s="13">
        <v>1.8488222946788944</v>
      </c>
      <c r="G60" s="13">
        <v>3.2098689551771115E-2</v>
      </c>
      <c r="H60" s="19">
        <v>8.2420751820644872E-2</v>
      </c>
      <c r="I60" s="13">
        <v>0.68152197141055593</v>
      </c>
      <c r="J60" s="13">
        <v>2.0588270850320622E-2</v>
      </c>
      <c r="K60" s="17" t="s">
        <v>27</v>
      </c>
    </row>
    <row r="61" spans="1:11">
      <c r="A61" s="8">
        <v>2</v>
      </c>
      <c r="B61" s="20">
        <v>37334</v>
      </c>
      <c r="C61" s="12">
        <v>2002</v>
      </c>
      <c r="D61" s="11" t="s">
        <v>20</v>
      </c>
      <c r="E61" s="12">
        <v>3</v>
      </c>
      <c r="F61" s="13">
        <v>2.5102946580494283</v>
      </c>
      <c r="G61" s="13">
        <v>9.2886905458886809E-2</v>
      </c>
      <c r="H61" s="19">
        <v>0</v>
      </c>
      <c r="I61" s="13">
        <v>0.8216695953244052</v>
      </c>
      <c r="J61" s="13">
        <v>1.6602869883041417E-2</v>
      </c>
      <c r="K61" s="17" t="s">
        <v>27</v>
      </c>
    </row>
    <row r="62" spans="1:11">
      <c r="A62" s="8">
        <v>16</v>
      </c>
      <c r="B62" s="20">
        <v>37334</v>
      </c>
      <c r="C62" s="12">
        <v>2002</v>
      </c>
      <c r="D62" s="11" t="s">
        <v>20</v>
      </c>
      <c r="E62" s="12">
        <v>3</v>
      </c>
      <c r="F62" s="13">
        <v>2.2858305706399227</v>
      </c>
      <c r="G62" s="21"/>
      <c r="H62" s="22"/>
      <c r="I62" s="21"/>
      <c r="J62" s="21"/>
      <c r="K62" s="17" t="s">
        <v>27</v>
      </c>
    </row>
    <row r="63" spans="1:11">
      <c r="A63" s="8">
        <v>2</v>
      </c>
      <c r="B63" s="20">
        <v>37361</v>
      </c>
      <c r="C63" s="12">
        <v>2002</v>
      </c>
      <c r="D63" s="16" t="s">
        <v>21</v>
      </c>
      <c r="E63" s="12">
        <v>4</v>
      </c>
      <c r="F63" s="13">
        <v>2.1580438395184895</v>
      </c>
      <c r="G63" s="13">
        <v>6.6318787926239867E-2</v>
      </c>
      <c r="H63" s="19">
        <v>0</v>
      </c>
      <c r="I63" s="13">
        <v>0.40112858776119326</v>
      </c>
      <c r="J63" s="13">
        <v>1.6938593859584839E-2</v>
      </c>
      <c r="K63" s="17" t="s">
        <v>27</v>
      </c>
    </row>
    <row r="64" spans="1:11">
      <c r="A64" s="8">
        <v>16</v>
      </c>
      <c r="B64" s="20">
        <v>37361</v>
      </c>
      <c r="C64" s="12">
        <v>2002</v>
      </c>
      <c r="D64" s="16" t="s">
        <v>21</v>
      </c>
      <c r="E64" s="12">
        <v>4</v>
      </c>
      <c r="F64" s="13">
        <v>1.774534540696767</v>
      </c>
      <c r="G64" s="13">
        <v>7.2430992718876694E-2</v>
      </c>
      <c r="H64" s="13">
        <v>0</v>
      </c>
      <c r="I64" s="13">
        <v>0.40847283622906355</v>
      </c>
      <c r="J64" s="13">
        <v>2.2219712879560968E-2</v>
      </c>
      <c r="K64" s="17" t="s">
        <v>27</v>
      </c>
    </row>
    <row r="65" spans="1:11">
      <c r="A65" s="8">
        <v>2</v>
      </c>
      <c r="B65" s="20">
        <v>37389</v>
      </c>
      <c r="C65" s="12">
        <v>2002</v>
      </c>
      <c r="D65" s="16" t="s">
        <v>22</v>
      </c>
      <c r="E65" s="12">
        <v>5</v>
      </c>
      <c r="F65" s="13">
        <v>3.4447134973659104</v>
      </c>
      <c r="G65" s="21"/>
      <c r="H65" s="13">
        <v>6.5660356761196512E-2</v>
      </c>
      <c r="I65" s="21"/>
      <c r="J65" s="21"/>
      <c r="K65" s="17" t="s">
        <v>27</v>
      </c>
    </row>
    <row r="66" spans="1:11">
      <c r="A66" s="8">
        <v>16</v>
      </c>
      <c r="B66" s="20">
        <v>37389</v>
      </c>
      <c r="C66" s="12">
        <v>2002</v>
      </c>
      <c r="D66" s="16" t="s">
        <v>22</v>
      </c>
      <c r="E66" s="12">
        <v>5</v>
      </c>
      <c r="F66" s="13">
        <v>8.881687495300195</v>
      </c>
      <c r="G66" s="21"/>
      <c r="H66" s="13">
        <v>0.55108077566438374</v>
      </c>
      <c r="I66" s="21"/>
      <c r="J66" s="21"/>
      <c r="K66" s="17" t="s">
        <v>27</v>
      </c>
    </row>
    <row r="67" spans="1:11">
      <c r="A67" s="8">
        <v>2</v>
      </c>
      <c r="B67" s="20">
        <v>37418</v>
      </c>
      <c r="C67" s="12">
        <v>2002</v>
      </c>
      <c r="D67" s="16" t="s">
        <v>23</v>
      </c>
      <c r="E67" s="12">
        <v>6</v>
      </c>
      <c r="F67" s="13">
        <v>10.009571909247931</v>
      </c>
      <c r="G67" s="21"/>
      <c r="H67" s="13">
        <v>2.0966825137021363</v>
      </c>
      <c r="I67" s="21"/>
      <c r="J67" s="21"/>
      <c r="K67" s="17" t="s">
        <v>27</v>
      </c>
    </row>
    <row r="68" spans="1:11">
      <c r="A68" s="8">
        <v>16</v>
      </c>
      <c r="B68" s="20">
        <v>37418</v>
      </c>
      <c r="C68" s="12">
        <v>2002</v>
      </c>
      <c r="D68" s="16" t="s">
        <v>23</v>
      </c>
      <c r="E68" s="12">
        <v>6</v>
      </c>
      <c r="F68" s="13">
        <v>13.419695934897145</v>
      </c>
      <c r="G68" s="21"/>
      <c r="H68" s="13">
        <v>2.7149057388672482</v>
      </c>
      <c r="I68" s="21"/>
      <c r="J68" s="21"/>
      <c r="K68" s="17" t="s">
        <v>27</v>
      </c>
    </row>
    <row r="69" spans="1:11">
      <c r="A69" s="8">
        <v>2</v>
      </c>
      <c r="B69" s="20">
        <v>37455</v>
      </c>
      <c r="C69" s="12">
        <v>2002</v>
      </c>
      <c r="D69" s="16" t="s">
        <v>24</v>
      </c>
      <c r="E69" s="12">
        <v>7</v>
      </c>
      <c r="F69" s="13">
        <v>5.3211790943017867</v>
      </c>
      <c r="G69" s="21"/>
      <c r="H69" s="13">
        <v>0</v>
      </c>
      <c r="I69" s="21"/>
      <c r="J69" s="21"/>
      <c r="K69" s="17" t="s">
        <v>27</v>
      </c>
    </row>
    <row r="70" spans="1:11">
      <c r="A70" s="8">
        <v>16</v>
      </c>
      <c r="B70" s="20">
        <v>37455</v>
      </c>
      <c r="C70" s="12">
        <v>2002</v>
      </c>
      <c r="D70" s="16" t="s">
        <v>24</v>
      </c>
      <c r="E70" s="12">
        <v>7</v>
      </c>
      <c r="F70" s="13">
        <v>4.7489580401675386</v>
      </c>
      <c r="G70" s="21"/>
      <c r="H70" s="13">
        <v>0</v>
      </c>
      <c r="I70" s="21"/>
      <c r="J70" s="21"/>
      <c r="K70" s="17" t="s">
        <v>27</v>
      </c>
    </row>
    <row r="71" spans="1:11">
      <c r="A71" s="8">
        <v>2</v>
      </c>
      <c r="B71" s="20">
        <v>37483</v>
      </c>
      <c r="C71" s="12">
        <v>2002</v>
      </c>
      <c r="D71" s="16" t="s">
        <v>25</v>
      </c>
      <c r="E71" s="12">
        <v>8</v>
      </c>
      <c r="F71" s="13">
        <v>8.9276388533360702</v>
      </c>
      <c r="G71" s="21"/>
      <c r="H71" s="13">
        <v>0</v>
      </c>
      <c r="I71" s="21"/>
      <c r="J71" s="21"/>
      <c r="K71" s="17" t="s">
        <v>27</v>
      </c>
    </row>
    <row r="72" spans="1:11">
      <c r="A72" s="8">
        <v>16</v>
      </c>
      <c r="B72" s="20">
        <v>37483</v>
      </c>
      <c r="C72" s="12">
        <v>2002</v>
      </c>
      <c r="D72" s="16" t="s">
        <v>25</v>
      </c>
      <c r="E72" s="12">
        <v>8</v>
      </c>
      <c r="F72" s="13">
        <v>6.9124704484348456</v>
      </c>
      <c r="G72" s="21"/>
      <c r="H72" s="13">
        <v>3.2002631768975782E-2</v>
      </c>
      <c r="I72" s="21"/>
      <c r="J72" s="21"/>
      <c r="K72" s="17" t="s">
        <v>27</v>
      </c>
    </row>
    <row r="73" spans="1:11">
      <c r="A73" s="8">
        <v>2</v>
      </c>
      <c r="B73" s="20">
        <v>37516</v>
      </c>
      <c r="C73" s="12">
        <v>2002</v>
      </c>
      <c r="D73" s="16" t="s">
        <v>26</v>
      </c>
      <c r="E73" s="12">
        <v>9</v>
      </c>
      <c r="F73" s="13">
        <v>3.173773117201462</v>
      </c>
      <c r="G73" s="21"/>
      <c r="H73" s="13">
        <v>0</v>
      </c>
      <c r="I73" s="21"/>
      <c r="J73" s="21"/>
      <c r="K73" s="17" t="s">
        <v>27</v>
      </c>
    </row>
    <row r="74" spans="1:11">
      <c r="A74" s="8">
        <v>16</v>
      </c>
      <c r="B74" s="20">
        <v>37516</v>
      </c>
      <c r="C74" s="12">
        <v>2002</v>
      </c>
      <c r="D74" s="16" t="s">
        <v>26</v>
      </c>
      <c r="E74" s="12">
        <v>9</v>
      </c>
      <c r="F74" s="13">
        <v>3.8178663332300089</v>
      </c>
      <c r="G74" s="21"/>
      <c r="H74" s="13">
        <v>0</v>
      </c>
      <c r="I74" s="21"/>
      <c r="J74" s="21"/>
      <c r="K74" s="17" t="s">
        <v>27</v>
      </c>
    </row>
    <row r="75" spans="1:11">
      <c r="A75" s="8">
        <v>2</v>
      </c>
      <c r="B75" s="20">
        <v>37544</v>
      </c>
      <c r="C75" s="12">
        <v>2002</v>
      </c>
      <c r="D75" s="16" t="s">
        <v>14</v>
      </c>
      <c r="E75" s="12">
        <v>10</v>
      </c>
      <c r="F75" s="17">
        <v>0.59088981632737425</v>
      </c>
      <c r="G75" s="17">
        <v>0</v>
      </c>
      <c r="H75" s="17">
        <v>0</v>
      </c>
      <c r="I75" s="17">
        <v>0.16742750348797616</v>
      </c>
      <c r="J75" s="17">
        <v>4.791540442206743E-3</v>
      </c>
      <c r="K75" s="17">
        <v>0</v>
      </c>
    </row>
    <row r="76" spans="1:11">
      <c r="A76" s="8">
        <v>16</v>
      </c>
      <c r="B76" s="20">
        <v>37544</v>
      </c>
      <c r="C76" s="12">
        <v>2002</v>
      </c>
      <c r="D76" s="16" t="s">
        <v>14</v>
      </c>
      <c r="E76" s="12">
        <v>10</v>
      </c>
      <c r="F76" s="17">
        <v>0.85666815903047522</v>
      </c>
      <c r="G76" s="17">
        <v>0</v>
      </c>
      <c r="H76" s="17">
        <v>0</v>
      </c>
      <c r="I76" s="17">
        <v>0.13748606800473298</v>
      </c>
      <c r="J76" s="17">
        <v>7.5313555753946451E-3</v>
      </c>
      <c r="K76" s="17">
        <v>0</v>
      </c>
    </row>
    <row r="77" spans="1:11">
      <c r="A77" s="8">
        <v>2</v>
      </c>
      <c r="B77" s="20">
        <v>37575</v>
      </c>
      <c r="C77" s="12">
        <v>2002</v>
      </c>
      <c r="D77" s="16" t="s">
        <v>16</v>
      </c>
      <c r="E77" s="12">
        <v>11</v>
      </c>
      <c r="F77" s="17">
        <v>1.6548308255377724</v>
      </c>
      <c r="G77" s="17">
        <v>9.6716489709037193E-2</v>
      </c>
      <c r="H77" s="17">
        <v>0</v>
      </c>
      <c r="I77" s="17">
        <v>0.275401129091774</v>
      </c>
      <c r="J77" s="17">
        <v>1.1887805018903486E-2</v>
      </c>
      <c r="K77" s="17">
        <v>0</v>
      </c>
    </row>
    <row r="78" spans="1:11">
      <c r="A78" s="8">
        <v>16</v>
      </c>
      <c r="B78" s="20">
        <v>37575</v>
      </c>
      <c r="C78" s="12">
        <v>2002</v>
      </c>
      <c r="D78" s="16" t="s">
        <v>16</v>
      </c>
      <c r="E78" s="12">
        <v>11</v>
      </c>
      <c r="F78" s="17">
        <v>1.5187610701365515</v>
      </c>
      <c r="G78" s="17">
        <v>0.11314643892575946</v>
      </c>
      <c r="H78" s="17">
        <v>0</v>
      </c>
      <c r="I78" s="17">
        <v>0.1885345558854275</v>
      </c>
      <c r="J78" s="17">
        <v>1.1062403183478833E-2</v>
      </c>
      <c r="K78" s="17">
        <v>0</v>
      </c>
    </row>
    <row r="79" spans="1:11">
      <c r="A79" s="8">
        <v>2</v>
      </c>
      <c r="B79" s="20">
        <v>37609</v>
      </c>
      <c r="C79" s="12">
        <v>2002</v>
      </c>
      <c r="D79" s="16" t="s">
        <v>17</v>
      </c>
      <c r="E79" s="12">
        <v>12</v>
      </c>
      <c r="F79" s="17">
        <v>2.8975742868231502</v>
      </c>
      <c r="G79" s="17">
        <v>2.6134824642096009E-2</v>
      </c>
      <c r="H79" s="17">
        <v>0</v>
      </c>
      <c r="I79" s="17">
        <v>0.87987315910174091</v>
      </c>
      <c r="J79" s="17">
        <v>7.3420323127167163E-3</v>
      </c>
      <c r="K79" s="17">
        <v>0</v>
      </c>
    </row>
    <row r="80" spans="1:11">
      <c r="A80" s="8">
        <v>16</v>
      </c>
      <c r="B80" s="20">
        <v>37609</v>
      </c>
      <c r="C80" s="12">
        <v>2002</v>
      </c>
      <c r="D80" s="16" t="s">
        <v>17</v>
      </c>
      <c r="E80" s="12">
        <v>12</v>
      </c>
      <c r="F80" s="17">
        <v>2.2313565544436207</v>
      </c>
      <c r="G80" s="17">
        <v>4.3155254783528149E-2</v>
      </c>
      <c r="H80" s="17">
        <v>0</v>
      </c>
      <c r="I80" s="17">
        <v>0.41413982747815586</v>
      </c>
      <c r="J80" s="17">
        <v>1.3937670776334541E-2</v>
      </c>
      <c r="K80" s="17">
        <v>0</v>
      </c>
    </row>
    <row r="81" spans="1:11">
      <c r="A81" s="8">
        <v>2</v>
      </c>
      <c r="B81" s="20">
        <v>37635</v>
      </c>
      <c r="C81" s="12">
        <v>2003</v>
      </c>
      <c r="D81" s="16" t="s">
        <v>18</v>
      </c>
      <c r="E81" s="12">
        <v>1</v>
      </c>
      <c r="F81" s="17">
        <v>7.3807167788437722</v>
      </c>
      <c r="G81" s="17">
        <v>0.21960533683380767</v>
      </c>
      <c r="H81" s="17">
        <v>0</v>
      </c>
      <c r="I81" s="17">
        <v>1.5939515615038713</v>
      </c>
      <c r="J81" s="17">
        <v>4.831271317652161E-2</v>
      </c>
      <c r="K81" s="17">
        <v>0</v>
      </c>
    </row>
    <row r="82" spans="1:11">
      <c r="A82" s="8">
        <v>16</v>
      </c>
      <c r="B82" s="20">
        <v>37635</v>
      </c>
      <c r="C82" s="12">
        <v>2003</v>
      </c>
      <c r="D82" s="16" t="s">
        <v>18</v>
      </c>
      <c r="E82" s="12">
        <v>1</v>
      </c>
      <c r="F82" s="17">
        <v>8.3268224592865661</v>
      </c>
      <c r="G82" s="17">
        <v>0.39694352664205423</v>
      </c>
      <c r="H82" s="17">
        <v>0</v>
      </c>
      <c r="I82" s="17">
        <v>1.6394506053540789</v>
      </c>
      <c r="J82" s="17">
        <v>7.0156319650847399E-2</v>
      </c>
      <c r="K82" s="17">
        <v>0</v>
      </c>
    </row>
    <row r="83" spans="1:11">
      <c r="A83" s="8">
        <v>2</v>
      </c>
      <c r="B83" s="20">
        <v>37665</v>
      </c>
      <c r="C83" s="12">
        <v>2003</v>
      </c>
      <c r="D83" s="11" t="s">
        <v>19</v>
      </c>
      <c r="E83" s="12">
        <v>2</v>
      </c>
      <c r="F83" s="17">
        <v>7.0307100892642236</v>
      </c>
      <c r="G83" s="17">
        <v>0.43414680307061976</v>
      </c>
      <c r="H83" s="17">
        <v>0</v>
      </c>
      <c r="I83" s="17">
        <v>2.518194460657488</v>
      </c>
      <c r="J83" s="17">
        <v>7.6820003784483781E-2</v>
      </c>
      <c r="K83" s="17">
        <v>0</v>
      </c>
    </row>
    <row r="84" spans="1:11">
      <c r="A84" s="8">
        <v>16</v>
      </c>
      <c r="B84" s="20">
        <v>37665</v>
      </c>
      <c r="C84" s="12">
        <v>2003</v>
      </c>
      <c r="D84" s="11" t="s">
        <v>19</v>
      </c>
      <c r="E84" s="12">
        <v>2</v>
      </c>
      <c r="F84" s="17">
        <v>5.7501164628940291</v>
      </c>
      <c r="G84" s="17">
        <v>0</v>
      </c>
      <c r="H84" s="17">
        <v>0</v>
      </c>
      <c r="I84" s="17">
        <v>2.0982849166212052</v>
      </c>
      <c r="J84" s="17">
        <v>8.4626537245197267E-2</v>
      </c>
      <c r="K84" s="17">
        <v>0</v>
      </c>
    </row>
    <row r="85" spans="1:11">
      <c r="A85" s="8">
        <v>2</v>
      </c>
      <c r="B85" s="20">
        <v>37690</v>
      </c>
      <c r="C85" s="12">
        <v>2003</v>
      </c>
      <c r="D85" s="11" t="s">
        <v>20</v>
      </c>
      <c r="E85" s="12">
        <v>3</v>
      </c>
      <c r="F85" s="17">
        <v>5.4394671209078842</v>
      </c>
      <c r="G85" s="17">
        <v>0.1053373948435809</v>
      </c>
      <c r="H85" s="17">
        <v>0</v>
      </c>
      <c r="I85" s="17">
        <v>2.0529188246809227</v>
      </c>
      <c r="J85" s="17">
        <v>6.1647327367877536E-2</v>
      </c>
      <c r="K85" s="17">
        <v>0</v>
      </c>
    </row>
    <row r="86" spans="1:11">
      <c r="A86" s="8">
        <v>16</v>
      </c>
      <c r="B86" s="20">
        <v>37692</v>
      </c>
      <c r="C86" s="12">
        <v>2003</v>
      </c>
      <c r="D86" s="11" t="s">
        <v>20</v>
      </c>
      <c r="E86" s="12">
        <v>3</v>
      </c>
      <c r="F86" s="17">
        <v>6.7191308328276174</v>
      </c>
      <c r="G86" s="17">
        <v>0.36817556809912239</v>
      </c>
      <c r="H86" s="17">
        <v>0</v>
      </c>
      <c r="I86" s="17">
        <v>2.3962652413433645</v>
      </c>
      <c r="J86" s="17">
        <v>3.7315732980725012E-2</v>
      </c>
      <c r="K86" s="17">
        <v>0</v>
      </c>
    </row>
    <row r="87" spans="1:11">
      <c r="A87" s="8">
        <v>2</v>
      </c>
      <c r="B87" s="20">
        <v>37725</v>
      </c>
      <c r="C87" s="12">
        <v>2003</v>
      </c>
      <c r="D87" s="11" t="s">
        <v>21</v>
      </c>
      <c r="E87" s="12">
        <v>4</v>
      </c>
      <c r="F87" s="17">
        <v>11.05539663202868</v>
      </c>
      <c r="G87" s="17">
        <v>0.11972093980649033</v>
      </c>
      <c r="H87" s="17">
        <v>0.16549202616848291</v>
      </c>
      <c r="I87" s="17">
        <v>4.1425907004633089</v>
      </c>
      <c r="J87" s="17">
        <v>6.4514350570017212E-2</v>
      </c>
      <c r="K87" s="17">
        <v>0</v>
      </c>
    </row>
    <row r="88" spans="1:11">
      <c r="A88" s="8">
        <v>16</v>
      </c>
      <c r="B88" s="20">
        <v>37725</v>
      </c>
      <c r="C88" s="12">
        <v>2003</v>
      </c>
      <c r="D88" s="11" t="s">
        <v>21</v>
      </c>
      <c r="E88" s="12">
        <v>4</v>
      </c>
      <c r="F88" s="17">
        <v>6.8301543624819328</v>
      </c>
      <c r="G88" s="17">
        <v>0</v>
      </c>
      <c r="H88" s="17">
        <v>7.0366604155830306E-2</v>
      </c>
      <c r="I88" s="17">
        <v>2.6557837799560433</v>
      </c>
      <c r="J88" s="17">
        <v>6.5798600286557055E-2</v>
      </c>
      <c r="K88" s="17">
        <v>0</v>
      </c>
    </row>
    <row r="89" spans="1:11">
      <c r="A89" s="8">
        <v>2</v>
      </c>
      <c r="B89" s="20">
        <v>37753</v>
      </c>
      <c r="C89" s="12">
        <v>2003</v>
      </c>
      <c r="D89" s="11" t="s">
        <v>22</v>
      </c>
      <c r="E89" s="12">
        <v>5</v>
      </c>
      <c r="F89" s="17">
        <v>5.7161307948784339</v>
      </c>
      <c r="G89" s="17">
        <v>0.13912008593762468</v>
      </c>
      <c r="H89" s="17">
        <v>0.38263911807805073</v>
      </c>
      <c r="I89" s="17">
        <v>2.7439324492822754</v>
      </c>
      <c r="J89" s="17">
        <v>7.5447954944742976E-2</v>
      </c>
      <c r="K89" s="17">
        <v>0</v>
      </c>
    </row>
    <row r="90" spans="1:11">
      <c r="A90" s="8">
        <v>16</v>
      </c>
      <c r="B90" s="20">
        <v>37753</v>
      </c>
      <c r="C90" s="12">
        <v>2003</v>
      </c>
      <c r="D90" s="11" t="s">
        <v>22</v>
      </c>
      <c r="E90" s="12">
        <v>5</v>
      </c>
      <c r="F90" s="17">
        <v>4.8233307954777436</v>
      </c>
      <c r="G90" s="17">
        <v>0.20796188306511784</v>
      </c>
      <c r="H90" s="17">
        <v>0.24416664590930581</v>
      </c>
      <c r="I90" s="17">
        <v>1.8906373248426707</v>
      </c>
      <c r="J90" s="17">
        <v>9.682159525919054E-2</v>
      </c>
      <c r="K90" s="17">
        <v>0</v>
      </c>
    </row>
    <row r="91" spans="1:11">
      <c r="A91" s="8">
        <v>2</v>
      </c>
      <c r="B91" s="20">
        <v>37792</v>
      </c>
      <c r="C91" s="12">
        <v>2003</v>
      </c>
      <c r="D91" s="11" t="s">
        <v>23</v>
      </c>
      <c r="E91" s="12">
        <v>6</v>
      </c>
      <c r="F91" s="17">
        <v>9.9054037962471089</v>
      </c>
      <c r="G91" s="17">
        <v>8.0063962151786641E-2</v>
      </c>
      <c r="H91" s="17">
        <v>1.1804607946114292</v>
      </c>
      <c r="I91" s="17">
        <v>4.4420833048860686</v>
      </c>
      <c r="J91" s="17">
        <v>0.17170285024907414</v>
      </c>
      <c r="K91" s="17">
        <v>0</v>
      </c>
    </row>
    <row r="92" spans="1:11">
      <c r="A92" s="8">
        <v>16</v>
      </c>
      <c r="B92" s="20">
        <v>37792</v>
      </c>
      <c r="C92" s="12">
        <v>2003</v>
      </c>
      <c r="D92" s="11" t="s">
        <v>23</v>
      </c>
      <c r="E92" s="12">
        <v>6</v>
      </c>
      <c r="F92" s="17">
        <v>19.594853935043346</v>
      </c>
      <c r="G92" s="17">
        <v>0.11164201499045166</v>
      </c>
      <c r="H92" s="17">
        <v>3.3070706611538112</v>
      </c>
      <c r="I92" s="17">
        <v>9.1565451289376032</v>
      </c>
      <c r="J92" s="17">
        <v>0.53181928202869644</v>
      </c>
      <c r="K92" s="17">
        <v>0</v>
      </c>
    </row>
    <row r="93" spans="1:11">
      <c r="A93" s="8">
        <v>2</v>
      </c>
      <c r="B93" s="20">
        <v>37817</v>
      </c>
      <c r="C93" s="12">
        <v>2003</v>
      </c>
      <c r="D93" s="16" t="s">
        <v>24</v>
      </c>
      <c r="E93" s="12">
        <v>7</v>
      </c>
      <c r="F93" s="17">
        <v>14.487619123674301</v>
      </c>
      <c r="G93" s="17">
        <v>3.3281539366335336E-2</v>
      </c>
      <c r="H93" s="17">
        <v>0</v>
      </c>
      <c r="I93" s="17">
        <v>1.5187089819661199</v>
      </c>
      <c r="J93" s="17">
        <v>1.5883515272942197</v>
      </c>
      <c r="K93" s="17">
        <v>0</v>
      </c>
    </row>
    <row r="94" spans="1:11">
      <c r="A94" s="8">
        <v>16</v>
      </c>
      <c r="B94" s="20">
        <v>37817</v>
      </c>
      <c r="C94" s="12">
        <v>2003</v>
      </c>
      <c r="D94" s="16" t="s">
        <v>24</v>
      </c>
      <c r="E94" s="12">
        <v>7</v>
      </c>
      <c r="F94" s="17">
        <v>12.646929840868735</v>
      </c>
      <c r="G94" s="17">
        <v>3.9553462445262012E-2</v>
      </c>
      <c r="H94" s="17">
        <v>0</v>
      </c>
      <c r="I94" s="17">
        <v>0.81330394610459533</v>
      </c>
      <c r="J94" s="17">
        <v>1.3989971585090175</v>
      </c>
      <c r="K94" s="17">
        <v>0</v>
      </c>
    </row>
    <row r="95" spans="1:11">
      <c r="A95" s="8">
        <v>2</v>
      </c>
      <c r="B95" s="20">
        <v>37845</v>
      </c>
      <c r="C95" s="12">
        <v>2003</v>
      </c>
      <c r="D95" s="16" t="s">
        <v>25</v>
      </c>
      <c r="E95" s="12">
        <v>8</v>
      </c>
      <c r="F95" s="17">
        <v>19.537651800896953</v>
      </c>
      <c r="G95" s="17">
        <v>4.7498284696608911E-2</v>
      </c>
      <c r="H95" s="17">
        <v>0</v>
      </c>
      <c r="I95" s="17">
        <v>2.2782867328957348</v>
      </c>
      <c r="J95" s="17">
        <v>1.6479803163303393</v>
      </c>
      <c r="K95" s="17">
        <v>0</v>
      </c>
    </row>
    <row r="96" spans="1:11">
      <c r="A96" s="8">
        <v>16</v>
      </c>
      <c r="B96" s="20">
        <v>37845</v>
      </c>
      <c r="C96" s="12">
        <v>2003</v>
      </c>
      <c r="D96" s="16" t="s">
        <v>25</v>
      </c>
      <c r="E96" s="12">
        <v>8</v>
      </c>
      <c r="F96" s="17">
        <v>20.502660158281593</v>
      </c>
      <c r="G96" s="17">
        <v>0.22084992207923673</v>
      </c>
      <c r="H96" s="17">
        <v>4.0856259570099321E-2</v>
      </c>
      <c r="I96" s="17">
        <v>1.9303375580033511</v>
      </c>
      <c r="J96" s="17">
        <v>2.2523599888758055</v>
      </c>
      <c r="K96" s="17">
        <v>0</v>
      </c>
    </row>
    <row r="97" spans="1:11">
      <c r="A97" s="8">
        <v>2</v>
      </c>
      <c r="B97" s="20">
        <v>37888</v>
      </c>
      <c r="C97" s="12">
        <v>2003</v>
      </c>
      <c r="D97" s="16" t="s">
        <v>26</v>
      </c>
      <c r="E97" s="12">
        <v>9</v>
      </c>
      <c r="F97" s="17">
        <v>3.6079961892922769</v>
      </c>
      <c r="G97" s="17">
        <v>4.0434524415230697E-2</v>
      </c>
      <c r="H97" s="17">
        <v>0</v>
      </c>
      <c r="I97" s="17">
        <v>0.58998941386310078</v>
      </c>
      <c r="J97" s="17">
        <v>0.3008309410747394</v>
      </c>
      <c r="K97" s="17">
        <v>0</v>
      </c>
    </row>
    <row r="98" spans="1:11">
      <c r="A98" s="8">
        <v>16</v>
      </c>
      <c r="B98" s="20">
        <v>37888</v>
      </c>
      <c r="C98" s="12">
        <v>2003</v>
      </c>
      <c r="D98" s="16" t="s">
        <v>26</v>
      </c>
      <c r="E98" s="12">
        <v>9</v>
      </c>
      <c r="F98" s="17">
        <v>4.389143577658345</v>
      </c>
      <c r="G98" s="17">
        <v>4.1603652540718523E-2</v>
      </c>
      <c r="H98" s="17">
        <v>0</v>
      </c>
      <c r="I98" s="17">
        <v>1.0287609995914782</v>
      </c>
      <c r="J98" s="17">
        <v>0.23036489278971495</v>
      </c>
      <c r="K98" s="17">
        <v>0</v>
      </c>
    </row>
    <row r="99" spans="1:11">
      <c r="A99" s="8">
        <v>2</v>
      </c>
      <c r="B99" s="20">
        <v>37908</v>
      </c>
      <c r="C99" s="12">
        <v>2003</v>
      </c>
      <c r="D99" s="16" t="s">
        <v>14</v>
      </c>
      <c r="E99" s="12">
        <v>10</v>
      </c>
      <c r="F99" s="13">
        <v>2.2682000000000002</v>
      </c>
      <c r="G99" s="17">
        <v>2.4101823893501573E-2</v>
      </c>
      <c r="H99" s="17">
        <v>0</v>
      </c>
      <c r="I99" s="17">
        <v>0.38630853874783067</v>
      </c>
      <c r="J99" s="17">
        <v>4.5589647962011662E-2</v>
      </c>
      <c r="K99" s="17">
        <v>0</v>
      </c>
    </row>
    <row r="100" spans="1:11">
      <c r="A100" s="8">
        <v>16</v>
      </c>
      <c r="B100" s="20">
        <v>37908</v>
      </c>
      <c r="C100" s="12">
        <v>2003</v>
      </c>
      <c r="D100" s="16" t="s">
        <v>14</v>
      </c>
      <c r="E100" s="12">
        <v>10</v>
      </c>
      <c r="F100" s="13">
        <v>4.5435999999999996</v>
      </c>
      <c r="G100" s="17">
        <v>7.5867921799150126E-2</v>
      </c>
      <c r="H100" s="17">
        <v>0</v>
      </c>
      <c r="I100" s="17">
        <v>0.56843939941998611</v>
      </c>
      <c r="J100" s="17">
        <v>0.17876911264586298</v>
      </c>
      <c r="K100" s="17">
        <v>0</v>
      </c>
    </row>
    <row r="101" spans="1:11">
      <c r="A101" s="8">
        <v>2</v>
      </c>
      <c r="B101" s="20">
        <v>37943</v>
      </c>
      <c r="C101" s="12">
        <v>2003</v>
      </c>
      <c r="D101" s="16" t="s">
        <v>16</v>
      </c>
      <c r="E101" s="12">
        <v>11</v>
      </c>
      <c r="F101" s="13">
        <v>1.7544</v>
      </c>
      <c r="G101" s="17">
        <v>3.1315016456698458E-2</v>
      </c>
      <c r="H101" s="17">
        <v>0</v>
      </c>
      <c r="I101" s="17">
        <v>0.45697952891881594</v>
      </c>
      <c r="J101" s="17">
        <v>1.9751001225855901E-2</v>
      </c>
      <c r="K101" s="17">
        <v>0</v>
      </c>
    </row>
    <row r="102" spans="1:11">
      <c r="A102" s="8">
        <v>16</v>
      </c>
      <c r="B102" s="20">
        <v>37943</v>
      </c>
      <c r="C102" s="12">
        <v>2003</v>
      </c>
      <c r="D102" s="16" t="s">
        <v>16</v>
      </c>
      <c r="E102" s="12">
        <v>11</v>
      </c>
      <c r="F102" s="13">
        <v>2.1516000000000002</v>
      </c>
      <c r="G102" s="17">
        <v>4.9572584186487037E-2</v>
      </c>
      <c r="H102" s="17">
        <v>0</v>
      </c>
      <c r="I102" s="17">
        <v>0.37417733881173781</v>
      </c>
      <c r="J102" s="17">
        <v>2.3292149040411544E-2</v>
      </c>
      <c r="K102" s="17">
        <v>0</v>
      </c>
    </row>
    <row r="103" spans="1:11">
      <c r="A103" s="8">
        <v>2</v>
      </c>
      <c r="B103" s="20">
        <v>37973</v>
      </c>
      <c r="C103" s="12">
        <v>2003</v>
      </c>
      <c r="D103" s="16" t="s">
        <v>17</v>
      </c>
      <c r="E103" s="12">
        <v>12</v>
      </c>
      <c r="F103" s="13">
        <v>6.9042000000000003</v>
      </c>
      <c r="G103" s="17">
        <v>0.11367078859666899</v>
      </c>
      <c r="H103" s="17">
        <v>0</v>
      </c>
      <c r="I103" s="17">
        <v>1.9167876880213932</v>
      </c>
      <c r="J103" s="17">
        <v>6.0448130676380669E-2</v>
      </c>
      <c r="K103" s="17">
        <v>0</v>
      </c>
    </row>
    <row r="104" spans="1:11">
      <c r="A104" s="8">
        <v>16</v>
      </c>
      <c r="B104" s="20">
        <v>37973</v>
      </c>
      <c r="C104" s="12">
        <v>2003</v>
      </c>
      <c r="D104" s="16" t="s">
        <v>17</v>
      </c>
      <c r="E104" s="12">
        <v>12</v>
      </c>
      <c r="F104" s="13">
        <v>8.3348999999999993</v>
      </c>
      <c r="G104" s="17">
        <v>0.15049579202833516</v>
      </c>
      <c r="H104" s="17">
        <v>0</v>
      </c>
      <c r="I104" s="17">
        <v>2.3124631306178207</v>
      </c>
      <c r="J104" s="17">
        <v>5.7173341510828361E-2</v>
      </c>
      <c r="K104" s="17">
        <v>0</v>
      </c>
    </row>
    <row r="105" spans="1:11">
      <c r="A105" s="8">
        <v>2</v>
      </c>
      <c r="B105" s="20">
        <v>38000</v>
      </c>
      <c r="C105" s="12">
        <v>2004</v>
      </c>
      <c r="D105" s="16" t="s">
        <v>18</v>
      </c>
      <c r="E105" s="12">
        <v>1</v>
      </c>
      <c r="F105" s="13">
        <v>7.9244000000000003</v>
      </c>
      <c r="G105" s="13">
        <v>6.9294091716351633E-2</v>
      </c>
      <c r="H105" s="13">
        <v>0</v>
      </c>
      <c r="I105" s="13">
        <v>2.658166202296588</v>
      </c>
      <c r="J105" s="13">
        <v>3.1286729623826386E-2</v>
      </c>
      <c r="K105" s="13">
        <v>0</v>
      </c>
    </row>
    <row r="106" spans="1:11">
      <c r="A106" s="8">
        <v>16</v>
      </c>
      <c r="B106" s="20">
        <v>37999</v>
      </c>
      <c r="C106" s="12">
        <v>2004</v>
      </c>
      <c r="D106" s="16" t="s">
        <v>18</v>
      </c>
      <c r="E106" s="12">
        <v>1</v>
      </c>
      <c r="F106" s="13">
        <v>4.7584999999999997</v>
      </c>
      <c r="G106" s="13">
        <v>2.0371153086774077E-2</v>
      </c>
      <c r="H106" s="13">
        <v>0</v>
      </c>
      <c r="I106" s="13">
        <v>1.7826682150826958</v>
      </c>
      <c r="J106" s="13">
        <v>3.0557197562010176E-2</v>
      </c>
      <c r="K106" s="13">
        <v>0</v>
      </c>
    </row>
    <row r="107" spans="1:11">
      <c r="A107" s="8">
        <v>2</v>
      </c>
      <c r="B107" s="20">
        <v>38027</v>
      </c>
      <c r="C107" s="12">
        <v>2004</v>
      </c>
      <c r="D107" s="11" t="s">
        <v>19</v>
      </c>
      <c r="E107" s="12">
        <v>2</v>
      </c>
      <c r="F107" s="13">
        <v>8.4512999999999998</v>
      </c>
      <c r="G107" s="13">
        <v>0.10587675287421577</v>
      </c>
      <c r="H107" s="13">
        <v>0</v>
      </c>
      <c r="I107" s="13">
        <v>3.4366160320971737</v>
      </c>
      <c r="J107" s="13">
        <v>3.7833460229407395E-2</v>
      </c>
      <c r="K107" s="13">
        <v>0</v>
      </c>
    </row>
    <row r="108" spans="1:11">
      <c r="A108" s="8">
        <v>16</v>
      </c>
      <c r="B108" s="20">
        <v>38027</v>
      </c>
      <c r="C108" s="12">
        <v>2004</v>
      </c>
      <c r="D108" s="11" t="s">
        <v>19</v>
      </c>
      <c r="E108" s="12">
        <v>2</v>
      </c>
      <c r="F108" s="13">
        <v>6.8272000000000004</v>
      </c>
      <c r="G108" s="13">
        <v>3.4639787288167981E-2</v>
      </c>
      <c r="H108" s="13">
        <v>0</v>
      </c>
      <c r="I108" s="13">
        <v>2.627782684980164</v>
      </c>
      <c r="J108" s="13">
        <v>2.9879817604819E-2</v>
      </c>
      <c r="K108" s="13">
        <v>0</v>
      </c>
    </row>
    <row r="109" spans="1:11">
      <c r="A109" s="8">
        <v>2</v>
      </c>
      <c r="B109" s="20">
        <v>38063</v>
      </c>
      <c r="C109" s="12">
        <v>2004</v>
      </c>
      <c r="D109" s="11" t="s">
        <v>20</v>
      </c>
      <c r="E109" s="12">
        <v>3</v>
      </c>
      <c r="F109" s="13">
        <v>5.9840999999999998</v>
      </c>
      <c r="G109" s="13">
        <v>9.9309948680048041E-2</v>
      </c>
      <c r="H109" s="13">
        <v>1.5937718946000549E-2</v>
      </c>
      <c r="I109" s="13">
        <v>2.2269674446284151</v>
      </c>
      <c r="J109" s="13">
        <v>2.4161048666527511E-2</v>
      </c>
      <c r="K109" s="13">
        <v>0</v>
      </c>
    </row>
    <row r="110" spans="1:11">
      <c r="A110" s="8">
        <v>16</v>
      </c>
      <c r="B110" s="20">
        <v>38063</v>
      </c>
      <c r="C110" s="12">
        <v>2004</v>
      </c>
      <c r="D110" s="11" t="s">
        <v>20</v>
      </c>
      <c r="E110" s="12">
        <v>3</v>
      </c>
      <c r="F110" s="13">
        <v>5.5353000000000003</v>
      </c>
      <c r="G110" s="13">
        <v>4.5258676202371555E-2</v>
      </c>
      <c r="H110" s="13">
        <v>1.0860460455290995E-2</v>
      </c>
      <c r="I110" s="13">
        <v>2.1785938216464897</v>
      </c>
      <c r="J110" s="13">
        <v>4.2328048876012776E-2</v>
      </c>
      <c r="K110" s="13">
        <v>0</v>
      </c>
    </row>
    <row r="111" spans="1:11">
      <c r="A111" s="8">
        <v>2</v>
      </c>
      <c r="B111" s="20">
        <v>38094</v>
      </c>
      <c r="C111" s="12">
        <v>2004</v>
      </c>
      <c r="D111" s="11" t="s">
        <v>21</v>
      </c>
      <c r="E111" s="12">
        <v>4</v>
      </c>
      <c r="F111" s="13">
        <v>5.3353000000000002</v>
      </c>
      <c r="G111" s="23">
        <v>2.9936142451045748E-2</v>
      </c>
      <c r="H111" s="23">
        <v>9.8750546190221208E-2</v>
      </c>
      <c r="I111" s="23">
        <v>1.9262581044497677</v>
      </c>
      <c r="J111" s="23">
        <v>4.5330781055786182E-2</v>
      </c>
      <c r="K111" s="23">
        <v>0</v>
      </c>
    </row>
    <row r="112" spans="1:11">
      <c r="A112" s="8">
        <v>16</v>
      </c>
      <c r="B112" s="20">
        <v>38094</v>
      </c>
      <c r="C112" s="12">
        <v>2004</v>
      </c>
      <c r="D112" s="11" t="s">
        <v>21</v>
      </c>
      <c r="E112" s="12">
        <v>4</v>
      </c>
      <c r="F112" s="13">
        <v>6.4290000000000003</v>
      </c>
      <c r="G112" s="23">
        <v>5.107431439066594E-2</v>
      </c>
      <c r="H112" s="23">
        <v>8.9604443079694868E-2</v>
      </c>
      <c r="I112" s="23">
        <v>2.3503058093316689</v>
      </c>
      <c r="J112" s="23">
        <v>5.5164507634608367E-2</v>
      </c>
      <c r="K112" s="23">
        <v>0</v>
      </c>
    </row>
    <row r="113" spans="1:11">
      <c r="A113" s="8">
        <v>2</v>
      </c>
      <c r="B113" s="20">
        <v>38118</v>
      </c>
      <c r="C113" s="12">
        <v>2004</v>
      </c>
      <c r="D113" s="11" t="s">
        <v>22</v>
      </c>
      <c r="E113" s="12">
        <v>5</v>
      </c>
      <c r="F113" s="13">
        <v>3.1080999999999999</v>
      </c>
      <c r="G113" s="23">
        <v>2.3726658587918888E-2</v>
      </c>
      <c r="H113" s="23">
        <v>6.0631256512209332E-2</v>
      </c>
      <c r="I113" s="23">
        <v>0.89779515353207762</v>
      </c>
      <c r="J113" s="23">
        <v>8.9438372881926312E-2</v>
      </c>
      <c r="K113" s="23">
        <v>0</v>
      </c>
    </row>
    <row r="114" spans="1:11">
      <c r="A114" s="8">
        <v>16</v>
      </c>
      <c r="B114" s="20">
        <v>38118</v>
      </c>
      <c r="C114" s="12">
        <v>2004</v>
      </c>
      <c r="D114" s="11" t="s">
        <v>22</v>
      </c>
      <c r="E114" s="12">
        <v>5</v>
      </c>
      <c r="F114" s="13">
        <v>4.1181999999999999</v>
      </c>
      <c r="G114" s="23">
        <v>3.6471212823303359E-2</v>
      </c>
      <c r="H114" s="23">
        <v>8.5490666808374055E-2</v>
      </c>
      <c r="I114" s="23">
        <v>1.258275822638689</v>
      </c>
      <c r="J114" s="23">
        <v>0.12093198016623749</v>
      </c>
      <c r="K114" s="23">
        <v>0</v>
      </c>
    </row>
    <row r="115" spans="1:11">
      <c r="A115" s="8">
        <v>2</v>
      </c>
      <c r="B115" s="20">
        <v>38153</v>
      </c>
      <c r="C115" s="12">
        <v>2004</v>
      </c>
      <c r="D115" s="11" t="s">
        <v>23</v>
      </c>
      <c r="E115" s="12">
        <v>6</v>
      </c>
      <c r="F115" s="13">
        <v>21.325199999999999</v>
      </c>
      <c r="G115" s="23">
        <v>6.0613869861052411E-2</v>
      </c>
      <c r="H115" s="23">
        <v>2.1702426693377448</v>
      </c>
      <c r="I115" s="23">
        <v>6.8347429983009533</v>
      </c>
      <c r="J115" s="23">
        <v>1.1233502708113325</v>
      </c>
      <c r="K115" s="23">
        <v>0</v>
      </c>
    </row>
    <row r="116" spans="1:11">
      <c r="A116" s="8">
        <v>16</v>
      </c>
      <c r="B116" s="20">
        <v>38153</v>
      </c>
      <c r="C116" s="12">
        <v>2004</v>
      </c>
      <c r="D116" s="11" t="s">
        <v>23</v>
      </c>
      <c r="E116" s="12">
        <v>6</v>
      </c>
      <c r="F116" s="13">
        <v>21.731999999999999</v>
      </c>
      <c r="G116" s="23">
        <v>4.107528084838856E-2</v>
      </c>
      <c r="H116" s="23">
        <v>2.3976296734828382</v>
      </c>
      <c r="I116" s="23">
        <v>7.3968172160911374</v>
      </c>
      <c r="J116" s="23">
        <v>0.78357596870982993</v>
      </c>
      <c r="K116" s="23">
        <v>0</v>
      </c>
    </row>
    <row r="117" spans="1:11">
      <c r="A117" s="8">
        <v>2</v>
      </c>
      <c r="B117" s="20">
        <v>38181</v>
      </c>
      <c r="C117" s="12">
        <v>2004</v>
      </c>
      <c r="D117" s="16" t="s">
        <v>24</v>
      </c>
      <c r="E117" s="12">
        <v>7</v>
      </c>
      <c r="F117" s="13">
        <v>19.874500000000001</v>
      </c>
      <c r="G117" s="23">
        <v>0.2572405959284354</v>
      </c>
      <c r="H117" s="23">
        <v>0.13274452024995922</v>
      </c>
      <c r="I117" s="23">
        <v>2.0537356233112702</v>
      </c>
      <c r="J117" s="23">
        <v>2.3449651579625383</v>
      </c>
      <c r="K117" s="23">
        <v>0</v>
      </c>
    </row>
    <row r="118" spans="1:11">
      <c r="A118" s="8">
        <v>16</v>
      </c>
      <c r="B118" s="20">
        <v>38181</v>
      </c>
      <c r="C118" s="12">
        <v>2004</v>
      </c>
      <c r="D118" s="16" t="s">
        <v>24</v>
      </c>
      <c r="E118" s="12">
        <v>7</v>
      </c>
      <c r="F118" s="13">
        <v>16.134699999999999</v>
      </c>
      <c r="G118" s="23">
        <v>0.42717518330885967</v>
      </c>
      <c r="H118" s="23">
        <v>0.17113397418887033</v>
      </c>
      <c r="I118" s="23">
        <v>1.6482818492262057</v>
      </c>
      <c r="J118" s="23">
        <v>2.1284722064524413</v>
      </c>
      <c r="K118" s="23">
        <v>5.2053585139342495E-2</v>
      </c>
    </row>
    <row r="119" spans="1:11">
      <c r="A119" s="8">
        <v>2</v>
      </c>
      <c r="B119" s="20">
        <v>38217</v>
      </c>
      <c r="C119" s="12">
        <v>2004</v>
      </c>
      <c r="D119" s="16" t="s">
        <v>25</v>
      </c>
      <c r="E119" s="12">
        <v>8</v>
      </c>
      <c r="F119" s="13">
        <v>16.3978</v>
      </c>
      <c r="G119" s="21"/>
      <c r="H119" s="21"/>
      <c r="I119" s="21"/>
      <c r="J119" s="21"/>
      <c r="K119" s="21"/>
    </row>
    <row r="120" spans="1:11">
      <c r="A120" s="8">
        <v>16</v>
      </c>
      <c r="B120" s="20">
        <v>38217</v>
      </c>
      <c r="C120" s="12">
        <v>2004</v>
      </c>
      <c r="D120" s="16" t="s">
        <v>25</v>
      </c>
      <c r="E120" s="12">
        <v>8</v>
      </c>
      <c r="F120" s="13">
        <v>14.690899999999999</v>
      </c>
      <c r="G120" s="21"/>
      <c r="H120" s="21"/>
      <c r="I120" s="21"/>
      <c r="J120" s="21"/>
      <c r="K120" s="21"/>
    </row>
    <row r="121" spans="1:11">
      <c r="A121" s="8">
        <v>2</v>
      </c>
      <c r="B121" s="20">
        <v>38244</v>
      </c>
      <c r="C121" s="12">
        <v>2004</v>
      </c>
      <c r="D121" s="16" t="s">
        <v>26</v>
      </c>
      <c r="E121" s="12">
        <v>9</v>
      </c>
      <c r="F121" s="13">
        <v>9.6735000000000007</v>
      </c>
      <c r="G121" s="23">
        <v>4.9319956238623661E-2</v>
      </c>
      <c r="H121" s="23">
        <v>0</v>
      </c>
      <c r="I121" s="23">
        <v>3.1648309505247276</v>
      </c>
      <c r="J121" s="23">
        <v>0.27769424813168825</v>
      </c>
      <c r="K121" s="23">
        <v>0</v>
      </c>
    </row>
    <row r="122" spans="1:11">
      <c r="A122" s="8">
        <v>16</v>
      </c>
      <c r="B122" s="20">
        <v>38244</v>
      </c>
      <c r="C122" s="12">
        <v>2004</v>
      </c>
      <c r="D122" s="16" t="s">
        <v>26</v>
      </c>
      <c r="E122" s="12">
        <v>9</v>
      </c>
      <c r="F122" s="13">
        <v>8.8986999999999998</v>
      </c>
      <c r="G122" s="23">
        <v>7.3857332851544805E-2</v>
      </c>
      <c r="H122" s="23">
        <v>0</v>
      </c>
      <c r="I122" s="23">
        <v>2.5730708134478908</v>
      </c>
      <c r="J122" s="23">
        <v>0.58207156159378493</v>
      </c>
      <c r="K122" s="23">
        <v>0</v>
      </c>
    </row>
    <row r="123" spans="1:11">
      <c r="A123" s="8">
        <v>2</v>
      </c>
      <c r="B123" s="20">
        <v>38272</v>
      </c>
      <c r="C123" s="12">
        <v>2004</v>
      </c>
      <c r="D123" s="16" t="s">
        <v>14</v>
      </c>
      <c r="E123" s="12">
        <v>10</v>
      </c>
      <c r="F123" s="17">
        <v>5.6414</v>
      </c>
      <c r="G123" s="17">
        <v>1.9972939609712807E-2</v>
      </c>
      <c r="H123" s="17">
        <v>0</v>
      </c>
      <c r="I123" s="17">
        <v>1.4353386392692853</v>
      </c>
      <c r="J123" s="17">
        <v>0.12182307577381461</v>
      </c>
      <c r="K123" s="17">
        <v>0</v>
      </c>
    </row>
    <row r="124" spans="1:11">
      <c r="A124" s="8">
        <v>16</v>
      </c>
      <c r="B124" s="20">
        <v>38272</v>
      </c>
      <c r="C124" s="12">
        <v>2004</v>
      </c>
      <c r="D124" s="16" t="s">
        <v>14</v>
      </c>
      <c r="E124" s="12">
        <v>10</v>
      </c>
      <c r="F124" s="17">
        <v>3.5736300000000001</v>
      </c>
      <c r="G124" s="17">
        <v>1.7930587608687088E-2</v>
      </c>
      <c r="H124" s="17">
        <v>0</v>
      </c>
      <c r="I124" s="17">
        <v>0.56432032434767199</v>
      </c>
      <c r="J124" s="17">
        <v>0.30400715453116672</v>
      </c>
      <c r="K124" s="17">
        <v>0</v>
      </c>
    </row>
    <row r="125" spans="1:11">
      <c r="A125" s="8">
        <v>2</v>
      </c>
      <c r="B125" s="20">
        <v>38306</v>
      </c>
      <c r="C125" s="12">
        <v>2004</v>
      </c>
      <c r="D125" s="16" t="s">
        <v>16</v>
      </c>
      <c r="E125" s="12">
        <v>11</v>
      </c>
      <c r="F125" s="17">
        <v>3.9119600000000001</v>
      </c>
      <c r="G125" s="17">
        <v>2.7779572180683353E-2</v>
      </c>
      <c r="H125" s="17">
        <v>0</v>
      </c>
      <c r="I125" s="17">
        <v>1.3540303823378843</v>
      </c>
      <c r="J125" s="17">
        <v>2.6320034750734682E-2</v>
      </c>
      <c r="K125" s="17">
        <v>0</v>
      </c>
    </row>
    <row r="126" spans="1:11">
      <c r="A126" s="8">
        <v>16</v>
      </c>
      <c r="B126" s="20">
        <v>38306</v>
      </c>
      <c r="C126" s="12">
        <v>2004</v>
      </c>
      <c r="D126" s="16" t="s">
        <v>16</v>
      </c>
      <c r="E126" s="12">
        <v>11</v>
      </c>
      <c r="F126" s="17">
        <v>2.7208100000000002</v>
      </c>
      <c r="G126" s="17">
        <v>0</v>
      </c>
      <c r="H126" s="17">
        <v>0</v>
      </c>
      <c r="I126" s="17">
        <v>0.93094196113316885</v>
      </c>
      <c r="J126" s="17">
        <v>2.9495809973888537E-2</v>
      </c>
      <c r="K126" s="17">
        <v>0</v>
      </c>
    </row>
    <row r="127" spans="1:11">
      <c r="A127" s="8">
        <v>2</v>
      </c>
      <c r="B127" s="20">
        <v>38335</v>
      </c>
      <c r="C127" s="12">
        <v>2004</v>
      </c>
      <c r="D127" s="16" t="s">
        <v>17</v>
      </c>
      <c r="E127" s="12">
        <v>12</v>
      </c>
      <c r="F127" s="17">
        <v>2.8012800000000002</v>
      </c>
      <c r="G127" s="17">
        <v>0.1872535155647298</v>
      </c>
      <c r="H127" s="17">
        <v>0</v>
      </c>
      <c r="I127" s="17">
        <v>0.41641287662626703</v>
      </c>
      <c r="J127" s="17">
        <v>1.7869609825886642E-2</v>
      </c>
      <c r="K127" s="17">
        <v>0</v>
      </c>
    </row>
    <row r="128" spans="1:11">
      <c r="A128" s="8">
        <v>16</v>
      </c>
      <c r="B128" s="20">
        <v>38335</v>
      </c>
      <c r="C128" s="12">
        <v>2004</v>
      </c>
      <c r="D128" s="16" t="s">
        <v>17</v>
      </c>
      <c r="E128" s="12">
        <v>12</v>
      </c>
      <c r="F128" s="15">
        <v>2.6802199999999998</v>
      </c>
      <c r="G128" s="15">
        <v>0.18266247507028233</v>
      </c>
      <c r="H128" s="15">
        <v>0</v>
      </c>
      <c r="I128" s="15">
        <v>0.3832539185692459</v>
      </c>
      <c r="J128" s="15">
        <v>2.1135868774475011E-2</v>
      </c>
      <c r="K128" s="15">
        <v>0</v>
      </c>
    </row>
    <row r="129" spans="1:11">
      <c r="A129" s="8">
        <v>2</v>
      </c>
      <c r="B129" s="24">
        <v>38362</v>
      </c>
      <c r="C129" s="12">
        <v>2005</v>
      </c>
      <c r="D129" s="16" t="s">
        <v>18</v>
      </c>
      <c r="E129" s="12">
        <v>1</v>
      </c>
      <c r="F129" s="15">
        <v>10.834250000000001</v>
      </c>
      <c r="G129" s="15">
        <v>6.5776920566511021E-2</v>
      </c>
      <c r="H129" s="15">
        <v>0</v>
      </c>
      <c r="I129" s="15">
        <v>4.0634113018595022</v>
      </c>
      <c r="J129" s="15">
        <v>1.5587088604620008E-2</v>
      </c>
      <c r="K129" s="15">
        <v>0</v>
      </c>
    </row>
    <row r="130" spans="1:11">
      <c r="A130" s="8">
        <v>16</v>
      </c>
      <c r="B130" s="24">
        <v>38362</v>
      </c>
      <c r="C130" s="12">
        <v>2005</v>
      </c>
      <c r="D130" s="16" t="s">
        <v>18</v>
      </c>
      <c r="E130" s="12">
        <v>1</v>
      </c>
      <c r="F130" s="15">
        <v>5.9218200000000003</v>
      </c>
      <c r="G130" s="15">
        <v>5.0625114510626457E-2</v>
      </c>
      <c r="H130" s="15">
        <v>0</v>
      </c>
      <c r="I130" s="15">
        <v>2.0905064811457255</v>
      </c>
      <c r="J130" s="15">
        <v>1.4376011471362516E-2</v>
      </c>
      <c r="K130" s="15">
        <v>0</v>
      </c>
    </row>
    <row r="131" spans="1:11">
      <c r="A131" s="8">
        <v>2</v>
      </c>
      <c r="B131" s="24">
        <v>38399</v>
      </c>
      <c r="C131" s="12">
        <v>2005</v>
      </c>
      <c r="D131" s="11" t="s">
        <v>19</v>
      </c>
      <c r="E131" s="12">
        <v>2</v>
      </c>
      <c r="F131" s="15">
        <v>2.6156700000000002</v>
      </c>
      <c r="G131" s="15">
        <v>0.1487672924129475</v>
      </c>
      <c r="H131" s="15">
        <v>0</v>
      </c>
      <c r="I131" s="15">
        <v>0.64993405818447247</v>
      </c>
      <c r="J131" s="15">
        <v>2.3465685387934178E-2</v>
      </c>
      <c r="K131" s="15">
        <v>0</v>
      </c>
    </row>
    <row r="132" spans="1:11">
      <c r="A132" s="8">
        <v>16</v>
      </c>
      <c r="B132" s="24">
        <v>38399</v>
      </c>
      <c r="C132" s="12">
        <v>2005</v>
      </c>
      <c r="D132" s="11" t="s">
        <v>19</v>
      </c>
      <c r="E132" s="12">
        <v>2</v>
      </c>
      <c r="F132" s="15">
        <v>2.10026</v>
      </c>
      <c r="G132" s="15">
        <v>0.11968008223239902</v>
      </c>
      <c r="H132" s="15">
        <v>0</v>
      </c>
      <c r="I132" s="15">
        <v>0.50445582463619298</v>
      </c>
      <c r="J132" s="15">
        <v>4.2600111359063254E-2</v>
      </c>
      <c r="K132" s="15">
        <v>0</v>
      </c>
    </row>
    <row r="133" spans="1:11">
      <c r="A133" s="8">
        <v>2</v>
      </c>
      <c r="B133" s="24">
        <v>38428</v>
      </c>
      <c r="C133" s="12">
        <v>2005</v>
      </c>
      <c r="D133" s="11" t="s">
        <v>20</v>
      </c>
      <c r="E133" s="12">
        <v>3</v>
      </c>
      <c r="F133" s="15">
        <v>1.12016</v>
      </c>
      <c r="G133" s="15">
        <v>0.16156920794626586</v>
      </c>
      <c r="H133" s="15">
        <v>0</v>
      </c>
      <c r="I133" s="15">
        <v>0.24335266181546064</v>
      </c>
      <c r="J133" s="15">
        <v>7.7794234249698646E-3</v>
      </c>
      <c r="K133" s="15">
        <v>0</v>
      </c>
    </row>
    <row r="134" spans="1:11">
      <c r="A134" s="8">
        <v>16</v>
      </c>
      <c r="B134" s="24">
        <v>38428</v>
      </c>
      <c r="C134" s="12">
        <v>2005</v>
      </c>
      <c r="D134" s="11" t="s">
        <v>20</v>
      </c>
      <c r="E134" s="12">
        <v>3</v>
      </c>
      <c r="F134" s="15">
        <v>1.08748</v>
      </c>
      <c r="G134" s="15">
        <v>0.21058671824713315</v>
      </c>
      <c r="H134" s="15">
        <v>0</v>
      </c>
      <c r="I134" s="15">
        <v>0.11852538681527564</v>
      </c>
      <c r="J134" s="15">
        <v>5.8393801012338077E-3</v>
      </c>
      <c r="K134" s="15">
        <v>0</v>
      </c>
    </row>
    <row r="135" spans="1:11">
      <c r="A135" s="8">
        <v>2</v>
      </c>
      <c r="B135" s="24">
        <v>38468</v>
      </c>
      <c r="C135" s="12">
        <v>2005</v>
      </c>
      <c r="D135" s="11" t="s">
        <v>21</v>
      </c>
      <c r="E135" s="12">
        <v>4</v>
      </c>
      <c r="F135" s="15">
        <v>3.4178600000000001</v>
      </c>
      <c r="G135" s="15">
        <v>1.3604257420501826E-2</v>
      </c>
      <c r="H135" s="15">
        <v>6.0852529834738857E-2</v>
      </c>
      <c r="I135" s="15">
        <v>1.4967194201384131</v>
      </c>
      <c r="J135" s="15">
        <v>3.6286569352754851E-2</v>
      </c>
      <c r="K135" s="15">
        <v>0</v>
      </c>
    </row>
    <row r="136" spans="1:11">
      <c r="A136" s="8">
        <v>16</v>
      </c>
      <c r="B136" s="24">
        <v>38468</v>
      </c>
      <c r="C136" s="12">
        <v>2005</v>
      </c>
      <c r="D136" s="11" t="s">
        <v>21</v>
      </c>
      <c r="E136" s="12">
        <v>4</v>
      </c>
      <c r="F136" s="15">
        <v>3.3993099999999998</v>
      </c>
      <c r="G136" s="15">
        <v>1.4157899790154747E-2</v>
      </c>
      <c r="H136" s="15">
        <v>4.1917394758639842E-2</v>
      </c>
      <c r="I136" s="15">
        <v>1.5139602861847938</v>
      </c>
      <c r="J136" s="15">
        <v>2.7612899764537419E-2</v>
      </c>
      <c r="K136" s="15">
        <v>0</v>
      </c>
    </row>
    <row r="137" spans="1:11">
      <c r="A137" s="8">
        <v>2</v>
      </c>
      <c r="B137" s="24">
        <v>38489</v>
      </c>
      <c r="C137" s="12">
        <v>2005</v>
      </c>
      <c r="D137" s="11" t="s">
        <v>22</v>
      </c>
      <c r="E137" s="12">
        <v>5</v>
      </c>
      <c r="F137" s="15">
        <v>8.4405800000000006</v>
      </c>
      <c r="G137" s="15">
        <v>4.5658220608082327E-2</v>
      </c>
      <c r="H137" s="15">
        <v>1.1670740010055471</v>
      </c>
      <c r="I137" s="15">
        <v>3.787496655811974</v>
      </c>
      <c r="J137" s="15">
        <v>7.579153429054783E-2</v>
      </c>
      <c r="K137" s="15">
        <v>0</v>
      </c>
    </row>
    <row r="138" spans="1:11">
      <c r="A138" s="8">
        <v>16</v>
      </c>
      <c r="B138" s="24">
        <v>38489</v>
      </c>
      <c r="C138" s="12">
        <v>2005</v>
      </c>
      <c r="D138" s="11" t="s">
        <v>22</v>
      </c>
      <c r="E138" s="12">
        <v>5</v>
      </c>
      <c r="F138" s="15">
        <v>8.5562199999999997</v>
      </c>
      <c r="G138" s="15">
        <v>5.3426145360376438E-2</v>
      </c>
      <c r="H138" s="15">
        <v>1.1020894258838754</v>
      </c>
      <c r="I138" s="15">
        <v>4.0693693429275539</v>
      </c>
      <c r="J138" s="15">
        <v>5.8748295306824107E-2</v>
      </c>
      <c r="K138" s="15">
        <v>0</v>
      </c>
    </row>
    <row r="139" spans="1:11">
      <c r="A139" s="8">
        <v>2</v>
      </c>
      <c r="B139" s="24">
        <v>38517</v>
      </c>
      <c r="C139" s="12">
        <v>2005</v>
      </c>
      <c r="D139" s="11" t="s">
        <v>23</v>
      </c>
      <c r="E139" s="12">
        <v>6</v>
      </c>
      <c r="F139" s="15">
        <v>27.824159999999999</v>
      </c>
      <c r="G139" s="15">
        <v>6.647752668789661E-2</v>
      </c>
      <c r="H139" s="15">
        <v>3.5641820013687329</v>
      </c>
      <c r="I139" s="15">
        <v>7.2676147152786852</v>
      </c>
      <c r="J139" s="15">
        <v>0.92471339230740102</v>
      </c>
      <c r="K139" s="15">
        <v>3.9423314667575753E-2</v>
      </c>
    </row>
    <row r="140" spans="1:11">
      <c r="A140" s="8">
        <v>16</v>
      </c>
      <c r="B140" s="24">
        <v>38518</v>
      </c>
      <c r="C140" s="12">
        <v>2005</v>
      </c>
      <c r="D140" s="11" t="s">
        <v>23</v>
      </c>
      <c r="E140" s="12">
        <v>6</v>
      </c>
      <c r="F140" s="15">
        <v>11.79562</v>
      </c>
      <c r="G140" s="15">
        <v>7.4725624894796699E-2</v>
      </c>
      <c r="H140" s="15">
        <v>0.20136711404013816</v>
      </c>
      <c r="I140" s="15">
        <v>2.3434671466644907</v>
      </c>
      <c r="J140" s="15">
        <v>0.66825868617563433</v>
      </c>
      <c r="K140" s="15">
        <v>1.6924883813850908E-2</v>
      </c>
    </row>
    <row r="141" spans="1:11">
      <c r="A141" s="8">
        <v>2</v>
      </c>
      <c r="B141" s="24">
        <v>38547</v>
      </c>
      <c r="C141" s="12">
        <v>2005</v>
      </c>
      <c r="D141" s="16" t="s">
        <v>24</v>
      </c>
      <c r="E141" s="12">
        <v>7</v>
      </c>
      <c r="F141" s="15">
        <v>15.015750000000001</v>
      </c>
      <c r="G141" s="15">
        <v>0.18386253331851815</v>
      </c>
      <c r="H141" s="15">
        <v>0</v>
      </c>
      <c r="I141" s="15">
        <v>1.8213964749577989</v>
      </c>
      <c r="J141" s="15">
        <v>1.3750777901535156</v>
      </c>
      <c r="K141" s="15">
        <v>7.0539539137084916E-3</v>
      </c>
    </row>
    <row r="142" spans="1:11">
      <c r="A142" s="8">
        <v>16</v>
      </c>
      <c r="B142" s="24">
        <v>38547</v>
      </c>
      <c r="C142" s="12">
        <v>2005</v>
      </c>
      <c r="D142" s="16" t="s">
        <v>24</v>
      </c>
      <c r="E142" s="12">
        <v>7</v>
      </c>
      <c r="F142" s="15">
        <v>14.90771</v>
      </c>
      <c r="G142" s="15">
        <v>0.34415764751863437</v>
      </c>
      <c r="H142" s="15">
        <v>0</v>
      </c>
      <c r="I142" s="15">
        <v>1.8933633202295186</v>
      </c>
      <c r="J142" s="15">
        <v>1.3329755896878075</v>
      </c>
      <c r="K142" s="15">
        <v>2.7736675207469263E-2</v>
      </c>
    </row>
    <row r="143" spans="1:11">
      <c r="A143" s="8">
        <v>2</v>
      </c>
      <c r="B143" s="24">
        <v>38587</v>
      </c>
      <c r="C143" s="12">
        <v>2005</v>
      </c>
      <c r="D143" s="16" t="s">
        <v>25</v>
      </c>
      <c r="E143" s="12">
        <v>8</v>
      </c>
      <c r="F143" s="15">
        <v>15.00104</v>
      </c>
      <c r="G143" s="15">
        <v>0.10971532953347103</v>
      </c>
      <c r="H143" s="15">
        <v>0</v>
      </c>
      <c r="I143" s="15">
        <v>3.3326864957936828</v>
      </c>
      <c r="J143" s="15">
        <v>1.0686465952721076</v>
      </c>
      <c r="K143" s="15">
        <v>0</v>
      </c>
    </row>
    <row r="144" spans="1:11">
      <c r="A144" s="8">
        <v>16</v>
      </c>
      <c r="B144" s="24">
        <v>38588</v>
      </c>
      <c r="C144" s="12">
        <v>2005</v>
      </c>
      <c r="D144" s="16" t="s">
        <v>25</v>
      </c>
      <c r="E144" s="12">
        <v>8</v>
      </c>
      <c r="F144" s="15">
        <v>12.040520000000001</v>
      </c>
      <c r="G144" s="15">
        <v>0.31276793268441266</v>
      </c>
      <c r="H144" s="15">
        <v>0</v>
      </c>
      <c r="I144" s="15">
        <v>2.6079020243684865</v>
      </c>
      <c r="J144" s="15">
        <v>0.91660257044702464</v>
      </c>
      <c r="K144" s="15">
        <v>0</v>
      </c>
    </row>
    <row r="145" spans="1:11">
      <c r="A145" s="8">
        <v>2</v>
      </c>
      <c r="B145" s="24">
        <v>38608</v>
      </c>
      <c r="C145" s="12">
        <v>2005</v>
      </c>
      <c r="D145" s="16" t="s">
        <v>26</v>
      </c>
      <c r="E145" s="12">
        <v>9</v>
      </c>
      <c r="F145" s="15">
        <v>11.77708</v>
      </c>
      <c r="G145" s="15">
        <v>0.13193479512499467</v>
      </c>
      <c r="H145" s="15">
        <v>0</v>
      </c>
      <c r="I145" s="15">
        <v>2.8904033210730491</v>
      </c>
      <c r="J145" s="15">
        <v>0.74574908534311946</v>
      </c>
      <c r="K145" s="15">
        <v>0</v>
      </c>
    </row>
    <row r="146" spans="1:11">
      <c r="A146" s="8">
        <v>16</v>
      </c>
      <c r="B146" s="24">
        <v>38608</v>
      </c>
      <c r="C146" s="12">
        <v>2005</v>
      </c>
      <c r="D146" s="16" t="s">
        <v>26</v>
      </c>
      <c r="E146" s="12">
        <v>9</v>
      </c>
      <c r="F146" s="15">
        <v>13.10258</v>
      </c>
      <c r="G146" s="15">
        <v>0.53538088081771484</v>
      </c>
      <c r="H146" s="15">
        <v>3.4658950124568363E-2</v>
      </c>
      <c r="I146" s="15">
        <v>3.1396457665300233</v>
      </c>
      <c r="J146" s="15">
        <v>0.55729083572926941</v>
      </c>
      <c r="K146" s="15">
        <v>0</v>
      </c>
    </row>
    <row r="147" spans="1:11">
      <c r="A147" s="8">
        <v>2</v>
      </c>
      <c r="B147" s="24">
        <v>38637</v>
      </c>
      <c r="C147" s="12">
        <v>2005</v>
      </c>
      <c r="D147" s="16" t="s">
        <v>14</v>
      </c>
      <c r="E147" s="12">
        <v>10</v>
      </c>
      <c r="F147" s="15">
        <v>3.4838</v>
      </c>
      <c r="G147" s="15">
        <v>1.9599999999999999E-2</v>
      </c>
      <c r="H147" s="15">
        <v>1E-4</v>
      </c>
      <c r="I147" s="15">
        <v>1.2817000000000001</v>
      </c>
      <c r="J147" s="15">
        <v>0.114</v>
      </c>
      <c r="K147" s="15">
        <v>1E-4</v>
      </c>
    </row>
    <row r="148" spans="1:11">
      <c r="A148" s="8">
        <v>16</v>
      </c>
      <c r="B148" s="24">
        <v>38636</v>
      </c>
      <c r="C148" s="12">
        <v>2005</v>
      </c>
      <c r="D148" s="16" t="s">
        <v>14</v>
      </c>
      <c r="E148" s="12">
        <v>10</v>
      </c>
      <c r="F148" s="15">
        <v>3.7355</v>
      </c>
      <c r="G148" s="15">
        <v>1.09E-2</v>
      </c>
      <c r="H148" s="15">
        <v>1E-4</v>
      </c>
      <c r="I148" s="15">
        <v>1.4303999999999999</v>
      </c>
      <c r="J148" s="15">
        <v>5.04E-2</v>
      </c>
      <c r="K148" s="15">
        <v>1E-4</v>
      </c>
    </row>
    <row r="149" spans="1:11">
      <c r="A149" s="8">
        <v>2</v>
      </c>
      <c r="B149" s="24">
        <v>38671</v>
      </c>
      <c r="C149" s="12">
        <v>2005</v>
      </c>
      <c r="D149" s="16" t="s">
        <v>16</v>
      </c>
      <c r="E149" s="12">
        <v>11</v>
      </c>
      <c r="F149" s="15">
        <v>3.9666999999999999</v>
      </c>
      <c r="G149" s="15">
        <v>1E-4</v>
      </c>
      <c r="H149" s="15">
        <v>1E-4</v>
      </c>
      <c r="I149" s="15">
        <v>1.1249</v>
      </c>
      <c r="J149" s="15">
        <v>1.1599999999999999E-2</v>
      </c>
      <c r="K149" s="15">
        <v>1E-4</v>
      </c>
    </row>
    <row r="150" spans="1:11">
      <c r="A150" s="8">
        <v>16</v>
      </c>
      <c r="B150" s="24">
        <v>38671</v>
      </c>
      <c r="C150" s="12">
        <v>2005</v>
      </c>
      <c r="D150" s="16" t="s">
        <v>16</v>
      </c>
      <c r="E150" s="12">
        <v>11</v>
      </c>
      <c r="F150" s="15">
        <v>4.5237999999999996</v>
      </c>
      <c r="G150" s="15">
        <v>1.23E-2</v>
      </c>
      <c r="H150" s="15">
        <v>0.16259999999999999</v>
      </c>
      <c r="I150" s="15">
        <v>1.798</v>
      </c>
      <c r="J150" s="15">
        <v>3.2300000000000002E-2</v>
      </c>
      <c r="K150" s="15">
        <v>1E-4</v>
      </c>
    </row>
    <row r="151" spans="1:11">
      <c r="A151" s="8">
        <v>2</v>
      </c>
      <c r="B151" s="24">
        <v>38707</v>
      </c>
      <c r="C151" s="12">
        <v>2005</v>
      </c>
      <c r="D151" s="16" t="s">
        <v>17</v>
      </c>
      <c r="E151" s="12">
        <v>12</v>
      </c>
      <c r="F151" s="15">
        <v>2.8999000000000001</v>
      </c>
      <c r="G151" s="15">
        <v>1.7600000000000001E-2</v>
      </c>
      <c r="H151" s="15">
        <v>1E-4</v>
      </c>
      <c r="I151" s="15">
        <v>0.84099999999999997</v>
      </c>
      <c r="J151" s="15">
        <v>1.0500000000000001E-2</v>
      </c>
      <c r="K151" s="15">
        <v>1E-4</v>
      </c>
    </row>
    <row r="152" spans="1:11">
      <c r="A152" s="8">
        <v>16</v>
      </c>
      <c r="B152" s="24">
        <v>38707</v>
      </c>
      <c r="C152" s="12">
        <v>2005</v>
      </c>
      <c r="D152" s="16" t="s">
        <v>17</v>
      </c>
      <c r="E152" s="12">
        <v>12</v>
      </c>
      <c r="F152" s="15">
        <v>2.8738000000000001</v>
      </c>
      <c r="G152" s="15">
        <v>2.6599999999999999E-2</v>
      </c>
      <c r="H152" s="15">
        <v>1E-4</v>
      </c>
      <c r="I152" s="15">
        <v>0.72509999999999997</v>
      </c>
      <c r="J152" s="15">
        <v>1.2699999999999999E-2</v>
      </c>
      <c r="K152" s="15">
        <v>1E-4</v>
      </c>
    </row>
    <row r="153" spans="1:11">
      <c r="A153" s="12">
        <v>2</v>
      </c>
      <c r="B153" s="24">
        <v>38734</v>
      </c>
      <c r="C153" s="12">
        <v>2006</v>
      </c>
      <c r="D153" s="11" t="s">
        <v>18</v>
      </c>
      <c r="E153" s="12">
        <v>1</v>
      </c>
      <c r="F153" s="15">
        <v>8.8552999999999997</v>
      </c>
      <c r="G153" s="15">
        <v>0.1082</v>
      </c>
      <c r="H153" s="15">
        <v>1E-4</v>
      </c>
      <c r="I153" s="15">
        <v>3.2823000000000002</v>
      </c>
      <c r="J153" s="15">
        <v>2.23E-2</v>
      </c>
      <c r="K153" s="15">
        <v>1E-4</v>
      </c>
    </row>
    <row r="154" spans="1:11">
      <c r="A154" s="12">
        <v>16</v>
      </c>
      <c r="B154" s="24">
        <v>38734</v>
      </c>
      <c r="C154" s="12">
        <v>2006</v>
      </c>
      <c r="D154" s="11" t="s">
        <v>18</v>
      </c>
      <c r="E154" s="12">
        <v>1</v>
      </c>
      <c r="F154" s="15">
        <v>6.5289000000000001</v>
      </c>
      <c r="G154" s="15">
        <v>8.43E-2</v>
      </c>
      <c r="H154" s="15">
        <v>1E-4</v>
      </c>
      <c r="I154" s="15">
        <v>2.4308000000000001</v>
      </c>
      <c r="J154" s="15">
        <v>3.2599999999999997E-2</v>
      </c>
      <c r="K154" s="15">
        <v>1E-4</v>
      </c>
    </row>
    <row r="155" spans="1:11">
      <c r="A155" s="12">
        <v>2</v>
      </c>
      <c r="B155" s="24">
        <v>38762</v>
      </c>
      <c r="C155" s="16">
        <v>2006</v>
      </c>
      <c r="D155" s="11" t="s">
        <v>28</v>
      </c>
      <c r="E155" s="16">
        <v>2</v>
      </c>
      <c r="F155" s="15">
        <v>7.7049000000000003</v>
      </c>
      <c r="G155" s="15">
        <v>3.0499999999999999E-2</v>
      </c>
      <c r="H155" s="15">
        <v>5.7299999999999997E-2</v>
      </c>
      <c r="I155" s="15">
        <v>2.3563999999999998</v>
      </c>
      <c r="J155" s="15">
        <v>5.2600000000000001E-2</v>
      </c>
      <c r="K155" s="15">
        <v>1E-4</v>
      </c>
    </row>
    <row r="156" spans="1:11">
      <c r="A156" s="12">
        <v>16</v>
      </c>
      <c r="B156" s="24">
        <v>38762</v>
      </c>
      <c r="C156" s="16">
        <v>2006</v>
      </c>
      <c r="D156" s="11" t="s">
        <v>28</v>
      </c>
      <c r="E156" s="16">
        <v>2</v>
      </c>
      <c r="F156" s="15">
        <v>7.5313999999999997</v>
      </c>
      <c r="G156" s="15">
        <v>5.4199999999999998E-2</v>
      </c>
      <c r="H156" s="15">
        <v>4.5999999999999999E-2</v>
      </c>
      <c r="I156" s="15">
        <v>2.2690000000000001</v>
      </c>
      <c r="J156" s="15">
        <v>5.7000000000000002E-2</v>
      </c>
      <c r="K156" s="15">
        <v>1E-4</v>
      </c>
    </row>
    <row r="157" spans="1:11">
      <c r="A157" s="12">
        <v>2</v>
      </c>
      <c r="B157" s="24">
        <v>38789</v>
      </c>
      <c r="C157" s="12">
        <v>2006</v>
      </c>
      <c r="D157" s="11" t="s">
        <v>29</v>
      </c>
      <c r="E157" s="16">
        <v>3</v>
      </c>
      <c r="F157" s="15">
        <v>7.3952</v>
      </c>
      <c r="G157" s="15">
        <v>1E-4</v>
      </c>
      <c r="H157" s="15">
        <v>0.17330000000000001</v>
      </c>
      <c r="I157" s="15">
        <v>2.6539999999999999</v>
      </c>
      <c r="J157" s="15">
        <v>4.3200000000000002E-2</v>
      </c>
      <c r="K157" s="15">
        <v>1E-4</v>
      </c>
    </row>
    <row r="158" spans="1:11">
      <c r="A158" s="12">
        <v>16</v>
      </c>
      <c r="B158" s="24">
        <v>38789</v>
      </c>
      <c r="C158" s="12">
        <v>2006</v>
      </c>
      <c r="D158" s="11" t="s">
        <v>29</v>
      </c>
      <c r="E158" s="16">
        <v>3</v>
      </c>
      <c r="F158" s="15">
        <v>7.0606999999999998</v>
      </c>
      <c r="G158" s="15">
        <v>1E-4</v>
      </c>
      <c r="H158" s="15">
        <v>0.1206</v>
      </c>
      <c r="I158" s="15">
        <v>2.5817999999999999</v>
      </c>
      <c r="J158" s="15">
        <v>3.2399999999999998E-2</v>
      </c>
      <c r="K158" s="15">
        <v>1E-4</v>
      </c>
    </row>
    <row r="159" spans="1:11">
      <c r="A159" s="12">
        <v>2</v>
      </c>
      <c r="B159" s="9">
        <v>38825</v>
      </c>
      <c r="C159" s="12">
        <v>2006</v>
      </c>
      <c r="D159" s="11" t="s">
        <v>30</v>
      </c>
      <c r="E159" s="12">
        <v>4</v>
      </c>
      <c r="F159" s="15">
        <v>2.0038999999999998</v>
      </c>
      <c r="G159" s="15">
        <v>1.5299999999999999E-2</v>
      </c>
      <c r="H159" s="15">
        <v>2.81E-2</v>
      </c>
      <c r="I159" s="15">
        <v>0.75600000000000001</v>
      </c>
      <c r="J159" s="15">
        <v>3.2899999999999999E-2</v>
      </c>
      <c r="K159" s="15">
        <v>1E-4</v>
      </c>
    </row>
    <row r="160" spans="1:11">
      <c r="A160" s="12">
        <v>16</v>
      </c>
      <c r="B160" s="9">
        <v>38825</v>
      </c>
      <c r="C160" s="12">
        <v>2006</v>
      </c>
      <c r="D160" s="11" t="s">
        <v>30</v>
      </c>
      <c r="E160" s="12">
        <v>4</v>
      </c>
      <c r="F160" s="15">
        <v>2.5667</v>
      </c>
      <c r="G160" s="15">
        <v>1.5900000000000001E-2</v>
      </c>
      <c r="H160" s="15">
        <v>6.3200000000000006E-2</v>
      </c>
      <c r="I160" s="15">
        <v>0.755</v>
      </c>
      <c r="J160" s="15">
        <v>4.4400000000000002E-2</v>
      </c>
      <c r="K160" s="15">
        <v>1E-4</v>
      </c>
    </row>
    <row r="161" spans="1:11">
      <c r="A161" s="12">
        <v>2</v>
      </c>
      <c r="B161" s="9">
        <v>38852</v>
      </c>
      <c r="C161" s="12">
        <v>2006</v>
      </c>
      <c r="D161" s="11" t="s">
        <v>31</v>
      </c>
      <c r="E161" s="12">
        <v>5</v>
      </c>
      <c r="F161" s="15">
        <v>0.93030000000000002</v>
      </c>
      <c r="G161" s="15">
        <v>1.15E-2</v>
      </c>
      <c r="H161" s="15">
        <v>1E-4</v>
      </c>
      <c r="I161" s="15">
        <v>0.19259999999999999</v>
      </c>
      <c r="J161" s="15">
        <v>8.9999999999999993E-3</v>
      </c>
      <c r="K161" s="15">
        <v>1E-4</v>
      </c>
    </row>
    <row r="162" spans="1:11">
      <c r="A162" s="12">
        <v>16</v>
      </c>
      <c r="B162" s="9">
        <v>38852</v>
      </c>
      <c r="C162" s="12">
        <v>2006</v>
      </c>
      <c r="D162" s="11" t="s">
        <v>31</v>
      </c>
      <c r="E162" s="12">
        <v>5</v>
      </c>
      <c r="F162" s="15">
        <v>1.3180000000000001</v>
      </c>
      <c r="G162" s="15">
        <v>1E-4</v>
      </c>
      <c r="H162" s="15">
        <v>1E-4</v>
      </c>
      <c r="I162" s="15">
        <v>0.23050000000000001</v>
      </c>
      <c r="J162" s="15">
        <v>8.3999999999999995E-3</v>
      </c>
      <c r="K162" s="15">
        <v>1E-4</v>
      </c>
    </row>
    <row r="163" spans="1:11">
      <c r="A163" s="12">
        <v>2</v>
      </c>
      <c r="B163" s="9">
        <v>38883</v>
      </c>
      <c r="C163" s="12">
        <v>2006</v>
      </c>
      <c r="D163" s="11" t="s">
        <v>32</v>
      </c>
      <c r="E163" s="12">
        <v>6</v>
      </c>
      <c r="F163" s="15">
        <v>13.7333</v>
      </c>
      <c r="G163" s="15">
        <v>0.1119</v>
      </c>
      <c r="H163" s="15">
        <v>1.3374999999999999</v>
      </c>
      <c r="I163" s="15">
        <v>6.03</v>
      </c>
      <c r="J163" s="15">
        <v>0.3624</v>
      </c>
      <c r="K163" s="15">
        <v>1E-4</v>
      </c>
    </row>
    <row r="164" spans="1:11">
      <c r="A164" s="12">
        <v>16</v>
      </c>
      <c r="B164" s="9">
        <v>38883</v>
      </c>
      <c r="C164" s="12">
        <v>2006</v>
      </c>
      <c r="D164" s="11" t="s">
        <v>32</v>
      </c>
      <c r="E164" s="12">
        <v>6</v>
      </c>
      <c r="F164" s="15">
        <v>20.088100000000001</v>
      </c>
      <c r="G164" s="15">
        <v>1E-4</v>
      </c>
      <c r="H164" s="15">
        <v>1.232</v>
      </c>
      <c r="I164" s="15">
        <v>9.5981000000000005</v>
      </c>
      <c r="J164" s="15">
        <v>0.45450000000000002</v>
      </c>
      <c r="K164" s="15">
        <v>1E-4</v>
      </c>
    </row>
    <row r="165" spans="1:11">
      <c r="A165" s="12">
        <v>2</v>
      </c>
      <c r="B165" s="9">
        <v>38916</v>
      </c>
      <c r="C165" s="12">
        <v>2006</v>
      </c>
      <c r="D165" s="11" t="s">
        <v>33</v>
      </c>
      <c r="E165" s="12">
        <v>7</v>
      </c>
      <c r="F165" s="15">
        <v>16.374400000000001</v>
      </c>
      <c r="G165" s="15">
        <v>5.5399999999999998E-2</v>
      </c>
      <c r="H165" s="15">
        <v>1E-4</v>
      </c>
      <c r="I165" s="15">
        <v>1.3028</v>
      </c>
      <c r="J165" s="15">
        <v>2.1</v>
      </c>
      <c r="K165" s="15">
        <v>1E-4</v>
      </c>
    </row>
    <row r="166" spans="1:11">
      <c r="A166" s="12">
        <v>16</v>
      </c>
      <c r="B166" s="9">
        <v>38916</v>
      </c>
      <c r="C166" s="12">
        <v>2006</v>
      </c>
      <c r="D166" s="11" t="s">
        <v>33</v>
      </c>
      <c r="E166" s="12">
        <v>7</v>
      </c>
      <c r="F166" s="15">
        <v>13.152699999999999</v>
      </c>
      <c r="G166" s="15">
        <v>6.2E-2</v>
      </c>
      <c r="H166" s="15">
        <v>1E-4</v>
      </c>
      <c r="I166" s="15">
        <v>1.2091000000000001</v>
      </c>
      <c r="J166" s="15">
        <v>1.8488</v>
      </c>
      <c r="K166" s="15">
        <v>1E-4</v>
      </c>
    </row>
    <row r="167" spans="1:11">
      <c r="A167" s="12">
        <v>2</v>
      </c>
      <c r="B167" s="9">
        <v>38953</v>
      </c>
      <c r="C167" s="12">
        <v>2006</v>
      </c>
      <c r="D167" s="11" t="s">
        <v>34</v>
      </c>
      <c r="E167" s="12">
        <v>8</v>
      </c>
      <c r="F167" s="15">
        <v>13.5991</v>
      </c>
      <c r="G167" s="15">
        <v>0.10009999999999999</v>
      </c>
      <c r="H167" s="15">
        <v>1E-4</v>
      </c>
      <c r="I167" s="15">
        <v>2.0367000000000002</v>
      </c>
      <c r="J167" s="15">
        <v>1.698</v>
      </c>
      <c r="K167" s="15">
        <v>1E-4</v>
      </c>
    </row>
    <row r="168" spans="1:11">
      <c r="A168" s="12">
        <v>16</v>
      </c>
      <c r="B168" s="9">
        <v>38953</v>
      </c>
      <c r="C168" s="12">
        <v>2006</v>
      </c>
      <c r="D168" s="11" t="s">
        <v>34</v>
      </c>
      <c r="E168" s="12">
        <v>8</v>
      </c>
      <c r="F168" s="15">
        <v>15.647600000000001</v>
      </c>
      <c r="G168" s="15">
        <v>0.32169999999999999</v>
      </c>
      <c r="H168" s="15">
        <v>1E-4</v>
      </c>
      <c r="I168" s="15">
        <v>3.7646000000000002</v>
      </c>
      <c r="J168" s="15">
        <v>1.3992</v>
      </c>
      <c r="K168" s="15">
        <v>1E-4</v>
      </c>
    </row>
    <row r="169" spans="1:11">
      <c r="A169" s="12">
        <v>2</v>
      </c>
      <c r="B169" s="9">
        <v>38972</v>
      </c>
      <c r="C169" s="12">
        <v>2006</v>
      </c>
      <c r="D169" s="11" t="s">
        <v>35</v>
      </c>
      <c r="E169" s="12">
        <v>9</v>
      </c>
      <c r="F169" s="15">
        <v>3.3815</v>
      </c>
      <c r="G169" s="15">
        <v>1.9300000000000001E-2</v>
      </c>
      <c r="H169" s="15">
        <v>1E-4</v>
      </c>
      <c r="I169" s="15">
        <v>1.1519999999999999</v>
      </c>
      <c r="J169" s="15">
        <v>5.9700000000000003E-2</v>
      </c>
      <c r="K169" s="15">
        <v>1E-4</v>
      </c>
    </row>
    <row r="170" spans="1:11">
      <c r="A170" s="12">
        <v>16</v>
      </c>
      <c r="B170" s="9">
        <v>38972</v>
      </c>
      <c r="C170" s="12">
        <v>2006</v>
      </c>
      <c r="D170" s="11" t="s">
        <v>35</v>
      </c>
      <c r="E170" s="12">
        <v>9</v>
      </c>
      <c r="F170" s="15">
        <v>5.4568000000000003</v>
      </c>
      <c r="G170" s="15">
        <v>2.06E-2</v>
      </c>
      <c r="H170" s="15">
        <v>1E-4</v>
      </c>
      <c r="I170" s="15">
        <v>1.9071</v>
      </c>
      <c r="J170" s="15">
        <v>6.2399999999999997E-2</v>
      </c>
      <c r="K170" s="15">
        <v>1E-4</v>
      </c>
    </row>
    <row r="171" spans="1:11">
      <c r="A171" s="12">
        <v>2</v>
      </c>
      <c r="B171" s="9">
        <v>39009</v>
      </c>
      <c r="C171" s="12">
        <v>2006</v>
      </c>
      <c r="D171" s="11" t="s">
        <v>36</v>
      </c>
      <c r="E171" s="12">
        <v>10</v>
      </c>
      <c r="F171" s="15">
        <v>7.5449999999999999</v>
      </c>
      <c r="G171" s="15">
        <v>9.9989999999999996E-4</v>
      </c>
      <c r="H171" s="15">
        <v>0.53300000000000003</v>
      </c>
      <c r="I171" s="15">
        <v>3.82</v>
      </c>
      <c r="J171" s="15">
        <v>0.218</v>
      </c>
      <c r="K171" s="15">
        <v>9.9989999999999996E-4</v>
      </c>
    </row>
    <row r="172" spans="1:11">
      <c r="A172" s="12">
        <v>16</v>
      </c>
      <c r="B172" s="9">
        <v>39008</v>
      </c>
      <c r="C172" s="12">
        <v>2006</v>
      </c>
      <c r="D172" s="11" t="s">
        <v>36</v>
      </c>
      <c r="E172" s="12">
        <v>10</v>
      </c>
      <c r="F172" s="15">
        <v>23.14</v>
      </c>
      <c r="G172" s="15">
        <v>9.9989999999999996E-4</v>
      </c>
      <c r="H172" s="15">
        <v>1.675</v>
      </c>
      <c r="I172" s="15">
        <v>10.865</v>
      </c>
      <c r="J172" s="15">
        <v>1.0549999999999999</v>
      </c>
      <c r="K172" s="15">
        <v>9.9989999999999996E-4</v>
      </c>
    </row>
    <row r="173" spans="1:11">
      <c r="A173" s="12">
        <v>2</v>
      </c>
      <c r="B173" s="9">
        <v>39035</v>
      </c>
      <c r="C173" s="12">
        <v>2006</v>
      </c>
      <c r="D173" s="11" t="s">
        <v>37</v>
      </c>
      <c r="E173" s="12">
        <v>11</v>
      </c>
      <c r="F173" s="15">
        <v>2.8820000000000001</v>
      </c>
      <c r="G173" s="15">
        <v>3.3000000000000002E-2</v>
      </c>
      <c r="H173" s="15">
        <v>9.9989999999999996E-4</v>
      </c>
      <c r="I173" s="15">
        <v>0.79300000000000004</v>
      </c>
      <c r="J173" s="15">
        <v>0.04</v>
      </c>
      <c r="K173" s="15">
        <v>9.9989999999999996E-4</v>
      </c>
    </row>
    <row r="174" spans="1:11">
      <c r="A174" s="12">
        <v>16</v>
      </c>
      <c r="B174" s="9">
        <v>39035</v>
      </c>
      <c r="C174" s="12">
        <v>2006</v>
      </c>
      <c r="D174" s="11" t="s">
        <v>37</v>
      </c>
      <c r="E174" s="12">
        <v>11</v>
      </c>
      <c r="F174" s="15">
        <v>7.0620000000000003</v>
      </c>
      <c r="G174" s="15">
        <v>1.7999999999999999E-2</v>
      </c>
      <c r="H174" s="15">
        <v>0.21299999999999999</v>
      </c>
      <c r="I174" s="15">
        <v>3.1930000000000001</v>
      </c>
      <c r="J174" s="15">
        <v>0.10199999999999999</v>
      </c>
      <c r="K174" s="15">
        <v>9.9989999999999996E-4</v>
      </c>
    </row>
    <row r="175" spans="1:11">
      <c r="A175" s="12">
        <v>2</v>
      </c>
      <c r="B175" s="24">
        <v>39063</v>
      </c>
      <c r="C175" s="16">
        <v>2006</v>
      </c>
      <c r="D175" s="11" t="s">
        <v>38</v>
      </c>
      <c r="E175" s="16">
        <v>12</v>
      </c>
      <c r="F175" s="15">
        <v>5.9379999999999997</v>
      </c>
      <c r="G175" s="15">
        <v>7.2999999999999995E-2</v>
      </c>
      <c r="H175" s="15">
        <v>7.0999999999999994E-2</v>
      </c>
      <c r="I175" s="15">
        <v>2.1909999999999998</v>
      </c>
      <c r="J175" s="15">
        <v>3.1E-2</v>
      </c>
      <c r="K175" s="15">
        <v>9.9989999999999996E-4</v>
      </c>
    </row>
    <row r="176" spans="1:11">
      <c r="A176" s="12">
        <v>16</v>
      </c>
      <c r="B176" s="24">
        <v>39063</v>
      </c>
      <c r="C176" s="16">
        <v>2006</v>
      </c>
      <c r="D176" s="11" t="s">
        <v>38</v>
      </c>
      <c r="E176" s="16">
        <v>12</v>
      </c>
      <c r="F176" s="15">
        <v>12.098000000000001</v>
      </c>
      <c r="G176" s="15">
        <v>0.17699999999999999</v>
      </c>
      <c r="H176" s="15">
        <v>0.90600000000000003</v>
      </c>
      <c r="I176" s="15">
        <v>4.7249999999999996</v>
      </c>
      <c r="J176" s="15">
        <v>0.28999999999999998</v>
      </c>
      <c r="K176" s="15">
        <v>9.9989999999999996E-4</v>
      </c>
    </row>
    <row r="177" spans="1:11">
      <c r="A177" s="16">
        <v>2</v>
      </c>
      <c r="B177" s="24">
        <v>39098</v>
      </c>
      <c r="C177" s="16">
        <v>2007</v>
      </c>
      <c r="D177" s="11" t="s">
        <v>39</v>
      </c>
      <c r="E177" s="16">
        <v>1</v>
      </c>
      <c r="F177" s="15">
        <v>15.638</v>
      </c>
      <c r="G177" s="15">
        <v>0.17899999999999999</v>
      </c>
      <c r="H177" s="15">
        <v>0.70799999999999996</v>
      </c>
      <c r="I177" s="15">
        <v>7.25</v>
      </c>
      <c r="J177" s="15">
        <v>0.48</v>
      </c>
      <c r="K177" s="15">
        <v>9.9989999999999996E-4</v>
      </c>
    </row>
    <row r="178" spans="1:11">
      <c r="A178" s="16">
        <v>16</v>
      </c>
      <c r="B178" s="24">
        <v>39098</v>
      </c>
      <c r="C178" s="16">
        <v>2007</v>
      </c>
      <c r="D178" s="11" t="s">
        <v>39</v>
      </c>
      <c r="E178" s="16">
        <v>1</v>
      </c>
      <c r="F178" s="15">
        <v>17.384</v>
      </c>
      <c r="G178" s="15">
        <v>0.10199999999999999</v>
      </c>
      <c r="H178" s="15">
        <v>0.35399999999999998</v>
      </c>
      <c r="I178" s="15">
        <v>7.4429999999999996</v>
      </c>
      <c r="J178" s="15">
        <v>0.442</v>
      </c>
      <c r="K178" s="15">
        <v>9.9989999999999996E-4</v>
      </c>
    </row>
    <row r="179" spans="1:11">
      <c r="A179" s="16">
        <v>2</v>
      </c>
      <c r="B179" s="24">
        <v>39133</v>
      </c>
      <c r="C179" s="16">
        <v>2007</v>
      </c>
      <c r="D179" s="11" t="s">
        <v>28</v>
      </c>
      <c r="E179" s="16">
        <v>2</v>
      </c>
      <c r="F179" s="15">
        <v>5.827</v>
      </c>
      <c r="G179" s="15">
        <v>8.5999999999999993E-2</v>
      </c>
      <c r="H179" s="15">
        <v>9.9989999999999996E-4</v>
      </c>
      <c r="I179" s="15">
        <v>1.764</v>
      </c>
      <c r="J179" s="15">
        <v>3.6999999999999998E-2</v>
      </c>
      <c r="K179" s="15">
        <v>9.9989999999999996E-4</v>
      </c>
    </row>
    <row r="180" spans="1:11">
      <c r="A180" s="16">
        <v>16</v>
      </c>
      <c r="B180" s="24">
        <v>39134</v>
      </c>
      <c r="C180" s="16">
        <v>2007</v>
      </c>
      <c r="D180" s="11" t="s">
        <v>28</v>
      </c>
      <c r="E180" s="16">
        <v>2</v>
      </c>
      <c r="F180" s="15">
        <v>3.9449999999999998</v>
      </c>
      <c r="G180" s="15">
        <v>5.3999999999999999E-2</v>
      </c>
      <c r="H180" s="15">
        <v>8.9999999999999993E-3</v>
      </c>
      <c r="I180" s="15">
        <v>1.099</v>
      </c>
      <c r="J180" s="15">
        <v>3.7999999999999999E-2</v>
      </c>
      <c r="K180" s="15">
        <v>9.9989999999999996E-4</v>
      </c>
    </row>
    <row r="181" spans="1:11">
      <c r="A181" s="16">
        <v>2</v>
      </c>
      <c r="B181" s="24">
        <v>39154</v>
      </c>
      <c r="C181" s="16">
        <v>2007</v>
      </c>
      <c r="D181" s="11" t="s">
        <v>29</v>
      </c>
      <c r="E181" s="16">
        <v>3</v>
      </c>
      <c r="F181" s="15">
        <v>2.7410000000000001</v>
      </c>
      <c r="G181" s="15">
        <v>7.5999999999999998E-2</v>
      </c>
      <c r="H181" s="15">
        <v>9.9989999999999996E-4</v>
      </c>
      <c r="I181" s="15">
        <v>1.0429999999999999</v>
      </c>
      <c r="J181" s="15">
        <v>2.1999999999999999E-2</v>
      </c>
      <c r="K181" s="15">
        <v>9.9989999999999996E-4</v>
      </c>
    </row>
    <row r="182" spans="1:11">
      <c r="A182" s="16">
        <v>16</v>
      </c>
      <c r="B182" s="24">
        <v>39154</v>
      </c>
      <c r="C182" s="16">
        <v>2007</v>
      </c>
      <c r="D182" s="11" t="s">
        <v>29</v>
      </c>
      <c r="E182" s="16">
        <v>3</v>
      </c>
      <c r="F182" s="15">
        <v>2.4710000000000001</v>
      </c>
      <c r="G182" s="15">
        <v>0.109</v>
      </c>
      <c r="H182" s="15">
        <v>9.9989999999999996E-4</v>
      </c>
      <c r="I182" s="15">
        <v>0.84199999999999997</v>
      </c>
      <c r="J182" s="15">
        <v>2.1000000000000001E-2</v>
      </c>
      <c r="K182" s="15">
        <v>9.9989999999999996E-4</v>
      </c>
    </row>
    <row r="183" spans="1:11">
      <c r="A183" s="16">
        <v>2</v>
      </c>
      <c r="B183" s="24">
        <v>39190</v>
      </c>
      <c r="C183" s="16">
        <v>2007</v>
      </c>
      <c r="D183" s="11" t="s">
        <v>30</v>
      </c>
      <c r="E183" s="16">
        <v>4</v>
      </c>
      <c r="F183" s="15">
        <v>5.0179999999999998</v>
      </c>
      <c r="G183" s="15">
        <v>2.3E-2</v>
      </c>
      <c r="H183" s="15">
        <v>9.9989999999999996E-4</v>
      </c>
      <c r="I183" s="15">
        <v>2.0830000000000002</v>
      </c>
      <c r="J183" s="15">
        <v>1.2999999999999999E-2</v>
      </c>
      <c r="K183" s="15">
        <v>9.9989999999999996E-4</v>
      </c>
    </row>
    <row r="184" spans="1:11">
      <c r="A184" s="16">
        <v>16</v>
      </c>
      <c r="B184" s="24">
        <v>39190</v>
      </c>
      <c r="C184" s="16">
        <v>2007</v>
      </c>
      <c r="D184" s="11" t="s">
        <v>30</v>
      </c>
      <c r="E184" s="16">
        <v>4</v>
      </c>
      <c r="F184" s="15">
        <v>8.9130000000000003</v>
      </c>
      <c r="G184" s="15">
        <v>0.04</v>
      </c>
      <c r="H184" s="15">
        <v>6.9000000000000006E-2</v>
      </c>
      <c r="I184" s="15">
        <v>4.2300000000000004</v>
      </c>
      <c r="J184" s="15">
        <v>2.1000000000000001E-2</v>
      </c>
      <c r="K184" s="15">
        <v>9.9989999999999996E-4</v>
      </c>
    </row>
    <row r="185" spans="1:11">
      <c r="A185" s="16">
        <v>2</v>
      </c>
      <c r="B185" s="24">
        <v>39217</v>
      </c>
      <c r="C185" s="16">
        <v>2007</v>
      </c>
      <c r="D185" s="11" t="s">
        <v>31</v>
      </c>
      <c r="E185" s="16">
        <v>5</v>
      </c>
      <c r="F185" s="15">
        <v>3.7530000000000001</v>
      </c>
      <c r="G185" s="15">
        <v>6.2E-2</v>
      </c>
      <c r="H185" s="15">
        <v>0.159</v>
      </c>
      <c r="I185" s="15">
        <v>1.022</v>
      </c>
      <c r="J185" s="15">
        <v>2.7E-2</v>
      </c>
      <c r="K185" s="15">
        <v>9.9989999999999996E-4</v>
      </c>
    </row>
    <row r="186" spans="1:11">
      <c r="A186" s="16">
        <v>16</v>
      </c>
      <c r="B186" s="24">
        <v>39217</v>
      </c>
      <c r="C186" s="16">
        <v>2007</v>
      </c>
      <c r="D186" s="11" t="s">
        <v>31</v>
      </c>
      <c r="E186" s="16">
        <v>5</v>
      </c>
      <c r="F186" s="15">
        <v>7.5650000000000004</v>
      </c>
      <c r="G186" s="15">
        <v>2.5000000000000001E-2</v>
      </c>
      <c r="H186" s="15">
        <v>1.3109999999999999</v>
      </c>
      <c r="I186" s="15">
        <v>3.3319999999999999</v>
      </c>
      <c r="J186" s="15">
        <v>6.4000000000000001E-2</v>
      </c>
      <c r="K186" s="15">
        <v>9.9989999999999996E-4</v>
      </c>
    </row>
    <row r="187" spans="1:11">
      <c r="A187" s="16">
        <v>2</v>
      </c>
      <c r="B187" s="24">
        <v>39245</v>
      </c>
      <c r="C187" s="16">
        <v>2007</v>
      </c>
      <c r="D187" s="11" t="s">
        <v>32</v>
      </c>
      <c r="E187" s="16">
        <v>6</v>
      </c>
      <c r="F187" s="15">
        <v>17.007000000000001</v>
      </c>
      <c r="G187" s="15">
        <v>4.2999999999999997E-2</v>
      </c>
      <c r="H187" s="15">
        <v>3.484</v>
      </c>
      <c r="I187" s="15">
        <v>5.7590000000000003</v>
      </c>
      <c r="J187" s="15">
        <v>0.30099999999999999</v>
      </c>
      <c r="K187" s="15">
        <v>9.9989999999999996E-4</v>
      </c>
    </row>
    <row r="188" spans="1:11">
      <c r="A188" s="16">
        <v>16</v>
      </c>
      <c r="B188" s="24">
        <v>39245</v>
      </c>
      <c r="C188" s="16">
        <v>2007</v>
      </c>
      <c r="D188" s="11" t="s">
        <v>32</v>
      </c>
      <c r="E188" s="16">
        <v>6</v>
      </c>
      <c r="F188" s="15">
        <v>24.376999999999999</v>
      </c>
      <c r="G188" s="15">
        <v>4.3999999999999997E-2</v>
      </c>
      <c r="H188" s="15">
        <v>4.96</v>
      </c>
      <c r="I188" s="15">
        <v>8.9410000000000007</v>
      </c>
      <c r="J188" s="15">
        <v>0.45300000000000001</v>
      </c>
      <c r="K188" s="15">
        <v>6.0000000000000001E-3</v>
      </c>
    </row>
    <row r="189" spans="1:11">
      <c r="A189" s="16">
        <v>2</v>
      </c>
      <c r="B189" s="24">
        <v>39280</v>
      </c>
      <c r="C189" s="16">
        <v>2007</v>
      </c>
      <c r="D189" s="11" t="s">
        <v>33</v>
      </c>
      <c r="E189" s="16">
        <v>7</v>
      </c>
      <c r="F189" s="15">
        <v>16.196000000000002</v>
      </c>
      <c r="G189" s="15">
        <v>0.32300000000000001</v>
      </c>
      <c r="H189" s="15">
        <v>7.8E-2</v>
      </c>
      <c r="I189" s="15">
        <v>1.9139999999999999</v>
      </c>
      <c r="J189" s="15">
        <v>2.153</v>
      </c>
      <c r="K189" s="15">
        <v>9.9989999999999996E-4</v>
      </c>
    </row>
    <row r="190" spans="1:11">
      <c r="A190" s="16">
        <v>16</v>
      </c>
      <c r="B190" s="24">
        <v>39280</v>
      </c>
      <c r="C190" s="16">
        <v>2007</v>
      </c>
      <c r="D190" s="11" t="s">
        <v>33</v>
      </c>
      <c r="E190" s="16">
        <v>7</v>
      </c>
      <c r="F190" s="15">
        <v>17.375</v>
      </c>
      <c r="G190" s="15">
        <v>0.25800000000000001</v>
      </c>
      <c r="H190" s="15">
        <v>8.5999999999999993E-2</v>
      </c>
      <c r="I190" s="15">
        <v>2.012</v>
      </c>
      <c r="J190" s="15">
        <v>2.0369999999999999</v>
      </c>
      <c r="K190" s="15">
        <v>1.2E-2</v>
      </c>
    </row>
    <row r="191" spans="1:11">
      <c r="A191" s="16">
        <v>2</v>
      </c>
      <c r="B191" s="24">
        <v>39308</v>
      </c>
      <c r="C191" s="16">
        <v>2007</v>
      </c>
      <c r="D191" s="11" t="s">
        <v>34</v>
      </c>
      <c r="E191" s="16">
        <v>8</v>
      </c>
      <c r="F191" s="15">
        <v>10.210000000000001</v>
      </c>
      <c r="G191" s="15">
        <v>0.154</v>
      </c>
      <c r="H191" s="15">
        <v>0.312</v>
      </c>
      <c r="I191" s="15">
        <v>3.3119999999999998</v>
      </c>
      <c r="J191" s="15">
        <v>0.51900000000000002</v>
      </c>
      <c r="K191" s="15">
        <v>9.9989999999999996E-4</v>
      </c>
    </row>
    <row r="192" spans="1:11">
      <c r="A192" s="16">
        <v>16</v>
      </c>
      <c r="B192" s="24">
        <v>39308</v>
      </c>
      <c r="C192" s="16">
        <v>2007</v>
      </c>
      <c r="D192" s="11" t="s">
        <v>34</v>
      </c>
      <c r="E192" s="16">
        <v>8</v>
      </c>
      <c r="F192" s="15">
        <v>14.263</v>
      </c>
      <c r="G192" s="15">
        <v>6.0999999999999999E-2</v>
      </c>
      <c r="H192" s="15">
        <v>4.3999999999999997E-2</v>
      </c>
      <c r="I192" s="15">
        <v>1.31</v>
      </c>
      <c r="J192" s="15">
        <v>1.7490000000000001</v>
      </c>
      <c r="K192" s="15">
        <v>9.9989999999999996E-4</v>
      </c>
    </row>
    <row r="193" spans="1:11">
      <c r="A193" s="16">
        <v>2</v>
      </c>
      <c r="B193" s="24">
        <v>39337</v>
      </c>
      <c r="C193" s="16">
        <v>2007</v>
      </c>
      <c r="D193" s="11" t="s">
        <v>40</v>
      </c>
      <c r="E193" s="16">
        <v>9</v>
      </c>
      <c r="F193" s="15">
        <v>13.247999999999999</v>
      </c>
      <c r="G193" s="15">
        <v>9.9989999999999996E-4</v>
      </c>
      <c r="H193" s="15">
        <v>9.9989999999999996E-4</v>
      </c>
      <c r="I193" s="15">
        <v>1.29</v>
      </c>
      <c r="J193" s="15">
        <v>1.8280000000000001</v>
      </c>
      <c r="K193" s="15">
        <v>9.9989999999999996E-4</v>
      </c>
    </row>
    <row r="194" spans="1:11">
      <c r="A194" s="16">
        <v>16</v>
      </c>
      <c r="B194" s="24">
        <v>39336</v>
      </c>
      <c r="C194" s="16">
        <v>2007</v>
      </c>
      <c r="D194" s="11" t="s">
        <v>40</v>
      </c>
      <c r="E194" s="16">
        <v>9</v>
      </c>
      <c r="F194" s="15">
        <v>12.465999999999999</v>
      </c>
      <c r="G194" s="15">
        <v>0.112</v>
      </c>
      <c r="H194" s="15">
        <v>9.9989999999999996E-4</v>
      </c>
      <c r="I194" s="15">
        <v>1.464</v>
      </c>
      <c r="J194" s="15">
        <v>1.7949999999999999</v>
      </c>
      <c r="K194" s="15">
        <v>9.9989999999999996E-4</v>
      </c>
    </row>
    <row r="195" spans="1:11">
      <c r="A195" s="16">
        <v>2</v>
      </c>
      <c r="B195" s="24">
        <v>39373</v>
      </c>
      <c r="C195" s="16">
        <v>2007</v>
      </c>
      <c r="D195" s="11" t="s">
        <v>36</v>
      </c>
      <c r="E195" s="16">
        <v>10</v>
      </c>
      <c r="F195" s="15">
        <v>2.7330000000000001</v>
      </c>
      <c r="G195" s="15">
        <v>3.4000000000000002E-2</v>
      </c>
      <c r="H195" s="15">
        <v>9.9989999999999996E-4</v>
      </c>
      <c r="I195" s="15">
        <v>0.32400000000000001</v>
      </c>
      <c r="J195" s="15">
        <v>0.05</v>
      </c>
      <c r="K195" s="15">
        <v>9.9989999999999996E-4</v>
      </c>
    </row>
    <row r="196" spans="1:11">
      <c r="A196" s="16">
        <v>16</v>
      </c>
      <c r="B196" s="24">
        <v>39373</v>
      </c>
      <c r="C196" s="16">
        <v>2007</v>
      </c>
      <c r="D196" s="11" t="s">
        <v>36</v>
      </c>
      <c r="E196" s="16">
        <v>10</v>
      </c>
      <c r="F196" s="15">
        <v>4.891</v>
      </c>
      <c r="G196" s="15">
        <v>2.1999999999999999E-2</v>
      </c>
      <c r="H196" s="15">
        <v>3.1E-2</v>
      </c>
      <c r="I196" s="15">
        <v>0.97099999999999997</v>
      </c>
      <c r="J196" s="15">
        <v>0.44500000000000001</v>
      </c>
      <c r="K196" s="15">
        <v>9.9989999999999996E-4</v>
      </c>
    </row>
    <row r="197" spans="1:11">
      <c r="A197" s="16">
        <v>2</v>
      </c>
      <c r="B197" s="24">
        <v>39399</v>
      </c>
      <c r="C197" s="16">
        <v>2007</v>
      </c>
      <c r="D197" s="11" t="s">
        <v>37</v>
      </c>
      <c r="E197" s="16">
        <v>11</v>
      </c>
      <c r="F197" s="15">
        <v>0.96299999999999997</v>
      </c>
      <c r="G197" s="15">
        <v>9.9989999999999996E-4</v>
      </c>
      <c r="H197" s="15">
        <v>9.9989999999999996E-4</v>
      </c>
      <c r="I197" s="15">
        <v>0.123</v>
      </c>
      <c r="J197" s="15">
        <v>4.0000000000000001E-3</v>
      </c>
      <c r="K197" s="15">
        <v>9.9989999999999996E-4</v>
      </c>
    </row>
    <row r="198" spans="1:11">
      <c r="A198" s="16">
        <v>16</v>
      </c>
      <c r="B198" s="24">
        <v>39399</v>
      </c>
      <c r="C198" s="16">
        <v>2007</v>
      </c>
      <c r="D198" s="11" t="s">
        <v>37</v>
      </c>
      <c r="E198" s="16">
        <v>11</v>
      </c>
      <c r="F198" s="15">
        <v>3.145</v>
      </c>
      <c r="G198" s="15">
        <v>4.4999999999999998E-2</v>
      </c>
      <c r="H198" s="15">
        <v>5.0999999999999997E-2</v>
      </c>
      <c r="I198" s="15">
        <v>0.64200000000000002</v>
      </c>
      <c r="J198" s="15">
        <v>3.5000000000000003E-2</v>
      </c>
      <c r="K198" s="15">
        <v>9.9989999999999996E-4</v>
      </c>
    </row>
    <row r="199" spans="1:11">
      <c r="A199" s="16">
        <v>2</v>
      </c>
      <c r="B199" s="24">
        <v>39426</v>
      </c>
      <c r="C199" s="16">
        <v>2007</v>
      </c>
      <c r="D199" s="11" t="s">
        <v>38</v>
      </c>
      <c r="E199" s="16">
        <v>12</v>
      </c>
      <c r="F199" s="15">
        <v>1.2290000000000001</v>
      </c>
      <c r="G199" s="15">
        <v>9.9989999999999996E-4</v>
      </c>
      <c r="H199" s="15">
        <v>9.9989999999999996E-4</v>
      </c>
      <c r="I199" s="15">
        <v>0.36099999999999999</v>
      </c>
      <c r="J199" s="15">
        <v>5.0000000000000001E-3</v>
      </c>
      <c r="K199" s="15">
        <v>9.9989999999999996E-4</v>
      </c>
    </row>
    <row r="200" spans="1:11">
      <c r="A200" s="16">
        <v>16</v>
      </c>
      <c r="B200" s="24">
        <v>39427</v>
      </c>
      <c r="C200" s="16">
        <v>2007</v>
      </c>
      <c r="D200" s="11" t="s">
        <v>38</v>
      </c>
      <c r="E200" s="16">
        <v>12</v>
      </c>
      <c r="F200" s="15">
        <v>2.2930000000000001</v>
      </c>
      <c r="G200" s="15">
        <v>1.2E-2</v>
      </c>
      <c r="H200" s="15">
        <v>9.9989999999999996E-4</v>
      </c>
      <c r="I200" s="15">
        <v>0.68</v>
      </c>
      <c r="J200" s="15">
        <v>4.0000000000000001E-3</v>
      </c>
      <c r="K200" s="15">
        <v>9.9989999999999996E-4</v>
      </c>
    </row>
    <row r="201" spans="1:11">
      <c r="A201" s="16">
        <v>2</v>
      </c>
      <c r="B201" s="24">
        <v>39462</v>
      </c>
      <c r="C201" s="16">
        <v>2008</v>
      </c>
      <c r="D201" s="11" t="s">
        <v>39</v>
      </c>
      <c r="E201" s="16">
        <v>1</v>
      </c>
      <c r="F201" s="25">
        <v>3.5289999999999999</v>
      </c>
      <c r="G201" s="25">
        <v>6.3E-2</v>
      </c>
      <c r="H201" s="25">
        <v>9.9989999999999996E-4</v>
      </c>
      <c r="I201" s="25">
        <v>1.107</v>
      </c>
      <c r="J201" s="25">
        <v>8.9999999999999993E-3</v>
      </c>
      <c r="K201" s="25">
        <v>9.9989999999999996E-4</v>
      </c>
    </row>
    <row r="202" spans="1:11">
      <c r="A202" s="16">
        <v>16</v>
      </c>
      <c r="B202" s="24">
        <v>39462</v>
      </c>
      <c r="C202" s="16">
        <v>2008</v>
      </c>
      <c r="D202" s="11" t="s">
        <v>39</v>
      </c>
      <c r="E202" s="16">
        <v>1</v>
      </c>
      <c r="F202" s="25">
        <v>2.8180000000000001</v>
      </c>
      <c r="G202" s="25">
        <v>7.4999999999999997E-2</v>
      </c>
      <c r="H202" s="25">
        <v>9.9989999999999996E-4</v>
      </c>
      <c r="I202" s="25">
        <v>0.77900000000000003</v>
      </c>
      <c r="J202" s="25">
        <v>1.0999999999999999E-2</v>
      </c>
      <c r="K202" s="25">
        <v>9.9989999999999996E-4</v>
      </c>
    </row>
    <row r="203" spans="1:11">
      <c r="A203" s="16">
        <v>2</v>
      </c>
      <c r="B203" s="24">
        <v>39490</v>
      </c>
      <c r="C203" s="16">
        <v>2008</v>
      </c>
      <c r="D203" s="11" t="s">
        <v>28</v>
      </c>
      <c r="E203" s="16">
        <v>2</v>
      </c>
      <c r="F203" s="25">
        <v>6.0679999999999996</v>
      </c>
      <c r="G203" s="25">
        <v>0.157</v>
      </c>
      <c r="H203" s="25">
        <v>9.9989999999999996E-4</v>
      </c>
      <c r="I203" s="25">
        <v>1.8260000000000001</v>
      </c>
      <c r="J203" s="25">
        <v>2.4E-2</v>
      </c>
      <c r="K203" s="25">
        <v>9.9989999999999996E-4</v>
      </c>
    </row>
    <row r="204" spans="1:11">
      <c r="A204" s="16">
        <v>16</v>
      </c>
      <c r="B204" s="24">
        <v>39490</v>
      </c>
      <c r="C204" s="16">
        <v>2008</v>
      </c>
      <c r="D204" s="11" t="s">
        <v>28</v>
      </c>
      <c r="E204" s="16">
        <v>2</v>
      </c>
      <c r="F204" s="25">
        <v>5.6310000000000002</v>
      </c>
      <c r="G204" s="25">
        <v>0.2</v>
      </c>
      <c r="H204" s="25">
        <v>9.9989999999999996E-4</v>
      </c>
      <c r="I204" s="25">
        <v>1.0289999999999999</v>
      </c>
      <c r="J204" s="25">
        <v>0.129</v>
      </c>
      <c r="K204" s="25">
        <v>9.9989999999999996E-4</v>
      </c>
    </row>
    <row r="205" spans="1:11">
      <c r="A205" s="16">
        <v>2</v>
      </c>
      <c r="B205" s="24">
        <v>39520</v>
      </c>
      <c r="C205" s="16">
        <v>2008</v>
      </c>
      <c r="D205" s="11" t="s">
        <v>29</v>
      </c>
      <c r="E205" s="16">
        <v>3</v>
      </c>
      <c r="F205" s="26">
        <v>1.8859999999999999</v>
      </c>
      <c r="G205" s="25">
        <v>4.1000000000000002E-2</v>
      </c>
      <c r="H205" s="25">
        <v>2.5999999999999999E-2</v>
      </c>
      <c r="I205" s="25">
        <v>0.61099999999999999</v>
      </c>
      <c r="J205" s="25">
        <v>2.4E-2</v>
      </c>
      <c r="K205" s="25">
        <v>9.9989999999999996E-4</v>
      </c>
    </row>
    <row r="206" spans="1:11">
      <c r="A206" s="16">
        <v>16</v>
      </c>
      <c r="B206" s="24">
        <v>39520</v>
      </c>
      <c r="C206" s="16">
        <v>2008</v>
      </c>
      <c r="D206" s="11" t="s">
        <v>29</v>
      </c>
      <c r="E206" s="16">
        <v>3</v>
      </c>
      <c r="F206" s="26">
        <v>1.9970000000000001</v>
      </c>
      <c r="G206" s="25">
        <v>1.4E-2</v>
      </c>
      <c r="H206" s="25">
        <v>4.2000000000000003E-2</v>
      </c>
      <c r="I206" s="25">
        <v>0.73499999999999999</v>
      </c>
      <c r="J206" s="25">
        <v>5.0999999999999997E-2</v>
      </c>
      <c r="K206" s="25">
        <v>9.9989999999999996E-4</v>
      </c>
    </row>
    <row r="207" spans="1:11">
      <c r="A207" s="16">
        <v>2</v>
      </c>
      <c r="B207" s="24">
        <v>39553</v>
      </c>
      <c r="C207" s="16">
        <v>2008</v>
      </c>
      <c r="D207" s="11" t="s">
        <v>30</v>
      </c>
      <c r="E207" s="16">
        <v>4</v>
      </c>
      <c r="F207" s="26">
        <v>0.93100000000000005</v>
      </c>
      <c r="G207" s="25">
        <v>9.9989999999999996E-4</v>
      </c>
      <c r="H207" s="25">
        <v>9.9989999999999996E-4</v>
      </c>
      <c r="I207" s="25">
        <v>0.30299999999999999</v>
      </c>
      <c r="J207" s="25">
        <v>8.9999999999999993E-3</v>
      </c>
      <c r="K207" s="25">
        <v>9.9989999999999996E-4</v>
      </c>
    </row>
    <row r="208" spans="1:11">
      <c r="A208" s="16">
        <v>16</v>
      </c>
      <c r="B208" s="24">
        <v>39553</v>
      </c>
      <c r="C208" s="16">
        <v>2008</v>
      </c>
      <c r="D208" s="11" t="s">
        <v>30</v>
      </c>
      <c r="E208" s="16">
        <v>4</v>
      </c>
      <c r="F208" s="26">
        <v>1.046</v>
      </c>
      <c r="G208" s="25">
        <v>1.2999999999999999E-2</v>
      </c>
      <c r="H208" s="25">
        <v>9.9989999999999996E-4</v>
      </c>
      <c r="I208" s="25">
        <v>0.16800000000000001</v>
      </c>
      <c r="J208" s="25">
        <v>1.2E-2</v>
      </c>
      <c r="K208" s="25">
        <v>9.9989999999999996E-4</v>
      </c>
    </row>
    <row r="209" spans="1:11">
      <c r="A209" s="16">
        <v>2</v>
      </c>
      <c r="B209" s="24">
        <v>39582</v>
      </c>
      <c r="C209" s="16">
        <v>2008</v>
      </c>
      <c r="D209" s="11" t="s">
        <v>31</v>
      </c>
      <c r="E209" s="16">
        <v>5</v>
      </c>
      <c r="F209" s="26">
        <v>3.9430000000000001</v>
      </c>
      <c r="G209" s="25">
        <v>9.2999999999999999E-2</v>
      </c>
      <c r="H209" s="25">
        <v>0.253</v>
      </c>
      <c r="I209" s="25">
        <v>1.577</v>
      </c>
      <c r="J209" s="25">
        <v>6.7000000000000004E-2</v>
      </c>
      <c r="K209" s="25">
        <v>9.9989999999999996E-4</v>
      </c>
    </row>
    <row r="210" spans="1:11">
      <c r="A210" s="16">
        <v>16</v>
      </c>
      <c r="B210" s="24">
        <v>39583</v>
      </c>
      <c r="C210" s="16">
        <v>2008</v>
      </c>
      <c r="D210" s="11" t="s">
        <v>31</v>
      </c>
      <c r="E210" s="16">
        <v>5</v>
      </c>
      <c r="F210" s="26">
        <v>4.1219999999999999</v>
      </c>
      <c r="G210" s="25">
        <v>4.2999999999999997E-2</v>
      </c>
      <c r="H210" s="25">
        <v>0.188</v>
      </c>
      <c r="I210" s="25">
        <v>1.4490000000000001</v>
      </c>
      <c r="J210" s="25">
        <v>7.0999999999999994E-2</v>
      </c>
      <c r="K210" s="25">
        <v>9.9989999999999996E-4</v>
      </c>
    </row>
    <row r="211" spans="1:11">
      <c r="A211" s="16">
        <v>2</v>
      </c>
      <c r="B211" s="24">
        <v>39616</v>
      </c>
      <c r="C211" s="16">
        <v>2008</v>
      </c>
      <c r="D211" s="11" t="s">
        <v>32</v>
      </c>
      <c r="E211" s="16">
        <v>6</v>
      </c>
      <c r="F211" s="26">
        <v>10.725</v>
      </c>
      <c r="G211" s="25">
        <v>0.158</v>
      </c>
      <c r="H211" s="25">
        <v>9.9989999999999996E-4</v>
      </c>
      <c r="I211" s="25">
        <v>1.2070000000000001</v>
      </c>
      <c r="J211" s="25">
        <v>1.054</v>
      </c>
      <c r="K211" s="25">
        <v>9.9989999999999996E-4</v>
      </c>
    </row>
    <row r="212" spans="1:11">
      <c r="A212" s="16">
        <v>16</v>
      </c>
      <c r="B212" s="24">
        <v>39616</v>
      </c>
      <c r="C212" s="16">
        <v>2008</v>
      </c>
      <c r="D212" s="11" t="s">
        <v>32</v>
      </c>
      <c r="E212" s="16">
        <v>6</v>
      </c>
      <c r="F212" s="26">
        <v>11.07</v>
      </c>
      <c r="G212" s="25">
        <v>8.5000000000000006E-2</v>
      </c>
      <c r="H212" s="25">
        <v>9.9989999999999996E-4</v>
      </c>
      <c r="I212" s="25">
        <v>2.073</v>
      </c>
      <c r="J212" s="25">
        <v>0.76</v>
      </c>
      <c r="K212" s="25">
        <v>9.9989999999999996E-4</v>
      </c>
    </row>
    <row r="213" spans="1:11">
      <c r="A213" s="16">
        <v>2</v>
      </c>
      <c r="B213" s="24">
        <v>39644</v>
      </c>
      <c r="C213" s="16">
        <v>2008</v>
      </c>
      <c r="D213" s="11" t="s">
        <v>33</v>
      </c>
      <c r="E213" s="16">
        <v>7</v>
      </c>
      <c r="F213" s="26">
        <v>12.685</v>
      </c>
      <c r="G213" s="25">
        <v>0.435</v>
      </c>
      <c r="H213" s="25">
        <v>9.9989999999999996E-4</v>
      </c>
      <c r="I213" s="25">
        <v>2.702</v>
      </c>
      <c r="J213" s="25">
        <v>0.9</v>
      </c>
      <c r="K213" s="25">
        <v>9.9989999999999996E-4</v>
      </c>
    </row>
    <row r="214" spans="1:11">
      <c r="A214" s="16">
        <v>16</v>
      </c>
      <c r="B214" s="24">
        <v>39644</v>
      </c>
      <c r="C214" s="16">
        <v>2008</v>
      </c>
      <c r="D214" s="11" t="s">
        <v>33</v>
      </c>
      <c r="E214" s="16">
        <v>7</v>
      </c>
      <c r="F214" s="26">
        <v>14.726000000000001</v>
      </c>
      <c r="G214" s="25">
        <v>0.33200000000000002</v>
      </c>
      <c r="H214" s="25">
        <v>9.9989999999999996E-4</v>
      </c>
      <c r="I214" s="25">
        <v>2.9039999999999999</v>
      </c>
      <c r="J214" s="25">
        <v>1.3919999999999999</v>
      </c>
      <c r="K214" s="25">
        <v>9.9989999999999996E-4</v>
      </c>
    </row>
    <row r="215" spans="1:11">
      <c r="A215" s="16">
        <v>2</v>
      </c>
      <c r="B215" s="24">
        <v>39673</v>
      </c>
      <c r="C215" s="16">
        <v>2008</v>
      </c>
      <c r="D215" s="11" t="s">
        <v>34</v>
      </c>
      <c r="E215" s="16">
        <v>8</v>
      </c>
      <c r="F215" s="26">
        <v>7.4409999999999998</v>
      </c>
      <c r="G215" s="25">
        <v>0.68899999999999995</v>
      </c>
      <c r="H215" s="25">
        <v>9.9989999999999996E-4</v>
      </c>
      <c r="I215" s="25">
        <v>1.1910000000000001</v>
      </c>
      <c r="J215" s="25">
        <v>0.49399999999999999</v>
      </c>
      <c r="K215" s="25">
        <v>9.9989999999999996E-4</v>
      </c>
    </row>
    <row r="216" spans="1:11">
      <c r="A216" s="16">
        <v>16</v>
      </c>
      <c r="B216" s="24">
        <v>39673</v>
      </c>
      <c r="C216" s="16">
        <v>2008</v>
      </c>
      <c r="D216" s="11" t="s">
        <v>34</v>
      </c>
      <c r="E216" s="16">
        <v>8</v>
      </c>
      <c r="F216" s="26">
        <v>7.3840000000000003</v>
      </c>
      <c r="G216" s="25">
        <v>0.215</v>
      </c>
      <c r="H216" s="25">
        <v>9.9989999999999996E-4</v>
      </c>
      <c r="I216" s="25">
        <v>0.96199999999999997</v>
      </c>
      <c r="J216" s="25">
        <v>0.91</v>
      </c>
      <c r="K216" s="25">
        <v>9.9989999999999996E-4</v>
      </c>
    </row>
    <row r="217" spans="1:11">
      <c r="A217" s="16">
        <v>2</v>
      </c>
      <c r="B217" s="24">
        <v>39707</v>
      </c>
      <c r="C217" s="16">
        <v>2008</v>
      </c>
      <c r="D217" s="11" t="s">
        <v>40</v>
      </c>
      <c r="E217" s="16">
        <v>9</v>
      </c>
      <c r="F217" s="25">
        <v>22.388000000000002</v>
      </c>
      <c r="G217" s="25">
        <v>8.7999999999999995E-2</v>
      </c>
      <c r="H217" s="25">
        <v>1.4370000000000001</v>
      </c>
      <c r="I217" s="25">
        <v>9.2729999999999997</v>
      </c>
      <c r="J217" s="25">
        <v>0.81499999999999995</v>
      </c>
      <c r="K217" s="25">
        <v>9.9989999999999996E-4</v>
      </c>
    </row>
    <row r="218" spans="1:11">
      <c r="A218" s="16">
        <v>16</v>
      </c>
      <c r="B218" s="24">
        <v>39707</v>
      </c>
      <c r="C218" s="16">
        <v>2008</v>
      </c>
      <c r="D218" s="11" t="s">
        <v>40</v>
      </c>
      <c r="E218" s="16">
        <v>9</v>
      </c>
      <c r="F218" s="25">
        <v>16.899999999999999</v>
      </c>
      <c r="G218" s="25">
        <v>0.09</v>
      </c>
      <c r="H218" s="25">
        <v>1.56</v>
      </c>
      <c r="I218" s="25">
        <v>6.1479999999999997</v>
      </c>
      <c r="J218" s="25">
        <v>0.93600000000000005</v>
      </c>
      <c r="K218" s="25">
        <v>9.9989999999999996E-4</v>
      </c>
    </row>
    <row r="219" spans="1:11">
      <c r="A219" s="16">
        <v>2</v>
      </c>
      <c r="B219" s="24">
        <v>39737</v>
      </c>
      <c r="C219" s="16">
        <v>2008</v>
      </c>
      <c r="D219" s="11" t="s">
        <v>36</v>
      </c>
      <c r="E219" s="16">
        <v>10</v>
      </c>
      <c r="F219" s="25">
        <v>1.742</v>
      </c>
      <c r="G219" s="25">
        <v>1.4999999999999999E-2</v>
      </c>
      <c r="H219" s="25">
        <v>9.9989999999999996E-4</v>
      </c>
      <c r="I219" s="25">
        <v>0.32500000000000001</v>
      </c>
      <c r="J219" s="25">
        <v>2.5000000000000001E-2</v>
      </c>
      <c r="K219" s="25">
        <v>9.9989999999999996E-4</v>
      </c>
    </row>
    <row r="220" spans="1:11">
      <c r="A220" s="16">
        <v>16</v>
      </c>
      <c r="B220" s="24">
        <v>39737</v>
      </c>
      <c r="C220" s="16">
        <v>2008</v>
      </c>
      <c r="D220" s="11" t="s">
        <v>36</v>
      </c>
      <c r="E220" s="16">
        <v>10</v>
      </c>
      <c r="F220" s="25">
        <v>5.1740000000000004</v>
      </c>
      <c r="G220" s="25">
        <v>0.04</v>
      </c>
      <c r="H220" s="25">
        <v>0.218</v>
      </c>
      <c r="I220" s="25">
        <v>2.028</v>
      </c>
      <c r="J220" s="25">
        <v>0.34799999999999998</v>
      </c>
      <c r="K220" s="25">
        <v>9.9989999999999996E-4</v>
      </c>
    </row>
    <row r="221" spans="1:11">
      <c r="A221" s="16">
        <v>2</v>
      </c>
      <c r="B221" s="24">
        <v>39763</v>
      </c>
      <c r="C221" s="16">
        <v>2008</v>
      </c>
      <c r="D221" s="11" t="s">
        <v>37</v>
      </c>
      <c r="E221" s="16">
        <v>11</v>
      </c>
      <c r="F221" s="25">
        <v>2.1349999999999998</v>
      </c>
      <c r="G221" s="25">
        <v>0.03</v>
      </c>
      <c r="H221" s="25">
        <v>4.4999999999999998E-2</v>
      </c>
      <c r="I221" s="25">
        <v>0.56699999999999995</v>
      </c>
      <c r="J221" s="25">
        <v>2.5999999999999999E-2</v>
      </c>
      <c r="K221" s="25">
        <v>9.9989999999999996E-4</v>
      </c>
    </row>
    <row r="222" spans="1:11">
      <c r="A222" s="16">
        <v>16</v>
      </c>
      <c r="B222" s="24">
        <v>39763</v>
      </c>
      <c r="C222" s="16">
        <v>2008</v>
      </c>
      <c r="D222" s="11" t="s">
        <v>37</v>
      </c>
      <c r="E222" s="16">
        <v>11</v>
      </c>
      <c r="F222" s="25">
        <v>3.6680000000000001</v>
      </c>
      <c r="G222" s="25">
        <v>3.4000000000000002E-2</v>
      </c>
      <c r="H222" s="25">
        <v>0.104</v>
      </c>
      <c r="I222" s="25">
        <v>1.1859999999999999</v>
      </c>
      <c r="J222" s="25">
        <v>5.3999999999999999E-2</v>
      </c>
      <c r="K222" s="25">
        <v>9.9989999999999996E-4</v>
      </c>
    </row>
    <row r="223" spans="1:11">
      <c r="A223" s="16">
        <v>2</v>
      </c>
      <c r="B223" s="24">
        <v>39799</v>
      </c>
      <c r="C223" s="16">
        <v>2008</v>
      </c>
      <c r="D223" s="11" t="s">
        <v>38</v>
      </c>
      <c r="E223" s="16">
        <v>12</v>
      </c>
      <c r="F223" s="25">
        <v>6.0270000000000001</v>
      </c>
      <c r="G223" s="25">
        <v>8.8999999999999996E-2</v>
      </c>
      <c r="H223" s="25">
        <v>4.4999999999999998E-2</v>
      </c>
      <c r="I223" s="25">
        <v>2.09</v>
      </c>
      <c r="J223" s="25">
        <v>2.4E-2</v>
      </c>
      <c r="K223" s="25">
        <v>9.9989999999999996E-4</v>
      </c>
    </row>
    <row r="224" spans="1:11">
      <c r="A224" s="16">
        <v>16</v>
      </c>
      <c r="B224" s="24">
        <v>39800</v>
      </c>
      <c r="C224" s="16">
        <v>2008</v>
      </c>
      <c r="D224" s="11" t="s">
        <v>38</v>
      </c>
      <c r="E224" s="16">
        <v>12</v>
      </c>
      <c r="F224" s="25">
        <v>4.6399999999999997</v>
      </c>
      <c r="G224" s="25">
        <v>0.20599999999999999</v>
      </c>
      <c r="H224" s="25">
        <v>9.9989999999999996E-4</v>
      </c>
      <c r="I224" s="25">
        <v>1.4750000000000001</v>
      </c>
      <c r="J224" s="25">
        <v>6.9000000000000006E-2</v>
      </c>
      <c r="K224" s="25">
        <v>9.9989999999999996E-4</v>
      </c>
    </row>
    <row r="225" spans="1:11">
      <c r="A225" s="16">
        <v>2</v>
      </c>
      <c r="B225" s="24">
        <v>39825</v>
      </c>
      <c r="C225" s="16">
        <v>2009</v>
      </c>
      <c r="D225" s="11" t="s">
        <v>39</v>
      </c>
      <c r="E225" s="12">
        <v>1</v>
      </c>
      <c r="F225" s="25">
        <v>7.7110000000000003</v>
      </c>
      <c r="G225" s="25">
        <v>7.8E-2</v>
      </c>
      <c r="H225" s="25">
        <v>9.9989999999999996E-4</v>
      </c>
      <c r="I225" s="25">
        <v>3.0720000000000001</v>
      </c>
      <c r="J225" s="25">
        <v>1.6E-2</v>
      </c>
      <c r="K225" s="25">
        <v>9.9989999999999996E-4</v>
      </c>
    </row>
    <row r="226" spans="1:11">
      <c r="A226" s="16">
        <v>16</v>
      </c>
      <c r="B226" s="24">
        <v>39825</v>
      </c>
      <c r="C226" s="16">
        <v>2009</v>
      </c>
      <c r="D226" s="11" t="s">
        <v>39</v>
      </c>
      <c r="E226" s="12">
        <v>1</v>
      </c>
      <c r="F226" s="25">
        <v>6.8780000000000001</v>
      </c>
      <c r="G226" s="25">
        <v>0.11700000000000001</v>
      </c>
      <c r="H226" s="25">
        <v>9.9989999999999996E-4</v>
      </c>
      <c r="I226" s="25">
        <v>2.302</v>
      </c>
      <c r="J226" s="25">
        <v>2.7E-2</v>
      </c>
      <c r="K226" s="25">
        <v>9.9989999999999996E-4</v>
      </c>
    </row>
    <row r="227" spans="1:11">
      <c r="A227" s="12">
        <v>2</v>
      </c>
      <c r="B227" s="24">
        <v>39855</v>
      </c>
      <c r="C227" s="16">
        <v>2009</v>
      </c>
      <c r="D227" s="11" t="s">
        <v>28</v>
      </c>
      <c r="E227" s="12">
        <v>2</v>
      </c>
      <c r="F227" s="25">
        <v>5.3019999999999996</v>
      </c>
      <c r="G227" s="27">
        <v>3.5999999999999997E-2</v>
      </c>
      <c r="H227" s="27">
        <v>1E-3</v>
      </c>
      <c r="I227" s="27">
        <v>2.1419999999999999</v>
      </c>
      <c r="J227" s="27">
        <v>3.5999999999999997E-2</v>
      </c>
      <c r="K227" s="27">
        <v>9.9989999999999996E-4</v>
      </c>
    </row>
    <row r="228" spans="1:11">
      <c r="A228" s="12">
        <v>16</v>
      </c>
      <c r="B228" s="24">
        <v>39854</v>
      </c>
      <c r="C228" s="16">
        <v>2009</v>
      </c>
      <c r="D228" s="11" t="s">
        <v>28</v>
      </c>
      <c r="E228" s="12">
        <v>2</v>
      </c>
      <c r="F228" s="25">
        <v>4.5049999999999999</v>
      </c>
      <c r="G228" s="25">
        <v>0.04</v>
      </c>
      <c r="H228" s="25">
        <v>1E-3</v>
      </c>
      <c r="I228" s="25">
        <v>1.804</v>
      </c>
      <c r="J228" s="25">
        <v>2.7E-2</v>
      </c>
      <c r="K228" s="25">
        <v>9.9989999999999996E-4</v>
      </c>
    </row>
    <row r="229" spans="1:11">
      <c r="A229" s="12">
        <v>2</v>
      </c>
      <c r="B229" s="24">
        <v>39890</v>
      </c>
      <c r="C229" s="16">
        <v>2009</v>
      </c>
      <c r="D229" s="11" t="s">
        <v>29</v>
      </c>
      <c r="E229" s="12">
        <v>3</v>
      </c>
      <c r="F229" s="25">
        <v>4.0570000000000004</v>
      </c>
      <c r="G229" s="27">
        <v>1.7999999999999999E-2</v>
      </c>
      <c r="H229" s="27">
        <v>9.9989999999999996E-4</v>
      </c>
      <c r="I229" s="27">
        <v>1.752</v>
      </c>
      <c r="J229" s="27">
        <v>1.4999999999999999E-2</v>
      </c>
      <c r="K229" s="27">
        <v>9.9989999999999996E-4</v>
      </c>
    </row>
    <row r="230" spans="1:11">
      <c r="A230" s="12">
        <v>16</v>
      </c>
      <c r="B230" s="24">
        <v>39890</v>
      </c>
      <c r="C230" s="16">
        <v>2009</v>
      </c>
      <c r="D230" s="11" t="s">
        <v>29</v>
      </c>
      <c r="E230" s="12">
        <v>3</v>
      </c>
      <c r="F230" s="25">
        <v>3.7959999999999998</v>
      </c>
      <c r="G230" s="27">
        <v>1.2999999999999999E-2</v>
      </c>
      <c r="H230" s="27">
        <v>9.9989999999999996E-4</v>
      </c>
      <c r="I230" s="27">
        <v>1.6439999999999999</v>
      </c>
      <c r="J230" s="27">
        <v>3.5999999999999997E-2</v>
      </c>
      <c r="K230" s="27">
        <v>9.9989999999999996E-4</v>
      </c>
    </row>
    <row r="231" spans="1:11">
      <c r="A231" s="12">
        <v>2</v>
      </c>
      <c r="B231" s="24">
        <v>39920</v>
      </c>
      <c r="C231" s="16">
        <v>2009</v>
      </c>
      <c r="D231" s="11" t="s">
        <v>30</v>
      </c>
      <c r="E231" s="12">
        <v>4</v>
      </c>
      <c r="F231" s="25">
        <v>2.726</v>
      </c>
      <c r="G231" s="27">
        <v>2.3E-2</v>
      </c>
      <c r="H231" s="27">
        <v>1E-3</v>
      </c>
      <c r="I231" s="27">
        <v>1.1160000000000001</v>
      </c>
      <c r="J231" s="27">
        <v>1.4E-2</v>
      </c>
      <c r="K231" s="27">
        <v>9.9989999999999996E-4</v>
      </c>
    </row>
    <row r="232" spans="1:11">
      <c r="A232" s="12">
        <v>16</v>
      </c>
      <c r="B232" s="24">
        <v>39920</v>
      </c>
      <c r="C232" s="16">
        <v>2009</v>
      </c>
      <c r="D232" s="11" t="s">
        <v>30</v>
      </c>
      <c r="E232" s="12">
        <v>4</v>
      </c>
      <c r="F232" s="25">
        <v>2.3159999999999998</v>
      </c>
      <c r="G232" s="27">
        <v>8.9999999999999993E-3</v>
      </c>
      <c r="H232" s="27">
        <v>1E-3</v>
      </c>
      <c r="I232" s="27">
        <v>0.98</v>
      </c>
      <c r="J232" s="27">
        <v>1.4999999999999999E-2</v>
      </c>
      <c r="K232" s="27">
        <v>9.9989999999999996E-4</v>
      </c>
    </row>
    <row r="233" spans="1:11">
      <c r="A233" s="12">
        <v>2</v>
      </c>
      <c r="B233" s="24">
        <v>39945</v>
      </c>
      <c r="C233" s="16">
        <v>2009</v>
      </c>
      <c r="D233" s="11" t="s">
        <v>31</v>
      </c>
      <c r="E233" s="12">
        <v>5</v>
      </c>
      <c r="F233" s="25">
        <v>3.7349999999999999</v>
      </c>
      <c r="G233" s="27">
        <v>3.2000000000000001E-2</v>
      </c>
      <c r="H233" s="27">
        <v>9.2999999999999999E-2</v>
      </c>
      <c r="I233" s="27">
        <v>0.85899999999999999</v>
      </c>
      <c r="J233" s="27">
        <v>1.4E-2</v>
      </c>
      <c r="K233" s="27">
        <v>9.9989999999999996E-4</v>
      </c>
    </row>
    <row r="234" spans="1:11">
      <c r="A234" s="12">
        <v>16</v>
      </c>
      <c r="B234" s="24">
        <v>39945</v>
      </c>
      <c r="C234" s="16">
        <v>2009</v>
      </c>
      <c r="D234" s="11" t="s">
        <v>31</v>
      </c>
      <c r="E234" s="12">
        <v>5</v>
      </c>
      <c r="F234" s="25">
        <v>8.7650000000000006</v>
      </c>
      <c r="G234" s="27">
        <v>0.112</v>
      </c>
      <c r="H234" s="27">
        <v>1.347</v>
      </c>
      <c r="I234" s="27">
        <v>3.9329999999999998</v>
      </c>
      <c r="J234" s="27">
        <v>6.9000000000000006E-2</v>
      </c>
      <c r="K234" s="27">
        <v>9.9989999999999996E-4</v>
      </c>
    </row>
    <row r="235" spans="1:11">
      <c r="A235" s="16">
        <v>2</v>
      </c>
      <c r="B235" s="24">
        <v>39980</v>
      </c>
      <c r="C235" s="16">
        <v>2009</v>
      </c>
      <c r="D235" s="11" t="s">
        <v>32</v>
      </c>
      <c r="E235" s="12">
        <v>6</v>
      </c>
      <c r="F235" s="25">
        <v>7.8079999999999998</v>
      </c>
      <c r="G235" s="27">
        <v>5.7000000000000002E-2</v>
      </c>
      <c r="H235" s="27">
        <v>0.47099999999999997</v>
      </c>
      <c r="I235" s="27">
        <v>2.1469999999999998</v>
      </c>
      <c r="J235" s="27">
        <v>0.61099999999999999</v>
      </c>
      <c r="K235" s="27">
        <v>9.9989999999999996E-4</v>
      </c>
    </row>
    <row r="236" spans="1:11">
      <c r="A236" s="16">
        <v>16</v>
      </c>
      <c r="B236" s="24">
        <v>39980</v>
      </c>
      <c r="C236" s="16">
        <v>2009</v>
      </c>
      <c r="D236" s="11" t="s">
        <v>32</v>
      </c>
      <c r="E236" s="12">
        <v>6</v>
      </c>
      <c r="F236" s="25">
        <v>14.867000000000001</v>
      </c>
      <c r="G236" s="27">
        <v>0.13300000000000001</v>
      </c>
      <c r="H236" s="27">
        <v>1.1000000000000001</v>
      </c>
      <c r="I236" s="27">
        <v>4.673</v>
      </c>
      <c r="J236" s="27">
        <v>0.78200000000000003</v>
      </c>
      <c r="K236" s="27">
        <v>1E-3</v>
      </c>
    </row>
    <row r="237" spans="1:11">
      <c r="A237" s="16">
        <v>2</v>
      </c>
      <c r="B237" s="24">
        <v>40009</v>
      </c>
      <c r="C237" s="16">
        <v>2009</v>
      </c>
      <c r="D237" s="11" t="s">
        <v>33</v>
      </c>
      <c r="E237" s="12">
        <v>7</v>
      </c>
      <c r="F237" s="25">
        <v>12.242000000000001</v>
      </c>
      <c r="G237" s="27">
        <v>0.11799999999999999</v>
      </c>
      <c r="H237" s="27">
        <v>0.03</v>
      </c>
      <c r="I237" s="27">
        <v>1.296</v>
      </c>
      <c r="J237" s="27">
        <v>2.2469999999999999</v>
      </c>
      <c r="K237" s="27">
        <v>1E-3</v>
      </c>
    </row>
    <row r="238" spans="1:11">
      <c r="A238" s="16">
        <v>16</v>
      </c>
      <c r="B238" s="24">
        <v>40009</v>
      </c>
      <c r="C238" s="16">
        <v>2009</v>
      </c>
      <c r="D238" s="11" t="s">
        <v>33</v>
      </c>
      <c r="E238" s="12">
        <v>7</v>
      </c>
      <c r="F238" s="25">
        <v>8.31</v>
      </c>
      <c r="G238" s="27">
        <v>0.1</v>
      </c>
      <c r="H238" s="27">
        <v>2.7E-2</v>
      </c>
      <c r="I238" s="27">
        <v>0.96699999999999997</v>
      </c>
      <c r="J238" s="27">
        <v>2.097</v>
      </c>
      <c r="K238" s="27">
        <v>1E-3</v>
      </c>
    </row>
    <row r="239" spans="1:11">
      <c r="A239" s="16">
        <v>2</v>
      </c>
      <c r="B239" s="24">
        <v>40043</v>
      </c>
      <c r="C239" s="16">
        <v>2009</v>
      </c>
      <c r="D239" s="11" t="s">
        <v>34</v>
      </c>
      <c r="E239" s="12">
        <v>8</v>
      </c>
      <c r="F239" s="25">
        <v>15.622999999999999</v>
      </c>
      <c r="G239" s="27">
        <v>0.28299999999999997</v>
      </c>
      <c r="H239" s="27">
        <v>9.9989999999999996E-4</v>
      </c>
      <c r="I239" s="27">
        <v>2.4830000000000001</v>
      </c>
      <c r="J239" s="27">
        <v>1.58</v>
      </c>
      <c r="K239" s="27">
        <v>1E-3</v>
      </c>
    </row>
    <row r="240" spans="1:11">
      <c r="A240" s="16">
        <v>16</v>
      </c>
      <c r="B240" s="24">
        <v>40042</v>
      </c>
      <c r="C240" s="16">
        <v>2009</v>
      </c>
      <c r="D240" s="11" t="s">
        <v>34</v>
      </c>
      <c r="E240" s="12">
        <v>8</v>
      </c>
      <c r="F240" s="25">
        <v>17.271000000000001</v>
      </c>
      <c r="G240" s="27">
        <v>9.5000000000000001E-2</v>
      </c>
      <c r="H240" s="27">
        <v>1E-3</v>
      </c>
      <c r="I240" s="27">
        <v>3</v>
      </c>
      <c r="J240" s="27">
        <v>1.5209999999999999</v>
      </c>
      <c r="K240" s="27">
        <v>1E-3</v>
      </c>
    </row>
    <row r="241" spans="1:11">
      <c r="A241" s="16">
        <v>2</v>
      </c>
      <c r="B241" s="24">
        <v>40070</v>
      </c>
      <c r="C241" s="16">
        <v>2009</v>
      </c>
      <c r="D241" s="11" t="s">
        <v>40</v>
      </c>
      <c r="E241" s="12">
        <v>9</v>
      </c>
      <c r="F241" s="25">
        <v>4.9349999999999996</v>
      </c>
      <c r="G241" s="27">
        <v>0.32200000000000001</v>
      </c>
      <c r="H241" s="27">
        <v>9.9989999999999996E-4</v>
      </c>
      <c r="I241" s="27">
        <v>0.98599999999999999</v>
      </c>
      <c r="J241" s="27">
        <v>0.10100000000000001</v>
      </c>
      <c r="K241" s="27">
        <v>9.9989999999999996E-4</v>
      </c>
    </row>
    <row r="242" spans="1:11">
      <c r="A242" s="16">
        <v>16</v>
      </c>
      <c r="B242" s="24">
        <v>40070</v>
      </c>
      <c r="C242" s="16">
        <v>2009</v>
      </c>
      <c r="D242" s="11" t="s">
        <v>40</v>
      </c>
      <c r="E242" s="12">
        <v>9</v>
      </c>
      <c r="F242" s="25">
        <v>22.917000000000002</v>
      </c>
      <c r="G242" s="27">
        <v>0.19500000000000001</v>
      </c>
      <c r="H242" s="27">
        <v>1E-3</v>
      </c>
      <c r="I242" s="27">
        <v>6.6849999999999996</v>
      </c>
      <c r="J242" s="27">
        <v>1.361</v>
      </c>
      <c r="K242" s="27">
        <v>9.9989999999999996E-4</v>
      </c>
    </row>
    <row r="243" spans="1:11">
      <c r="A243" s="16">
        <v>2</v>
      </c>
      <c r="B243" s="24">
        <v>40099</v>
      </c>
      <c r="C243" s="16">
        <v>2009</v>
      </c>
      <c r="D243" s="11" t="s">
        <v>36</v>
      </c>
      <c r="E243" s="12">
        <v>10</v>
      </c>
      <c r="F243" s="25">
        <v>2.278</v>
      </c>
      <c r="G243" s="27">
        <v>0.03</v>
      </c>
      <c r="H243" s="27">
        <v>1.2999999999999999E-2</v>
      </c>
      <c r="I243" s="27">
        <v>0.31900000000000001</v>
      </c>
      <c r="J243" s="27">
        <v>9.1999999999999998E-2</v>
      </c>
      <c r="K243" s="27">
        <v>9.9989999999999996E-4</v>
      </c>
    </row>
    <row r="244" spans="1:11">
      <c r="A244" s="16">
        <v>16</v>
      </c>
      <c r="B244" s="24">
        <v>40099</v>
      </c>
      <c r="C244" s="16">
        <v>2009</v>
      </c>
      <c r="D244" s="11" t="s">
        <v>36</v>
      </c>
      <c r="E244" s="12">
        <v>10</v>
      </c>
      <c r="F244" s="25">
        <v>5.1630000000000003</v>
      </c>
      <c r="G244" s="27">
        <v>4.1000000000000002E-2</v>
      </c>
      <c r="H244" s="27">
        <v>3.3000000000000002E-2</v>
      </c>
      <c r="I244" s="27">
        <v>0.752</v>
      </c>
      <c r="J244" s="27">
        <v>0.46100000000000002</v>
      </c>
      <c r="K244" s="27">
        <v>9.9989999999999996E-4</v>
      </c>
    </row>
    <row r="245" spans="1:11">
      <c r="A245" s="16">
        <v>2</v>
      </c>
      <c r="B245" s="24">
        <v>40134</v>
      </c>
      <c r="C245" s="16">
        <v>2009</v>
      </c>
      <c r="D245" s="11" t="s">
        <v>37</v>
      </c>
      <c r="E245" s="12">
        <v>11</v>
      </c>
      <c r="F245" s="25">
        <v>2.2709999999999999</v>
      </c>
      <c r="G245" s="27">
        <v>0.22800000000000001</v>
      </c>
      <c r="H245" s="27">
        <v>9.9989999999999996E-4</v>
      </c>
      <c r="I245" s="27">
        <v>0.4</v>
      </c>
      <c r="J245" s="27">
        <v>2.1000000000000001E-2</v>
      </c>
      <c r="K245" s="27">
        <v>9.9989999999999996E-4</v>
      </c>
    </row>
    <row r="246" spans="1:11">
      <c r="A246" s="16">
        <v>16</v>
      </c>
      <c r="B246" s="24">
        <v>40133</v>
      </c>
      <c r="C246" s="16">
        <v>2009</v>
      </c>
      <c r="D246" s="11" t="s">
        <v>37</v>
      </c>
      <c r="E246" s="12">
        <v>11</v>
      </c>
      <c r="F246" s="25">
        <v>3.33</v>
      </c>
      <c r="G246" s="27">
        <v>8.3000000000000004E-2</v>
      </c>
      <c r="H246" s="27">
        <v>9.9989999999999996E-4</v>
      </c>
      <c r="I246" s="27">
        <v>0.57799999999999996</v>
      </c>
      <c r="J246" s="27">
        <v>4.2000000000000003E-2</v>
      </c>
      <c r="K246" s="27">
        <v>9.9989999999999996E-4</v>
      </c>
    </row>
    <row r="247" spans="1:11">
      <c r="A247" s="16">
        <v>2</v>
      </c>
      <c r="B247" s="24">
        <v>40161</v>
      </c>
      <c r="C247" s="16">
        <v>2009</v>
      </c>
      <c r="D247" s="11" t="s">
        <v>38</v>
      </c>
      <c r="E247" s="12">
        <v>12</v>
      </c>
      <c r="F247" s="25">
        <v>4.7210000000000001</v>
      </c>
      <c r="G247" s="27">
        <v>0.14399999999999999</v>
      </c>
      <c r="H247" s="27">
        <v>9.9989999999999996E-4</v>
      </c>
      <c r="I247" s="27">
        <v>1.171</v>
      </c>
      <c r="J247" s="27">
        <v>1.4999999999999999E-2</v>
      </c>
      <c r="K247" s="27">
        <v>9.9989999999999996E-4</v>
      </c>
    </row>
    <row r="248" spans="1:11">
      <c r="A248" s="16">
        <v>16</v>
      </c>
      <c r="B248" s="24">
        <v>40161</v>
      </c>
      <c r="C248" s="16">
        <v>2009</v>
      </c>
      <c r="D248" s="11" t="s">
        <v>38</v>
      </c>
      <c r="E248" s="12">
        <v>12</v>
      </c>
      <c r="F248" s="25">
        <v>5.6890000000000001</v>
      </c>
      <c r="G248" s="27">
        <v>0.32600000000000001</v>
      </c>
      <c r="H248" s="27">
        <v>1.0999999999999999E-2</v>
      </c>
      <c r="I248" s="27">
        <v>1.236</v>
      </c>
      <c r="J248" s="27">
        <v>2.5000000000000001E-2</v>
      </c>
      <c r="K248" s="27">
        <v>9.9989999999999996E-4</v>
      </c>
    </row>
    <row r="249" spans="1:11">
      <c r="A249" s="16">
        <v>2</v>
      </c>
      <c r="B249" s="20">
        <v>40198</v>
      </c>
      <c r="C249" s="16">
        <v>2010</v>
      </c>
      <c r="D249" s="11" t="s">
        <v>39</v>
      </c>
      <c r="E249" s="16">
        <v>1</v>
      </c>
      <c r="F249" s="28">
        <v>8.5489999999999995</v>
      </c>
      <c r="G249" s="29">
        <v>0.16344762499999999</v>
      </c>
      <c r="H249" s="29">
        <v>0</v>
      </c>
      <c r="I249" s="29">
        <v>3.6769590000000001</v>
      </c>
      <c r="J249" s="29">
        <v>1.4557749999999998E-2</v>
      </c>
      <c r="K249" s="29">
        <v>0</v>
      </c>
    </row>
    <row r="250" spans="1:11">
      <c r="A250" s="16">
        <v>16</v>
      </c>
      <c r="B250" s="20">
        <v>40198</v>
      </c>
      <c r="C250" s="16">
        <v>2010</v>
      </c>
      <c r="D250" s="11" t="s">
        <v>39</v>
      </c>
      <c r="E250" s="16">
        <v>1</v>
      </c>
      <c r="F250" s="28">
        <v>3.5960000000000001</v>
      </c>
      <c r="G250" s="29">
        <v>9.3088875000000001E-2</v>
      </c>
      <c r="H250" s="29">
        <v>1.121525E-2</v>
      </c>
      <c r="I250" s="29">
        <v>1.4637470000000001</v>
      </c>
      <c r="J250" s="29">
        <v>1.0241375E-2</v>
      </c>
      <c r="K250" s="29">
        <v>0</v>
      </c>
    </row>
    <row r="251" spans="1:11">
      <c r="A251" s="16">
        <v>2</v>
      </c>
      <c r="B251" s="20">
        <v>40225</v>
      </c>
      <c r="C251" s="16">
        <v>2010</v>
      </c>
      <c r="D251" s="11" t="s">
        <v>28</v>
      </c>
      <c r="E251" s="16">
        <v>2</v>
      </c>
      <c r="F251" s="28">
        <v>8.0310000000000006</v>
      </c>
      <c r="G251" s="29">
        <v>0.41410862499999995</v>
      </c>
      <c r="H251" s="29">
        <v>0</v>
      </c>
      <c r="I251" s="29">
        <v>3.4302912500000002</v>
      </c>
      <c r="J251" s="29">
        <v>3.7194999999999999E-2</v>
      </c>
      <c r="K251" s="29">
        <v>0</v>
      </c>
    </row>
    <row r="252" spans="1:11">
      <c r="A252" s="16">
        <v>16</v>
      </c>
      <c r="B252" s="20">
        <v>40225</v>
      </c>
      <c r="C252" s="16">
        <v>2010</v>
      </c>
      <c r="D252" s="11" t="s">
        <v>28</v>
      </c>
      <c r="E252" s="16">
        <v>2</v>
      </c>
      <c r="F252" s="28">
        <v>5.2069999999999999</v>
      </c>
      <c r="G252" s="29">
        <v>0</v>
      </c>
      <c r="H252" s="29">
        <v>0</v>
      </c>
      <c r="I252" s="29">
        <v>0.95153149999999975</v>
      </c>
      <c r="J252" s="29">
        <v>5.2312374999999994E-2</v>
      </c>
      <c r="K252" s="29">
        <v>0</v>
      </c>
    </row>
    <row r="253" spans="1:11">
      <c r="A253" s="16">
        <v>2</v>
      </c>
      <c r="B253" s="20">
        <v>40254</v>
      </c>
      <c r="C253" s="16">
        <v>2010</v>
      </c>
      <c r="D253" s="11" t="s">
        <v>29</v>
      </c>
      <c r="E253" s="16">
        <v>3</v>
      </c>
      <c r="F253" s="28">
        <v>1.774</v>
      </c>
      <c r="G253" s="29">
        <v>5.6615249999999992E-2</v>
      </c>
      <c r="H253" s="29">
        <v>0</v>
      </c>
      <c r="I253" s="29">
        <v>0.70002162499999976</v>
      </c>
      <c r="J253" s="29">
        <v>1.5207874999999997E-2</v>
      </c>
      <c r="K253" s="29">
        <v>0</v>
      </c>
    </row>
    <row r="254" spans="1:11">
      <c r="A254" s="16">
        <v>16</v>
      </c>
      <c r="B254" s="20">
        <v>40254</v>
      </c>
      <c r="C254" s="16">
        <v>2010</v>
      </c>
      <c r="D254" s="11" t="s">
        <v>29</v>
      </c>
      <c r="E254" s="16">
        <v>3</v>
      </c>
      <c r="F254" s="28">
        <v>1.786</v>
      </c>
      <c r="G254" s="29">
        <v>1.9764999999999998E-2</v>
      </c>
      <c r="H254" s="29">
        <v>3.7476750000000003E-2</v>
      </c>
      <c r="I254" s="29">
        <v>0.80557250000000002</v>
      </c>
      <c r="J254" s="29">
        <v>2.3378625E-2</v>
      </c>
      <c r="K254" s="29">
        <v>0</v>
      </c>
    </row>
    <row r="255" spans="1:11">
      <c r="A255" s="16">
        <v>2</v>
      </c>
      <c r="B255" s="20">
        <v>40282</v>
      </c>
      <c r="C255" s="16">
        <v>2010</v>
      </c>
      <c r="D255" s="11" t="s">
        <v>30</v>
      </c>
      <c r="E255" s="16">
        <v>4</v>
      </c>
      <c r="F255" s="28">
        <v>1.8720000000000001</v>
      </c>
      <c r="G255" s="29">
        <v>1.1188249999999999E-2</v>
      </c>
      <c r="H255" s="29">
        <v>0</v>
      </c>
      <c r="I255" s="29">
        <v>0.83571474999999995</v>
      </c>
      <c r="J255" s="29">
        <v>2.3276749999999995E-2</v>
      </c>
      <c r="K255" s="29">
        <v>0</v>
      </c>
    </row>
    <row r="256" spans="1:11">
      <c r="A256" s="16">
        <v>16</v>
      </c>
      <c r="B256" s="20">
        <v>40282</v>
      </c>
      <c r="C256" s="16">
        <v>2010</v>
      </c>
      <c r="D256" s="11" t="s">
        <v>30</v>
      </c>
      <c r="E256" s="16">
        <v>4</v>
      </c>
      <c r="F256" s="28">
        <v>2.0350000000000001</v>
      </c>
      <c r="G256" s="29">
        <v>0.125948</v>
      </c>
      <c r="H256" s="29">
        <v>0</v>
      </c>
      <c r="I256" s="29">
        <v>0.46775262499999998</v>
      </c>
      <c r="J256" s="29">
        <v>1.7507000000000002E-2</v>
      </c>
      <c r="K256" s="29">
        <v>0</v>
      </c>
    </row>
    <row r="257" spans="1:11">
      <c r="A257" s="16">
        <v>2</v>
      </c>
      <c r="B257" s="24">
        <v>40315</v>
      </c>
      <c r="C257" s="16">
        <v>2010</v>
      </c>
      <c r="D257" s="11" t="s">
        <v>31</v>
      </c>
      <c r="E257" s="16">
        <v>5</v>
      </c>
      <c r="F257" s="30">
        <v>1.4510000000000001</v>
      </c>
      <c r="G257" s="29">
        <v>3.6204874999999997E-2</v>
      </c>
      <c r="H257" s="29">
        <v>0</v>
      </c>
      <c r="I257" s="29">
        <v>0.35122549999999991</v>
      </c>
      <c r="J257" s="29">
        <v>1.87885E-2</v>
      </c>
      <c r="K257" s="29">
        <v>0</v>
      </c>
    </row>
    <row r="258" spans="1:11">
      <c r="A258" s="16">
        <v>16</v>
      </c>
      <c r="B258" s="24">
        <v>40315</v>
      </c>
      <c r="C258" s="16">
        <v>2010</v>
      </c>
      <c r="D258" s="11" t="s">
        <v>31</v>
      </c>
      <c r="E258" s="16">
        <v>5</v>
      </c>
      <c r="F258" s="30">
        <v>3.1819999999999999</v>
      </c>
      <c r="G258" s="29">
        <v>7.8933624999999993E-2</v>
      </c>
      <c r="H258" s="29">
        <v>5.3531124999999999E-2</v>
      </c>
      <c r="I258" s="29">
        <v>1.169100875</v>
      </c>
      <c r="J258" s="29">
        <v>6.5391500000000005E-2</v>
      </c>
      <c r="K258" s="29">
        <v>0</v>
      </c>
    </row>
    <row r="259" spans="1:11">
      <c r="A259" s="16">
        <v>2</v>
      </c>
      <c r="B259" s="24">
        <v>40344</v>
      </c>
      <c r="C259" s="16">
        <v>2010</v>
      </c>
      <c r="D259" s="11" t="s">
        <v>32</v>
      </c>
      <c r="E259" s="16">
        <v>6</v>
      </c>
      <c r="F259" s="30">
        <v>6.09</v>
      </c>
      <c r="G259" s="29">
        <v>0.15124800000000002</v>
      </c>
      <c r="H259" s="29">
        <v>1.5235625000000001E-2</v>
      </c>
      <c r="I259" s="29">
        <v>1.5108619999999997</v>
      </c>
      <c r="J259" s="29">
        <v>0.94931462499999986</v>
      </c>
      <c r="K259" s="29">
        <v>0</v>
      </c>
    </row>
    <row r="260" spans="1:11">
      <c r="A260" s="16">
        <v>16</v>
      </c>
      <c r="B260" s="24">
        <v>40344</v>
      </c>
      <c r="C260" s="16">
        <v>2010</v>
      </c>
      <c r="D260" s="11" t="s">
        <v>32</v>
      </c>
      <c r="E260" s="16">
        <v>6</v>
      </c>
      <c r="F260" s="30">
        <v>8.3989999999999991</v>
      </c>
      <c r="G260" s="29">
        <v>0.1656985</v>
      </c>
      <c r="H260" s="29">
        <v>0</v>
      </c>
      <c r="I260" s="29">
        <v>1.5433611249999997</v>
      </c>
      <c r="J260" s="29">
        <v>2.1816978749999998</v>
      </c>
      <c r="K260" s="29">
        <v>0</v>
      </c>
    </row>
    <row r="261" spans="1:11">
      <c r="A261" s="16">
        <v>2</v>
      </c>
      <c r="B261" s="24">
        <v>40371</v>
      </c>
      <c r="C261" s="16">
        <v>2010</v>
      </c>
      <c r="D261" s="11" t="s">
        <v>33</v>
      </c>
      <c r="E261" s="16">
        <v>7</v>
      </c>
      <c r="F261" s="30">
        <v>9.2140000000000004</v>
      </c>
      <c r="G261" s="29">
        <v>0.70648687499999985</v>
      </c>
      <c r="H261" s="29">
        <v>0</v>
      </c>
      <c r="I261" s="29">
        <v>2.5314336249999996</v>
      </c>
      <c r="J261" s="29">
        <v>0.32747687499999995</v>
      </c>
      <c r="K261" s="29">
        <v>0</v>
      </c>
    </row>
    <row r="262" spans="1:11">
      <c r="A262" s="16">
        <v>16</v>
      </c>
      <c r="B262" s="24">
        <v>40371</v>
      </c>
      <c r="C262" s="16">
        <v>2010</v>
      </c>
      <c r="D262" s="11" t="s">
        <v>33</v>
      </c>
      <c r="E262" s="16">
        <v>7</v>
      </c>
      <c r="F262" s="30">
        <v>13.456</v>
      </c>
      <c r="G262" s="29">
        <v>0.22884624999999997</v>
      </c>
      <c r="H262" s="29">
        <v>4.1947375000000002E-2</v>
      </c>
      <c r="I262" s="29">
        <v>2.285654375</v>
      </c>
      <c r="J262" s="29">
        <v>2.4358744999999997</v>
      </c>
      <c r="K262" s="29">
        <v>0</v>
      </c>
    </row>
    <row r="263" spans="1:11">
      <c r="A263" s="16">
        <v>2</v>
      </c>
      <c r="B263" s="24">
        <v>40407</v>
      </c>
      <c r="C263" s="16">
        <v>2010</v>
      </c>
      <c r="D263" s="11" t="s">
        <v>34</v>
      </c>
      <c r="E263" s="16">
        <v>8</v>
      </c>
      <c r="F263" s="30">
        <v>10.113</v>
      </c>
      <c r="G263" s="29">
        <v>0.35030887499999996</v>
      </c>
      <c r="H263" s="29">
        <v>0</v>
      </c>
      <c r="I263" s="29">
        <v>3.7327789999999998</v>
      </c>
      <c r="J263" s="29">
        <v>0.92951324999999985</v>
      </c>
      <c r="K263" s="29">
        <v>0</v>
      </c>
    </row>
    <row r="264" spans="1:11">
      <c r="A264" s="16">
        <v>16</v>
      </c>
      <c r="B264" s="24">
        <v>40407</v>
      </c>
      <c r="C264" s="16">
        <v>2010</v>
      </c>
      <c r="D264" s="11" t="s">
        <v>34</v>
      </c>
      <c r="E264" s="16">
        <v>8</v>
      </c>
      <c r="F264" s="30">
        <v>10.69</v>
      </c>
      <c r="G264" s="29">
        <v>0.18240324999999999</v>
      </c>
      <c r="H264" s="29">
        <v>0</v>
      </c>
      <c r="I264" s="29">
        <v>4.1785708750000001</v>
      </c>
      <c r="J264" s="29">
        <v>0.90516687499999993</v>
      </c>
      <c r="K264" s="29">
        <v>0</v>
      </c>
    </row>
    <row r="265" spans="1:11">
      <c r="A265" s="16">
        <v>2</v>
      </c>
      <c r="B265" s="24">
        <v>40436</v>
      </c>
      <c r="C265" s="16">
        <v>2010</v>
      </c>
      <c r="D265" s="11" t="s">
        <v>40</v>
      </c>
      <c r="E265" s="16">
        <v>9</v>
      </c>
      <c r="F265" s="30">
        <v>15.021000000000001</v>
      </c>
      <c r="G265" s="29">
        <v>0</v>
      </c>
      <c r="H265" s="29">
        <v>0</v>
      </c>
      <c r="I265" s="29">
        <v>7.8999865000000007</v>
      </c>
      <c r="J265" s="29">
        <v>0.27267437500000002</v>
      </c>
      <c r="K265" s="29">
        <v>0</v>
      </c>
    </row>
    <row r="266" spans="1:11">
      <c r="A266" s="16">
        <v>16</v>
      </c>
      <c r="B266" s="24">
        <v>40436</v>
      </c>
      <c r="C266" s="16">
        <v>2010</v>
      </c>
      <c r="D266" s="11" t="s">
        <v>40</v>
      </c>
      <c r="E266" s="16">
        <v>9</v>
      </c>
      <c r="F266" s="30">
        <v>12.462999999999999</v>
      </c>
      <c r="G266" s="29">
        <v>0.23630837499999999</v>
      </c>
      <c r="H266" s="29">
        <v>0</v>
      </c>
      <c r="I266" s="29">
        <v>4.76846675</v>
      </c>
      <c r="J266" s="29">
        <v>0.73649462499999985</v>
      </c>
      <c r="K266" s="29">
        <v>0</v>
      </c>
    </row>
    <row r="267" spans="1:11">
      <c r="A267" s="16">
        <v>2</v>
      </c>
      <c r="B267" s="24">
        <v>40464</v>
      </c>
      <c r="C267" s="16">
        <v>2010</v>
      </c>
      <c r="D267" s="11" t="s">
        <v>36</v>
      </c>
      <c r="E267" s="16">
        <v>10</v>
      </c>
      <c r="F267" s="28">
        <v>3.5270000000000001</v>
      </c>
      <c r="G267" s="29">
        <v>0</v>
      </c>
      <c r="H267" s="29">
        <v>0</v>
      </c>
      <c r="I267" s="29">
        <v>0.82859950000000004</v>
      </c>
      <c r="J267" s="29">
        <v>6.1223999999999994E-2</v>
      </c>
      <c r="K267" s="29">
        <v>0</v>
      </c>
    </row>
    <row r="268" spans="1:11">
      <c r="A268" s="16">
        <v>16</v>
      </c>
      <c r="B268" s="24">
        <v>40464</v>
      </c>
      <c r="C268" s="16">
        <v>2010</v>
      </c>
      <c r="D268" s="11" t="s">
        <v>36</v>
      </c>
      <c r="E268" s="16">
        <v>10</v>
      </c>
      <c r="F268" s="28">
        <v>2.2570000000000001</v>
      </c>
      <c r="G268" s="29">
        <v>3.1358999999999998E-2</v>
      </c>
      <c r="H268" s="29">
        <v>0</v>
      </c>
      <c r="I268" s="29">
        <v>0.39194024999999993</v>
      </c>
      <c r="J268" s="29">
        <v>6.5480750000000004E-2</v>
      </c>
      <c r="K268" s="29">
        <v>0</v>
      </c>
    </row>
    <row r="269" spans="1:11">
      <c r="A269" s="16">
        <v>2</v>
      </c>
      <c r="B269" s="24">
        <v>40498</v>
      </c>
      <c r="C269" s="16">
        <v>2010</v>
      </c>
      <c r="D269" s="11" t="s">
        <v>37</v>
      </c>
      <c r="E269" s="16">
        <v>11</v>
      </c>
      <c r="F269" s="28">
        <v>0.999</v>
      </c>
      <c r="G269" s="29">
        <v>0</v>
      </c>
      <c r="H269" s="29">
        <v>0</v>
      </c>
      <c r="I269" s="29">
        <v>0.30490949999999994</v>
      </c>
      <c r="J269" s="29">
        <v>0</v>
      </c>
      <c r="K269" s="29">
        <v>0</v>
      </c>
    </row>
    <row r="270" spans="1:11">
      <c r="A270" s="16">
        <v>16</v>
      </c>
      <c r="B270" s="24">
        <v>40498</v>
      </c>
      <c r="C270" s="16">
        <v>2010</v>
      </c>
      <c r="D270" s="11" t="s">
        <v>37</v>
      </c>
      <c r="E270" s="16">
        <v>11</v>
      </c>
      <c r="F270" s="28">
        <v>1.748</v>
      </c>
      <c r="G270" s="29">
        <v>0</v>
      </c>
      <c r="H270" s="29">
        <v>0.12859987500000003</v>
      </c>
      <c r="I270" s="29">
        <v>0.54359587499999984</v>
      </c>
      <c r="J270" s="29">
        <v>0.15645562499999999</v>
      </c>
      <c r="K270" s="29">
        <v>0</v>
      </c>
    </row>
    <row r="271" spans="1:11">
      <c r="A271" s="16">
        <v>2</v>
      </c>
      <c r="B271" s="24">
        <v>40520</v>
      </c>
      <c r="C271" s="16">
        <v>2010</v>
      </c>
      <c r="D271" s="11" t="s">
        <v>38</v>
      </c>
      <c r="E271" s="16">
        <v>12</v>
      </c>
      <c r="F271" s="28">
        <v>3.78</v>
      </c>
      <c r="G271" s="29">
        <v>3.0404750000000005E-2</v>
      </c>
      <c r="H271" s="29">
        <v>0.10052362499999998</v>
      </c>
      <c r="I271" s="29">
        <v>1.3998647499999997</v>
      </c>
      <c r="J271" s="29">
        <v>0.14647699999999997</v>
      </c>
      <c r="K271" s="29">
        <v>0</v>
      </c>
    </row>
    <row r="272" spans="1:11">
      <c r="A272" s="16">
        <v>16</v>
      </c>
      <c r="B272" s="24">
        <v>40520</v>
      </c>
      <c r="C272" s="16">
        <v>2010</v>
      </c>
      <c r="D272" s="11" t="s">
        <v>38</v>
      </c>
      <c r="E272" s="16">
        <v>12</v>
      </c>
      <c r="F272" s="28">
        <v>2.7549999999999999</v>
      </c>
      <c r="G272" s="29">
        <v>5.2001375000000002E-2</v>
      </c>
      <c r="H272" s="29">
        <v>7.1455000000000005E-2</v>
      </c>
      <c r="I272" s="29">
        <v>0.84848762499999997</v>
      </c>
      <c r="J272" s="29">
        <v>7.2767625000000002E-2</v>
      </c>
      <c r="K272" s="29">
        <v>0</v>
      </c>
    </row>
    <row r="273" spans="1:11">
      <c r="A273" s="16">
        <v>2</v>
      </c>
      <c r="B273" s="24">
        <v>40562</v>
      </c>
      <c r="C273" s="16">
        <v>2011</v>
      </c>
      <c r="D273" s="11" t="s">
        <v>39</v>
      </c>
      <c r="E273" s="16">
        <v>1</v>
      </c>
      <c r="F273" s="28">
        <v>6.5730000000000004</v>
      </c>
      <c r="G273" s="29">
        <v>4.8624500000000001E-2</v>
      </c>
      <c r="H273" s="29">
        <v>0</v>
      </c>
      <c r="I273" s="29">
        <v>3.0776975000000002</v>
      </c>
      <c r="J273" s="29">
        <v>2.2323875E-2</v>
      </c>
      <c r="K273" s="29">
        <v>0</v>
      </c>
    </row>
    <row r="274" spans="1:11">
      <c r="A274" s="16">
        <v>16</v>
      </c>
      <c r="B274" s="24">
        <v>40562</v>
      </c>
      <c r="C274" s="16">
        <v>2011</v>
      </c>
      <c r="D274" s="11" t="s">
        <v>39</v>
      </c>
      <c r="E274" s="16">
        <v>1</v>
      </c>
      <c r="F274" s="28">
        <v>4.1449999999999996</v>
      </c>
      <c r="G274" s="29">
        <v>4.5679749999999991E-2</v>
      </c>
      <c r="H274" s="29">
        <v>0</v>
      </c>
      <c r="I274" s="29">
        <v>1.620601</v>
      </c>
      <c r="J274" s="29">
        <v>1.7066125000000001E-2</v>
      </c>
      <c r="K274" s="29">
        <v>3.0343750000000006E-3</v>
      </c>
    </row>
    <row r="275" spans="1:11">
      <c r="A275" s="16">
        <v>2</v>
      </c>
      <c r="B275" s="24">
        <v>40591</v>
      </c>
      <c r="C275" s="16">
        <v>2011</v>
      </c>
      <c r="D275" s="11" t="s">
        <v>28</v>
      </c>
      <c r="E275" s="16">
        <v>2</v>
      </c>
      <c r="F275" s="28">
        <v>3.4020000000000001</v>
      </c>
      <c r="G275" s="29">
        <v>7.1068999999999979E-2</v>
      </c>
      <c r="H275" s="29">
        <v>0</v>
      </c>
      <c r="I275" s="29">
        <v>1.2885806249999998</v>
      </c>
      <c r="J275" s="29">
        <v>2.0115124999999998E-2</v>
      </c>
      <c r="K275" s="29">
        <v>0</v>
      </c>
    </row>
    <row r="276" spans="1:11">
      <c r="A276" s="16">
        <v>16</v>
      </c>
      <c r="B276" s="24">
        <v>40591</v>
      </c>
      <c r="C276" s="16">
        <v>2011</v>
      </c>
      <c r="D276" s="11" t="s">
        <v>28</v>
      </c>
      <c r="E276" s="16">
        <v>2</v>
      </c>
      <c r="F276" s="28">
        <v>3.0339999999999998</v>
      </c>
      <c r="G276" s="29">
        <v>6.7142999999999994E-2</v>
      </c>
      <c r="H276" s="29">
        <v>0</v>
      </c>
      <c r="I276" s="29">
        <v>1.1445351249999998</v>
      </c>
      <c r="J276" s="29">
        <v>2.2108749999999996E-2</v>
      </c>
      <c r="K276" s="29">
        <v>0</v>
      </c>
    </row>
    <row r="277" spans="1:11">
      <c r="A277" s="16">
        <v>2</v>
      </c>
      <c r="B277" s="24">
        <v>40619</v>
      </c>
      <c r="C277" s="16">
        <v>2011</v>
      </c>
      <c r="D277" s="11" t="s">
        <v>29</v>
      </c>
      <c r="E277" s="16">
        <v>3</v>
      </c>
      <c r="F277" s="28">
        <v>8.7029999999999994</v>
      </c>
      <c r="G277" s="29">
        <v>2.7748124999999998E-2</v>
      </c>
      <c r="H277" s="29">
        <v>0</v>
      </c>
      <c r="I277" s="29">
        <v>4.005196625</v>
      </c>
      <c r="J277" s="29">
        <v>1.7829749999999998E-2</v>
      </c>
      <c r="K277" s="29">
        <v>0</v>
      </c>
    </row>
    <row r="278" spans="1:11">
      <c r="A278" s="16">
        <v>16</v>
      </c>
      <c r="B278" s="24">
        <v>40619</v>
      </c>
      <c r="C278" s="16">
        <v>2011</v>
      </c>
      <c r="D278" s="11" t="s">
        <v>29</v>
      </c>
      <c r="E278" s="16">
        <v>3</v>
      </c>
      <c r="F278" s="28">
        <v>2.177</v>
      </c>
      <c r="G278" s="29">
        <v>1.7127625000000004E-2</v>
      </c>
      <c r="H278" s="29">
        <v>0</v>
      </c>
      <c r="I278" s="29">
        <v>0.84790675000000004</v>
      </c>
      <c r="J278" s="29">
        <v>0</v>
      </c>
      <c r="K278" s="29">
        <v>0</v>
      </c>
    </row>
    <row r="279" spans="1:11">
      <c r="A279" s="16">
        <v>2</v>
      </c>
      <c r="B279" s="24">
        <v>40646</v>
      </c>
      <c r="C279" s="16">
        <v>2011</v>
      </c>
      <c r="D279" s="11" t="s">
        <v>30</v>
      </c>
      <c r="E279" s="16">
        <v>4</v>
      </c>
      <c r="F279" s="28">
        <v>2.101</v>
      </c>
      <c r="G279" s="29">
        <v>3.4391999999999999E-2</v>
      </c>
      <c r="H279" s="29">
        <v>0</v>
      </c>
      <c r="I279" s="29">
        <v>0.413138375</v>
      </c>
      <c r="J279" s="29">
        <v>7.8059999999999996E-3</v>
      </c>
      <c r="K279" s="29">
        <v>0</v>
      </c>
    </row>
    <row r="280" spans="1:11">
      <c r="A280" s="16">
        <v>16</v>
      </c>
      <c r="B280" s="24">
        <v>40646</v>
      </c>
      <c r="C280" s="16">
        <v>2011</v>
      </c>
      <c r="D280" s="11" t="s">
        <v>30</v>
      </c>
      <c r="E280" s="16">
        <v>4</v>
      </c>
      <c r="F280" s="28">
        <v>1.5069999999999999</v>
      </c>
      <c r="G280" s="29">
        <v>0</v>
      </c>
      <c r="H280" s="29">
        <v>0</v>
      </c>
      <c r="I280" s="29">
        <v>0.267429625</v>
      </c>
      <c r="J280" s="29">
        <v>8.3463749999999996E-3</v>
      </c>
      <c r="K280" s="29">
        <v>0</v>
      </c>
    </row>
    <row r="281" spans="1:11">
      <c r="A281" s="16">
        <v>2</v>
      </c>
      <c r="B281" s="24">
        <v>40681</v>
      </c>
      <c r="C281" s="16">
        <v>2011</v>
      </c>
      <c r="D281" s="11" t="s">
        <v>31</v>
      </c>
      <c r="E281" s="16">
        <v>5</v>
      </c>
      <c r="F281" s="28">
        <v>4.0069999999999997</v>
      </c>
      <c r="G281" s="29">
        <v>8.1073500000000007E-2</v>
      </c>
      <c r="H281" s="29">
        <v>0</v>
      </c>
      <c r="I281" s="29">
        <v>0.89100512499999973</v>
      </c>
      <c r="J281" s="29">
        <v>0.31554275000000004</v>
      </c>
      <c r="K281" s="29">
        <v>0</v>
      </c>
    </row>
    <row r="282" spans="1:11">
      <c r="A282" s="16">
        <v>16</v>
      </c>
      <c r="B282" s="24">
        <v>40681</v>
      </c>
      <c r="C282" s="16">
        <v>2011</v>
      </c>
      <c r="D282" s="11" t="s">
        <v>31</v>
      </c>
      <c r="E282" s="16">
        <v>5</v>
      </c>
      <c r="F282" s="28">
        <v>4.7830000000000004</v>
      </c>
      <c r="G282" s="29">
        <v>6.4599124999999979E-2</v>
      </c>
      <c r="H282" s="29">
        <v>0.14697512499999998</v>
      </c>
      <c r="I282" s="29">
        <v>1.3415611249999997</v>
      </c>
      <c r="J282" s="29">
        <v>0.30502287500000003</v>
      </c>
      <c r="K282" s="29">
        <v>0</v>
      </c>
    </row>
    <row r="283" spans="1:11">
      <c r="A283" s="16">
        <v>2</v>
      </c>
      <c r="B283" s="24">
        <v>40708</v>
      </c>
      <c r="C283" s="16">
        <v>2011</v>
      </c>
      <c r="D283" s="11" t="s">
        <v>32</v>
      </c>
      <c r="E283" s="16">
        <v>6</v>
      </c>
      <c r="F283" s="28">
        <v>10.315</v>
      </c>
      <c r="G283" s="29">
        <v>0.21921187499999997</v>
      </c>
      <c r="H283" s="29">
        <v>0</v>
      </c>
      <c r="I283" s="29">
        <v>3.2439346250000001</v>
      </c>
      <c r="J283" s="29">
        <v>0.94100474999999983</v>
      </c>
      <c r="K283" s="29">
        <v>3.0427999999999997E-2</v>
      </c>
    </row>
    <row r="284" spans="1:11">
      <c r="A284" s="16">
        <v>16</v>
      </c>
      <c r="B284" s="24">
        <v>40708</v>
      </c>
      <c r="C284" s="16">
        <v>2011</v>
      </c>
      <c r="D284" s="11" t="s">
        <v>32</v>
      </c>
      <c r="E284" s="16">
        <v>6</v>
      </c>
      <c r="F284" s="28">
        <v>9.5670000000000002</v>
      </c>
      <c r="G284" s="29">
        <v>0.31901062499999999</v>
      </c>
      <c r="H284" s="29">
        <v>0</v>
      </c>
      <c r="I284" s="29">
        <v>2.5446656249999999</v>
      </c>
      <c r="J284" s="29">
        <v>1.295104875</v>
      </c>
      <c r="K284" s="29">
        <v>0</v>
      </c>
    </row>
    <row r="285" spans="1:11">
      <c r="A285" s="16">
        <v>2</v>
      </c>
      <c r="B285" s="24">
        <v>40735</v>
      </c>
      <c r="C285" s="16">
        <v>2011</v>
      </c>
      <c r="D285" s="11" t="s">
        <v>33</v>
      </c>
      <c r="E285" s="16">
        <v>7</v>
      </c>
      <c r="F285" s="28">
        <v>3.8050000000000002</v>
      </c>
      <c r="G285" s="29">
        <v>4.6218250000000002E-2</v>
      </c>
      <c r="H285" s="29">
        <v>0</v>
      </c>
      <c r="I285" s="29">
        <v>0.64259912500000005</v>
      </c>
      <c r="J285" s="29">
        <v>0.79859975000000005</v>
      </c>
      <c r="K285" s="29">
        <v>0</v>
      </c>
    </row>
    <row r="286" spans="1:11">
      <c r="A286" s="16">
        <v>16</v>
      </c>
      <c r="B286" s="24">
        <v>40735</v>
      </c>
      <c r="C286" s="16">
        <v>2011</v>
      </c>
      <c r="D286" s="11" t="s">
        <v>33</v>
      </c>
      <c r="E286" s="16">
        <v>7</v>
      </c>
      <c r="F286" s="28">
        <v>6.7519999999999998</v>
      </c>
      <c r="G286" s="29">
        <v>7.4171374999999984E-2</v>
      </c>
      <c r="H286" s="29">
        <v>0</v>
      </c>
      <c r="I286" s="29">
        <v>0.88578087500000002</v>
      </c>
      <c r="J286" s="29">
        <v>1.5391929999999998</v>
      </c>
      <c r="K286" s="29">
        <v>2.8655875000000004E-2</v>
      </c>
    </row>
    <row r="287" spans="1:11">
      <c r="A287" s="16">
        <v>2</v>
      </c>
      <c r="B287" s="24">
        <v>40771</v>
      </c>
      <c r="C287" s="16">
        <v>2011</v>
      </c>
      <c r="D287" s="11" t="s">
        <v>34</v>
      </c>
      <c r="E287" s="16">
        <v>8</v>
      </c>
      <c r="F287" s="28">
        <v>15.933999999999999</v>
      </c>
      <c r="G287" s="29">
        <v>1.9534173750000001</v>
      </c>
      <c r="H287" s="29">
        <v>0</v>
      </c>
      <c r="I287" s="29">
        <v>2.2013342499999999</v>
      </c>
      <c r="J287" s="29">
        <v>2.2523906249999994</v>
      </c>
      <c r="K287" s="29">
        <v>5.6748624999999997E-2</v>
      </c>
    </row>
    <row r="288" spans="1:11">
      <c r="A288" s="16">
        <v>16</v>
      </c>
      <c r="B288" s="24">
        <v>40771</v>
      </c>
      <c r="C288" s="16">
        <v>2011</v>
      </c>
      <c r="D288" s="11" t="s">
        <v>34</v>
      </c>
      <c r="E288" s="16">
        <v>8</v>
      </c>
      <c r="F288" s="28">
        <v>12.702</v>
      </c>
      <c r="G288" s="29">
        <v>0.37619537500000005</v>
      </c>
      <c r="H288" s="29">
        <v>0</v>
      </c>
      <c r="I288" s="29">
        <v>1.5547489999999999</v>
      </c>
      <c r="J288" s="29">
        <v>2.6617537499999999</v>
      </c>
      <c r="K288" s="29">
        <v>4.5802874999999993E-2</v>
      </c>
    </row>
    <row r="289" spans="1:11">
      <c r="A289" s="16">
        <v>2</v>
      </c>
      <c r="B289" s="24">
        <v>40799</v>
      </c>
      <c r="C289" s="16">
        <v>2011</v>
      </c>
      <c r="D289" s="11" t="s">
        <v>40</v>
      </c>
      <c r="E289" s="16">
        <v>9</v>
      </c>
      <c r="F289" s="28">
        <v>11.798999999999999</v>
      </c>
      <c r="G289" s="29">
        <v>9.6066124999999988E-2</v>
      </c>
      <c r="H289" s="29">
        <v>0</v>
      </c>
      <c r="I289" s="29">
        <v>4.3887483749999987</v>
      </c>
      <c r="J289" s="29">
        <v>1.3197622499999999</v>
      </c>
      <c r="K289" s="29">
        <v>4.0556874999999999E-2</v>
      </c>
    </row>
    <row r="290" spans="1:11">
      <c r="A290" s="16">
        <v>16</v>
      </c>
      <c r="B290" s="24">
        <v>40799</v>
      </c>
      <c r="C290" s="16">
        <v>2011</v>
      </c>
      <c r="D290" s="11" t="s">
        <v>40</v>
      </c>
      <c r="E290" s="16">
        <v>9</v>
      </c>
      <c r="F290" s="28">
        <v>9.0269999999999992</v>
      </c>
      <c r="G290" s="29">
        <v>0.15046449999999997</v>
      </c>
      <c r="H290" s="29">
        <v>0</v>
      </c>
      <c r="I290" s="29">
        <v>2.6886367500000006</v>
      </c>
      <c r="J290" s="29">
        <v>1.53077025</v>
      </c>
      <c r="K290" s="29">
        <v>0</v>
      </c>
    </row>
    <row r="291" spans="1:11">
      <c r="A291" s="16">
        <v>2</v>
      </c>
      <c r="B291" s="24">
        <v>40827</v>
      </c>
      <c r="C291" s="16">
        <v>2011</v>
      </c>
      <c r="D291" s="11" t="s">
        <v>36</v>
      </c>
      <c r="E291" s="16">
        <v>10</v>
      </c>
      <c r="F291" s="30">
        <v>8.0350000000000001</v>
      </c>
      <c r="G291" s="29">
        <v>0</v>
      </c>
      <c r="H291" s="29">
        <v>0</v>
      </c>
      <c r="I291" s="29">
        <v>0</v>
      </c>
      <c r="J291" s="29">
        <v>0</v>
      </c>
      <c r="K291" s="29">
        <v>0</v>
      </c>
    </row>
    <row r="292" spans="1:11">
      <c r="A292" s="16">
        <v>16</v>
      </c>
      <c r="B292" s="24">
        <v>40827</v>
      </c>
      <c r="C292" s="16">
        <v>2011</v>
      </c>
      <c r="D292" s="11" t="s">
        <v>36</v>
      </c>
      <c r="E292" s="16">
        <v>10</v>
      </c>
      <c r="F292" s="30">
        <v>3.6949999999999998</v>
      </c>
      <c r="G292" s="29">
        <v>3.4775749999999994E-2</v>
      </c>
      <c r="H292" s="29">
        <v>0</v>
      </c>
      <c r="I292" s="29">
        <v>0.72420012499999975</v>
      </c>
      <c r="J292" s="29">
        <v>2.7034124999999999E-2</v>
      </c>
      <c r="K292" s="29">
        <v>0</v>
      </c>
    </row>
    <row r="293" spans="1:11">
      <c r="A293" s="16">
        <v>2</v>
      </c>
      <c r="B293" s="31">
        <v>40862</v>
      </c>
      <c r="C293" s="16">
        <v>2011</v>
      </c>
      <c r="D293" s="11" t="s">
        <v>37</v>
      </c>
      <c r="E293" s="16">
        <v>11</v>
      </c>
      <c r="F293" s="30">
        <v>3.5640000000000001</v>
      </c>
      <c r="G293" s="29">
        <v>0.11539912499999999</v>
      </c>
      <c r="H293" s="29">
        <v>0</v>
      </c>
      <c r="I293" s="29">
        <v>1.1125987500000001</v>
      </c>
      <c r="J293" s="29">
        <v>8.6628499999999983E-2</v>
      </c>
      <c r="K293" s="29">
        <v>0</v>
      </c>
    </row>
    <row r="294" spans="1:11">
      <c r="A294" s="16">
        <v>16</v>
      </c>
      <c r="B294" s="31">
        <v>40862</v>
      </c>
      <c r="C294" s="16">
        <v>2011</v>
      </c>
      <c r="D294" s="11" t="s">
        <v>37</v>
      </c>
      <c r="E294" s="16">
        <v>11</v>
      </c>
      <c r="F294" s="30">
        <v>2.222</v>
      </c>
      <c r="G294" s="29">
        <v>5.0587750000000001E-2</v>
      </c>
      <c r="H294" s="29">
        <v>0</v>
      </c>
      <c r="I294" s="29">
        <v>0.70912149999999985</v>
      </c>
      <c r="J294" s="29">
        <v>3.6646499999999999E-2</v>
      </c>
      <c r="K294" s="29">
        <v>0</v>
      </c>
    </row>
    <row r="295" spans="1:11">
      <c r="A295" s="16">
        <v>2</v>
      </c>
      <c r="B295" s="31">
        <v>40891</v>
      </c>
      <c r="C295" s="16">
        <v>2011</v>
      </c>
      <c r="D295" s="11" t="s">
        <v>38</v>
      </c>
      <c r="E295" s="16">
        <v>12</v>
      </c>
      <c r="F295" s="30">
        <v>1.893</v>
      </c>
      <c r="G295" s="29">
        <v>4.2472249999999996E-2</v>
      </c>
      <c r="H295" s="29">
        <v>0</v>
      </c>
      <c r="I295" s="29">
        <v>0.73796424999999999</v>
      </c>
      <c r="J295" s="29">
        <v>1.322125E-2</v>
      </c>
      <c r="K295" s="29">
        <v>0</v>
      </c>
    </row>
    <row r="296" spans="1:11">
      <c r="A296" s="16">
        <v>16</v>
      </c>
      <c r="B296" s="31">
        <v>40890</v>
      </c>
      <c r="C296" s="16">
        <v>2011</v>
      </c>
      <c r="D296" s="11" t="s">
        <v>38</v>
      </c>
      <c r="E296" s="16">
        <v>12</v>
      </c>
      <c r="F296" s="30">
        <v>0.53800000000000003</v>
      </c>
      <c r="G296" s="29">
        <v>2.8561375000000003E-2</v>
      </c>
      <c r="H296" s="29">
        <v>0</v>
      </c>
      <c r="I296" s="29">
        <v>0.10019225</v>
      </c>
      <c r="J296" s="29">
        <v>0</v>
      </c>
      <c r="K296" s="29">
        <v>0</v>
      </c>
    </row>
    <row r="297" spans="1:11">
      <c r="A297" s="16">
        <v>2</v>
      </c>
      <c r="B297" s="24">
        <v>40917</v>
      </c>
      <c r="C297" s="16">
        <v>2012</v>
      </c>
      <c r="D297" s="11" t="s">
        <v>39</v>
      </c>
      <c r="E297" s="16">
        <v>1</v>
      </c>
      <c r="F297" s="32">
        <v>2.3969999999999998</v>
      </c>
      <c r="G297" s="29">
        <v>7.4596375000000006E-2</v>
      </c>
      <c r="H297" s="29">
        <v>0</v>
      </c>
      <c r="I297" s="29">
        <v>1.00586475</v>
      </c>
      <c r="J297" s="29">
        <v>1.361775E-2</v>
      </c>
      <c r="K297" s="29">
        <v>0</v>
      </c>
    </row>
    <row r="298" spans="1:11">
      <c r="A298" s="16">
        <v>16</v>
      </c>
      <c r="B298" s="24">
        <v>40917</v>
      </c>
      <c r="C298" s="16">
        <v>2012</v>
      </c>
      <c r="D298" s="11" t="s">
        <v>39</v>
      </c>
      <c r="E298" s="16">
        <v>1</v>
      </c>
      <c r="F298" s="32">
        <v>1.5760000000000001</v>
      </c>
      <c r="G298" s="29">
        <v>6.8961624999999999E-2</v>
      </c>
      <c r="H298" s="29">
        <v>0</v>
      </c>
      <c r="I298" s="29">
        <v>0.41484762499999994</v>
      </c>
      <c r="J298" s="29">
        <v>8.1927499999999986E-3</v>
      </c>
      <c r="K298" s="29">
        <v>0</v>
      </c>
    </row>
    <row r="299" spans="1:11">
      <c r="A299" s="16">
        <v>2</v>
      </c>
      <c r="B299" s="24">
        <v>40962</v>
      </c>
      <c r="C299" s="16">
        <v>2012</v>
      </c>
      <c r="D299" s="11" t="s">
        <v>28</v>
      </c>
      <c r="E299" s="16">
        <v>2</v>
      </c>
      <c r="F299" s="32">
        <v>2.3370000000000002</v>
      </c>
      <c r="G299" s="29">
        <v>3.3167875000000006E-2</v>
      </c>
      <c r="H299" s="29">
        <v>0</v>
      </c>
      <c r="I299" s="29">
        <v>1.3045762499999998</v>
      </c>
      <c r="J299" s="29">
        <v>3.528425000000001E-2</v>
      </c>
      <c r="K299" s="29">
        <v>0</v>
      </c>
    </row>
    <row r="300" spans="1:11">
      <c r="A300" s="16">
        <v>16</v>
      </c>
      <c r="B300" s="24">
        <v>40962</v>
      </c>
      <c r="C300" s="16">
        <v>2012</v>
      </c>
      <c r="D300" s="11" t="s">
        <v>28</v>
      </c>
      <c r="E300" s="16">
        <v>2</v>
      </c>
      <c r="F300" s="32">
        <v>2.4569999999999999</v>
      </c>
      <c r="G300" s="29">
        <v>3.9474124999999999E-2</v>
      </c>
      <c r="H300" s="29">
        <v>0</v>
      </c>
      <c r="I300" s="29">
        <v>1.2616114999999999</v>
      </c>
      <c r="J300" s="29">
        <v>2.9786499999999997E-2</v>
      </c>
      <c r="K300" s="29">
        <v>0</v>
      </c>
    </row>
    <row r="301" spans="1:11">
      <c r="A301" s="16">
        <v>2</v>
      </c>
      <c r="B301" s="24">
        <v>40980</v>
      </c>
      <c r="C301" s="16">
        <v>2012</v>
      </c>
      <c r="D301" s="11" t="s">
        <v>29</v>
      </c>
      <c r="E301" s="16">
        <v>3</v>
      </c>
      <c r="F301" s="32">
        <v>2.5830000000000002</v>
      </c>
      <c r="G301" s="29">
        <v>2.7399749999999997E-2</v>
      </c>
      <c r="H301" s="29">
        <v>3.5522625000000002E-2</v>
      </c>
      <c r="I301" s="29">
        <v>1.1059663749999999</v>
      </c>
      <c r="J301" s="29">
        <v>8.0484499999999987E-2</v>
      </c>
      <c r="K301" s="29">
        <v>0</v>
      </c>
    </row>
    <row r="302" spans="1:11">
      <c r="A302" s="16">
        <v>16</v>
      </c>
      <c r="B302" s="24">
        <v>40980</v>
      </c>
      <c r="C302" s="16">
        <v>2012</v>
      </c>
      <c r="D302" s="11" t="s">
        <v>29</v>
      </c>
      <c r="E302" s="16">
        <v>3</v>
      </c>
      <c r="F302" s="32">
        <v>2.71</v>
      </c>
      <c r="G302" s="29">
        <v>2.6955874999999997E-2</v>
      </c>
      <c r="H302" s="29">
        <v>7.1598124999999999E-2</v>
      </c>
      <c r="I302" s="29">
        <v>1.2276173749999999</v>
      </c>
      <c r="J302" s="29">
        <v>8.5160750000000007E-2</v>
      </c>
      <c r="K302" s="29">
        <v>0</v>
      </c>
    </row>
    <row r="303" spans="1:11">
      <c r="A303" s="16">
        <v>2</v>
      </c>
      <c r="B303" s="24">
        <v>41015</v>
      </c>
      <c r="C303" s="16">
        <v>2012</v>
      </c>
      <c r="D303" s="11" t="s">
        <v>30</v>
      </c>
      <c r="E303" s="16">
        <v>4</v>
      </c>
      <c r="F303" s="28">
        <v>2.3580000000000001</v>
      </c>
      <c r="G303" s="29">
        <v>1.4937875000000001E-2</v>
      </c>
      <c r="H303" s="29">
        <v>5.3953249999999994E-2</v>
      </c>
      <c r="I303" s="29">
        <v>0.9930342499999999</v>
      </c>
      <c r="J303" s="29">
        <v>3.5394124999999999E-2</v>
      </c>
      <c r="K303" s="29">
        <v>0</v>
      </c>
    </row>
    <row r="304" spans="1:11">
      <c r="A304" s="16">
        <v>16</v>
      </c>
      <c r="B304" s="24">
        <v>41015</v>
      </c>
      <c r="C304" s="16">
        <v>2012</v>
      </c>
      <c r="D304" s="11" t="s">
        <v>30</v>
      </c>
      <c r="E304" s="16">
        <v>4</v>
      </c>
      <c r="F304" s="28">
        <v>1.37</v>
      </c>
      <c r="G304" s="29">
        <v>0</v>
      </c>
      <c r="H304" s="29">
        <v>0</v>
      </c>
      <c r="I304" s="29">
        <v>0.59757037499999999</v>
      </c>
      <c r="J304" s="29">
        <v>1.8219875E-2</v>
      </c>
      <c r="K304" s="29">
        <v>0</v>
      </c>
    </row>
    <row r="305" spans="1:11">
      <c r="A305" s="16">
        <v>2</v>
      </c>
      <c r="B305" s="24">
        <v>41045</v>
      </c>
      <c r="C305" s="16">
        <v>2012</v>
      </c>
      <c r="D305" s="11" t="s">
        <v>31</v>
      </c>
      <c r="E305" s="16">
        <v>5</v>
      </c>
      <c r="F305" s="28">
        <v>4.6139999999999999</v>
      </c>
      <c r="G305" s="29">
        <v>0.125015875</v>
      </c>
      <c r="H305" s="29">
        <v>0.16606649999999995</v>
      </c>
      <c r="I305" s="29">
        <v>2.2938743750000001</v>
      </c>
      <c r="J305" s="29">
        <v>6.553287499999999E-2</v>
      </c>
      <c r="K305" s="29">
        <v>0</v>
      </c>
    </row>
    <row r="306" spans="1:11">
      <c r="A306" s="16">
        <v>16</v>
      </c>
      <c r="B306" s="24">
        <v>41045</v>
      </c>
      <c r="C306" s="16">
        <v>2012</v>
      </c>
      <c r="D306" s="11" t="s">
        <v>31</v>
      </c>
      <c r="E306" s="16">
        <v>5</v>
      </c>
      <c r="F306" s="28">
        <v>3.7370000000000001</v>
      </c>
      <c r="G306" s="29">
        <v>9.2269375000000015E-2</v>
      </c>
      <c r="H306" s="29">
        <v>0</v>
      </c>
      <c r="I306" s="29">
        <v>1.442352125</v>
      </c>
      <c r="J306" s="29">
        <v>5.1675624999999989E-2</v>
      </c>
      <c r="K306" s="29">
        <v>0</v>
      </c>
    </row>
    <row r="307" spans="1:11">
      <c r="A307" s="16">
        <v>2</v>
      </c>
      <c r="B307" s="24">
        <v>41073</v>
      </c>
      <c r="C307" s="16">
        <v>2012</v>
      </c>
      <c r="D307" s="11" t="s">
        <v>32</v>
      </c>
      <c r="E307" s="16">
        <v>6</v>
      </c>
      <c r="F307" s="28">
        <v>9.9949999999999992</v>
      </c>
      <c r="G307" s="29">
        <v>0.16525937499999999</v>
      </c>
      <c r="H307" s="29">
        <v>9.5793875000000001E-2</v>
      </c>
      <c r="I307" s="29">
        <v>3.3168867500000001</v>
      </c>
      <c r="J307" s="29">
        <v>0.42628212499999996</v>
      </c>
      <c r="K307" s="29">
        <v>2.0968374999999997E-2</v>
      </c>
    </row>
    <row r="308" spans="1:11">
      <c r="A308" s="16">
        <v>16</v>
      </c>
      <c r="B308" s="24">
        <v>41073</v>
      </c>
      <c r="C308" s="16">
        <v>2012</v>
      </c>
      <c r="D308" s="11" t="s">
        <v>32</v>
      </c>
      <c r="E308" s="16">
        <v>6</v>
      </c>
      <c r="F308" s="28">
        <v>12.074999999999999</v>
      </c>
      <c r="G308" s="29">
        <v>0.14553474999999996</v>
      </c>
      <c r="H308" s="29">
        <v>7.0132E-2</v>
      </c>
      <c r="I308" s="29">
        <v>2.7136045000000002</v>
      </c>
      <c r="J308" s="29">
        <v>0.37448062499999996</v>
      </c>
      <c r="K308" s="29">
        <v>0</v>
      </c>
    </row>
    <row r="309" spans="1:11">
      <c r="A309" s="16">
        <v>2</v>
      </c>
      <c r="B309" s="24">
        <v>41107</v>
      </c>
      <c r="C309" s="16">
        <v>2012</v>
      </c>
      <c r="D309" s="11" t="s">
        <v>33</v>
      </c>
      <c r="E309" s="16">
        <v>7</v>
      </c>
      <c r="F309" s="28">
        <v>9.7750000000000004</v>
      </c>
      <c r="G309" s="29">
        <v>0.28593362499999997</v>
      </c>
      <c r="H309" s="29">
        <v>0</v>
      </c>
      <c r="I309" s="29">
        <v>4.0065248749999993</v>
      </c>
      <c r="J309" s="29">
        <v>0.63267837500000002</v>
      </c>
      <c r="K309" s="29">
        <v>0</v>
      </c>
    </row>
    <row r="310" spans="1:11">
      <c r="A310" s="16">
        <v>16</v>
      </c>
      <c r="B310" s="24">
        <v>41107</v>
      </c>
      <c r="C310" s="16">
        <v>2012</v>
      </c>
      <c r="D310" s="11" t="s">
        <v>33</v>
      </c>
      <c r="E310" s="16">
        <v>7</v>
      </c>
      <c r="F310" s="28">
        <v>6.5730000000000004</v>
      </c>
      <c r="G310" s="29">
        <v>7.2381249999999994E-2</v>
      </c>
      <c r="H310" s="29">
        <v>0</v>
      </c>
      <c r="I310" s="29">
        <v>2.2643098749999999</v>
      </c>
      <c r="J310" s="29">
        <v>0.97094249999999993</v>
      </c>
      <c r="K310" s="29">
        <v>0</v>
      </c>
    </row>
    <row r="311" spans="1:11">
      <c r="A311" s="16">
        <v>2</v>
      </c>
      <c r="B311" s="24">
        <v>41135</v>
      </c>
      <c r="C311" s="16">
        <v>2012</v>
      </c>
      <c r="D311" s="11" t="s">
        <v>34</v>
      </c>
      <c r="E311" s="16">
        <v>8</v>
      </c>
      <c r="F311" s="28">
        <v>14.991</v>
      </c>
      <c r="G311" s="29">
        <v>0.76928300000000005</v>
      </c>
      <c r="H311" s="29">
        <v>0</v>
      </c>
      <c r="I311" s="29">
        <v>5.0638333749999997</v>
      </c>
      <c r="J311" s="29">
        <v>1.7980672499999997</v>
      </c>
      <c r="K311" s="29">
        <v>0</v>
      </c>
    </row>
    <row r="312" spans="1:11">
      <c r="A312" s="16">
        <v>16</v>
      </c>
      <c r="B312" s="24">
        <v>41135</v>
      </c>
      <c r="C312" s="16">
        <v>2012</v>
      </c>
      <c r="D312" s="11" t="s">
        <v>34</v>
      </c>
      <c r="E312" s="16">
        <v>8</v>
      </c>
      <c r="F312" s="28">
        <v>10.858000000000001</v>
      </c>
      <c r="G312" s="29">
        <v>0.40365662499999994</v>
      </c>
      <c r="H312" s="29">
        <v>0</v>
      </c>
      <c r="I312" s="29">
        <v>3.7688416249999994</v>
      </c>
      <c r="J312" s="29">
        <v>1.117968375</v>
      </c>
      <c r="K312" s="29">
        <v>2.3257874999999994E-2</v>
      </c>
    </row>
    <row r="313" spans="1:11">
      <c r="A313" s="16">
        <v>2</v>
      </c>
      <c r="B313" s="24">
        <v>41164</v>
      </c>
      <c r="C313" s="16">
        <v>2012</v>
      </c>
      <c r="D313" s="11" t="s">
        <v>40</v>
      </c>
      <c r="E313" s="16">
        <v>9</v>
      </c>
      <c r="F313" s="28">
        <v>16.704000000000001</v>
      </c>
      <c r="G313" s="29">
        <v>0</v>
      </c>
      <c r="H313" s="29">
        <v>0</v>
      </c>
      <c r="I313" s="29">
        <v>9.5270276250000006</v>
      </c>
      <c r="J313" s="29">
        <v>0.51851749999999985</v>
      </c>
      <c r="K313" s="29">
        <v>0</v>
      </c>
    </row>
    <row r="314" spans="1:11">
      <c r="A314" s="16">
        <v>16</v>
      </c>
      <c r="B314" s="24">
        <v>41164</v>
      </c>
      <c r="C314" s="16">
        <v>2012</v>
      </c>
      <c r="D314" s="11" t="s">
        <v>40</v>
      </c>
      <c r="E314" s="16">
        <v>9</v>
      </c>
      <c r="F314" s="28">
        <v>8.1769999999999996</v>
      </c>
      <c r="G314" s="29">
        <v>0</v>
      </c>
      <c r="H314" s="29">
        <v>0</v>
      </c>
      <c r="I314" s="29">
        <v>4.9475738749999989</v>
      </c>
      <c r="J314" s="29">
        <v>0.44327062499999997</v>
      </c>
      <c r="K314" s="29">
        <v>0</v>
      </c>
    </row>
    <row r="315" spans="1:11">
      <c r="A315" s="16">
        <v>2</v>
      </c>
      <c r="B315" s="24">
        <v>41200</v>
      </c>
      <c r="C315" s="16">
        <v>2012</v>
      </c>
      <c r="D315" s="11" t="s">
        <v>36</v>
      </c>
      <c r="E315" s="16">
        <v>10</v>
      </c>
      <c r="F315" s="28">
        <v>2.794</v>
      </c>
      <c r="G315" s="29">
        <v>0.10308912499999999</v>
      </c>
      <c r="H315" s="29">
        <v>0</v>
      </c>
      <c r="I315" s="29">
        <v>0.87255487499999995</v>
      </c>
      <c r="J315" s="29">
        <v>6.305899999999999E-2</v>
      </c>
      <c r="K315" s="29">
        <v>0</v>
      </c>
    </row>
    <row r="316" spans="1:11">
      <c r="A316" s="16">
        <v>16</v>
      </c>
      <c r="B316" s="24">
        <v>41200</v>
      </c>
      <c r="C316" s="16">
        <v>2012</v>
      </c>
      <c r="D316" s="11" t="s">
        <v>36</v>
      </c>
      <c r="E316" s="16">
        <v>10</v>
      </c>
      <c r="F316" s="28">
        <v>2.133</v>
      </c>
      <c r="G316" s="29">
        <v>0.1075995</v>
      </c>
      <c r="H316" s="29">
        <v>0</v>
      </c>
      <c r="I316" s="29">
        <v>0.41223537499999996</v>
      </c>
      <c r="J316" s="29">
        <v>4.2762374999999991E-2</v>
      </c>
      <c r="K316" s="29">
        <v>0</v>
      </c>
    </row>
    <row r="317" spans="1:11">
      <c r="A317" s="16">
        <v>2</v>
      </c>
      <c r="B317" s="24">
        <v>41226</v>
      </c>
      <c r="C317" s="16">
        <v>2012</v>
      </c>
      <c r="D317" s="11" t="s">
        <v>37</v>
      </c>
      <c r="E317" s="16">
        <v>11</v>
      </c>
      <c r="F317" s="28">
        <v>2.4950000000000001</v>
      </c>
      <c r="G317" s="29">
        <v>3.2444499999999994E-2</v>
      </c>
      <c r="H317" s="29">
        <v>0</v>
      </c>
      <c r="I317" s="29">
        <v>0.764262</v>
      </c>
      <c r="J317" s="29">
        <v>2.4771749999999995E-2</v>
      </c>
      <c r="K317" s="29">
        <v>0</v>
      </c>
    </row>
    <row r="318" spans="1:11">
      <c r="A318" s="16">
        <v>16</v>
      </c>
      <c r="B318" s="24">
        <v>41226</v>
      </c>
      <c r="C318" s="16">
        <v>2012</v>
      </c>
      <c r="D318" s="11" t="s">
        <v>37</v>
      </c>
      <c r="E318" s="16">
        <v>11</v>
      </c>
      <c r="F318" s="28">
        <v>2.496</v>
      </c>
      <c r="G318" s="29">
        <v>0</v>
      </c>
      <c r="H318" s="29">
        <v>0</v>
      </c>
      <c r="I318" s="29">
        <v>0</v>
      </c>
      <c r="J318" s="29">
        <v>0</v>
      </c>
      <c r="K318" s="29">
        <v>0</v>
      </c>
    </row>
    <row r="319" spans="1:11">
      <c r="A319" s="16">
        <v>2</v>
      </c>
      <c r="B319" s="24">
        <v>41254</v>
      </c>
      <c r="C319" s="16">
        <v>2012</v>
      </c>
      <c r="D319" s="11" t="s">
        <v>38</v>
      </c>
      <c r="E319" s="16">
        <v>12</v>
      </c>
      <c r="F319" s="28">
        <v>1.611</v>
      </c>
      <c r="G319" s="29">
        <v>5.661324999999999E-2</v>
      </c>
      <c r="H319" s="29">
        <v>0</v>
      </c>
      <c r="I319" s="29">
        <v>0.64646587499999986</v>
      </c>
      <c r="J319" s="29">
        <v>0</v>
      </c>
      <c r="K319" s="29">
        <v>0</v>
      </c>
    </row>
    <row r="320" spans="1:11">
      <c r="A320" s="16">
        <v>16</v>
      </c>
      <c r="B320" s="24">
        <v>41254</v>
      </c>
      <c r="C320" s="16">
        <v>2012</v>
      </c>
      <c r="D320" s="11" t="s">
        <v>38</v>
      </c>
      <c r="E320" s="16">
        <v>12</v>
      </c>
      <c r="F320" s="28">
        <v>0.92400000000000004</v>
      </c>
      <c r="G320" s="29">
        <v>0.150391</v>
      </c>
      <c r="H320" s="29">
        <v>0</v>
      </c>
      <c r="I320" s="29">
        <v>0.20867687499999998</v>
      </c>
      <c r="J320" s="29">
        <v>0</v>
      </c>
      <c r="K320" s="29">
        <v>0</v>
      </c>
    </row>
    <row r="321" spans="1:11">
      <c r="A321" s="16">
        <v>2</v>
      </c>
      <c r="B321" s="24">
        <v>41288</v>
      </c>
      <c r="C321" s="16">
        <v>2013</v>
      </c>
      <c r="D321" s="11" t="s">
        <v>39</v>
      </c>
      <c r="E321" s="16">
        <v>1</v>
      </c>
      <c r="F321" s="28">
        <v>2.032</v>
      </c>
      <c r="G321" s="29">
        <v>2.861675E-2</v>
      </c>
      <c r="H321" s="29">
        <v>0</v>
      </c>
      <c r="I321" s="29">
        <v>0.88756687499999987</v>
      </c>
      <c r="J321" s="29">
        <v>0</v>
      </c>
      <c r="K321" s="29">
        <v>0</v>
      </c>
    </row>
    <row r="322" spans="1:11">
      <c r="A322" s="16">
        <v>16</v>
      </c>
      <c r="B322" s="24">
        <v>41288</v>
      </c>
      <c r="C322" s="16">
        <v>2013</v>
      </c>
      <c r="D322" s="11" t="s">
        <v>39</v>
      </c>
      <c r="E322" s="16">
        <v>1</v>
      </c>
      <c r="F322" s="28">
        <v>2.7450000000000001</v>
      </c>
      <c r="G322" s="29">
        <v>2.6190624999999999E-2</v>
      </c>
      <c r="H322" s="29">
        <v>0</v>
      </c>
      <c r="I322" s="29">
        <v>1.4783541249999999</v>
      </c>
      <c r="J322" s="29">
        <v>1.638125E-2</v>
      </c>
      <c r="K322" s="29">
        <v>0</v>
      </c>
    </row>
    <row r="323" spans="1:11">
      <c r="A323" s="16">
        <v>2</v>
      </c>
      <c r="B323" s="24">
        <v>41318</v>
      </c>
      <c r="C323" s="16">
        <v>2013</v>
      </c>
      <c r="D323" s="11" t="s">
        <v>28</v>
      </c>
      <c r="E323" s="16">
        <v>2</v>
      </c>
      <c r="F323" s="33">
        <v>7.9969999999999999</v>
      </c>
      <c r="G323" s="29">
        <v>0.22353124999999999</v>
      </c>
      <c r="H323" s="29">
        <v>8.5152500000000002E-3</v>
      </c>
      <c r="I323" s="29">
        <v>4.2865597500000012</v>
      </c>
      <c r="J323" s="29">
        <v>0</v>
      </c>
      <c r="K323" s="29">
        <v>0</v>
      </c>
    </row>
    <row r="324" spans="1:11">
      <c r="A324" s="16">
        <v>16</v>
      </c>
      <c r="B324" s="24">
        <v>41318</v>
      </c>
      <c r="C324" s="16">
        <v>2013</v>
      </c>
      <c r="D324" s="11" t="s">
        <v>28</v>
      </c>
      <c r="E324" s="16">
        <v>2</v>
      </c>
      <c r="F324" s="33">
        <v>8.891</v>
      </c>
      <c r="G324" s="29">
        <v>9.2688749999999986E-2</v>
      </c>
      <c r="H324" s="29">
        <v>0</v>
      </c>
      <c r="I324" s="29">
        <v>5.0490748749999996</v>
      </c>
      <c r="J324" s="29">
        <v>2.4691749999999998E-2</v>
      </c>
      <c r="K324" s="29">
        <v>0</v>
      </c>
    </row>
    <row r="325" spans="1:11">
      <c r="A325" s="16">
        <v>2</v>
      </c>
      <c r="B325" s="24">
        <v>41344</v>
      </c>
      <c r="C325" s="16">
        <v>2013</v>
      </c>
      <c r="D325" s="11" t="s">
        <v>29</v>
      </c>
      <c r="E325" s="16">
        <v>3</v>
      </c>
      <c r="F325" s="33">
        <v>5.782</v>
      </c>
      <c r="G325" s="29">
        <v>0.12493099999999997</v>
      </c>
      <c r="H325" s="29">
        <v>0</v>
      </c>
      <c r="I325" s="29">
        <v>2.6444838750000006</v>
      </c>
      <c r="J325" s="29">
        <v>1.9231874999999996E-2</v>
      </c>
      <c r="K325" s="29">
        <v>0</v>
      </c>
    </row>
    <row r="326" spans="1:11">
      <c r="A326" s="16">
        <v>16</v>
      </c>
      <c r="B326" s="24">
        <v>41344</v>
      </c>
      <c r="C326" s="16">
        <v>2013</v>
      </c>
      <c r="D326" s="11" t="s">
        <v>29</v>
      </c>
      <c r="E326" s="16">
        <v>3</v>
      </c>
      <c r="F326" s="33">
        <v>6.2729999999999997</v>
      </c>
      <c r="G326" s="29">
        <v>0</v>
      </c>
      <c r="H326" s="29">
        <v>0</v>
      </c>
      <c r="I326" s="29">
        <v>3.7286902500000001</v>
      </c>
      <c r="J326" s="29">
        <v>3.6736124999999994E-2</v>
      </c>
      <c r="K326" s="29">
        <v>0</v>
      </c>
    </row>
    <row r="327" spans="1:11">
      <c r="A327" s="16">
        <v>2</v>
      </c>
      <c r="B327" s="24">
        <v>41381</v>
      </c>
      <c r="C327" s="16">
        <v>2013</v>
      </c>
      <c r="D327" s="11" t="s">
        <v>30</v>
      </c>
      <c r="E327" s="16">
        <v>4</v>
      </c>
      <c r="F327" s="34">
        <v>0.46899999999999997</v>
      </c>
      <c r="G327" s="29">
        <v>0</v>
      </c>
      <c r="H327" s="29">
        <v>0</v>
      </c>
      <c r="I327" s="29">
        <v>0.32943099999999997</v>
      </c>
      <c r="J327" s="29">
        <v>8.8023749999999994E-3</v>
      </c>
      <c r="K327" s="29">
        <v>0</v>
      </c>
    </row>
    <row r="328" spans="1:11">
      <c r="A328" s="16">
        <v>16</v>
      </c>
      <c r="B328" s="24">
        <v>41379</v>
      </c>
      <c r="C328" s="16">
        <v>2013</v>
      </c>
      <c r="D328" s="11" t="s">
        <v>30</v>
      </c>
      <c r="E328" s="16">
        <v>4</v>
      </c>
      <c r="F328" s="34">
        <v>0.188</v>
      </c>
      <c r="G328" s="29">
        <v>0</v>
      </c>
      <c r="H328" s="29">
        <v>0</v>
      </c>
      <c r="I328" s="29">
        <v>0.124840125</v>
      </c>
      <c r="J328" s="29">
        <v>0</v>
      </c>
      <c r="K328" s="29">
        <v>0</v>
      </c>
    </row>
    <row r="329" spans="1:11">
      <c r="A329" s="16">
        <v>2</v>
      </c>
      <c r="B329" s="24">
        <v>41408</v>
      </c>
      <c r="C329" s="16">
        <v>2013</v>
      </c>
      <c r="D329" s="11" t="s">
        <v>31</v>
      </c>
      <c r="E329" s="16">
        <v>5</v>
      </c>
      <c r="F329" s="34">
        <v>1.1559999999999999</v>
      </c>
      <c r="G329" s="29">
        <v>4.1467749999999998E-2</v>
      </c>
      <c r="H329" s="29">
        <v>0</v>
      </c>
      <c r="I329" s="29">
        <v>0.13207712499999999</v>
      </c>
      <c r="J329" s="29">
        <v>2.1850250000000002E-2</v>
      </c>
      <c r="K329" s="29">
        <v>0</v>
      </c>
    </row>
    <row r="330" spans="1:11">
      <c r="A330" s="16">
        <v>16</v>
      </c>
      <c r="B330" s="24">
        <v>41408</v>
      </c>
      <c r="C330" s="16">
        <v>2013</v>
      </c>
      <c r="D330" s="11" t="s">
        <v>31</v>
      </c>
      <c r="E330" s="16">
        <v>5</v>
      </c>
      <c r="F330" s="34">
        <v>0.72499999999999998</v>
      </c>
      <c r="G330" s="29">
        <v>5.5971375000000004E-2</v>
      </c>
      <c r="H330" s="29">
        <v>0</v>
      </c>
      <c r="I330" s="29">
        <v>9.3803874999999995E-2</v>
      </c>
      <c r="J330" s="29">
        <v>1.4923250000000001E-2</v>
      </c>
      <c r="K330" s="29">
        <v>0</v>
      </c>
    </row>
    <row r="331" spans="1:11">
      <c r="A331" s="16">
        <v>2</v>
      </c>
      <c r="B331" s="24">
        <v>41436</v>
      </c>
      <c r="C331" s="16">
        <v>2013</v>
      </c>
      <c r="D331" s="11" t="s">
        <v>32</v>
      </c>
      <c r="E331" s="16">
        <v>6</v>
      </c>
      <c r="F331" s="34">
        <v>4.1029999999999998</v>
      </c>
      <c r="G331" s="29">
        <v>4.2164374999999997E-2</v>
      </c>
      <c r="H331" s="29">
        <v>0</v>
      </c>
      <c r="I331" s="29">
        <v>1.5419622499999999</v>
      </c>
      <c r="J331" s="29">
        <v>8.5822499999999996E-2</v>
      </c>
      <c r="K331" s="29">
        <v>0</v>
      </c>
    </row>
    <row r="332" spans="1:11">
      <c r="A332" s="16">
        <v>16</v>
      </c>
      <c r="B332" s="24">
        <v>41437</v>
      </c>
      <c r="C332" s="16">
        <v>2013</v>
      </c>
      <c r="D332" s="11" t="s">
        <v>32</v>
      </c>
      <c r="E332" s="16">
        <v>6</v>
      </c>
      <c r="F332" s="34">
        <v>3.2080000000000002</v>
      </c>
      <c r="G332" s="29">
        <v>5.8733250000000008E-2</v>
      </c>
      <c r="H332" s="29">
        <v>0</v>
      </c>
      <c r="I332" s="29">
        <v>1.4860301249999999</v>
      </c>
      <c r="J332" s="29">
        <v>5.189524999999999E-2</v>
      </c>
      <c r="K332" s="29">
        <v>0</v>
      </c>
    </row>
    <row r="333" spans="1:11">
      <c r="A333" s="16">
        <v>2</v>
      </c>
      <c r="B333" s="24">
        <v>41471</v>
      </c>
      <c r="C333" s="16">
        <v>2013</v>
      </c>
      <c r="D333" s="11" t="s">
        <v>33</v>
      </c>
      <c r="E333" s="16">
        <v>7</v>
      </c>
      <c r="F333" s="34">
        <v>7.593</v>
      </c>
      <c r="G333" s="29">
        <v>0.28626825000000006</v>
      </c>
      <c r="H333" s="29">
        <v>0</v>
      </c>
      <c r="I333" s="29">
        <v>1.8937832499999998</v>
      </c>
      <c r="J333" s="29">
        <v>0.30018362500000001</v>
      </c>
      <c r="K333" s="29">
        <v>0</v>
      </c>
    </row>
    <row r="334" spans="1:11">
      <c r="A334" s="16">
        <v>16</v>
      </c>
      <c r="B334" s="24">
        <v>41471</v>
      </c>
      <c r="C334" s="16">
        <v>2013</v>
      </c>
      <c r="D334" s="11" t="s">
        <v>33</v>
      </c>
      <c r="E334" s="16">
        <v>7</v>
      </c>
      <c r="F334" s="34">
        <v>10.65</v>
      </c>
      <c r="G334" s="29">
        <v>0.44133099999999997</v>
      </c>
      <c r="H334" s="29">
        <v>0</v>
      </c>
      <c r="I334" s="29">
        <v>1.426776375</v>
      </c>
      <c r="J334" s="29">
        <v>0.68329187499999999</v>
      </c>
      <c r="K334" s="29">
        <v>0</v>
      </c>
    </row>
    <row r="335" spans="1:11">
      <c r="A335" s="16">
        <v>2</v>
      </c>
      <c r="B335" s="24">
        <v>41499</v>
      </c>
      <c r="C335" s="16">
        <v>2013</v>
      </c>
      <c r="D335" s="11" t="s">
        <v>34</v>
      </c>
      <c r="E335" s="16">
        <v>8</v>
      </c>
      <c r="F335" s="34">
        <v>6.907</v>
      </c>
      <c r="G335" s="29">
        <v>0.90067375000000005</v>
      </c>
      <c r="H335" s="29">
        <v>0</v>
      </c>
      <c r="I335" s="29">
        <v>1.9100388749999999</v>
      </c>
      <c r="J335" s="29">
        <v>0.53124662500000008</v>
      </c>
      <c r="K335" s="29">
        <v>0</v>
      </c>
    </row>
    <row r="336" spans="1:11">
      <c r="A336" s="16">
        <v>16</v>
      </c>
      <c r="B336" s="24">
        <v>41499</v>
      </c>
      <c r="C336" s="16">
        <v>2013</v>
      </c>
      <c r="D336" s="11" t="s">
        <v>34</v>
      </c>
      <c r="E336" s="16">
        <v>8</v>
      </c>
      <c r="F336" s="34">
        <v>5.8710000000000004</v>
      </c>
      <c r="G336" s="29">
        <v>1.7550506249999998</v>
      </c>
      <c r="H336" s="29">
        <v>0</v>
      </c>
      <c r="I336" s="29">
        <v>0.59580437500000005</v>
      </c>
      <c r="J336" s="29">
        <v>0.50217149999999999</v>
      </c>
      <c r="K336" s="29">
        <v>0</v>
      </c>
    </row>
    <row r="337" spans="1:11">
      <c r="A337" s="16">
        <v>2</v>
      </c>
      <c r="B337" s="24">
        <v>41533</v>
      </c>
      <c r="C337" s="16">
        <v>2013</v>
      </c>
      <c r="D337" s="11" t="s">
        <v>40</v>
      </c>
      <c r="E337" s="16">
        <v>9</v>
      </c>
      <c r="F337" s="34">
        <v>4.5720000000000001</v>
      </c>
      <c r="G337" s="29">
        <v>0.15575749999999999</v>
      </c>
      <c r="H337" s="29">
        <v>0</v>
      </c>
      <c r="I337" s="29">
        <v>1.5528502500000003</v>
      </c>
      <c r="J337" s="29">
        <v>6.5026125000000004E-2</v>
      </c>
      <c r="K337" s="29">
        <v>0</v>
      </c>
    </row>
    <row r="338" spans="1:11">
      <c r="A338" s="16">
        <v>16</v>
      </c>
      <c r="B338" s="24">
        <v>41533</v>
      </c>
      <c r="C338" s="16">
        <v>2013</v>
      </c>
      <c r="D338" s="11" t="s">
        <v>40</v>
      </c>
      <c r="E338" s="16">
        <v>9</v>
      </c>
      <c r="F338" s="34">
        <v>3.3290000000000002</v>
      </c>
      <c r="G338" s="29">
        <v>0.20189237499999999</v>
      </c>
      <c r="H338" s="29">
        <v>0</v>
      </c>
      <c r="I338" s="29">
        <v>1.0128671249999999</v>
      </c>
      <c r="J338" s="29">
        <v>6.3891375E-2</v>
      </c>
      <c r="K338" s="29">
        <v>0</v>
      </c>
    </row>
    <row r="339" spans="1:11">
      <c r="A339" s="16">
        <v>2</v>
      </c>
      <c r="B339" s="24">
        <v>41569</v>
      </c>
      <c r="C339" s="16">
        <v>2013</v>
      </c>
      <c r="D339" s="11" t="s">
        <v>36</v>
      </c>
      <c r="E339" s="16">
        <v>10</v>
      </c>
      <c r="F339" s="28">
        <v>1.8440000000000001</v>
      </c>
      <c r="G339" s="29">
        <v>0</v>
      </c>
      <c r="H339" s="29">
        <v>0</v>
      </c>
      <c r="I339" s="29">
        <v>0.109402</v>
      </c>
      <c r="J339" s="29">
        <v>0</v>
      </c>
      <c r="K339" s="29">
        <v>0</v>
      </c>
    </row>
    <row r="340" spans="1:11">
      <c r="A340" s="16">
        <v>16</v>
      </c>
      <c r="B340" s="24">
        <v>41569</v>
      </c>
      <c r="C340" s="16">
        <v>2013</v>
      </c>
      <c r="D340" s="11" t="s">
        <v>36</v>
      </c>
      <c r="E340" s="16">
        <v>10</v>
      </c>
      <c r="F340" s="28">
        <v>1.95</v>
      </c>
      <c r="G340" s="29">
        <v>5.3848624999999983E-2</v>
      </c>
      <c r="H340" s="29">
        <v>0</v>
      </c>
      <c r="I340" s="29">
        <v>9.3876874999999985E-2</v>
      </c>
      <c r="J340" s="29">
        <v>0</v>
      </c>
      <c r="K340" s="29">
        <v>0</v>
      </c>
    </row>
    <row r="341" spans="1:11">
      <c r="A341" s="16">
        <v>2</v>
      </c>
      <c r="B341" s="24">
        <v>41597</v>
      </c>
      <c r="C341" s="16">
        <v>2013</v>
      </c>
      <c r="D341" s="11" t="s">
        <v>37</v>
      </c>
      <c r="E341" s="16">
        <v>11</v>
      </c>
      <c r="F341" s="28">
        <v>0.54600000000000004</v>
      </c>
      <c r="G341" s="29">
        <v>0</v>
      </c>
      <c r="H341" s="29">
        <v>0</v>
      </c>
      <c r="I341" s="29">
        <v>0.19918550000000002</v>
      </c>
      <c r="J341" s="29">
        <v>0</v>
      </c>
      <c r="K341" s="29">
        <v>0</v>
      </c>
    </row>
    <row r="342" spans="1:11">
      <c r="A342" s="16">
        <v>16</v>
      </c>
      <c r="B342" s="24">
        <v>41597</v>
      </c>
      <c r="C342" s="16">
        <v>2013</v>
      </c>
      <c r="D342" s="11" t="s">
        <v>37</v>
      </c>
      <c r="E342" s="16">
        <v>11</v>
      </c>
      <c r="F342" s="28">
        <v>0.90700000000000003</v>
      </c>
      <c r="G342" s="29">
        <v>8.1372749999999994E-2</v>
      </c>
      <c r="H342" s="29">
        <v>0</v>
      </c>
      <c r="I342" s="29">
        <v>0.16989412499999998</v>
      </c>
      <c r="J342" s="29">
        <v>0</v>
      </c>
      <c r="K342" s="29">
        <v>0</v>
      </c>
    </row>
    <row r="343" spans="1:11">
      <c r="A343" s="16">
        <v>2</v>
      </c>
      <c r="B343" s="24">
        <v>41624</v>
      </c>
      <c r="C343" s="16">
        <v>2013</v>
      </c>
      <c r="D343" s="11" t="s">
        <v>38</v>
      </c>
      <c r="E343" s="16">
        <v>12</v>
      </c>
      <c r="F343" s="28">
        <v>2.3079999999999998</v>
      </c>
      <c r="G343" s="29">
        <v>5.3491499999999997E-2</v>
      </c>
      <c r="H343" s="29">
        <v>0</v>
      </c>
      <c r="I343" s="29">
        <v>1.0216511249999998</v>
      </c>
      <c r="J343" s="29">
        <v>8.6341249999999994E-3</v>
      </c>
      <c r="K343" s="29">
        <v>0</v>
      </c>
    </row>
    <row r="344" spans="1:11">
      <c r="A344" s="16">
        <v>16</v>
      </c>
      <c r="B344" s="24">
        <v>41624</v>
      </c>
      <c r="C344" s="16">
        <v>2013</v>
      </c>
      <c r="D344" s="11" t="s">
        <v>38</v>
      </c>
      <c r="E344" s="16">
        <v>12</v>
      </c>
      <c r="F344" s="28">
        <v>2.0470000000000002</v>
      </c>
      <c r="G344" s="29">
        <v>3.7790749999999991E-2</v>
      </c>
      <c r="H344" s="29">
        <v>0</v>
      </c>
      <c r="I344" s="29">
        <v>0.80317462500000003</v>
      </c>
      <c r="J344" s="29">
        <v>0</v>
      </c>
      <c r="K344" s="29">
        <v>0</v>
      </c>
    </row>
    <row r="345" spans="1:11">
      <c r="A345" s="16">
        <v>2</v>
      </c>
      <c r="B345" s="24">
        <v>41654</v>
      </c>
      <c r="C345" s="16">
        <v>2014</v>
      </c>
      <c r="D345" s="11" t="s">
        <v>39</v>
      </c>
      <c r="E345" s="16">
        <v>1</v>
      </c>
      <c r="F345" s="28">
        <v>2.3420000000000001</v>
      </c>
      <c r="G345" s="29">
        <v>5.402912499999999E-2</v>
      </c>
      <c r="H345" s="29">
        <v>0</v>
      </c>
      <c r="I345" s="29">
        <v>0.91590324999999972</v>
      </c>
      <c r="J345" s="29">
        <v>1.0244749999999997E-2</v>
      </c>
      <c r="K345" s="29">
        <v>0</v>
      </c>
    </row>
    <row r="346" spans="1:11">
      <c r="A346" s="16">
        <v>16</v>
      </c>
      <c r="B346" s="24">
        <v>41654</v>
      </c>
      <c r="C346" s="16">
        <v>2014</v>
      </c>
      <c r="D346" s="11" t="s">
        <v>39</v>
      </c>
      <c r="E346" s="16">
        <v>1</v>
      </c>
      <c r="F346" s="28">
        <v>2.7210000000000001</v>
      </c>
      <c r="G346" s="29">
        <v>0</v>
      </c>
      <c r="H346" s="29">
        <v>0</v>
      </c>
      <c r="I346" s="29">
        <v>1.074390875</v>
      </c>
      <c r="J346" s="29">
        <v>1.5335999999999997E-2</v>
      </c>
      <c r="K346" s="29">
        <v>0</v>
      </c>
    </row>
    <row r="347" spans="1:11">
      <c r="A347" s="16">
        <v>2</v>
      </c>
      <c r="B347" s="24">
        <v>41688</v>
      </c>
      <c r="C347" s="16">
        <v>2014</v>
      </c>
      <c r="D347" s="11" t="s">
        <v>28</v>
      </c>
      <c r="E347" s="16">
        <v>2</v>
      </c>
      <c r="F347" s="28">
        <v>4.1689999999999996</v>
      </c>
      <c r="G347" s="29">
        <v>0.11350887499999998</v>
      </c>
      <c r="H347" s="29">
        <v>0</v>
      </c>
      <c r="I347" s="29">
        <v>1.8025028749999998</v>
      </c>
      <c r="J347" s="29">
        <v>1.8526375000000001E-2</v>
      </c>
      <c r="K347" s="29">
        <v>0</v>
      </c>
    </row>
    <row r="348" spans="1:11">
      <c r="A348" s="16">
        <v>16</v>
      </c>
      <c r="B348" s="24">
        <v>41690</v>
      </c>
      <c r="C348" s="16">
        <v>2014</v>
      </c>
      <c r="D348" s="11" t="s">
        <v>28</v>
      </c>
      <c r="E348" s="16">
        <v>2</v>
      </c>
      <c r="F348" s="28">
        <v>4.2729999999999997</v>
      </c>
      <c r="G348" s="29">
        <v>8.6924874999999999E-2</v>
      </c>
      <c r="H348" s="29">
        <v>0</v>
      </c>
      <c r="I348" s="29">
        <v>1.7758881250000003</v>
      </c>
      <c r="J348" s="29">
        <v>1.9015000000000001E-2</v>
      </c>
      <c r="K348" s="29">
        <v>0</v>
      </c>
    </row>
    <row r="349" spans="1:11">
      <c r="A349" s="16">
        <v>2</v>
      </c>
      <c r="B349" s="24">
        <v>41719</v>
      </c>
      <c r="C349" s="16">
        <v>2014</v>
      </c>
      <c r="D349" s="11" t="s">
        <v>29</v>
      </c>
      <c r="E349" s="16">
        <v>3</v>
      </c>
      <c r="F349" s="28">
        <v>1.4079999999999999</v>
      </c>
      <c r="G349" s="29">
        <v>5.4196000000000001E-2</v>
      </c>
      <c r="H349" s="29">
        <v>0</v>
      </c>
      <c r="I349" s="29">
        <v>0.50731062500000002</v>
      </c>
      <c r="J349" s="29">
        <v>5.5565499999999997E-2</v>
      </c>
      <c r="K349" s="29">
        <v>0</v>
      </c>
    </row>
    <row r="350" spans="1:11">
      <c r="A350" s="16">
        <v>16</v>
      </c>
      <c r="B350" s="24">
        <v>41719</v>
      </c>
      <c r="C350" s="16">
        <v>2014</v>
      </c>
      <c r="D350" s="11" t="s">
        <v>29</v>
      </c>
      <c r="E350" s="16">
        <v>3</v>
      </c>
      <c r="F350" s="28">
        <v>1.734</v>
      </c>
      <c r="G350" s="29">
        <v>2.2063124999999992E-2</v>
      </c>
      <c r="H350" s="29">
        <v>0</v>
      </c>
      <c r="I350" s="29">
        <v>0.81328912500000006</v>
      </c>
      <c r="J350" s="29">
        <v>3.5028249999999997E-2</v>
      </c>
      <c r="K350" s="29">
        <v>0</v>
      </c>
    </row>
    <row r="351" spans="1:11">
      <c r="A351" s="16">
        <v>2</v>
      </c>
      <c r="B351" s="24">
        <v>41747</v>
      </c>
      <c r="C351" s="16">
        <v>2014</v>
      </c>
      <c r="D351" s="11" t="s">
        <v>30</v>
      </c>
      <c r="E351" s="16">
        <v>4</v>
      </c>
      <c r="F351" s="35">
        <v>5.2670000000000003</v>
      </c>
      <c r="G351" s="29">
        <v>2.4896749999999999E-2</v>
      </c>
      <c r="H351" s="29">
        <v>7.7768875000000001E-2</v>
      </c>
      <c r="I351" s="29">
        <v>2.9219887499999997</v>
      </c>
      <c r="J351" s="29">
        <v>3.5490124999999997E-2</v>
      </c>
      <c r="K351" s="29">
        <v>0</v>
      </c>
    </row>
    <row r="352" spans="1:11">
      <c r="A352" s="16">
        <v>16</v>
      </c>
      <c r="B352" s="24">
        <v>41747</v>
      </c>
      <c r="C352" s="16">
        <v>2014</v>
      </c>
      <c r="D352" s="11" t="s">
        <v>30</v>
      </c>
      <c r="E352" s="16">
        <v>4</v>
      </c>
      <c r="F352" s="35">
        <v>2.0419999999999998</v>
      </c>
      <c r="G352" s="29">
        <v>1.6384250000000003E-2</v>
      </c>
      <c r="H352" s="29">
        <v>6.2575875000000003E-2</v>
      </c>
      <c r="I352" s="29">
        <v>1.004286</v>
      </c>
      <c r="J352" s="29">
        <v>2.0927874999999999E-2</v>
      </c>
      <c r="K352" s="29">
        <v>0</v>
      </c>
    </row>
    <row r="353" spans="1:11">
      <c r="A353" s="16">
        <v>2</v>
      </c>
      <c r="B353" s="24">
        <v>41772</v>
      </c>
      <c r="C353" s="16">
        <v>2014</v>
      </c>
      <c r="D353" s="11" t="s">
        <v>31</v>
      </c>
      <c r="E353" s="16">
        <v>5</v>
      </c>
      <c r="F353" s="35">
        <v>2.57</v>
      </c>
      <c r="G353" s="29">
        <v>0</v>
      </c>
      <c r="H353" s="29">
        <v>0</v>
      </c>
      <c r="I353" s="29">
        <v>0.51109450000000001</v>
      </c>
      <c r="J353" s="29">
        <v>3.1180625E-2</v>
      </c>
      <c r="K353" s="29">
        <v>0</v>
      </c>
    </row>
    <row r="354" spans="1:11">
      <c r="A354" s="16">
        <v>16</v>
      </c>
      <c r="B354" s="24">
        <v>41772</v>
      </c>
      <c r="C354" s="16">
        <v>2014</v>
      </c>
      <c r="D354" s="11" t="s">
        <v>31</v>
      </c>
      <c r="E354" s="16">
        <v>5</v>
      </c>
      <c r="F354" s="35">
        <v>1.5649999999999999</v>
      </c>
      <c r="G354" s="29">
        <v>0</v>
      </c>
      <c r="H354" s="29">
        <v>0</v>
      </c>
      <c r="I354" s="29">
        <v>0.35300124999999993</v>
      </c>
      <c r="J354" s="29">
        <v>1.5259375E-2</v>
      </c>
      <c r="K354" s="29">
        <v>0</v>
      </c>
    </row>
    <row r="355" spans="1:11">
      <c r="A355" s="16">
        <v>2</v>
      </c>
      <c r="B355" s="24">
        <v>41808</v>
      </c>
      <c r="C355" s="16">
        <v>2014</v>
      </c>
      <c r="D355" s="11" t="s">
        <v>32</v>
      </c>
      <c r="E355" s="16">
        <v>6</v>
      </c>
      <c r="F355" s="35">
        <v>6.9630000000000001</v>
      </c>
      <c r="G355" s="29">
        <v>0.22095437499999998</v>
      </c>
      <c r="H355" s="29">
        <v>0.34616012499999999</v>
      </c>
      <c r="I355" s="29">
        <v>2.4001611249999999</v>
      </c>
      <c r="J355" s="29">
        <v>0.68793762499999989</v>
      </c>
      <c r="K355" s="29">
        <v>0</v>
      </c>
    </row>
    <row r="356" spans="1:11">
      <c r="A356" s="16">
        <v>16</v>
      </c>
      <c r="B356" s="24">
        <v>41808</v>
      </c>
      <c r="C356" s="16">
        <v>2014</v>
      </c>
      <c r="D356" s="11" t="s">
        <v>32</v>
      </c>
      <c r="E356" s="16">
        <v>6</v>
      </c>
      <c r="F356" s="35">
        <v>7.84</v>
      </c>
      <c r="G356" s="29">
        <v>7.3735750000000003E-2</v>
      </c>
      <c r="H356" s="29">
        <v>0.968249625</v>
      </c>
      <c r="I356" s="29">
        <v>2.7001621250000003</v>
      </c>
      <c r="J356" s="29">
        <v>0.99409162500000003</v>
      </c>
      <c r="K356" s="29">
        <v>0</v>
      </c>
    </row>
    <row r="357" spans="1:11">
      <c r="A357" s="16">
        <v>2</v>
      </c>
      <c r="B357" s="24">
        <v>41834</v>
      </c>
      <c r="C357" s="16">
        <v>2014</v>
      </c>
      <c r="D357" s="11" t="s">
        <v>33</v>
      </c>
      <c r="E357" s="16">
        <v>7</v>
      </c>
      <c r="F357" s="35">
        <v>5.8369999999999997</v>
      </c>
      <c r="G357" s="29">
        <v>8.9607124999999982E-2</v>
      </c>
      <c r="H357" s="29">
        <v>0</v>
      </c>
      <c r="I357" s="29">
        <v>2.3108348749999994</v>
      </c>
      <c r="J357" s="29">
        <v>0.27418824999999997</v>
      </c>
      <c r="K357" s="29">
        <v>0</v>
      </c>
    </row>
    <row r="358" spans="1:11">
      <c r="A358" s="16">
        <v>16</v>
      </c>
      <c r="B358" s="24">
        <v>41834</v>
      </c>
      <c r="C358" s="16">
        <v>2014</v>
      </c>
      <c r="D358" s="11" t="s">
        <v>33</v>
      </c>
      <c r="E358" s="16">
        <v>7</v>
      </c>
      <c r="F358" s="35">
        <v>7.7990000000000004</v>
      </c>
      <c r="G358" s="29">
        <v>0.55776625000000002</v>
      </c>
      <c r="H358" s="29">
        <v>0</v>
      </c>
      <c r="I358" s="29">
        <v>2.3334291249999994</v>
      </c>
      <c r="J358" s="29">
        <v>0.74946875000000013</v>
      </c>
      <c r="K358" s="29">
        <v>0</v>
      </c>
    </row>
    <row r="359" spans="1:11">
      <c r="A359" s="16">
        <v>2</v>
      </c>
      <c r="B359" s="24">
        <v>41864</v>
      </c>
      <c r="C359" s="16">
        <v>2014</v>
      </c>
      <c r="D359" s="11" t="s">
        <v>34</v>
      </c>
      <c r="E359" s="16">
        <v>8</v>
      </c>
      <c r="F359" s="35">
        <v>4.8019999999999996</v>
      </c>
      <c r="G359" s="29">
        <v>0.16584024999999997</v>
      </c>
      <c r="H359" s="29">
        <v>0</v>
      </c>
      <c r="I359" s="29">
        <v>1.5632213749999997</v>
      </c>
      <c r="J359" s="29">
        <v>0.29261799999999999</v>
      </c>
      <c r="K359" s="29">
        <v>0</v>
      </c>
    </row>
    <row r="360" spans="1:11">
      <c r="A360" s="16">
        <v>16</v>
      </c>
      <c r="B360" s="24">
        <v>41862</v>
      </c>
      <c r="C360" s="16">
        <v>2014</v>
      </c>
      <c r="D360" s="11" t="s">
        <v>34</v>
      </c>
      <c r="E360" s="16">
        <v>8</v>
      </c>
      <c r="F360" s="35">
        <v>11.37</v>
      </c>
      <c r="G360" s="29">
        <v>0.55047175000000004</v>
      </c>
      <c r="H360" s="29">
        <v>0</v>
      </c>
      <c r="I360" s="29">
        <v>2.8870642499999999</v>
      </c>
      <c r="J360" s="29">
        <v>0.61387637500000003</v>
      </c>
      <c r="K360" s="29">
        <v>0</v>
      </c>
    </row>
    <row r="361" spans="1:11">
      <c r="A361" s="16">
        <v>2</v>
      </c>
      <c r="B361" s="24">
        <v>41898</v>
      </c>
      <c r="C361" s="16">
        <v>2014</v>
      </c>
      <c r="D361" s="11" t="s">
        <v>40</v>
      </c>
      <c r="E361" s="16">
        <v>9</v>
      </c>
      <c r="F361" s="35">
        <v>5.6470000000000002</v>
      </c>
      <c r="G361" s="29">
        <v>0.25465587499999998</v>
      </c>
      <c r="H361" s="29">
        <v>0</v>
      </c>
      <c r="I361" s="29">
        <v>1.4409468749999998</v>
      </c>
      <c r="J361" s="29">
        <v>8.2064624999999988E-2</v>
      </c>
      <c r="K361" s="29">
        <v>0</v>
      </c>
    </row>
    <row r="362" spans="1:11">
      <c r="A362" s="16">
        <v>16</v>
      </c>
      <c r="B362" s="24">
        <v>41898</v>
      </c>
      <c r="C362" s="16">
        <v>2014</v>
      </c>
      <c r="D362" s="11" t="s">
        <v>40</v>
      </c>
      <c r="E362" s="16">
        <v>9</v>
      </c>
      <c r="F362" s="35">
        <v>3.8079999999999998</v>
      </c>
      <c r="G362" s="29">
        <v>0.15112774999999998</v>
      </c>
      <c r="H362" s="29">
        <v>0</v>
      </c>
      <c r="I362" s="29">
        <v>0.64423237499999997</v>
      </c>
      <c r="J362" s="29">
        <v>5.3126874999999983E-2</v>
      </c>
      <c r="K362" s="29">
        <v>0</v>
      </c>
    </row>
    <row r="363" spans="1:11">
      <c r="A363" s="16">
        <v>2</v>
      </c>
      <c r="B363" s="24">
        <v>41929</v>
      </c>
      <c r="C363" s="16">
        <v>2014</v>
      </c>
      <c r="D363" s="11" t="s">
        <v>36</v>
      </c>
      <c r="E363" s="16">
        <v>10</v>
      </c>
      <c r="F363" s="28">
        <v>1.911</v>
      </c>
      <c r="G363" s="29">
        <v>4.952875000000001E-2</v>
      </c>
      <c r="H363" s="29">
        <v>0</v>
      </c>
      <c r="I363" s="29">
        <v>0.37114737499999995</v>
      </c>
      <c r="J363" s="29">
        <v>1.3363874999999997E-2</v>
      </c>
      <c r="K363" s="29">
        <v>0</v>
      </c>
    </row>
    <row r="364" spans="1:11">
      <c r="A364" s="16">
        <v>16</v>
      </c>
      <c r="B364" s="24">
        <v>41929</v>
      </c>
      <c r="C364" s="16">
        <v>2014</v>
      </c>
      <c r="D364" s="11" t="s">
        <v>36</v>
      </c>
      <c r="E364" s="16">
        <v>10</v>
      </c>
      <c r="F364" s="28">
        <v>1.1919999999999999</v>
      </c>
      <c r="G364" s="29">
        <v>3.3527500000000002E-2</v>
      </c>
      <c r="H364" s="29">
        <v>0</v>
      </c>
      <c r="I364" s="29">
        <v>0.23935949999999998</v>
      </c>
      <c r="J364" s="29">
        <v>0</v>
      </c>
      <c r="K364" s="29">
        <v>0</v>
      </c>
    </row>
    <row r="365" spans="1:11">
      <c r="A365" s="16">
        <v>2</v>
      </c>
      <c r="B365" s="24">
        <v>41953</v>
      </c>
      <c r="C365" s="16">
        <v>2014</v>
      </c>
      <c r="D365" s="11" t="s">
        <v>37</v>
      </c>
      <c r="E365" s="16">
        <v>11</v>
      </c>
      <c r="F365" s="28">
        <v>0.73899999999999999</v>
      </c>
      <c r="G365" s="29">
        <v>0</v>
      </c>
      <c r="H365" s="29">
        <v>0</v>
      </c>
      <c r="I365" s="29">
        <v>0.17703474999999996</v>
      </c>
      <c r="J365" s="29">
        <v>0</v>
      </c>
      <c r="K365" s="29">
        <v>0</v>
      </c>
    </row>
    <row r="366" spans="1:11">
      <c r="A366" s="16">
        <v>16</v>
      </c>
      <c r="B366" s="24">
        <v>41953</v>
      </c>
      <c r="C366" s="16">
        <v>2014</v>
      </c>
      <c r="D366" s="11" t="s">
        <v>37</v>
      </c>
      <c r="E366" s="16">
        <v>11</v>
      </c>
      <c r="F366" s="28">
        <v>0.96599999999999997</v>
      </c>
      <c r="G366" s="29">
        <v>0</v>
      </c>
      <c r="H366" s="29">
        <v>0</v>
      </c>
      <c r="I366" s="29">
        <v>0.114953125</v>
      </c>
      <c r="J366" s="29">
        <v>1.0116374999999999E-2</v>
      </c>
      <c r="K366" s="29">
        <v>0</v>
      </c>
    </row>
    <row r="367" spans="1:11">
      <c r="A367" s="16">
        <v>2</v>
      </c>
      <c r="B367" s="24">
        <v>41988</v>
      </c>
      <c r="C367" s="16">
        <v>2014</v>
      </c>
      <c r="D367" s="11" t="s">
        <v>38</v>
      </c>
      <c r="E367" s="16">
        <v>12</v>
      </c>
      <c r="F367" s="28">
        <v>1.9239999999999999</v>
      </c>
      <c r="G367" s="29">
        <v>4.3015749999999991E-2</v>
      </c>
      <c r="H367" s="29">
        <v>0</v>
      </c>
      <c r="I367" s="29">
        <v>0.73587625000000012</v>
      </c>
      <c r="J367" s="29">
        <v>0</v>
      </c>
      <c r="K367" s="29">
        <v>0</v>
      </c>
    </row>
    <row r="368" spans="1:11">
      <c r="A368" s="16">
        <v>16</v>
      </c>
      <c r="B368" s="24">
        <v>41988</v>
      </c>
      <c r="C368" s="16">
        <v>2014</v>
      </c>
      <c r="D368" s="11" t="s">
        <v>38</v>
      </c>
      <c r="E368" s="16">
        <v>12</v>
      </c>
      <c r="F368" s="28">
        <v>2.33</v>
      </c>
      <c r="G368" s="29">
        <v>5.208900000000001E-2</v>
      </c>
      <c r="H368" s="29">
        <v>0</v>
      </c>
      <c r="I368" s="29">
        <v>0.81190949999999984</v>
      </c>
      <c r="J368" s="29">
        <v>0</v>
      </c>
      <c r="K368" s="29">
        <v>0</v>
      </c>
    </row>
  </sheetData>
  <autoFilter ref="L1:L368" xr:uid="{00000000-0009-0000-0000-000001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84"/>
  <sheetViews>
    <sheetView topLeftCell="B1" workbookViewId="0">
      <selection activeCell="S368" sqref="S368:V384"/>
    </sheetView>
  </sheetViews>
  <sheetFormatPr defaultColWidth="8.85546875" defaultRowHeight="15"/>
  <cols>
    <col min="2" max="2" width="21.85546875" customWidth="1"/>
    <col min="12" max="12" width="9" style="36"/>
  </cols>
  <sheetData>
    <row r="1" spans="1:18" ht="25.5">
      <c r="A1" s="2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36" t="s">
        <v>42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</row>
    <row r="2" spans="1:18">
      <c r="A2" s="38">
        <v>2</v>
      </c>
      <c r="B2" s="43">
        <v>36445</v>
      </c>
      <c r="C2" s="40">
        <v>1999</v>
      </c>
      <c r="D2" s="44" t="s">
        <v>14</v>
      </c>
      <c r="E2" s="42">
        <v>10</v>
      </c>
      <c r="F2" s="46">
        <v>1.3330102911201809</v>
      </c>
      <c r="G2" s="46">
        <v>0</v>
      </c>
      <c r="H2" s="41">
        <v>0</v>
      </c>
      <c r="I2" s="46">
        <v>0.2248281875</v>
      </c>
      <c r="J2" s="41">
        <v>3.3680958166666664E-2</v>
      </c>
      <c r="K2" s="41" t="s">
        <v>15</v>
      </c>
      <c r="L2" s="36" t="s">
        <v>43</v>
      </c>
      <c r="M2" s="37">
        <f>AVERAGE(F2:F7)</f>
        <v>1.7292685159148606</v>
      </c>
      <c r="N2" s="37">
        <f>AVERAGE(G2:G7)</f>
        <v>1.5595565777777778E-2</v>
      </c>
      <c r="O2" s="37">
        <f>AVERAGE(H2:H7)</f>
        <v>0</v>
      </c>
      <c r="P2" s="37">
        <f>AVERAGE(I2:I7)</f>
        <v>0.45013217855555548</v>
      </c>
      <c r="Q2" s="37">
        <f>AVERAGE(J2:J7)</f>
        <v>1.1238972E-2</v>
      </c>
    </row>
    <row r="3" spans="1:18">
      <c r="A3" s="8">
        <v>16</v>
      </c>
      <c r="B3" s="9">
        <v>36444</v>
      </c>
      <c r="C3" s="10">
        <v>1999</v>
      </c>
      <c r="D3" s="11" t="s">
        <v>14</v>
      </c>
      <c r="E3" s="12">
        <v>10</v>
      </c>
      <c r="F3" s="45">
        <v>1.6606092731436428</v>
      </c>
      <c r="G3" s="45">
        <v>2.7688580000000004E-2</v>
      </c>
      <c r="H3" s="39">
        <v>0</v>
      </c>
      <c r="I3" s="45">
        <v>0.12100544750000002</v>
      </c>
      <c r="J3" s="45">
        <v>1.4040328333333331E-2</v>
      </c>
      <c r="K3" s="45" t="s">
        <v>15</v>
      </c>
    </row>
    <row r="4" spans="1:18">
      <c r="A4" s="8">
        <v>2</v>
      </c>
      <c r="B4" s="9">
        <v>36472</v>
      </c>
      <c r="C4" s="10">
        <v>1999</v>
      </c>
      <c r="D4" s="11" t="s">
        <v>16</v>
      </c>
      <c r="E4" s="10">
        <v>11</v>
      </c>
      <c r="F4" s="45">
        <v>4.285993642125038</v>
      </c>
      <c r="G4" s="45">
        <v>2.8260655499999999E-2</v>
      </c>
      <c r="H4" s="39">
        <v>0</v>
      </c>
      <c r="I4" s="45">
        <v>1.5377500563333333</v>
      </c>
      <c r="J4" s="45">
        <v>1.3361113166666667E-2</v>
      </c>
      <c r="K4" s="45" t="s">
        <v>15</v>
      </c>
    </row>
    <row r="5" spans="1:18">
      <c r="A5" s="8">
        <v>16</v>
      </c>
      <c r="B5" s="9">
        <v>36472</v>
      </c>
      <c r="C5" s="10">
        <v>1999</v>
      </c>
      <c r="D5" s="11" t="s">
        <v>16</v>
      </c>
      <c r="E5" s="10">
        <v>11</v>
      </c>
      <c r="F5" s="45">
        <v>0.41591953889429528</v>
      </c>
      <c r="G5" s="45">
        <v>0</v>
      </c>
      <c r="H5" s="39">
        <v>0</v>
      </c>
      <c r="I5" s="45">
        <v>8.3146671333333325E-2</v>
      </c>
      <c r="J5" s="45">
        <v>0</v>
      </c>
      <c r="K5" s="45" t="s">
        <v>15</v>
      </c>
    </row>
    <row r="6" spans="1:18">
      <c r="A6" s="8">
        <v>2</v>
      </c>
      <c r="B6" s="9">
        <v>36501</v>
      </c>
      <c r="C6" s="10">
        <v>1999</v>
      </c>
      <c r="D6" s="11" t="s">
        <v>17</v>
      </c>
      <c r="E6" s="10">
        <v>12</v>
      </c>
      <c r="F6" s="45">
        <v>1.4014618639341168</v>
      </c>
      <c r="G6" s="45">
        <v>1.7573630999999999E-2</v>
      </c>
      <c r="H6" s="39">
        <v>0</v>
      </c>
      <c r="I6" s="45">
        <v>0.41018652016666662</v>
      </c>
      <c r="J6" s="45">
        <v>6.3514323333333338E-3</v>
      </c>
      <c r="K6" s="45" t="s">
        <v>15</v>
      </c>
    </row>
    <row r="7" spans="1:18" ht="25.5">
      <c r="A7" s="8">
        <v>16</v>
      </c>
      <c r="B7" s="9">
        <v>36501</v>
      </c>
      <c r="C7" s="10">
        <v>1999</v>
      </c>
      <c r="D7" s="11" t="s">
        <v>17</v>
      </c>
      <c r="E7" s="10">
        <v>12</v>
      </c>
      <c r="F7" s="45">
        <v>1.2786164862718898</v>
      </c>
      <c r="G7" s="45">
        <v>2.0050528166666665E-2</v>
      </c>
      <c r="H7" s="39">
        <v>0</v>
      </c>
      <c r="I7" s="45">
        <v>0.32387618850000005</v>
      </c>
      <c r="J7" s="45">
        <v>0</v>
      </c>
      <c r="K7" s="45" t="s">
        <v>15</v>
      </c>
      <c r="L7" s="36" t="s">
        <v>42</v>
      </c>
      <c r="M7" s="6" t="s">
        <v>7</v>
      </c>
      <c r="N7" s="6" t="s">
        <v>8</v>
      </c>
      <c r="O7" s="6" t="s">
        <v>9</v>
      </c>
      <c r="P7" s="6" t="s">
        <v>10</v>
      </c>
      <c r="Q7" s="6" t="s">
        <v>11</v>
      </c>
      <c r="R7" s="6" t="s">
        <v>12</v>
      </c>
    </row>
    <row r="8" spans="1:18">
      <c r="A8" s="38">
        <v>2</v>
      </c>
      <c r="B8" s="43">
        <v>36530</v>
      </c>
      <c r="C8" s="42">
        <v>2000</v>
      </c>
      <c r="D8" s="44" t="s">
        <v>18</v>
      </c>
      <c r="E8" s="40">
        <v>1</v>
      </c>
      <c r="F8" s="46">
        <v>3.0782638208252844</v>
      </c>
      <c r="G8" s="46">
        <v>6.6303728666666673E-2</v>
      </c>
      <c r="H8" s="41">
        <v>3.1504932666666673E-2</v>
      </c>
      <c r="I8" s="46">
        <v>1.1697250916666666</v>
      </c>
      <c r="J8" s="46">
        <v>1.5582216999999999E-2</v>
      </c>
      <c r="K8" s="46" t="s">
        <v>15</v>
      </c>
      <c r="L8" s="36" t="s">
        <v>44</v>
      </c>
      <c r="M8" s="37">
        <f>AVERAGE(F8:F31)</f>
        <v>4.1735138890639165</v>
      </c>
      <c r="N8" s="37">
        <f>AVERAGE(G8:G31)</f>
        <v>7.3580804388888893E-2</v>
      </c>
      <c r="O8" s="37">
        <f>AVERAGE(H8:H31)</f>
        <v>7.772320182638888E-2</v>
      </c>
      <c r="P8" s="37">
        <f>AVERAGE(I8:I31)</f>
        <v>1.051398786673611</v>
      </c>
      <c r="Q8" s="37">
        <f>AVERAGE(J8:J31)</f>
        <v>0.23987087974999999</v>
      </c>
    </row>
    <row r="9" spans="1:18">
      <c r="A9" s="8">
        <v>16</v>
      </c>
      <c r="B9" s="9">
        <v>36530</v>
      </c>
      <c r="C9" s="12">
        <v>2000</v>
      </c>
      <c r="D9" s="11" t="s">
        <v>18</v>
      </c>
      <c r="E9" s="10">
        <v>1</v>
      </c>
      <c r="F9" s="45">
        <v>3.6585839039056487</v>
      </c>
      <c r="G9" s="45">
        <v>5.8229360500000001E-2</v>
      </c>
      <c r="H9" s="39">
        <v>4.0905127999999999E-2</v>
      </c>
      <c r="I9" s="45">
        <v>1.3798645566666667</v>
      </c>
      <c r="J9" s="45">
        <v>1.7815167E-2</v>
      </c>
      <c r="K9" s="45" t="s">
        <v>15</v>
      </c>
    </row>
    <row r="10" spans="1:18">
      <c r="A10" s="8">
        <v>2</v>
      </c>
      <c r="B10" s="9">
        <v>36579</v>
      </c>
      <c r="C10" s="12">
        <v>2000</v>
      </c>
      <c r="D10" s="11" t="s">
        <v>19</v>
      </c>
      <c r="E10" s="12">
        <v>2</v>
      </c>
      <c r="F10" s="45">
        <v>2.5386928407093783</v>
      </c>
      <c r="G10" s="45">
        <v>3.5411966166666663E-2</v>
      </c>
      <c r="H10" s="39">
        <v>0</v>
      </c>
      <c r="I10" s="45">
        <v>0.94186166466666676</v>
      </c>
      <c r="J10" s="45">
        <v>2.8656925500000003E-2</v>
      </c>
      <c r="K10" s="45" t="s">
        <v>15</v>
      </c>
    </row>
    <row r="11" spans="1:18">
      <c r="A11" s="8">
        <v>16</v>
      </c>
      <c r="B11" s="9">
        <v>36579</v>
      </c>
      <c r="C11" s="12">
        <v>2000</v>
      </c>
      <c r="D11" s="11" t="s">
        <v>19</v>
      </c>
      <c r="E11" s="12">
        <v>2</v>
      </c>
      <c r="F11" s="45">
        <v>2.3945823862849616</v>
      </c>
      <c r="G11" s="45">
        <v>3.7185222000000004E-2</v>
      </c>
      <c r="H11" s="39">
        <v>0</v>
      </c>
      <c r="I11" s="45">
        <v>0.92685990983333344</v>
      </c>
      <c r="J11" s="45">
        <v>2.7480485833333335E-2</v>
      </c>
      <c r="K11" s="45" t="s">
        <v>15</v>
      </c>
    </row>
    <row r="12" spans="1:18">
      <c r="A12" s="8">
        <v>2</v>
      </c>
      <c r="B12" s="9">
        <v>36600</v>
      </c>
      <c r="C12" s="12">
        <v>2000</v>
      </c>
      <c r="D12" s="11" t="s">
        <v>20</v>
      </c>
      <c r="E12" s="12">
        <v>3</v>
      </c>
      <c r="F12" s="45">
        <v>1.9050536432870002</v>
      </c>
      <c r="G12" s="45">
        <v>0</v>
      </c>
      <c r="H12" s="39">
        <v>3.7304102999999998E-2</v>
      </c>
      <c r="I12" s="45">
        <v>0.5894079095000001</v>
      </c>
      <c r="J12" s="45">
        <v>4.5800005999999997E-2</v>
      </c>
      <c r="K12" s="45" t="s">
        <v>15</v>
      </c>
    </row>
    <row r="13" spans="1:18">
      <c r="A13" s="8">
        <v>16</v>
      </c>
      <c r="B13" s="9">
        <v>36600</v>
      </c>
      <c r="C13" s="12">
        <v>2000</v>
      </c>
      <c r="D13" s="11" t="s">
        <v>20</v>
      </c>
      <c r="E13" s="12">
        <v>3</v>
      </c>
      <c r="F13" s="45">
        <v>1.5679274644511905</v>
      </c>
      <c r="G13" s="45">
        <v>1.3886013666666665E-2</v>
      </c>
      <c r="H13" s="39">
        <v>4.1424157833333329E-2</v>
      </c>
      <c r="I13" s="45">
        <v>0.44869054550000004</v>
      </c>
      <c r="J13" s="45">
        <v>3.5657590666666669E-2</v>
      </c>
      <c r="K13" s="45" t="s">
        <v>15</v>
      </c>
    </row>
    <row r="14" spans="1:18">
      <c r="A14" s="8">
        <v>2</v>
      </c>
      <c r="B14" s="9">
        <v>36628</v>
      </c>
      <c r="C14" s="12">
        <v>2000</v>
      </c>
      <c r="D14" s="16" t="s">
        <v>21</v>
      </c>
      <c r="E14" s="12">
        <v>4</v>
      </c>
      <c r="F14" s="45">
        <v>4.7973446625707457</v>
      </c>
      <c r="G14" s="45">
        <v>0.12740667566666664</v>
      </c>
      <c r="H14" s="39">
        <v>4.6033679500000001E-2</v>
      </c>
      <c r="I14" s="45">
        <v>1.3127073798333333</v>
      </c>
      <c r="J14" s="45">
        <v>1.7523835166666668E-2</v>
      </c>
      <c r="K14" s="45" t="s">
        <v>15</v>
      </c>
    </row>
    <row r="15" spans="1:18">
      <c r="A15" s="8">
        <v>16</v>
      </c>
      <c r="B15" s="9">
        <v>36628</v>
      </c>
      <c r="C15" s="12">
        <v>2000</v>
      </c>
      <c r="D15" s="16" t="s">
        <v>21</v>
      </c>
      <c r="E15" s="12">
        <v>4</v>
      </c>
      <c r="F15" s="45">
        <v>2.7664028879625464</v>
      </c>
      <c r="G15" s="45">
        <v>0.14463142133333334</v>
      </c>
      <c r="H15" s="39">
        <v>2.477326983333333E-2</v>
      </c>
      <c r="I15" s="45">
        <v>0.51445784200000011</v>
      </c>
      <c r="J15" s="45">
        <v>6.7782088333333346E-3</v>
      </c>
      <c r="K15" s="45" t="s">
        <v>15</v>
      </c>
    </row>
    <row r="16" spans="1:18">
      <c r="A16" s="8">
        <v>2</v>
      </c>
      <c r="B16" s="9">
        <v>36661</v>
      </c>
      <c r="C16" s="12">
        <v>2000</v>
      </c>
      <c r="D16" s="16" t="s">
        <v>22</v>
      </c>
      <c r="E16" s="12">
        <v>5</v>
      </c>
      <c r="F16" s="45">
        <v>4.6886727747195547</v>
      </c>
      <c r="G16" s="45">
        <v>2.8767524666666665E-2</v>
      </c>
      <c r="H16" s="39">
        <v>0.34010837216666667</v>
      </c>
      <c r="I16" s="45">
        <v>2.1653510554999995</v>
      </c>
      <c r="J16" s="45">
        <v>7.0320312999999995E-2</v>
      </c>
      <c r="K16" s="45" t="s">
        <v>15</v>
      </c>
    </row>
    <row r="17" spans="1:18">
      <c r="A17" s="8">
        <v>16</v>
      </c>
      <c r="B17" s="9">
        <v>36661</v>
      </c>
      <c r="C17" s="12">
        <v>2000</v>
      </c>
      <c r="D17" s="16" t="s">
        <v>22</v>
      </c>
      <c r="E17" s="12">
        <v>5</v>
      </c>
      <c r="F17" s="45">
        <v>6.0927728226505344</v>
      </c>
      <c r="G17" s="45">
        <v>3.979410433333333E-2</v>
      </c>
      <c r="H17" s="39">
        <v>1.0903747498333334</v>
      </c>
      <c r="I17" s="45">
        <v>2.4888738508333335</v>
      </c>
      <c r="J17" s="45">
        <v>7.2132776499999995E-2</v>
      </c>
      <c r="K17" s="45" t="s">
        <v>15</v>
      </c>
    </row>
    <row r="18" spans="1:18">
      <c r="A18" s="8">
        <v>2</v>
      </c>
      <c r="B18" s="9">
        <v>36691</v>
      </c>
      <c r="C18" s="12">
        <v>2000</v>
      </c>
      <c r="D18" s="16" t="s">
        <v>23</v>
      </c>
      <c r="E18" s="12">
        <v>6</v>
      </c>
      <c r="F18" s="45">
        <v>1.6994240245561543</v>
      </c>
      <c r="G18" s="45">
        <v>0.10535037133333333</v>
      </c>
      <c r="H18" s="39">
        <v>0</v>
      </c>
      <c r="I18" s="45">
        <v>0.50014777750000006</v>
      </c>
      <c r="J18" s="45">
        <v>1.5282603333333332E-2</v>
      </c>
      <c r="K18" s="45" t="s">
        <v>15</v>
      </c>
    </row>
    <row r="19" spans="1:18">
      <c r="A19" s="8">
        <v>16</v>
      </c>
      <c r="B19" s="9">
        <v>36691</v>
      </c>
      <c r="C19" s="12">
        <v>2000</v>
      </c>
      <c r="D19" s="16" t="s">
        <v>23</v>
      </c>
      <c r="E19" s="12">
        <v>6</v>
      </c>
      <c r="F19" s="45">
        <v>4.4627459706507473</v>
      </c>
      <c r="G19" s="45">
        <v>0.10673679216666666</v>
      </c>
      <c r="H19" s="39">
        <v>5.4309117999999997E-2</v>
      </c>
      <c r="I19" s="45">
        <v>1.5665815293333332</v>
      </c>
      <c r="J19" s="45">
        <v>4.7414963500000004E-2</v>
      </c>
      <c r="K19" s="45" t="s">
        <v>15</v>
      </c>
    </row>
    <row r="20" spans="1:18">
      <c r="A20" s="8">
        <v>2</v>
      </c>
      <c r="B20" s="9">
        <v>36720</v>
      </c>
      <c r="C20" s="12">
        <v>2000</v>
      </c>
      <c r="D20" s="16" t="s">
        <v>24</v>
      </c>
      <c r="E20" s="12">
        <v>7</v>
      </c>
      <c r="F20" s="45">
        <v>10.384727236125432</v>
      </c>
      <c r="G20" s="45">
        <v>0.12871478599999997</v>
      </c>
      <c r="H20" s="39">
        <v>4.9327228333333334E-2</v>
      </c>
      <c r="I20" s="45">
        <v>1.5211288361666666</v>
      </c>
      <c r="J20" s="45">
        <v>0.80691401283333331</v>
      </c>
      <c r="K20" s="45" t="s">
        <v>15</v>
      </c>
    </row>
    <row r="21" spans="1:18">
      <c r="A21" s="8">
        <v>16</v>
      </c>
      <c r="B21" s="9">
        <v>36720</v>
      </c>
      <c r="C21" s="12">
        <v>2000</v>
      </c>
      <c r="D21" s="16" t="s">
        <v>24</v>
      </c>
      <c r="E21" s="12">
        <v>7</v>
      </c>
      <c r="F21" s="45">
        <v>9.8045028976455733</v>
      </c>
      <c r="G21" s="45">
        <v>7.8288589833333325E-2</v>
      </c>
      <c r="H21" s="39">
        <v>4.1493347833333333E-2</v>
      </c>
      <c r="I21" s="45">
        <v>1.3389058588333329</v>
      </c>
      <c r="J21" s="45">
        <v>1.0675680484999999</v>
      </c>
      <c r="K21" s="45" t="s">
        <v>15</v>
      </c>
    </row>
    <row r="22" spans="1:18">
      <c r="A22" s="8">
        <v>2</v>
      </c>
      <c r="B22" s="9">
        <v>36754</v>
      </c>
      <c r="C22" s="12">
        <v>2000</v>
      </c>
      <c r="D22" s="16" t="s">
        <v>25</v>
      </c>
      <c r="E22" s="12">
        <v>8</v>
      </c>
      <c r="F22" s="45">
        <v>12.821283488842734</v>
      </c>
      <c r="G22" s="45">
        <v>6.8767836166666665E-2</v>
      </c>
      <c r="H22" s="39">
        <v>2.9916078666666669E-2</v>
      </c>
      <c r="I22" s="45">
        <v>2.6009346038333332</v>
      </c>
      <c r="J22" s="45">
        <v>1.498663786666667</v>
      </c>
      <c r="K22" s="45" t="s">
        <v>15</v>
      </c>
    </row>
    <row r="23" spans="1:18">
      <c r="A23" s="8">
        <v>16</v>
      </c>
      <c r="B23" s="9">
        <v>36754</v>
      </c>
      <c r="C23" s="12">
        <v>2000</v>
      </c>
      <c r="D23" s="16" t="s">
        <v>25</v>
      </c>
      <c r="E23" s="12">
        <v>8</v>
      </c>
      <c r="F23" s="45">
        <v>14.668265930659848</v>
      </c>
      <c r="G23" s="45">
        <v>0.34292346166666671</v>
      </c>
      <c r="H23" s="39">
        <v>2.64648605E-2</v>
      </c>
      <c r="I23" s="45">
        <v>2.6780168764999996</v>
      </c>
      <c r="J23" s="45">
        <v>1.7610295409999999</v>
      </c>
      <c r="K23" s="45" t="s">
        <v>15</v>
      </c>
    </row>
    <row r="24" spans="1:18">
      <c r="A24" s="8">
        <v>2</v>
      </c>
      <c r="B24" s="9">
        <v>36782</v>
      </c>
      <c r="C24" s="12">
        <v>2000</v>
      </c>
      <c r="D24" s="16" t="s">
        <v>26</v>
      </c>
      <c r="E24" s="12">
        <v>9</v>
      </c>
      <c r="F24" s="45">
        <v>1.0846293683277899</v>
      </c>
      <c r="G24" s="45">
        <v>0</v>
      </c>
      <c r="H24" s="39">
        <v>0</v>
      </c>
      <c r="I24" s="45">
        <v>0.29662036050000001</v>
      </c>
      <c r="J24" s="45">
        <v>2.1051162333333338E-2</v>
      </c>
      <c r="K24" s="45" t="s">
        <v>15</v>
      </c>
    </row>
    <row r="25" spans="1:18">
      <c r="A25" s="8">
        <v>16</v>
      </c>
      <c r="B25" s="9">
        <v>36782</v>
      </c>
      <c r="C25" s="12">
        <v>2000</v>
      </c>
      <c r="D25" s="16" t="s">
        <v>26</v>
      </c>
      <c r="E25" s="12">
        <v>9</v>
      </c>
      <c r="F25" s="45">
        <v>3.9030508702619744</v>
      </c>
      <c r="G25" s="45">
        <v>5.0039466000000005E-2</v>
      </c>
      <c r="H25" s="39">
        <v>0</v>
      </c>
      <c r="I25" s="45">
        <v>1.2469303338333333</v>
      </c>
      <c r="J25" s="45">
        <v>0.15255336183333332</v>
      </c>
      <c r="K25" s="45" t="s">
        <v>15</v>
      </c>
    </row>
    <row r="26" spans="1:18">
      <c r="A26" s="8">
        <v>2</v>
      </c>
      <c r="B26" s="9">
        <v>36818</v>
      </c>
      <c r="C26" s="12">
        <v>2000</v>
      </c>
      <c r="D26" s="16" t="s">
        <v>14</v>
      </c>
      <c r="E26" s="12">
        <v>10</v>
      </c>
      <c r="F26" s="47">
        <v>0.78369689681136157</v>
      </c>
      <c r="G26" s="47">
        <v>5.2189597666666671E-2</v>
      </c>
      <c r="H26" s="47">
        <v>0</v>
      </c>
      <c r="I26" s="47">
        <v>0.14521576233333333</v>
      </c>
      <c r="J26" s="47">
        <v>0</v>
      </c>
      <c r="K26" s="47" t="s">
        <v>15</v>
      </c>
    </row>
    <row r="27" spans="1:18">
      <c r="A27" s="8">
        <v>16</v>
      </c>
      <c r="B27" s="9">
        <v>36818</v>
      </c>
      <c r="C27" s="12">
        <v>2000</v>
      </c>
      <c r="D27" s="16" t="s">
        <v>14</v>
      </c>
      <c r="E27" s="12">
        <v>10</v>
      </c>
      <c r="F27" s="47">
        <v>1.3435023165554583</v>
      </c>
      <c r="G27" s="47">
        <v>6.7325224666666669E-2</v>
      </c>
      <c r="H27" s="47">
        <v>0</v>
      </c>
      <c r="I27" s="47">
        <v>9.0443385833333334E-2</v>
      </c>
      <c r="J27" s="47">
        <v>1.0305116666666664E-2</v>
      </c>
      <c r="K27" s="47" t="s">
        <v>15</v>
      </c>
    </row>
    <row r="28" spans="1:18">
      <c r="A28" s="8">
        <v>2</v>
      </c>
      <c r="B28" s="9">
        <v>36845</v>
      </c>
      <c r="C28" s="12">
        <v>2000</v>
      </c>
      <c r="D28" s="16" t="s">
        <v>16</v>
      </c>
      <c r="E28" s="12">
        <v>11</v>
      </c>
      <c r="F28" s="47">
        <v>0.70124637049035787</v>
      </c>
      <c r="G28" s="47">
        <v>0</v>
      </c>
      <c r="H28" s="47">
        <v>0</v>
      </c>
      <c r="I28" s="47">
        <v>0.18300450983333336</v>
      </c>
      <c r="J28" s="47">
        <v>0</v>
      </c>
      <c r="K28" s="47" t="s">
        <v>15</v>
      </c>
    </row>
    <row r="29" spans="1:18">
      <c r="A29" s="8">
        <v>16</v>
      </c>
      <c r="B29" s="9">
        <v>36848</v>
      </c>
      <c r="C29" s="12">
        <v>2000</v>
      </c>
      <c r="D29" s="16" t="s">
        <v>16</v>
      </c>
      <c r="E29" s="12">
        <v>11</v>
      </c>
      <c r="F29" s="47">
        <v>0.33552353038791721</v>
      </c>
      <c r="G29" s="47">
        <v>2.2378037833333336E-2</v>
      </c>
      <c r="H29" s="47">
        <v>0</v>
      </c>
      <c r="I29" s="47">
        <v>3.920169116666667E-2</v>
      </c>
      <c r="J29" s="47">
        <v>0</v>
      </c>
      <c r="K29" s="47" t="s">
        <v>15</v>
      </c>
    </row>
    <row r="30" spans="1:18">
      <c r="A30" s="8">
        <v>2</v>
      </c>
      <c r="B30" s="9">
        <v>36875</v>
      </c>
      <c r="C30" s="12">
        <v>2000</v>
      </c>
      <c r="D30" s="16" t="s">
        <v>17</v>
      </c>
      <c r="E30" s="12">
        <v>12</v>
      </c>
      <c r="F30" s="47">
        <v>2.9105063210533353</v>
      </c>
      <c r="G30" s="47">
        <v>0.1120333915</v>
      </c>
      <c r="H30" s="47">
        <v>1.1417817666666665E-2</v>
      </c>
      <c r="I30" s="47">
        <v>0.70021202533333327</v>
      </c>
      <c r="J30" s="47">
        <v>2.1789503500000001E-2</v>
      </c>
      <c r="K30" s="47" t="s">
        <v>15</v>
      </c>
    </row>
    <row r="31" spans="1:18" ht="25.5">
      <c r="A31" s="8">
        <v>16</v>
      </c>
      <c r="B31" s="9">
        <v>36871</v>
      </c>
      <c r="C31" s="12">
        <v>2000</v>
      </c>
      <c r="D31" s="16" t="s">
        <v>17</v>
      </c>
      <c r="E31" s="12">
        <v>12</v>
      </c>
      <c r="F31" s="47">
        <v>1.7729309077984674</v>
      </c>
      <c r="G31" s="47">
        <v>7.9575733500000009E-2</v>
      </c>
      <c r="H31" s="47">
        <v>0</v>
      </c>
      <c r="I31" s="47">
        <v>0.38842752316666662</v>
      </c>
      <c r="J31" s="47">
        <v>1.6581488333333335E-2</v>
      </c>
      <c r="K31" s="47" t="s">
        <v>15</v>
      </c>
      <c r="L31" s="36" t="s">
        <v>42</v>
      </c>
      <c r="M31" s="6" t="s">
        <v>7</v>
      </c>
      <c r="N31" s="6" t="s">
        <v>8</v>
      </c>
      <c r="O31" s="6" t="s">
        <v>9</v>
      </c>
      <c r="P31" s="6" t="s">
        <v>10</v>
      </c>
      <c r="Q31" s="6" t="s">
        <v>11</v>
      </c>
      <c r="R31" s="6" t="s">
        <v>12</v>
      </c>
    </row>
    <row r="32" spans="1:18">
      <c r="A32" s="38">
        <v>2</v>
      </c>
      <c r="B32" s="43">
        <v>36901</v>
      </c>
      <c r="C32" s="42">
        <v>2001</v>
      </c>
      <c r="D32" s="48" t="s">
        <v>18</v>
      </c>
      <c r="E32" s="42">
        <v>1</v>
      </c>
      <c r="F32" s="49">
        <v>3.3393668982479086</v>
      </c>
      <c r="G32" s="49">
        <v>0.10870619116666665</v>
      </c>
      <c r="H32" s="49">
        <v>0</v>
      </c>
      <c r="I32" s="49">
        <v>1.0492803976666665</v>
      </c>
      <c r="J32" s="49">
        <v>1.5185737333333333E-2</v>
      </c>
      <c r="K32" s="49" t="s">
        <v>15</v>
      </c>
      <c r="L32" s="36" t="s">
        <v>45</v>
      </c>
      <c r="M32" s="37">
        <f>AVERAGE(F32:F55)</f>
        <v>3.594680155092004</v>
      </c>
      <c r="N32" s="37">
        <f>AVERAGE(G32:G55)</f>
        <v>6.8748052824742778E-2</v>
      </c>
      <c r="O32" s="37">
        <f>AVERAGE(H32:H55)</f>
        <v>0.28302041485322293</v>
      </c>
      <c r="P32" s="37">
        <f>AVERAGE(I32:I55)</f>
        <v>0.99155578072367334</v>
      </c>
      <c r="Q32" s="37">
        <f>AVERAGE(J32:J55)</f>
        <v>0.12743314217519405</v>
      </c>
    </row>
    <row r="33" spans="1:12">
      <c r="A33" s="8">
        <v>16</v>
      </c>
      <c r="B33" s="9">
        <v>36901</v>
      </c>
      <c r="C33" s="12">
        <v>2001</v>
      </c>
      <c r="D33" s="16" t="s">
        <v>18</v>
      </c>
      <c r="E33" s="12">
        <v>1</v>
      </c>
      <c r="F33" s="47">
        <v>5.8894314886091754</v>
      </c>
      <c r="G33" s="47">
        <v>0.40430557766666664</v>
      </c>
      <c r="H33" s="47">
        <v>0</v>
      </c>
      <c r="I33" s="47">
        <v>1.3861628690000001</v>
      </c>
      <c r="J33" s="47">
        <v>5.1334418333333333E-2</v>
      </c>
      <c r="K33" s="47" t="s">
        <v>15</v>
      </c>
      <c r="L33"/>
    </row>
    <row r="34" spans="1:12">
      <c r="A34" s="12">
        <v>2</v>
      </c>
      <c r="B34" s="9">
        <v>36928</v>
      </c>
      <c r="C34" s="12">
        <v>2001</v>
      </c>
      <c r="D34" s="11" t="s">
        <v>19</v>
      </c>
      <c r="E34" s="12">
        <v>2</v>
      </c>
      <c r="F34" s="47">
        <v>3.9397994994377648</v>
      </c>
      <c r="G34" s="47">
        <v>5.4365518333333335E-2</v>
      </c>
      <c r="H34" s="47">
        <v>1.9531393499999997E-2</v>
      </c>
      <c r="I34" s="47">
        <v>1.5827543773333335</v>
      </c>
      <c r="J34" s="47">
        <v>3.722128466666666E-2</v>
      </c>
      <c r="K34" s="47" t="s">
        <v>15</v>
      </c>
      <c r="L34"/>
    </row>
    <row r="35" spans="1:12">
      <c r="A35" s="12">
        <v>16</v>
      </c>
      <c r="B35" s="9">
        <v>36928</v>
      </c>
      <c r="C35" s="12">
        <v>2001</v>
      </c>
      <c r="D35" s="11" t="s">
        <v>19</v>
      </c>
      <c r="E35" s="12">
        <v>2</v>
      </c>
      <c r="F35" s="47">
        <v>2.9617176326205095</v>
      </c>
      <c r="G35" s="47">
        <v>0.13566093783333336</v>
      </c>
      <c r="H35" s="47">
        <v>5.3980675166666672E-2</v>
      </c>
      <c r="I35" s="47">
        <v>1.0459840183333331</v>
      </c>
      <c r="J35" s="47">
        <v>4.3983244333333331E-2</v>
      </c>
      <c r="K35" s="47" t="s">
        <v>15</v>
      </c>
      <c r="L35"/>
    </row>
    <row r="36" spans="1:12">
      <c r="A36" s="8">
        <v>2</v>
      </c>
      <c r="B36" s="9">
        <v>36963</v>
      </c>
      <c r="C36" s="12">
        <v>2001</v>
      </c>
      <c r="D36" s="11" t="s">
        <v>20</v>
      </c>
      <c r="E36" s="12">
        <v>3</v>
      </c>
      <c r="F36" s="47">
        <v>1.7230646958731481</v>
      </c>
      <c r="G36" s="47">
        <v>0</v>
      </c>
      <c r="H36" s="47">
        <v>0</v>
      </c>
      <c r="I36" s="47">
        <v>0.37886955366666669</v>
      </c>
      <c r="J36" s="47">
        <v>0</v>
      </c>
      <c r="K36" s="47" t="s">
        <v>15</v>
      </c>
      <c r="L36"/>
    </row>
    <row r="37" spans="1:12">
      <c r="A37" s="8">
        <v>16</v>
      </c>
      <c r="B37" s="9">
        <v>36963</v>
      </c>
      <c r="C37" s="12">
        <v>2001</v>
      </c>
      <c r="D37" s="11" t="s">
        <v>20</v>
      </c>
      <c r="E37" s="12">
        <v>3</v>
      </c>
      <c r="F37" s="47">
        <v>2.1962590343929107</v>
      </c>
      <c r="G37" s="47">
        <v>0</v>
      </c>
      <c r="H37" s="47">
        <v>3.3151130500000001E-2</v>
      </c>
      <c r="I37" s="47">
        <v>0.65994847733333328</v>
      </c>
      <c r="J37" s="47">
        <v>1.8334406499999997E-2</v>
      </c>
      <c r="K37" s="47" t="s">
        <v>15</v>
      </c>
      <c r="L37"/>
    </row>
    <row r="38" spans="1:12">
      <c r="A38" s="8">
        <v>2</v>
      </c>
      <c r="B38" s="9">
        <v>37000</v>
      </c>
      <c r="C38" s="12">
        <v>2001</v>
      </c>
      <c r="D38" s="16" t="s">
        <v>21</v>
      </c>
      <c r="E38" s="12">
        <v>4</v>
      </c>
      <c r="F38" s="47">
        <v>0.48624479623327538</v>
      </c>
      <c r="G38" s="47">
        <v>0</v>
      </c>
      <c r="H38" s="47">
        <v>0</v>
      </c>
      <c r="I38" s="47">
        <v>6.1269422333333337E-2</v>
      </c>
      <c r="J38" s="47">
        <v>0</v>
      </c>
      <c r="K38" s="47" t="s">
        <v>15</v>
      </c>
      <c r="L38"/>
    </row>
    <row r="39" spans="1:12">
      <c r="A39" s="8">
        <v>16</v>
      </c>
      <c r="B39" s="9">
        <v>37000</v>
      </c>
      <c r="C39" s="12">
        <v>2001</v>
      </c>
      <c r="D39" s="16" t="s">
        <v>21</v>
      </c>
      <c r="E39" s="12">
        <v>4</v>
      </c>
      <c r="F39" s="47">
        <v>0.94233141158054823</v>
      </c>
      <c r="G39" s="47">
        <v>0</v>
      </c>
      <c r="H39" s="47">
        <v>0</v>
      </c>
      <c r="I39" s="47">
        <v>0.11752477116666667</v>
      </c>
      <c r="J39" s="47">
        <v>2.0470490500000001E-2</v>
      </c>
      <c r="K39" s="47" t="s">
        <v>15</v>
      </c>
      <c r="L39"/>
    </row>
    <row r="40" spans="1:12">
      <c r="A40" s="8">
        <v>2</v>
      </c>
      <c r="B40" s="9">
        <v>37028</v>
      </c>
      <c r="C40" s="12">
        <v>2001</v>
      </c>
      <c r="D40" s="16" t="s">
        <v>22</v>
      </c>
      <c r="E40" s="12">
        <v>5</v>
      </c>
      <c r="F40" s="47">
        <v>0.71340617095896919</v>
      </c>
      <c r="G40" s="47">
        <v>4.748268583333333E-2</v>
      </c>
      <c r="H40" s="47">
        <v>0</v>
      </c>
      <c r="I40" s="47">
        <v>0.11190172083333333</v>
      </c>
      <c r="J40" s="47">
        <v>0</v>
      </c>
      <c r="K40" s="47" t="s">
        <v>15</v>
      </c>
      <c r="L40"/>
    </row>
    <row r="41" spans="1:12">
      <c r="A41" s="8">
        <v>16</v>
      </c>
      <c r="B41" s="9">
        <v>37027</v>
      </c>
      <c r="C41" s="12">
        <v>2001</v>
      </c>
      <c r="D41" s="16" t="s">
        <v>22</v>
      </c>
      <c r="E41" s="12">
        <v>5</v>
      </c>
      <c r="F41" s="47">
        <v>1.9656313095361935</v>
      </c>
      <c r="G41" s="47">
        <v>0</v>
      </c>
      <c r="H41" s="47">
        <v>1.2669527666666666E-2</v>
      </c>
      <c r="I41" s="47">
        <v>0.47340122983333333</v>
      </c>
      <c r="J41" s="47">
        <v>2.4416102666666668E-2</v>
      </c>
      <c r="K41" s="47" t="s">
        <v>15</v>
      </c>
      <c r="L41"/>
    </row>
    <row r="42" spans="1:12">
      <c r="A42" s="8">
        <v>2</v>
      </c>
      <c r="B42" s="9">
        <v>37058</v>
      </c>
      <c r="C42" s="12">
        <v>2001</v>
      </c>
      <c r="D42" s="16" t="s">
        <v>23</v>
      </c>
      <c r="E42" s="12">
        <v>6</v>
      </c>
      <c r="F42" s="47">
        <v>12.295525135357376</v>
      </c>
      <c r="G42" s="47">
        <v>0.10111845933333333</v>
      </c>
      <c r="H42" s="47">
        <v>1.8840950683333333</v>
      </c>
      <c r="I42" s="47">
        <v>4.2329559303333335</v>
      </c>
      <c r="J42" s="47">
        <v>0.30074880199999998</v>
      </c>
      <c r="K42" s="47" t="s">
        <v>15</v>
      </c>
      <c r="L42"/>
    </row>
    <row r="43" spans="1:12">
      <c r="A43" s="8">
        <v>16</v>
      </c>
      <c r="B43" s="9">
        <v>37056</v>
      </c>
      <c r="C43" s="12">
        <v>2001</v>
      </c>
      <c r="D43" s="16" t="s">
        <v>23</v>
      </c>
      <c r="E43" s="12">
        <v>6</v>
      </c>
      <c r="F43" s="47">
        <v>17.841725850658584</v>
      </c>
      <c r="G43" s="47">
        <v>0.12306311616666667</v>
      </c>
      <c r="H43" s="47">
        <v>4.7504453426666666</v>
      </c>
      <c r="I43" s="47">
        <v>6.3776925591666664</v>
      </c>
      <c r="J43" s="47">
        <v>0.29544895283333333</v>
      </c>
      <c r="K43" s="47" t="s">
        <v>15</v>
      </c>
      <c r="L43"/>
    </row>
    <row r="44" spans="1:12">
      <c r="A44" s="8">
        <v>2</v>
      </c>
      <c r="B44" s="9">
        <v>37089</v>
      </c>
      <c r="C44" s="12">
        <v>2001</v>
      </c>
      <c r="D44" s="16" t="s">
        <v>24</v>
      </c>
      <c r="E44" s="12">
        <v>7</v>
      </c>
      <c r="F44" s="47">
        <v>7.5105065548637011</v>
      </c>
      <c r="G44" s="47">
        <v>0.142450888</v>
      </c>
      <c r="H44" s="47">
        <v>0</v>
      </c>
      <c r="I44" s="47">
        <v>1.5703031126666667</v>
      </c>
      <c r="J44" s="47">
        <v>0.62690867983333332</v>
      </c>
      <c r="K44" s="47" t="s">
        <v>15</v>
      </c>
      <c r="L44"/>
    </row>
    <row r="45" spans="1:12">
      <c r="A45" s="8">
        <v>16</v>
      </c>
      <c r="B45" s="9">
        <v>37089</v>
      </c>
      <c r="C45" s="12">
        <v>2001</v>
      </c>
      <c r="D45" s="16" t="s">
        <v>24</v>
      </c>
      <c r="E45" s="12">
        <v>7</v>
      </c>
      <c r="F45" s="47">
        <v>6.8793581967375523</v>
      </c>
      <c r="G45" s="47">
        <v>0.23474374349999999</v>
      </c>
      <c r="H45" s="47">
        <v>0</v>
      </c>
      <c r="I45" s="47">
        <v>0.8407431004999999</v>
      </c>
      <c r="J45" s="47">
        <v>1.2447645820000002</v>
      </c>
      <c r="K45" s="47" t="s">
        <v>15</v>
      </c>
      <c r="L45"/>
    </row>
    <row r="46" spans="1:12">
      <c r="A46" s="8">
        <v>2</v>
      </c>
      <c r="B46" s="9">
        <v>37119</v>
      </c>
      <c r="C46" s="12">
        <v>2001</v>
      </c>
      <c r="D46" s="16" t="s">
        <v>25</v>
      </c>
      <c r="E46" s="12">
        <v>8</v>
      </c>
      <c r="F46" s="47">
        <v>2.8484052173891512</v>
      </c>
      <c r="G46" s="47">
        <v>0.21154108666666666</v>
      </c>
      <c r="H46" s="47">
        <v>0</v>
      </c>
      <c r="I46" s="47">
        <v>0.52956191416666676</v>
      </c>
      <c r="J46" s="47">
        <v>6.9240529666666675E-2</v>
      </c>
      <c r="K46" s="47" t="s">
        <v>15</v>
      </c>
      <c r="L46"/>
    </row>
    <row r="47" spans="1:12">
      <c r="A47" s="8">
        <v>16</v>
      </c>
      <c r="B47" s="9">
        <v>37119</v>
      </c>
      <c r="C47" s="12">
        <v>2001</v>
      </c>
      <c r="D47" s="16" t="s">
        <v>25</v>
      </c>
      <c r="E47" s="12">
        <v>8</v>
      </c>
      <c r="F47" s="47">
        <v>2.349127100454246</v>
      </c>
      <c r="G47" s="47">
        <v>2.7588778666666668E-2</v>
      </c>
      <c r="H47" s="47">
        <v>0</v>
      </c>
      <c r="I47" s="47">
        <v>0.43156444800000004</v>
      </c>
      <c r="J47" s="47">
        <v>0.16268959200000002</v>
      </c>
      <c r="K47" s="47" t="s">
        <v>15</v>
      </c>
      <c r="L47"/>
    </row>
    <row r="48" spans="1:12">
      <c r="A48" s="8">
        <v>2</v>
      </c>
      <c r="B48" s="9">
        <v>37152</v>
      </c>
      <c r="C48" s="12">
        <v>2001</v>
      </c>
      <c r="D48" s="16" t="s">
        <v>26</v>
      </c>
      <c r="E48" s="12">
        <v>9</v>
      </c>
      <c r="F48" s="47">
        <v>1.1426911228841896</v>
      </c>
      <c r="G48" s="47">
        <v>0</v>
      </c>
      <c r="H48" s="47">
        <v>0</v>
      </c>
      <c r="I48" s="47">
        <v>0.23569447700000001</v>
      </c>
      <c r="J48" s="47">
        <v>1.8718620666666668E-2</v>
      </c>
      <c r="K48" s="47" t="s">
        <v>15</v>
      </c>
      <c r="L48"/>
    </row>
    <row r="49" spans="1:18">
      <c r="A49" s="8">
        <v>16</v>
      </c>
      <c r="B49" s="9">
        <v>37152</v>
      </c>
      <c r="C49" s="12">
        <v>2001</v>
      </c>
      <c r="D49" s="16" t="s">
        <v>26</v>
      </c>
      <c r="E49" s="12">
        <v>9</v>
      </c>
      <c r="F49" s="47">
        <v>3.559456607124281</v>
      </c>
      <c r="G49" s="47">
        <v>0</v>
      </c>
      <c r="H49" s="47">
        <v>0</v>
      </c>
      <c r="I49" s="47">
        <v>0.75686636983333333</v>
      </c>
      <c r="J49" s="47">
        <v>5.3373480500000001E-2</v>
      </c>
      <c r="K49" s="47" t="s">
        <v>15</v>
      </c>
    </row>
    <row r="50" spans="1:18">
      <c r="A50" s="8">
        <v>2</v>
      </c>
      <c r="B50" s="9">
        <v>37181</v>
      </c>
      <c r="C50" s="12">
        <v>2001</v>
      </c>
      <c r="D50" s="16" t="s">
        <v>14</v>
      </c>
      <c r="E50" s="12">
        <v>10</v>
      </c>
      <c r="F50" s="29">
        <v>0.88883623176181215</v>
      </c>
      <c r="G50" s="29">
        <v>0</v>
      </c>
      <c r="H50" s="29">
        <v>8.2482957302943069E-3</v>
      </c>
      <c r="I50" s="29">
        <v>0.1067178285299776</v>
      </c>
      <c r="J50" s="29">
        <v>1.068119441348549E-2</v>
      </c>
      <c r="K50" s="29" t="s">
        <v>27</v>
      </c>
    </row>
    <row r="51" spans="1:18">
      <c r="A51" s="8">
        <v>16</v>
      </c>
      <c r="B51" s="9">
        <v>37181</v>
      </c>
      <c r="C51" s="12">
        <v>2001</v>
      </c>
      <c r="D51" s="16" t="s">
        <v>14</v>
      </c>
      <c r="E51" s="12">
        <v>10</v>
      </c>
      <c r="F51" s="29">
        <v>1.3553329324301133</v>
      </c>
      <c r="G51" s="29">
        <v>1.1660501588595419E-2</v>
      </c>
      <c r="H51" s="29">
        <v>1.0384396816511836E-2</v>
      </c>
      <c r="I51" s="29">
        <v>0.21249617766617682</v>
      </c>
      <c r="J51" s="29">
        <v>1.9280572716094277E-2</v>
      </c>
      <c r="K51" s="29" t="s">
        <v>27</v>
      </c>
    </row>
    <row r="52" spans="1:18">
      <c r="A52" s="8">
        <v>2</v>
      </c>
      <c r="B52" s="9">
        <v>37203</v>
      </c>
      <c r="C52" s="12">
        <v>2001</v>
      </c>
      <c r="D52" s="16" t="s">
        <v>16</v>
      </c>
      <c r="E52" s="12">
        <v>11</v>
      </c>
      <c r="F52" s="29">
        <v>0.9134465601340287</v>
      </c>
      <c r="G52" s="29">
        <v>0</v>
      </c>
      <c r="H52" s="29">
        <v>6.6596944064881269E-3</v>
      </c>
      <c r="I52" s="29">
        <v>0.1924377386615021</v>
      </c>
      <c r="J52" s="29">
        <v>1.1237837137846197E-2</v>
      </c>
      <c r="K52" s="29" t="s">
        <v>27</v>
      </c>
    </row>
    <row r="53" spans="1:18">
      <c r="A53" s="8">
        <v>16</v>
      </c>
      <c r="B53" s="9">
        <v>37203</v>
      </c>
      <c r="C53" s="12">
        <v>2001</v>
      </c>
      <c r="D53" s="16" t="s">
        <v>16</v>
      </c>
      <c r="E53" s="12">
        <v>11</v>
      </c>
      <c r="F53" s="29">
        <v>1.2287094678118828</v>
      </c>
      <c r="G53" s="29">
        <v>0</v>
      </c>
      <c r="H53" s="29">
        <v>0</v>
      </c>
      <c r="I53" s="29">
        <v>0.1083110675135235</v>
      </c>
      <c r="J53" s="29">
        <v>1.1371638052323519E-2</v>
      </c>
      <c r="K53" s="29" t="s">
        <v>27</v>
      </c>
    </row>
    <row r="54" spans="1:18">
      <c r="A54" s="8">
        <v>2</v>
      </c>
      <c r="B54" s="9">
        <v>37228</v>
      </c>
      <c r="C54" s="12">
        <v>2001</v>
      </c>
      <c r="D54" s="16" t="s">
        <v>17</v>
      </c>
      <c r="E54" s="12">
        <v>12</v>
      </c>
      <c r="F54" s="29">
        <v>2.6464825212013325</v>
      </c>
      <c r="G54" s="29">
        <v>4.7265783038564678E-2</v>
      </c>
      <c r="H54" s="29">
        <v>1.3324431690722787E-2</v>
      </c>
      <c r="I54" s="29">
        <v>1.2139048247193502</v>
      </c>
      <c r="J54" s="29">
        <v>2.2985246051573968E-2</v>
      </c>
      <c r="K54" s="29" t="s">
        <v>27</v>
      </c>
    </row>
    <row r="55" spans="1:18" ht="25.5">
      <c r="A55" s="8">
        <v>16</v>
      </c>
      <c r="B55" s="9">
        <v>37228</v>
      </c>
      <c r="C55" s="12">
        <v>2001</v>
      </c>
      <c r="D55" s="16" t="s">
        <v>17</v>
      </c>
      <c r="E55" s="12">
        <v>12</v>
      </c>
      <c r="F55" s="29">
        <v>0.65546728590943959</v>
      </c>
      <c r="G55" s="29">
        <v>0</v>
      </c>
      <c r="H55" s="29">
        <v>0</v>
      </c>
      <c r="I55" s="29">
        <v>0.12099235111096489</v>
      </c>
      <c r="J55" s="29">
        <v>0</v>
      </c>
      <c r="K55" s="29" t="s">
        <v>27</v>
      </c>
      <c r="L55" s="36" t="s">
        <v>42</v>
      </c>
      <c r="M55" s="6" t="s">
        <v>7</v>
      </c>
      <c r="N55" s="6" t="s">
        <v>8</v>
      </c>
      <c r="O55" s="6" t="s">
        <v>9</v>
      </c>
      <c r="P55" s="6" t="s">
        <v>10</v>
      </c>
      <c r="Q55" s="6" t="s">
        <v>11</v>
      </c>
      <c r="R55" s="6" t="s">
        <v>12</v>
      </c>
    </row>
    <row r="56" spans="1:18">
      <c r="A56" s="38">
        <v>2</v>
      </c>
      <c r="B56" s="43">
        <v>37270</v>
      </c>
      <c r="C56" s="42">
        <v>2002</v>
      </c>
      <c r="D56" s="48" t="s">
        <v>18</v>
      </c>
      <c r="E56" s="42">
        <v>1</v>
      </c>
      <c r="F56" s="50">
        <v>2.5862509295428344</v>
      </c>
      <c r="G56" s="50">
        <v>0.39084031015956883</v>
      </c>
      <c r="H56" s="50">
        <v>9.8572134238050207E-3</v>
      </c>
      <c r="I56" s="50">
        <v>0.38473754074266103</v>
      </c>
      <c r="J56" s="50">
        <v>2.9443650230871234E-2</v>
      </c>
      <c r="K56" s="50" t="s">
        <v>27</v>
      </c>
      <c r="L56" s="36" t="s">
        <v>46</v>
      </c>
      <c r="M56" s="37">
        <f>AVERAGE(F56:F79)</f>
        <v>4.0752459630152451</v>
      </c>
      <c r="N56" s="37">
        <f>AVERAGE(G56:G79)</f>
        <v>0.10307542987111352</v>
      </c>
      <c r="O56" s="37">
        <f>AVERAGE(H56:H79)</f>
        <v>0.2438884199862961</v>
      </c>
      <c r="P56" s="37">
        <f>AVERAGE(I56:I79)</f>
        <v>0.49468768763341031</v>
      </c>
      <c r="Q56" s="37">
        <f>AVERAGE(J56:J79)</f>
        <v>1.7552887383911645E-2</v>
      </c>
    </row>
    <row r="57" spans="1:18">
      <c r="A57" s="8">
        <v>16</v>
      </c>
      <c r="B57" s="9">
        <v>37270</v>
      </c>
      <c r="C57" s="12">
        <v>2002</v>
      </c>
      <c r="D57" s="16" t="s">
        <v>18</v>
      </c>
      <c r="E57" s="12">
        <v>1</v>
      </c>
      <c r="F57" s="29">
        <v>2.4329208174935348</v>
      </c>
      <c r="G57" s="29">
        <v>0.29249953375234411</v>
      </c>
      <c r="H57" s="29">
        <v>1.7945876401081667E-2</v>
      </c>
      <c r="I57" s="29">
        <v>0.36395449015153003</v>
      </c>
      <c r="J57" s="29">
        <v>3.0110671679812153E-2</v>
      </c>
      <c r="K57" s="29" t="s">
        <v>27</v>
      </c>
    </row>
    <row r="58" spans="1:18">
      <c r="A58" s="8">
        <v>2</v>
      </c>
      <c r="B58" s="9">
        <v>37300</v>
      </c>
      <c r="C58" s="12">
        <v>2002</v>
      </c>
      <c r="D58" s="11" t="s">
        <v>19</v>
      </c>
      <c r="E58" s="12">
        <v>2</v>
      </c>
      <c r="F58" s="29">
        <v>3.8015700259641796</v>
      </c>
      <c r="G58" s="29">
        <v>0.11375236069636757</v>
      </c>
      <c r="H58" s="29">
        <v>3.8877801275337534E-2</v>
      </c>
      <c r="I58" s="29">
        <v>1.306592674565118</v>
      </c>
      <c r="J58" s="29">
        <v>3.5730959298625159E-2</v>
      </c>
      <c r="K58" s="29" t="s">
        <v>27</v>
      </c>
    </row>
    <row r="59" spans="1:18">
      <c r="A59" s="8">
        <v>16</v>
      </c>
      <c r="B59" s="9">
        <v>37300</v>
      </c>
      <c r="C59" s="12">
        <v>2002</v>
      </c>
      <c r="D59" s="11" t="s">
        <v>19</v>
      </c>
      <c r="E59" s="12">
        <v>2</v>
      </c>
      <c r="F59" s="29">
        <v>1.8488222946788944</v>
      </c>
      <c r="G59" s="29">
        <v>3.2098689551771115E-2</v>
      </c>
      <c r="H59" s="29">
        <v>8.2420751820644872E-2</v>
      </c>
      <c r="I59" s="29">
        <v>0.68152197141055593</v>
      </c>
      <c r="J59" s="29">
        <v>2.0588270850320622E-2</v>
      </c>
      <c r="K59" s="29" t="s">
        <v>27</v>
      </c>
    </row>
    <row r="60" spans="1:18">
      <c r="A60" s="8">
        <v>2</v>
      </c>
      <c r="B60" s="20">
        <v>37334</v>
      </c>
      <c r="C60" s="12">
        <v>2002</v>
      </c>
      <c r="D60" s="11" t="s">
        <v>20</v>
      </c>
      <c r="E60" s="12">
        <v>3</v>
      </c>
      <c r="F60" s="47">
        <v>2.5102946580494283</v>
      </c>
      <c r="G60" s="47">
        <v>9.2886905458886809E-2</v>
      </c>
      <c r="H60" s="47">
        <v>0</v>
      </c>
      <c r="I60" s="47">
        <v>0.8216695953244052</v>
      </c>
      <c r="J60" s="47">
        <v>1.6602869883041417E-2</v>
      </c>
      <c r="K60" s="47" t="s">
        <v>27</v>
      </c>
    </row>
    <row r="61" spans="1:18">
      <c r="A61" s="8">
        <v>16</v>
      </c>
      <c r="B61" s="20">
        <v>37334</v>
      </c>
      <c r="C61" s="12">
        <v>2002</v>
      </c>
      <c r="D61" s="11" t="s">
        <v>20</v>
      </c>
      <c r="E61" s="12">
        <v>3</v>
      </c>
      <c r="F61" s="47">
        <v>2.2858305706399227</v>
      </c>
      <c r="G61" s="47"/>
      <c r="H61" s="47"/>
      <c r="I61" s="47"/>
      <c r="J61" s="47"/>
      <c r="K61" s="47" t="s">
        <v>27</v>
      </c>
    </row>
    <row r="62" spans="1:18">
      <c r="A62" s="8">
        <v>2</v>
      </c>
      <c r="B62" s="20">
        <v>37361</v>
      </c>
      <c r="C62" s="12">
        <v>2002</v>
      </c>
      <c r="D62" s="16" t="s">
        <v>21</v>
      </c>
      <c r="E62" s="12">
        <v>4</v>
      </c>
      <c r="F62" s="47">
        <v>2.1580438395184895</v>
      </c>
      <c r="G62" s="47">
        <v>6.6318787926239867E-2</v>
      </c>
      <c r="H62" s="47">
        <v>0</v>
      </c>
      <c r="I62" s="47">
        <v>0.40112858776119326</v>
      </c>
      <c r="J62" s="47">
        <v>1.6938593859584839E-2</v>
      </c>
      <c r="K62" s="47" t="s">
        <v>27</v>
      </c>
    </row>
    <row r="63" spans="1:18">
      <c r="A63" s="8">
        <v>16</v>
      </c>
      <c r="B63" s="20">
        <v>37361</v>
      </c>
      <c r="C63" s="12">
        <v>2002</v>
      </c>
      <c r="D63" s="16" t="s">
        <v>21</v>
      </c>
      <c r="E63" s="12">
        <v>4</v>
      </c>
      <c r="F63" s="47">
        <v>1.774534540696767</v>
      </c>
      <c r="G63" s="47">
        <v>7.2430992718876694E-2</v>
      </c>
      <c r="H63" s="47">
        <v>0</v>
      </c>
      <c r="I63" s="47">
        <v>0.40847283622906355</v>
      </c>
      <c r="J63" s="47">
        <v>2.2219712879560968E-2</v>
      </c>
      <c r="K63" s="47" t="s">
        <v>27</v>
      </c>
    </row>
    <row r="64" spans="1:18">
      <c r="A64" s="8">
        <v>2</v>
      </c>
      <c r="B64" s="20">
        <v>37389</v>
      </c>
      <c r="C64" s="12">
        <v>2002</v>
      </c>
      <c r="D64" s="16" t="s">
        <v>22</v>
      </c>
      <c r="E64" s="12">
        <v>5</v>
      </c>
      <c r="F64" s="47">
        <v>3.4447134973659104</v>
      </c>
      <c r="G64" s="47"/>
      <c r="H64" s="47">
        <v>6.5660356761196512E-2</v>
      </c>
      <c r="I64" s="47"/>
      <c r="J64" s="47"/>
      <c r="K64" s="47" t="s">
        <v>27</v>
      </c>
    </row>
    <row r="65" spans="1:18">
      <c r="A65" s="8">
        <v>16</v>
      </c>
      <c r="B65" s="20">
        <v>37389</v>
      </c>
      <c r="C65" s="12">
        <v>2002</v>
      </c>
      <c r="D65" s="16" t="s">
        <v>22</v>
      </c>
      <c r="E65" s="12">
        <v>5</v>
      </c>
      <c r="F65" s="47">
        <v>8.881687495300195</v>
      </c>
      <c r="G65" s="47"/>
      <c r="H65" s="47">
        <v>0.55108077566438374</v>
      </c>
      <c r="I65" s="47"/>
      <c r="J65" s="47"/>
      <c r="K65" s="47" t="s">
        <v>27</v>
      </c>
    </row>
    <row r="66" spans="1:18">
      <c r="A66" s="8">
        <v>2</v>
      </c>
      <c r="B66" s="20">
        <v>37418</v>
      </c>
      <c r="C66" s="12">
        <v>2002</v>
      </c>
      <c r="D66" s="16" t="s">
        <v>23</v>
      </c>
      <c r="E66" s="12">
        <v>6</v>
      </c>
      <c r="F66" s="47">
        <v>10.009571909247931</v>
      </c>
      <c r="G66" s="47"/>
      <c r="H66" s="47">
        <v>2.0966825137021363</v>
      </c>
      <c r="I66" s="47"/>
      <c r="J66" s="47"/>
      <c r="K66" s="47" t="s">
        <v>27</v>
      </c>
    </row>
    <row r="67" spans="1:18">
      <c r="A67" s="8">
        <v>16</v>
      </c>
      <c r="B67" s="20">
        <v>37418</v>
      </c>
      <c r="C67" s="12">
        <v>2002</v>
      </c>
      <c r="D67" s="16" t="s">
        <v>23</v>
      </c>
      <c r="E67" s="12">
        <v>6</v>
      </c>
      <c r="F67" s="47">
        <v>13.419695934897145</v>
      </c>
      <c r="G67" s="47"/>
      <c r="H67" s="47">
        <v>2.7149057388672482</v>
      </c>
      <c r="I67" s="47"/>
      <c r="J67" s="47"/>
      <c r="K67" s="47" t="s">
        <v>27</v>
      </c>
    </row>
    <row r="68" spans="1:18">
      <c r="A68" s="8">
        <v>2</v>
      </c>
      <c r="B68" s="20">
        <v>37455</v>
      </c>
      <c r="C68" s="12">
        <v>2002</v>
      </c>
      <c r="D68" s="16" t="s">
        <v>24</v>
      </c>
      <c r="E68" s="12">
        <v>7</v>
      </c>
      <c r="F68" s="47">
        <v>5.3211790943017867</v>
      </c>
      <c r="G68" s="47"/>
      <c r="H68" s="47">
        <v>0</v>
      </c>
      <c r="I68" s="47"/>
      <c r="J68" s="47"/>
      <c r="K68" s="47" t="s">
        <v>27</v>
      </c>
    </row>
    <row r="69" spans="1:18">
      <c r="A69" s="8">
        <v>16</v>
      </c>
      <c r="B69" s="20">
        <v>37455</v>
      </c>
      <c r="C69" s="12">
        <v>2002</v>
      </c>
      <c r="D69" s="16" t="s">
        <v>24</v>
      </c>
      <c r="E69" s="12">
        <v>7</v>
      </c>
      <c r="F69" s="47">
        <v>4.7489580401675386</v>
      </c>
      <c r="G69" s="47"/>
      <c r="H69" s="47">
        <v>0</v>
      </c>
      <c r="I69" s="47"/>
      <c r="J69" s="47"/>
      <c r="K69" s="47" t="s">
        <v>27</v>
      </c>
    </row>
    <row r="70" spans="1:18">
      <c r="A70" s="8">
        <v>2</v>
      </c>
      <c r="B70" s="20">
        <v>37483</v>
      </c>
      <c r="C70" s="12">
        <v>2002</v>
      </c>
      <c r="D70" s="16" t="s">
        <v>25</v>
      </c>
      <c r="E70" s="12">
        <v>8</v>
      </c>
      <c r="F70" s="47">
        <v>8.9276388533360702</v>
      </c>
      <c r="G70" s="47"/>
      <c r="H70" s="47">
        <v>0</v>
      </c>
      <c r="I70" s="47"/>
      <c r="J70" s="47"/>
      <c r="K70" s="47" t="s">
        <v>27</v>
      </c>
    </row>
    <row r="71" spans="1:18">
      <c r="A71" s="8">
        <v>16</v>
      </c>
      <c r="B71" s="20">
        <v>37483</v>
      </c>
      <c r="C71" s="12">
        <v>2002</v>
      </c>
      <c r="D71" s="16" t="s">
        <v>25</v>
      </c>
      <c r="E71" s="12">
        <v>8</v>
      </c>
      <c r="F71" s="47">
        <v>6.9124704484348456</v>
      </c>
      <c r="G71" s="47"/>
      <c r="H71" s="47">
        <v>3.2002631768975782E-2</v>
      </c>
      <c r="I71" s="47"/>
      <c r="J71" s="47"/>
      <c r="K71" s="47" t="s">
        <v>27</v>
      </c>
    </row>
    <row r="72" spans="1:18">
      <c r="A72" s="8">
        <v>2</v>
      </c>
      <c r="B72" s="20">
        <v>37516</v>
      </c>
      <c r="C72" s="12">
        <v>2002</v>
      </c>
      <c r="D72" s="16" t="s">
        <v>26</v>
      </c>
      <c r="E72" s="12">
        <v>9</v>
      </c>
      <c r="F72" s="47">
        <v>3.173773117201462</v>
      </c>
      <c r="G72" s="47"/>
      <c r="H72" s="47">
        <v>0</v>
      </c>
      <c r="I72" s="47"/>
      <c r="J72" s="47"/>
      <c r="K72" s="47" t="s">
        <v>27</v>
      </c>
    </row>
    <row r="73" spans="1:18">
      <c r="A73" s="8">
        <v>16</v>
      </c>
      <c r="B73" s="20">
        <v>37516</v>
      </c>
      <c r="C73" s="12">
        <v>2002</v>
      </c>
      <c r="D73" s="16" t="s">
        <v>26</v>
      </c>
      <c r="E73" s="12">
        <v>9</v>
      </c>
      <c r="F73" s="47">
        <v>3.8178663332300089</v>
      </c>
      <c r="G73" s="47"/>
      <c r="H73" s="47">
        <v>0</v>
      </c>
      <c r="I73" s="47"/>
      <c r="J73" s="47"/>
      <c r="K73" s="47" t="s">
        <v>27</v>
      </c>
    </row>
    <row r="74" spans="1:18">
      <c r="A74" s="8">
        <v>2</v>
      </c>
      <c r="B74" s="20">
        <v>37544</v>
      </c>
      <c r="C74" s="12">
        <v>2002</v>
      </c>
      <c r="D74" s="16" t="s">
        <v>14</v>
      </c>
      <c r="E74" s="12">
        <v>10</v>
      </c>
      <c r="F74" s="51">
        <v>0.59088981632737425</v>
      </c>
      <c r="G74" s="51">
        <v>0</v>
      </c>
      <c r="H74" s="51">
        <v>0</v>
      </c>
      <c r="I74" s="51">
        <v>0.16742750348797616</v>
      </c>
      <c r="J74" s="51">
        <v>4.791540442206743E-3</v>
      </c>
      <c r="K74" s="51">
        <v>0</v>
      </c>
    </row>
    <row r="75" spans="1:18">
      <c r="A75" s="8">
        <v>16</v>
      </c>
      <c r="B75" s="20">
        <v>37544</v>
      </c>
      <c r="C75" s="12">
        <v>2002</v>
      </c>
      <c r="D75" s="16" t="s">
        <v>14</v>
      </c>
      <c r="E75" s="12">
        <v>10</v>
      </c>
      <c r="F75" s="51">
        <v>0.85666815903047522</v>
      </c>
      <c r="G75" s="51">
        <v>0</v>
      </c>
      <c r="H75" s="51">
        <v>0</v>
      </c>
      <c r="I75" s="51">
        <v>0.13748606800473298</v>
      </c>
      <c r="J75" s="51">
        <v>7.5313555753946451E-3</v>
      </c>
      <c r="K75" s="51">
        <v>0</v>
      </c>
    </row>
    <row r="76" spans="1:18">
      <c r="A76" s="8">
        <v>2</v>
      </c>
      <c r="B76" s="20">
        <v>37575</v>
      </c>
      <c r="C76" s="12">
        <v>2002</v>
      </c>
      <c r="D76" s="16" t="s">
        <v>16</v>
      </c>
      <c r="E76" s="12">
        <v>11</v>
      </c>
      <c r="F76" s="51">
        <v>1.6548308255377724</v>
      </c>
      <c r="G76" s="51">
        <v>9.6716489709037193E-2</v>
      </c>
      <c r="H76" s="51">
        <v>0</v>
      </c>
      <c r="I76" s="51">
        <v>0.275401129091774</v>
      </c>
      <c r="J76" s="51">
        <v>1.1887805018903486E-2</v>
      </c>
      <c r="K76" s="51">
        <v>0</v>
      </c>
    </row>
    <row r="77" spans="1:18">
      <c r="A77" s="8">
        <v>16</v>
      </c>
      <c r="B77" s="20">
        <v>37575</v>
      </c>
      <c r="C77" s="12">
        <v>2002</v>
      </c>
      <c r="D77" s="16" t="s">
        <v>16</v>
      </c>
      <c r="E77" s="12">
        <v>11</v>
      </c>
      <c r="F77" s="51">
        <v>1.5187610701365515</v>
      </c>
      <c r="G77" s="51">
        <v>0.11314643892575946</v>
      </c>
      <c r="H77" s="51">
        <v>0</v>
      </c>
      <c r="I77" s="51">
        <v>0.1885345558854275</v>
      </c>
      <c r="J77" s="51">
        <v>1.1062403183478833E-2</v>
      </c>
      <c r="K77" s="51">
        <v>0</v>
      </c>
    </row>
    <row r="78" spans="1:18">
      <c r="A78" s="8">
        <v>2</v>
      </c>
      <c r="B78" s="20">
        <v>37609</v>
      </c>
      <c r="C78" s="12">
        <v>2002</v>
      </c>
      <c r="D78" s="16" t="s">
        <v>17</v>
      </c>
      <c r="E78" s="12">
        <v>12</v>
      </c>
      <c r="F78" s="51">
        <v>2.8975742868231502</v>
      </c>
      <c r="G78" s="51">
        <v>2.6134824642096009E-2</v>
      </c>
      <c r="H78" s="51">
        <v>0</v>
      </c>
      <c r="I78" s="51">
        <v>0.87987315910174091</v>
      </c>
      <c r="J78" s="51">
        <v>7.3420323127167163E-3</v>
      </c>
      <c r="K78" s="51">
        <v>0</v>
      </c>
    </row>
    <row r="79" spans="1:18" ht="25.5">
      <c r="A79" s="8">
        <v>16</v>
      </c>
      <c r="B79" s="20">
        <v>37609</v>
      </c>
      <c r="C79" s="12">
        <v>2002</v>
      </c>
      <c r="D79" s="16" t="s">
        <v>17</v>
      </c>
      <c r="E79" s="12">
        <v>12</v>
      </c>
      <c r="F79" s="51">
        <v>2.2313565544436207</v>
      </c>
      <c r="G79" s="51">
        <v>4.3155254783528149E-2</v>
      </c>
      <c r="H79" s="51">
        <v>0</v>
      </c>
      <c r="I79" s="51">
        <v>0.41413982747815586</v>
      </c>
      <c r="J79" s="51">
        <v>1.3937670776334541E-2</v>
      </c>
      <c r="K79" s="51">
        <v>0</v>
      </c>
      <c r="L79" s="36" t="s">
        <v>42</v>
      </c>
      <c r="M79" s="6" t="s">
        <v>7</v>
      </c>
      <c r="N79" s="6" t="s">
        <v>8</v>
      </c>
      <c r="O79" s="6" t="s">
        <v>9</v>
      </c>
      <c r="P79" s="6" t="s">
        <v>10</v>
      </c>
      <c r="Q79" s="6" t="s">
        <v>11</v>
      </c>
      <c r="R79" s="6" t="s">
        <v>12</v>
      </c>
    </row>
    <row r="80" spans="1:18">
      <c r="A80" s="38">
        <v>2</v>
      </c>
      <c r="B80" s="52">
        <v>37635</v>
      </c>
      <c r="C80" s="42">
        <v>2003</v>
      </c>
      <c r="D80" s="48" t="s">
        <v>18</v>
      </c>
      <c r="E80" s="42">
        <v>1</v>
      </c>
      <c r="F80" s="53">
        <v>7.3807167788437722</v>
      </c>
      <c r="G80" s="53">
        <v>0.21960533683380767</v>
      </c>
      <c r="H80" s="53">
        <v>0</v>
      </c>
      <c r="I80" s="53">
        <v>1.5939515615038713</v>
      </c>
      <c r="J80" s="53">
        <v>4.831271317652161E-2</v>
      </c>
      <c r="K80" s="53">
        <v>0</v>
      </c>
      <c r="L80" s="36" t="s">
        <v>47</v>
      </c>
      <c r="M80" s="37">
        <f t="shared" ref="M80:R80" si="0">AVERAGE(F80:F103)</f>
        <v>8.3208806146188987</v>
      </c>
      <c r="N80" s="37">
        <f t="shared" si="0"/>
        <v>0.1271234511643704</v>
      </c>
      <c r="O80" s="37">
        <f t="shared" si="0"/>
        <v>0.22462717123529205</v>
      </c>
      <c r="P80" s="37">
        <f t="shared" si="0"/>
        <v>2.1460492314787865</v>
      </c>
      <c r="Q80" s="37">
        <f t="shared" si="0"/>
        <v>0.38287047814496339</v>
      </c>
      <c r="R80" s="37">
        <f t="shared" si="0"/>
        <v>0</v>
      </c>
    </row>
    <row r="81" spans="1:12">
      <c r="A81" s="8">
        <v>16</v>
      </c>
      <c r="B81" s="20">
        <v>37635</v>
      </c>
      <c r="C81" s="12">
        <v>2003</v>
      </c>
      <c r="D81" s="16" t="s">
        <v>18</v>
      </c>
      <c r="E81" s="12">
        <v>1</v>
      </c>
      <c r="F81" s="51">
        <v>8.3268224592865661</v>
      </c>
      <c r="G81" s="51">
        <v>0.39694352664205423</v>
      </c>
      <c r="H81" s="51">
        <v>0</v>
      </c>
      <c r="I81" s="51">
        <v>1.6394506053540789</v>
      </c>
      <c r="J81" s="51">
        <v>7.0156319650847399E-2</v>
      </c>
      <c r="K81" s="51">
        <v>0</v>
      </c>
      <c r="L81"/>
    </row>
    <row r="82" spans="1:12">
      <c r="A82" s="8">
        <v>2</v>
      </c>
      <c r="B82" s="20">
        <v>37665</v>
      </c>
      <c r="C82" s="12">
        <v>2003</v>
      </c>
      <c r="D82" s="11" t="s">
        <v>19</v>
      </c>
      <c r="E82" s="12">
        <v>2</v>
      </c>
      <c r="F82" s="51">
        <v>7.0307100892642236</v>
      </c>
      <c r="G82" s="51">
        <v>0.43414680307061976</v>
      </c>
      <c r="H82" s="51">
        <v>0</v>
      </c>
      <c r="I82" s="51">
        <v>2.518194460657488</v>
      </c>
      <c r="J82" s="51">
        <v>7.6820003784483781E-2</v>
      </c>
      <c r="K82" s="51">
        <v>0</v>
      </c>
      <c r="L82"/>
    </row>
    <row r="83" spans="1:12">
      <c r="A83" s="8">
        <v>16</v>
      </c>
      <c r="B83" s="20">
        <v>37665</v>
      </c>
      <c r="C83" s="12">
        <v>2003</v>
      </c>
      <c r="D83" s="11" t="s">
        <v>19</v>
      </c>
      <c r="E83" s="12">
        <v>2</v>
      </c>
      <c r="F83" s="51">
        <v>5.7501164628940291</v>
      </c>
      <c r="G83" s="51">
        <v>0</v>
      </c>
      <c r="H83" s="51">
        <v>0</v>
      </c>
      <c r="I83" s="51">
        <v>2.0982849166212052</v>
      </c>
      <c r="J83" s="51">
        <v>8.4626537245197267E-2</v>
      </c>
      <c r="K83" s="51">
        <v>0</v>
      </c>
      <c r="L83"/>
    </row>
    <row r="84" spans="1:12">
      <c r="A84" s="8">
        <v>2</v>
      </c>
      <c r="B84" s="20">
        <v>37690</v>
      </c>
      <c r="C84" s="12">
        <v>2003</v>
      </c>
      <c r="D84" s="11" t="s">
        <v>20</v>
      </c>
      <c r="E84" s="12">
        <v>3</v>
      </c>
      <c r="F84" s="51">
        <v>5.4394671209078842</v>
      </c>
      <c r="G84" s="51">
        <v>0.1053373948435809</v>
      </c>
      <c r="H84" s="51">
        <v>0</v>
      </c>
      <c r="I84" s="51">
        <v>2.0529188246809227</v>
      </c>
      <c r="J84" s="51">
        <v>6.1647327367877536E-2</v>
      </c>
      <c r="K84" s="51">
        <v>0</v>
      </c>
      <c r="L84"/>
    </row>
    <row r="85" spans="1:12">
      <c r="A85" s="8">
        <v>16</v>
      </c>
      <c r="B85" s="20">
        <v>37692</v>
      </c>
      <c r="C85" s="12">
        <v>2003</v>
      </c>
      <c r="D85" s="11" t="s">
        <v>20</v>
      </c>
      <c r="E85" s="12">
        <v>3</v>
      </c>
      <c r="F85" s="51">
        <v>6.7191308328276174</v>
      </c>
      <c r="G85" s="51">
        <v>0.36817556809912239</v>
      </c>
      <c r="H85" s="51">
        <v>0</v>
      </c>
      <c r="I85" s="51">
        <v>2.3962652413433645</v>
      </c>
      <c r="J85" s="51">
        <v>3.7315732980725012E-2</v>
      </c>
      <c r="K85" s="51">
        <v>0</v>
      </c>
      <c r="L85"/>
    </row>
    <row r="86" spans="1:12">
      <c r="A86" s="8">
        <v>2</v>
      </c>
      <c r="B86" s="20">
        <v>37725</v>
      </c>
      <c r="C86" s="12">
        <v>2003</v>
      </c>
      <c r="D86" s="11" t="s">
        <v>21</v>
      </c>
      <c r="E86" s="12">
        <v>4</v>
      </c>
      <c r="F86" s="51">
        <v>11.05539663202868</v>
      </c>
      <c r="G86" s="51">
        <v>0.11972093980649033</v>
      </c>
      <c r="H86" s="51">
        <v>0.16549202616848291</v>
      </c>
      <c r="I86" s="51">
        <v>4.1425907004633089</v>
      </c>
      <c r="J86" s="51">
        <v>6.4514350570017212E-2</v>
      </c>
      <c r="K86" s="51">
        <v>0</v>
      </c>
      <c r="L86"/>
    </row>
    <row r="87" spans="1:12">
      <c r="A87" s="8">
        <v>16</v>
      </c>
      <c r="B87" s="20">
        <v>37725</v>
      </c>
      <c r="C87" s="12">
        <v>2003</v>
      </c>
      <c r="D87" s="11" t="s">
        <v>21</v>
      </c>
      <c r="E87" s="12">
        <v>4</v>
      </c>
      <c r="F87" s="51">
        <v>6.8301543624819328</v>
      </c>
      <c r="G87" s="51">
        <v>0</v>
      </c>
      <c r="H87" s="51">
        <v>7.0366604155830306E-2</v>
      </c>
      <c r="I87" s="51">
        <v>2.6557837799560433</v>
      </c>
      <c r="J87" s="51">
        <v>6.5798600286557055E-2</v>
      </c>
      <c r="K87" s="51">
        <v>0</v>
      </c>
      <c r="L87"/>
    </row>
    <row r="88" spans="1:12">
      <c r="A88" s="8">
        <v>2</v>
      </c>
      <c r="B88" s="20">
        <v>37753</v>
      </c>
      <c r="C88" s="12">
        <v>2003</v>
      </c>
      <c r="D88" s="11" t="s">
        <v>22</v>
      </c>
      <c r="E88" s="12">
        <v>5</v>
      </c>
      <c r="F88" s="51">
        <v>5.7161307948784339</v>
      </c>
      <c r="G88" s="51">
        <v>0.13912008593762468</v>
      </c>
      <c r="H88" s="51">
        <v>0.38263911807805073</v>
      </c>
      <c r="I88" s="51">
        <v>2.7439324492822754</v>
      </c>
      <c r="J88" s="51">
        <v>7.5447954944742976E-2</v>
      </c>
      <c r="K88" s="51">
        <v>0</v>
      </c>
      <c r="L88"/>
    </row>
    <row r="89" spans="1:12">
      <c r="A89" s="8">
        <v>16</v>
      </c>
      <c r="B89" s="20">
        <v>37753</v>
      </c>
      <c r="C89" s="12">
        <v>2003</v>
      </c>
      <c r="D89" s="11" t="s">
        <v>22</v>
      </c>
      <c r="E89" s="12">
        <v>5</v>
      </c>
      <c r="F89" s="51">
        <v>4.8233307954777436</v>
      </c>
      <c r="G89" s="51">
        <v>0.20796188306511784</v>
      </c>
      <c r="H89" s="51">
        <v>0.24416664590930581</v>
      </c>
      <c r="I89" s="51">
        <v>1.8906373248426707</v>
      </c>
      <c r="J89" s="51">
        <v>9.682159525919054E-2</v>
      </c>
      <c r="K89" s="51">
        <v>0</v>
      </c>
      <c r="L89"/>
    </row>
    <row r="90" spans="1:12">
      <c r="A90" s="8">
        <v>2</v>
      </c>
      <c r="B90" s="20">
        <v>37792</v>
      </c>
      <c r="C90" s="12">
        <v>2003</v>
      </c>
      <c r="D90" s="11" t="s">
        <v>23</v>
      </c>
      <c r="E90" s="12">
        <v>6</v>
      </c>
      <c r="F90" s="51">
        <v>9.9054037962471089</v>
      </c>
      <c r="G90" s="51">
        <v>8.0063962151786641E-2</v>
      </c>
      <c r="H90" s="51">
        <v>1.1804607946114292</v>
      </c>
      <c r="I90" s="51">
        <v>4.4420833048860686</v>
      </c>
      <c r="J90" s="51">
        <v>0.17170285024907414</v>
      </c>
      <c r="K90" s="51">
        <v>0</v>
      </c>
      <c r="L90"/>
    </row>
    <row r="91" spans="1:12">
      <c r="A91" s="8">
        <v>16</v>
      </c>
      <c r="B91" s="20">
        <v>37792</v>
      </c>
      <c r="C91" s="12">
        <v>2003</v>
      </c>
      <c r="D91" s="11" t="s">
        <v>23</v>
      </c>
      <c r="E91" s="12">
        <v>6</v>
      </c>
      <c r="F91" s="51">
        <v>19.594853935043346</v>
      </c>
      <c r="G91" s="51">
        <v>0.11164201499045166</v>
      </c>
      <c r="H91" s="51">
        <v>3.3070706611538112</v>
      </c>
      <c r="I91" s="51">
        <v>9.1565451289376032</v>
      </c>
      <c r="J91" s="51">
        <v>0.53181928202869644</v>
      </c>
      <c r="K91" s="51">
        <v>0</v>
      </c>
      <c r="L91"/>
    </row>
    <row r="92" spans="1:12">
      <c r="A92" s="8">
        <v>2</v>
      </c>
      <c r="B92" s="20">
        <v>37817</v>
      </c>
      <c r="C92" s="12">
        <v>2003</v>
      </c>
      <c r="D92" s="16" t="s">
        <v>24</v>
      </c>
      <c r="E92" s="12">
        <v>7</v>
      </c>
      <c r="F92" s="51">
        <v>14.487619123674301</v>
      </c>
      <c r="G92" s="51">
        <v>3.3281539366335336E-2</v>
      </c>
      <c r="H92" s="51">
        <v>0</v>
      </c>
      <c r="I92" s="51">
        <v>1.5187089819661199</v>
      </c>
      <c r="J92" s="51">
        <v>1.5883515272942197</v>
      </c>
      <c r="K92" s="51">
        <v>0</v>
      </c>
      <c r="L92"/>
    </row>
    <row r="93" spans="1:12">
      <c r="A93" s="8">
        <v>16</v>
      </c>
      <c r="B93" s="20">
        <v>37817</v>
      </c>
      <c r="C93" s="12">
        <v>2003</v>
      </c>
      <c r="D93" s="16" t="s">
        <v>24</v>
      </c>
      <c r="E93" s="12">
        <v>7</v>
      </c>
      <c r="F93" s="51">
        <v>12.646929840868735</v>
      </c>
      <c r="G93" s="51">
        <v>3.9553462445262012E-2</v>
      </c>
      <c r="H93" s="51">
        <v>0</v>
      </c>
      <c r="I93" s="51">
        <v>0.81330394610459533</v>
      </c>
      <c r="J93" s="51">
        <v>1.3989971585090175</v>
      </c>
      <c r="K93" s="51">
        <v>0</v>
      </c>
      <c r="L93"/>
    </row>
    <row r="94" spans="1:12">
      <c r="A94" s="8">
        <v>2</v>
      </c>
      <c r="B94" s="20">
        <v>37845</v>
      </c>
      <c r="C94" s="12">
        <v>2003</v>
      </c>
      <c r="D94" s="16" t="s">
        <v>25</v>
      </c>
      <c r="E94" s="12">
        <v>8</v>
      </c>
      <c r="F94" s="51">
        <v>19.537651800896953</v>
      </c>
      <c r="G94" s="51">
        <v>4.7498284696608911E-2</v>
      </c>
      <c r="H94" s="51">
        <v>0</v>
      </c>
      <c r="I94" s="51">
        <v>2.2782867328957348</v>
      </c>
      <c r="J94" s="51">
        <v>1.6479803163303393</v>
      </c>
      <c r="K94" s="51">
        <v>0</v>
      </c>
      <c r="L94"/>
    </row>
    <row r="95" spans="1:12">
      <c r="A95" s="8">
        <v>16</v>
      </c>
      <c r="B95" s="20">
        <v>37845</v>
      </c>
      <c r="C95" s="12">
        <v>2003</v>
      </c>
      <c r="D95" s="16" t="s">
        <v>25</v>
      </c>
      <c r="E95" s="12">
        <v>8</v>
      </c>
      <c r="F95" s="51">
        <v>20.502660158281593</v>
      </c>
      <c r="G95" s="51">
        <v>0.22084992207923673</v>
      </c>
      <c r="H95" s="51">
        <v>4.0856259570099321E-2</v>
      </c>
      <c r="I95" s="51">
        <v>1.9303375580033511</v>
      </c>
      <c r="J95" s="51">
        <v>2.2523599888758055</v>
      </c>
      <c r="K95" s="51">
        <v>0</v>
      </c>
      <c r="L95"/>
    </row>
    <row r="96" spans="1:12">
      <c r="A96" s="8">
        <v>2</v>
      </c>
      <c r="B96" s="20">
        <v>37888</v>
      </c>
      <c r="C96" s="12">
        <v>2003</v>
      </c>
      <c r="D96" s="16" t="s">
        <v>26</v>
      </c>
      <c r="E96" s="12">
        <v>9</v>
      </c>
      <c r="F96" s="51">
        <v>3.6079961892922769</v>
      </c>
      <c r="G96" s="51">
        <v>4.0434524415230697E-2</v>
      </c>
      <c r="H96" s="51">
        <v>0</v>
      </c>
      <c r="I96" s="51">
        <v>0.58998941386310078</v>
      </c>
      <c r="J96" s="51">
        <v>0.3008309410747394</v>
      </c>
      <c r="K96" s="51">
        <v>0</v>
      </c>
      <c r="L96"/>
    </row>
    <row r="97" spans="1:18">
      <c r="A97" s="8">
        <v>16</v>
      </c>
      <c r="B97" s="20">
        <v>37888</v>
      </c>
      <c r="C97" s="12">
        <v>2003</v>
      </c>
      <c r="D97" s="16" t="s">
        <v>26</v>
      </c>
      <c r="E97" s="12">
        <v>9</v>
      </c>
      <c r="F97" s="51">
        <v>4.389143577658345</v>
      </c>
      <c r="G97" s="51">
        <v>4.1603652540718523E-2</v>
      </c>
      <c r="H97" s="51">
        <v>0</v>
      </c>
      <c r="I97" s="51">
        <v>1.0287609995914782</v>
      </c>
      <c r="J97" s="51">
        <v>0.23036489278971495</v>
      </c>
      <c r="K97" s="51">
        <v>0</v>
      </c>
    </row>
    <row r="98" spans="1:18">
      <c r="A98" s="8">
        <v>2</v>
      </c>
      <c r="B98" s="20">
        <v>37908</v>
      </c>
      <c r="C98" s="12">
        <v>2003</v>
      </c>
      <c r="D98" s="16" t="s">
        <v>14</v>
      </c>
      <c r="E98" s="12">
        <v>10</v>
      </c>
      <c r="F98" s="14">
        <v>2.2682000000000002</v>
      </c>
      <c r="G98" s="14">
        <v>2.4101823893501573E-2</v>
      </c>
      <c r="H98" s="14">
        <v>0</v>
      </c>
      <c r="I98" s="14">
        <v>0.38630853874783067</v>
      </c>
      <c r="J98" s="14">
        <v>4.5589647962011662E-2</v>
      </c>
      <c r="K98" s="14">
        <v>0</v>
      </c>
    </row>
    <row r="99" spans="1:18">
      <c r="A99" s="8">
        <v>16</v>
      </c>
      <c r="B99" s="20">
        <v>37908</v>
      </c>
      <c r="C99" s="12">
        <v>2003</v>
      </c>
      <c r="D99" s="16" t="s">
        <v>14</v>
      </c>
      <c r="E99" s="12">
        <v>10</v>
      </c>
      <c r="F99" s="14">
        <v>4.5435999999999996</v>
      </c>
      <c r="G99" s="14">
        <v>7.5867921799150126E-2</v>
      </c>
      <c r="H99" s="14">
        <v>0</v>
      </c>
      <c r="I99" s="14">
        <v>0.56843939941998611</v>
      </c>
      <c r="J99" s="14">
        <v>0.17876911264586298</v>
      </c>
      <c r="K99" s="14">
        <v>0</v>
      </c>
    </row>
    <row r="100" spans="1:18">
      <c r="A100" s="8">
        <v>2</v>
      </c>
      <c r="B100" s="20">
        <v>37943</v>
      </c>
      <c r="C100" s="12">
        <v>2003</v>
      </c>
      <c r="D100" s="16" t="s">
        <v>16</v>
      </c>
      <c r="E100" s="12">
        <v>11</v>
      </c>
      <c r="F100" s="14">
        <v>1.7544</v>
      </c>
      <c r="G100" s="14">
        <v>3.1315016456698458E-2</v>
      </c>
      <c r="H100" s="14">
        <v>0</v>
      </c>
      <c r="I100" s="14">
        <v>0.45697952891881594</v>
      </c>
      <c r="J100" s="14">
        <v>1.9751001225855901E-2</v>
      </c>
      <c r="K100" s="14">
        <v>0</v>
      </c>
    </row>
    <row r="101" spans="1:18">
      <c r="A101" s="8">
        <v>16</v>
      </c>
      <c r="B101" s="20">
        <v>37943</v>
      </c>
      <c r="C101" s="12">
        <v>2003</v>
      </c>
      <c r="D101" s="16" t="s">
        <v>16</v>
      </c>
      <c r="E101" s="12">
        <v>11</v>
      </c>
      <c r="F101" s="14">
        <v>2.1516000000000002</v>
      </c>
      <c r="G101" s="14">
        <v>4.9572584186487037E-2</v>
      </c>
      <c r="H101" s="14">
        <v>0</v>
      </c>
      <c r="I101" s="14">
        <v>0.37417733881173781</v>
      </c>
      <c r="J101" s="14">
        <v>2.3292149040411544E-2</v>
      </c>
      <c r="K101" s="14">
        <v>0</v>
      </c>
    </row>
    <row r="102" spans="1:18">
      <c r="A102" s="8">
        <v>2</v>
      </c>
      <c r="B102" s="20">
        <v>37973</v>
      </c>
      <c r="C102" s="12">
        <v>2003</v>
      </c>
      <c r="D102" s="16" t="s">
        <v>17</v>
      </c>
      <c r="E102" s="12">
        <v>12</v>
      </c>
      <c r="F102" s="14">
        <v>6.9042000000000003</v>
      </c>
      <c r="G102" s="14">
        <v>0.11367078859666899</v>
      </c>
      <c r="H102" s="14">
        <v>0</v>
      </c>
      <c r="I102" s="14">
        <v>1.9167876880213932</v>
      </c>
      <c r="J102" s="14">
        <v>6.0448130676380669E-2</v>
      </c>
      <c r="K102" s="14">
        <v>0</v>
      </c>
    </row>
    <row r="103" spans="1:18" ht="25.5">
      <c r="A103" s="8">
        <v>16</v>
      </c>
      <c r="B103" s="20">
        <v>37973</v>
      </c>
      <c r="C103" s="12">
        <v>2003</v>
      </c>
      <c r="D103" s="16" t="s">
        <v>17</v>
      </c>
      <c r="E103" s="12">
        <v>12</v>
      </c>
      <c r="F103" s="14">
        <v>8.3348999999999993</v>
      </c>
      <c r="G103" s="14">
        <v>0.15049579202833516</v>
      </c>
      <c r="H103" s="14">
        <v>0</v>
      </c>
      <c r="I103" s="14">
        <v>2.3124631306178207</v>
      </c>
      <c r="J103" s="14">
        <v>5.7173341510828361E-2</v>
      </c>
      <c r="K103" s="14">
        <v>0</v>
      </c>
      <c r="L103" s="36" t="s">
        <v>42</v>
      </c>
      <c r="M103" s="6" t="s">
        <v>7</v>
      </c>
      <c r="N103" s="6" t="s">
        <v>8</v>
      </c>
      <c r="O103" s="6" t="s">
        <v>9</v>
      </c>
      <c r="P103" s="6" t="s">
        <v>10</v>
      </c>
      <c r="Q103" s="6" t="s">
        <v>11</v>
      </c>
      <c r="R103" s="6" t="s">
        <v>12</v>
      </c>
    </row>
    <row r="104" spans="1:18">
      <c r="A104" s="38">
        <v>2</v>
      </c>
      <c r="B104" s="52">
        <v>38000</v>
      </c>
      <c r="C104" s="42">
        <v>2004</v>
      </c>
      <c r="D104" s="48" t="s">
        <v>18</v>
      </c>
      <c r="E104" s="42">
        <v>1</v>
      </c>
      <c r="F104" s="54">
        <v>7.9244000000000003</v>
      </c>
      <c r="G104" s="54">
        <v>6.9294091716351633E-2</v>
      </c>
      <c r="H104" s="54">
        <v>0</v>
      </c>
      <c r="I104" s="54">
        <v>2.658166202296588</v>
      </c>
      <c r="J104" s="54">
        <v>3.1286729623826386E-2</v>
      </c>
      <c r="K104" s="54">
        <v>0</v>
      </c>
      <c r="L104" s="36" t="s">
        <v>48</v>
      </c>
      <c r="M104" s="37">
        <f t="shared" ref="M104:R104" si="1">AVERAGE(F104:F127)</f>
        <v>8.6886666666666645</v>
      </c>
      <c r="N104" s="37">
        <f t="shared" si="1"/>
        <v>8.4583638507811948E-2</v>
      </c>
      <c r="O104" s="37">
        <f t="shared" si="1"/>
        <v>0.23786481496596379</v>
      </c>
      <c r="P104" s="37">
        <f t="shared" si="1"/>
        <v>2.2772366747213382</v>
      </c>
      <c r="Q104" s="37">
        <f t="shared" si="1"/>
        <v>0.37580422325421553</v>
      </c>
      <c r="R104" s="37">
        <f t="shared" si="1"/>
        <v>2.3660720517882953E-3</v>
      </c>
    </row>
    <row r="105" spans="1:18">
      <c r="A105" s="8">
        <v>16</v>
      </c>
      <c r="B105" s="20">
        <v>37999</v>
      </c>
      <c r="C105" s="12">
        <v>2004</v>
      </c>
      <c r="D105" s="16" t="s">
        <v>18</v>
      </c>
      <c r="E105" s="12">
        <v>1</v>
      </c>
      <c r="F105" s="14">
        <v>4.7584999999999997</v>
      </c>
      <c r="G105" s="14">
        <v>2.0371153086774077E-2</v>
      </c>
      <c r="H105" s="14">
        <v>0</v>
      </c>
      <c r="I105" s="14">
        <v>1.7826682150826958</v>
      </c>
      <c r="J105" s="14">
        <v>3.0557197562010176E-2</v>
      </c>
      <c r="K105" s="14">
        <v>0</v>
      </c>
    </row>
    <row r="106" spans="1:18">
      <c r="A106" s="8">
        <v>2</v>
      </c>
      <c r="B106" s="20">
        <v>38027</v>
      </c>
      <c r="C106" s="12">
        <v>2004</v>
      </c>
      <c r="D106" s="11" t="s">
        <v>19</v>
      </c>
      <c r="E106" s="12">
        <v>2</v>
      </c>
      <c r="F106" s="14">
        <v>8.4512999999999998</v>
      </c>
      <c r="G106" s="14">
        <v>0.10587675287421577</v>
      </c>
      <c r="H106" s="14">
        <v>0</v>
      </c>
      <c r="I106" s="14">
        <v>3.4366160320971737</v>
      </c>
      <c r="J106" s="14">
        <v>3.7833460229407395E-2</v>
      </c>
      <c r="K106" s="14">
        <v>0</v>
      </c>
    </row>
    <row r="107" spans="1:18">
      <c r="A107" s="8">
        <v>16</v>
      </c>
      <c r="B107" s="20">
        <v>38027</v>
      </c>
      <c r="C107" s="12">
        <v>2004</v>
      </c>
      <c r="D107" s="11" t="s">
        <v>19</v>
      </c>
      <c r="E107" s="12">
        <v>2</v>
      </c>
      <c r="F107" s="14">
        <v>6.8272000000000004</v>
      </c>
      <c r="G107" s="14">
        <v>3.4639787288167981E-2</v>
      </c>
      <c r="H107" s="14">
        <v>0</v>
      </c>
      <c r="I107" s="14">
        <v>2.627782684980164</v>
      </c>
      <c r="J107" s="14">
        <v>2.9879817604819E-2</v>
      </c>
      <c r="K107" s="14">
        <v>0</v>
      </c>
    </row>
    <row r="108" spans="1:18">
      <c r="A108" s="8">
        <v>2</v>
      </c>
      <c r="B108" s="20">
        <v>38063</v>
      </c>
      <c r="C108" s="12">
        <v>2004</v>
      </c>
      <c r="D108" s="11" t="s">
        <v>20</v>
      </c>
      <c r="E108" s="12">
        <v>3</v>
      </c>
      <c r="F108" s="14">
        <v>5.9840999999999998</v>
      </c>
      <c r="G108" s="14">
        <v>9.9309948680048041E-2</v>
      </c>
      <c r="H108" s="14">
        <v>1.5937718946000549E-2</v>
      </c>
      <c r="I108" s="14">
        <v>2.2269674446284151</v>
      </c>
      <c r="J108" s="14">
        <v>2.4161048666527511E-2</v>
      </c>
      <c r="K108" s="14">
        <v>0</v>
      </c>
    </row>
    <row r="109" spans="1:18">
      <c r="A109" s="8">
        <v>16</v>
      </c>
      <c r="B109" s="20">
        <v>38063</v>
      </c>
      <c r="C109" s="12">
        <v>2004</v>
      </c>
      <c r="D109" s="11" t="s">
        <v>20</v>
      </c>
      <c r="E109" s="12">
        <v>3</v>
      </c>
      <c r="F109" s="14">
        <v>5.5353000000000003</v>
      </c>
      <c r="G109" s="14">
        <v>4.5258676202371555E-2</v>
      </c>
      <c r="H109" s="14">
        <v>1.0860460455290995E-2</v>
      </c>
      <c r="I109" s="14">
        <v>2.1785938216464897</v>
      </c>
      <c r="J109" s="14">
        <v>4.2328048876012776E-2</v>
      </c>
      <c r="K109" s="14">
        <v>0</v>
      </c>
    </row>
    <row r="110" spans="1:18">
      <c r="A110" s="8">
        <v>2</v>
      </c>
      <c r="B110" s="20">
        <v>38094</v>
      </c>
      <c r="C110" s="12">
        <v>2004</v>
      </c>
      <c r="D110" s="11" t="s">
        <v>21</v>
      </c>
      <c r="E110" s="12">
        <v>4</v>
      </c>
      <c r="F110" s="14">
        <v>5.3353000000000002</v>
      </c>
      <c r="G110" s="14">
        <v>2.9936142451045748E-2</v>
      </c>
      <c r="H110" s="14">
        <v>9.8750546190221208E-2</v>
      </c>
      <c r="I110" s="14">
        <v>1.9262581044497677</v>
      </c>
      <c r="J110" s="14">
        <v>4.5330781055786182E-2</v>
      </c>
      <c r="K110" s="14">
        <v>0</v>
      </c>
    </row>
    <row r="111" spans="1:18">
      <c r="A111" s="8">
        <v>16</v>
      </c>
      <c r="B111" s="20">
        <v>38094</v>
      </c>
      <c r="C111" s="12">
        <v>2004</v>
      </c>
      <c r="D111" s="11" t="s">
        <v>21</v>
      </c>
      <c r="E111" s="12">
        <v>4</v>
      </c>
      <c r="F111" s="14">
        <v>6.4290000000000003</v>
      </c>
      <c r="G111" s="14">
        <v>5.107431439066594E-2</v>
      </c>
      <c r="H111" s="14">
        <v>8.9604443079694868E-2</v>
      </c>
      <c r="I111" s="14">
        <v>2.3503058093316689</v>
      </c>
      <c r="J111" s="14">
        <v>5.5164507634608367E-2</v>
      </c>
      <c r="K111" s="14">
        <v>0</v>
      </c>
    </row>
    <row r="112" spans="1:18">
      <c r="A112" s="8">
        <v>2</v>
      </c>
      <c r="B112" s="20">
        <v>38118</v>
      </c>
      <c r="C112" s="12">
        <v>2004</v>
      </c>
      <c r="D112" s="11" t="s">
        <v>22</v>
      </c>
      <c r="E112" s="12">
        <v>5</v>
      </c>
      <c r="F112" s="14">
        <v>3.1080999999999999</v>
      </c>
      <c r="G112" s="14">
        <v>2.3726658587918888E-2</v>
      </c>
      <c r="H112" s="14">
        <v>6.0631256512209332E-2</v>
      </c>
      <c r="I112" s="14">
        <v>0.89779515353207762</v>
      </c>
      <c r="J112" s="14">
        <v>8.9438372881926312E-2</v>
      </c>
      <c r="K112" s="14">
        <v>0</v>
      </c>
    </row>
    <row r="113" spans="1:18">
      <c r="A113" s="8">
        <v>16</v>
      </c>
      <c r="B113" s="20">
        <v>38118</v>
      </c>
      <c r="C113" s="12">
        <v>2004</v>
      </c>
      <c r="D113" s="11" t="s">
        <v>22</v>
      </c>
      <c r="E113" s="12">
        <v>5</v>
      </c>
      <c r="F113" s="14">
        <v>4.1181999999999999</v>
      </c>
      <c r="G113" s="14">
        <v>3.6471212823303359E-2</v>
      </c>
      <c r="H113" s="14">
        <v>8.5490666808374055E-2</v>
      </c>
      <c r="I113" s="14">
        <v>1.258275822638689</v>
      </c>
      <c r="J113" s="14">
        <v>0.12093198016623749</v>
      </c>
      <c r="K113" s="14">
        <v>0</v>
      </c>
    </row>
    <row r="114" spans="1:18">
      <c r="A114" s="8">
        <v>2</v>
      </c>
      <c r="B114" s="20">
        <v>38153</v>
      </c>
      <c r="C114" s="12">
        <v>2004</v>
      </c>
      <c r="D114" s="11" t="s">
        <v>23</v>
      </c>
      <c r="E114" s="12">
        <v>6</v>
      </c>
      <c r="F114" s="14">
        <v>21.325199999999999</v>
      </c>
      <c r="G114" s="14">
        <v>6.0613869861052411E-2</v>
      </c>
      <c r="H114" s="14">
        <v>2.1702426693377448</v>
      </c>
      <c r="I114" s="14">
        <v>6.8347429983009533</v>
      </c>
      <c r="J114" s="14">
        <v>1.1233502708113325</v>
      </c>
      <c r="K114" s="14">
        <v>0</v>
      </c>
    </row>
    <row r="115" spans="1:18">
      <c r="A115" s="8">
        <v>16</v>
      </c>
      <c r="B115" s="20">
        <v>38153</v>
      </c>
      <c r="C115" s="12">
        <v>2004</v>
      </c>
      <c r="D115" s="11" t="s">
        <v>23</v>
      </c>
      <c r="E115" s="12">
        <v>6</v>
      </c>
      <c r="F115" s="14">
        <v>21.731999999999999</v>
      </c>
      <c r="G115" s="14">
        <v>4.107528084838856E-2</v>
      </c>
      <c r="H115" s="14">
        <v>2.3976296734828382</v>
      </c>
      <c r="I115" s="14">
        <v>7.3968172160911374</v>
      </c>
      <c r="J115" s="14">
        <v>0.78357596870982993</v>
      </c>
      <c r="K115" s="14">
        <v>0</v>
      </c>
    </row>
    <row r="116" spans="1:18">
      <c r="A116" s="8">
        <v>2</v>
      </c>
      <c r="B116" s="20">
        <v>38181</v>
      </c>
      <c r="C116" s="12">
        <v>2004</v>
      </c>
      <c r="D116" s="16" t="s">
        <v>24</v>
      </c>
      <c r="E116" s="12">
        <v>7</v>
      </c>
      <c r="F116" s="14">
        <v>19.874500000000001</v>
      </c>
      <c r="G116" s="14">
        <v>0.2572405959284354</v>
      </c>
      <c r="H116" s="14">
        <v>0.13274452024995922</v>
      </c>
      <c r="I116" s="14">
        <v>2.0537356233112702</v>
      </c>
      <c r="J116" s="14">
        <v>2.3449651579625383</v>
      </c>
      <c r="K116" s="14">
        <v>0</v>
      </c>
    </row>
    <row r="117" spans="1:18">
      <c r="A117" s="8">
        <v>16</v>
      </c>
      <c r="B117" s="20">
        <v>38181</v>
      </c>
      <c r="C117" s="12">
        <v>2004</v>
      </c>
      <c r="D117" s="16" t="s">
        <v>24</v>
      </c>
      <c r="E117" s="12">
        <v>7</v>
      </c>
      <c r="F117" s="14">
        <v>16.134699999999999</v>
      </c>
      <c r="G117" s="14">
        <v>0.42717518330885967</v>
      </c>
      <c r="H117" s="14">
        <v>0.17113397418887033</v>
      </c>
      <c r="I117" s="14">
        <v>1.6482818492262057</v>
      </c>
      <c r="J117" s="14">
        <v>2.1284722064524413</v>
      </c>
      <c r="K117" s="14">
        <v>5.2053585139342495E-2</v>
      </c>
    </row>
    <row r="118" spans="1:18">
      <c r="A118" s="8">
        <v>2</v>
      </c>
      <c r="B118" s="20">
        <v>38217</v>
      </c>
      <c r="C118" s="12">
        <v>2004</v>
      </c>
      <c r="D118" s="16" t="s">
        <v>25</v>
      </c>
      <c r="E118" s="12">
        <v>8</v>
      </c>
      <c r="F118" s="14">
        <v>16.3978</v>
      </c>
      <c r="G118" s="14"/>
      <c r="H118" s="14"/>
      <c r="I118" s="14"/>
      <c r="J118" s="14"/>
      <c r="K118" s="14"/>
    </row>
    <row r="119" spans="1:18">
      <c r="A119" s="8">
        <v>16</v>
      </c>
      <c r="B119" s="20">
        <v>38217</v>
      </c>
      <c r="C119" s="12">
        <v>2004</v>
      </c>
      <c r="D119" s="16" t="s">
        <v>25</v>
      </c>
      <c r="E119" s="12">
        <v>8</v>
      </c>
      <c r="F119" s="14">
        <v>14.690899999999999</v>
      </c>
      <c r="G119" s="14"/>
      <c r="H119" s="14"/>
      <c r="I119" s="14"/>
      <c r="J119" s="14"/>
      <c r="K119" s="14"/>
    </row>
    <row r="120" spans="1:18">
      <c r="A120" s="8">
        <v>2</v>
      </c>
      <c r="B120" s="20">
        <v>38244</v>
      </c>
      <c r="C120" s="12">
        <v>2004</v>
      </c>
      <c r="D120" s="16" t="s">
        <v>26</v>
      </c>
      <c r="E120" s="12">
        <v>9</v>
      </c>
      <c r="F120" s="14">
        <v>9.6735000000000007</v>
      </c>
      <c r="G120" s="14">
        <v>4.9319956238623661E-2</v>
      </c>
      <c r="H120" s="14">
        <v>0</v>
      </c>
      <c r="I120" s="14">
        <v>3.1648309505247276</v>
      </c>
      <c r="J120" s="14">
        <v>0.27769424813168825</v>
      </c>
      <c r="K120" s="14">
        <v>0</v>
      </c>
    </row>
    <row r="121" spans="1:18">
      <c r="A121" s="8">
        <v>16</v>
      </c>
      <c r="B121" s="20">
        <v>38244</v>
      </c>
      <c r="C121" s="12">
        <v>2004</v>
      </c>
      <c r="D121" s="16" t="s">
        <v>26</v>
      </c>
      <c r="E121" s="12">
        <v>9</v>
      </c>
      <c r="F121" s="14">
        <v>8.8986999999999998</v>
      </c>
      <c r="G121" s="14">
        <v>7.3857332851544805E-2</v>
      </c>
      <c r="H121" s="14">
        <v>0</v>
      </c>
      <c r="I121" s="14">
        <v>2.5730708134478908</v>
      </c>
      <c r="J121" s="14">
        <v>0.58207156159378493</v>
      </c>
      <c r="K121" s="14">
        <v>0</v>
      </c>
    </row>
    <row r="122" spans="1:18">
      <c r="A122" s="8">
        <v>2</v>
      </c>
      <c r="B122" s="20">
        <v>38272</v>
      </c>
      <c r="C122" s="12">
        <v>2004</v>
      </c>
      <c r="D122" s="16" t="s">
        <v>14</v>
      </c>
      <c r="E122" s="12">
        <v>10</v>
      </c>
      <c r="F122" s="27">
        <v>5.6414</v>
      </c>
      <c r="G122" s="16">
        <v>1.9972939609712807E-2</v>
      </c>
      <c r="H122" s="16">
        <v>0</v>
      </c>
      <c r="I122" s="16">
        <v>1.4353386392692853</v>
      </c>
      <c r="J122" s="16">
        <v>0.12182307577381461</v>
      </c>
      <c r="K122" s="16">
        <v>0</v>
      </c>
    </row>
    <row r="123" spans="1:18">
      <c r="A123" s="8">
        <v>16</v>
      </c>
      <c r="B123" s="20">
        <v>38272</v>
      </c>
      <c r="C123" s="12">
        <v>2004</v>
      </c>
      <c r="D123" s="16" t="s">
        <v>14</v>
      </c>
      <c r="E123" s="12">
        <v>10</v>
      </c>
      <c r="F123" s="27">
        <v>3.5736300000000001</v>
      </c>
      <c r="G123" s="16">
        <v>1.7930587608687088E-2</v>
      </c>
      <c r="H123" s="16">
        <v>0</v>
      </c>
      <c r="I123" s="16">
        <v>0.56432032434767199</v>
      </c>
      <c r="J123" s="16">
        <v>0.30400715453116672</v>
      </c>
      <c r="K123" s="16">
        <v>0</v>
      </c>
    </row>
    <row r="124" spans="1:18">
      <c r="A124" s="8">
        <v>2</v>
      </c>
      <c r="B124" s="20">
        <v>38306</v>
      </c>
      <c r="C124" s="12">
        <v>2004</v>
      </c>
      <c r="D124" s="16" t="s">
        <v>16</v>
      </c>
      <c r="E124" s="12">
        <v>11</v>
      </c>
      <c r="F124" s="27">
        <v>3.9119600000000001</v>
      </c>
      <c r="G124" s="16">
        <v>2.7779572180683353E-2</v>
      </c>
      <c r="H124" s="16">
        <v>0</v>
      </c>
      <c r="I124" s="16">
        <v>1.3540303823378843</v>
      </c>
      <c r="J124" s="16">
        <v>2.6320034750734682E-2</v>
      </c>
      <c r="K124" s="16">
        <v>0</v>
      </c>
    </row>
    <row r="125" spans="1:18">
      <c r="A125" s="8">
        <v>16</v>
      </c>
      <c r="B125" s="20">
        <v>38306</v>
      </c>
      <c r="C125" s="12">
        <v>2004</v>
      </c>
      <c r="D125" s="16" t="s">
        <v>16</v>
      </c>
      <c r="E125" s="12">
        <v>11</v>
      </c>
      <c r="F125" s="27">
        <v>2.7208100000000002</v>
      </c>
      <c r="G125" s="16">
        <v>0</v>
      </c>
      <c r="H125" s="16">
        <v>0</v>
      </c>
      <c r="I125" s="16">
        <v>0.93094196113316885</v>
      </c>
      <c r="J125" s="16">
        <v>2.9495809973888537E-2</v>
      </c>
      <c r="K125" s="16">
        <v>0</v>
      </c>
    </row>
    <row r="126" spans="1:18">
      <c r="A126" s="8">
        <v>2</v>
      </c>
      <c r="B126" s="20">
        <v>38335</v>
      </c>
      <c r="C126" s="12">
        <v>2004</v>
      </c>
      <c r="D126" s="16" t="s">
        <v>17</v>
      </c>
      <c r="E126" s="12">
        <v>12</v>
      </c>
      <c r="F126" s="27">
        <v>2.8012800000000002</v>
      </c>
      <c r="G126" s="16">
        <v>0.1872535155647298</v>
      </c>
      <c r="H126" s="16">
        <v>0</v>
      </c>
      <c r="I126" s="16">
        <v>0.41641287662626703</v>
      </c>
      <c r="J126" s="16">
        <v>1.7869609825886642E-2</v>
      </c>
      <c r="K126" s="16">
        <v>0</v>
      </c>
    </row>
    <row r="127" spans="1:18" ht="25.5">
      <c r="A127" s="8">
        <v>16</v>
      </c>
      <c r="B127" s="20">
        <v>38335</v>
      </c>
      <c r="C127" s="12">
        <v>2004</v>
      </c>
      <c r="D127" s="16" t="s">
        <v>17</v>
      </c>
      <c r="E127" s="12">
        <v>12</v>
      </c>
      <c r="F127" s="27">
        <v>2.6802199999999998</v>
      </c>
      <c r="G127" s="16">
        <v>0.18266247507028233</v>
      </c>
      <c r="H127" s="16">
        <v>0</v>
      </c>
      <c r="I127" s="16">
        <v>0.3832539185692459</v>
      </c>
      <c r="J127" s="16">
        <v>2.1135868774475011E-2</v>
      </c>
      <c r="K127" s="16">
        <v>0</v>
      </c>
      <c r="L127" s="36" t="s">
        <v>42</v>
      </c>
      <c r="M127" s="6" t="s">
        <v>7</v>
      </c>
      <c r="N127" s="6" t="s">
        <v>8</v>
      </c>
      <c r="O127" s="6" t="s">
        <v>9</v>
      </c>
      <c r="P127" s="6" t="s">
        <v>10</v>
      </c>
      <c r="Q127" s="6" t="s">
        <v>11</v>
      </c>
      <c r="R127" s="6" t="s">
        <v>12</v>
      </c>
    </row>
    <row r="128" spans="1:18">
      <c r="A128" s="38">
        <v>2</v>
      </c>
      <c r="B128" s="55">
        <v>38362</v>
      </c>
      <c r="C128" s="42">
        <v>2005</v>
      </c>
      <c r="D128" s="48" t="s">
        <v>18</v>
      </c>
      <c r="E128" s="42">
        <v>1</v>
      </c>
      <c r="F128" s="56">
        <v>10.834250000000001</v>
      </c>
      <c r="G128" s="48">
        <v>6.5776920566511021E-2</v>
      </c>
      <c r="H128" s="48">
        <v>0</v>
      </c>
      <c r="I128" s="48">
        <v>4.0634113018595022</v>
      </c>
      <c r="J128" s="48">
        <v>1.5587088604620008E-2</v>
      </c>
      <c r="K128" s="48">
        <v>0</v>
      </c>
      <c r="L128" s="36" t="s">
        <v>49</v>
      </c>
      <c r="M128" s="37">
        <f t="shared" ref="M128:R128" si="2">AVERAGE(F128:F151)</f>
        <v>7.9350654166666645</v>
      </c>
      <c r="N128" s="37">
        <f t="shared" si="2"/>
        <v>0.1137489220698099</v>
      </c>
      <c r="O128" s="37">
        <f t="shared" si="2"/>
        <v>0.26396839237567665</v>
      </c>
      <c r="P128" s="37">
        <f t="shared" si="2"/>
        <v>2.1264712785172954</v>
      </c>
      <c r="Q128" s="37">
        <f t="shared" si="2"/>
        <v>0.33870423100748864</v>
      </c>
      <c r="R128" s="37">
        <f t="shared" si="2"/>
        <v>3.8224511501085182E-3</v>
      </c>
    </row>
    <row r="129" spans="1:12">
      <c r="A129" s="8">
        <v>16</v>
      </c>
      <c r="B129" s="24">
        <v>38362</v>
      </c>
      <c r="C129" s="12">
        <v>2005</v>
      </c>
      <c r="D129" s="16" t="s">
        <v>18</v>
      </c>
      <c r="E129" s="12">
        <v>1</v>
      </c>
      <c r="F129" s="27">
        <v>5.9218200000000003</v>
      </c>
      <c r="G129" s="16">
        <v>5.0625114510626457E-2</v>
      </c>
      <c r="H129" s="16">
        <v>0</v>
      </c>
      <c r="I129" s="16">
        <v>2.0905064811457255</v>
      </c>
      <c r="J129" s="16">
        <v>1.4376011471362516E-2</v>
      </c>
      <c r="K129" s="16">
        <v>0</v>
      </c>
      <c r="L129"/>
    </row>
    <row r="130" spans="1:12">
      <c r="A130" s="8">
        <v>2</v>
      </c>
      <c r="B130" s="24">
        <v>38399</v>
      </c>
      <c r="C130" s="12">
        <v>2005</v>
      </c>
      <c r="D130" s="11" t="s">
        <v>19</v>
      </c>
      <c r="E130" s="12">
        <v>2</v>
      </c>
      <c r="F130" s="27">
        <v>2.6156700000000002</v>
      </c>
      <c r="G130" s="16">
        <v>0.1487672924129475</v>
      </c>
      <c r="H130" s="16">
        <v>0</v>
      </c>
      <c r="I130" s="16">
        <v>0.64993405818447247</v>
      </c>
      <c r="J130" s="16">
        <v>2.3465685387934178E-2</v>
      </c>
      <c r="K130" s="16">
        <v>0</v>
      </c>
      <c r="L130"/>
    </row>
    <row r="131" spans="1:12">
      <c r="A131" s="8">
        <v>16</v>
      </c>
      <c r="B131" s="24">
        <v>38399</v>
      </c>
      <c r="C131" s="12">
        <v>2005</v>
      </c>
      <c r="D131" s="11" t="s">
        <v>19</v>
      </c>
      <c r="E131" s="12">
        <v>2</v>
      </c>
      <c r="F131" s="27">
        <v>2.10026</v>
      </c>
      <c r="G131" s="16">
        <v>0.11968008223239902</v>
      </c>
      <c r="H131" s="16">
        <v>0</v>
      </c>
      <c r="I131" s="16">
        <v>0.50445582463619298</v>
      </c>
      <c r="J131" s="16">
        <v>4.2600111359063254E-2</v>
      </c>
      <c r="K131" s="16">
        <v>0</v>
      </c>
      <c r="L131"/>
    </row>
    <row r="132" spans="1:12">
      <c r="A132" s="8">
        <v>2</v>
      </c>
      <c r="B132" s="24">
        <v>38428</v>
      </c>
      <c r="C132" s="12">
        <v>2005</v>
      </c>
      <c r="D132" s="11" t="s">
        <v>20</v>
      </c>
      <c r="E132" s="12">
        <v>3</v>
      </c>
      <c r="F132" s="27">
        <v>1.12016</v>
      </c>
      <c r="G132" s="16">
        <v>0.16156920794626586</v>
      </c>
      <c r="H132" s="16">
        <v>0</v>
      </c>
      <c r="I132" s="16">
        <v>0.24335266181546064</v>
      </c>
      <c r="J132" s="16">
        <v>7.7794234249698646E-3</v>
      </c>
      <c r="K132" s="16">
        <v>0</v>
      </c>
      <c r="L132"/>
    </row>
    <row r="133" spans="1:12">
      <c r="A133" s="8">
        <v>16</v>
      </c>
      <c r="B133" s="24">
        <v>38428</v>
      </c>
      <c r="C133" s="12">
        <v>2005</v>
      </c>
      <c r="D133" s="11" t="s">
        <v>20</v>
      </c>
      <c r="E133" s="12">
        <v>3</v>
      </c>
      <c r="F133" s="27">
        <v>1.08748</v>
      </c>
      <c r="G133" s="16">
        <v>0.21058671824713315</v>
      </c>
      <c r="H133" s="16">
        <v>0</v>
      </c>
      <c r="I133" s="16">
        <v>0.11852538681527564</v>
      </c>
      <c r="J133" s="16">
        <v>5.8393801012338077E-3</v>
      </c>
      <c r="K133" s="16">
        <v>0</v>
      </c>
      <c r="L133"/>
    </row>
    <row r="134" spans="1:12">
      <c r="A134" s="8">
        <v>2</v>
      </c>
      <c r="B134" s="24">
        <v>38468</v>
      </c>
      <c r="C134" s="12">
        <v>2005</v>
      </c>
      <c r="D134" s="11" t="s">
        <v>21</v>
      </c>
      <c r="E134" s="12">
        <v>4</v>
      </c>
      <c r="F134" s="27">
        <v>3.4178600000000001</v>
      </c>
      <c r="G134" s="16">
        <v>1.3604257420501826E-2</v>
      </c>
      <c r="H134" s="16">
        <v>6.0852529834738857E-2</v>
      </c>
      <c r="I134" s="16">
        <v>1.4967194201384131</v>
      </c>
      <c r="J134" s="16">
        <v>3.6286569352754851E-2</v>
      </c>
      <c r="K134" s="16">
        <v>0</v>
      </c>
      <c r="L134"/>
    </row>
    <row r="135" spans="1:12">
      <c r="A135" s="8">
        <v>16</v>
      </c>
      <c r="B135" s="24">
        <v>38468</v>
      </c>
      <c r="C135" s="12">
        <v>2005</v>
      </c>
      <c r="D135" s="11" t="s">
        <v>21</v>
      </c>
      <c r="E135" s="12">
        <v>4</v>
      </c>
      <c r="F135" s="27">
        <v>3.3993099999999998</v>
      </c>
      <c r="G135" s="16">
        <v>1.4157899790154747E-2</v>
      </c>
      <c r="H135" s="16">
        <v>4.1917394758639842E-2</v>
      </c>
      <c r="I135" s="16">
        <v>1.5139602861847938</v>
      </c>
      <c r="J135" s="16">
        <v>2.7612899764537419E-2</v>
      </c>
      <c r="K135" s="16">
        <v>0</v>
      </c>
      <c r="L135"/>
    </row>
    <row r="136" spans="1:12">
      <c r="A136" s="8">
        <v>2</v>
      </c>
      <c r="B136" s="24">
        <v>38489</v>
      </c>
      <c r="C136" s="12">
        <v>2005</v>
      </c>
      <c r="D136" s="11" t="s">
        <v>22</v>
      </c>
      <c r="E136" s="12">
        <v>5</v>
      </c>
      <c r="F136" s="27">
        <v>8.4405800000000006</v>
      </c>
      <c r="G136" s="16">
        <v>4.5658220608082327E-2</v>
      </c>
      <c r="H136" s="16">
        <v>1.1670740010055471</v>
      </c>
      <c r="I136" s="16">
        <v>3.787496655811974</v>
      </c>
      <c r="J136" s="16">
        <v>7.579153429054783E-2</v>
      </c>
      <c r="K136" s="16">
        <v>0</v>
      </c>
      <c r="L136"/>
    </row>
    <row r="137" spans="1:12">
      <c r="A137" s="8">
        <v>16</v>
      </c>
      <c r="B137" s="24">
        <v>38489</v>
      </c>
      <c r="C137" s="12">
        <v>2005</v>
      </c>
      <c r="D137" s="11" t="s">
        <v>22</v>
      </c>
      <c r="E137" s="12">
        <v>5</v>
      </c>
      <c r="F137" s="27">
        <v>8.5562199999999997</v>
      </c>
      <c r="G137" s="16">
        <v>5.3426145360376438E-2</v>
      </c>
      <c r="H137" s="16">
        <v>1.1020894258838754</v>
      </c>
      <c r="I137" s="16">
        <v>4.0693693429275539</v>
      </c>
      <c r="J137" s="16">
        <v>5.8748295306824107E-2</v>
      </c>
      <c r="K137" s="16">
        <v>0</v>
      </c>
      <c r="L137"/>
    </row>
    <row r="138" spans="1:12">
      <c r="A138" s="8">
        <v>2</v>
      </c>
      <c r="B138" s="24">
        <v>38517</v>
      </c>
      <c r="C138" s="12">
        <v>2005</v>
      </c>
      <c r="D138" s="11" t="s">
        <v>23</v>
      </c>
      <c r="E138" s="12">
        <v>6</v>
      </c>
      <c r="F138" s="27">
        <v>27.824159999999999</v>
      </c>
      <c r="G138" s="16">
        <v>6.647752668789661E-2</v>
      </c>
      <c r="H138" s="16">
        <v>3.5641820013687329</v>
      </c>
      <c r="I138" s="16">
        <v>7.2676147152786852</v>
      </c>
      <c r="J138" s="16">
        <v>0.92471339230740102</v>
      </c>
      <c r="K138" s="16">
        <v>3.9423314667575753E-2</v>
      </c>
      <c r="L138"/>
    </row>
    <row r="139" spans="1:12">
      <c r="A139" s="8">
        <v>16</v>
      </c>
      <c r="B139" s="24">
        <v>38518</v>
      </c>
      <c r="C139" s="12">
        <v>2005</v>
      </c>
      <c r="D139" s="11" t="s">
        <v>23</v>
      </c>
      <c r="E139" s="12">
        <v>6</v>
      </c>
      <c r="F139" s="27">
        <v>11.79562</v>
      </c>
      <c r="G139" s="16">
        <v>7.4725624894796699E-2</v>
      </c>
      <c r="H139" s="16">
        <v>0.20136711404013816</v>
      </c>
      <c r="I139" s="16">
        <v>2.3434671466644907</v>
      </c>
      <c r="J139" s="16">
        <v>0.66825868617563433</v>
      </c>
      <c r="K139" s="16">
        <v>1.6924883813850908E-2</v>
      </c>
      <c r="L139"/>
    </row>
    <row r="140" spans="1:12">
      <c r="A140" s="8">
        <v>2</v>
      </c>
      <c r="B140" s="24">
        <v>38547</v>
      </c>
      <c r="C140" s="12">
        <v>2005</v>
      </c>
      <c r="D140" s="16" t="s">
        <v>24</v>
      </c>
      <c r="E140" s="12">
        <v>7</v>
      </c>
      <c r="F140" s="27">
        <v>15.015750000000001</v>
      </c>
      <c r="G140" s="16">
        <v>0.18386253331851815</v>
      </c>
      <c r="H140" s="16">
        <v>0</v>
      </c>
      <c r="I140" s="16">
        <v>1.8213964749577989</v>
      </c>
      <c r="J140" s="16">
        <v>1.3750777901535156</v>
      </c>
      <c r="K140" s="16">
        <v>7.0539539137084916E-3</v>
      </c>
      <c r="L140"/>
    </row>
    <row r="141" spans="1:12">
      <c r="A141" s="8">
        <v>16</v>
      </c>
      <c r="B141" s="24">
        <v>38547</v>
      </c>
      <c r="C141" s="12">
        <v>2005</v>
      </c>
      <c r="D141" s="16" t="s">
        <v>24</v>
      </c>
      <c r="E141" s="12">
        <v>7</v>
      </c>
      <c r="F141" s="27">
        <v>14.90771</v>
      </c>
      <c r="G141" s="16">
        <v>0.34415764751863437</v>
      </c>
      <c r="H141" s="16">
        <v>0</v>
      </c>
      <c r="I141" s="16">
        <v>1.8933633202295186</v>
      </c>
      <c r="J141" s="16">
        <v>1.3329755896878075</v>
      </c>
      <c r="K141" s="16">
        <v>2.7736675207469263E-2</v>
      </c>
      <c r="L141"/>
    </row>
    <row r="142" spans="1:12">
      <c r="A142" s="8">
        <v>2</v>
      </c>
      <c r="B142" s="24">
        <v>38587</v>
      </c>
      <c r="C142" s="12">
        <v>2005</v>
      </c>
      <c r="D142" s="16" t="s">
        <v>25</v>
      </c>
      <c r="E142" s="12">
        <v>8</v>
      </c>
      <c r="F142" s="27">
        <v>15.00104</v>
      </c>
      <c r="G142" s="16">
        <v>0.10971532953347103</v>
      </c>
      <c r="H142" s="16">
        <v>0</v>
      </c>
      <c r="I142" s="16">
        <v>3.3326864957936828</v>
      </c>
      <c r="J142" s="16">
        <v>1.0686465952721076</v>
      </c>
      <c r="K142" s="16">
        <v>0</v>
      </c>
      <c r="L142"/>
    </row>
    <row r="143" spans="1:12">
      <c r="A143" s="8">
        <v>16</v>
      </c>
      <c r="B143" s="24">
        <v>38588</v>
      </c>
      <c r="C143" s="12">
        <v>2005</v>
      </c>
      <c r="D143" s="16" t="s">
        <v>25</v>
      </c>
      <c r="E143" s="12">
        <v>8</v>
      </c>
      <c r="F143" s="27">
        <v>12.040520000000001</v>
      </c>
      <c r="G143" s="16">
        <v>0.31276793268441266</v>
      </c>
      <c r="H143" s="16">
        <v>0</v>
      </c>
      <c r="I143" s="16">
        <v>2.6079020243684865</v>
      </c>
      <c r="J143" s="16">
        <v>0.91660257044702464</v>
      </c>
      <c r="K143" s="16">
        <v>0</v>
      </c>
      <c r="L143"/>
    </row>
    <row r="144" spans="1:12">
      <c r="A144" s="8">
        <v>2</v>
      </c>
      <c r="B144" s="24">
        <v>38608</v>
      </c>
      <c r="C144" s="12">
        <v>2005</v>
      </c>
      <c r="D144" s="16" t="s">
        <v>26</v>
      </c>
      <c r="E144" s="12">
        <v>9</v>
      </c>
      <c r="F144" s="27">
        <v>11.77708</v>
      </c>
      <c r="G144" s="16">
        <v>0.13193479512499467</v>
      </c>
      <c r="H144" s="16">
        <v>0</v>
      </c>
      <c r="I144" s="16">
        <v>2.8904033210730491</v>
      </c>
      <c r="J144" s="16">
        <v>0.74574908534311946</v>
      </c>
      <c r="K144" s="16">
        <v>0</v>
      </c>
      <c r="L144"/>
    </row>
    <row r="145" spans="1:18">
      <c r="A145" s="8">
        <v>16</v>
      </c>
      <c r="B145" s="24">
        <v>38608</v>
      </c>
      <c r="C145" s="12">
        <v>2005</v>
      </c>
      <c r="D145" s="16" t="s">
        <v>26</v>
      </c>
      <c r="E145" s="12">
        <v>9</v>
      </c>
      <c r="F145" s="27">
        <v>13.10258</v>
      </c>
      <c r="G145" s="16">
        <v>0.53538088081771484</v>
      </c>
      <c r="H145" s="16">
        <v>3.4658950124568363E-2</v>
      </c>
      <c r="I145" s="16">
        <v>3.1396457665300233</v>
      </c>
      <c r="J145" s="16">
        <v>0.55729083572926941</v>
      </c>
      <c r="K145" s="16">
        <v>0</v>
      </c>
      <c r="N145" s="57"/>
    </row>
    <row r="146" spans="1:18">
      <c r="A146" s="8">
        <v>2</v>
      </c>
      <c r="B146" s="24">
        <v>38637</v>
      </c>
      <c r="C146" s="12">
        <v>2005</v>
      </c>
      <c r="D146" s="16" t="s">
        <v>14</v>
      </c>
      <c r="E146" s="12">
        <v>10</v>
      </c>
      <c r="F146" s="58">
        <v>3.4838</v>
      </c>
      <c r="G146" s="58">
        <v>1.9599999999999999E-2</v>
      </c>
      <c r="H146" s="58">
        <v>1E-4</v>
      </c>
      <c r="I146" s="58">
        <v>1.2817000000000001</v>
      </c>
      <c r="J146" s="58">
        <v>0.114</v>
      </c>
      <c r="K146" s="58">
        <v>1E-4</v>
      </c>
    </row>
    <row r="147" spans="1:18">
      <c r="A147" s="8">
        <v>16</v>
      </c>
      <c r="B147" s="24">
        <v>38636</v>
      </c>
      <c r="C147" s="12">
        <v>2005</v>
      </c>
      <c r="D147" s="16" t="s">
        <v>14</v>
      </c>
      <c r="E147" s="12">
        <v>10</v>
      </c>
      <c r="F147" s="58">
        <v>3.7355</v>
      </c>
      <c r="G147" s="58">
        <v>1.09E-2</v>
      </c>
      <c r="H147" s="58">
        <v>1E-4</v>
      </c>
      <c r="I147" s="58">
        <v>1.4303999999999999</v>
      </c>
      <c r="J147" s="58">
        <v>5.04E-2</v>
      </c>
      <c r="K147" s="58">
        <v>1E-4</v>
      </c>
    </row>
    <row r="148" spans="1:18">
      <c r="A148" s="8">
        <v>2</v>
      </c>
      <c r="B148" s="24">
        <v>38671</v>
      </c>
      <c r="C148" s="12">
        <v>2005</v>
      </c>
      <c r="D148" s="16" t="s">
        <v>16</v>
      </c>
      <c r="E148" s="12">
        <v>11</v>
      </c>
      <c r="F148" s="58">
        <v>3.9666999999999999</v>
      </c>
      <c r="G148" s="58">
        <v>1E-4</v>
      </c>
      <c r="H148" s="58">
        <v>1E-4</v>
      </c>
      <c r="I148" s="58">
        <v>1.1249</v>
      </c>
      <c r="J148" s="58">
        <v>1.1599999999999999E-2</v>
      </c>
      <c r="K148" s="58">
        <v>1E-4</v>
      </c>
    </row>
    <row r="149" spans="1:18">
      <c r="A149" s="8">
        <v>16</v>
      </c>
      <c r="B149" s="24">
        <v>38671</v>
      </c>
      <c r="C149" s="12">
        <v>2005</v>
      </c>
      <c r="D149" s="16" t="s">
        <v>16</v>
      </c>
      <c r="E149" s="12">
        <v>11</v>
      </c>
      <c r="F149" s="58">
        <v>4.5237999999999996</v>
      </c>
      <c r="G149" s="58">
        <v>1.23E-2</v>
      </c>
      <c r="H149" s="58">
        <v>0.16259999999999999</v>
      </c>
      <c r="I149" s="58">
        <v>1.798</v>
      </c>
      <c r="J149" s="58">
        <v>3.2300000000000002E-2</v>
      </c>
      <c r="K149" s="58">
        <v>1E-4</v>
      </c>
    </row>
    <row r="150" spans="1:18">
      <c r="A150" s="8">
        <v>2</v>
      </c>
      <c r="B150" s="24">
        <v>38707</v>
      </c>
      <c r="C150" s="12">
        <v>2005</v>
      </c>
      <c r="D150" s="16" t="s">
        <v>17</v>
      </c>
      <c r="E150" s="12">
        <v>12</v>
      </c>
      <c r="F150" s="58">
        <v>2.8999000000000001</v>
      </c>
      <c r="G150" s="58">
        <v>1.7600000000000001E-2</v>
      </c>
      <c r="H150" s="58">
        <v>1E-4</v>
      </c>
      <c r="I150" s="58">
        <v>0.84099999999999997</v>
      </c>
      <c r="J150" s="58">
        <v>1.0500000000000001E-2</v>
      </c>
      <c r="K150" s="58">
        <v>1E-4</v>
      </c>
    </row>
    <row r="151" spans="1:18" ht="25.5">
      <c r="A151" s="8">
        <v>16</v>
      </c>
      <c r="B151" s="24">
        <v>38707</v>
      </c>
      <c r="C151" s="12">
        <v>2005</v>
      </c>
      <c r="D151" s="16" t="s">
        <v>17</v>
      </c>
      <c r="E151" s="12">
        <v>12</v>
      </c>
      <c r="F151" s="58">
        <v>2.8738000000000001</v>
      </c>
      <c r="G151" s="58">
        <v>2.6599999999999999E-2</v>
      </c>
      <c r="H151" s="58">
        <v>1E-4</v>
      </c>
      <c r="I151" s="58">
        <v>0.72509999999999997</v>
      </c>
      <c r="J151" s="58">
        <v>1.2699999999999999E-2</v>
      </c>
      <c r="K151" s="58">
        <v>1E-4</v>
      </c>
      <c r="L151" s="36" t="s">
        <v>50</v>
      </c>
      <c r="M151" s="6" t="s">
        <v>7</v>
      </c>
      <c r="N151" s="6" t="s">
        <v>8</v>
      </c>
      <c r="O151" s="6" t="s">
        <v>9</v>
      </c>
      <c r="P151" s="6" t="s">
        <v>10</v>
      </c>
      <c r="Q151" s="6" t="s">
        <v>11</v>
      </c>
      <c r="R151" s="6" t="s">
        <v>12</v>
      </c>
    </row>
    <row r="152" spans="1:18">
      <c r="A152" s="42">
        <v>2</v>
      </c>
      <c r="B152" s="55">
        <v>38734</v>
      </c>
      <c r="C152" s="42">
        <v>2006</v>
      </c>
      <c r="D152" s="44" t="s">
        <v>18</v>
      </c>
      <c r="E152" s="42">
        <v>1</v>
      </c>
      <c r="F152" s="59">
        <v>8.8552999999999997</v>
      </c>
      <c r="G152" s="59">
        <v>0.1082</v>
      </c>
      <c r="H152" s="59">
        <v>1E-4</v>
      </c>
      <c r="I152" s="59">
        <v>3.2823000000000002</v>
      </c>
      <c r="J152" s="59">
        <v>2.23E-2</v>
      </c>
      <c r="K152" s="59">
        <v>1E-4</v>
      </c>
      <c r="L152" s="36" t="s">
        <v>51</v>
      </c>
      <c r="M152" s="37">
        <f t="shared" ref="M152:R152" si="3">AVERAGE(F152:F175)</f>
        <v>8.8330750000000009</v>
      </c>
      <c r="N152" s="37">
        <f t="shared" si="3"/>
        <v>5.4762491666666663E-2</v>
      </c>
      <c r="O152" s="37">
        <f t="shared" si="3"/>
        <v>0.26908332916666672</v>
      </c>
      <c r="P152" s="37">
        <f t="shared" si="3"/>
        <v>2.9206583333333334</v>
      </c>
      <c r="Q152" s="37">
        <f t="shared" si="3"/>
        <v>0.41899166666666665</v>
      </c>
      <c r="R152" s="37">
        <f t="shared" si="3"/>
        <v>3.2497499999999997E-4</v>
      </c>
    </row>
    <row r="153" spans="1:18">
      <c r="A153" s="12">
        <v>16</v>
      </c>
      <c r="B153" s="24">
        <v>38734</v>
      </c>
      <c r="C153" s="12">
        <v>2006</v>
      </c>
      <c r="D153" s="11" t="s">
        <v>18</v>
      </c>
      <c r="E153" s="12">
        <v>1</v>
      </c>
      <c r="F153" s="58">
        <v>6.5289000000000001</v>
      </c>
      <c r="G153" s="58">
        <v>8.43E-2</v>
      </c>
      <c r="H153" s="58">
        <v>1E-4</v>
      </c>
      <c r="I153" s="58">
        <v>2.4308000000000001</v>
      </c>
      <c r="J153" s="58">
        <v>3.2599999999999997E-2</v>
      </c>
      <c r="K153" s="58">
        <v>1E-4</v>
      </c>
    </row>
    <row r="154" spans="1:18">
      <c r="A154" s="12">
        <v>2</v>
      </c>
      <c r="B154" s="24">
        <v>38762</v>
      </c>
      <c r="C154" s="16">
        <v>2006</v>
      </c>
      <c r="D154" s="11" t="s">
        <v>28</v>
      </c>
      <c r="E154" s="16">
        <v>2</v>
      </c>
      <c r="F154" s="58">
        <v>7.7049000000000003</v>
      </c>
      <c r="G154" s="58">
        <v>3.0499999999999999E-2</v>
      </c>
      <c r="H154" s="58">
        <v>5.7299999999999997E-2</v>
      </c>
      <c r="I154" s="58">
        <v>2.3563999999999998</v>
      </c>
      <c r="J154" s="58">
        <v>5.2600000000000001E-2</v>
      </c>
      <c r="K154" s="58">
        <v>1E-4</v>
      </c>
    </row>
    <row r="155" spans="1:18">
      <c r="A155" s="12">
        <v>16</v>
      </c>
      <c r="B155" s="24">
        <v>38762</v>
      </c>
      <c r="C155" s="16">
        <v>2006</v>
      </c>
      <c r="D155" s="11" t="s">
        <v>28</v>
      </c>
      <c r="E155" s="16">
        <v>2</v>
      </c>
      <c r="F155" s="58">
        <v>7.5313999999999997</v>
      </c>
      <c r="G155" s="58">
        <v>5.4199999999999998E-2</v>
      </c>
      <c r="H155" s="58">
        <v>4.5999999999999999E-2</v>
      </c>
      <c r="I155" s="58">
        <v>2.2690000000000001</v>
      </c>
      <c r="J155" s="58">
        <v>5.7000000000000002E-2</v>
      </c>
      <c r="K155" s="58">
        <v>1E-4</v>
      </c>
    </row>
    <row r="156" spans="1:18">
      <c r="A156" s="12">
        <v>2</v>
      </c>
      <c r="B156" s="24">
        <v>38789</v>
      </c>
      <c r="C156" s="12">
        <v>2006</v>
      </c>
      <c r="D156" s="11" t="s">
        <v>29</v>
      </c>
      <c r="E156" s="16">
        <v>3</v>
      </c>
      <c r="F156" s="58">
        <v>7.3952</v>
      </c>
      <c r="G156" s="58">
        <v>1E-4</v>
      </c>
      <c r="H156" s="58">
        <v>0.17330000000000001</v>
      </c>
      <c r="I156" s="58">
        <v>2.6539999999999999</v>
      </c>
      <c r="J156" s="58">
        <v>4.3200000000000002E-2</v>
      </c>
      <c r="K156" s="58">
        <v>1E-4</v>
      </c>
    </row>
    <row r="157" spans="1:18">
      <c r="A157" s="12">
        <v>16</v>
      </c>
      <c r="B157" s="24">
        <v>38789</v>
      </c>
      <c r="C157" s="12">
        <v>2006</v>
      </c>
      <c r="D157" s="11" t="s">
        <v>29</v>
      </c>
      <c r="E157" s="16">
        <v>3</v>
      </c>
      <c r="F157" s="58">
        <v>7.0606999999999998</v>
      </c>
      <c r="G157" s="58">
        <v>1E-4</v>
      </c>
      <c r="H157" s="58">
        <v>0.1206</v>
      </c>
      <c r="I157" s="58">
        <v>2.5817999999999999</v>
      </c>
      <c r="J157" s="58">
        <v>3.2399999999999998E-2</v>
      </c>
      <c r="K157" s="58">
        <v>1E-4</v>
      </c>
    </row>
    <row r="158" spans="1:18">
      <c r="A158" s="12">
        <v>2</v>
      </c>
      <c r="B158" s="9">
        <v>38825</v>
      </c>
      <c r="C158" s="12">
        <v>2006</v>
      </c>
      <c r="D158" s="11" t="s">
        <v>30</v>
      </c>
      <c r="E158" s="12">
        <v>4</v>
      </c>
      <c r="F158" s="58">
        <v>2.0038999999999998</v>
      </c>
      <c r="G158" s="58">
        <v>1.5299999999999999E-2</v>
      </c>
      <c r="H158" s="58">
        <v>2.81E-2</v>
      </c>
      <c r="I158" s="58">
        <v>0.75600000000000001</v>
      </c>
      <c r="J158" s="58">
        <v>3.2899999999999999E-2</v>
      </c>
      <c r="K158" s="58">
        <v>1E-4</v>
      </c>
    </row>
    <row r="159" spans="1:18">
      <c r="A159" s="12">
        <v>16</v>
      </c>
      <c r="B159" s="9">
        <v>38825</v>
      </c>
      <c r="C159" s="12">
        <v>2006</v>
      </c>
      <c r="D159" s="11" t="s">
        <v>30</v>
      </c>
      <c r="E159" s="12">
        <v>4</v>
      </c>
      <c r="F159" s="58">
        <v>2.5667</v>
      </c>
      <c r="G159" s="58">
        <v>1.5900000000000001E-2</v>
      </c>
      <c r="H159" s="58">
        <v>6.3200000000000006E-2</v>
      </c>
      <c r="I159" s="58">
        <v>0.755</v>
      </c>
      <c r="J159" s="58">
        <v>4.4400000000000002E-2</v>
      </c>
      <c r="K159" s="58">
        <v>1E-4</v>
      </c>
    </row>
    <row r="160" spans="1:18">
      <c r="A160" s="12">
        <v>2</v>
      </c>
      <c r="B160" s="9">
        <v>38852</v>
      </c>
      <c r="C160" s="12">
        <v>2006</v>
      </c>
      <c r="D160" s="11" t="s">
        <v>31</v>
      </c>
      <c r="E160" s="12">
        <v>5</v>
      </c>
      <c r="F160" s="58">
        <v>0.93030000000000002</v>
      </c>
      <c r="G160" s="58">
        <v>1.15E-2</v>
      </c>
      <c r="H160" s="58">
        <v>1E-4</v>
      </c>
      <c r="I160" s="58">
        <v>0.19259999999999999</v>
      </c>
      <c r="J160" s="58">
        <v>8.9999999999999993E-3</v>
      </c>
      <c r="K160" s="58">
        <v>1E-4</v>
      </c>
    </row>
    <row r="161" spans="1:18">
      <c r="A161" s="12">
        <v>16</v>
      </c>
      <c r="B161" s="9">
        <v>38852</v>
      </c>
      <c r="C161" s="12">
        <v>2006</v>
      </c>
      <c r="D161" s="11" t="s">
        <v>31</v>
      </c>
      <c r="E161" s="12">
        <v>5</v>
      </c>
      <c r="F161" s="58">
        <v>1.3180000000000001</v>
      </c>
      <c r="G161" s="58">
        <v>1E-4</v>
      </c>
      <c r="H161" s="58">
        <v>1E-4</v>
      </c>
      <c r="I161" s="58">
        <v>0.23050000000000001</v>
      </c>
      <c r="J161" s="58">
        <v>8.3999999999999995E-3</v>
      </c>
      <c r="K161" s="58">
        <v>1E-4</v>
      </c>
    </row>
    <row r="162" spans="1:18">
      <c r="A162" s="12">
        <v>2</v>
      </c>
      <c r="B162" s="9">
        <v>38883</v>
      </c>
      <c r="C162" s="12">
        <v>2006</v>
      </c>
      <c r="D162" s="11" t="s">
        <v>32</v>
      </c>
      <c r="E162" s="12">
        <v>6</v>
      </c>
      <c r="F162" s="58">
        <v>13.7333</v>
      </c>
      <c r="G162" s="58">
        <v>0.1119</v>
      </c>
      <c r="H162" s="58">
        <v>1.3374999999999999</v>
      </c>
      <c r="I162" s="58">
        <v>6.03</v>
      </c>
      <c r="J162" s="58">
        <v>0.3624</v>
      </c>
      <c r="K162" s="58">
        <v>1E-4</v>
      </c>
    </row>
    <row r="163" spans="1:18">
      <c r="A163" s="12">
        <v>16</v>
      </c>
      <c r="B163" s="9">
        <v>38883</v>
      </c>
      <c r="C163" s="12">
        <v>2006</v>
      </c>
      <c r="D163" s="11" t="s">
        <v>32</v>
      </c>
      <c r="E163" s="12">
        <v>6</v>
      </c>
      <c r="F163" s="58">
        <v>20.088100000000001</v>
      </c>
      <c r="G163" s="58">
        <v>1E-4</v>
      </c>
      <c r="H163" s="58">
        <v>1.232</v>
      </c>
      <c r="I163" s="58">
        <v>9.5981000000000005</v>
      </c>
      <c r="J163" s="58">
        <v>0.45450000000000002</v>
      </c>
      <c r="K163" s="58">
        <v>1E-4</v>
      </c>
    </row>
    <row r="164" spans="1:18">
      <c r="A164" s="12">
        <v>2</v>
      </c>
      <c r="B164" s="9">
        <v>38916</v>
      </c>
      <c r="C164" s="12">
        <v>2006</v>
      </c>
      <c r="D164" s="11" t="s">
        <v>33</v>
      </c>
      <c r="E164" s="12">
        <v>7</v>
      </c>
      <c r="F164" s="58">
        <v>16.374400000000001</v>
      </c>
      <c r="G164" s="58">
        <v>5.5399999999999998E-2</v>
      </c>
      <c r="H164" s="58">
        <v>1E-4</v>
      </c>
      <c r="I164" s="58">
        <v>1.3028</v>
      </c>
      <c r="J164" s="58">
        <v>2.1</v>
      </c>
      <c r="K164" s="58">
        <v>1E-4</v>
      </c>
    </row>
    <row r="165" spans="1:18">
      <c r="A165" s="12">
        <v>16</v>
      </c>
      <c r="B165" s="9">
        <v>38916</v>
      </c>
      <c r="C165" s="12">
        <v>2006</v>
      </c>
      <c r="D165" s="11" t="s">
        <v>33</v>
      </c>
      <c r="E165" s="12">
        <v>7</v>
      </c>
      <c r="F165" s="58">
        <v>13.152699999999999</v>
      </c>
      <c r="G165" s="58">
        <v>6.2E-2</v>
      </c>
      <c r="H165" s="58">
        <v>1E-4</v>
      </c>
      <c r="I165" s="58">
        <v>1.2091000000000001</v>
      </c>
      <c r="J165" s="58">
        <v>1.8488</v>
      </c>
      <c r="K165" s="58">
        <v>1E-4</v>
      </c>
    </row>
    <row r="166" spans="1:18">
      <c r="A166" s="12">
        <v>2</v>
      </c>
      <c r="B166" s="9">
        <v>38953</v>
      </c>
      <c r="C166" s="12">
        <v>2006</v>
      </c>
      <c r="D166" s="11" t="s">
        <v>34</v>
      </c>
      <c r="E166" s="12">
        <v>8</v>
      </c>
      <c r="F166" s="58">
        <v>13.5991</v>
      </c>
      <c r="G166" s="58">
        <v>0.10009999999999999</v>
      </c>
      <c r="H166" s="58">
        <v>1E-4</v>
      </c>
      <c r="I166" s="58">
        <v>2.0367000000000002</v>
      </c>
      <c r="J166" s="58">
        <v>1.698</v>
      </c>
      <c r="K166" s="58">
        <v>1E-4</v>
      </c>
    </row>
    <row r="167" spans="1:18">
      <c r="A167" s="12">
        <v>16</v>
      </c>
      <c r="B167" s="9">
        <v>38953</v>
      </c>
      <c r="C167" s="12">
        <v>2006</v>
      </c>
      <c r="D167" s="11" t="s">
        <v>34</v>
      </c>
      <c r="E167" s="12">
        <v>8</v>
      </c>
      <c r="F167" s="58">
        <v>15.647600000000001</v>
      </c>
      <c r="G167" s="58">
        <v>0.32169999999999999</v>
      </c>
      <c r="H167" s="58">
        <v>1E-4</v>
      </c>
      <c r="I167" s="58">
        <v>3.7646000000000002</v>
      </c>
      <c r="J167" s="58">
        <v>1.3992</v>
      </c>
      <c r="K167" s="58">
        <v>1E-4</v>
      </c>
    </row>
    <row r="168" spans="1:18">
      <c r="A168" s="12">
        <v>2</v>
      </c>
      <c r="B168" s="9">
        <v>38972</v>
      </c>
      <c r="C168" s="12">
        <v>2006</v>
      </c>
      <c r="D168" s="11" t="s">
        <v>35</v>
      </c>
      <c r="E168" s="12">
        <v>9</v>
      </c>
      <c r="F168" s="58">
        <v>3.3815</v>
      </c>
      <c r="G168" s="58">
        <v>1.9300000000000001E-2</v>
      </c>
      <c r="H168" s="58">
        <v>1E-4</v>
      </c>
      <c r="I168" s="58">
        <v>1.1519999999999999</v>
      </c>
      <c r="J168" s="58">
        <v>5.9700000000000003E-2</v>
      </c>
      <c r="K168" s="58">
        <v>1E-4</v>
      </c>
    </row>
    <row r="169" spans="1:18">
      <c r="A169" s="12">
        <v>16</v>
      </c>
      <c r="B169" s="9">
        <v>38972</v>
      </c>
      <c r="C169" s="12">
        <v>2006</v>
      </c>
      <c r="D169" s="11" t="s">
        <v>35</v>
      </c>
      <c r="E169" s="12">
        <v>9</v>
      </c>
      <c r="F169" s="58">
        <v>5.4568000000000003</v>
      </c>
      <c r="G169" s="58">
        <v>2.06E-2</v>
      </c>
      <c r="H169" s="58">
        <v>1E-4</v>
      </c>
      <c r="I169" s="58">
        <v>1.9071</v>
      </c>
      <c r="J169" s="58">
        <v>6.2399999999999997E-2</v>
      </c>
      <c r="K169" s="58">
        <v>1E-4</v>
      </c>
    </row>
    <row r="170" spans="1:18">
      <c r="A170" s="12">
        <v>2</v>
      </c>
      <c r="B170" s="9">
        <v>39009</v>
      </c>
      <c r="C170" s="12">
        <v>2006</v>
      </c>
      <c r="D170" s="11" t="s">
        <v>36</v>
      </c>
      <c r="E170" s="12">
        <v>10</v>
      </c>
      <c r="F170" s="33">
        <v>7.5449999999999999</v>
      </c>
      <c r="G170" s="33">
        <v>9.9989999999999996E-4</v>
      </c>
      <c r="H170" s="33">
        <v>0.53300000000000003</v>
      </c>
      <c r="I170" s="33">
        <v>3.82</v>
      </c>
      <c r="J170" s="33">
        <v>0.218</v>
      </c>
      <c r="K170" s="33">
        <v>9.9989999999999996E-4</v>
      </c>
    </row>
    <row r="171" spans="1:18">
      <c r="A171" s="12">
        <v>16</v>
      </c>
      <c r="B171" s="9">
        <v>39008</v>
      </c>
      <c r="C171" s="12">
        <v>2006</v>
      </c>
      <c r="D171" s="11" t="s">
        <v>36</v>
      </c>
      <c r="E171" s="12">
        <v>10</v>
      </c>
      <c r="F171" s="33">
        <v>23.14</v>
      </c>
      <c r="G171" s="33">
        <v>9.9989999999999996E-4</v>
      </c>
      <c r="H171" s="33">
        <v>1.675</v>
      </c>
      <c r="I171" s="33">
        <v>10.865</v>
      </c>
      <c r="J171" s="33">
        <v>1.0549999999999999</v>
      </c>
      <c r="K171" s="33">
        <v>9.9989999999999996E-4</v>
      </c>
    </row>
    <row r="172" spans="1:18">
      <c r="A172" s="12">
        <v>2</v>
      </c>
      <c r="B172" s="9">
        <v>39035</v>
      </c>
      <c r="C172" s="12">
        <v>2006</v>
      </c>
      <c r="D172" s="11" t="s">
        <v>37</v>
      </c>
      <c r="E172" s="12">
        <v>11</v>
      </c>
      <c r="F172" s="33">
        <v>2.8820000000000001</v>
      </c>
      <c r="G172" s="33">
        <v>3.3000000000000002E-2</v>
      </c>
      <c r="H172" s="33">
        <v>9.9989999999999996E-4</v>
      </c>
      <c r="I172" s="33">
        <v>0.79300000000000004</v>
      </c>
      <c r="J172" s="33">
        <v>0.04</v>
      </c>
      <c r="K172" s="33">
        <v>9.9989999999999996E-4</v>
      </c>
    </row>
    <row r="173" spans="1:18">
      <c r="A173" s="12">
        <v>16</v>
      </c>
      <c r="B173" s="9">
        <v>39035</v>
      </c>
      <c r="C173" s="12">
        <v>2006</v>
      </c>
      <c r="D173" s="11" t="s">
        <v>37</v>
      </c>
      <c r="E173" s="12">
        <v>11</v>
      </c>
      <c r="F173" s="33">
        <v>7.0620000000000003</v>
      </c>
      <c r="G173" s="33">
        <v>1.7999999999999999E-2</v>
      </c>
      <c r="H173" s="33">
        <v>0.21299999999999999</v>
      </c>
      <c r="I173" s="33">
        <v>3.1930000000000001</v>
      </c>
      <c r="J173" s="33">
        <v>0.10199999999999999</v>
      </c>
      <c r="K173" s="33">
        <v>9.9989999999999996E-4</v>
      </c>
    </row>
    <row r="174" spans="1:18">
      <c r="A174" s="12">
        <v>2</v>
      </c>
      <c r="B174" s="24">
        <v>39063</v>
      </c>
      <c r="C174" s="16">
        <v>2006</v>
      </c>
      <c r="D174" s="11" t="s">
        <v>38</v>
      </c>
      <c r="E174" s="16">
        <v>12</v>
      </c>
      <c r="F174" s="33">
        <v>5.9379999999999997</v>
      </c>
      <c r="G174" s="33">
        <v>7.2999999999999995E-2</v>
      </c>
      <c r="H174" s="33">
        <v>7.0999999999999994E-2</v>
      </c>
      <c r="I174" s="33">
        <v>2.1909999999999998</v>
      </c>
      <c r="J174" s="33">
        <v>3.1E-2</v>
      </c>
      <c r="K174" s="33">
        <v>9.9989999999999996E-4</v>
      </c>
    </row>
    <row r="175" spans="1:18" ht="25.5">
      <c r="A175" s="12">
        <v>16</v>
      </c>
      <c r="B175" s="24">
        <v>39063</v>
      </c>
      <c r="C175" s="16">
        <v>2006</v>
      </c>
      <c r="D175" s="11" t="s">
        <v>38</v>
      </c>
      <c r="E175" s="16">
        <v>12</v>
      </c>
      <c r="F175" s="33">
        <v>12.098000000000001</v>
      </c>
      <c r="G175" s="33">
        <v>0.17699999999999999</v>
      </c>
      <c r="H175" s="33">
        <v>0.90600000000000003</v>
      </c>
      <c r="I175" s="33">
        <v>4.7249999999999996</v>
      </c>
      <c r="J175" s="33">
        <v>0.28999999999999998</v>
      </c>
      <c r="K175" s="33">
        <v>9.9989999999999996E-4</v>
      </c>
      <c r="L175" s="36" t="s">
        <v>50</v>
      </c>
      <c r="M175" s="6" t="s">
        <v>7</v>
      </c>
      <c r="N175" s="6" t="s">
        <v>8</v>
      </c>
      <c r="O175" s="6" t="s">
        <v>9</v>
      </c>
      <c r="P175" s="6" t="s">
        <v>10</v>
      </c>
      <c r="Q175" s="6" t="s">
        <v>11</v>
      </c>
      <c r="R175" s="6" t="s">
        <v>12</v>
      </c>
    </row>
    <row r="176" spans="1:18">
      <c r="A176" s="48">
        <v>2</v>
      </c>
      <c r="B176" s="55">
        <v>39098</v>
      </c>
      <c r="C176" s="48">
        <v>2007</v>
      </c>
      <c r="D176" s="44" t="s">
        <v>39</v>
      </c>
      <c r="E176" s="48">
        <v>1</v>
      </c>
      <c r="F176" s="60">
        <v>15.638</v>
      </c>
      <c r="G176" s="60">
        <v>0.17899999999999999</v>
      </c>
      <c r="H176" s="60">
        <v>0.70799999999999996</v>
      </c>
      <c r="I176" s="60">
        <v>7.25</v>
      </c>
      <c r="J176" s="60">
        <v>0.48</v>
      </c>
      <c r="K176" s="60">
        <v>9.9989999999999996E-4</v>
      </c>
      <c r="L176" s="36" t="s">
        <v>52</v>
      </c>
      <c r="M176" s="37">
        <f t="shared" ref="M176:R176" si="4">AVERAGE(F176:F199)</f>
        <v>8.9021250000000016</v>
      </c>
      <c r="N176" s="37">
        <f t="shared" si="4"/>
        <v>7.7791654166666682E-2</v>
      </c>
      <c r="O176" s="37">
        <f t="shared" si="4"/>
        <v>0.48608329166666664</v>
      </c>
      <c r="P176" s="37">
        <f t="shared" si="4"/>
        <v>2.4671249999999998</v>
      </c>
      <c r="Q176" s="37">
        <f t="shared" si="4"/>
        <v>0.52262500000000001</v>
      </c>
      <c r="R176" s="37">
        <f t="shared" si="4"/>
        <v>1.6665749999999994E-3</v>
      </c>
    </row>
    <row r="177" spans="1:12">
      <c r="A177" s="16">
        <v>16</v>
      </c>
      <c r="B177" s="24">
        <v>39098</v>
      </c>
      <c r="C177" s="16">
        <v>2007</v>
      </c>
      <c r="D177" s="11" t="s">
        <v>39</v>
      </c>
      <c r="E177" s="16">
        <v>1</v>
      </c>
      <c r="F177" s="33">
        <v>17.384</v>
      </c>
      <c r="G177" s="33">
        <v>0.10199999999999999</v>
      </c>
      <c r="H177" s="33">
        <v>0.35399999999999998</v>
      </c>
      <c r="I177" s="33">
        <v>7.4429999999999996</v>
      </c>
      <c r="J177" s="33">
        <v>0.442</v>
      </c>
      <c r="K177" s="33">
        <v>9.9989999999999996E-4</v>
      </c>
      <c r="L177"/>
    </row>
    <row r="178" spans="1:12">
      <c r="A178" s="16">
        <v>2</v>
      </c>
      <c r="B178" s="24">
        <v>39133</v>
      </c>
      <c r="C178" s="16">
        <v>2007</v>
      </c>
      <c r="D178" s="11" t="s">
        <v>28</v>
      </c>
      <c r="E178" s="16">
        <v>2</v>
      </c>
      <c r="F178" s="33">
        <v>5.827</v>
      </c>
      <c r="G178" s="33">
        <v>8.5999999999999993E-2</v>
      </c>
      <c r="H178" s="33">
        <v>9.9989999999999996E-4</v>
      </c>
      <c r="I178" s="33">
        <v>1.764</v>
      </c>
      <c r="J178" s="33">
        <v>3.6999999999999998E-2</v>
      </c>
      <c r="K178" s="33">
        <v>9.9989999999999996E-4</v>
      </c>
      <c r="L178"/>
    </row>
    <row r="179" spans="1:12">
      <c r="A179" s="16">
        <v>16</v>
      </c>
      <c r="B179" s="24">
        <v>39134</v>
      </c>
      <c r="C179" s="16">
        <v>2007</v>
      </c>
      <c r="D179" s="11" t="s">
        <v>28</v>
      </c>
      <c r="E179" s="16">
        <v>2</v>
      </c>
      <c r="F179" s="33">
        <v>3.9449999999999998</v>
      </c>
      <c r="G179" s="33">
        <v>5.3999999999999999E-2</v>
      </c>
      <c r="H179" s="33">
        <v>8.9999999999999993E-3</v>
      </c>
      <c r="I179" s="33">
        <v>1.099</v>
      </c>
      <c r="J179" s="33">
        <v>3.7999999999999999E-2</v>
      </c>
      <c r="K179" s="33">
        <v>9.9989999999999996E-4</v>
      </c>
      <c r="L179"/>
    </row>
    <row r="180" spans="1:12">
      <c r="A180" s="16">
        <v>2</v>
      </c>
      <c r="B180" s="24">
        <v>39154</v>
      </c>
      <c r="C180" s="16">
        <v>2007</v>
      </c>
      <c r="D180" s="11" t="s">
        <v>29</v>
      </c>
      <c r="E180" s="16">
        <v>3</v>
      </c>
      <c r="F180" s="33">
        <v>2.7410000000000001</v>
      </c>
      <c r="G180" s="33">
        <v>7.5999999999999998E-2</v>
      </c>
      <c r="H180" s="33">
        <v>9.9989999999999996E-4</v>
      </c>
      <c r="I180" s="33">
        <v>1.0429999999999999</v>
      </c>
      <c r="J180" s="33">
        <v>2.1999999999999999E-2</v>
      </c>
      <c r="K180" s="33">
        <v>9.9989999999999996E-4</v>
      </c>
      <c r="L180"/>
    </row>
    <row r="181" spans="1:12">
      <c r="A181" s="16">
        <v>16</v>
      </c>
      <c r="B181" s="24">
        <v>39154</v>
      </c>
      <c r="C181" s="16">
        <v>2007</v>
      </c>
      <c r="D181" s="11" t="s">
        <v>29</v>
      </c>
      <c r="E181" s="16">
        <v>3</v>
      </c>
      <c r="F181" s="33">
        <v>2.4710000000000001</v>
      </c>
      <c r="G181" s="16">
        <v>0.109</v>
      </c>
      <c r="H181" s="16">
        <v>9.9989999999999996E-4</v>
      </c>
      <c r="I181" s="33">
        <v>0.84199999999999997</v>
      </c>
      <c r="J181" s="33">
        <v>2.1000000000000001E-2</v>
      </c>
      <c r="K181" s="33">
        <v>9.9989999999999996E-4</v>
      </c>
      <c r="L181"/>
    </row>
    <row r="182" spans="1:12">
      <c r="A182" s="16">
        <v>2</v>
      </c>
      <c r="B182" s="24">
        <v>39190</v>
      </c>
      <c r="C182" s="16">
        <v>2007</v>
      </c>
      <c r="D182" s="11" t="s">
        <v>30</v>
      </c>
      <c r="E182" s="16">
        <v>4</v>
      </c>
      <c r="F182" s="33">
        <v>5.0179999999999998</v>
      </c>
      <c r="G182" s="16">
        <v>2.3E-2</v>
      </c>
      <c r="H182" s="16">
        <v>9.9989999999999996E-4</v>
      </c>
      <c r="I182" s="33">
        <v>2.0830000000000002</v>
      </c>
      <c r="J182" s="33">
        <v>1.2999999999999999E-2</v>
      </c>
      <c r="K182" s="33">
        <v>9.9989999999999996E-4</v>
      </c>
      <c r="L182"/>
    </row>
    <row r="183" spans="1:12">
      <c r="A183" s="16">
        <v>16</v>
      </c>
      <c r="B183" s="24">
        <v>39190</v>
      </c>
      <c r="C183" s="16">
        <v>2007</v>
      </c>
      <c r="D183" s="11" t="s">
        <v>30</v>
      </c>
      <c r="E183" s="16">
        <v>4</v>
      </c>
      <c r="F183" s="33">
        <v>8.9130000000000003</v>
      </c>
      <c r="G183" s="16">
        <v>0.04</v>
      </c>
      <c r="H183" s="16">
        <v>6.9000000000000006E-2</v>
      </c>
      <c r="I183" s="33">
        <v>4.2300000000000004</v>
      </c>
      <c r="J183" s="33">
        <v>2.1000000000000001E-2</v>
      </c>
      <c r="K183" s="33">
        <v>9.9989999999999996E-4</v>
      </c>
      <c r="L183"/>
    </row>
    <row r="184" spans="1:12">
      <c r="A184" s="16">
        <v>2</v>
      </c>
      <c r="B184" s="24">
        <v>39217</v>
      </c>
      <c r="C184" s="16">
        <v>2007</v>
      </c>
      <c r="D184" s="11" t="s">
        <v>31</v>
      </c>
      <c r="E184" s="16">
        <v>5</v>
      </c>
      <c r="F184" s="33">
        <v>3.7530000000000001</v>
      </c>
      <c r="G184" s="16">
        <v>6.2E-2</v>
      </c>
      <c r="H184" s="16">
        <v>0.159</v>
      </c>
      <c r="I184" s="33">
        <v>1.022</v>
      </c>
      <c r="J184" s="33">
        <v>2.7E-2</v>
      </c>
      <c r="K184" s="33">
        <v>9.9989999999999996E-4</v>
      </c>
      <c r="L184"/>
    </row>
    <row r="185" spans="1:12">
      <c r="A185" s="16">
        <v>16</v>
      </c>
      <c r="B185" s="24">
        <v>39217</v>
      </c>
      <c r="C185" s="16">
        <v>2007</v>
      </c>
      <c r="D185" s="11" t="s">
        <v>31</v>
      </c>
      <c r="E185" s="16">
        <v>5</v>
      </c>
      <c r="F185" s="33">
        <v>7.5650000000000004</v>
      </c>
      <c r="G185" s="16">
        <v>2.5000000000000001E-2</v>
      </c>
      <c r="H185" s="16">
        <v>1.3109999999999999</v>
      </c>
      <c r="I185" s="33">
        <v>3.3319999999999999</v>
      </c>
      <c r="J185" s="33">
        <v>6.4000000000000001E-2</v>
      </c>
      <c r="K185" s="33">
        <v>9.9989999999999996E-4</v>
      </c>
      <c r="L185"/>
    </row>
    <row r="186" spans="1:12">
      <c r="A186" s="16">
        <v>2</v>
      </c>
      <c r="B186" s="24">
        <v>39245</v>
      </c>
      <c r="C186" s="16">
        <v>2007</v>
      </c>
      <c r="D186" s="11" t="s">
        <v>32</v>
      </c>
      <c r="E186" s="16">
        <v>6</v>
      </c>
      <c r="F186" s="33">
        <v>17.007000000000001</v>
      </c>
      <c r="G186">
        <v>4.2999999999999997E-2</v>
      </c>
      <c r="H186">
        <v>3.484</v>
      </c>
      <c r="I186" s="33">
        <v>5.7590000000000003</v>
      </c>
      <c r="J186" s="33">
        <v>0.30099999999999999</v>
      </c>
      <c r="K186" s="33">
        <v>9.9989999999999996E-4</v>
      </c>
      <c r="L186"/>
    </row>
    <row r="187" spans="1:12">
      <c r="A187" s="16">
        <v>16</v>
      </c>
      <c r="B187" s="24">
        <v>39245</v>
      </c>
      <c r="C187" s="16">
        <v>2007</v>
      </c>
      <c r="D187" s="11" t="s">
        <v>32</v>
      </c>
      <c r="E187" s="16">
        <v>6</v>
      </c>
      <c r="F187" s="33">
        <v>24.376999999999999</v>
      </c>
      <c r="G187">
        <v>4.3999999999999997E-2</v>
      </c>
      <c r="H187">
        <v>4.96</v>
      </c>
      <c r="I187" s="33">
        <v>8.9410000000000007</v>
      </c>
      <c r="J187" s="33">
        <v>0.45300000000000001</v>
      </c>
      <c r="K187" s="33">
        <v>6.0000000000000001E-3</v>
      </c>
      <c r="L187"/>
    </row>
    <row r="188" spans="1:12">
      <c r="A188" s="16">
        <v>2</v>
      </c>
      <c r="B188" s="24">
        <v>39280</v>
      </c>
      <c r="C188" s="16">
        <v>2007</v>
      </c>
      <c r="D188" s="11" t="s">
        <v>33</v>
      </c>
      <c r="E188" s="16">
        <v>7</v>
      </c>
      <c r="F188" s="33">
        <v>16.196000000000002</v>
      </c>
      <c r="G188">
        <v>0.32300000000000001</v>
      </c>
      <c r="H188">
        <v>7.8E-2</v>
      </c>
      <c r="I188" s="33">
        <v>1.9139999999999999</v>
      </c>
      <c r="J188" s="33">
        <v>2.153</v>
      </c>
      <c r="K188" s="33">
        <v>9.9989999999999996E-4</v>
      </c>
      <c r="L188"/>
    </row>
    <row r="189" spans="1:12">
      <c r="A189" s="16">
        <v>16</v>
      </c>
      <c r="B189" s="24">
        <v>39280</v>
      </c>
      <c r="C189" s="16">
        <v>2007</v>
      </c>
      <c r="D189" s="11" t="s">
        <v>33</v>
      </c>
      <c r="E189" s="16">
        <v>7</v>
      </c>
      <c r="F189" s="33">
        <v>17.375</v>
      </c>
      <c r="G189">
        <v>0.25800000000000001</v>
      </c>
      <c r="H189">
        <v>8.5999999999999993E-2</v>
      </c>
      <c r="I189" s="33">
        <v>2.012</v>
      </c>
      <c r="J189" s="33">
        <v>2.0369999999999999</v>
      </c>
      <c r="K189" s="33">
        <v>1.2E-2</v>
      </c>
      <c r="L189"/>
    </row>
    <row r="190" spans="1:12">
      <c r="A190" s="16">
        <v>2</v>
      </c>
      <c r="B190" s="24">
        <v>39308</v>
      </c>
      <c r="C190" s="16">
        <v>2007</v>
      </c>
      <c r="D190" s="11" t="s">
        <v>34</v>
      </c>
      <c r="E190" s="16">
        <v>8</v>
      </c>
      <c r="F190" s="33">
        <v>10.210000000000001</v>
      </c>
      <c r="G190">
        <v>0.154</v>
      </c>
      <c r="H190">
        <v>0.312</v>
      </c>
      <c r="I190" s="33">
        <v>3.3119999999999998</v>
      </c>
      <c r="J190" s="33">
        <v>0.51900000000000002</v>
      </c>
      <c r="K190" s="33">
        <v>9.9989999999999996E-4</v>
      </c>
      <c r="L190"/>
    </row>
    <row r="191" spans="1:12">
      <c r="A191" s="16">
        <v>16</v>
      </c>
      <c r="B191" s="24">
        <v>39308</v>
      </c>
      <c r="C191" s="16">
        <v>2007</v>
      </c>
      <c r="D191" s="11" t="s">
        <v>34</v>
      </c>
      <c r="E191" s="16">
        <v>8</v>
      </c>
      <c r="F191" s="33">
        <v>14.263</v>
      </c>
      <c r="G191">
        <v>6.0999999999999999E-2</v>
      </c>
      <c r="H191">
        <v>4.3999999999999997E-2</v>
      </c>
      <c r="I191" s="33">
        <v>1.31</v>
      </c>
      <c r="J191" s="33">
        <v>1.7490000000000001</v>
      </c>
      <c r="K191" s="33">
        <v>9.9989999999999996E-4</v>
      </c>
      <c r="L191"/>
    </row>
    <row r="192" spans="1:12">
      <c r="A192" s="16">
        <v>2</v>
      </c>
      <c r="B192" s="24">
        <v>39337</v>
      </c>
      <c r="C192" s="16">
        <v>2007</v>
      </c>
      <c r="D192" s="11" t="s">
        <v>40</v>
      </c>
      <c r="E192" s="16">
        <v>9</v>
      </c>
      <c r="F192" s="33">
        <v>13.247999999999999</v>
      </c>
      <c r="G192">
        <v>9.9989999999999996E-4</v>
      </c>
      <c r="H192">
        <v>9.9989999999999996E-4</v>
      </c>
      <c r="I192" s="33">
        <v>1.29</v>
      </c>
      <c r="J192" s="33">
        <v>1.8280000000000001</v>
      </c>
      <c r="K192" s="33">
        <v>9.9989999999999996E-4</v>
      </c>
      <c r="L192"/>
    </row>
    <row r="193" spans="1:18">
      <c r="A193" s="16">
        <v>16</v>
      </c>
      <c r="B193" s="24">
        <v>39336</v>
      </c>
      <c r="C193" s="16">
        <v>2007</v>
      </c>
      <c r="D193" s="11" t="s">
        <v>40</v>
      </c>
      <c r="E193" s="16">
        <v>9</v>
      </c>
      <c r="F193" s="33">
        <v>12.465999999999999</v>
      </c>
      <c r="G193">
        <v>0.112</v>
      </c>
      <c r="H193">
        <v>9.9989999999999996E-4</v>
      </c>
      <c r="I193" s="33">
        <v>1.464</v>
      </c>
      <c r="J193" s="33">
        <v>1.7949999999999999</v>
      </c>
      <c r="K193" s="33">
        <v>9.9989999999999996E-4</v>
      </c>
    </row>
    <row r="194" spans="1:18">
      <c r="A194" s="16">
        <v>2</v>
      </c>
      <c r="B194" s="24">
        <v>39373</v>
      </c>
      <c r="C194" s="16">
        <v>2007</v>
      </c>
      <c r="D194" s="11" t="s">
        <v>36</v>
      </c>
      <c r="E194" s="16">
        <v>10</v>
      </c>
      <c r="F194" s="33">
        <v>2.7330000000000001</v>
      </c>
      <c r="G194" s="33">
        <v>3.4000000000000002E-2</v>
      </c>
      <c r="H194" s="33">
        <v>9.9989999999999996E-4</v>
      </c>
      <c r="I194" s="33">
        <v>0.32400000000000001</v>
      </c>
      <c r="J194" s="33">
        <v>0.05</v>
      </c>
      <c r="K194" s="33">
        <v>9.9989999999999996E-4</v>
      </c>
    </row>
    <row r="195" spans="1:18">
      <c r="A195" s="16">
        <v>16</v>
      </c>
      <c r="B195" s="24">
        <v>39373</v>
      </c>
      <c r="C195" s="16">
        <v>2007</v>
      </c>
      <c r="D195" s="11" t="s">
        <v>36</v>
      </c>
      <c r="E195" s="16">
        <v>10</v>
      </c>
      <c r="F195" s="33">
        <v>4.891</v>
      </c>
      <c r="G195" s="33">
        <v>2.1999999999999999E-2</v>
      </c>
      <c r="H195" s="33">
        <v>3.1E-2</v>
      </c>
      <c r="I195" s="33">
        <v>0.97099999999999997</v>
      </c>
      <c r="J195" s="33">
        <v>0.44500000000000001</v>
      </c>
      <c r="K195" s="33">
        <v>9.9989999999999996E-4</v>
      </c>
    </row>
    <row r="196" spans="1:18">
      <c r="A196" s="16">
        <v>2</v>
      </c>
      <c r="B196" s="24">
        <v>39399</v>
      </c>
      <c r="C196" s="16">
        <v>2007</v>
      </c>
      <c r="D196" s="11" t="s">
        <v>37</v>
      </c>
      <c r="E196" s="16">
        <v>11</v>
      </c>
      <c r="F196" s="33">
        <v>0.96299999999999997</v>
      </c>
      <c r="G196" s="33">
        <v>9.9989999999999996E-4</v>
      </c>
      <c r="H196" s="33">
        <v>9.9989999999999996E-4</v>
      </c>
      <c r="I196" s="33">
        <v>0.123</v>
      </c>
      <c r="J196" s="33">
        <v>4.0000000000000001E-3</v>
      </c>
      <c r="K196" s="33">
        <v>9.9989999999999996E-4</v>
      </c>
    </row>
    <row r="197" spans="1:18">
      <c r="A197" s="16">
        <v>16</v>
      </c>
      <c r="B197" s="24">
        <v>39399</v>
      </c>
      <c r="C197" s="16">
        <v>2007</v>
      </c>
      <c r="D197" s="11" t="s">
        <v>37</v>
      </c>
      <c r="E197" s="16">
        <v>11</v>
      </c>
      <c r="F197" s="33">
        <v>3.145</v>
      </c>
      <c r="G197" s="33">
        <v>4.4999999999999998E-2</v>
      </c>
      <c r="H197" s="33">
        <v>5.0999999999999997E-2</v>
      </c>
      <c r="I197" s="33">
        <v>0.64200000000000002</v>
      </c>
      <c r="J197" s="33">
        <v>3.5000000000000003E-2</v>
      </c>
      <c r="K197" s="33">
        <v>9.9989999999999996E-4</v>
      </c>
    </row>
    <row r="198" spans="1:18">
      <c r="A198" s="16">
        <v>2</v>
      </c>
      <c r="B198" s="24">
        <v>39426</v>
      </c>
      <c r="C198" s="16">
        <v>2007</v>
      </c>
      <c r="D198" s="11" t="s">
        <v>38</v>
      </c>
      <c r="E198" s="16">
        <v>12</v>
      </c>
      <c r="F198" s="33">
        <v>1.2290000000000001</v>
      </c>
      <c r="G198" s="33">
        <v>9.9989999999999996E-4</v>
      </c>
      <c r="H198" s="33">
        <v>9.9989999999999996E-4</v>
      </c>
      <c r="I198" s="33">
        <v>0.36099999999999999</v>
      </c>
      <c r="J198" s="33">
        <v>5.0000000000000001E-3</v>
      </c>
      <c r="K198" s="33">
        <v>9.9989999999999996E-4</v>
      </c>
    </row>
    <row r="199" spans="1:18" ht="25.5">
      <c r="A199" s="16">
        <v>16</v>
      </c>
      <c r="B199" s="24">
        <v>39427</v>
      </c>
      <c r="C199" s="16">
        <v>2007</v>
      </c>
      <c r="D199" s="11" t="s">
        <v>38</v>
      </c>
      <c r="E199" s="16">
        <v>12</v>
      </c>
      <c r="F199" s="33">
        <v>2.2930000000000001</v>
      </c>
      <c r="G199" s="33">
        <v>1.2E-2</v>
      </c>
      <c r="H199" s="33">
        <v>9.9989999999999996E-4</v>
      </c>
      <c r="I199" s="33">
        <v>0.68</v>
      </c>
      <c r="J199" s="33">
        <v>4.0000000000000001E-3</v>
      </c>
      <c r="K199" s="33">
        <v>9.9989999999999996E-4</v>
      </c>
      <c r="L199" s="36" t="s">
        <v>50</v>
      </c>
      <c r="M199" s="6" t="s">
        <v>7</v>
      </c>
      <c r="N199" s="6" t="s">
        <v>8</v>
      </c>
      <c r="O199" s="6" t="s">
        <v>9</v>
      </c>
      <c r="P199" s="6" t="s">
        <v>10</v>
      </c>
      <c r="Q199" s="6" t="s">
        <v>11</v>
      </c>
      <c r="R199" s="6" t="s">
        <v>12</v>
      </c>
    </row>
    <row r="200" spans="1:18">
      <c r="A200" s="48">
        <v>2</v>
      </c>
      <c r="B200" s="55">
        <v>39462</v>
      </c>
      <c r="C200" s="48">
        <v>2008</v>
      </c>
      <c r="D200" s="44" t="s">
        <v>39</v>
      </c>
      <c r="E200" s="48">
        <v>1</v>
      </c>
      <c r="F200" s="60">
        <v>3.5289999999999999</v>
      </c>
      <c r="G200" s="60">
        <v>6.3E-2</v>
      </c>
      <c r="H200" s="60">
        <v>9.9989999999999996E-4</v>
      </c>
      <c r="I200" s="60">
        <v>1.107</v>
      </c>
      <c r="J200" s="60">
        <v>8.9999999999999993E-3</v>
      </c>
      <c r="K200" s="60">
        <v>9.9989999999999996E-4</v>
      </c>
      <c r="L200" s="36" t="s">
        <v>53</v>
      </c>
      <c r="M200" s="37">
        <f t="shared" ref="M200:R200" si="5">AVERAGE(F200:F223)</f>
        <v>6.6114999999999986</v>
      </c>
      <c r="N200" s="37">
        <f t="shared" si="5"/>
        <v>0.13358332916666665</v>
      </c>
      <c r="O200" s="37">
        <f t="shared" si="5"/>
        <v>0.16383327500000003</v>
      </c>
      <c r="P200" s="37">
        <f t="shared" si="5"/>
        <v>1.8214583333333332</v>
      </c>
      <c r="Q200" s="37">
        <f t="shared" si="5"/>
        <v>0.34225</v>
      </c>
      <c r="R200" s="37">
        <f t="shared" si="5"/>
        <v>9.999000000000004E-4</v>
      </c>
    </row>
    <row r="201" spans="1:18">
      <c r="A201" s="16">
        <v>16</v>
      </c>
      <c r="B201" s="24">
        <v>39462</v>
      </c>
      <c r="C201" s="16">
        <v>2008</v>
      </c>
      <c r="D201" s="11" t="s">
        <v>39</v>
      </c>
      <c r="E201" s="16">
        <v>1</v>
      </c>
      <c r="F201" s="33">
        <v>2.8180000000000001</v>
      </c>
      <c r="G201" s="33">
        <v>7.4999999999999997E-2</v>
      </c>
      <c r="H201" s="33">
        <v>9.9989999999999996E-4</v>
      </c>
      <c r="I201" s="33">
        <v>0.77900000000000003</v>
      </c>
      <c r="J201" s="33">
        <v>1.0999999999999999E-2</v>
      </c>
      <c r="K201" s="33">
        <v>9.9989999999999996E-4</v>
      </c>
    </row>
    <row r="202" spans="1:18">
      <c r="A202" s="16">
        <v>2</v>
      </c>
      <c r="B202" s="24">
        <v>39490</v>
      </c>
      <c r="C202" s="16">
        <v>2008</v>
      </c>
      <c r="D202" s="11" t="s">
        <v>28</v>
      </c>
      <c r="E202" s="16">
        <v>2</v>
      </c>
      <c r="F202" s="33">
        <v>6.0679999999999996</v>
      </c>
      <c r="G202" s="33">
        <v>0.157</v>
      </c>
      <c r="H202" s="33">
        <v>9.9989999999999996E-4</v>
      </c>
      <c r="I202" s="33">
        <v>1.8260000000000001</v>
      </c>
      <c r="J202" s="33">
        <v>2.4E-2</v>
      </c>
      <c r="K202" s="33">
        <v>9.9989999999999996E-4</v>
      </c>
    </row>
    <row r="203" spans="1:18">
      <c r="A203" s="16">
        <v>16</v>
      </c>
      <c r="B203" s="24">
        <v>39490</v>
      </c>
      <c r="C203" s="16">
        <v>2008</v>
      </c>
      <c r="D203" s="11" t="s">
        <v>28</v>
      </c>
      <c r="E203" s="16">
        <v>2</v>
      </c>
      <c r="F203" s="33">
        <v>5.6310000000000002</v>
      </c>
      <c r="G203" s="33">
        <v>0.2</v>
      </c>
      <c r="H203" s="33">
        <v>9.9989999999999996E-4</v>
      </c>
      <c r="I203" s="33">
        <v>1.0289999999999999</v>
      </c>
      <c r="J203" s="33">
        <v>0.129</v>
      </c>
      <c r="K203" s="33">
        <v>9.9989999999999996E-4</v>
      </c>
    </row>
    <row r="204" spans="1:18">
      <c r="A204" s="16">
        <v>2</v>
      </c>
      <c r="B204" s="24">
        <v>39520</v>
      </c>
      <c r="C204" s="16">
        <v>2008</v>
      </c>
      <c r="D204" s="11" t="s">
        <v>29</v>
      </c>
      <c r="E204" s="16">
        <v>3</v>
      </c>
      <c r="F204" s="61">
        <v>1.8859999999999999</v>
      </c>
      <c r="G204" s="61">
        <v>4.1000000000000002E-2</v>
      </c>
      <c r="H204" s="61">
        <v>2.5999999999999999E-2</v>
      </c>
      <c r="I204" s="61">
        <v>0.61099999999999999</v>
      </c>
      <c r="J204" s="61">
        <v>2.4E-2</v>
      </c>
      <c r="K204" s="61">
        <v>9.9989999999999996E-4</v>
      </c>
    </row>
    <row r="205" spans="1:18">
      <c r="A205" s="16">
        <v>16</v>
      </c>
      <c r="B205" s="24">
        <v>39520</v>
      </c>
      <c r="C205" s="16">
        <v>2008</v>
      </c>
      <c r="D205" s="11" t="s">
        <v>29</v>
      </c>
      <c r="E205" s="16">
        <v>3</v>
      </c>
      <c r="F205" s="61">
        <v>1.9970000000000001</v>
      </c>
      <c r="G205" s="61">
        <v>1.4E-2</v>
      </c>
      <c r="H205" s="61">
        <v>4.2000000000000003E-2</v>
      </c>
      <c r="I205" s="61">
        <v>0.73499999999999999</v>
      </c>
      <c r="J205" s="61">
        <v>5.0999999999999997E-2</v>
      </c>
      <c r="K205" s="61">
        <v>9.9989999999999996E-4</v>
      </c>
    </row>
    <row r="206" spans="1:18">
      <c r="A206" s="16">
        <v>2</v>
      </c>
      <c r="B206" s="24">
        <v>39553</v>
      </c>
      <c r="C206" s="16">
        <v>2008</v>
      </c>
      <c r="D206" s="11" t="s">
        <v>30</v>
      </c>
      <c r="E206" s="16">
        <v>4</v>
      </c>
      <c r="F206" s="61">
        <v>0.93100000000000005</v>
      </c>
      <c r="G206" s="61">
        <v>9.9989999999999996E-4</v>
      </c>
      <c r="H206" s="61">
        <v>9.9989999999999996E-4</v>
      </c>
      <c r="I206" s="61">
        <v>0.30299999999999999</v>
      </c>
      <c r="J206" s="61">
        <v>8.9999999999999993E-3</v>
      </c>
      <c r="K206" s="61">
        <v>9.9989999999999996E-4</v>
      </c>
    </row>
    <row r="207" spans="1:18">
      <c r="A207" s="16">
        <v>16</v>
      </c>
      <c r="B207" s="24">
        <v>39553</v>
      </c>
      <c r="C207" s="16">
        <v>2008</v>
      </c>
      <c r="D207" s="11" t="s">
        <v>30</v>
      </c>
      <c r="E207" s="16">
        <v>4</v>
      </c>
      <c r="F207" s="61">
        <v>1.046</v>
      </c>
      <c r="G207" s="61">
        <v>1.2999999999999999E-2</v>
      </c>
      <c r="H207" s="61">
        <v>9.9989999999999996E-4</v>
      </c>
      <c r="I207" s="61">
        <v>0.16800000000000001</v>
      </c>
      <c r="J207" s="61">
        <v>1.2E-2</v>
      </c>
      <c r="K207" s="61">
        <v>9.9989999999999996E-4</v>
      </c>
    </row>
    <row r="208" spans="1:18">
      <c r="A208" s="16">
        <v>2</v>
      </c>
      <c r="B208" s="24">
        <v>39582</v>
      </c>
      <c r="C208" s="16">
        <v>2008</v>
      </c>
      <c r="D208" s="11" t="s">
        <v>31</v>
      </c>
      <c r="E208" s="16">
        <v>5</v>
      </c>
      <c r="F208" s="61">
        <v>3.9430000000000001</v>
      </c>
      <c r="G208" s="61">
        <v>9.2999999999999999E-2</v>
      </c>
      <c r="H208" s="61">
        <v>0.253</v>
      </c>
      <c r="I208" s="61">
        <v>1.577</v>
      </c>
      <c r="J208" s="61">
        <v>6.7000000000000004E-2</v>
      </c>
      <c r="K208" s="61">
        <v>9.9989999999999996E-4</v>
      </c>
    </row>
    <row r="209" spans="1:18">
      <c r="A209" s="16">
        <v>16</v>
      </c>
      <c r="B209" s="24">
        <v>39583</v>
      </c>
      <c r="C209" s="16">
        <v>2008</v>
      </c>
      <c r="D209" s="11" t="s">
        <v>31</v>
      </c>
      <c r="E209" s="16">
        <v>5</v>
      </c>
      <c r="F209" s="61">
        <v>4.1219999999999999</v>
      </c>
      <c r="G209" s="61">
        <v>4.2999999999999997E-2</v>
      </c>
      <c r="H209" s="61">
        <v>0.188</v>
      </c>
      <c r="I209" s="61">
        <v>1.4490000000000001</v>
      </c>
      <c r="J209" s="61">
        <v>7.0999999999999994E-2</v>
      </c>
      <c r="K209" s="61">
        <v>9.9989999999999996E-4</v>
      </c>
    </row>
    <row r="210" spans="1:18">
      <c r="A210" s="16">
        <v>2</v>
      </c>
      <c r="B210" s="24">
        <v>39616</v>
      </c>
      <c r="C210" s="16">
        <v>2008</v>
      </c>
      <c r="D210" s="11" t="s">
        <v>32</v>
      </c>
      <c r="E210" s="16">
        <v>6</v>
      </c>
      <c r="F210" s="61">
        <v>10.725</v>
      </c>
      <c r="G210" s="61">
        <v>0.158</v>
      </c>
      <c r="H210" s="61">
        <v>9.9989999999999996E-4</v>
      </c>
      <c r="I210" s="61">
        <v>1.2070000000000001</v>
      </c>
      <c r="J210" s="61">
        <v>1.054</v>
      </c>
      <c r="K210" s="61">
        <v>9.9989999999999996E-4</v>
      </c>
    </row>
    <row r="211" spans="1:18">
      <c r="A211" s="16">
        <v>16</v>
      </c>
      <c r="B211" s="24">
        <v>39616</v>
      </c>
      <c r="C211" s="16">
        <v>2008</v>
      </c>
      <c r="D211" s="11" t="s">
        <v>32</v>
      </c>
      <c r="E211" s="16">
        <v>6</v>
      </c>
      <c r="F211" s="61">
        <v>11.07</v>
      </c>
      <c r="G211" s="61">
        <v>8.5000000000000006E-2</v>
      </c>
      <c r="H211" s="61">
        <v>9.9989999999999996E-4</v>
      </c>
      <c r="I211" s="61">
        <v>2.073</v>
      </c>
      <c r="J211" s="61">
        <v>0.76</v>
      </c>
      <c r="K211" s="61">
        <v>9.9989999999999996E-4</v>
      </c>
    </row>
    <row r="212" spans="1:18">
      <c r="A212" s="16">
        <v>2</v>
      </c>
      <c r="B212" s="24">
        <v>39644</v>
      </c>
      <c r="C212" s="16">
        <v>2008</v>
      </c>
      <c r="D212" s="11" t="s">
        <v>33</v>
      </c>
      <c r="E212" s="16">
        <v>7</v>
      </c>
      <c r="F212" s="61">
        <v>12.685</v>
      </c>
      <c r="G212" s="61">
        <v>0.435</v>
      </c>
      <c r="H212" s="61">
        <v>9.9989999999999996E-4</v>
      </c>
      <c r="I212" s="61">
        <v>2.702</v>
      </c>
      <c r="J212" s="61">
        <v>0.9</v>
      </c>
      <c r="K212" s="61">
        <v>9.9989999999999996E-4</v>
      </c>
    </row>
    <row r="213" spans="1:18">
      <c r="A213" s="16">
        <v>16</v>
      </c>
      <c r="B213" s="24">
        <v>39644</v>
      </c>
      <c r="C213" s="16">
        <v>2008</v>
      </c>
      <c r="D213" s="11" t="s">
        <v>33</v>
      </c>
      <c r="E213" s="16">
        <v>7</v>
      </c>
      <c r="F213" s="61">
        <v>14.726000000000001</v>
      </c>
      <c r="G213" s="61">
        <v>0.33200000000000002</v>
      </c>
      <c r="H213" s="61">
        <v>9.9989999999999996E-4</v>
      </c>
      <c r="I213" s="61">
        <v>2.9039999999999999</v>
      </c>
      <c r="J213" s="61">
        <v>1.3919999999999999</v>
      </c>
      <c r="K213" s="61">
        <v>9.9989999999999996E-4</v>
      </c>
    </row>
    <row r="214" spans="1:18">
      <c r="A214" s="16">
        <v>2</v>
      </c>
      <c r="B214" s="24">
        <v>39673</v>
      </c>
      <c r="C214" s="16">
        <v>2008</v>
      </c>
      <c r="D214" s="11" t="s">
        <v>34</v>
      </c>
      <c r="E214" s="16">
        <v>8</v>
      </c>
      <c r="F214" s="61">
        <v>7.4409999999999998</v>
      </c>
      <c r="G214" s="61">
        <v>0.68899999999999995</v>
      </c>
      <c r="H214" s="61">
        <v>9.9989999999999996E-4</v>
      </c>
      <c r="I214" s="61">
        <v>1.1910000000000001</v>
      </c>
      <c r="J214" s="61">
        <v>0.49399999999999999</v>
      </c>
      <c r="K214" s="61">
        <v>9.9989999999999996E-4</v>
      </c>
    </row>
    <row r="215" spans="1:18">
      <c r="A215" s="16">
        <v>16</v>
      </c>
      <c r="B215" s="24">
        <v>39673</v>
      </c>
      <c r="C215" s="16">
        <v>2008</v>
      </c>
      <c r="D215" s="11" t="s">
        <v>34</v>
      </c>
      <c r="E215" s="16">
        <v>8</v>
      </c>
      <c r="F215" s="61">
        <v>7.3840000000000003</v>
      </c>
      <c r="G215" s="61">
        <v>0.215</v>
      </c>
      <c r="H215" s="61">
        <v>9.9989999999999996E-4</v>
      </c>
      <c r="I215" s="61">
        <v>0.96199999999999997</v>
      </c>
      <c r="J215" s="61">
        <v>0.91</v>
      </c>
      <c r="K215" s="61">
        <v>9.9989999999999996E-4</v>
      </c>
    </row>
    <row r="216" spans="1:18">
      <c r="A216" s="16">
        <v>2</v>
      </c>
      <c r="B216" s="24">
        <v>39707</v>
      </c>
      <c r="C216" s="16">
        <v>2008</v>
      </c>
      <c r="D216" s="11" t="s">
        <v>40</v>
      </c>
      <c r="E216" s="16">
        <v>9</v>
      </c>
      <c r="F216" s="33">
        <v>22.388000000000002</v>
      </c>
      <c r="G216" s="33">
        <v>8.7999999999999995E-2</v>
      </c>
      <c r="H216" s="33">
        <v>1.4370000000000001</v>
      </c>
      <c r="I216" s="33">
        <v>9.2729999999999997</v>
      </c>
      <c r="J216" s="33">
        <v>0.81499999999999995</v>
      </c>
      <c r="K216" s="33">
        <v>9.9989999999999996E-4</v>
      </c>
    </row>
    <row r="217" spans="1:18">
      <c r="A217" s="16">
        <v>16</v>
      </c>
      <c r="B217" s="24">
        <v>39707</v>
      </c>
      <c r="C217" s="16">
        <v>2008</v>
      </c>
      <c r="D217" s="11" t="s">
        <v>40</v>
      </c>
      <c r="E217" s="16">
        <v>9</v>
      </c>
      <c r="F217" s="33">
        <v>16.899999999999999</v>
      </c>
      <c r="G217" s="33">
        <v>0.09</v>
      </c>
      <c r="H217" s="33">
        <v>1.56</v>
      </c>
      <c r="I217" s="33">
        <v>6.1479999999999997</v>
      </c>
      <c r="J217" s="33">
        <v>0.93600000000000005</v>
      </c>
      <c r="K217" s="33">
        <v>9.9989999999999996E-4</v>
      </c>
    </row>
    <row r="218" spans="1:18">
      <c r="A218" s="16">
        <v>2</v>
      </c>
      <c r="B218" s="24">
        <v>39737</v>
      </c>
      <c r="C218" s="16">
        <v>2008</v>
      </c>
      <c r="D218" s="11" t="s">
        <v>36</v>
      </c>
      <c r="E218" s="16">
        <v>10</v>
      </c>
      <c r="F218" s="28">
        <v>1.742</v>
      </c>
      <c r="G218" s="28">
        <v>1.4999999999999999E-2</v>
      </c>
      <c r="H218" s="28">
        <v>9.9989999999999996E-4</v>
      </c>
      <c r="I218" s="28">
        <v>0.32500000000000001</v>
      </c>
      <c r="J218" s="33">
        <v>2.5000000000000001E-2</v>
      </c>
      <c r="K218" s="33">
        <v>9.9989999999999996E-4</v>
      </c>
    </row>
    <row r="219" spans="1:18">
      <c r="A219" s="16">
        <v>16</v>
      </c>
      <c r="B219" s="24">
        <v>39737</v>
      </c>
      <c r="C219" s="16">
        <v>2008</v>
      </c>
      <c r="D219" s="11" t="s">
        <v>36</v>
      </c>
      <c r="E219" s="16">
        <v>10</v>
      </c>
      <c r="F219" s="28">
        <v>5.1740000000000004</v>
      </c>
      <c r="G219" s="28">
        <v>0.04</v>
      </c>
      <c r="H219" s="28">
        <v>0.218</v>
      </c>
      <c r="I219" s="28">
        <v>2.028</v>
      </c>
      <c r="J219" s="33">
        <v>0.34799999999999998</v>
      </c>
      <c r="K219" s="33">
        <v>9.9989999999999996E-4</v>
      </c>
    </row>
    <row r="220" spans="1:18">
      <c r="A220" s="16">
        <v>2</v>
      </c>
      <c r="B220" s="24">
        <v>39763</v>
      </c>
      <c r="C220" s="16">
        <v>2008</v>
      </c>
      <c r="D220" s="11" t="s">
        <v>37</v>
      </c>
      <c r="E220" s="16">
        <v>11</v>
      </c>
      <c r="F220" s="28">
        <v>2.1349999999999998</v>
      </c>
      <c r="G220" s="28">
        <v>0.03</v>
      </c>
      <c r="H220" s="28">
        <v>4.4999999999999998E-2</v>
      </c>
      <c r="I220" s="28">
        <v>0.56699999999999995</v>
      </c>
      <c r="J220" s="33">
        <v>2.5999999999999999E-2</v>
      </c>
      <c r="K220" s="33">
        <v>9.9989999999999996E-4</v>
      </c>
    </row>
    <row r="221" spans="1:18">
      <c r="A221" s="16">
        <v>16</v>
      </c>
      <c r="B221" s="24">
        <v>39763</v>
      </c>
      <c r="C221" s="16">
        <v>2008</v>
      </c>
      <c r="D221" s="11" t="s">
        <v>37</v>
      </c>
      <c r="E221" s="16">
        <v>11</v>
      </c>
      <c r="F221" s="28">
        <v>3.6680000000000001</v>
      </c>
      <c r="G221" s="28">
        <v>3.4000000000000002E-2</v>
      </c>
      <c r="H221" s="28">
        <v>0.104</v>
      </c>
      <c r="I221" s="28">
        <v>1.1859999999999999</v>
      </c>
      <c r="J221" s="33">
        <v>5.3999999999999999E-2</v>
      </c>
      <c r="K221" s="33">
        <v>9.9989999999999996E-4</v>
      </c>
    </row>
    <row r="222" spans="1:18">
      <c r="A222" s="16">
        <v>2</v>
      </c>
      <c r="B222" s="24">
        <v>39799</v>
      </c>
      <c r="C222" s="16">
        <v>2008</v>
      </c>
      <c r="D222" s="11" t="s">
        <v>38</v>
      </c>
      <c r="E222" s="16">
        <v>12</v>
      </c>
      <c r="F222" s="28">
        <v>6.0270000000000001</v>
      </c>
      <c r="G222" s="28">
        <v>8.8999999999999996E-2</v>
      </c>
      <c r="H222" s="28">
        <v>4.4999999999999998E-2</v>
      </c>
      <c r="I222" s="28">
        <v>2.09</v>
      </c>
      <c r="J222" s="33">
        <v>2.4E-2</v>
      </c>
      <c r="K222" s="33">
        <v>9.9989999999999996E-4</v>
      </c>
    </row>
    <row r="223" spans="1:18" ht="25.5">
      <c r="A223" s="16">
        <v>16</v>
      </c>
      <c r="B223" s="24">
        <v>39800</v>
      </c>
      <c r="C223" s="16">
        <v>2008</v>
      </c>
      <c r="D223" s="11" t="s">
        <v>38</v>
      </c>
      <c r="E223" s="16">
        <v>12</v>
      </c>
      <c r="F223" s="28">
        <v>4.6399999999999997</v>
      </c>
      <c r="G223" s="28">
        <v>0.20599999999999999</v>
      </c>
      <c r="H223" s="28">
        <v>9.9989999999999996E-4</v>
      </c>
      <c r="I223" s="28">
        <v>1.4750000000000001</v>
      </c>
      <c r="J223" s="33">
        <v>6.9000000000000006E-2</v>
      </c>
      <c r="K223" s="33">
        <v>9.9989999999999996E-4</v>
      </c>
      <c r="L223" s="36" t="s">
        <v>50</v>
      </c>
      <c r="M223" s="6" t="s">
        <v>7</v>
      </c>
      <c r="N223" s="6" t="s">
        <v>8</v>
      </c>
      <c r="O223" s="6" t="s">
        <v>9</v>
      </c>
      <c r="P223" s="6" t="s">
        <v>10</v>
      </c>
      <c r="Q223" s="6" t="s">
        <v>11</v>
      </c>
      <c r="R223" s="6" t="s">
        <v>12</v>
      </c>
    </row>
    <row r="224" spans="1:18">
      <c r="A224" s="48">
        <v>2</v>
      </c>
      <c r="B224" s="55">
        <v>39825</v>
      </c>
      <c r="C224" s="48">
        <v>2009</v>
      </c>
      <c r="D224" s="44" t="s">
        <v>39</v>
      </c>
      <c r="E224" s="42">
        <v>1</v>
      </c>
      <c r="F224" s="62">
        <v>7.7110000000000003</v>
      </c>
      <c r="G224" s="62">
        <v>7.8E-2</v>
      </c>
      <c r="H224" s="62">
        <v>9.9989999999999996E-4</v>
      </c>
      <c r="I224" s="62">
        <v>3.0720000000000001</v>
      </c>
      <c r="J224" s="60">
        <v>1.6E-2</v>
      </c>
      <c r="K224" s="60">
        <v>9.9989999999999996E-4</v>
      </c>
      <c r="L224" s="36" t="s">
        <v>54</v>
      </c>
      <c r="M224" s="37">
        <f t="shared" ref="M224:R224" si="6">AVERAGE(F224:F247)</f>
        <v>7.3840000000000003</v>
      </c>
      <c r="N224" s="37">
        <f t="shared" si="6"/>
        <v>0.10970833333333335</v>
      </c>
      <c r="O224" s="37">
        <f t="shared" si="6"/>
        <v>0.13083329583333334</v>
      </c>
      <c r="P224" s="37">
        <f t="shared" si="6"/>
        <v>1.9290416666666668</v>
      </c>
      <c r="Q224" s="37">
        <f t="shared" si="6"/>
        <v>0.46770833333333345</v>
      </c>
      <c r="R224" s="37">
        <f t="shared" si="6"/>
        <v>9.9992083333333404E-4</v>
      </c>
    </row>
    <row r="225" spans="1:12">
      <c r="A225" s="16">
        <v>16</v>
      </c>
      <c r="B225" s="24">
        <v>39825</v>
      </c>
      <c r="C225" s="16">
        <v>2009</v>
      </c>
      <c r="D225" s="11" t="s">
        <v>39</v>
      </c>
      <c r="E225" s="12">
        <v>1</v>
      </c>
      <c r="F225" s="28">
        <v>6.8780000000000001</v>
      </c>
      <c r="G225" s="28">
        <v>0.11700000000000001</v>
      </c>
      <c r="H225" s="28">
        <v>9.9989999999999996E-4</v>
      </c>
      <c r="I225" s="28">
        <v>2.302</v>
      </c>
      <c r="J225" s="33">
        <v>2.7E-2</v>
      </c>
      <c r="K225" s="33">
        <v>9.9989999999999996E-4</v>
      </c>
      <c r="L225"/>
    </row>
    <row r="226" spans="1:12">
      <c r="A226" s="12">
        <v>2</v>
      </c>
      <c r="B226" s="24">
        <v>39855</v>
      </c>
      <c r="C226" s="16">
        <v>2009</v>
      </c>
      <c r="D226" s="11" t="s">
        <v>28</v>
      </c>
      <c r="E226" s="12">
        <v>2</v>
      </c>
      <c r="F226" s="28">
        <v>5.3019999999999996</v>
      </c>
      <c r="G226" s="28">
        <v>3.5999999999999997E-2</v>
      </c>
      <c r="H226" s="28">
        <v>1E-3</v>
      </c>
      <c r="I226" s="28">
        <v>2.1419999999999999</v>
      </c>
      <c r="J226" s="33">
        <v>3.5999999999999997E-2</v>
      </c>
      <c r="K226" s="33">
        <v>9.9989999999999996E-4</v>
      </c>
      <c r="L226"/>
    </row>
    <row r="227" spans="1:12">
      <c r="A227" s="12">
        <v>16</v>
      </c>
      <c r="B227" s="24">
        <v>39854</v>
      </c>
      <c r="C227" s="16">
        <v>2009</v>
      </c>
      <c r="D227" s="11" t="s">
        <v>28</v>
      </c>
      <c r="E227" s="12">
        <v>2</v>
      </c>
      <c r="F227" s="28">
        <v>4.5049999999999999</v>
      </c>
      <c r="G227" s="28">
        <v>0.04</v>
      </c>
      <c r="H227" s="28">
        <v>1E-3</v>
      </c>
      <c r="I227" s="28">
        <v>1.804</v>
      </c>
      <c r="J227" s="33">
        <v>2.7E-2</v>
      </c>
      <c r="K227" s="33">
        <v>9.9989999999999996E-4</v>
      </c>
      <c r="L227"/>
    </row>
    <row r="228" spans="1:12">
      <c r="A228" s="12">
        <v>2</v>
      </c>
      <c r="B228" s="24">
        <v>39890</v>
      </c>
      <c r="C228" s="16">
        <v>2009</v>
      </c>
      <c r="D228" s="11" t="s">
        <v>29</v>
      </c>
      <c r="E228" s="12">
        <v>3</v>
      </c>
      <c r="F228" s="28">
        <v>4.0570000000000004</v>
      </c>
      <c r="G228" s="28">
        <v>1.7999999999999999E-2</v>
      </c>
      <c r="H228" s="28">
        <v>9.9989999999999996E-4</v>
      </c>
      <c r="I228" s="28">
        <v>1.752</v>
      </c>
      <c r="J228" s="33">
        <v>1.4999999999999999E-2</v>
      </c>
      <c r="K228" s="33">
        <v>9.9989999999999996E-4</v>
      </c>
      <c r="L228"/>
    </row>
    <row r="229" spans="1:12">
      <c r="A229" s="12">
        <v>16</v>
      </c>
      <c r="B229" s="24">
        <v>39890</v>
      </c>
      <c r="C229" s="16">
        <v>2009</v>
      </c>
      <c r="D229" s="11" t="s">
        <v>29</v>
      </c>
      <c r="E229" s="12">
        <v>3</v>
      </c>
      <c r="F229" s="28">
        <v>3.7959999999999998</v>
      </c>
      <c r="G229" s="28">
        <v>1.2999999999999999E-2</v>
      </c>
      <c r="H229" s="28">
        <v>9.9989999999999996E-4</v>
      </c>
      <c r="I229" s="28">
        <v>1.6439999999999999</v>
      </c>
      <c r="J229" s="33">
        <v>3.5999999999999997E-2</v>
      </c>
      <c r="K229" s="33">
        <v>9.9989999999999996E-4</v>
      </c>
      <c r="L229"/>
    </row>
    <row r="230" spans="1:12">
      <c r="A230" s="12">
        <v>2</v>
      </c>
      <c r="B230" s="24">
        <v>39920</v>
      </c>
      <c r="C230" s="16">
        <v>2009</v>
      </c>
      <c r="D230" s="11" t="s">
        <v>30</v>
      </c>
      <c r="E230" s="12">
        <v>4</v>
      </c>
      <c r="F230" s="28">
        <v>2.726</v>
      </c>
      <c r="G230" s="28">
        <v>2.3E-2</v>
      </c>
      <c r="H230" s="28">
        <v>1E-3</v>
      </c>
      <c r="I230" s="28">
        <v>1.1160000000000001</v>
      </c>
      <c r="J230" s="33">
        <v>1.4E-2</v>
      </c>
      <c r="K230" s="33">
        <v>9.9989999999999996E-4</v>
      </c>
      <c r="L230"/>
    </row>
    <row r="231" spans="1:12">
      <c r="A231" s="12">
        <v>16</v>
      </c>
      <c r="B231" s="24">
        <v>39920</v>
      </c>
      <c r="C231" s="16">
        <v>2009</v>
      </c>
      <c r="D231" s="11" t="s">
        <v>30</v>
      </c>
      <c r="E231" s="12">
        <v>4</v>
      </c>
      <c r="F231" s="28">
        <v>2.3159999999999998</v>
      </c>
      <c r="G231" s="28">
        <v>8.9999999999999993E-3</v>
      </c>
      <c r="H231" s="28">
        <v>1E-3</v>
      </c>
      <c r="I231" s="28">
        <v>0.98</v>
      </c>
      <c r="J231" s="33">
        <v>1.4999999999999999E-2</v>
      </c>
      <c r="K231" s="33">
        <v>9.9989999999999996E-4</v>
      </c>
      <c r="L231"/>
    </row>
    <row r="232" spans="1:12">
      <c r="A232" s="12">
        <v>2</v>
      </c>
      <c r="B232" s="24">
        <v>39945</v>
      </c>
      <c r="C232" s="16">
        <v>2009</v>
      </c>
      <c r="D232" s="11" t="s">
        <v>31</v>
      </c>
      <c r="E232" s="12">
        <v>5</v>
      </c>
      <c r="F232" s="28">
        <v>3.7349999999999999</v>
      </c>
      <c r="G232" s="28">
        <v>3.2000000000000001E-2</v>
      </c>
      <c r="H232" s="28">
        <v>9.2999999999999999E-2</v>
      </c>
      <c r="I232" s="28">
        <v>0.85899999999999999</v>
      </c>
      <c r="J232" s="33">
        <v>1.4E-2</v>
      </c>
      <c r="K232" s="33">
        <v>9.9989999999999996E-4</v>
      </c>
      <c r="L232"/>
    </row>
    <row r="233" spans="1:12">
      <c r="A233" s="12">
        <v>16</v>
      </c>
      <c r="B233" s="24">
        <v>39945</v>
      </c>
      <c r="C233" s="16">
        <v>2009</v>
      </c>
      <c r="D233" s="11" t="s">
        <v>31</v>
      </c>
      <c r="E233" s="12">
        <v>5</v>
      </c>
      <c r="F233" s="28">
        <v>8.7650000000000006</v>
      </c>
      <c r="G233" s="28">
        <v>0.112</v>
      </c>
      <c r="H233" s="28">
        <v>1.347</v>
      </c>
      <c r="I233" s="28">
        <v>3.9329999999999998</v>
      </c>
      <c r="J233" s="33">
        <v>6.9000000000000006E-2</v>
      </c>
      <c r="K233" s="33">
        <v>9.9989999999999996E-4</v>
      </c>
      <c r="L233"/>
    </row>
    <row r="234" spans="1:12">
      <c r="A234" s="16">
        <v>2</v>
      </c>
      <c r="B234" s="24">
        <v>39980</v>
      </c>
      <c r="C234" s="16">
        <v>2009</v>
      </c>
      <c r="D234" s="11" t="s">
        <v>32</v>
      </c>
      <c r="E234" s="12">
        <v>6</v>
      </c>
      <c r="F234" s="28">
        <v>7.8079999999999998</v>
      </c>
      <c r="G234" s="28">
        <v>5.7000000000000002E-2</v>
      </c>
      <c r="H234" s="28">
        <v>0.47099999999999997</v>
      </c>
      <c r="I234" s="28">
        <v>2.1469999999999998</v>
      </c>
      <c r="J234" s="33">
        <v>0.61099999999999999</v>
      </c>
      <c r="K234" s="33">
        <v>9.9989999999999996E-4</v>
      </c>
      <c r="L234"/>
    </row>
    <row r="235" spans="1:12">
      <c r="A235" s="16">
        <v>16</v>
      </c>
      <c r="B235" s="24">
        <v>39980</v>
      </c>
      <c r="C235" s="16">
        <v>2009</v>
      </c>
      <c r="D235" s="11" t="s">
        <v>32</v>
      </c>
      <c r="E235" s="12">
        <v>6</v>
      </c>
      <c r="F235" s="28">
        <v>14.867000000000001</v>
      </c>
      <c r="G235" s="28">
        <v>0.13300000000000001</v>
      </c>
      <c r="H235" s="28">
        <v>1.1000000000000001</v>
      </c>
      <c r="I235" s="28">
        <v>4.673</v>
      </c>
      <c r="J235" s="33">
        <v>0.78200000000000003</v>
      </c>
      <c r="K235" s="33">
        <v>1E-3</v>
      </c>
      <c r="L235"/>
    </row>
    <row r="236" spans="1:12">
      <c r="A236" s="16">
        <v>2</v>
      </c>
      <c r="B236" s="24">
        <v>40009</v>
      </c>
      <c r="C236" s="16">
        <v>2009</v>
      </c>
      <c r="D236" s="11" t="s">
        <v>33</v>
      </c>
      <c r="E236" s="12">
        <v>7</v>
      </c>
      <c r="F236" s="28">
        <v>12.242000000000001</v>
      </c>
      <c r="G236" s="28">
        <v>0.11799999999999999</v>
      </c>
      <c r="H236" s="28">
        <v>0.03</v>
      </c>
      <c r="I236" s="28">
        <v>1.296</v>
      </c>
      <c r="J236" s="33">
        <v>2.2469999999999999</v>
      </c>
      <c r="K236" s="33">
        <v>1E-3</v>
      </c>
      <c r="L236"/>
    </row>
    <row r="237" spans="1:12">
      <c r="A237" s="16">
        <v>16</v>
      </c>
      <c r="B237" s="24">
        <v>40009</v>
      </c>
      <c r="C237" s="16">
        <v>2009</v>
      </c>
      <c r="D237" s="11" t="s">
        <v>33</v>
      </c>
      <c r="E237" s="12">
        <v>7</v>
      </c>
      <c r="F237" s="28">
        <v>8.31</v>
      </c>
      <c r="G237" s="28">
        <v>0.1</v>
      </c>
      <c r="H237" s="28">
        <v>2.7E-2</v>
      </c>
      <c r="I237" s="28">
        <v>0.96699999999999997</v>
      </c>
      <c r="J237" s="33">
        <v>2.097</v>
      </c>
      <c r="K237" s="33">
        <v>1E-3</v>
      </c>
      <c r="L237"/>
    </row>
    <row r="238" spans="1:12">
      <c r="A238" s="16">
        <v>2</v>
      </c>
      <c r="B238" s="24">
        <v>40043</v>
      </c>
      <c r="C238" s="16">
        <v>2009</v>
      </c>
      <c r="D238" s="11" t="s">
        <v>34</v>
      </c>
      <c r="E238" s="12">
        <v>8</v>
      </c>
      <c r="F238" s="28">
        <v>15.622999999999999</v>
      </c>
      <c r="G238" s="28">
        <v>0.28299999999999997</v>
      </c>
      <c r="H238" s="28">
        <v>9.9989999999999996E-4</v>
      </c>
      <c r="I238" s="28">
        <v>2.4830000000000001</v>
      </c>
      <c r="J238" s="33">
        <v>1.58</v>
      </c>
      <c r="K238" s="33">
        <v>1E-3</v>
      </c>
      <c r="L238"/>
    </row>
    <row r="239" spans="1:12">
      <c r="A239" s="16">
        <v>16</v>
      </c>
      <c r="B239" s="24">
        <v>40042</v>
      </c>
      <c r="C239" s="16">
        <v>2009</v>
      </c>
      <c r="D239" s="11" t="s">
        <v>34</v>
      </c>
      <c r="E239" s="12">
        <v>8</v>
      </c>
      <c r="F239" s="28">
        <v>17.271000000000001</v>
      </c>
      <c r="G239" s="28">
        <v>9.5000000000000001E-2</v>
      </c>
      <c r="H239" s="28">
        <v>1E-3</v>
      </c>
      <c r="I239" s="28">
        <v>3</v>
      </c>
      <c r="J239" s="33">
        <v>1.5209999999999999</v>
      </c>
      <c r="K239" s="33">
        <v>1E-3</v>
      </c>
      <c r="L239"/>
    </row>
    <row r="240" spans="1:12">
      <c r="A240" s="16">
        <v>2</v>
      </c>
      <c r="B240" s="24">
        <v>40070</v>
      </c>
      <c r="C240" s="16">
        <v>2009</v>
      </c>
      <c r="D240" s="11" t="s">
        <v>40</v>
      </c>
      <c r="E240" s="12">
        <v>9</v>
      </c>
      <c r="F240" s="28">
        <v>4.9349999999999996</v>
      </c>
      <c r="G240" s="28">
        <v>0.32200000000000001</v>
      </c>
      <c r="H240" s="28">
        <v>9.9989999999999996E-4</v>
      </c>
      <c r="I240" s="28">
        <v>0.98599999999999999</v>
      </c>
      <c r="J240" s="33">
        <v>0.10100000000000001</v>
      </c>
      <c r="K240" s="33">
        <v>9.9989999999999996E-4</v>
      </c>
      <c r="L240"/>
    </row>
    <row r="241" spans="1:18">
      <c r="A241" s="16">
        <v>16</v>
      </c>
      <c r="B241" s="24">
        <v>40070</v>
      </c>
      <c r="C241" s="16">
        <v>2009</v>
      </c>
      <c r="D241" s="11" t="s">
        <v>40</v>
      </c>
      <c r="E241" s="12">
        <v>9</v>
      </c>
      <c r="F241" s="28">
        <v>22.917000000000002</v>
      </c>
      <c r="G241" s="28">
        <v>0.19500000000000001</v>
      </c>
      <c r="H241" s="28">
        <v>1E-3</v>
      </c>
      <c r="I241" s="28">
        <v>6.6849999999999996</v>
      </c>
      <c r="J241" s="33">
        <v>1.361</v>
      </c>
      <c r="K241" s="33">
        <v>9.9989999999999996E-4</v>
      </c>
    </row>
    <row r="242" spans="1:18">
      <c r="A242" s="16">
        <v>2</v>
      </c>
      <c r="B242" s="24">
        <v>40099</v>
      </c>
      <c r="C242" s="16">
        <v>2009</v>
      </c>
      <c r="D242" s="11" t="s">
        <v>36</v>
      </c>
      <c r="E242" s="12">
        <v>10</v>
      </c>
      <c r="F242" s="28">
        <v>2.278</v>
      </c>
      <c r="G242" s="28">
        <v>0.03</v>
      </c>
      <c r="H242" s="28">
        <v>1.2999999999999999E-2</v>
      </c>
      <c r="I242" s="28">
        <v>0.31900000000000001</v>
      </c>
      <c r="J242" s="33">
        <v>9.1999999999999998E-2</v>
      </c>
      <c r="K242" s="33">
        <v>9.9989999999999996E-4</v>
      </c>
    </row>
    <row r="243" spans="1:18">
      <c r="A243" s="16">
        <v>16</v>
      </c>
      <c r="B243" s="24">
        <v>40099</v>
      </c>
      <c r="C243" s="16">
        <v>2009</v>
      </c>
      <c r="D243" s="11" t="s">
        <v>36</v>
      </c>
      <c r="E243" s="12">
        <v>10</v>
      </c>
      <c r="F243" s="28">
        <v>5.1630000000000003</v>
      </c>
      <c r="G243" s="28">
        <v>4.1000000000000002E-2</v>
      </c>
      <c r="H243" s="28">
        <v>3.3000000000000002E-2</v>
      </c>
      <c r="I243" s="28">
        <v>0.752</v>
      </c>
      <c r="J243" s="33">
        <v>0.46100000000000002</v>
      </c>
      <c r="K243" s="33">
        <v>9.9989999999999996E-4</v>
      </c>
    </row>
    <row r="244" spans="1:18">
      <c r="A244" s="16">
        <v>2</v>
      </c>
      <c r="B244" s="24">
        <v>40134</v>
      </c>
      <c r="C244" s="16">
        <v>2009</v>
      </c>
      <c r="D244" s="11" t="s">
        <v>37</v>
      </c>
      <c r="E244" s="12">
        <v>11</v>
      </c>
      <c r="F244" s="28">
        <v>2.2709999999999999</v>
      </c>
      <c r="G244" s="28">
        <v>0.22800000000000001</v>
      </c>
      <c r="H244" s="28">
        <v>9.9989999999999996E-4</v>
      </c>
      <c r="I244" s="28">
        <v>0.4</v>
      </c>
      <c r="J244" s="33">
        <v>2.1000000000000001E-2</v>
      </c>
      <c r="K244" s="33">
        <v>9.9989999999999996E-4</v>
      </c>
    </row>
    <row r="245" spans="1:18">
      <c r="A245" s="16">
        <v>16</v>
      </c>
      <c r="B245" s="24">
        <v>40133</v>
      </c>
      <c r="C245" s="16">
        <v>2009</v>
      </c>
      <c r="D245" s="11" t="s">
        <v>37</v>
      </c>
      <c r="E245" s="12">
        <v>11</v>
      </c>
      <c r="F245" s="28">
        <v>3.33</v>
      </c>
      <c r="G245" s="28">
        <v>8.3000000000000004E-2</v>
      </c>
      <c r="H245" s="28">
        <v>9.9989999999999996E-4</v>
      </c>
      <c r="I245" s="28">
        <v>0.57799999999999996</v>
      </c>
      <c r="J245" s="33">
        <v>4.2000000000000003E-2</v>
      </c>
      <c r="K245" s="33">
        <v>9.9989999999999996E-4</v>
      </c>
    </row>
    <row r="246" spans="1:18">
      <c r="A246" s="16">
        <v>2</v>
      </c>
      <c r="B246" s="24">
        <v>40161</v>
      </c>
      <c r="C246" s="16">
        <v>2009</v>
      </c>
      <c r="D246" s="11" t="s">
        <v>38</v>
      </c>
      <c r="E246" s="12">
        <v>12</v>
      </c>
      <c r="F246" s="28">
        <v>4.7210000000000001</v>
      </c>
      <c r="G246" s="28">
        <v>0.14399999999999999</v>
      </c>
      <c r="H246" s="28">
        <v>9.9989999999999996E-4</v>
      </c>
      <c r="I246" s="63">
        <v>1.171</v>
      </c>
      <c r="J246" s="33">
        <v>1.4999999999999999E-2</v>
      </c>
      <c r="K246" s="33">
        <v>9.9989999999999996E-4</v>
      </c>
    </row>
    <row r="247" spans="1:18" ht="25.5">
      <c r="A247" s="16">
        <v>16</v>
      </c>
      <c r="B247" s="24">
        <v>40161</v>
      </c>
      <c r="C247" s="16">
        <v>2009</v>
      </c>
      <c r="D247" s="11" t="s">
        <v>38</v>
      </c>
      <c r="E247" s="12">
        <v>12</v>
      </c>
      <c r="F247" s="28">
        <v>5.6890000000000001</v>
      </c>
      <c r="G247" s="28">
        <v>0.32600000000000001</v>
      </c>
      <c r="H247" s="28">
        <v>1.0999999999999999E-2</v>
      </c>
      <c r="I247" s="63">
        <v>1.236</v>
      </c>
      <c r="J247" s="33">
        <v>2.5000000000000001E-2</v>
      </c>
      <c r="K247" s="33">
        <v>9.9989999999999996E-4</v>
      </c>
      <c r="L247" s="36" t="s">
        <v>42</v>
      </c>
      <c r="M247" s="6" t="s">
        <v>7</v>
      </c>
      <c r="N247" s="6" t="s">
        <v>8</v>
      </c>
      <c r="O247" s="6" t="s">
        <v>9</v>
      </c>
      <c r="P247" s="6" t="s">
        <v>10</v>
      </c>
      <c r="Q247" s="6" t="s">
        <v>11</v>
      </c>
      <c r="R247" s="6" t="s">
        <v>12</v>
      </c>
    </row>
    <row r="248" spans="1:18">
      <c r="A248" s="48">
        <v>2</v>
      </c>
      <c r="B248" s="52">
        <v>40198</v>
      </c>
      <c r="C248" s="48">
        <v>2010</v>
      </c>
      <c r="D248" s="44" t="s">
        <v>39</v>
      </c>
      <c r="E248" s="42">
        <v>1</v>
      </c>
      <c r="F248" s="62">
        <v>8.5489999999999995</v>
      </c>
      <c r="G248" s="62">
        <v>0.16344762499999999</v>
      </c>
      <c r="H248" s="62">
        <v>0</v>
      </c>
      <c r="I248" s="64">
        <v>3.6769590000000001</v>
      </c>
      <c r="J248" s="60">
        <v>1.4557749999999998E-2</v>
      </c>
      <c r="K248" s="60">
        <v>0</v>
      </c>
      <c r="L248" s="36" t="s">
        <v>55</v>
      </c>
      <c r="M248" s="37">
        <f t="shared" ref="M248:R248" si="7">AVERAGE(F248:F271)</f>
        <v>5.749791666666666</v>
      </c>
      <c r="N248" s="37">
        <f t="shared" si="7"/>
        <v>0.13059855729166669</v>
      </c>
      <c r="O248" s="37">
        <f t="shared" si="7"/>
        <v>1.9166026041666666E-2</v>
      </c>
      <c r="P248" s="37">
        <f t="shared" si="7"/>
        <v>1.9425178489583335</v>
      </c>
      <c r="Q248" s="37">
        <f t="shared" si="7"/>
        <v>0.3966031145833333</v>
      </c>
      <c r="R248" s="37">
        <f t="shared" si="7"/>
        <v>0</v>
      </c>
    </row>
    <row r="249" spans="1:18">
      <c r="A249" s="16">
        <v>16</v>
      </c>
      <c r="B249" s="20">
        <v>40198</v>
      </c>
      <c r="C249" s="16">
        <v>2010</v>
      </c>
      <c r="D249" s="11" t="s">
        <v>39</v>
      </c>
      <c r="E249" s="12">
        <v>1</v>
      </c>
      <c r="F249" s="28">
        <v>3.5960000000000001</v>
      </c>
      <c r="G249" s="28">
        <v>9.3088875000000001E-2</v>
      </c>
      <c r="H249" s="28">
        <v>1.121525E-2</v>
      </c>
      <c r="I249" s="63">
        <v>1.4637470000000001</v>
      </c>
      <c r="J249" s="33">
        <v>1.0241375E-2</v>
      </c>
      <c r="K249" s="33">
        <v>0</v>
      </c>
    </row>
    <row r="250" spans="1:18">
      <c r="A250" s="16">
        <v>2</v>
      </c>
      <c r="B250" s="20">
        <v>40225</v>
      </c>
      <c r="C250" s="16">
        <v>2010</v>
      </c>
      <c r="D250" s="11" t="s">
        <v>28</v>
      </c>
      <c r="E250" s="12">
        <v>2</v>
      </c>
      <c r="F250" s="28">
        <v>8.0310000000000006</v>
      </c>
      <c r="G250" s="28">
        <v>0.41410862499999995</v>
      </c>
      <c r="H250" s="28">
        <v>0</v>
      </c>
      <c r="I250" s="63">
        <v>3.4302912500000002</v>
      </c>
      <c r="J250" s="33">
        <v>3.7194999999999999E-2</v>
      </c>
      <c r="K250" s="33">
        <v>0</v>
      </c>
    </row>
    <row r="251" spans="1:18">
      <c r="A251" s="16">
        <v>16</v>
      </c>
      <c r="B251" s="20">
        <v>40225</v>
      </c>
      <c r="C251" s="16">
        <v>2010</v>
      </c>
      <c r="D251" s="11" t="s">
        <v>28</v>
      </c>
      <c r="E251" s="12">
        <v>2</v>
      </c>
      <c r="F251" s="28">
        <v>5.2069999999999999</v>
      </c>
      <c r="G251" s="28">
        <v>0</v>
      </c>
      <c r="H251" s="28">
        <v>0</v>
      </c>
      <c r="I251" s="63">
        <v>0.95153149999999975</v>
      </c>
      <c r="J251" s="33">
        <v>5.2312374999999994E-2</v>
      </c>
      <c r="K251" s="33">
        <v>0</v>
      </c>
    </row>
    <row r="252" spans="1:18">
      <c r="A252" s="16">
        <v>2</v>
      </c>
      <c r="B252" s="20">
        <v>40254</v>
      </c>
      <c r="C252" s="16">
        <v>2010</v>
      </c>
      <c r="D252" s="11" t="s">
        <v>29</v>
      </c>
      <c r="E252" s="12">
        <v>3</v>
      </c>
      <c r="F252" s="28">
        <v>1.774</v>
      </c>
      <c r="G252" s="28">
        <v>5.6615249999999992E-2</v>
      </c>
      <c r="H252" s="28">
        <v>0</v>
      </c>
      <c r="I252" s="63">
        <v>0.70002162499999976</v>
      </c>
      <c r="J252" s="33">
        <v>1.5207874999999997E-2</v>
      </c>
      <c r="K252" s="33">
        <v>0</v>
      </c>
    </row>
    <row r="253" spans="1:18">
      <c r="A253" s="16">
        <v>16</v>
      </c>
      <c r="B253" s="20">
        <v>40254</v>
      </c>
      <c r="C253" s="16">
        <v>2010</v>
      </c>
      <c r="D253" s="11" t="s">
        <v>29</v>
      </c>
      <c r="E253" s="12">
        <v>3</v>
      </c>
      <c r="F253" s="28">
        <v>1.786</v>
      </c>
      <c r="G253" s="28">
        <v>1.9764999999999998E-2</v>
      </c>
      <c r="H253" s="28">
        <v>3.7476750000000003E-2</v>
      </c>
      <c r="I253" s="63">
        <v>0.80557250000000002</v>
      </c>
      <c r="J253" s="33">
        <v>2.3378625E-2</v>
      </c>
      <c r="K253" s="33">
        <v>0</v>
      </c>
    </row>
    <row r="254" spans="1:18">
      <c r="A254" s="16">
        <v>2</v>
      </c>
      <c r="B254" s="20">
        <v>40282</v>
      </c>
      <c r="C254" s="16">
        <v>2010</v>
      </c>
      <c r="D254" s="11" t="s">
        <v>30</v>
      </c>
      <c r="E254" s="12">
        <v>4</v>
      </c>
      <c r="F254" s="28">
        <v>1.8720000000000001</v>
      </c>
      <c r="G254" s="28">
        <v>1.1188249999999999E-2</v>
      </c>
      <c r="H254" s="28">
        <v>0</v>
      </c>
      <c r="I254" s="63">
        <v>0.83571474999999995</v>
      </c>
      <c r="J254" s="33">
        <v>2.3276749999999995E-2</v>
      </c>
      <c r="K254" s="33">
        <v>0</v>
      </c>
    </row>
    <row r="255" spans="1:18">
      <c r="A255" s="16">
        <v>16</v>
      </c>
      <c r="B255" s="20">
        <v>40282</v>
      </c>
      <c r="C255" s="16">
        <v>2010</v>
      </c>
      <c r="D255" s="11" t="s">
        <v>30</v>
      </c>
      <c r="E255" s="12">
        <v>4</v>
      </c>
      <c r="F255" s="28">
        <v>2.0350000000000001</v>
      </c>
      <c r="G255" s="28">
        <v>0.125948</v>
      </c>
      <c r="H255" s="28">
        <v>0</v>
      </c>
      <c r="I255" s="63">
        <v>0.46775262499999998</v>
      </c>
      <c r="J255" s="33">
        <v>1.7507000000000002E-2</v>
      </c>
      <c r="K255" s="33">
        <v>0</v>
      </c>
    </row>
    <row r="256" spans="1:18">
      <c r="A256" s="16">
        <v>2</v>
      </c>
      <c r="B256" s="24">
        <v>40315</v>
      </c>
      <c r="C256" s="16">
        <v>2010</v>
      </c>
      <c r="D256" s="11" t="s">
        <v>31</v>
      </c>
      <c r="E256" s="12">
        <v>5</v>
      </c>
      <c r="F256" s="30">
        <v>1.4510000000000001</v>
      </c>
      <c r="G256" s="30">
        <v>3.6204874999999997E-2</v>
      </c>
      <c r="H256" s="30">
        <v>0</v>
      </c>
      <c r="I256" s="30">
        <v>0.35122549999999991</v>
      </c>
      <c r="J256" s="30">
        <v>1.87885E-2</v>
      </c>
      <c r="K256" s="30">
        <v>0</v>
      </c>
    </row>
    <row r="257" spans="1:18">
      <c r="A257" s="16">
        <v>16</v>
      </c>
      <c r="B257" s="24">
        <v>40315</v>
      </c>
      <c r="C257" s="16">
        <v>2010</v>
      </c>
      <c r="D257" s="11" t="s">
        <v>31</v>
      </c>
      <c r="E257" s="12">
        <v>5</v>
      </c>
      <c r="F257" s="30">
        <v>3.1819999999999999</v>
      </c>
      <c r="G257" s="30">
        <v>7.8933624999999993E-2</v>
      </c>
      <c r="H257" s="30">
        <v>5.3531124999999999E-2</v>
      </c>
      <c r="I257" s="30">
        <v>1.169100875</v>
      </c>
      <c r="J257" s="30">
        <v>6.5391500000000005E-2</v>
      </c>
      <c r="K257" s="30">
        <v>0</v>
      </c>
    </row>
    <row r="258" spans="1:18">
      <c r="A258" s="16">
        <v>2</v>
      </c>
      <c r="B258" s="24">
        <v>40344</v>
      </c>
      <c r="C258" s="16">
        <v>2010</v>
      </c>
      <c r="D258" s="11" t="s">
        <v>32</v>
      </c>
      <c r="E258" s="12">
        <v>6</v>
      </c>
      <c r="F258" s="30">
        <v>6.09</v>
      </c>
      <c r="G258" s="30">
        <v>0.15124800000000002</v>
      </c>
      <c r="H258" s="30">
        <v>1.5235625000000001E-2</v>
      </c>
      <c r="I258" s="30">
        <v>1.5108619999999997</v>
      </c>
      <c r="J258" s="30">
        <v>0.94931462499999986</v>
      </c>
      <c r="K258" s="30">
        <v>0</v>
      </c>
    </row>
    <row r="259" spans="1:18">
      <c r="A259" s="16">
        <v>16</v>
      </c>
      <c r="B259" s="24">
        <v>40344</v>
      </c>
      <c r="C259" s="16">
        <v>2010</v>
      </c>
      <c r="D259" s="11" t="s">
        <v>32</v>
      </c>
      <c r="E259" s="12">
        <v>6</v>
      </c>
      <c r="F259" s="30">
        <v>8.3989999999999991</v>
      </c>
      <c r="G259" s="30">
        <v>0.1656985</v>
      </c>
      <c r="H259" s="30">
        <v>0</v>
      </c>
      <c r="I259" s="30">
        <v>1.5433611249999997</v>
      </c>
      <c r="J259" s="30">
        <v>2.1816978749999998</v>
      </c>
      <c r="K259" s="30">
        <v>0</v>
      </c>
    </row>
    <row r="260" spans="1:18">
      <c r="A260" s="16">
        <v>2</v>
      </c>
      <c r="B260" s="24">
        <v>40371</v>
      </c>
      <c r="C260" s="16">
        <v>2010</v>
      </c>
      <c r="D260" s="11" t="s">
        <v>33</v>
      </c>
      <c r="E260" s="12">
        <v>7</v>
      </c>
      <c r="F260" s="30">
        <v>9.2140000000000004</v>
      </c>
      <c r="G260" s="30">
        <v>0.70648687499999985</v>
      </c>
      <c r="H260" s="30">
        <v>0</v>
      </c>
      <c r="I260" s="30">
        <v>2.5314336249999996</v>
      </c>
      <c r="J260" s="30">
        <v>0.32747687499999995</v>
      </c>
      <c r="K260" s="30">
        <v>0</v>
      </c>
    </row>
    <row r="261" spans="1:18">
      <c r="A261" s="16">
        <v>16</v>
      </c>
      <c r="B261" s="24">
        <v>40371</v>
      </c>
      <c r="C261" s="16">
        <v>2010</v>
      </c>
      <c r="D261" s="11" t="s">
        <v>33</v>
      </c>
      <c r="E261" s="12">
        <v>7</v>
      </c>
      <c r="F261" s="30">
        <v>13.456</v>
      </c>
      <c r="G261" s="30">
        <v>0.22884624999999997</v>
      </c>
      <c r="H261" s="30">
        <v>4.1947375000000002E-2</v>
      </c>
      <c r="I261" s="30">
        <v>2.285654375</v>
      </c>
      <c r="J261" s="30">
        <v>2.4358744999999997</v>
      </c>
      <c r="K261" s="30">
        <v>0</v>
      </c>
    </row>
    <row r="262" spans="1:18">
      <c r="A262" s="16">
        <v>2</v>
      </c>
      <c r="B262" s="24">
        <v>40407</v>
      </c>
      <c r="C262" s="16">
        <v>2010</v>
      </c>
      <c r="D262" s="11" t="s">
        <v>34</v>
      </c>
      <c r="E262" s="12">
        <v>8</v>
      </c>
      <c r="F262" s="30">
        <v>10.113</v>
      </c>
      <c r="G262" s="30">
        <v>0.35030887499999996</v>
      </c>
      <c r="H262" s="30">
        <v>0</v>
      </c>
      <c r="I262" s="30">
        <v>3.7327789999999998</v>
      </c>
      <c r="J262" s="30">
        <v>0.92951324999999985</v>
      </c>
      <c r="K262" s="30">
        <v>0</v>
      </c>
    </row>
    <row r="263" spans="1:18">
      <c r="A263" s="16">
        <v>16</v>
      </c>
      <c r="B263" s="24">
        <v>40407</v>
      </c>
      <c r="C263" s="16">
        <v>2010</v>
      </c>
      <c r="D263" s="11" t="s">
        <v>34</v>
      </c>
      <c r="E263" s="12">
        <v>8</v>
      </c>
      <c r="F263" s="30">
        <v>10.69</v>
      </c>
      <c r="G263" s="30">
        <v>0.18240324999999999</v>
      </c>
      <c r="H263" s="30">
        <v>0</v>
      </c>
      <c r="I263" s="30">
        <v>4.1785708750000001</v>
      </c>
      <c r="J263" s="30">
        <v>0.90516687499999993</v>
      </c>
      <c r="K263" s="30">
        <v>0</v>
      </c>
    </row>
    <row r="264" spans="1:18">
      <c r="A264" s="16">
        <v>2</v>
      </c>
      <c r="B264" s="24">
        <v>40436</v>
      </c>
      <c r="C264" s="16">
        <v>2010</v>
      </c>
      <c r="D264" s="11" t="s">
        <v>40</v>
      </c>
      <c r="E264" s="12">
        <v>9</v>
      </c>
      <c r="F264" s="30">
        <v>15.021000000000001</v>
      </c>
      <c r="G264" s="30">
        <v>0</v>
      </c>
      <c r="H264" s="30">
        <v>0</v>
      </c>
      <c r="I264" s="30">
        <v>7.8999865000000007</v>
      </c>
      <c r="J264" s="30">
        <v>0.27267437500000002</v>
      </c>
      <c r="K264" s="30">
        <v>0</v>
      </c>
    </row>
    <row r="265" spans="1:18">
      <c r="A265" s="16">
        <v>16</v>
      </c>
      <c r="B265" s="24">
        <v>40436</v>
      </c>
      <c r="C265" s="16">
        <v>2010</v>
      </c>
      <c r="D265" s="11" t="s">
        <v>40</v>
      </c>
      <c r="E265" s="12">
        <v>9</v>
      </c>
      <c r="F265" s="30">
        <v>12.462999999999999</v>
      </c>
      <c r="G265" s="30">
        <v>0.23630837499999999</v>
      </c>
      <c r="H265" s="30">
        <v>0</v>
      </c>
      <c r="I265" s="30">
        <v>4.76846675</v>
      </c>
      <c r="J265" s="30">
        <v>0.73649462499999985</v>
      </c>
      <c r="K265" s="30">
        <v>0</v>
      </c>
    </row>
    <row r="266" spans="1:18">
      <c r="A266" s="16">
        <v>2</v>
      </c>
      <c r="B266" s="24">
        <v>40464</v>
      </c>
      <c r="C266" s="16">
        <v>2010</v>
      </c>
      <c r="D266" s="11" t="s">
        <v>36</v>
      </c>
      <c r="E266" s="12">
        <v>10</v>
      </c>
      <c r="F266" s="28">
        <v>3.5270000000000001</v>
      </c>
      <c r="G266" s="28">
        <v>0</v>
      </c>
      <c r="H266" s="28">
        <v>0</v>
      </c>
      <c r="I266" s="28">
        <v>0.82859950000000004</v>
      </c>
      <c r="J266" s="33">
        <v>6.1223999999999994E-2</v>
      </c>
      <c r="K266" s="33">
        <v>0</v>
      </c>
    </row>
    <row r="267" spans="1:18">
      <c r="A267" s="16">
        <v>16</v>
      </c>
      <c r="B267" s="24">
        <v>40464</v>
      </c>
      <c r="C267" s="16">
        <v>2010</v>
      </c>
      <c r="D267" s="11" t="s">
        <v>36</v>
      </c>
      <c r="E267" s="12">
        <v>10</v>
      </c>
      <c r="F267" s="28">
        <v>2.2570000000000001</v>
      </c>
      <c r="G267" s="28">
        <v>3.1358999999999998E-2</v>
      </c>
      <c r="H267" s="28">
        <v>0</v>
      </c>
      <c r="I267" s="28">
        <v>0.39194024999999993</v>
      </c>
      <c r="J267" s="33">
        <v>6.5480750000000004E-2</v>
      </c>
      <c r="K267" s="33">
        <v>0</v>
      </c>
    </row>
    <row r="268" spans="1:18">
      <c r="A268" s="16">
        <v>2</v>
      </c>
      <c r="B268" s="24">
        <v>40498</v>
      </c>
      <c r="C268" s="16">
        <v>2010</v>
      </c>
      <c r="D268" s="11" t="s">
        <v>37</v>
      </c>
      <c r="E268" s="12">
        <v>11</v>
      </c>
      <c r="F268" s="28">
        <v>0.999</v>
      </c>
      <c r="G268" s="28">
        <v>0</v>
      </c>
      <c r="H268" s="28">
        <v>0</v>
      </c>
      <c r="I268" s="28">
        <v>0.30490949999999994</v>
      </c>
      <c r="J268" s="33">
        <v>0</v>
      </c>
      <c r="K268" s="33">
        <v>0</v>
      </c>
    </row>
    <row r="269" spans="1:18">
      <c r="A269" s="16">
        <v>16</v>
      </c>
      <c r="B269" s="24">
        <v>40498</v>
      </c>
      <c r="C269" s="16">
        <v>2010</v>
      </c>
      <c r="D269" s="11" t="s">
        <v>37</v>
      </c>
      <c r="E269" s="12">
        <v>11</v>
      </c>
      <c r="F269" s="28">
        <v>1.748</v>
      </c>
      <c r="G269" s="28">
        <v>0</v>
      </c>
      <c r="H269" s="28">
        <v>0.12859987500000003</v>
      </c>
      <c r="I269" s="28">
        <v>0.54359587499999984</v>
      </c>
      <c r="J269" s="33">
        <v>0.15645562499999999</v>
      </c>
      <c r="K269" s="33">
        <v>0</v>
      </c>
    </row>
    <row r="270" spans="1:18">
      <c r="A270" s="16">
        <v>2</v>
      </c>
      <c r="B270" s="24">
        <v>40520</v>
      </c>
      <c r="C270" s="16">
        <v>2010</v>
      </c>
      <c r="D270" s="11" t="s">
        <v>38</v>
      </c>
      <c r="E270" s="12">
        <v>12</v>
      </c>
      <c r="F270" s="28">
        <v>3.78</v>
      </c>
      <c r="G270" s="28">
        <v>3.0404750000000005E-2</v>
      </c>
      <c r="H270" s="28">
        <v>0.10052362499999998</v>
      </c>
      <c r="I270" s="28">
        <v>1.3998647499999997</v>
      </c>
      <c r="J270" s="33">
        <v>0.14647699999999997</v>
      </c>
      <c r="K270" s="33">
        <v>0</v>
      </c>
    </row>
    <row r="271" spans="1:18" ht="25.5">
      <c r="A271" s="16">
        <v>16</v>
      </c>
      <c r="B271" s="24">
        <v>40520</v>
      </c>
      <c r="C271" s="16">
        <v>2010</v>
      </c>
      <c r="D271" s="11" t="s">
        <v>38</v>
      </c>
      <c r="E271" s="12">
        <v>12</v>
      </c>
      <c r="F271" s="28">
        <v>2.7549999999999999</v>
      </c>
      <c r="G271" s="28">
        <v>5.2001375000000002E-2</v>
      </c>
      <c r="H271" s="28">
        <v>7.1455000000000005E-2</v>
      </c>
      <c r="I271" s="28">
        <v>0.84848762499999997</v>
      </c>
      <c r="J271" s="33">
        <v>7.2767625000000002E-2</v>
      </c>
      <c r="K271" s="33">
        <v>0</v>
      </c>
      <c r="L271" s="36" t="s">
        <v>42</v>
      </c>
      <c r="M271" s="6" t="s">
        <v>7</v>
      </c>
      <c r="N271" s="6" t="s">
        <v>8</v>
      </c>
      <c r="O271" s="6" t="s">
        <v>9</v>
      </c>
      <c r="P271" s="6" t="s">
        <v>10</v>
      </c>
      <c r="Q271" s="6" t="s">
        <v>11</v>
      </c>
      <c r="R271" s="6" t="s">
        <v>12</v>
      </c>
    </row>
    <row r="272" spans="1:18">
      <c r="A272" s="48">
        <v>2</v>
      </c>
      <c r="B272" s="55">
        <v>40562</v>
      </c>
      <c r="C272" s="48">
        <v>2011</v>
      </c>
      <c r="D272" s="44" t="s">
        <v>39</v>
      </c>
      <c r="E272" s="42">
        <v>1</v>
      </c>
      <c r="F272" s="62">
        <v>6.5730000000000004</v>
      </c>
      <c r="G272" s="62">
        <v>4.8624500000000001E-2</v>
      </c>
      <c r="H272" s="62">
        <v>0</v>
      </c>
      <c r="I272" s="62">
        <v>3.0776975000000002</v>
      </c>
      <c r="J272" s="60">
        <v>2.2323875E-2</v>
      </c>
      <c r="K272" s="60">
        <v>0</v>
      </c>
      <c r="L272" s="36" t="s">
        <v>56</v>
      </c>
      <c r="M272" s="37">
        <f t="shared" ref="M272:R272" si="8">AVERAGE(F272:F295)</f>
        <v>5.8449999999999998</v>
      </c>
      <c r="N272" s="37">
        <f t="shared" si="8"/>
        <v>0.16516701562500002</v>
      </c>
      <c r="O272" s="37">
        <f t="shared" si="8"/>
        <v>6.123963541666666E-3</v>
      </c>
      <c r="P272" s="37">
        <f t="shared" si="8"/>
        <v>1.518007390625</v>
      </c>
      <c r="Q272" s="37">
        <f t="shared" si="8"/>
        <v>0.55159463541666665</v>
      </c>
      <c r="R272" s="37">
        <f t="shared" si="8"/>
        <v>8.5511093749999992E-3</v>
      </c>
    </row>
    <row r="273" spans="1:12">
      <c r="A273" s="16">
        <v>16</v>
      </c>
      <c r="B273" s="24">
        <v>40562</v>
      </c>
      <c r="C273" s="16">
        <v>2011</v>
      </c>
      <c r="D273" s="11" t="s">
        <v>39</v>
      </c>
      <c r="E273" s="12">
        <v>1</v>
      </c>
      <c r="F273" s="28">
        <v>4.1449999999999996</v>
      </c>
      <c r="G273" s="28">
        <v>4.5679749999999991E-2</v>
      </c>
      <c r="H273" s="28">
        <v>0</v>
      </c>
      <c r="I273" s="28">
        <v>1.620601</v>
      </c>
      <c r="J273" s="33">
        <v>1.7066125000000001E-2</v>
      </c>
      <c r="K273" s="33">
        <v>3.0343750000000006E-3</v>
      </c>
      <c r="L273"/>
    </row>
    <row r="274" spans="1:12">
      <c r="A274" s="16">
        <v>2</v>
      </c>
      <c r="B274" s="24">
        <v>40591</v>
      </c>
      <c r="C274" s="16">
        <v>2011</v>
      </c>
      <c r="D274" s="11" t="s">
        <v>28</v>
      </c>
      <c r="E274" s="16">
        <v>2</v>
      </c>
      <c r="F274" s="28">
        <v>3.4020000000000001</v>
      </c>
      <c r="G274" s="28">
        <v>7.1068999999999979E-2</v>
      </c>
      <c r="H274" s="28">
        <v>0</v>
      </c>
      <c r="I274" s="28">
        <v>1.2885806249999998</v>
      </c>
      <c r="J274" s="33">
        <v>2.0115124999999998E-2</v>
      </c>
      <c r="K274" s="33">
        <v>0</v>
      </c>
      <c r="L274"/>
    </row>
    <row r="275" spans="1:12">
      <c r="A275" s="16">
        <v>16</v>
      </c>
      <c r="B275" s="24">
        <v>40591</v>
      </c>
      <c r="C275" s="16">
        <v>2011</v>
      </c>
      <c r="D275" s="11" t="s">
        <v>28</v>
      </c>
      <c r="E275" s="16">
        <v>2</v>
      </c>
      <c r="F275" s="28">
        <v>3.0339999999999998</v>
      </c>
      <c r="G275" s="28">
        <v>6.7142999999999994E-2</v>
      </c>
      <c r="H275" s="28">
        <v>0</v>
      </c>
      <c r="I275" s="28">
        <v>1.1445351249999998</v>
      </c>
      <c r="J275" s="33">
        <v>2.2108749999999996E-2</v>
      </c>
      <c r="K275" s="33">
        <v>0</v>
      </c>
      <c r="L275"/>
    </row>
    <row r="276" spans="1:12">
      <c r="A276" s="16">
        <v>2</v>
      </c>
      <c r="B276" s="24">
        <v>40619</v>
      </c>
      <c r="C276" s="16">
        <v>2011</v>
      </c>
      <c r="D276" s="11" t="s">
        <v>29</v>
      </c>
      <c r="E276" s="16">
        <v>3</v>
      </c>
      <c r="F276" s="28">
        <v>8.7029999999999994</v>
      </c>
      <c r="G276" s="28">
        <v>2.7748124999999998E-2</v>
      </c>
      <c r="H276" s="28">
        <v>0</v>
      </c>
      <c r="I276" s="28">
        <v>4.005196625</v>
      </c>
      <c r="J276" s="33">
        <v>1.7829749999999998E-2</v>
      </c>
      <c r="K276" s="33">
        <v>0</v>
      </c>
      <c r="L276"/>
    </row>
    <row r="277" spans="1:12">
      <c r="A277" s="16">
        <v>16</v>
      </c>
      <c r="B277" s="24">
        <v>40619</v>
      </c>
      <c r="C277" s="16">
        <v>2011</v>
      </c>
      <c r="D277" s="11" t="s">
        <v>29</v>
      </c>
      <c r="E277" s="16">
        <v>3</v>
      </c>
      <c r="F277" s="28">
        <v>2.177</v>
      </c>
      <c r="G277" s="28">
        <v>1.7127625000000004E-2</v>
      </c>
      <c r="H277" s="28">
        <v>0</v>
      </c>
      <c r="I277" s="28">
        <v>0.84790675000000004</v>
      </c>
      <c r="J277" s="33">
        <v>0</v>
      </c>
      <c r="K277" s="33">
        <v>0</v>
      </c>
      <c r="L277"/>
    </row>
    <row r="278" spans="1:12">
      <c r="A278" s="16">
        <v>2</v>
      </c>
      <c r="B278" s="24">
        <v>40646</v>
      </c>
      <c r="C278" s="16">
        <v>2011</v>
      </c>
      <c r="D278" s="11" t="s">
        <v>30</v>
      </c>
      <c r="E278" s="16">
        <v>4</v>
      </c>
      <c r="F278" s="28">
        <v>2.101</v>
      </c>
      <c r="G278" s="28">
        <v>3.4391999999999999E-2</v>
      </c>
      <c r="H278" s="28">
        <v>0</v>
      </c>
      <c r="I278" s="28">
        <v>0.413138375</v>
      </c>
      <c r="J278" s="33">
        <v>7.8059999999999996E-3</v>
      </c>
      <c r="K278" s="33">
        <v>0</v>
      </c>
      <c r="L278"/>
    </row>
    <row r="279" spans="1:12">
      <c r="A279" s="16">
        <v>16</v>
      </c>
      <c r="B279" s="24">
        <v>40646</v>
      </c>
      <c r="C279" s="16">
        <v>2011</v>
      </c>
      <c r="D279" s="11" t="s">
        <v>30</v>
      </c>
      <c r="E279" s="16">
        <v>4</v>
      </c>
      <c r="F279" s="28">
        <v>1.5069999999999999</v>
      </c>
      <c r="G279" s="28">
        <v>0</v>
      </c>
      <c r="H279" s="28">
        <v>0</v>
      </c>
      <c r="I279" s="28">
        <v>0.267429625</v>
      </c>
      <c r="J279" s="33">
        <v>8.3463749999999996E-3</v>
      </c>
      <c r="K279" s="33">
        <v>0</v>
      </c>
      <c r="L279"/>
    </row>
    <row r="280" spans="1:12">
      <c r="A280" s="16">
        <v>2</v>
      </c>
      <c r="B280" s="24">
        <v>40681</v>
      </c>
      <c r="C280" s="16">
        <v>2011</v>
      </c>
      <c r="D280" s="11" t="s">
        <v>31</v>
      </c>
      <c r="E280" s="16">
        <v>5</v>
      </c>
      <c r="F280" s="28">
        <v>4.0069999999999997</v>
      </c>
      <c r="G280" s="28">
        <v>8.1073500000000007E-2</v>
      </c>
      <c r="H280" s="28">
        <v>0</v>
      </c>
      <c r="I280" s="28">
        <v>0.89100512499999973</v>
      </c>
      <c r="J280" s="33">
        <v>0.31554275000000004</v>
      </c>
      <c r="K280" s="33">
        <v>0</v>
      </c>
      <c r="L280"/>
    </row>
    <row r="281" spans="1:12">
      <c r="A281" s="16">
        <v>16</v>
      </c>
      <c r="B281" s="24">
        <v>40681</v>
      </c>
      <c r="C281" s="16">
        <v>2011</v>
      </c>
      <c r="D281" s="11" t="s">
        <v>31</v>
      </c>
      <c r="E281" s="16">
        <v>5</v>
      </c>
      <c r="F281" s="28">
        <v>4.7830000000000004</v>
      </c>
      <c r="G281" s="28">
        <v>6.4599124999999979E-2</v>
      </c>
      <c r="H281" s="28">
        <v>0.14697512499999998</v>
      </c>
      <c r="I281" s="28">
        <v>1.3415611249999997</v>
      </c>
      <c r="J281" s="33">
        <v>0.30502287500000003</v>
      </c>
      <c r="K281" s="33">
        <v>0</v>
      </c>
      <c r="L281"/>
    </row>
    <row r="282" spans="1:12">
      <c r="A282" s="16">
        <v>2</v>
      </c>
      <c r="B282" s="24">
        <v>40708</v>
      </c>
      <c r="C282" s="16">
        <v>2011</v>
      </c>
      <c r="D282" s="11" t="s">
        <v>32</v>
      </c>
      <c r="E282" s="16">
        <v>6</v>
      </c>
      <c r="F282" s="28">
        <v>10.315</v>
      </c>
      <c r="G282" s="28">
        <v>0.21921187499999997</v>
      </c>
      <c r="H282" s="28">
        <v>0</v>
      </c>
      <c r="I282" s="28">
        <v>3.2439346250000001</v>
      </c>
      <c r="J282" s="33">
        <v>0.94100474999999983</v>
      </c>
      <c r="K282" s="33">
        <v>3.0427999999999997E-2</v>
      </c>
      <c r="L282"/>
    </row>
    <row r="283" spans="1:12">
      <c r="A283" s="16">
        <v>16</v>
      </c>
      <c r="B283" s="24">
        <v>40708</v>
      </c>
      <c r="C283" s="16">
        <v>2011</v>
      </c>
      <c r="D283" s="11" t="s">
        <v>32</v>
      </c>
      <c r="E283" s="16">
        <v>6</v>
      </c>
      <c r="F283" s="28">
        <v>9.5670000000000002</v>
      </c>
      <c r="G283" s="28">
        <v>0.31901062499999999</v>
      </c>
      <c r="H283" s="28">
        <v>0</v>
      </c>
      <c r="I283" s="28">
        <v>2.5446656249999999</v>
      </c>
      <c r="J283" s="33">
        <v>1.295104875</v>
      </c>
      <c r="K283" s="33">
        <v>0</v>
      </c>
      <c r="L283"/>
    </row>
    <row r="284" spans="1:12">
      <c r="A284" s="16">
        <v>2</v>
      </c>
      <c r="B284" s="24">
        <v>40735</v>
      </c>
      <c r="C284" s="16">
        <v>2011</v>
      </c>
      <c r="D284" s="11" t="s">
        <v>33</v>
      </c>
      <c r="E284" s="16">
        <v>7</v>
      </c>
      <c r="F284" s="28">
        <v>3.8050000000000002</v>
      </c>
      <c r="G284" s="28">
        <v>4.6218250000000002E-2</v>
      </c>
      <c r="H284" s="28">
        <v>0</v>
      </c>
      <c r="I284" s="28">
        <v>0.64259912500000005</v>
      </c>
      <c r="J284" s="33">
        <v>0.79859975000000005</v>
      </c>
      <c r="K284" s="33">
        <v>0</v>
      </c>
      <c r="L284"/>
    </row>
    <row r="285" spans="1:12">
      <c r="A285" s="16">
        <v>16</v>
      </c>
      <c r="B285" s="24">
        <v>40735</v>
      </c>
      <c r="C285" s="16">
        <v>2011</v>
      </c>
      <c r="D285" s="11" t="s">
        <v>33</v>
      </c>
      <c r="E285" s="16">
        <v>7</v>
      </c>
      <c r="F285" s="28">
        <v>6.7519999999999998</v>
      </c>
      <c r="G285" s="28">
        <v>7.4171374999999984E-2</v>
      </c>
      <c r="H285" s="28">
        <v>0</v>
      </c>
      <c r="I285" s="28">
        <v>0.88578087500000002</v>
      </c>
      <c r="J285" s="33">
        <v>1.5391929999999998</v>
      </c>
      <c r="K285" s="33">
        <v>2.8655875000000004E-2</v>
      </c>
      <c r="L285"/>
    </row>
    <row r="286" spans="1:12">
      <c r="A286" s="16">
        <v>2</v>
      </c>
      <c r="B286" s="24">
        <v>40771</v>
      </c>
      <c r="C286" s="16">
        <v>2011</v>
      </c>
      <c r="D286" s="11" t="s">
        <v>34</v>
      </c>
      <c r="E286" s="16">
        <v>8</v>
      </c>
      <c r="F286" s="28">
        <v>15.933999999999999</v>
      </c>
      <c r="G286" s="28">
        <v>1.9534173750000001</v>
      </c>
      <c r="H286" s="28">
        <v>0</v>
      </c>
      <c r="I286" s="28">
        <v>2.2013342499999999</v>
      </c>
      <c r="J286" s="33">
        <v>2.2523906249999994</v>
      </c>
      <c r="K286" s="33">
        <v>5.6748624999999997E-2</v>
      </c>
      <c r="L286"/>
    </row>
    <row r="287" spans="1:12">
      <c r="A287" s="16">
        <v>16</v>
      </c>
      <c r="B287" s="24">
        <v>40771</v>
      </c>
      <c r="C287" s="16">
        <v>2011</v>
      </c>
      <c r="D287" s="11" t="s">
        <v>34</v>
      </c>
      <c r="E287" s="16">
        <v>8</v>
      </c>
      <c r="F287" s="28">
        <v>12.702</v>
      </c>
      <c r="G287" s="28">
        <v>0.37619537500000005</v>
      </c>
      <c r="H287" s="28">
        <v>0</v>
      </c>
      <c r="I287" s="28">
        <v>1.5547489999999999</v>
      </c>
      <c r="J287" s="33">
        <v>2.6617537499999999</v>
      </c>
      <c r="K287" s="33">
        <v>4.5802874999999993E-2</v>
      </c>
      <c r="L287"/>
    </row>
    <row r="288" spans="1:12">
      <c r="A288" s="16">
        <v>2</v>
      </c>
      <c r="B288" s="24">
        <v>40799</v>
      </c>
      <c r="C288" s="16">
        <v>2011</v>
      </c>
      <c r="D288" s="11" t="s">
        <v>40</v>
      </c>
      <c r="E288" s="16">
        <v>9</v>
      </c>
      <c r="F288" s="28">
        <v>11.798999999999999</v>
      </c>
      <c r="G288" s="28">
        <v>9.6066124999999988E-2</v>
      </c>
      <c r="H288" s="28">
        <v>0</v>
      </c>
      <c r="I288" s="28">
        <v>4.3887483749999987</v>
      </c>
      <c r="J288" s="33">
        <v>1.3197622499999999</v>
      </c>
      <c r="K288" s="33">
        <v>4.0556874999999999E-2</v>
      </c>
      <c r="L288"/>
    </row>
    <row r="289" spans="1:18">
      <c r="A289" s="16">
        <v>16</v>
      </c>
      <c r="B289" s="24">
        <v>40799</v>
      </c>
      <c r="C289" s="16">
        <v>2011</v>
      </c>
      <c r="D289" s="11" t="s">
        <v>40</v>
      </c>
      <c r="E289" s="16">
        <v>9</v>
      </c>
      <c r="F289" s="28">
        <v>9.0269999999999992</v>
      </c>
      <c r="G289" s="28">
        <v>0.15046449999999997</v>
      </c>
      <c r="H289" s="28">
        <v>0</v>
      </c>
      <c r="I289" s="28">
        <v>2.6886367500000006</v>
      </c>
      <c r="J289" s="33">
        <v>1.53077025</v>
      </c>
      <c r="K289" s="33">
        <v>0</v>
      </c>
    </row>
    <row r="290" spans="1:18">
      <c r="A290" s="16">
        <v>2</v>
      </c>
      <c r="B290" s="24">
        <v>40827</v>
      </c>
      <c r="C290" s="16">
        <v>2011</v>
      </c>
      <c r="D290" s="11" t="s">
        <v>36</v>
      </c>
      <c r="E290" s="16">
        <v>10</v>
      </c>
      <c r="F290" s="30">
        <v>8.0350000000000001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</row>
    <row r="291" spans="1:18">
      <c r="A291" s="16">
        <v>16</v>
      </c>
      <c r="B291" s="24">
        <v>40827</v>
      </c>
      <c r="C291" s="16">
        <v>2011</v>
      </c>
      <c r="D291" s="11" t="s">
        <v>36</v>
      </c>
      <c r="E291" s="16">
        <v>10</v>
      </c>
      <c r="F291" s="30">
        <v>3.6949999999999998</v>
      </c>
      <c r="G291" s="30">
        <v>3.4775749999999994E-2</v>
      </c>
      <c r="H291" s="30">
        <v>0</v>
      </c>
      <c r="I291" s="30">
        <v>0.72420012499999975</v>
      </c>
      <c r="J291" s="30">
        <v>2.7034124999999999E-2</v>
      </c>
      <c r="K291" s="30">
        <v>0</v>
      </c>
    </row>
    <row r="292" spans="1:18">
      <c r="A292" s="16">
        <v>2</v>
      </c>
      <c r="B292" s="31">
        <v>40862</v>
      </c>
      <c r="C292" s="16">
        <v>2011</v>
      </c>
      <c r="D292" s="11" t="s">
        <v>37</v>
      </c>
      <c r="E292" s="16">
        <v>11</v>
      </c>
      <c r="F292" s="30">
        <v>3.5640000000000001</v>
      </c>
      <c r="G292" s="30">
        <v>0.11539912499999999</v>
      </c>
      <c r="H292" s="30">
        <v>0</v>
      </c>
      <c r="I292" s="30">
        <v>1.1125987500000001</v>
      </c>
      <c r="J292" s="30">
        <v>8.6628499999999983E-2</v>
      </c>
      <c r="K292" s="30">
        <v>0</v>
      </c>
    </row>
    <row r="293" spans="1:18">
      <c r="A293" s="16">
        <v>16</v>
      </c>
      <c r="B293" s="31">
        <v>40862</v>
      </c>
      <c r="C293" s="16">
        <v>2011</v>
      </c>
      <c r="D293" s="11" t="s">
        <v>37</v>
      </c>
      <c r="E293" s="16">
        <v>11</v>
      </c>
      <c r="F293" s="30">
        <v>2.222</v>
      </c>
      <c r="G293" s="30">
        <v>5.0587750000000001E-2</v>
      </c>
      <c r="H293" s="30">
        <v>0</v>
      </c>
      <c r="I293" s="30">
        <v>0.70912149999999985</v>
      </c>
      <c r="J293" s="30">
        <v>3.6646499999999999E-2</v>
      </c>
      <c r="K293" s="30">
        <v>0</v>
      </c>
    </row>
    <row r="294" spans="1:18">
      <c r="A294" s="16">
        <v>2</v>
      </c>
      <c r="B294" s="31">
        <v>40891</v>
      </c>
      <c r="C294" s="16">
        <v>2011</v>
      </c>
      <c r="D294" s="11" t="s">
        <v>38</v>
      </c>
      <c r="E294" s="16">
        <v>12</v>
      </c>
      <c r="F294" s="30">
        <v>1.893</v>
      </c>
      <c r="G294" s="30">
        <v>4.2472249999999996E-2</v>
      </c>
      <c r="H294" s="30">
        <v>0</v>
      </c>
      <c r="I294" s="30">
        <v>0.73796424999999999</v>
      </c>
      <c r="J294" s="30">
        <v>1.322125E-2</v>
      </c>
      <c r="K294" s="30">
        <v>0</v>
      </c>
    </row>
    <row r="295" spans="1:18" ht="25.5">
      <c r="A295" s="16">
        <v>16</v>
      </c>
      <c r="B295" s="31">
        <v>40890</v>
      </c>
      <c r="C295" s="16">
        <v>2011</v>
      </c>
      <c r="D295" s="11" t="s">
        <v>38</v>
      </c>
      <c r="E295" s="16">
        <v>12</v>
      </c>
      <c r="F295" s="30">
        <v>0.53800000000000003</v>
      </c>
      <c r="G295" s="30">
        <v>2.8561375000000003E-2</v>
      </c>
      <c r="H295" s="30">
        <v>0</v>
      </c>
      <c r="I295" s="30">
        <v>0.10019225</v>
      </c>
      <c r="J295" s="30">
        <v>0</v>
      </c>
      <c r="K295" s="30">
        <v>0</v>
      </c>
      <c r="L295" s="36" t="s">
        <v>42</v>
      </c>
      <c r="M295" s="6" t="s">
        <v>7</v>
      </c>
      <c r="N295" s="6" t="s">
        <v>8</v>
      </c>
      <c r="O295" s="6" t="s">
        <v>9</v>
      </c>
      <c r="P295" s="6" t="s">
        <v>10</v>
      </c>
      <c r="Q295" s="6" t="s">
        <v>11</v>
      </c>
      <c r="R295" s="6" t="s">
        <v>12</v>
      </c>
    </row>
    <row r="296" spans="1:18">
      <c r="A296" s="48">
        <v>2</v>
      </c>
      <c r="B296" s="55">
        <v>40917</v>
      </c>
      <c r="C296" s="48">
        <v>2012</v>
      </c>
      <c r="D296" s="44" t="s">
        <v>39</v>
      </c>
      <c r="E296" s="48">
        <v>1</v>
      </c>
      <c r="F296" s="65">
        <v>2.3969999999999998</v>
      </c>
      <c r="G296" s="65">
        <v>7.4596375000000006E-2</v>
      </c>
      <c r="H296" s="65">
        <v>0</v>
      </c>
      <c r="I296" s="65">
        <v>1.00586475</v>
      </c>
      <c r="J296" s="67">
        <v>1.361775E-2</v>
      </c>
      <c r="K296" s="67">
        <v>0</v>
      </c>
      <c r="L296" s="36" t="s">
        <v>57</v>
      </c>
      <c r="M296" s="37">
        <f t="shared" ref="M296:R296" si="9">AVERAGE(F296:F319)</f>
        <v>5.3225000000000007</v>
      </c>
      <c r="N296" s="37">
        <f t="shared" si="9"/>
        <v>0.11645686458333332</v>
      </c>
      <c r="O296" s="37">
        <f t="shared" si="9"/>
        <v>2.0544432291666664E-2</v>
      </c>
      <c r="P296" s="37">
        <f t="shared" si="9"/>
        <v>2.0900046875</v>
      </c>
      <c r="Q296" s="37">
        <f t="shared" si="9"/>
        <v>0.28483956249999998</v>
      </c>
      <c r="R296" s="37">
        <f t="shared" si="9"/>
        <v>1.8427604166666664E-3</v>
      </c>
    </row>
    <row r="297" spans="1:18">
      <c r="A297" s="16">
        <v>16</v>
      </c>
      <c r="B297" s="24">
        <v>40917</v>
      </c>
      <c r="C297" s="16">
        <v>2012</v>
      </c>
      <c r="D297" s="11" t="s">
        <v>39</v>
      </c>
      <c r="E297" s="16">
        <v>1</v>
      </c>
      <c r="F297" s="32">
        <v>1.5760000000000001</v>
      </c>
      <c r="G297" s="32">
        <v>6.8961624999999999E-2</v>
      </c>
      <c r="H297" s="32">
        <v>0</v>
      </c>
      <c r="I297" s="32">
        <v>0.41484762499999994</v>
      </c>
      <c r="J297" s="30">
        <v>8.1927499999999986E-3</v>
      </c>
      <c r="K297" s="30">
        <v>0</v>
      </c>
    </row>
    <row r="298" spans="1:18">
      <c r="A298" s="16">
        <v>2</v>
      </c>
      <c r="B298" s="24">
        <v>40962</v>
      </c>
      <c r="C298" s="16">
        <v>2012</v>
      </c>
      <c r="D298" s="11" t="s">
        <v>28</v>
      </c>
      <c r="E298" s="16">
        <v>2</v>
      </c>
      <c r="F298" s="32">
        <v>2.3370000000000002</v>
      </c>
      <c r="G298" s="32">
        <v>3.3167875000000006E-2</v>
      </c>
      <c r="H298" s="32">
        <v>0</v>
      </c>
      <c r="I298" s="32">
        <v>1.3045762499999998</v>
      </c>
      <c r="J298" s="30">
        <v>3.528425000000001E-2</v>
      </c>
      <c r="K298" s="30">
        <v>0</v>
      </c>
    </row>
    <row r="299" spans="1:18">
      <c r="A299" s="16">
        <v>16</v>
      </c>
      <c r="B299" s="24">
        <v>40962</v>
      </c>
      <c r="C299" s="16">
        <v>2012</v>
      </c>
      <c r="D299" s="11" t="s">
        <v>28</v>
      </c>
      <c r="E299" s="16">
        <v>2</v>
      </c>
      <c r="F299" s="32">
        <v>2.4569999999999999</v>
      </c>
      <c r="G299" s="32">
        <v>3.9474124999999999E-2</v>
      </c>
      <c r="H299" s="32">
        <v>0</v>
      </c>
      <c r="I299" s="32">
        <v>1.2616114999999999</v>
      </c>
      <c r="J299" s="30">
        <v>2.9786499999999997E-2</v>
      </c>
      <c r="K299" s="30">
        <v>0</v>
      </c>
    </row>
    <row r="300" spans="1:18">
      <c r="A300" s="16">
        <v>2</v>
      </c>
      <c r="B300" s="24">
        <v>40980</v>
      </c>
      <c r="C300" s="16">
        <v>2012</v>
      </c>
      <c r="D300" s="11" t="s">
        <v>29</v>
      </c>
      <c r="E300" s="16">
        <v>3</v>
      </c>
      <c r="F300" s="32">
        <v>2.5830000000000002</v>
      </c>
      <c r="G300" s="32">
        <v>2.7399749999999997E-2</v>
      </c>
      <c r="H300" s="32">
        <v>3.5522625000000002E-2</v>
      </c>
      <c r="I300" s="32">
        <v>1.1059663749999999</v>
      </c>
      <c r="J300" s="30">
        <v>8.0484499999999987E-2</v>
      </c>
      <c r="K300" s="30">
        <v>0</v>
      </c>
    </row>
    <row r="301" spans="1:18">
      <c r="A301" s="16">
        <v>16</v>
      </c>
      <c r="B301" s="24">
        <v>40980</v>
      </c>
      <c r="C301" s="16">
        <v>2012</v>
      </c>
      <c r="D301" s="11" t="s">
        <v>29</v>
      </c>
      <c r="E301" s="16">
        <v>3</v>
      </c>
      <c r="F301" s="32">
        <v>2.71</v>
      </c>
      <c r="G301" s="32">
        <v>2.6955874999999997E-2</v>
      </c>
      <c r="H301" s="32">
        <v>7.1598124999999999E-2</v>
      </c>
      <c r="I301" s="32">
        <v>1.2276173749999999</v>
      </c>
      <c r="J301" s="30">
        <v>8.5160750000000007E-2</v>
      </c>
      <c r="K301" s="30">
        <v>0</v>
      </c>
    </row>
    <row r="302" spans="1:18">
      <c r="A302" s="16">
        <v>2</v>
      </c>
      <c r="B302" s="24">
        <v>41015</v>
      </c>
      <c r="C302" s="16">
        <v>2012</v>
      </c>
      <c r="D302" s="11" t="s">
        <v>30</v>
      </c>
      <c r="E302" s="16">
        <v>4</v>
      </c>
      <c r="F302" s="28">
        <v>2.3580000000000001</v>
      </c>
      <c r="G302" s="28">
        <v>1.4937875000000001E-2</v>
      </c>
      <c r="H302" s="28">
        <v>5.3953249999999994E-2</v>
      </c>
      <c r="I302" s="28">
        <v>0.9930342499999999</v>
      </c>
      <c r="J302" s="33">
        <v>3.5394124999999999E-2</v>
      </c>
      <c r="K302" s="33">
        <v>0</v>
      </c>
    </row>
    <row r="303" spans="1:18">
      <c r="A303" s="16">
        <v>16</v>
      </c>
      <c r="B303" s="24">
        <v>41015</v>
      </c>
      <c r="C303" s="16">
        <v>2012</v>
      </c>
      <c r="D303" s="11" t="s">
        <v>30</v>
      </c>
      <c r="E303" s="16">
        <v>4</v>
      </c>
      <c r="F303" s="28">
        <v>1.37</v>
      </c>
      <c r="G303" s="28">
        <v>0</v>
      </c>
      <c r="H303" s="28">
        <v>0</v>
      </c>
      <c r="I303" s="28">
        <v>0.59757037499999999</v>
      </c>
      <c r="J303" s="33">
        <v>1.8219875E-2</v>
      </c>
      <c r="K303" s="33">
        <v>0</v>
      </c>
    </row>
    <row r="304" spans="1:18">
      <c r="A304" s="16">
        <v>2</v>
      </c>
      <c r="B304" s="24">
        <v>41045</v>
      </c>
      <c r="C304" s="16">
        <v>2012</v>
      </c>
      <c r="D304" s="11" t="s">
        <v>31</v>
      </c>
      <c r="E304" s="16">
        <v>5</v>
      </c>
      <c r="F304" s="28">
        <v>4.6139999999999999</v>
      </c>
      <c r="G304" s="28">
        <v>0.125015875</v>
      </c>
      <c r="H304" s="28">
        <v>0.16606649999999995</v>
      </c>
      <c r="I304" s="28">
        <v>2.2938743750000001</v>
      </c>
      <c r="J304" s="33">
        <v>6.553287499999999E-2</v>
      </c>
      <c r="K304" s="33">
        <v>0</v>
      </c>
    </row>
    <row r="305" spans="1:18">
      <c r="A305" s="16">
        <v>16</v>
      </c>
      <c r="B305" s="24">
        <v>41045</v>
      </c>
      <c r="C305" s="16">
        <v>2012</v>
      </c>
      <c r="D305" s="11" t="s">
        <v>31</v>
      </c>
      <c r="E305" s="16">
        <v>5</v>
      </c>
      <c r="F305" s="28">
        <v>3.7370000000000001</v>
      </c>
      <c r="G305" s="28">
        <v>9.2269375000000015E-2</v>
      </c>
      <c r="H305" s="28">
        <v>0</v>
      </c>
      <c r="I305" s="28">
        <v>1.442352125</v>
      </c>
      <c r="J305" s="33">
        <v>5.1675624999999989E-2</v>
      </c>
      <c r="K305" s="33">
        <v>0</v>
      </c>
    </row>
    <row r="306" spans="1:18">
      <c r="A306" s="16">
        <v>2</v>
      </c>
      <c r="B306" s="24">
        <v>41073</v>
      </c>
      <c r="C306" s="16">
        <v>2012</v>
      </c>
      <c r="D306" s="11" t="s">
        <v>32</v>
      </c>
      <c r="E306" s="16">
        <v>6</v>
      </c>
      <c r="F306" s="28">
        <v>9.9949999999999992</v>
      </c>
      <c r="G306" s="28">
        <v>0.16525937499999999</v>
      </c>
      <c r="H306" s="28">
        <v>9.5793875000000001E-2</v>
      </c>
      <c r="I306" s="28">
        <v>3.3168867500000001</v>
      </c>
      <c r="J306" s="33">
        <v>0.42628212499999996</v>
      </c>
      <c r="K306" s="33">
        <v>2.0968374999999997E-2</v>
      </c>
    </row>
    <row r="307" spans="1:18">
      <c r="A307" s="16">
        <v>16</v>
      </c>
      <c r="B307" s="24">
        <v>41073</v>
      </c>
      <c r="C307" s="16">
        <v>2012</v>
      </c>
      <c r="D307" s="11" t="s">
        <v>32</v>
      </c>
      <c r="E307" s="16">
        <v>6</v>
      </c>
      <c r="F307" s="28">
        <v>12.074999999999999</v>
      </c>
      <c r="G307" s="28">
        <v>0.14553474999999996</v>
      </c>
      <c r="H307" s="28">
        <v>7.0132E-2</v>
      </c>
      <c r="I307" s="28">
        <v>2.7136045000000002</v>
      </c>
      <c r="J307" s="33">
        <v>0.37448062499999996</v>
      </c>
      <c r="K307" s="33">
        <v>0</v>
      </c>
    </row>
    <row r="308" spans="1:18">
      <c r="A308" s="16">
        <v>2</v>
      </c>
      <c r="B308" s="24">
        <v>41107</v>
      </c>
      <c r="C308" s="16">
        <v>2012</v>
      </c>
      <c r="D308" s="11" t="s">
        <v>33</v>
      </c>
      <c r="E308" s="16">
        <v>7</v>
      </c>
      <c r="F308" s="28">
        <v>9.7750000000000004</v>
      </c>
      <c r="G308" s="28">
        <v>0.28593362499999997</v>
      </c>
      <c r="H308" s="28">
        <v>0</v>
      </c>
      <c r="I308" s="28">
        <v>4.0065248749999993</v>
      </c>
      <c r="J308" s="33">
        <v>0.63267837500000002</v>
      </c>
      <c r="K308" s="33">
        <v>0</v>
      </c>
    </row>
    <row r="309" spans="1:18">
      <c r="A309" s="16">
        <v>16</v>
      </c>
      <c r="B309" s="24">
        <v>41107</v>
      </c>
      <c r="C309" s="16">
        <v>2012</v>
      </c>
      <c r="D309" s="11" t="s">
        <v>33</v>
      </c>
      <c r="E309" s="16">
        <v>7</v>
      </c>
      <c r="F309" s="28">
        <v>6.5730000000000004</v>
      </c>
      <c r="G309" s="28">
        <v>7.2381249999999994E-2</v>
      </c>
      <c r="H309" s="28">
        <v>0</v>
      </c>
      <c r="I309" s="28">
        <v>2.2643098749999999</v>
      </c>
      <c r="J309" s="33">
        <v>0.97094249999999993</v>
      </c>
      <c r="K309" s="33">
        <v>0</v>
      </c>
    </row>
    <row r="310" spans="1:18">
      <c r="A310" s="16">
        <v>2</v>
      </c>
      <c r="B310" s="24">
        <v>41135</v>
      </c>
      <c r="C310" s="16">
        <v>2012</v>
      </c>
      <c r="D310" s="11" t="s">
        <v>34</v>
      </c>
      <c r="E310" s="16">
        <v>8</v>
      </c>
      <c r="F310" s="28">
        <v>14.991</v>
      </c>
      <c r="G310" s="28">
        <v>0.76928300000000005</v>
      </c>
      <c r="H310" s="28">
        <v>0</v>
      </c>
      <c r="I310" s="28">
        <v>5.0638333749999997</v>
      </c>
      <c r="J310" s="33">
        <v>1.7980672499999997</v>
      </c>
      <c r="K310" s="33">
        <v>0</v>
      </c>
    </row>
    <row r="311" spans="1:18">
      <c r="A311" s="16">
        <v>16</v>
      </c>
      <c r="B311" s="24">
        <v>41135</v>
      </c>
      <c r="C311" s="16">
        <v>2012</v>
      </c>
      <c r="D311" s="11" t="s">
        <v>34</v>
      </c>
      <c r="E311" s="16">
        <v>8</v>
      </c>
      <c r="F311" s="28">
        <v>10.858000000000001</v>
      </c>
      <c r="G311" s="28">
        <v>0.40365662499999994</v>
      </c>
      <c r="H311" s="28">
        <v>0</v>
      </c>
      <c r="I311" s="28">
        <v>3.7688416249999994</v>
      </c>
      <c r="J311" s="33">
        <v>1.117968375</v>
      </c>
      <c r="K311" s="33">
        <v>2.3257874999999994E-2</v>
      </c>
    </row>
    <row r="312" spans="1:18">
      <c r="A312" s="16">
        <v>2</v>
      </c>
      <c r="B312" s="24">
        <v>41164</v>
      </c>
      <c r="C312" s="16">
        <v>2012</v>
      </c>
      <c r="D312" s="11" t="s">
        <v>40</v>
      </c>
      <c r="E312" s="16">
        <v>9</v>
      </c>
      <c r="F312" s="28">
        <v>16.704000000000001</v>
      </c>
      <c r="G312" s="28">
        <v>0</v>
      </c>
      <c r="H312" s="28">
        <v>0</v>
      </c>
      <c r="I312" s="28">
        <v>9.5270276250000006</v>
      </c>
      <c r="J312" s="33">
        <v>0.51851749999999985</v>
      </c>
      <c r="K312" s="33">
        <v>0</v>
      </c>
    </row>
    <row r="313" spans="1:18">
      <c r="A313" s="16">
        <v>16</v>
      </c>
      <c r="B313" s="24">
        <v>41164</v>
      </c>
      <c r="C313" s="16">
        <v>2012</v>
      </c>
      <c r="D313" s="11" t="s">
        <v>40</v>
      </c>
      <c r="E313" s="16">
        <v>9</v>
      </c>
      <c r="F313" s="28">
        <v>8.1769999999999996</v>
      </c>
      <c r="G313" s="28">
        <v>0</v>
      </c>
      <c r="H313" s="28">
        <v>0</v>
      </c>
      <c r="I313" s="28">
        <v>4.9475738749999989</v>
      </c>
      <c r="J313" s="33">
        <v>0.44327062499999997</v>
      </c>
      <c r="K313" s="33">
        <v>0</v>
      </c>
    </row>
    <row r="314" spans="1:18">
      <c r="A314" s="16">
        <v>2</v>
      </c>
      <c r="B314" s="24">
        <v>41200</v>
      </c>
      <c r="C314" s="16">
        <v>2012</v>
      </c>
      <c r="D314" s="11" t="s">
        <v>36</v>
      </c>
      <c r="E314" s="16">
        <v>10</v>
      </c>
      <c r="F314" s="28">
        <v>2.794</v>
      </c>
      <c r="G314" s="28">
        <v>0.10308912499999999</v>
      </c>
      <c r="H314" s="28">
        <v>0</v>
      </c>
      <c r="I314" s="28">
        <v>0.87255487499999995</v>
      </c>
      <c r="J314" s="33">
        <v>6.305899999999999E-2</v>
      </c>
      <c r="K314" s="33">
        <v>0</v>
      </c>
    </row>
    <row r="315" spans="1:18">
      <c r="A315" s="16">
        <v>16</v>
      </c>
      <c r="B315" s="24">
        <v>41200</v>
      </c>
      <c r="C315" s="16">
        <v>2012</v>
      </c>
      <c r="D315" s="11" t="s">
        <v>36</v>
      </c>
      <c r="E315" s="16">
        <v>10</v>
      </c>
      <c r="F315" s="28">
        <v>2.133</v>
      </c>
      <c r="G315" s="28">
        <v>0.1075995</v>
      </c>
      <c r="H315" s="28">
        <v>0</v>
      </c>
      <c r="I315" s="28">
        <v>0.41223537499999996</v>
      </c>
      <c r="J315" s="33">
        <v>4.2762374999999991E-2</v>
      </c>
      <c r="K315" s="33">
        <v>0</v>
      </c>
    </row>
    <row r="316" spans="1:18">
      <c r="A316" s="16">
        <v>2</v>
      </c>
      <c r="B316" s="24">
        <v>41226</v>
      </c>
      <c r="C316" s="16">
        <v>2012</v>
      </c>
      <c r="D316" s="11" t="s">
        <v>37</v>
      </c>
      <c r="E316" s="16">
        <v>11</v>
      </c>
      <c r="F316" s="28">
        <v>2.4950000000000001</v>
      </c>
      <c r="G316" s="28">
        <v>3.2444499999999994E-2</v>
      </c>
      <c r="H316" s="28">
        <v>0</v>
      </c>
      <c r="I316" s="28">
        <v>0.764262</v>
      </c>
      <c r="J316" s="33">
        <v>2.4771749999999995E-2</v>
      </c>
      <c r="K316" s="33">
        <v>0</v>
      </c>
    </row>
    <row r="317" spans="1:18">
      <c r="A317" s="16">
        <v>16</v>
      </c>
      <c r="B317" s="24">
        <v>41226</v>
      </c>
      <c r="C317" s="16">
        <v>2012</v>
      </c>
      <c r="D317" s="11" t="s">
        <v>37</v>
      </c>
      <c r="E317" s="16">
        <v>11</v>
      </c>
      <c r="F317" s="28">
        <v>2.496</v>
      </c>
      <c r="G317" s="28">
        <v>0</v>
      </c>
      <c r="H317" s="28">
        <v>0</v>
      </c>
      <c r="I317" s="28">
        <v>0</v>
      </c>
      <c r="J317" s="33">
        <v>0</v>
      </c>
      <c r="K317" s="33">
        <v>0</v>
      </c>
    </row>
    <row r="318" spans="1:18">
      <c r="A318" s="16">
        <v>2</v>
      </c>
      <c r="B318" s="24">
        <v>41254</v>
      </c>
      <c r="C318" s="16">
        <v>2012</v>
      </c>
      <c r="D318" s="11" t="s">
        <v>38</v>
      </c>
      <c r="E318" s="16">
        <v>12</v>
      </c>
      <c r="F318" s="28">
        <v>1.611</v>
      </c>
      <c r="G318" s="28">
        <v>5.661324999999999E-2</v>
      </c>
      <c r="H318" s="28">
        <v>0</v>
      </c>
      <c r="I318" s="28">
        <v>0.64646587499999986</v>
      </c>
      <c r="J318" s="33">
        <v>0</v>
      </c>
      <c r="K318" s="33">
        <v>0</v>
      </c>
    </row>
    <row r="319" spans="1:18" ht="25.5">
      <c r="A319" s="16">
        <v>16</v>
      </c>
      <c r="B319" s="24">
        <v>41254</v>
      </c>
      <c r="C319" s="16">
        <v>2012</v>
      </c>
      <c r="D319" s="11" t="s">
        <v>38</v>
      </c>
      <c r="E319" s="16">
        <v>12</v>
      </c>
      <c r="F319" s="28">
        <v>0.92400000000000004</v>
      </c>
      <c r="G319" s="28">
        <v>0.150391</v>
      </c>
      <c r="H319" s="28">
        <v>0</v>
      </c>
      <c r="I319" s="28">
        <v>0.20867687499999998</v>
      </c>
      <c r="J319" s="33">
        <v>0</v>
      </c>
      <c r="K319" s="33">
        <v>0</v>
      </c>
      <c r="L319" s="36" t="s">
        <v>42</v>
      </c>
      <c r="M319" s="6" t="s">
        <v>7</v>
      </c>
      <c r="N319" s="6" t="s">
        <v>8</v>
      </c>
      <c r="O319" s="6" t="s">
        <v>9</v>
      </c>
      <c r="P319" s="6" t="s">
        <v>10</v>
      </c>
      <c r="Q319" s="6" t="s">
        <v>11</v>
      </c>
      <c r="R319" s="6" t="s">
        <v>12</v>
      </c>
    </row>
    <row r="320" spans="1:18">
      <c r="A320" s="48">
        <v>2</v>
      </c>
      <c r="B320" s="55">
        <v>41288</v>
      </c>
      <c r="C320" s="48">
        <v>2013</v>
      </c>
      <c r="D320" s="44" t="s">
        <v>39</v>
      </c>
      <c r="E320" s="42">
        <v>1</v>
      </c>
      <c r="F320" s="62">
        <v>2.032</v>
      </c>
      <c r="G320" s="62">
        <v>2.861675E-2</v>
      </c>
      <c r="H320" s="62">
        <v>0</v>
      </c>
      <c r="I320" s="62">
        <v>0.88756687499999987</v>
      </c>
      <c r="J320" s="60">
        <v>0</v>
      </c>
      <c r="K320" s="60">
        <v>0</v>
      </c>
      <c r="L320" s="36" t="s">
        <v>58</v>
      </c>
      <c r="M320" s="37">
        <f t="shared" ref="M320:R320" si="10">AVERAGE(F320:F343)</f>
        <v>3.8372083333333329</v>
      </c>
      <c r="N320" s="37">
        <f t="shared" si="10"/>
        <v>0.19424051041666665</v>
      </c>
      <c r="O320" s="37">
        <f t="shared" si="10"/>
        <v>3.5480208333333333E-4</v>
      </c>
      <c r="P320" s="37">
        <f t="shared" si="10"/>
        <v>1.3571741145833329</v>
      </c>
      <c r="Q320" s="37">
        <f t="shared" si="10"/>
        <v>0.10144916145833333</v>
      </c>
      <c r="R320" s="37">
        <f t="shared" si="10"/>
        <v>0</v>
      </c>
    </row>
    <row r="321" spans="1:12">
      <c r="A321" s="16">
        <v>16</v>
      </c>
      <c r="B321" s="24">
        <v>41288</v>
      </c>
      <c r="C321" s="16">
        <v>2013</v>
      </c>
      <c r="D321" s="11" t="s">
        <v>39</v>
      </c>
      <c r="E321" s="12">
        <v>1</v>
      </c>
      <c r="F321" s="28">
        <v>2.7450000000000001</v>
      </c>
      <c r="G321" s="28">
        <v>2.6190624999999999E-2</v>
      </c>
      <c r="H321" s="28">
        <v>0</v>
      </c>
      <c r="I321" s="28">
        <v>1.4783541249999999</v>
      </c>
      <c r="J321" s="33">
        <v>1.638125E-2</v>
      </c>
      <c r="K321" s="33">
        <v>0</v>
      </c>
      <c r="L321"/>
    </row>
    <row r="322" spans="1:12">
      <c r="A322" s="16">
        <v>2</v>
      </c>
      <c r="B322" s="24">
        <v>41318</v>
      </c>
      <c r="C322" s="16">
        <v>2013</v>
      </c>
      <c r="D322" s="11" t="s">
        <v>28</v>
      </c>
      <c r="E322" s="12">
        <v>2</v>
      </c>
      <c r="F322" s="33">
        <v>7.9969999999999999</v>
      </c>
      <c r="G322" s="33">
        <v>0.22353124999999999</v>
      </c>
      <c r="H322" s="33">
        <v>8.5152500000000002E-3</v>
      </c>
      <c r="I322" s="33">
        <v>4.2865597500000012</v>
      </c>
      <c r="J322" s="33">
        <v>0</v>
      </c>
      <c r="K322" s="33">
        <v>0</v>
      </c>
      <c r="L322"/>
    </row>
    <row r="323" spans="1:12">
      <c r="A323" s="16">
        <v>16</v>
      </c>
      <c r="B323" s="24">
        <v>41318</v>
      </c>
      <c r="C323" s="16">
        <v>2013</v>
      </c>
      <c r="D323" s="11" t="s">
        <v>28</v>
      </c>
      <c r="E323" s="12">
        <v>2</v>
      </c>
      <c r="F323" s="33">
        <v>8.891</v>
      </c>
      <c r="G323" s="33">
        <v>9.2688749999999986E-2</v>
      </c>
      <c r="H323" s="33">
        <v>0</v>
      </c>
      <c r="I323" s="33">
        <v>5.0490748749999996</v>
      </c>
      <c r="J323" s="33">
        <v>2.4691749999999998E-2</v>
      </c>
      <c r="K323" s="33">
        <v>0</v>
      </c>
      <c r="L323"/>
    </row>
    <row r="324" spans="1:12">
      <c r="A324" s="16">
        <v>2</v>
      </c>
      <c r="B324" s="24">
        <v>41344</v>
      </c>
      <c r="C324" s="16">
        <v>2013</v>
      </c>
      <c r="D324" s="11" t="s">
        <v>29</v>
      </c>
      <c r="E324" s="12">
        <v>3</v>
      </c>
      <c r="F324" s="33">
        <v>5.782</v>
      </c>
      <c r="G324" s="33">
        <v>0.12493099999999997</v>
      </c>
      <c r="H324" s="33">
        <v>0</v>
      </c>
      <c r="I324" s="33">
        <v>2.6444838750000006</v>
      </c>
      <c r="J324" s="33">
        <v>1.9231874999999996E-2</v>
      </c>
      <c r="K324" s="33">
        <v>0</v>
      </c>
      <c r="L324"/>
    </row>
    <row r="325" spans="1:12">
      <c r="A325" s="16">
        <v>16</v>
      </c>
      <c r="B325" s="24">
        <v>41344</v>
      </c>
      <c r="C325" s="16">
        <v>2013</v>
      </c>
      <c r="D325" s="11" t="s">
        <v>29</v>
      </c>
      <c r="E325" s="12">
        <v>3</v>
      </c>
      <c r="F325" s="33">
        <v>6.2729999999999997</v>
      </c>
      <c r="G325" s="33">
        <v>0</v>
      </c>
      <c r="H325" s="33">
        <v>0</v>
      </c>
      <c r="I325" s="33">
        <v>3.7286902500000001</v>
      </c>
      <c r="J325" s="33">
        <v>3.6736124999999994E-2</v>
      </c>
      <c r="K325" s="33">
        <v>0</v>
      </c>
      <c r="L325"/>
    </row>
    <row r="326" spans="1:12">
      <c r="A326" s="16">
        <v>2</v>
      </c>
      <c r="B326" s="24">
        <v>41381</v>
      </c>
      <c r="C326" s="16">
        <v>2013</v>
      </c>
      <c r="D326" s="11" t="s">
        <v>30</v>
      </c>
      <c r="E326" s="12">
        <v>4</v>
      </c>
      <c r="F326" s="34">
        <v>0.46899999999999997</v>
      </c>
      <c r="G326" s="34">
        <v>0</v>
      </c>
      <c r="H326" s="34">
        <v>0</v>
      </c>
      <c r="I326" s="34">
        <v>0.32943099999999997</v>
      </c>
      <c r="J326" s="34">
        <v>8.8023749999999994E-3</v>
      </c>
      <c r="K326" s="34">
        <v>0</v>
      </c>
      <c r="L326"/>
    </row>
    <row r="327" spans="1:12">
      <c r="A327" s="16">
        <v>16</v>
      </c>
      <c r="B327" s="24">
        <v>41379</v>
      </c>
      <c r="C327" s="16">
        <v>2013</v>
      </c>
      <c r="D327" s="11" t="s">
        <v>30</v>
      </c>
      <c r="E327" s="12">
        <v>4</v>
      </c>
      <c r="F327" s="34">
        <v>0.188</v>
      </c>
      <c r="G327" s="34">
        <v>0</v>
      </c>
      <c r="H327" s="34">
        <v>0</v>
      </c>
      <c r="I327" s="34">
        <v>0.124840125</v>
      </c>
      <c r="J327" s="34">
        <v>0</v>
      </c>
      <c r="K327" s="34">
        <v>0</v>
      </c>
      <c r="L327"/>
    </row>
    <row r="328" spans="1:12">
      <c r="A328" s="16">
        <v>2</v>
      </c>
      <c r="B328" s="24">
        <v>41408</v>
      </c>
      <c r="C328" s="16">
        <v>2013</v>
      </c>
      <c r="D328" s="11" t="s">
        <v>31</v>
      </c>
      <c r="E328" s="12">
        <v>5</v>
      </c>
      <c r="F328" s="34">
        <v>1.1559999999999999</v>
      </c>
      <c r="G328" s="34">
        <v>4.1467749999999998E-2</v>
      </c>
      <c r="H328" s="34">
        <v>0</v>
      </c>
      <c r="I328" s="34">
        <v>0.13207712499999999</v>
      </c>
      <c r="J328" s="34">
        <v>2.1850250000000002E-2</v>
      </c>
      <c r="K328" s="34">
        <v>0</v>
      </c>
      <c r="L328"/>
    </row>
    <row r="329" spans="1:12">
      <c r="A329" s="16">
        <v>16</v>
      </c>
      <c r="B329" s="24">
        <v>41408</v>
      </c>
      <c r="C329" s="16">
        <v>2013</v>
      </c>
      <c r="D329" s="11" t="s">
        <v>31</v>
      </c>
      <c r="E329" s="12">
        <v>5</v>
      </c>
      <c r="F329" s="34">
        <v>0.72499999999999998</v>
      </c>
      <c r="G329" s="34">
        <v>5.5971375000000004E-2</v>
      </c>
      <c r="H329" s="34">
        <v>0</v>
      </c>
      <c r="I329" s="34">
        <v>9.3803874999999995E-2</v>
      </c>
      <c r="J329" s="34">
        <v>1.4923250000000001E-2</v>
      </c>
      <c r="K329" s="34">
        <v>0</v>
      </c>
      <c r="L329"/>
    </row>
    <row r="330" spans="1:12">
      <c r="A330" s="16">
        <v>2</v>
      </c>
      <c r="B330" s="24">
        <v>41436</v>
      </c>
      <c r="C330" s="16">
        <v>2013</v>
      </c>
      <c r="D330" s="11" t="s">
        <v>32</v>
      </c>
      <c r="E330" s="12">
        <v>6</v>
      </c>
      <c r="F330" s="34">
        <v>4.1029999999999998</v>
      </c>
      <c r="G330" s="34">
        <v>4.2164374999999997E-2</v>
      </c>
      <c r="H330" s="34">
        <v>0</v>
      </c>
      <c r="I330" s="34">
        <v>1.5419622499999999</v>
      </c>
      <c r="J330" s="34">
        <v>8.5822499999999996E-2</v>
      </c>
      <c r="K330" s="34">
        <v>0</v>
      </c>
      <c r="L330"/>
    </row>
    <row r="331" spans="1:12">
      <c r="A331" s="16">
        <v>16</v>
      </c>
      <c r="B331" s="24">
        <v>41437</v>
      </c>
      <c r="C331" s="16">
        <v>2013</v>
      </c>
      <c r="D331" s="11" t="s">
        <v>32</v>
      </c>
      <c r="E331" s="12">
        <v>6</v>
      </c>
      <c r="F331" s="34">
        <v>3.2080000000000002</v>
      </c>
      <c r="G331" s="34">
        <v>5.8733250000000008E-2</v>
      </c>
      <c r="H331" s="34">
        <v>0</v>
      </c>
      <c r="I331" s="34">
        <v>1.4860301249999999</v>
      </c>
      <c r="J331" s="34">
        <v>5.189524999999999E-2</v>
      </c>
      <c r="K331" s="34">
        <v>0</v>
      </c>
      <c r="L331"/>
    </row>
    <row r="332" spans="1:12">
      <c r="A332" s="16">
        <v>2</v>
      </c>
      <c r="B332" s="24">
        <v>41471</v>
      </c>
      <c r="C332" s="16">
        <v>2013</v>
      </c>
      <c r="D332" s="11" t="s">
        <v>33</v>
      </c>
      <c r="E332" s="12">
        <v>7</v>
      </c>
      <c r="F332" s="34">
        <v>7.593</v>
      </c>
      <c r="G332" s="34">
        <v>0.28626825000000006</v>
      </c>
      <c r="H332" s="34">
        <v>0</v>
      </c>
      <c r="I332" s="34">
        <v>1.8937832499999998</v>
      </c>
      <c r="J332" s="34">
        <v>0.30018362500000001</v>
      </c>
      <c r="K332" s="34">
        <v>0</v>
      </c>
      <c r="L332"/>
    </row>
    <row r="333" spans="1:12">
      <c r="A333" s="16">
        <v>16</v>
      </c>
      <c r="B333" s="24">
        <v>41471</v>
      </c>
      <c r="C333" s="16">
        <v>2013</v>
      </c>
      <c r="D333" s="11" t="s">
        <v>33</v>
      </c>
      <c r="E333" s="12">
        <v>7</v>
      </c>
      <c r="F333" s="34">
        <v>10.65</v>
      </c>
      <c r="G333" s="34">
        <v>0.44133099999999997</v>
      </c>
      <c r="H333" s="34">
        <v>0</v>
      </c>
      <c r="I333" s="34">
        <v>1.426776375</v>
      </c>
      <c r="J333" s="34">
        <v>0.68329187499999999</v>
      </c>
      <c r="K333" s="34">
        <v>0</v>
      </c>
      <c r="L333"/>
    </row>
    <row r="334" spans="1:12">
      <c r="A334" s="16">
        <v>2</v>
      </c>
      <c r="B334" s="24">
        <v>41499</v>
      </c>
      <c r="C334" s="16">
        <v>2013</v>
      </c>
      <c r="D334" s="11" t="s">
        <v>34</v>
      </c>
      <c r="E334" s="12">
        <v>8</v>
      </c>
      <c r="F334" s="34">
        <v>6.907</v>
      </c>
      <c r="G334" s="34">
        <v>0.90067375000000005</v>
      </c>
      <c r="H334" s="34">
        <v>0</v>
      </c>
      <c r="I334" s="34">
        <v>1.9100388749999999</v>
      </c>
      <c r="J334" s="34">
        <v>0.53124662500000008</v>
      </c>
      <c r="K334" s="34">
        <v>0</v>
      </c>
      <c r="L334"/>
    </row>
    <row r="335" spans="1:12">
      <c r="A335" s="16">
        <v>16</v>
      </c>
      <c r="B335" s="24">
        <v>41499</v>
      </c>
      <c r="C335" s="16">
        <v>2013</v>
      </c>
      <c r="D335" s="11" t="s">
        <v>34</v>
      </c>
      <c r="E335" s="12">
        <v>8</v>
      </c>
      <c r="F335" s="34">
        <v>5.8710000000000004</v>
      </c>
      <c r="G335" s="34">
        <v>1.7550506249999998</v>
      </c>
      <c r="H335" s="34">
        <v>0</v>
      </c>
      <c r="I335" s="34">
        <v>0.59580437500000005</v>
      </c>
      <c r="J335" s="34">
        <v>0.50217149999999999</v>
      </c>
      <c r="K335" s="34">
        <v>0</v>
      </c>
      <c r="L335"/>
    </row>
    <row r="336" spans="1:12">
      <c r="A336" s="16">
        <v>2</v>
      </c>
      <c r="B336" s="24">
        <v>41533</v>
      </c>
      <c r="C336" s="16">
        <v>2013</v>
      </c>
      <c r="D336" s="11" t="s">
        <v>40</v>
      </c>
      <c r="E336" s="12">
        <v>9</v>
      </c>
      <c r="F336" s="34">
        <v>4.5720000000000001</v>
      </c>
      <c r="G336" s="34">
        <v>0.15575749999999999</v>
      </c>
      <c r="H336" s="34">
        <v>0</v>
      </c>
      <c r="I336" s="34">
        <v>1.5528502500000003</v>
      </c>
      <c r="J336" s="34">
        <v>6.5026125000000004E-2</v>
      </c>
      <c r="K336" s="34">
        <v>0</v>
      </c>
      <c r="L336"/>
    </row>
    <row r="337" spans="1:18">
      <c r="A337" s="16">
        <v>16</v>
      </c>
      <c r="B337" s="24">
        <v>41533</v>
      </c>
      <c r="C337" s="16">
        <v>2013</v>
      </c>
      <c r="D337" s="11" t="s">
        <v>40</v>
      </c>
      <c r="E337" s="12">
        <v>9</v>
      </c>
      <c r="F337" s="34">
        <v>3.3290000000000002</v>
      </c>
      <c r="G337" s="34">
        <v>0.20189237499999999</v>
      </c>
      <c r="H337" s="34">
        <v>0</v>
      </c>
      <c r="I337" s="34">
        <v>1.0128671249999999</v>
      </c>
      <c r="J337" s="34">
        <v>6.3891375E-2</v>
      </c>
      <c r="K337" s="34">
        <v>0</v>
      </c>
    </row>
    <row r="338" spans="1:18">
      <c r="A338" s="16">
        <v>2</v>
      </c>
      <c r="B338" s="24">
        <v>41569</v>
      </c>
      <c r="C338" s="16">
        <v>2013</v>
      </c>
      <c r="D338" s="11" t="s">
        <v>36</v>
      </c>
      <c r="E338" s="12">
        <v>10</v>
      </c>
      <c r="F338" s="28">
        <v>1.8440000000000001</v>
      </c>
      <c r="G338" s="28">
        <v>0</v>
      </c>
      <c r="H338" s="28">
        <v>0</v>
      </c>
      <c r="I338" s="63">
        <v>0.109402</v>
      </c>
      <c r="J338" s="33">
        <v>0</v>
      </c>
      <c r="K338" s="33">
        <v>0</v>
      </c>
    </row>
    <row r="339" spans="1:18">
      <c r="A339" s="16">
        <v>16</v>
      </c>
      <c r="B339" s="24">
        <v>41569</v>
      </c>
      <c r="C339" s="16">
        <v>2013</v>
      </c>
      <c r="D339" s="11" t="s">
        <v>36</v>
      </c>
      <c r="E339" s="12">
        <v>10</v>
      </c>
      <c r="F339" s="28">
        <v>1.95</v>
      </c>
      <c r="G339" s="28">
        <v>5.3848624999999983E-2</v>
      </c>
      <c r="H339" s="28">
        <v>0</v>
      </c>
      <c r="I339" s="63">
        <v>9.3876874999999985E-2</v>
      </c>
      <c r="J339" s="33">
        <v>0</v>
      </c>
      <c r="K339" s="33">
        <v>0</v>
      </c>
    </row>
    <row r="340" spans="1:18">
      <c r="A340" s="16">
        <v>2</v>
      </c>
      <c r="B340" s="24">
        <v>41597</v>
      </c>
      <c r="C340" s="16">
        <v>2013</v>
      </c>
      <c r="D340" s="11" t="s">
        <v>37</v>
      </c>
      <c r="E340" s="12">
        <v>11</v>
      </c>
      <c r="F340" s="28">
        <v>0.54600000000000004</v>
      </c>
      <c r="G340" s="28">
        <v>0</v>
      </c>
      <c r="H340" s="28">
        <v>0</v>
      </c>
      <c r="I340" s="63">
        <v>0.19918550000000002</v>
      </c>
      <c r="J340" s="33">
        <v>0</v>
      </c>
      <c r="K340" s="33">
        <v>0</v>
      </c>
    </row>
    <row r="341" spans="1:18">
      <c r="A341" s="16">
        <v>16</v>
      </c>
      <c r="B341" s="24">
        <v>41597</v>
      </c>
      <c r="C341" s="16">
        <v>2013</v>
      </c>
      <c r="D341" s="11" t="s">
        <v>37</v>
      </c>
      <c r="E341" s="12">
        <v>11</v>
      </c>
      <c r="F341" s="28">
        <v>0.90700000000000003</v>
      </c>
      <c r="G341" s="28">
        <v>8.1372749999999994E-2</v>
      </c>
      <c r="H341" s="28">
        <v>0</v>
      </c>
      <c r="I341" s="63">
        <v>0.16989412499999998</v>
      </c>
      <c r="J341" s="33">
        <v>0</v>
      </c>
      <c r="K341" s="33">
        <v>0</v>
      </c>
    </row>
    <row r="342" spans="1:18">
      <c r="A342" s="16">
        <v>2</v>
      </c>
      <c r="B342" s="24">
        <v>41624</v>
      </c>
      <c r="C342" s="16">
        <v>2013</v>
      </c>
      <c r="D342" s="11" t="s">
        <v>38</v>
      </c>
      <c r="E342" s="12">
        <v>12</v>
      </c>
      <c r="F342" s="28">
        <v>2.3079999999999998</v>
      </c>
      <c r="G342" s="28">
        <v>5.3491499999999997E-2</v>
      </c>
      <c r="H342" s="28">
        <v>0</v>
      </c>
      <c r="I342" s="63">
        <v>1.0216511249999998</v>
      </c>
      <c r="J342" s="33">
        <v>8.6341249999999994E-3</v>
      </c>
      <c r="K342" s="33">
        <v>0</v>
      </c>
    </row>
    <row r="343" spans="1:18" ht="25.5">
      <c r="A343" s="16">
        <v>16</v>
      </c>
      <c r="B343" s="24">
        <v>41624</v>
      </c>
      <c r="C343" s="16">
        <v>2013</v>
      </c>
      <c r="D343" s="11" t="s">
        <v>38</v>
      </c>
      <c r="E343" s="12">
        <v>12</v>
      </c>
      <c r="F343" s="28">
        <v>2.0470000000000002</v>
      </c>
      <c r="G343" s="28">
        <v>3.7790749999999991E-2</v>
      </c>
      <c r="H343" s="28">
        <v>0</v>
      </c>
      <c r="I343" s="63">
        <v>0.80317462500000003</v>
      </c>
      <c r="J343" s="33">
        <v>0</v>
      </c>
      <c r="K343" s="33">
        <v>0</v>
      </c>
      <c r="L343" s="36" t="s">
        <v>42</v>
      </c>
      <c r="M343" s="6" t="s">
        <v>7</v>
      </c>
      <c r="N343" s="6" t="s">
        <v>8</v>
      </c>
      <c r="O343" s="6" t="s">
        <v>9</v>
      </c>
      <c r="P343" s="6" t="s">
        <v>10</v>
      </c>
      <c r="Q343" s="6" t="s">
        <v>11</v>
      </c>
      <c r="R343" s="6" t="s">
        <v>12</v>
      </c>
    </row>
    <row r="344" spans="1:18">
      <c r="A344" s="48">
        <v>2</v>
      </c>
      <c r="B344" s="55">
        <v>41654</v>
      </c>
      <c r="C344" s="48">
        <v>2014</v>
      </c>
      <c r="D344" s="44" t="s">
        <v>39</v>
      </c>
      <c r="E344" s="42">
        <v>1</v>
      </c>
      <c r="F344" s="62">
        <v>2.3420000000000001</v>
      </c>
      <c r="G344" s="62">
        <v>5.402912499999999E-2</v>
      </c>
      <c r="H344" s="62">
        <v>0</v>
      </c>
      <c r="I344" s="64">
        <v>0.91590324999999972</v>
      </c>
      <c r="J344" s="60">
        <v>1.0244749999999997E-2</v>
      </c>
      <c r="K344" s="60">
        <v>0</v>
      </c>
      <c r="L344" s="36" t="s">
        <v>59</v>
      </c>
      <c r="M344" s="37">
        <f t="shared" ref="M344:R344" si="11">AVERAGE(F344:F367)</f>
        <v>3.800791666666667</v>
      </c>
      <c r="N344" s="37">
        <f t="shared" si="11"/>
        <v>0.10893013020833335</v>
      </c>
      <c r="O344" s="37">
        <f t="shared" si="11"/>
        <v>6.0614770833333331E-2</v>
      </c>
      <c r="P344" s="37">
        <f t="shared" si="11"/>
        <v>1.2670828333333333</v>
      </c>
      <c r="Q344" s="37">
        <f t="shared" si="11"/>
        <v>0.16780942708333332</v>
      </c>
      <c r="R344" s="37">
        <f t="shared" si="11"/>
        <v>0</v>
      </c>
    </row>
    <row r="345" spans="1:18">
      <c r="A345" s="16">
        <v>16</v>
      </c>
      <c r="B345" s="24">
        <v>41654</v>
      </c>
      <c r="C345" s="16">
        <v>2014</v>
      </c>
      <c r="D345" s="11" t="s">
        <v>39</v>
      </c>
      <c r="E345" s="12">
        <v>1</v>
      </c>
      <c r="F345" s="28">
        <v>2.7210000000000001</v>
      </c>
      <c r="G345" s="28">
        <v>0</v>
      </c>
      <c r="H345" s="28">
        <v>0</v>
      </c>
      <c r="I345" s="63">
        <v>1.074390875</v>
      </c>
      <c r="J345" s="33">
        <v>1.5335999999999997E-2</v>
      </c>
      <c r="K345" s="33">
        <v>0</v>
      </c>
    </row>
    <row r="346" spans="1:18">
      <c r="A346" s="16">
        <v>2</v>
      </c>
      <c r="B346" s="24">
        <v>41688</v>
      </c>
      <c r="C346" s="16">
        <v>2014</v>
      </c>
      <c r="D346" s="11" t="s">
        <v>28</v>
      </c>
      <c r="E346" s="12">
        <v>2</v>
      </c>
      <c r="F346" s="28">
        <v>4.1689999999999996</v>
      </c>
      <c r="G346" s="28">
        <v>0.11350887499999998</v>
      </c>
      <c r="H346" s="28">
        <v>0</v>
      </c>
      <c r="I346" s="63">
        <v>1.8025028749999998</v>
      </c>
      <c r="J346" s="33">
        <v>1.8526375000000001E-2</v>
      </c>
      <c r="K346" s="33">
        <v>0</v>
      </c>
    </row>
    <row r="347" spans="1:18">
      <c r="A347" s="16">
        <v>16</v>
      </c>
      <c r="B347" s="24">
        <v>41690</v>
      </c>
      <c r="C347" s="16">
        <v>2014</v>
      </c>
      <c r="D347" s="11" t="s">
        <v>28</v>
      </c>
      <c r="E347" s="12">
        <v>2</v>
      </c>
      <c r="F347" s="28">
        <v>4.2729999999999997</v>
      </c>
      <c r="G347" s="28">
        <v>8.6924874999999999E-2</v>
      </c>
      <c r="H347" s="28">
        <v>0</v>
      </c>
      <c r="I347" s="63">
        <v>1.7758881250000003</v>
      </c>
      <c r="J347" s="33">
        <v>1.9015000000000001E-2</v>
      </c>
      <c r="K347" s="33">
        <v>0</v>
      </c>
    </row>
    <row r="348" spans="1:18">
      <c r="A348" s="16">
        <v>2</v>
      </c>
      <c r="B348" s="24">
        <v>41719</v>
      </c>
      <c r="C348" s="16">
        <v>2014</v>
      </c>
      <c r="D348" s="11" t="s">
        <v>29</v>
      </c>
      <c r="E348" s="12">
        <v>3</v>
      </c>
      <c r="F348" s="28">
        <v>1.4079999999999999</v>
      </c>
      <c r="G348" s="28">
        <v>5.4196000000000001E-2</v>
      </c>
      <c r="H348" s="28">
        <v>0</v>
      </c>
      <c r="I348" s="63">
        <v>0.50731062500000002</v>
      </c>
      <c r="J348" s="33">
        <v>5.5565499999999997E-2</v>
      </c>
      <c r="K348" s="33">
        <v>0</v>
      </c>
    </row>
    <row r="349" spans="1:18">
      <c r="A349" s="16">
        <v>16</v>
      </c>
      <c r="B349" s="24">
        <v>41719</v>
      </c>
      <c r="C349" s="16">
        <v>2014</v>
      </c>
      <c r="D349" s="11" t="s">
        <v>29</v>
      </c>
      <c r="E349" s="12">
        <v>3</v>
      </c>
      <c r="F349" s="28">
        <v>1.734</v>
      </c>
      <c r="G349" s="28">
        <v>2.2063124999999992E-2</v>
      </c>
      <c r="H349" s="28">
        <v>0</v>
      </c>
      <c r="I349" s="63">
        <v>0.81328912500000006</v>
      </c>
      <c r="J349" s="33">
        <v>3.5028249999999997E-2</v>
      </c>
      <c r="K349" s="33">
        <v>0</v>
      </c>
    </row>
    <row r="350" spans="1:18">
      <c r="A350" s="16">
        <v>2</v>
      </c>
      <c r="B350" s="24">
        <v>41747</v>
      </c>
      <c r="C350" s="16">
        <v>2014</v>
      </c>
      <c r="D350" s="11" t="s">
        <v>30</v>
      </c>
      <c r="E350" s="12">
        <v>4</v>
      </c>
      <c r="F350" s="35">
        <v>5.2670000000000003</v>
      </c>
      <c r="G350" s="35">
        <v>2.4896749999999999E-2</v>
      </c>
      <c r="H350" s="35">
        <v>7.7768875000000001E-2</v>
      </c>
      <c r="I350" s="66">
        <v>2.9219887499999997</v>
      </c>
      <c r="J350" s="68">
        <v>3.5490124999999997E-2</v>
      </c>
      <c r="K350" s="68">
        <v>0</v>
      </c>
    </row>
    <row r="351" spans="1:18">
      <c r="A351" s="16">
        <v>16</v>
      </c>
      <c r="B351" s="24">
        <v>41747</v>
      </c>
      <c r="C351" s="16">
        <v>2014</v>
      </c>
      <c r="D351" s="11" t="s">
        <v>30</v>
      </c>
      <c r="E351" s="12">
        <v>4</v>
      </c>
      <c r="F351" s="35">
        <v>2.0419999999999998</v>
      </c>
      <c r="G351" s="35">
        <v>1.6384250000000003E-2</v>
      </c>
      <c r="H351" s="35">
        <v>6.2575875000000003E-2</v>
      </c>
      <c r="I351" s="66">
        <v>1.004286</v>
      </c>
      <c r="J351" s="68">
        <v>2.0927874999999999E-2</v>
      </c>
      <c r="K351" s="68">
        <v>0</v>
      </c>
    </row>
    <row r="352" spans="1:18">
      <c r="A352" s="16">
        <v>2</v>
      </c>
      <c r="B352" s="24">
        <v>41772</v>
      </c>
      <c r="C352" s="16">
        <v>2014</v>
      </c>
      <c r="D352" s="11" t="s">
        <v>31</v>
      </c>
      <c r="E352" s="12">
        <v>5</v>
      </c>
      <c r="F352" s="35">
        <v>2.57</v>
      </c>
      <c r="G352" s="35">
        <v>0</v>
      </c>
      <c r="H352" s="35">
        <v>0</v>
      </c>
      <c r="I352" s="66">
        <v>0.51109450000000001</v>
      </c>
      <c r="J352" s="68">
        <v>3.1180625E-2</v>
      </c>
      <c r="K352" s="68">
        <v>0</v>
      </c>
    </row>
    <row r="353" spans="1:22">
      <c r="A353" s="16">
        <v>16</v>
      </c>
      <c r="B353" s="24">
        <v>41772</v>
      </c>
      <c r="C353" s="16">
        <v>2014</v>
      </c>
      <c r="D353" s="11" t="s">
        <v>31</v>
      </c>
      <c r="E353" s="12">
        <v>5</v>
      </c>
      <c r="F353" s="35">
        <v>1.5649999999999999</v>
      </c>
      <c r="G353" s="35">
        <v>0</v>
      </c>
      <c r="H353" s="35">
        <v>0</v>
      </c>
      <c r="I353" s="66">
        <v>0.35300124999999993</v>
      </c>
      <c r="J353" s="68">
        <v>1.5259375E-2</v>
      </c>
      <c r="K353" s="68">
        <v>0</v>
      </c>
    </row>
    <row r="354" spans="1:22">
      <c r="A354" s="16">
        <v>2</v>
      </c>
      <c r="B354" s="24">
        <v>41808</v>
      </c>
      <c r="C354" s="16">
        <v>2014</v>
      </c>
      <c r="D354" s="11" t="s">
        <v>32</v>
      </c>
      <c r="E354" s="12">
        <v>6</v>
      </c>
      <c r="F354" s="35">
        <v>6.9630000000000001</v>
      </c>
      <c r="G354" s="35">
        <v>0.22095437499999998</v>
      </c>
      <c r="H354" s="35">
        <v>0.34616012499999999</v>
      </c>
      <c r="I354" s="66">
        <v>2.4001611249999999</v>
      </c>
      <c r="J354" s="68">
        <v>0.68793762499999989</v>
      </c>
      <c r="K354" s="68">
        <v>0</v>
      </c>
    </row>
    <row r="355" spans="1:22">
      <c r="A355" s="16">
        <v>16</v>
      </c>
      <c r="B355" s="24">
        <v>41808</v>
      </c>
      <c r="C355" s="16">
        <v>2014</v>
      </c>
      <c r="D355" s="11" t="s">
        <v>32</v>
      </c>
      <c r="E355" s="12">
        <v>6</v>
      </c>
      <c r="F355" s="35">
        <v>7.84</v>
      </c>
      <c r="G355" s="35">
        <v>7.3735750000000003E-2</v>
      </c>
      <c r="H355" s="35">
        <v>0.968249625</v>
      </c>
      <c r="I355" s="66">
        <v>2.7001621250000003</v>
      </c>
      <c r="J355" s="68">
        <v>0.99409162500000003</v>
      </c>
      <c r="K355" s="68">
        <v>0</v>
      </c>
    </row>
    <row r="356" spans="1:22">
      <c r="A356" s="16">
        <v>2</v>
      </c>
      <c r="B356" s="24">
        <v>41834</v>
      </c>
      <c r="C356" s="16">
        <v>2014</v>
      </c>
      <c r="D356" s="11" t="s">
        <v>33</v>
      </c>
      <c r="E356" s="12">
        <v>7</v>
      </c>
      <c r="F356" s="35">
        <v>5.8369999999999997</v>
      </c>
      <c r="G356" s="35">
        <v>8.9607124999999982E-2</v>
      </c>
      <c r="H356" s="35">
        <v>0</v>
      </c>
      <c r="I356" s="66">
        <v>2.3108348749999994</v>
      </c>
      <c r="J356" s="68">
        <v>0.27418824999999997</v>
      </c>
      <c r="K356" s="68">
        <v>0</v>
      </c>
    </row>
    <row r="357" spans="1:22">
      <c r="A357" s="16">
        <v>16</v>
      </c>
      <c r="B357" s="24">
        <v>41834</v>
      </c>
      <c r="C357" s="16">
        <v>2014</v>
      </c>
      <c r="D357" s="11" t="s">
        <v>33</v>
      </c>
      <c r="E357" s="12">
        <v>7</v>
      </c>
      <c r="F357" s="35">
        <v>7.7990000000000004</v>
      </c>
      <c r="G357" s="35">
        <v>0.55776625000000002</v>
      </c>
      <c r="H357" s="35">
        <v>0</v>
      </c>
      <c r="I357" s="66">
        <v>2.3334291249999994</v>
      </c>
      <c r="J357" s="68">
        <v>0.74946875000000013</v>
      </c>
      <c r="K357" s="68">
        <v>0</v>
      </c>
    </row>
    <row r="358" spans="1:22">
      <c r="A358" s="16">
        <v>2</v>
      </c>
      <c r="B358" s="24">
        <v>41864</v>
      </c>
      <c r="C358" s="16">
        <v>2014</v>
      </c>
      <c r="D358" s="11" t="s">
        <v>34</v>
      </c>
      <c r="E358" s="12">
        <v>8</v>
      </c>
      <c r="F358" s="35">
        <v>4.8019999999999996</v>
      </c>
      <c r="G358" s="35">
        <v>0.16584024999999997</v>
      </c>
      <c r="H358" s="35">
        <v>0</v>
      </c>
      <c r="I358" s="66">
        <v>1.5632213749999997</v>
      </c>
      <c r="J358" s="68">
        <v>0.29261799999999999</v>
      </c>
      <c r="K358" s="68">
        <v>0</v>
      </c>
    </row>
    <row r="359" spans="1:22">
      <c r="A359" s="16">
        <v>16</v>
      </c>
      <c r="B359" s="24">
        <v>41862</v>
      </c>
      <c r="C359" s="16">
        <v>2014</v>
      </c>
      <c r="D359" s="11" t="s">
        <v>34</v>
      </c>
      <c r="E359" s="12">
        <v>8</v>
      </c>
      <c r="F359" s="35">
        <v>11.37</v>
      </c>
      <c r="G359" s="35">
        <v>0.55047175000000004</v>
      </c>
      <c r="H359" s="35">
        <v>0</v>
      </c>
      <c r="I359" s="66">
        <v>2.8870642499999999</v>
      </c>
      <c r="J359" s="68">
        <v>0.61387637500000003</v>
      </c>
      <c r="K359" s="68">
        <v>0</v>
      </c>
    </row>
    <row r="360" spans="1:22">
      <c r="A360" s="16">
        <v>2</v>
      </c>
      <c r="B360" s="24">
        <v>41898</v>
      </c>
      <c r="C360" s="16">
        <v>2014</v>
      </c>
      <c r="D360" s="11" t="s">
        <v>40</v>
      </c>
      <c r="E360" s="12">
        <v>9</v>
      </c>
      <c r="F360" s="35">
        <v>5.6470000000000002</v>
      </c>
      <c r="G360" s="35">
        <v>0.25465587499999998</v>
      </c>
      <c r="H360" s="35">
        <v>0</v>
      </c>
      <c r="I360" s="66">
        <v>1.4409468749999998</v>
      </c>
      <c r="J360" s="68">
        <v>8.2064624999999988E-2</v>
      </c>
      <c r="K360" s="68">
        <v>0</v>
      </c>
    </row>
    <row r="361" spans="1:22">
      <c r="A361" s="16">
        <v>16</v>
      </c>
      <c r="B361" s="24">
        <v>41898</v>
      </c>
      <c r="C361" s="16">
        <v>2014</v>
      </c>
      <c r="D361" s="11" t="s">
        <v>40</v>
      </c>
      <c r="E361" s="12">
        <v>9</v>
      </c>
      <c r="F361" s="35">
        <v>3.8079999999999998</v>
      </c>
      <c r="G361" s="35">
        <v>0.15112774999999998</v>
      </c>
      <c r="H361" s="35">
        <v>0</v>
      </c>
      <c r="I361" s="66">
        <v>0.64423237499999997</v>
      </c>
      <c r="J361" s="68">
        <v>5.3126874999999983E-2</v>
      </c>
      <c r="K361" s="68">
        <v>0</v>
      </c>
    </row>
    <row r="362" spans="1:22">
      <c r="A362" s="16">
        <v>2</v>
      </c>
      <c r="B362" s="24">
        <v>41929</v>
      </c>
      <c r="C362" s="16">
        <v>2014</v>
      </c>
      <c r="D362" s="11" t="s">
        <v>36</v>
      </c>
      <c r="E362" s="12">
        <v>10</v>
      </c>
      <c r="F362" s="28">
        <v>1.911</v>
      </c>
      <c r="G362" s="28">
        <v>4.952875000000001E-2</v>
      </c>
      <c r="H362" s="28">
        <v>0</v>
      </c>
      <c r="I362" s="28">
        <v>0.37114737499999995</v>
      </c>
      <c r="J362" s="33">
        <v>1.3363874999999997E-2</v>
      </c>
      <c r="K362" s="33">
        <v>0</v>
      </c>
    </row>
    <row r="363" spans="1:22">
      <c r="A363" s="16">
        <v>16</v>
      </c>
      <c r="B363" s="24">
        <v>41929</v>
      </c>
      <c r="C363" s="16">
        <v>2014</v>
      </c>
      <c r="D363" s="11" t="s">
        <v>36</v>
      </c>
      <c r="E363" s="12">
        <v>10</v>
      </c>
      <c r="F363" s="28">
        <v>1.1919999999999999</v>
      </c>
      <c r="G363" s="28">
        <v>3.3527500000000002E-2</v>
      </c>
      <c r="H363" s="28">
        <v>0</v>
      </c>
      <c r="I363" s="28">
        <v>0.23935949999999998</v>
      </c>
      <c r="J363" s="33">
        <v>0</v>
      </c>
      <c r="K363" s="33">
        <v>0</v>
      </c>
    </row>
    <row r="364" spans="1:22">
      <c r="A364" s="16">
        <v>2</v>
      </c>
      <c r="B364" s="24">
        <v>41953</v>
      </c>
      <c r="C364" s="16">
        <v>2014</v>
      </c>
      <c r="D364" s="11" t="s">
        <v>37</v>
      </c>
      <c r="E364" s="12">
        <v>11</v>
      </c>
      <c r="F364" s="28">
        <v>0.73899999999999999</v>
      </c>
      <c r="G364" s="28">
        <v>0</v>
      </c>
      <c r="H364" s="28">
        <v>0</v>
      </c>
      <c r="I364" s="28">
        <v>0.17703474999999996</v>
      </c>
      <c r="J364" s="33">
        <v>0</v>
      </c>
      <c r="K364" s="33">
        <v>0</v>
      </c>
    </row>
    <row r="365" spans="1:22">
      <c r="A365" s="16">
        <v>16</v>
      </c>
      <c r="B365" s="24">
        <v>41953</v>
      </c>
      <c r="C365" s="16">
        <v>2014</v>
      </c>
      <c r="D365" s="11" t="s">
        <v>37</v>
      </c>
      <c r="E365" s="12">
        <v>11</v>
      </c>
      <c r="F365" s="28">
        <v>0.96599999999999997</v>
      </c>
      <c r="G365" s="28">
        <v>0</v>
      </c>
      <c r="H365" s="28">
        <v>0</v>
      </c>
      <c r="I365" s="28">
        <v>0.114953125</v>
      </c>
      <c r="J365" s="33">
        <v>1.0116374999999999E-2</v>
      </c>
      <c r="K365" s="33">
        <v>0</v>
      </c>
    </row>
    <row r="366" spans="1:22">
      <c r="A366" s="16">
        <v>2</v>
      </c>
      <c r="B366" s="24">
        <v>41988</v>
      </c>
      <c r="C366" s="16">
        <v>2014</v>
      </c>
      <c r="D366" s="11" t="s">
        <v>38</v>
      </c>
      <c r="E366" s="12">
        <v>12</v>
      </c>
      <c r="F366" s="28">
        <v>1.9239999999999999</v>
      </c>
      <c r="G366" s="28">
        <v>4.3015749999999991E-2</v>
      </c>
      <c r="H366" s="28">
        <v>0</v>
      </c>
      <c r="I366" s="28">
        <v>0.73587625000000012</v>
      </c>
      <c r="J366" s="33">
        <v>0</v>
      </c>
      <c r="K366" s="33">
        <v>0</v>
      </c>
    </row>
    <row r="367" spans="1:22">
      <c r="A367" s="16">
        <v>16</v>
      </c>
      <c r="B367" s="24">
        <v>41988</v>
      </c>
      <c r="C367" s="16">
        <v>2014</v>
      </c>
      <c r="D367" s="11" t="s">
        <v>38</v>
      </c>
      <c r="E367" s="12">
        <v>12</v>
      </c>
      <c r="F367" s="28">
        <v>2.33</v>
      </c>
      <c r="G367" s="28">
        <v>5.208900000000001E-2</v>
      </c>
      <c r="H367" s="28">
        <v>0</v>
      </c>
      <c r="I367" s="28">
        <v>0.81190949999999984</v>
      </c>
      <c r="J367" s="33">
        <v>0</v>
      </c>
      <c r="K367" s="33">
        <v>0</v>
      </c>
      <c r="L367" s="36" t="s">
        <v>42</v>
      </c>
    </row>
    <row r="368" spans="1:22" ht="38.25">
      <c r="L368" s="36" t="s">
        <v>60</v>
      </c>
      <c r="M368" s="6" t="s">
        <v>7</v>
      </c>
      <c r="N368" s="6" t="s">
        <v>8</v>
      </c>
      <c r="O368" s="6" t="s">
        <v>9</v>
      </c>
      <c r="P368" s="6" t="s">
        <v>10</v>
      </c>
      <c r="Q368" s="6" t="s">
        <v>11</v>
      </c>
      <c r="R368" s="6" t="s">
        <v>12</v>
      </c>
      <c r="S368" s="69" t="s">
        <v>77</v>
      </c>
      <c r="T368" s="69" t="s">
        <v>78</v>
      </c>
      <c r="U368" s="69" t="s">
        <v>79</v>
      </c>
      <c r="V368" s="69" t="s">
        <v>80</v>
      </c>
    </row>
    <row r="369" spans="12:22">
      <c r="L369" s="36" t="s">
        <v>61</v>
      </c>
      <c r="M369" s="37">
        <f t="shared" ref="M369:R369" si="12">M2</f>
        <v>1.7292685159148606</v>
      </c>
      <c r="N369" s="37">
        <f t="shared" si="12"/>
        <v>1.5595565777777778E-2</v>
      </c>
      <c r="O369" s="37">
        <f t="shared" si="12"/>
        <v>0</v>
      </c>
      <c r="P369" s="37">
        <f t="shared" si="12"/>
        <v>0.45013217855555548</v>
      </c>
      <c r="Q369" s="37">
        <f t="shared" si="12"/>
        <v>1.1238972E-2</v>
      </c>
      <c r="R369" s="37">
        <f t="shared" si="12"/>
        <v>0</v>
      </c>
      <c r="S369" s="29">
        <f>N369/M369</f>
        <v>9.0185911755451265E-3</v>
      </c>
      <c r="T369" s="29">
        <f>O369/M369</f>
        <v>0</v>
      </c>
      <c r="U369" s="29">
        <f>P369/M369</f>
        <v>0.26030207247335174</v>
      </c>
      <c r="V369" s="29">
        <f>Q369/M369</f>
        <v>6.499263646197872E-3</v>
      </c>
    </row>
    <row r="370" spans="12:22">
      <c r="L370" s="36" t="s">
        <v>62</v>
      </c>
      <c r="M370" s="37">
        <f>M8</f>
        <v>4.1735138890639165</v>
      </c>
      <c r="N370" s="37">
        <f t="shared" ref="N370:P370" si="13">N8</f>
        <v>7.3580804388888893E-2</v>
      </c>
      <c r="O370" s="37">
        <f t="shared" si="13"/>
        <v>7.772320182638888E-2</v>
      </c>
      <c r="P370" s="37">
        <f t="shared" si="13"/>
        <v>1.051398786673611</v>
      </c>
      <c r="Q370" s="37">
        <f t="shared" ref="Q370:R370" si="14">Q8</f>
        <v>0.23987087974999999</v>
      </c>
      <c r="R370" s="37">
        <f t="shared" si="14"/>
        <v>0</v>
      </c>
      <c r="S370" s="29">
        <f t="shared" ref="S370:S384" si="15">N370/M370</f>
        <v>1.763042039507683E-2</v>
      </c>
      <c r="T370" s="29">
        <f t="shared" ref="T370:T384" si="16">O370/M370</f>
        <v>1.8622964698895857E-2</v>
      </c>
      <c r="U370" s="29">
        <f t="shared" ref="U370:U384" si="17">P370/M370</f>
        <v>0.25192171743543201</v>
      </c>
      <c r="V370" s="29">
        <f t="shared" ref="V370:V384" si="18">Q370/M370</f>
        <v>5.74745612752234E-2</v>
      </c>
    </row>
    <row r="371" spans="12:22">
      <c r="L371" s="36" t="s">
        <v>63</v>
      </c>
      <c r="M371" s="37">
        <f>M32</f>
        <v>3.594680155092004</v>
      </c>
      <c r="N371" s="37">
        <f t="shared" ref="N371:P371" si="19">N32</f>
        <v>6.8748052824742778E-2</v>
      </c>
      <c r="O371" s="37">
        <f t="shared" si="19"/>
        <v>0.28302041485322293</v>
      </c>
      <c r="P371" s="37">
        <f t="shared" si="19"/>
        <v>0.99155578072367334</v>
      </c>
      <c r="Q371" s="37">
        <f t="shared" ref="Q371:R371" si="20">Q32</f>
        <v>0.12743314217519405</v>
      </c>
      <c r="R371" s="37">
        <f t="shared" si="20"/>
        <v>0</v>
      </c>
      <c r="S371" s="29">
        <f t="shared" si="15"/>
        <v>1.9124942931948618E-2</v>
      </c>
      <c r="T371" s="29">
        <f t="shared" si="16"/>
        <v>7.8733128579552072E-2</v>
      </c>
      <c r="U371" s="29">
        <f t="shared" si="17"/>
        <v>0.27583977932476023</v>
      </c>
      <c r="V371" s="29">
        <f t="shared" si="18"/>
        <v>3.5450481455124749E-2</v>
      </c>
    </row>
    <row r="372" spans="12:22">
      <c r="L372" s="36" t="s">
        <v>64</v>
      </c>
      <c r="M372" s="37">
        <f>M56</f>
        <v>4.0752459630152451</v>
      </c>
      <c r="N372" s="37">
        <f t="shared" ref="N372:P372" si="21">N56</f>
        <v>0.10307542987111352</v>
      </c>
      <c r="O372" s="37">
        <f t="shared" si="21"/>
        <v>0.2438884199862961</v>
      </c>
      <c r="P372" s="37">
        <f t="shared" si="21"/>
        <v>0.49468768763341031</v>
      </c>
      <c r="Q372" s="37">
        <f t="shared" ref="Q372:R372" si="22">Q56</f>
        <v>1.7552887383911645E-2</v>
      </c>
      <c r="R372" s="37">
        <f t="shared" si="22"/>
        <v>0</v>
      </c>
      <c r="S372" s="29">
        <f t="shared" si="15"/>
        <v>2.5293057353242245E-2</v>
      </c>
      <c r="T372" s="29">
        <f t="shared" si="16"/>
        <v>5.9846306750487473E-2</v>
      </c>
      <c r="U372" s="29">
        <f t="shared" si="17"/>
        <v>0.12138842467986753</v>
      </c>
      <c r="V372" s="29">
        <f t="shared" si="18"/>
        <v>4.3071970485247446E-3</v>
      </c>
    </row>
    <row r="373" spans="12:22">
      <c r="L373" s="36" t="s">
        <v>65</v>
      </c>
      <c r="M373" s="37">
        <f>M80</f>
        <v>8.3208806146188987</v>
      </c>
      <c r="N373" s="37">
        <f t="shared" ref="N373:P373" si="23">N80</f>
        <v>0.1271234511643704</v>
      </c>
      <c r="O373" s="37">
        <f t="shared" si="23"/>
        <v>0.22462717123529205</v>
      </c>
      <c r="P373" s="37">
        <f t="shared" si="23"/>
        <v>2.1460492314787865</v>
      </c>
      <c r="Q373" s="37">
        <f t="shared" ref="Q373:R373" si="24">Q80</f>
        <v>0.38287047814496339</v>
      </c>
      <c r="R373" s="37">
        <f t="shared" si="24"/>
        <v>0</v>
      </c>
      <c r="S373" s="29">
        <f t="shared" si="15"/>
        <v>1.5277643924013052E-2</v>
      </c>
      <c r="T373" s="29">
        <f t="shared" si="16"/>
        <v>2.6995600783004396E-2</v>
      </c>
      <c r="U373" s="29">
        <f t="shared" si="17"/>
        <v>0.25791131141917928</v>
      </c>
      <c r="V373" s="29">
        <f t="shared" si="18"/>
        <v>4.6013216133915062E-2</v>
      </c>
    </row>
    <row r="374" spans="12:22">
      <c r="L374" s="36" t="s">
        <v>66</v>
      </c>
      <c r="M374" s="37">
        <f>M104</f>
        <v>8.6886666666666645</v>
      </c>
      <c r="N374" s="37">
        <f t="shared" ref="N374:P374" si="25">N104</f>
        <v>8.4583638507811948E-2</v>
      </c>
      <c r="O374" s="37">
        <f t="shared" si="25"/>
        <v>0.23786481496596379</v>
      </c>
      <c r="P374" s="37">
        <f t="shared" si="25"/>
        <v>2.2772366747213382</v>
      </c>
      <c r="Q374" s="37">
        <f t="shared" ref="Q374:R374" si="26">Q104</f>
        <v>0.37580422325421553</v>
      </c>
      <c r="R374" s="37">
        <f t="shared" si="26"/>
        <v>2.3660720517882953E-3</v>
      </c>
      <c r="S374" s="29">
        <f t="shared" si="15"/>
        <v>9.7349388292578796E-3</v>
      </c>
      <c r="T374" s="29">
        <f t="shared" si="16"/>
        <v>2.7376446132812534E-2</v>
      </c>
      <c r="U374" s="29">
        <f t="shared" si="17"/>
        <v>0.26209276544786375</v>
      </c>
      <c r="V374" s="29">
        <f t="shared" si="18"/>
        <v>4.3252231633647158E-2</v>
      </c>
    </row>
    <row r="375" spans="12:22">
      <c r="L375" s="36" t="s">
        <v>67</v>
      </c>
      <c r="M375" s="37">
        <f>M128</f>
        <v>7.9350654166666645</v>
      </c>
      <c r="N375" s="37">
        <f t="shared" ref="N375:P375" si="27">N128</f>
        <v>0.1137489220698099</v>
      </c>
      <c r="O375" s="37">
        <f t="shared" si="27"/>
        <v>0.26396839237567665</v>
      </c>
      <c r="P375" s="37">
        <f t="shared" si="27"/>
        <v>2.1264712785172954</v>
      </c>
      <c r="Q375" s="37">
        <f t="shared" ref="Q375:R375" si="28">Q128</f>
        <v>0.33870423100748864</v>
      </c>
      <c r="R375" s="37">
        <f t="shared" si="28"/>
        <v>3.8224511501085182E-3</v>
      </c>
      <c r="S375" s="29">
        <f t="shared" si="15"/>
        <v>1.4334969669045673E-2</v>
      </c>
      <c r="T375" s="29">
        <f t="shared" si="16"/>
        <v>3.3266063795925657E-2</v>
      </c>
      <c r="U375" s="29">
        <f t="shared" si="17"/>
        <v>0.26798408921127409</v>
      </c>
      <c r="V375" s="29">
        <f t="shared" si="18"/>
        <v>4.2684491333377109E-2</v>
      </c>
    </row>
    <row r="376" spans="12:22">
      <c r="L376" s="36" t="s">
        <v>68</v>
      </c>
      <c r="M376" s="37">
        <f>M152</f>
        <v>8.8330750000000009</v>
      </c>
      <c r="N376" s="37">
        <f t="shared" ref="N376:P376" si="29">N152</f>
        <v>5.4762491666666663E-2</v>
      </c>
      <c r="O376" s="37">
        <f t="shared" si="29"/>
        <v>0.26908332916666672</v>
      </c>
      <c r="P376" s="37">
        <f t="shared" si="29"/>
        <v>2.9206583333333334</v>
      </c>
      <c r="Q376" s="37">
        <f t="shared" ref="Q376:R376" si="30">Q152</f>
        <v>0.41899166666666665</v>
      </c>
      <c r="R376" s="37">
        <f t="shared" si="30"/>
        <v>3.2497499999999997E-4</v>
      </c>
      <c r="S376" s="29">
        <f t="shared" si="15"/>
        <v>6.1997086707252748E-3</v>
      </c>
      <c r="T376" s="29">
        <f t="shared" si="16"/>
        <v>3.0463154582822709E-2</v>
      </c>
      <c r="U376" s="29">
        <f t="shared" si="17"/>
        <v>0.33065023599746785</v>
      </c>
      <c r="V376" s="29">
        <f t="shared" si="18"/>
        <v>4.7434406100555764E-2</v>
      </c>
    </row>
    <row r="377" spans="12:22">
      <c r="L377" s="36" t="s">
        <v>69</v>
      </c>
      <c r="M377" s="37">
        <f>M176</f>
        <v>8.9021250000000016</v>
      </c>
      <c r="N377" s="37">
        <f t="shared" ref="N377:P377" si="31">N176</f>
        <v>7.7791654166666682E-2</v>
      </c>
      <c r="O377" s="37">
        <f t="shared" si="31"/>
        <v>0.48608329166666664</v>
      </c>
      <c r="P377" s="37">
        <f t="shared" si="31"/>
        <v>2.4671249999999998</v>
      </c>
      <c r="Q377" s="37">
        <f t="shared" ref="Q377:R377" si="32">Q176</f>
        <v>0.52262500000000001</v>
      </c>
      <c r="R377" s="37">
        <f t="shared" si="32"/>
        <v>1.6665749999999994E-3</v>
      </c>
      <c r="S377" s="29">
        <f t="shared" si="15"/>
        <v>8.7385488483554957E-3</v>
      </c>
      <c r="T377" s="29">
        <f t="shared" si="16"/>
        <v>5.4603062939092242E-2</v>
      </c>
      <c r="U377" s="29">
        <f t="shared" si="17"/>
        <v>0.27713888537849102</v>
      </c>
      <c r="V377" s="29">
        <f t="shared" si="18"/>
        <v>5.870789277840964E-2</v>
      </c>
    </row>
    <row r="378" spans="12:22">
      <c r="L378" s="36" t="s">
        <v>70</v>
      </c>
      <c r="M378" s="37">
        <f>M200</f>
        <v>6.6114999999999986</v>
      </c>
      <c r="N378" s="37">
        <f t="shared" ref="N378:P378" si="33">N200</f>
        <v>0.13358332916666665</v>
      </c>
      <c r="O378" s="37">
        <f t="shared" si="33"/>
        <v>0.16383327500000003</v>
      </c>
      <c r="P378" s="37">
        <f t="shared" si="33"/>
        <v>1.8214583333333332</v>
      </c>
      <c r="Q378" s="37">
        <f t="shared" ref="Q378:R378" si="34">Q200</f>
        <v>0.34225</v>
      </c>
      <c r="R378" s="37">
        <f t="shared" si="34"/>
        <v>9.999000000000004E-4</v>
      </c>
      <c r="S378" s="29">
        <f t="shared" si="15"/>
        <v>2.0204693211323704E-2</v>
      </c>
      <c r="T378" s="29">
        <f t="shared" si="16"/>
        <v>2.478004613174016E-2</v>
      </c>
      <c r="U378" s="29">
        <f t="shared" si="17"/>
        <v>0.27549850008823012</v>
      </c>
      <c r="V378" s="29">
        <f t="shared" si="18"/>
        <v>5.1765862512289207E-2</v>
      </c>
    </row>
    <row r="379" spans="12:22">
      <c r="L379" s="36" t="s">
        <v>71</v>
      </c>
      <c r="M379" s="37">
        <f>M224</f>
        <v>7.3840000000000003</v>
      </c>
      <c r="N379" s="37">
        <f t="shared" ref="N379:P379" si="35">N224</f>
        <v>0.10970833333333335</v>
      </c>
      <c r="O379" s="37">
        <f t="shared" si="35"/>
        <v>0.13083329583333334</v>
      </c>
      <c r="P379" s="37">
        <f t="shared" si="35"/>
        <v>1.9290416666666668</v>
      </c>
      <c r="Q379" s="37">
        <f t="shared" ref="Q379:R379" si="36">Q224</f>
        <v>0.46770833333333345</v>
      </c>
      <c r="R379" s="37">
        <f t="shared" si="36"/>
        <v>9.9992083333333404E-4</v>
      </c>
      <c r="S379" s="29">
        <f t="shared" si="15"/>
        <v>1.485757493680029E-2</v>
      </c>
      <c r="T379" s="29">
        <f t="shared" si="16"/>
        <v>1.7718485351209821E-2</v>
      </c>
      <c r="U379" s="29">
        <f t="shared" si="17"/>
        <v>0.261246162874684</v>
      </c>
      <c r="V379" s="29">
        <f t="shared" si="18"/>
        <v>6.334078187071146E-2</v>
      </c>
    </row>
    <row r="380" spans="12:22">
      <c r="L380" s="36" t="s">
        <v>72</v>
      </c>
      <c r="M380" s="37">
        <f>M248</f>
        <v>5.749791666666666</v>
      </c>
      <c r="N380" s="37">
        <f t="shared" ref="N380:P380" si="37">N248</f>
        <v>0.13059855729166669</v>
      </c>
      <c r="O380" s="37">
        <f t="shared" si="37"/>
        <v>1.9166026041666666E-2</v>
      </c>
      <c r="P380" s="37">
        <f t="shared" si="37"/>
        <v>1.9425178489583335</v>
      </c>
      <c r="Q380" s="37">
        <f t="shared" ref="Q380:R380" si="38">Q248</f>
        <v>0.3966031145833333</v>
      </c>
      <c r="R380" s="37">
        <f t="shared" si="38"/>
        <v>0</v>
      </c>
      <c r="S380" s="29">
        <f t="shared" si="15"/>
        <v>2.2713615529548179E-2</v>
      </c>
      <c r="T380" s="29">
        <f t="shared" si="16"/>
        <v>3.3333426935758543E-3</v>
      </c>
      <c r="U380" s="29">
        <f t="shared" si="17"/>
        <v>0.33784143175477377</v>
      </c>
      <c r="V380" s="29">
        <f t="shared" si="18"/>
        <v>6.8976953875140412E-2</v>
      </c>
    </row>
    <row r="381" spans="12:22">
      <c r="L381" s="36" t="s">
        <v>73</v>
      </c>
      <c r="M381" s="37">
        <f>M272</f>
        <v>5.8449999999999998</v>
      </c>
      <c r="N381" s="37">
        <f t="shared" ref="N381:P381" si="39">N272</f>
        <v>0.16516701562500002</v>
      </c>
      <c r="O381" s="37">
        <f t="shared" si="39"/>
        <v>6.123963541666666E-3</v>
      </c>
      <c r="P381" s="37">
        <f t="shared" si="39"/>
        <v>1.518007390625</v>
      </c>
      <c r="Q381" s="37">
        <f t="shared" ref="Q381:R381" si="40">Q272</f>
        <v>0.55159463541666665</v>
      </c>
      <c r="R381" s="37">
        <f t="shared" si="40"/>
        <v>8.5511093749999992E-3</v>
      </c>
      <c r="S381" s="29">
        <f t="shared" si="15"/>
        <v>2.8257829875962367E-2</v>
      </c>
      <c r="T381" s="29">
        <f t="shared" si="16"/>
        <v>1.047726867693185E-3</v>
      </c>
      <c r="U381" s="29">
        <f t="shared" si="17"/>
        <v>0.25971041755774166</v>
      </c>
      <c r="V381" s="29">
        <f t="shared" si="18"/>
        <v>9.4370339677787282E-2</v>
      </c>
    </row>
    <row r="382" spans="12:22">
      <c r="L382" s="36" t="s">
        <v>74</v>
      </c>
      <c r="M382" s="37">
        <f>M296</f>
        <v>5.3225000000000007</v>
      </c>
      <c r="N382" s="37">
        <f t="shared" ref="N382:P382" si="41">N296</f>
        <v>0.11645686458333332</v>
      </c>
      <c r="O382" s="37">
        <f t="shared" si="41"/>
        <v>2.0544432291666664E-2</v>
      </c>
      <c r="P382" s="37">
        <f t="shared" si="41"/>
        <v>2.0900046875</v>
      </c>
      <c r="Q382" s="37">
        <f t="shared" ref="Q382:R382" si="42">Q296</f>
        <v>0.28483956249999998</v>
      </c>
      <c r="R382" s="37">
        <f t="shared" si="42"/>
        <v>1.8427604166666664E-3</v>
      </c>
      <c r="S382" s="29">
        <f t="shared" si="15"/>
        <v>2.1880106074839513E-2</v>
      </c>
      <c r="T382" s="29">
        <f t="shared" si="16"/>
        <v>3.8599215202755588E-3</v>
      </c>
      <c r="U382" s="29">
        <f t="shared" si="17"/>
        <v>0.39267349694692338</v>
      </c>
      <c r="V382" s="29">
        <f t="shared" si="18"/>
        <v>5.3516122592766543E-2</v>
      </c>
    </row>
    <row r="383" spans="12:22">
      <c r="L383" s="36" t="s">
        <v>75</v>
      </c>
      <c r="M383" s="37">
        <f>M320</f>
        <v>3.8372083333333329</v>
      </c>
      <c r="N383" s="37">
        <f t="shared" ref="N383:P383" si="43">N320</f>
        <v>0.19424051041666665</v>
      </c>
      <c r="O383" s="37">
        <f t="shared" si="43"/>
        <v>3.5480208333333333E-4</v>
      </c>
      <c r="P383" s="37">
        <f t="shared" si="43"/>
        <v>1.3571741145833329</v>
      </c>
      <c r="Q383" s="37">
        <f t="shared" ref="Q383:R383" si="44">Q320</f>
        <v>0.10144916145833333</v>
      </c>
      <c r="R383" s="37">
        <f t="shared" si="44"/>
        <v>0</v>
      </c>
      <c r="S383" s="29">
        <f t="shared" si="15"/>
        <v>5.062026701269369E-2</v>
      </c>
      <c r="T383" s="29">
        <f t="shared" si="16"/>
        <v>9.2463596581716318E-5</v>
      </c>
      <c r="U383" s="29">
        <f t="shared" si="17"/>
        <v>0.35368788887320418</v>
      </c>
      <c r="V383" s="29">
        <f t="shared" si="18"/>
        <v>2.6438272995776009E-2</v>
      </c>
    </row>
    <row r="384" spans="12:22">
      <c r="L384" s="36" t="s">
        <v>76</v>
      </c>
      <c r="M384" s="37">
        <f>M344</f>
        <v>3.800791666666667</v>
      </c>
      <c r="N384" s="37">
        <f t="shared" ref="N384:P384" si="45">N344</f>
        <v>0.10893013020833335</v>
      </c>
      <c r="O384" s="37">
        <f t="shared" si="45"/>
        <v>6.0614770833333331E-2</v>
      </c>
      <c r="P384" s="37">
        <f t="shared" si="45"/>
        <v>1.2670828333333333</v>
      </c>
      <c r="Q384" s="37">
        <f t="shared" ref="Q384:R384" si="46">Q344</f>
        <v>0.16780942708333332</v>
      </c>
      <c r="R384" s="37">
        <f t="shared" si="46"/>
        <v>0</v>
      </c>
      <c r="S384" s="29">
        <f t="shared" si="15"/>
        <v>2.8659852936340019E-2</v>
      </c>
      <c r="T384" s="29">
        <f t="shared" si="16"/>
        <v>1.5947932996415219E-2</v>
      </c>
      <c r="U384" s="29">
        <f t="shared" si="17"/>
        <v>0.33337339808592503</v>
      </c>
      <c r="V384" s="29">
        <f t="shared" si="18"/>
        <v>4.4151177386290132E-2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zea update</vt:lpstr>
      <vt:lpstr>fuco update</vt:lpstr>
      <vt:lpstr>but fuco update</vt:lpstr>
      <vt:lpstr>perid update</vt:lpstr>
      <vt:lpstr>1999-2014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2026-02-18T21:16:25Z</dcterms:modified>
</cp:coreProperties>
</file>