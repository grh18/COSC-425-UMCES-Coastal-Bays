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07FA383-6CAE-40CE-9FFD-540841514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ea update" sheetId="7" r:id="rId1"/>
    <sheet name="fuco update" sheetId="6" r:id="rId2"/>
    <sheet name="but-fuco update" sheetId="5" r:id="rId3"/>
    <sheet name="peridin update" sheetId="4" r:id="rId4"/>
    <sheet name="1999-2014" sheetId="1" r:id="rId5"/>
    <sheet name="Sheet2" sheetId="2" r:id="rId6"/>
    <sheet name="Sheet3" sheetId="3" r:id="rId7"/>
  </sheets>
  <definedNames>
    <definedName name="_xlnm._FilterDatabase" localSheetId="5" hidden="1">Sheet2!$L$1:$L$551</definedName>
  </definedNames>
  <calcPr calcId="191029"/>
</workbook>
</file>

<file path=xl/calcChain.xml><?xml version="1.0" encoding="utf-8"?>
<calcChain xmlns="http://schemas.openxmlformats.org/spreadsheetml/2006/main">
  <c r="F914" i="7" l="1"/>
  <c r="F913" i="7"/>
  <c r="N887" i="4"/>
  <c r="N848" i="4"/>
  <c r="N851" i="4"/>
  <c r="N854" i="4" s="1"/>
  <c r="N857" i="4" s="1"/>
  <c r="N860" i="4" s="1"/>
  <c r="N863" i="4" s="1"/>
  <c r="N866" i="4" s="1"/>
  <c r="N869" i="4" s="1"/>
  <c r="N872" i="4" s="1"/>
  <c r="N875" i="4" s="1"/>
  <c r="N878" i="4" s="1"/>
  <c r="N881" i="4" s="1"/>
  <c r="M848" i="4"/>
  <c r="M851" i="4"/>
  <c r="M854" i="4"/>
  <c r="M857" i="4"/>
  <c r="M860" i="4"/>
  <c r="M863" i="4"/>
  <c r="M866" i="4"/>
  <c r="M869" i="4"/>
  <c r="M872" i="4"/>
  <c r="M875" i="4"/>
  <c r="M878" i="4"/>
  <c r="M881" i="4"/>
  <c r="M887" i="4"/>
  <c r="L848" i="4"/>
  <c r="L851" i="4"/>
  <c r="L854" i="4"/>
  <c r="L857" i="4"/>
  <c r="L860" i="4"/>
  <c r="L863" i="4"/>
  <c r="L866" i="4"/>
  <c r="L869" i="4"/>
  <c r="L872" i="4"/>
  <c r="L875" i="4"/>
  <c r="L878" i="4"/>
  <c r="L881" i="4"/>
  <c r="L887" i="4"/>
  <c r="J848" i="4"/>
  <c r="J851" i="4"/>
  <c r="J854" i="4"/>
  <c r="J857" i="4"/>
  <c r="J860" i="4"/>
  <c r="J863" i="4"/>
  <c r="J866" i="4"/>
  <c r="J869" i="4"/>
  <c r="J872" i="4"/>
  <c r="J875" i="4"/>
  <c r="J878" i="4"/>
  <c r="J881" i="4"/>
  <c r="J887" i="4"/>
  <c r="I848" i="4"/>
  <c r="I851" i="4"/>
  <c r="I854" i="4"/>
  <c r="I857" i="4"/>
  <c r="I860" i="4"/>
  <c r="I863" i="4"/>
  <c r="I866" i="4"/>
  <c r="I869" i="4"/>
  <c r="I872" i="4"/>
  <c r="I875" i="4"/>
  <c r="I878" i="4"/>
  <c r="I881" i="4"/>
  <c r="I887" i="4"/>
  <c r="L845" i="4"/>
  <c r="J845" i="4"/>
  <c r="I845" i="4"/>
  <c r="L842" i="4"/>
  <c r="J842" i="4"/>
  <c r="I842" i="4"/>
  <c r="L797" i="4"/>
  <c r="L800" i="4"/>
  <c r="L803" i="4"/>
  <c r="J797" i="4"/>
  <c r="J800" i="4"/>
  <c r="J803" i="4"/>
  <c r="I797" i="4"/>
  <c r="I800" i="4"/>
  <c r="I803" i="4"/>
  <c r="L794" i="4"/>
  <c r="J794" i="4"/>
  <c r="I794" i="4"/>
  <c r="L791" i="4"/>
  <c r="J791" i="4"/>
  <c r="I791" i="4"/>
  <c r="L779" i="4"/>
  <c r="L782" i="4"/>
  <c r="L785" i="4"/>
  <c r="J779" i="4"/>
  <c r="J782" i="4"/>
  <c r="J785" i="4"/>
  <c r="I779" i="4"/>
  <c r="I782" i="4"/>
  <c r="I785" i="4"/>
  <c r="L776" i="4"/>
  <c r="I776" i="4"/>
  <c r="J776" i="4"/>
  <c r="L773" i="4"/>
  <c r="J773" i="4"/>
  <c r="I773" i="4"/>
  <c r="L755" i="4"/>
  <c r="L758" i="4"/>
  <c r="L761" i="4"/>
  <c r="L764" i="4"/>
  <c r="J755" i="4"/>
  <c r="J758" i="4"/>
  <c r="J761" i="4"/>
  <c r="J764" i="4"/>
  <c r="I755" i="4"/>
  <c r="I758" i="4"/>
  <c r="I761" i="4"/>
  <c r="I764" i="4"/>
  <c r="L752" i="4"/>
  <c r="J752" i="4"/>
  <c r="I752" i="4"/>
  <c r="L749" i="4"/>
  <c r="J749" i="4"/>
  <c r="I749" i="4"/>
  <c r="L737" i="4"/>
  <c r="J737" i="4"/>
  <c r="I737" i="4"/>
  <c r="L914" i="4"/>
  <c r="L913" i="4"/>
  <c r="M845" i="4" s="1"/>
  <c r="N887" i="7"/>
  <c r="L914" i="5"/>
  <c r="M875" i="5" s="1"/>
  <c r="L913" i="5"/>
  <c r="L848" i="5"/>
  <c r="L851" i="5"/>
  <c r="L854" i="5"/>
  <c r="L857" i="5"/>
  <c r="L860" i="5"/>
  <c r="L863" i="5"/>
  <c r="L866" i="5"/>
  <c r="L869" i="5"/>
  <c r="L872" i="5"/>
  <c r="L875" i="5"/>
  <c r="L878" i="5"/>
  <c r="L881" i="5"/>
  <c r="L887" i="5"/>
  <c r="J848" i="5"/>
  <c r="J851" i="5"/>
  <c r="J854" i="5"/>
  <c r="J857" i="5"/>
  <c r="J860" i="5"/>
  <c r="J863" i="5"/>
  <c r="J866" i="5"/>
  <c r="J869" i="5"/>
  <c r="J872" i="5"/>
  <c r="J875" i="5"/>
  <c r="J878" i="5"/>
  <c r="J881" i="5"/>
  <c r="J887" i="5"/>
  <c r="I848" i="5"/>
  <c r="I851" i="5"/>
  <c r="I854" i="5"/>
  <c r="I857" i="5"/>
  <c r="I860" i="5"/>
  <c r="I863" i="5"/>
  <c r="I866" i="5"/>
  <c r="I869" i="5"/>
  <c r="I872" i="5"/>
  <c r="I875" i="5"/>
  <c r="I878" i="5"/>
  <c r="I881" i="5"/>
  <c r="I887" i="5"/>
  <c r="L845" i="5"/>
  <c r="J845" i="5"/>
  <c r="I845" i="5"/>
  <c r="L842" i="5"/>
  <c r="J842" i="5"/>
  <c r="I842" i="5"/>
  <c r="L797" i="5"/>
  <c r="L800" i="5"/>
  <c r="L803" i="5"/>
  <c r="J797" i="5"/>
  <c r="J800" i="5"/>
  <c r="J803" i="5"/>
  <c r="I797" i="5"/>
  <c r="I800" i="5"/>
  <c r="I803" i="5"/>
  <c r="L794" i="5"/>
  <c r="J794" i="5"/>
  <c r="I794" i="5"/>
  <c r="L791" i="5"/>
  <c r="J791" i="5"/>
  <c r="I791" i="5"/>
  <c r="L776" i="5"/>
  <c r="L779" i="5"/>
  <c r="L782" i="5"/>
  <c r="L785" i="5"/>
  <c r="J776" i="5"/>
  <c r="J779" i="5"/>
  <c r="J782" i="5"/>
  <c r="J785" i="5"/>
  <c r="I776" i="5"/>
  <c r="I779" i="5"/>
  <c r="I782" i="5"/>
  <c r="I785" i="5"/>
  <c r="L773" i="5"/>
  <c r="J773" i="5"/>
  <c r="I773" i="5"/>
  <c r="L752" i="5"/>
  <c r="L755" i="5"/>
  <c r="L758" i="5"/>
  <c r="L761" i="5"/>
  <c r="L764" i="5"/>
  <c r="J752" i="5"/>
  <c r="J755" i="5"/>
  <c r="J758" i="5"/>
  <c r="J761" i="5"/>
  <c r="J764" i="5"/>
  <c r="I764" i="5"/>
  <c r="I761" i="5"/>
  <c r="I752" i="5"/>
  <c r="I755" i="5"/>
  <c r="I758" i="5"/>
  <c r="L749" i="5"/>
  <c r="J749" i="5"/>
  <c r="I749" i="5"/>
  <c r="L737" i="5"/>
  <c r="J737" i="5"/>
  <c r="I737" i="5"/>
  <c r="N887" i="6"/>
  <c r="N848" i="6"/>
  <c r="N851" i="6" s="1"/>
  <c r="N854" i="6" s="1"/>
  <c r="N857" i="6" s="1"/>
  <c r="N860" i="6" s="1"/>
  <c r="N863" i="6" s="1"/>
  <c r="N866" i="6" s="1"/>
  <c r="N869" i="6" s="1"/>
  <c r="N872" i="6" s="1"/>
  <c r="N875" i="6" s="1"/>
  <c r="N878" i="6" s="1"/>
  <c r="N881" i="6" s="1"/>
  <c r="M848" i="6"/>
  <c r="M851" i="6"/>
  <c r="M854" i="6"/>
  <c r="M857" i="6"/>
  <c r="M860" i="6"/>
  <c r="M863" i="6"/>
  <c r="M866" i="6"/>
  <c r="M869" i="6"/>
  <c r="M872" i="6"/>
  <c r="M875" i="6"/>
  <c r="M878" i="6"/>
  <c r="M881" i="6"/>
  <c r="M887" i="6"/>
  <c r="L848" i="6"/>
  <c r="L851" i="6"/>
  <c r="L854" i="6"/>
  <c r="L857" i="6"/>
  <c r="L914" i="6" s="1"/>
  <c r="L860" i="6"/>
  <c r="L863" i="6"/>
  <c r="L866" i="6"/>
  <c r="L869" i="6"/>
  <c r="L872" i="6"/>
  <c r="L875" i="6"/>
  <c r="L878" i="6"/>
  <c r="L881" i="6"/>
  <c r="L887" i="6"/>
  <c r="J848" i="6"/>
  <c r="J851" i="6"/>
  <c r="J854" i="6"/>
  <c r="J857" i="6"/>
  <c r="J860" i="6"/>
  <c r="J863" i="6"/>
  <c r="J866" i="6"/>
  <c r="J869" i="6"/>
  <c r="J872" i="6"/>
  <c r="J875" i="6"/>
  <c r="J878" i="6"/>
  <c r="J881" i="6"/>
  <c r="J887" i="6"/>
  <c r="I848" i="6"/>
  <c r="I851" i="6"/>
  <c r="I854" i="6"/>
  <c r="I857" i="6"/>
  <c r="I860" i="6"/>
  <c r="I863" i="6"/>
  <c r="I866" i="6"/>
  <c r="I869" i="6"/>
  <c r="I872" i="6"/>
  <c r="I875" i="6"/>
  <c r="I878" i="6"/>
  <c r="I881" i="6"/>
  <c r="I887" i="6"/>
  <c r="L845" i="6"/>
  <c r="J845" i="6"/>
  <c r="I845" i="6"/>
  <c r="L842" i="6"/>
  <c r="J842" i="6"/>
  <c r="I842" i="6"/>
  <c r="L794" i="6"/>
  <c r="L797" i="6"/>
  <c r="L800" i="6"/>
  <c r="L803" i="6"/>
  <c r="J794" i="6"/>
  <c r="J797" i="6"/>
  <c r="J800" i="6"/>
  <c r="J803" i="6"/>
  <c r="I794" i="6"/>
  <c r="I797" i="6"/>
  <c r="I800" i="6"/>
  <c r="I803" i="6"/>
  <c r="L791" i="6"/>
  <c r="J791" i="6"/>
  <c r="I791" i="6"/>
  <c r="L779" i="6"/>
  <c r="L782" i="6"/>
  <c r="L785" i="6"/>
  <c r="J779" i="6"/>
  <c r="J782" i="6"/>
  <c r="J785" i="6"/>
  <c r="I779" i="6"/>
  <c r="I782" i="6"/>
  <c r="I785" i="6"/>
  <c r="L776" i="6"/>
  <c r="J776" i="6"/>
  <c r="I776" i="6"/>
  <c r="L773" i="6"/>
  <c r="J773" i="6"/>
  <c r="I773" i="6"/>
  <c r="L752" i="6"/>
  <c r="L755" i="6"/>
  <c r="L758" i="6"/>
  <c r="L761" i="6"/>
  <c r="L764" i="6"/>
  <c r="J752" i="6"/>
  <c r="J755" i="6"/>
  <c r="J758" i="6"/>
  <c r="J761" i="6"/>
  <c r="J764" i="6"/>
  <c r="I752" i="6"/>
  <c r="I755" i="6"/>
  <c r="I758" i="6"/>
  <c r="I761" i="6"/>
  <c r="I764" i="6"/>
  <c r="L749" i="6"/>
  <c r="J749" i="6"/>
  <c r="I749" i="6"/>
  <c r="L737" i="6"/>
  <c r="J737" i="6"/>
  <c r="I737" i="6"/>
  <c r="L848" i="7"/>
  <c r="L851" i="7"/>
  <c r="L854" i="7"/>
  <c r="L857" i="7"/>
  <c r="L860" i="7"/>
  <c r="L863" i="7"/>
  <c r="L866" i="7"/>
  <c r="L869" i="7"/>
  <c r="L872" i="7"/>
  <c r="L875" i="7"/>
  <c r="L878" i="7"/>
  <c r="L881" i="7"/>
  <c r="L887" i="7"/>
  <c r="L845" i="7"/>
  <c r="L842" i="7"/>
  <c r="J845" i="7"/>
  <c r="J848" i="7"/>
  <c r="J851" i="7"/>
  <c r="J854" i="7"/>
  <c r="J857" i="7"/>
  <c r="J860" i="7"/>
  <c r="J863" i="7"/>
  <c r="J866" i="7"/>
  <c r="J869" i="7"/>
  <c r="J872" i="7"/>
  <c r="J875" i="7"/>
  <c r="J878" i="7"/>
  <c r="J881" i="7"/>
  <c r="J887" i="7"/>
  <c r="I845" i="7"/>
  <c r="I848" i="7"/>
  <c r="I851" i="7"/>
  <c r="I854" i="7"/>
  <c r="I857" i="7"/>
  <c r="I860" i="7"/>
  <c r="I863" i="7"/>
  <c r="I866" i="7"/>
  <c r="I869" i="7"/>
  <c r="I872" i="7"/>
  <c r="I875" i="7"/>
  <c r="I878" i="7"/>
  <c r="I881" i="7"/>
  <c r="I887" i="7"/>
  <c r="J842" i="7"/>
  <c r="I842" i="7"/>
  <c r="L797" i="7"/>
  <c r="L800" i="7"/>
  <c r="L803" i="7"/>
  <c r="L794" i="7"/>
  <c r="J794" i="7"/>
  <c r="J797" i="7"/>
  <c r="J800" i="7"/>
  <c r="J803" i="7"/>
  <c r="I794" i="7"/>
  <c r="I797" i="7"/>
  <c r="I800" i="7"/>
  <c r="I803" i="7"/>
  <c r="L791" i="7"/>
  <c r="J791" i="7"/>
  <c r="I791" i="7"/>
  <c r="L776" i="7"/>
  <c r="L779" i="7"/>
  <c r="L782" i="7"/>
  <c r="L785" i="7"/>
  <c r="J776" i="7"/>
  <c r="J779" i="7"/>
  <c r="J782" i="7"/>
  <c r="J785" i="7"/>
  <c r="I776" i="7"/>
  <c r="I779" i="7"/>
  <c r="I782" i="7"/>
  <c r="I785" i="7"/>
  <c r="L773" i="7"/>
  <c r="J773" i="7"/>
  <c r="I773" i="7"/>
  <c r="L755" i="7"/>
  <c r="L758" i="7"/>
  <c r="L761" i="7"/>
  <c r="L764" i="7"/>
  <c r="J758" i="7"/>
  <c r="J755" i="7"/>
  <c r="J764" i="7"/>
  <c r="J761" i="7"/>
  <c r="I764" i="7"/>
  <c r="I761" i="7"/>
  <c r="I758" i="7"/>
  <c r="I755" i="7"/>
  <c r="L752" i="7"/>
  <c r="J752" i="7"/>
  <c r="I752" i="7"/>
  <c r="L749" i="7"/>
  <c r="J749" i="7"/>
  <c r="I749" i="7"/>
  <c r="L737" i="7"/>
  <c r="J737" i="7"/>
  <c r="I737" i="7"/>
  <c r="M797" i="4" l="1"/>
  <c r="M842" i="4"/>
  <c r="M803" i="4"/>
  <c r="M800" i="4"/>
  <c r="M776" i="4"/>
  <c r="M794" i="4"/>
  <c r="M791" i="4"/>
  <c r="M713" i="4"/>
  <c r="M785" i="4"/>
  <c r="M782" i="4"/>
  <c r="M779" i="4"/>
  <c r="M755" i="4"/>
  <c r="M773" i="4"/>
  <c r="M758" i="4"/>
  <c r="M752" i="4"/>
  <c r="M761" i="4"/>
  <c r="M764" i="4"/>
  <c r="M662" i="4"/>
  <c r="M749" i="4"/>
  <c r="M737" i="4"/>
  <c r="M113" i="4"/>
  <c r="M230" i="4"/>
  <c r="M332" i="4"/>
  <c r="M455" i="4"/>
  <c r="M596" i="4"/>
  <c r="M182" i="4"/>
  <c r="M350" i="4"/>
  <c r="M470" i="4"/>
  <c r="M680" i="4"/>
  <c r="M131" i="4"/>
  <c r="M236" i="4"/>
  <c r="M353" i="4"/>
  <c r="M473" i="4"/>
  <c r="M683" i="4"/>
  <c r="M5" i="4"/>
  <c r="N5" i="4" s="1"/>
  <c r="M134" i="4"/>
  <c r="M188" i="4"/>
  <c r="M254" i="4"/>
  <c r="M305" i="4"/>
  <c r="M356" i="4"/>
  <c r="M422" i="4"/>
  <c r="M476" i="4"/>
  <c r="M548" i="4"/>
  <c r="M617" i="4"/>
  <c r="M686" i="4"/>
  <c r="M23" i="4"/>
  <c r="M74" i="4"/>
  <c r="M155" i="4"/>
  <c r="M209" i="4"/>
  <c r="M260" i="4"/>
  <c r="M311" i="4"/>
  <c r="M374" i="4"/>
  <c r="M428" i="4"/>
  <c r="M500" i="4"/>
  <c r="M569" i="4"/>
  <c r="M623" i="4"/>
  <c r="M722" i="4"/>
  <c r="M47" i="4"/>
  <c r="M164" i="4"/>
  <c r="M281" i="4"/>
  <c r="M401" i="4"/>
  <c r="M521" i="4"/>
  <c r="M665" i="4"/>
  <c r="M50" i="4"/>
  <c r="M116" i="4"/>
  <c r="M233" i="4"/>
  <c r="M284" i="4"/>
  <c r="M404" i="4"/>
  <c r="M524" i="4"/>
  <c r="M599" i="4"/>
  <c r="M53" i="4"/>
  <c r="M185" i="4"/>
  <c r="M302" i="4"/>
  <c r="M407" i="4"/>
  <c r="M545" i="4"/>
  <c r="M602" i="4"/>
  <c r="M68" i="4"/>
  <c r="M20" i="4"/>
  <c r="M71" i="4"/>
  <c r="M137" i="4"/>
  <c r="M206" i="4"/>
  <c r="M257" i="4"/>
  <c r="M308" i="4"/>
  <c r="M359" i="4"/>
  <c r="M425" i="4"/>
  <c r="M497" i="4"/>
  <c r="M551" i="4"/>
  <c r="M620" i="4"/>
  <c r="M716" i="4"/>
  <c r="M26" i="4"/>
  <c r="M92" i="4"/>
  <c r="M158" i="4"/>
  <c r="M212" i="4"/>
  <c r="M263" i="4"/>
  <c r="M326" i="4"/>
  <c r="M377" i="4"/>
  <c r="M449" i="4"/>
  <c r="M503" i="4"/>
  <c r="M572" i="4"/>
  <c r="M659" i="4"/>
  <c r="M725" i="4"/>
  <c r="M44" i="4"/>
  <c r="M95" i="4"/>
  <c r="M161" i="4"/>
  <c r="M215" i="4"/>
  <c r="M278" i="4"/>
  <c r="M329" i="4"/>
  <c r="M380" i="4"/>
  <c r="M452" i="4"/>
  <c r="M518" i="4"/>
  <c r="M575" i="4"/>
  <c r="M29" i="4"/>
  <c r="M77" i="4"/>
  <c r="M140" i="4"/>
  <c r="M191" i="4"/>
  <c r="M239" i="4"/>
  <c r="M287" i="4"/>
  <c r="M335" i="4"/>
  <c r="M383" i="4"/>
  <c r="M431" i="4"/>
  <c r="M479" i="4"/>
  <c r="M527" i="4"/>
  <c r="M578" i="4"/>
  <c r="M632" i="4"/>
  <c r="M689" i="4"/>
  <c r="M398" i="4"/>
  <c r="M446" i="4"/>
  <c r="M494" i="4"/>
  <c r="M542" i="4"/>
  <c r="M593" i="4"/>
  <c r="M656" i="4"/>
  <c r="M710" i="4"/>
  <c r="M8" i="4"/>
  <c r="M143" i="4"/>
  <c r="M266" i="4"/>
  <c r="M362" i="4"/>
  <c r="M434" i="4"/>
  <c r="M482" i="4"/>
  <c r="M530" i="4"/>
  <c r="M554" i="4"/>
  <c r="M581" i="4"/>
  <c r="M605" i="4"/>
  <c r="M638" i="4"/>
  <c r="M668" i="4"/>
  <c r="M692" i="4"/>
  <c r="M731" i="4"/>
  <c r="M32" i="4"/>
  <c r="M80" i="4"/>
  <c r="M167" i="4"/>
  <c r="M218" i="4"/>
  <c r="M290" i="4"/>
  <c r="M338" i="4"/>
  <c r="M410" i="4"/>
  <c r="M506" i="4"/>
  <c r="M35" i="4"/>
  <c r="M83" i="4"/>
  <c r="M122" i="4"/>
  <c r="M170" i="4"/>
  <c r="M221" i="4"/>
  <c r="M245" i="4"/>
  <c r="M293" i="4"/>
  <c r="M341" i="4"/>
  <c r="M365" i="4"/>
  <c r="M413" i="4"/>
  <c r="M461" i="4"/>
  <c r="M509" i="4"/>
  <c r="M560" i="4"/>
  <c r="M641" i="4"/>
  <c r="M671" i="4"/>
  <c r="M14" i="4"/>
  <c r="M38" i="4"/>
  <c r="M62" i="4"/>
  <c r="M86" i="4"/>
  <c r="M125" i="4"/>
  <c r="M149" i="4"/>
  <c r="M173" i="4"/>
  <c r="M200" i="4"/>
  <c r="M224" i="4"/>
  <c r="M248" i="4"/>
  <c r="M272" i="4"/>
  <c r="M296" i="4"/>
  <c r="M320" i="4"/>
  <c r="M344" i="4"/>
  <c r="M368" i="4"/>
  <c r="M392" i="4"/>
  <c r="M416" i="4"/>
  <c r="M440" i="4"/>
  <c r="M464" i="4"/>
  <c r="M488" i="4"/>
  <c r="M512" i="4"/>
  <c r="M536" i="4"/>
  <c r="M563" i="4"/>
  <c r="M587" i="4"/>
  <c r="M611" i="4"/>
  <c r="M644" i="4"/>
  <c r="M674" i="4"/>
  <c r="M707" i="4"/>
  <c r="M56" i="4"/>
  <c r="M119" i="4"/>
  <c r="M194" i="4"/>
  <c r="M242" i="4"/>
  <c r="M314" i="4"/>
  <c r="M386" i="4"/>
  <c r="M458" i="4"/>
  <c r="M11" i="4"/>
  <c r="M59" i="4"/>
  <c r="M146" i="4"/>
  <c r="M197" i="4"/>
  <c r="M269" i="4"/>
  <c r="M317" i="4"/>
  <c r="M389" i="4"/>
  <c r="M437" i="4"/>
  <c r="M485" i="4"/>
  <c r="M533" i="4"/>
  <c r="M584" i="4"/>
  <c r="M608" i="4"/>
  <c r="M704" i="4"/>
  <c r="M17" i="4"/>
  <c r="M41" i="4"/>
  <c r="M65" i="4"/>
  <c r="M89" i="4"/>
  <c r="M128" i="4"/>
  <c r="M152" i="4"/>
  <c r="M176" i="4"/>
  <c r="M203" i="4"/>
  <c r="M227" i="4"/>
  <c r="M251" i="4"/>
  <c r="M275" i="4"/>
  <c r="M299" i="4"/>
  <c r="M323" i="4"/>
  <c r="M347" i="4"/>
  <c r="M371" i="4"/>
  <c r="M395" i="4"/>
  <c r="M419" i="4"/>
  <c r="M443" i="4"/>
  <c r="M467" i="4"/>
  <c r="M491" i="4"/>
  <c r="M515" i="4"/>
  <c r="M539" i="4"/>
  <c r="M566" i="4"/>
  <c r="M590" i="4"/>
  <c r="M614" i="4"/>
  <c r="M650" i="4"/>
  <c r="M677" i="4"/>
  <c r="M764" i="5"/>
  <c r="M773" i="5"/>
  <c r="M776" i="5"/>
  <c r="M794" i="5"/>
  <c r="M842" i="5"/>
  <c r="M872" i="5"/>
  <c r="M761" i="5"/>
  <c r="M863" i="5"/>
  <c r="M758" i="5"/>
  <c r="M803" i="5"/>
  <c r="M860" i="5"/>
  <c r="M755" i="5"/>
  <c r="M800" i="5"/>
  <c r="M857" i="5"/>
  <c r="M737" i="5"/>
  <c r="M752" i="5"/>
  <c r="M791" i="5"/>
  <c r="M797" i="5"/>
  <c r="M845" i="5"/>
  <c r="M887" i="5"/>
  <c r="M854" i="5"/>
  <c r="M785" i="5"/>
  <c r="M881" i="5"/>
  <c r="M851" i="5"/>
  <c r="M782" i="5"/>
  <c r="M878" i="5"/>
  <c r="M848" i="5"/>
  <c r="M749" i="5"/>
  <c r="M779" i="5"/>
  <c r="M866" i="5"/>
  <c r="M869" i="5"/>
  <c r="L913" i="6"/>
  <c r="M5" i="6" s="1"/>
  <c r="N5" i="6" s="1"/>
  <c r="L914" i="7"/>
  <c r="L913" i="7"/>
  <c r="Z707" i="7"/>
  <c r="Z17" i="7"/>
  <c r="Z41" i="7"/>
  <c r="Z65" i="7"/>
  <c r="Z89" i="7"/>
  <c r="Z11" i="7"/>
  <c r="Z35" i="7"/>
  <c r="Z59" i="7"/>
  <c r="Z83" i="7"/>
  <c r="Z125" i="7"/>
  <c r="Z149" i="7"/>
  <c r="Z173" i="7"/>
  <c r="Z203" i="7"/>
  <c r="Z227" i="7"/>
  <c r="Z251" i="7"/>
  <c r="Z275" i="7"/>
  <c r="Z299" i="7"/>
  <c r="Z323" i="7"/>
  <c r="Z347" i="7"/>
  <c r="Z371" i="7"/>
  <c r="Z395" i="7"/>
  <c r="Z419" i="7"/>
  <c r="Z443" i="7"/>
  <c r="Z467" i="7"/>
  <c r="Z491" i="7"/>
  <c r="Z515" i="7"/>
  <c r="Z539" i="7"/>
  <c r="Z566" i="7"/>
  <c r="Z590" i="7"/>
  <c r="Z614" i="7"/>
  <c r="Z650" i="7"/>
  <c r="Z677" i="7"/>
  <c r="Z710" i="7"/>
  <c r="Z101" i="7"/>
  <c r="Z14" i="7"/>
  <c r="Z38" i="7"/>
  <c r="Z62" i="7"/>
  <c r="Z86" i="7"/>
  <c r="Z128" i="7"/>
  <c r="Z152" i="7"/>
  <c r="Z176" i="7"/>
  <c r="Z206" i="7"/>
  <c r="Z230" i="7"/>
  <c r="Z254" i="7"/>
  <c r="Z278" i="7"/>
  <c r="Z302" i="7"/>
  <c r="Z326" i="7"/>
  <c r="Z350" i="7"/>
  <c r="Z374" i="7"/>
  <c r="Z398" i="7"/>
  <c r="Z422" i="7"/>
  <c r="Z446" i="7"/>
  <c r="Z470" i="7"/>
  <c r="Z494" i="7"/>
  <c r="Z518" i="7"/>
  <c r="Z542" i="7"/>
  <c r="Z569" i="7"/>
  <c r="Z593" i="7"/>
  <c r="Z617" i="7"/>
  <c r="Z656" i="7"/>
  <c r="Z680" i="7"/>
  <c r="Z713" i="7"/>
  <c r="Z104" i="7"/>
  <c r="Z659" i="7"/>
  <c r="Z20" i="7"/>
  <c r="Z44" i="7"/>
  <c r="Z68" i="7"/>
  <c r="Z92" i="7"/>
  <c r="Z134" i="7"/>
  <c r="Z158" i="7"/>
  <c r="Z188" i="7"/>
  <c r="Z212" i="7"/>
  <c r="Z236" i="7"/>
  <c r="Z260" i="7"/>
  <c r="Z284" i="7"/>
  <c r="Z308" i="7"/>
  <c r="Z332" i="7"/>
  <c r="Z356" i="7"/>
  <c r="Z380" i="7"/>
  <c r="Z404" i="7"/>
  <c r="Z428" i="7"/>
  <c r="Z452" i="7"/>
  <c r="Z476" i="7"/>
  <c r="Z500" i="7"/>
  <c r="Z524" i="7"/>
  <c r="Z548" i="7"/>
  <c r="Z575" i="7"/>
  <c r="Z599" i="7"/>
  <c r="Z623" i="7"/>
  <c r="Z662" i="7"/>
  <c r="Z686" i="7"/>
  <c r="Z722" i="7"/>
  <c r="Z110" i="7"/>
  <c r="Z131" i="7"/>
  <c r="Z209" i="7"/>
  <c r="Z281" i="7"/>
  <c r="Z353" i="7"/>
  <c r="Z425" i="7"/>
  <c r="Z521" i="7"/>
  <c r="Z683" i="7"/>
  <c r="Z23" i="7"/>
  <c r="Z47" i="7"/>
  <c r="Z71" i="7"/>
  <c r="Z95" i="7"/>
  <c r="Z137" i="7"/>
  <c r="Z161" i="7"/>
  <c r="Z191" i="7"/>
  <c r="Z215" i="7"/>
  <c r="Z239" i="7"/>
  <c r="Z263" i="7"/>
  <c r="Z287" i="7"/>
  <c r="Z311" i="7"/>
  <c r="Z335" i="7"/>
  <c r="Z359" i="7"/>
  <c r="Z383" i="7"/>
  <c r="Z407" i="7"/>
  <c r="Z431" i="7"/>
  <c r="Z455" i="7"/>
  <c r="Z479" i="7"/>
  <c r="Z503" i="7"/>
  <c r="Z527" i="7"/>
  <c r="Z551" i="7"/>
  <c r="Z578" i="7"/>
  <c r="Z602" i="7"/>
  <c r="Z632" i="7"/>
  <c r="Z665" i="7"/>
  <c r="Z689" i="7"/>
  <c r="Z725" i="7"/>
  <c r="Z113" i="7"/>
  <c r="Z155" i="7"/>
  <c r="Z233" i="7"/>
  <c r="Z305" i="7"/>
  <c r="Z377" i="7"/>
  <c r="Z449" i="7"/>
  <c r="Z497" i="7"/>
  <c r="Z545" i="7"/>
  <c r="Z572" i="7"/>
  <c r="Z596" i="7"/>
  <c r="Z620" i="7"/>
  <c r="Z107" i="7"/>
  <c r="Z26" i="7"/>
  <c r="Z50" i="7"/>
  <c r="Z74" i="7"/>
  <c r="Z116" i="7"/>
  <c r="Z140" i="7"/>
  <c r="Z164" i="7"/>
  <c r="Z194" i="7"/>
  <c r="Z218" i="7"/>
  <c r="Z242" i="7"/>
  <c r="Z266" i="7"/>
  <c r="Z290" i="7"/>
  <c r="Z314" i="7"/>
  <c r="Z338" i="7"/>
  <c r="Z362" i="7"/>
  <c r="Z386" i="7"/>
  <c r="Z410" i="7"/>
  <c r="Z434" i="7"/>
  <c r="Z458" i="7"/>
  <c r="Z482" i="7"/>
  <c r="Z506" i="7"/>
  <c r="Z530" i="7"/>
  <c r="Z554" i="7"/>
  <c r="Z581" i="7"/>
  <c r="Z605" i="7"/>
  <c r="Z638" i="7"/>
  <c r="Z668" i="7"/>
  <c r="Z692" i="7"/>
  <c r="Z731" i="7"/>
  <c r="Z179" i="7"/>
  <c r="Z185" i="7"/>
  <c r="Z257" i="7"/>
  <c r="Z329" i="7"/>
  <c r="Z401" i="7"/>
  <c r="Z473" i="7"/>
  <c r="Z716" i="7"/>
  <c r="Z5" i="7"/>
  <c r="AA5" i="7" s="1"/>
  <c r="Z29" i="7"/>
  <c r="Z53" i="7"/>
  <c r="Z77" i="7"/>
  <c r="Z119" i="7"/>
  <c r="Z143" i="7"/>
  <c r="Z167" i="7"/>
  <c r="Z197" i="7"/>
  <c r="Z221" i="7"/>
  <c r="Z245" i="7"/>
  <c r="Z269" i="7"/>
  <c r="Z293" i="7"/>
  <c r="Z317" i="7"/>
  <c r="Z341" i="7"/>
  <c r="Z365" i="7"/>
  <c r="Z389" i="7"/>
  <c r="Z413" i="7"/>
  <c r="Z437" i="7"/>
  <c r="Z461" i="7"/>
  <c r="Z485" i="7"/>
  <c r="Z509" i="7"/>
  <c r="Z533" i="7"/>
  <c r="Z560" i="7"/>
  <c r="Z584" i="7"/>
  <c r="Z608" i="7"/>
  <c r="Z641" i="7"/>
  <c r="Z671" i="7"/>
  <c r="Z704" i="7"/>
  <c r="Z98" i="7"/>
  <c r="Z182" i="7"/>
  <c r="Z8" i="7"/>
  <c r="Z32" i="7"/>
  <c r="Z56" i="7"/>
  <c r="Z80" i="7"/>
  <c r="Z122" i="7"/>
  <c r="Z146" i="7"/>
  <c r="Z170" i="7"/>
  <c r="Z200" i="7"/>
  <c r="Z224" i="7"/>
  <c r="Z248" i="7"/>
  <c r="Z272" i="7"/>
  <c r="Z296" i="7"/>
  <c r="Z320" i="7"/>
  <c r="Z344" i="7"/>
  <c r="Z368" i="7"/>
  <c r="Z392" i="7"/>
  <c r="Z416" i="7"/>
  <c r="Z440" i="7"/>
  <c r="Z464" i="7"/>
  <c r="Z488" i="7"/>
  <c r="Z512" i="7"/>
  <c r="Z536" i="7"/>
  <c r="Z563" i="7"/>
  <c r="Z587" i="7"/>
  <c r="Z611" i="7"/>
  <c r="Z644" i="7"/>
  <c r="Z674" i="7"/>
  <c r="N8" i="4" l="1"/>
  <c r="N11" i="4" s="1"/>
  <c r="N14" i="4" s="1"/>
  <c r="N17" i="4" s="1"/>
  <c r="N20" i="4" s="1"/>
  <c r="N23" i="4" s="1"/>
  <c r="N26" i="4" s="1"/>
  <c r="N29" i="4" s="1"/>
  <c r="N32" i="4" s="1"/>
  <c r="N35" i="4" s="1"/>
  <c r="N38" i="4" s="1"/>
  <c r="N41" i="4" s="1"/>
  <c r="N44" i="4" s="1"/>
  <c r="N47" i="4" s="1"/>
  <c r="N50" i="4" s="1"/>
  <c r="N53" i="4" s="1"/>
  <c r="N56" i="4" s="1"/>
  <c r="N59" i="4" s="1"/>
  <c r="N62" i="4" s="1"/>
  <c r="N65" i="4" s="1"/>
  <c r="N68" i="4" s="1"/>
  <c r="N71" i="4" s="1"/>
  <c r="N74" i="4" s="1"/>
  <c r="N77" i="4" s="1"/>
  <c r="N80" i="4" s="1"/>
  <c r="N83" i="4" s="1"/>
  <c r="N86" i="4" s="1"/>
  <c r="N89" i="4" s="1"/>
  <c r="N92" i="4" s="1"/>
  <c r="N95" i="4" s="1"/>
  <c r="N113" i="4" s="1"/>
  <c r="N116" i="4" s="1"/>
  <c r="N119" i="4" s="1"/>
  <c r="N122" i="4" s="1"/>
  <c r="N125" i="4" s="1"/>
  <c r="N128" i="4" s="1"/>
  <c r="N131" i="4" s="1"/>
  <c r="N134" i="4" s="1"/>
  <c r="N137" i="4" s="1"/>
  <c r="N140" i="4" s="1"/>
  <c r="N143" i="4" s="1"/>
  <c r="N146" i="4" s="1"/>
  <c r="N149" i="4" s="1"/>
  <c r="N152" i="4" s="1"/>
  <c r="N155" i="4" s="1"/>
  <c r="N158" i="4" s="1"/>
  <c r="N161" i="4" s="1"/>
  <c r="N164" i="4" s="1"/>
  <c r="N167" i="4" s="1"/>
  <c r="N170" i="4" s="1"/>
  <c r="N173" i="4" s="1"/>
  <c r="N176" i="4" s="1"/>
  <c r="N182" i="4" s="1"/>
  <c r="N185" i="4" s="1"/>
  <c r="N188" i="4" s="1"/>
  <c r="N191" i="4" s="1"/>
  <c r="N194" i="4" s="1"/>
  <c r="N197" i="4" s="1"/>
  <c r="N200" i="4" s="1"/>
  <c r="N203" i="4" s="1"/>
  <c r="N206" i="4" s="1"/>
  <c r="N209" i="4" s="1"/>
  <c r="N212" i="4" s="1"/>
  <c r="N215" i="4" s="1"/>
  <c r="N218" i="4" s="1"/>
  <c r="N221" i="4" s="1"/>
  <c r="N224" i="4" s="1"/>
  <c r="N227" i="4" s="1"/>
  <c r="N230" i="4" s="1"/>
  <c r="N233" i="4" s="1"/>
  <c r="N236" i="4" s="1"/>
  <c r="N239" i="4" s="1"/>
  <c r="N242" i="4" s="1"/>
  <c r="N245" i="4" s="1"/>
  <c r="N248" i="4" s="1"/>
  <c r="N251" i="4" s="1"/>
  <c r="N254" i="4" s="1"/>
  <c r="N257" i="4" s="1"/>
  <c r="N260" i="4" s="1"/>
  <c r="N263" i="4" s="1"/>
  <c r="N266" i="4" s="1"/>
  <c r="N269" i="4" s="1"/>
  <c r="N272" i="4" s="1"/>
  <c r="N275" i="4" s="1"/>
  <c r="N278" i="4" s="1"/>
  <c r="N281" i="4" s="1"/>
  <c r="N284" i="4" s="1"/>
  <c r="N287" i="4" s="1"/>
  <c r="N290" i="4" s="1"/>
  <c r="N293" i="4" s="1"/>
  <c r="N296" i="4" s="1"/>
  <c r="N299" i="4" s="1"/>
  <c r="N302" i="4" s="1"/>
  <c r="N305" i="4" s="1"/>
  <c r="N308" i="4" s="1"/>
  <c r="N311" i="4" s="1"/>
  <c r="N314" i="4" s="1"/>
  <c r="N317" i="4" s="1"/>
  <c r="N320" i="4" s="1"/>
  <c r="N323" i="4" s="1"/>
  <c r="N326" i="4" s="1"/>
  <c r="N329" i="4" s="1"/>
  <c r="N332" i="4" s="1"/>
  <c r="N335" i="4" s="1"/>
  <c r="N338" i="4" s="1"/>
  <c r="N341" i="4" s="1"/>
  <c r="N344" i="4" s="1"/>
  <c r="N347" i="4" s="1"/>
  <c r="N350" i="4" s="1"/>
  <c r="N353" i="4" s="1"/>
  <c r="N356" i="4" s="1"/>
  <c r="N359" i="4" s="1"/>
  <c r="N362" i="4" s="1"/>
  <c r="N365" i="4" s="1"/>
  <c r="N368" i="4" s="1"/>
  <c r="N371" i="4" s="1"/>
  <c r="N374" i="4" s="1"/>
  <c r="N377" i="4" s="1"/>
  <c r="N380" i="4" s="1"/>
  <c r="N383" i="4" s="1"/>
  <c r="N386" i="4" s="1"/>
  <c r="N389" i="4" s="1"/>
  <c r="N392" i="4" s="1"/>
  <c r="N395" i="4" s="1"/>
  <c r="N398" i="4" s="1"/>
  <c r="N401" i="4" s="1"/>
  <c r="N404" i="4" s="1"/>
  <c r="N407" i="4" s="1"/>
  <c r="N410" i="4" s="1"/>
  <c r="N413" i="4" s="1"/>
  <c r="N416" i="4" s="1"/>
  <c r="N419" i="4" s="1"/>
  <c r="N422" i="4" s="1"/>
  <c r="N425" i="4" s="1"/>
  <c r="N428" i="4" s="1"/>
  <c r="N431" i="4" s="1"/>
  <c r="N434" i="4" s="1"/>
  <c r="N437" i="4" s="1"/>
  <c r="N440" i="4" s="1"/>
  <c r="N443" i="4" s="1"/>
  <c r="N446" i="4" s="1"/>
  <c r="N449" i="4" s="1"/>
  <c r="N452" i="4" s="1"/>
  <c r="N455" i="4" s="1"/>
  <c r="N458" i="4" s="1"/>
  <c r="N461" i="4" s="1"/>
  <c r="N464" i="4" s="1"/>
  <c r="N467" i="4" s="1"/>
  <c r="N470" i="4" s="1"/>
  <c r="N473" i="4" s="1"/>
  <c r="N476" i="4" s="1"/>
  <c r="N479" i="4" s="1"/>
  <c r="N482" i="4" s="1"/>
  <c r="N485" i="4" s="1"/>
  <c r="N488" i="4" s="1"/>
  <c r="N491" i="4" s="1"/>
  <c r="N494" i="4" s="1"/>
  <c r="N497" i="4" s="1"/>
  <c r="N500" i="4" s="1"/>
  <c r="N503" i="4" s="1"/>
  <c r="N506" i="4" s="1"/>
  <c r="N509" i="4" s="1"/>
  <c r="N512" i="4" s="1"/>
  <c r="N515" i="4" s="1"/>
  <c r="N518" i="4" s="1"/>
  <c r="N521" i="4" s="1"/>
  <c r="N524" i="4" s="1"/>
  <c r="N527" i="4" s="1"/>
  <c r="N530" i="4" s="1"/>
  <c r="N533" i="4" s="1"/>
  <c r="N536" i="4" s="1"/>
  <c r="N539" i="4" s="1"/>
  <c r="N542" i="4" s="1"/>
  <c r="N545" i="4" s="1"/>
  <c r="N548" i="4" s="1"/>
  <c r="N551" i="4" s="1"/>
  <c r="N554" i="4" s="1"/>
  <c r="N560" i="4" s="1"/>
  <c r="N563" i="4" s="1"/>
  <c r="N566" i="4" s="1"/>
  <c r="N569" i="4" s="1"/>
  <c r="N572" i="4" s="1"/>
  <c r="N575" i="4" s="1"/>
  <c r="N578" i="4" s="1"/>
  <c r="N581" i="4" s="1"/>
  <c r="N584" i="4" s="1"/>
  <c r="N587" i="4" s="1"/>
  <c r="N590" i="4" s="1"/>
  <c r="N593" i="4" s="1"/>
  <c r="N596" i="4" s="1"/>
  <c r="N599" i="4" s="1"/>
  <c r="N602" i="4" s="1"/>
  <c r="N605" i="4" s="1"/>
  <c r="N608" i="4" s="1"/>
  <c r="N611" i="4" s="1"/>
  <c r="N614" i="4" s="1"/>
  <c r="N617" i="4" s="1"/>
  <c r="N620" i="4" s="1"/>
  <c r="N623" i="4" s="1"/>
  <c r="N632" i="4" s="1"/>
  <c r="N638" i="4" s="1"/>
  <c r="N641" i="4" s="1"/>
  <c r="N644" i="4" s="1"/>
  <c r="N650" i="4" s="1"/>
  <c r="N656" i="4" s="1"/>
  <c r="N659" i="4" s="1"/>
  <c r="N662" i="4" s="1"/>
  <c r="N665" i="4" s="1"/>
  <c r="N668" i="4" s="1"/>
  <c r="N671" i="4" s="1"/>
  <c r="N674" i="4" s="1"/>
  <c r="N677" i="4" s="1"/>
  <c r="N680" i="4" s="1"/>
  <c r="N683" i="4" s="1"/>
  <c r="N686" i="4" s="1"/>
  <c r="N689" i="4" s="1"/>
  <c r="N692" i="4" s="1"/>
  <c r="N704" i="4" s="1"/>
  <c r="N707" i="4" s="1"/>
  <c r="N710" i="4" s="1"/>
  <c r="N713" i="4" s="1"/>
  <c r="N716" i="4" s="1"/>
  <c r="N722" i="4" s="1"/>
  <c r="N725" i="4" s="1"/>
  <c r="N731" i="4" s="1"/>
  <c r="N737" i="4" s="1"/>
  <c r="N749" i="4" s="1"/>
  <c r="N752" i="4" s="1"/>
  <c r="N755" i="4" s="1"/>
  <c r="N758" i="4" s="1"/>
  <c r="N761" i="4" s="1"/>
  <c r="N764" i="4" s="1"/>
  <c r="N773" i="4" s="1"/>
  <c r="N776" i="4" s="1"/>
  <c r="N779" i="4" s="1"/>
  <c r="N782" i="4" s="1"/>
  <c r="N785" i="4" s="1"/>
  <c r="N791" i="4" s="1"/>
  <c r="N794" i="4" s="1"/>
  <c r="N797" i="4" s="1"/>
  <c r="N800" i="4" s="1"/>
  <c r="N803" i="4" s="1"/>
  <c r="N842" i="4" s="1"/>
  <c r="N845" i="4" s="1"/>
  <c r="M860" i="7"/>
  <c r="M866" i="7"/>
  <c r="M845" i="7"/>
  <c r="M869" i="7"/>
  <c r="M842" i="7"/>
  <c r="M848" i="7"/>
  <c r="M872" i="7"/>
  <c r="M851" i="7"/>
  <c r="M875" i="7"/>
  <c r="M854" i="7"/>
  <c r="M878" i="7"/>
  <c r="M881" i="7"/>
  <c r="M857" i="7"/>
  <c r="M863" i="7"/>
  <c r="M887" i="7"/>
  <c r="M254" i="6"/>
  <c r="M761" i="6"/>
  <c r="M791" i="6"/>
  <c r="M446" i="6"/>
  <c r="M764" i="6"/>
  <c r="M227" i="6"/>
  <c r="M329" i="6"/>
  <c r="M512" i="6"/>
  <c r="M134" i="6"/>
  <c r="M494" i="6"/>
  <c r="M299" i="6"/>
  <c r="M290" i="6"/>
  <c r="M470" i="6"/>
  <c r="M581" i="6"/>
  <c r="M713" i="6"/>
  <c r="M107" i="6"/>
  <c r="M566" i="6"/>
  <c r="M455" i="6"/>
  <c r="M230" i="6"/>
  <c r="M515" i="6"/>
  <c r="M275" i="6"/>
  <c r="M260" i="6"/>
  <c r="M182" i="6"/>
  <c r="M491" i="6"/>
  <c r="M251" i="6"/>
  <c r="M752" i="6"/>
  <c r="M359" i="6"/>
  <c r="M548" i="6"/>
  <c r="M194" i="6"/>
  <c r="M680" i="6"/>
  <c r="M422" i="6"/>
  <c r="M467" i="6"/>
  <c r="M665" i="6"/>
  <c r="M656" i="6"/>
  <c r="M374" i="6"/>
  <c r="M710" i="6"/>
  <c r="M443" i="6"/>
  <c r="M176" i="6"/>
  <c r="M620" i="6"/>
  <c r="M293" i="6"/>
  <c r="M452" i="6"/>
  <c r="M617" i="6"/>
  <c r="M326" i="6"/>
  <c r="M677" i="6"/>
  <c r="M419" i="6"/>
  <c r="M128" i="6"/>
  <c r="M584" i="6"/>
  <c r="M263" i="6"/>
  <c r="M386" i="6"/>
  <c r="M77" i="6"/>
  <c r="M569" i="6"/>
  <c r="M302" i="6"/>
  <c r="M650" i="6"/>
  <c r="M371" i="6"/>
  <c r="M104" i="6"/>
  <c r="M551" i="6"/>
  <c r="M755" i="6"/>
  <c r="M356" i="6"/>
  <c r="M53" i="6"/>
  <c r="M611" i="6"/>
  <c r="M389" i="6"/>
  <c r="M518" i="6"/>
  <c r="M278" i="6"/>
  <c r="M614" i="6"/>
  <c r="M323" i="6"/>
  <c r="M80" i="6"/>
  <c r="M521" i="6"/>
  <c r="M662" i="6"/>
  <c r="M320" i="6"/>
  <c r="M29" i="6"/>
  <c r="M593" i="6"/>
  <c r="M398" i="6"/>
  <c r="M206" i="6"/>
  <c r="M590" i="6"/>
  <c r="M395" i="6"/>
  <c r="M203" i="6"/>
  <c r="M776" i="6"/>
  <c r="M485" i="6"/>
  <c r="M797" i="6"/>
  <c r="M482" i="6"/>
  <c r="M224" i="6"/>
  <c r="M722" i="6"/>
  <c r="M668" i="6"/>
  <c r="M605" i="6"/>
  <c r="M563" i="6"/>
  <c r="M524" i="6"/>
  <c r="M476" i="6"/>
  <c r="M434" i="6"/>
  <c r="M392" i="6"/>
  <c r="M344" i="6"/>
  <c r="M308" i="6"/>
  <c r="M266" i="6"/>
  <c r="M221" i="6"/>
  <c r="M188" i="6"/>
  <c r="M149" i="6"/>
  <c r="M119" i="6"/>
  <c r="M89" i="6"/>
  <c r="M59" i="6"/>
  <c r="M32" i="6"/>
  <c r="M41" i="6"/>
  <c r="M158" i="6"/>
  <c r="M671" i="6"/>
  <c r="M401" i="6"/>
  <c r="M269" i="6"/>
  <c r="M191" i="6"/>
  <c r="M62" i="6"/>
  <c r="M800" i="6"/>
  <c r="M773" i="6"/>
  <c r="M737" i="6"/>
  <c r="M716" i="6"/>
  <c r="M659" i="6"/>
  <c r="M602" i="6"/>
  <c r="M560" i="6"/>
  <c r="M509" i="6"/>
  <c r="M473" i="6"/>
  <c r="M431" i="6"/>
  <c r="M383" i="6"/>
  <c r="M341" i="6"/>
  <c r="M305" i="6"/>
  <c r="M257" i="6"/>
  <c r="M218" i="6"/>
  <c r="M185" i="6"/>
  <c r="M146" i="6"/>
  <c r="M116" i="6"/>
  <c r="M86" i="6"/>
  <c r="M56" i="6"/>
  <c r="M26" i="6"/>
  <c r="M545" i="6"/>
  <c r="M413" i="6"/>
  <c r="M377" i="6"/>
  <c r="M245" i="6"/>
  <c r="M170" i="6"/>
  <c r="M110" i="6"/>
  <c r="M47" i="6"/>
  <c r="M638" i="6"/>
  <c r="M500" i="6"/>
  <c r="M410" i="6"/>
  <c r="M368" i="6"/>
  <c r="M284" i="6"/>
  <c r="M209" i="6"/>
  <c r="M137" i="6"/>
  <c r="M71" i="6"/>
  <c r="M17" i="6"/>
  <c r="M842" i="6"/>
  <c r="M749" i="6"/>
  <c r="M683" i="6"/>
  <c r="M578" i="6"/>
  <c r="M497" i="6"/>
  <c r="M407" i="6"/>
  <c r="M317" i="6"/>
  <c r="M239" i="6"/>
  <c r="M164" i="6"/>
  <c r="M98" i="6"/>
  <c r="M14" i="6"/>
  <c r="M731" i="6"/>
  <c r="M623" i="6"/>
  <c r="M530" i="6"/>
  <c r="M440" i="6"/>
  <c r="M362" i="6"/>
  <c r="M314" i="6"/>
  <c r="M272" i="6"/>
  <c r="M236" i="6"/>
  <c r="M197" i="6"/>
  <c r="M125" i="6"/>
  <c r="M95" i="6"/>
  <c r="M65" i="6"/>
  <c r="M38" i="6"/>
  <c r="M11" i="6"/>
  <c r="M725" i="6"/>
  <c r="M608" i="6"/>
  <c r="M572" i="6"/>
  <c r="M479" i="6"/>
  <c r="M437" i="6"/>
  <c r="M353" i="6"/>
  <c r="M311" i="6"/>
  <c r="M233" i="6"/>
  <c r="M155" i="6"/>
  <c r="M122" i="6"/>
  <c r="M35" i="6"/>
  <c r="M803" i="6"/>
  <c r="M779" i="6"/>
  <c r="M707" i="6"/>
  <c r="M644" i="6"/>
  <c r="M599" i="6"/>
  <c r="M554" i="6"/>
  <c r="M506" i="6"/>
  <c r="M464" i="6"/>
  <c r="M428" i="6"/>
  <c r="M380" i="6"/>
  <c r="M338" i="6"/>
  <c r="M296" i="6"/>
  <c r="M248" i="6"/>
  <c r="M215" i="6"/>
  <c r="M173" i="6"/>
  <c r="M143" i="6"/>
  <c r="M113" i="6"/>
  <c r="M83" i="6"/>
  <c r="M50" i="6"/>
  <c r="M23" i="6"/>
  <c r="M782" i="6"/>
  <c r="M689" i="6"/>
  <c r="M641" i="6"/>
  <c r="M596" i="6"/>
  <c r="M503" i="6"/>
  <c r="M461" i="6"/>
  <c r="M335" i="6"/>
  <c r="M287" i="6"/>
  <c r="M212" i="6"/>
  <c r="M140" i="6"/>
  <c r="M74" i="6"/>
  <c r="M20" i="6"/>
  <c r="M785" i="6"/>
  <c r="M686" i="6"/>
  <c r="M587" i="6"/>
  <c r="M536" i="6"/>
  <c r="M458" i="6"/>
  <c r="M332" i="6"/>
  <c r="M242" i="6"/>
  <c r="M167" i="6"/>
  <c r="M101" i="6"/>
  <c r="M44" i="6"/>
  <c r="M758" i="6"/>
  <c r="M632" i="6"/>
  <c r="M533" i="6"/>
  <c r="M449" i="6"/>
  <c r="M365" i="6"/>
  <c r="M281" i="6"/>
  <c r="M200" i="6"/>
  <c r="M131" i="6"/>
  <c r="M68" i="6"/>
  <c r="M674" i="6"/>
  <c r="M575" i="6"/>
  <c r="M488" i="6"/>
  <c r="M404" i="6"/>
  <c r="M527" i="6"/>
  <c r="M92" i="6"/>
  <c r="M8" i="6"/>
  <c r="N8" i="6" s="1"/>
  <c r="M542" i="6"/>
  <c r="M350" i="6"/>
  <c r="M845" i="6"/>
  <c r="M539" i="6"/>
  <c r="M347" i="6"/>
  <c r="M152" i="6"/>
  <c r="M704" i="6"/>
  <c r="M425" i="6"/>
  <c r="M692" i="6"/>
  <c r="M416" i="6"/>
  <c r="M161" i="6"/>
  <c r="M794" i="6"/>
  <c r="M797" i="7"/>
  <c r="M800" i="7"/>
  <c r="M803" i="7"/>
  <c r="M791" i="7"/>
  <c r="M794" i="7"/>
  <c r="M773" i="7"/>
  <c r="M782" i="7"/>
  <c r="M785" i="7"/>
  <c r="M776" i="7"/>
  <c r="M779" i="7"/>
  <c r="M752" i="7"/>
  <c r="M764" i="7"/>
  <c r="M755" i="7"/>
  <c r="M758" i="7"/>
  <c r="M761" i="7"/>
  <c r="M737" i="7"/>
  <c r="M749" i="7"/>
  <c r="M611" i="7"/>
  <c r="M416" i="7"/>
  <c r="M224" i="7"/>
  <c r="M29" i="7"/>
  <c r="M554" i="7"/>
  <c r="M362" i="7"/>
  <c r="M167" i="7"/>
  <c r="M683" i="7"/>
  <c r="M473" i="7"/>
  <c r="M281" i="7"/>
  <c r="M86" i="7"/>
  <c r="M560" i="7"/>
  <c r="M251" i="7"/>
  <c r="M383" i="7"/>
  <c r="M656" i="7"/>
  <c r="M515" i="7"/>
  <c r="M206" i="7"/>
  <c r="M500" i="7"/>
  <c r="M566" i="7"/>
  <c r="M509" i="7"/>
  <c r="M203" i="7"/>
  <c r="M308" i="7"/>
  <c r="M215" i="7"/>
  <c r="M467" i="7"/>
  <c r="M155" i="7"/>
  <c r="M713" i="7"/>
  <c r="M176" i="7"/>
  <c r="M452" i="7"/>
  <c r="M140" i="7"/>
  <c r="M587" i="7"/>
  <c r="M392" i="7"/>
  <c r="M200" i="7"/>
  <c r="M5" i="7"/>
  <c r="N5" i="7" s="1"/>
  <c r="M530" i="7"/>
  <c r="M338" i="7"/>
  <c r="M143" i="7"/>
  <c r="M659" i="7"/>
  <c r="M449" i="7"/>
  <c r="M257" i="7"/>
  <c r="M62" i="7"/>
  <c r="M518" i="7"/>
  <c r="M212" i="7"/>
  <c r="M230" i="7"/>
  <c r="M485" i="7"/>
  <c r="M476" i="7"/>
  <c r="M164" i="7"/>
  <c r="M347" i="7"/>
  <c r="M407" i="7"/>
  <c r="M470" i="7"/>
  <c r="M161" i="7"/>
  <c r="M152" i="7"/>
  <c r="M59" i="7"/>
  <c r="M428" i="7"/>
  <c r="M116" i="7"/>
  <c r="M494" i="7"/>
  <c r="M20" i="7"/>
  <c r="M413" i="7"/>
  <c r="M104" i="7"/>
  <c r="M440" i="7"/>
  <c r="M581" i="7"/>
  <c r="M716" i="7"/>
  <c r="M305" i="7"/>
  <c r="M287" i="7"/>
  <c r="M551" i="7"/>
  <c r="M107" i="7"/>
  <c r="M461" i="7"/>
  <c r="M503" i="7"/>
  <c r="M293" i="7"/>
  <c r="M368" i="7"/>
  <c r="M731" i="7"/>
  <c r="M314" i="7"/>
  <c r="M620" i="7"/>
  <c r="M233" i="7"/>
  <c r="M479" i="7"/>
  <c r="M74" i="7"/>
  <c r="M437" i="7"/>
  <c r="M191" i="7"/>
  <c r="M122" i="7"/>
  <c r="M374" i="7"/>
  <c r="M149" i="7"/>
  <c r="M290" i="7"/>
  <c r="M596" i="7"/>
  <c r="M209" i="7"/>
  <c r="M14" i="7"/>
  <c r="M443" i="7"/>
  <c r="M665" i="7"/>
  <c r="M137" i="7"/>
  <c r="M398" i="7"/>
  <c r="M89" i="7"/>
  <c r="M35" i="7"/>
  <c r="M98" i="7"/>
  <c r="M395" i="7"/>
  <c r="M83" i="7"/>
  <c r="M455" i="7"/>
  <c r="M677" i="7"/>
  <c r="M350" i="7"/>
  <c r="M41" i="7"/>
  <c r="M188" i="7"/>
  <c r="M662" i="7"/>
  <c r="M335" i="7"/>
  <c r="M26" i="7"/>
  <c r="M248" i="7"/>
  <c r="M386" i="7"/>
  <c r="M497" i="7"/>
  <c r="M110" i="7"/>
  <c r="M146" i="7"/>
  <c r="M539" i="7"/>
  <c r="M548" i="7"/>
  <c r="M446" i="7"/>
  <c r="M197" i="7"/>
  <c r="M113" i="7"/>
  <c r="M182" i="7"/>
  <c r="M563" i="7"/>
  <c r="M173" i="7"/>
  <c r="M506" i="7"/>
  <c r="M119" i="7"/>
  <c r="M425" i="7"/>
  <c r="M38" i="7"/>
  <c r="M170" i="7"/>
  <c r="M332" i="7"/>
  <c r="M128" i="7"/>
  <c r="M254" i="7"/>
  <c r="M431" i="7"/>
  <c r="M614" i="7"/>
  <c r="M725" i="7"/>
  <c r="M389" i="7"/>
  <c r="M80" i="7"/>
  <c r="M341" i="7"/>
  <c r="M710" i="7"/>
  <c r="M65" i="7"/>
  <c r="M536" i="7"/>
  <c r="M344" i="7"/>
  <c r="M692" i="7"/>
  <c r="M482" i="7"/>
  <c r="M95" i="7"/>
  <c r="M401" i="7"/>
  <c r="M131" i="7"/>
  <c r="M512" i="7"/>
  <c r="M320" i="7"/>
  <c r="M125" i="7"/>
  <c r="M668" i="7"/>
  <c r="M458" i="7"/>
  <c r="M266" i="7"/>
  <c r="M71" i="7"/>
  <c r="M572" i="7"/>
  <c r="M377" i="7"/>
  <c r="M185" i="7"/>
  <c r="M707" i="7"/>
  <c r="M404" i="7"/>
  <c r="M92" i="7"/>
  <c r="M533" i="7"/>
  <c r="M686" i="7"/>
  <c r="M359" i="7"/>
  <c r="M50" i="7"/>
  <c r="M575" i="7"/>
  <c r="M680" i="7"/>
  <c r="M356" i="7"/>
  <c r="M44" i="7"/>
  <c r="M263" i="7"/>
  <c r="M623" i="7"/>
  <c r="M311" i="7"/>
  <c r="M671" i="7"/>
  <c r="M32" i="7"/>
  <c r="M608" i="7"/>
  <c r="M299" i="7"/>
  <c r="M434" i="7"/>
  <c r="M644" i="7"/>
  <c r="M53" i="7"/>
  <c r="M194" i="7"/>
  <c r="M599" i="7"/>
  <c r="M617" i="7"/>
  <c r="M245" i="7"/>
  <c r="M239" i="7"/>
  <c r="M491" i="7"/>
  <c r="M488" i="7"/>
  <c r="M296" i="7"/>
  <c r="M101" i="7"/>
  <c r="M638" i="7"/>
  <c r="M242" i="7"/>
  <c r="M47" i="7"/>
  <c r="M545" i="7"/>
  <c r="M353" i="7"/>
  <c r="M158" i="7"/>
  <c r="M689" i="7"/>
  <c r="M365" i="7"/>
  <c r="M56" i="7"/>
  <c r="M419" i="7"/>
  <c r="M641" i="7"/>
  <c r="M323" i="7"/>
  <c r="M11" i="7"/>
  <c r="M380" i="7"/>
  <c r="M632" i="7"/>
  <c r="M317" i="7"/>
  <c r="M8" i="7"/>
  <c r="M68" i="7"/>
  <c r="M584" i="7"/>
  <c r="M275" i="7"/>
  <c r="M422" i="7"/>
  <c r="M704" i="7"/>
  <c r="M569" i="7"/>
  <c r="M260" i="7"/>
  <c r="M674" i="7"/>
  <c r="M464" i="7"/>
  <c r="M272" i="7"/>
  <c r="M77" i="7"/>
  <c r="M605" i="7"/>
  <c r="M410" i="7"/>
  <c r="M218" i="7"/>
  <c r="M23" i="7"/>
  <c r="M521" i="7"/>
  <c r="M329" i="7"/>
  <c r="M134" i="7"/>
  <c r="M650" i="7"/>
  <c r="M326" i="7"/>
  <c r="M17" i="7"/>
  <c r="M302" i="7"/>
  <c r="M593" i="7"/>
  <c r="M284" i="7"/>
  <c r="M722" i="7"/>
  <c r="M227" i="7"/>
  <c r="M590" i="7"/>
  <c r="M278" i="7"/>
  <c r="M578" i="7"/>
  <c r="M602" i="7"/>
  <c r="M542" i="7"/>
  <c r="M236" i="7"/>
  <c r="M269" i="7"/>
  <c r="M524" i="7"/>
  <c r="M527" i="7"/>
  <c r="M221" i="7"/>
  <c r="M371" i="7"/>
  <c r="AA8" i="7"/>
  <c r="AA11" i="7" s="1"/>
  <c r="AA14" i="7" s="1"/>
  <c r="AA17" i="7" s="1"/>
  <c r="AA20" i="7" s="1"/>
  <c r="AA23" i="7" s="1"/>
  <c r="AA26" i="7" s="1"/>
  <c r="AA29" i="7" s="1"/>
  <c r="AA32" i="7" s="1"/>
  <c r="AA35" i="7" s="1"/>
  <c r="AA38" i="7" s="1"/>
  <c r="AA41" i="7" s="1"/>
  <c r="AA44" i="7" s="1"/>
  <c r="AA47" i="7" s="1"/>
  <c r="AA50" i="7" s="1"/>
  <c r="AA53" i="7" s="1"/>
  <c r="AA56" i="7" s="1"/>
  <c r="AA59" i="7" s="1"/>
  <c r="AA62" i="7" s="1"/>
  <c r="AA65" i="7" s="1"/>
  <c r="AA68" i="7" s="1"/>
  <c r="AA71" i="7" s="1"/>
  <c r="AA74" i="7" s="1"/>
  <c r="AA77" i="7" s="1"/>
  <c r="AA80" i="7" s="1"/>
  <c r="AA83" i="7" s="1"/>
  <c r="AA86" i="7" s="1"/>
  <c r="AA89" i="7" s="1"/>
  <c r="AA92" i="7" s="1"/>
  <c r="AA95" i="7" s="1"/>
  <c r="J731" i="7"/>
  <c r="L731" i="7" s="1"/>
  <c r="I731" i="7"/>
  <c r="J725" i="7"/>
  <c r="I725" i="7"/>
  <c r="L725" i="7" s="1"/>
  <c r="J722" i="7"/>
  <c r="L722" i="7" s="1"/>
  <c r="I722" i="7"/>
  <c r="J716" i="7"/>
  <c r="L716" i="7" s="1"/>
  <c r="I716" i="7"/>
  <c r="J713" i="7"/>
  <c r="L713" i="7" s="1"/>
  <c r="I713" i="7"/>
  <c r="L710" i="7"/>
  <c r="J710" i="7"/>
  <c r="I710" i="7"/>
  <c r="J707" i="7"/>
  <c r="L707" i="7" s="1"/>
  <c r="I707" i="7"/>
  <c r="J704" i="7"/>
  <c r="L704" i="7" s="1"/>
  <c r="I704" i="7"/>
  <c r="J731" i="6"/>
  <c r="L731" i="6" s="1"/>
  <c r="I731" i="6"/>
  <c r="J725" i="6"/>
  <c r="L725" i="6" s="1"/>
  <c r="I725" i="6"/>
  <c r="J722" i="6"/>
  <c r="L722" i="6" s="1"/>
  <c r="I722" i="6"/>
  <c r="J716" i="6"/>
  <c r="I716" i="6"/>
  <c r="L716" i="6" s="1"/>
  <c r="J713" i="6"/>
  <c r="L713" i="6" s="1"/>
  <c r="I713" i="6"/>
  <c r="L710" i="6"/>
  <c r="J710" i="6"/>
  <c r="I710" i="6"/>
  <c r="J707" i="6"/>
  <c r="L707" i="6" s="1"/>
  <c r="I707" i="6"/>
  <c r="J704" i="6"/>
  <c r="L704" i="6" s="1"/>
  <c r="I704" i="6"/>
  <c r="J731" i="5"/>
  <c r="L731" i="5" s="1"/>
  <c r="I731" i="5"/>
  <c r="J725" i="5"/>
  <c r="L725" i="5" s="1"/>
  <c r="I725" i="5"/>
  <c r="J722" i="5"/>
  <c r="L722" i="5" s="1"/>
  <c r="I722" i="5"/>
  <c r="J716" i="5"/>
  <c r="L716" i="5" s="1"/>
  <c r="I716" i="5"/>
  <c r="J713" i="5"/>
  <c r="L713" i="5" s="1"/>
  <c r="I713" i="5"/>
  <c r="L710" i="5"/>
  <c r="J710" i="5"/>
  <c r="I710" i="5"/>
  <c r="J707" i="5"/>
  <c r="I707" i="5"/>
  <c r="L707" i="5" s="1"/>
  <c r="J704" i="5"/>
  <c r="L704" i="5" s="1"/>
  <c r="I704" i="5"/>
  <c r="J731" i="4"/>
  <c r="L731" i="4" s="1"/>
  <c r="I731" i="4"/>
  <c r="J725" i="4"/>
  <c r="L725" i="4" s="1"/>
  <c r="I725" i="4"/>
  <c r="J722" i="4"/>
  <c r="L722" i="4" s="1"/>
  <c r="I722" i="4"/>
  <c r="J716" i="4"/>
  <c r="L716" i="4" s="1"/>
  <c r="I716" i="4"/>
  <c r="J713" i="4"/>
  <c r="L713" i="4" s="1"/>
  <c r="I713" i="4"/>
  <c r="J710" i="4"/>
  <c r="L710" i="4" s="1"/>
  <c r="I710" i="4"/>
  <c r="J707" i="4"/>
  <c r="L707" i="4" s="1"/>
  <c r="I707" i="4"/>
  <c r="J704" i="4"/>
  <c r="L704" i="4" s="1"/>
  <c r="I704" i="4"/>
  <c r="J623" i="7"/>
  <c r="L623" i="7" s="1"/>
  <c r="I623" i="7"/>
  <c r="J620" i="7"/>
  <c r="L620" i="7" s="1"/>
  <c r="I620" i="7"/>
  <c r="J617" i="7"/>
  <c r="L617" i="7" s="1"/>
  <c r="I617" i="7"/>
  <c r="J614" i="7"/>
  <c r="L614" i="7" s="1"/>
  <c r="I614" i="7"/>
  <c r="J611" i="7"/>
  <c r="L611" i="7" s="1"/>
  <c r="I611" i="7"/>
  <c r="L608" i="7"/>
  <c r="J608" i="7"/>
  <c r="I608" i="7"/>
  <c r="J605" i="7"/>
  <c r="L605" i="7" s="1"/>
  <c r="I605" i="7"/>
  <c r="J602" i="7"/>
  <c r="L602" i="7" s="1"/>
  <c r="I602" i="7"/>
  <c r="J599" i="7"/>
  <c r="I599" i="7"/>
  <c r="L599" i="7" s="1"/>
  <c r="J596" i="7"/>
  <c r="L596" i="7" s="1"/>
  <c r="I596" i="7"/>
  <c r="J593" i="7"/>
  <c r="L593" i="7" s="1"/>
  <c r="I593" i="7"/>
  <c r="J590" i="7"/>
  <c r="L590" i="7" s="1"/>
  <c r="I590" i="7"/>
  <c r="J623" i="6"/>
  <c r="L623" i="6" s="1"/>
  <c r="I623" i="6"/>
  <c r="J620" i="6"/>
  <c r="L620" i="6" s="1"/>
  <c r="I620" i="6"/>
  <c r="J617" i="6"/>
  <c r="L617" i="6" s="1"/>
  <c r="I617" i="6"/>
  <c r="J614" i="6"/>
  <c r="L614" i="6" s="1"/>
  <c r="I614" i="6"/>
  <c r="J611" i="6"/>
  <c r="L611" i="6" s="1"/>
  <c r="I611" i="6"/>
  <c r="L608" i="6"/>
  <c r="J608" i="6"/>
  <c r="I608" i="6"/>
  <c r="J605" i="6"/>
  <c r="L605" i="6" s="1"/>
  <c r="I605" i="6"/>
  <c r="J602" i="6"/>
  <c r="L602" i="6" s="1"/>
  <c r="I602" i="6"/>
  <c r="J599" i="6"/>
  <c r="L599" i="6" s="1"/>
  <c r="I599" i="6"/>
  <c r="J596" i="6"/>
  <c r="L596" i="6" s="1"/>
  <c r="I596" i="6"/>
  <c r="J593" i="6"/>
  <c r="L593" i="6" s="1"/>
  <c r="I593" i="6"/>
  <c r="J590" i="6"/>
  <c r="L590" i="6" s="1"/>
  <c r="I590" i="6"/>
  <c r="J623" i="5"/>
  <c r="L623" i="5" s="1"/>
  <c r="I623" i="5"/>
  <c r="J620" i="5"/>
  <c r="L620" i="5" s="1"/>
  <c r="I620" i="5"/>
  <c r="J617" i="5"/>
  <c r="L617" i="5" s="1"/>
  <c r="I617" i="5"/>
  <c r="J614" i="5"/>
  <c r="L614" i="5" s="1"/>
  <c r="I614" i="5"/>
  <c r="J611" i="5"/>
  <c r="I611" i="5"/>
  <c r="L611" i="5" s="1"/>
  <c r="L608" i="5"/>
  <c r="J608" i="5"/>
  <c r="I608" i="5"/>
  <c r="J605" i="5"/>
  <c r="L605" i="5" s="1"/>
  <c r="I605" i="5"/>
  <c r="J602" i="5"/>
  <c r="L602" i="5" s="1"/>
  <c r="I602" i="5"/>
  <c r="J599" i="5"/>
  <c r="L599" i="5" s="1"/>
  <c r="I599" i="5"/>
  <c r="J596" i="5"/>
  <c r="L596" i="5" s="1"/>
  <c r="I596" i="5"/>
  <c r="J593" i="5"/>
  <c r="L593" i="5" s="1"/>
  <c r="I593" i="5"/>
  <c r="J590" i="5"/>
  <c r="L590" i="5" s="1"/>
  <c r="I590" i="5"/>
  <c r="J632" i="4"/>
  <c r="L632" i="4" s="1"/>
  <c r="I632" i="4"/>
  <c r="J623" i="4"/>
  <c r="L623" i="4" s="1"/>
  <c r="I623" i="4"/>
  <c r="J620" i="4"/>
  <c r="L620" i="4" s="1"/>
  <c r="I620" i="4"/>
  <c r="J617" i="4"/>
  <c r="L617" i="4" s="1"/>
  <c r="I617" i="4"/>
  <c r="J614" i="4"/>
  <c r="L614" i="4" s="1"/>
  <c r="I614" i="4"/>
  <c r="J611" i="4"/>
  <c r="L611" i="4" s="1"/>
  <c r="I611" i="4"/>
  <c r="J608" i="4"/>
  <c r="L608" i="4" s="1"/>
  <c r="I608" i="4"/>
  <c r="J605" i="4"/>
  <c r="L605" i="4" s="1"/>
  <c r="I605" i="4"/>
  <c r="J602" i="4"/>
  <c r="L602" i="4" s="1"/>
  <c r="I602" i="4"/>
  <c r="J599" i="4"/>
  <c r="L599" i="4" s="1"/>
  <c r="I599" i="4"/>
  <c r="J596" i="4"/>
  <c r="L596" i="4" s="1"/>
  <c r="I596" i="4"/>
  <c r="J593" i="4"/>
  <c r="I593" i="4"/>
  <c r="L593" i="4" s="1"/>
  <c r="J590" i="4"/>
  <c r="I590" i="4"/>
  <c r="L590" i="4" s="1"/>
  <c r="J659" i="7"/>
  <c r="L659" i="7" s="1"/>
  <c r="I659" i="7"/>
  <c r="J656" i="7"/>
  <c r="L656" i="7" s="1"/>
  <c r="I656" i="7"/>
  <c r="J650" i="7"/>
  <c r="L650" i="7" s="1"/>
  <c r="I650" i="7"/>
  <c r="J644" i="7"/>
  <c r="L644" i="7" s="1"/>
  <c r="I644" i="7"/>
  <c r="J641" i="7"/>
  <c r="L641" i="7" s="1"/>
  <c r="I641" i="7"/>
  <c r="L638" i="7"/>
  <c r="J638" i="7"/>
  <c r="I638" i="7"/>
  <c r="J632" i="7"/>
  <c r="L632" i="7" s="1"/>
  <c r="I632" i="7"/>
  <c r="J659" i="6"/>
  <c r="L659" i="6" s="1"/>
  <c r="I659" i="6"/>
  <c r="J656" i="6"/>
  <c r="L656" i="6" s="1"/>
  <c r="I656" i="6"/>
  <c r="J650" i="6"/>
  <c r="L650" i="6" s="1"/>
  <c r="I650" i="6"/>
  <c r="J644" i="6"/>
  <c r="L644" i="6" s="1"/>
  <c r="I644" i="6"/>
  <c r="J641" i="6"/>
  <c r="L641" i="6" s="1"/>
  <c r="I641" i="6"/>
  <c r="L638" i="6"/>
  <c r="J638" i="6"/>
  <c r="I638" i="6"/>
  <c r="J632" i="6"/>
  <c r="L632" i="6" s="1"/>
  <c r="I632" i="6"/>
  <c r="J659" i="5"/>
  <c r="L659" i="5" s="1"/>
  <c r="I659" i="5"/>
  <c r="J656" i="5"/>
  <c r="L656" i="5" s="1"/>
  <c r="I656" i="5"/>
  <c r="J650" i="5"/>
  <c r="L650" i="5" s="1"/>
  <c r="I650" i="5"/>
  <c r="J644" i="5"/>
  <c r="L644" i="5" s="1"/>
  <c r="I644" i="5"/>
  <c r="J641" i="5"/>
  <c r="L641" i="5" s="1"/>
  <c r="I641" i="5"/>
  <c r="J638" i="5"/>
  <c r="L638" i="5" s="1"/>
  <c r="I638" i="5"/>
  <c r="L632" i="5"/>
  <c r="J632" i="5"/>
  <c r="I632" i="5"/>
  <c r="J659" i="4"/>
  <c r="I659" i="4"/>
  <c r="L659" i="4" s="1"/>
  <c r="J656" i="4"/>
  <c r="L656" i="4" s="1"/>
  <c r="I656" i="4"/>
  <c r="J650" i="4"/>
  <c r="L650" i="4" s="1"/>
  <c r="I650" i="4"/>
  <c r="J644" i="4"/>
  <c r="L644" i="4" s="1"/>
  <c r="I644" i="4"/>
  <c r="L641" i="4"/>
  <c r="J641" i="4"/>
  <c r="I641" i="4"/>
  <c r="J638" i="4"/>
  <c r="L638" i="4" s="1"/>
  <c r="I638" i="4"/>
  <c r="M725" i="5" l="1"/>
  <c r="M689" i="5"/>
  <c r="M665" i="5"/>
  <c r="M632" i="5"/>
  <c r="M602" i="5"/>
  <c r="M578" i="5"/>
  <c r="M551" i="5"/>
  <c r="M527" i="5"/>
  <c r="M503" i="5"/>
  <c r="M479" i="5"/>
  <c r="M455" i="5"/>
  <c r="M431" i="5"/>
  <c r="M407" i="5"/>
  <c r="M383" i="5"/>
  <c r="M359" i="5"/>
  <c r="M335" i="5"/>
  <c r="M311" i="5"/>
  <c r="M287" i="5"/>
  <c r="M263" i="5"/>
  <c r="M239" i="5"/>
  <c r="M215" i="5"/>
  <c r="M191" i="5"/>
  <c r="M164" i="5"/>
  <c r="M140" i="5"/>
  <c r="M116" i="5"/>
  <c r="M92" i="5"/>
  <c r="M68" i="5"/>
  <c r="M44" i="5"/>
  <c r="M20" i="5"/>
  <c r="M593" i="5"/>
  <c r="M398" i="5"/>
  <c r="M302" i="5"/>
  <c r="M254" i="5"/>
  <c r="M182" i="5"/>
  <c r="M155" i="5"/>
  <c r="M107" i="5"/>
  <c r="M59" i="5"/>
  <c r="M11" i="5"/>
  <c r="M395" i="5"/>
  <c r="M203" i="5"/>
  <c r="M80" i="5"/>
  <c r="M8" i="5"/>
  <c r="M707" i="5"/>
  <c r="M611" i="5"/>
  <c r="M587" i="5"/>
  <c r="M563" i="5"/>
  <c r="M536" i="5"/>
  <c r="M464" i="5"/>
  <c r="M440" i="5"/>
  <c r="M368" i="5"/>
  <c r="M344" i="5"/>
  <c r="M272" i="5"/>
  <c r="M200" i="5"/>
  <c r="M149" i="5"/>
  <c r="M77" i="5"/>
  <c r="M5" i="5"/>
  <c r="N5" i="5" s="1"/>
  <c r="N8" i="5" s="1"/>
  <c r="N11" i="5" s="1"/>
  <c r="N14" i="5" s="1"/>
  <c r="N17" i="5" s="1"/>
  <c r="N20" i="5" s="1"/>
  <c r="N23" i="5" s="1"/>
  <c r="N26" i="5" s="1"/>
  <c r="N29" i="5" s="1"/>
  <c r="N32" i="5" s="1"/>
  <c r="N35" i="5" s="1"/>
  <c r="N38" i="5" s="1"/>
  <c r="N41" i="5" s="1"/>
  <c r="N44" i="5" s="1"/>
  <c r="N47" i="5" s="1"/>
  <c r="N50" i="5" s="1"/>
  <c r="N53" i="5" s="1"/>
  <c r="N56" i="5" s="1"/>
  <c r="N59" i="5" s="1"/>
  <c r="N62" i="5" s="1"/>
  <c r="N65" i="5" s="1"/>
  <c r="N68" i="5" s="1"/>
  <c r="M641" i="5"/>
  <c r="M608" i="5"/>
  <c r="M533" i="5"/>
  <c r="M461" i="5"/>
  <c r="M389" i="5"/>
  <c r="M341" i="5"/>
  <c r="M269" i="5"/>
  <c r="M221" i="5"/>
  <c r="M170" i="5"/>
  <c r="M98" i="5"/>
  <c r="M26" i="5"/>
  <c r="M731" i="5"/>
  <c r="M638" i="5"/>
  <c r="M554" i="5"/>
  <c r="M482" i="5"/>
  <c r="M410" i="5"/>
  <c r="M338" i="5"/>
  <c r="M266" i="5"/>
  <c r="M167" i="5"/>
  <c r="M95" i="5"/>
  <c r="M23" i="5"/>
  <c r="M722" i="5"/>
  <c r="M686" i="5"/>
  <c r="M662" i="5"/>
  <c r="M623" i="5"/>
  <c r="M599" i="5"/>
  <c r="M575" i="5"/>
  <c r="M548" i="5"/>
  <c r="M524" i="5"/>
  <c r="M500" i="5"/>
  <c r="M476" i="5"/>
  <c r="M452" i="5"/>
  <c r="M428" i="5"/>
  <c r="M404" i="5"/>
  <c r="M380" i="5"/>
  <c r="M356" i="5"/>
  <c r="M332" i="5"/>
  <c r="M308" i="5"/>
  <c r="M284" i="5"/>
  <c r="M260" i="5"/>
  <c r="M236" i="5"/>
  <c r="M212" i="5"/>
  <c r="M188" i="5"/>
  <c r="M161" i="5"/>
  <c r="M137" i="5"/>
  <c r="M113" i="5"/>
  <c r="M89" i="5"/>
  <c r="M65" i="5"/>
  <c r="M41" i="5"/>
  <c r="M17" i="5"/>
  <c r="M680" i="5"/>
  <c r="M656" i="5"/>
  <c r="M569" i="5"/>
  <c r="M518" i="5"/>
  <c r="M470" i="5"/>
  <c r="M422" i="5"/>
  <c r="M350" i="5"/>
  <c r="M278" i="5"/>
  <c r="M206" i="5"/>
  <c r="M83" i="5"/>
  <c r="M677" i="5"/>
  <c r="M614" i="5"/>
  <c r="M566" i="5"/>
  <c r="M515" i="5"/>
  <c r="M467" i="5"/>
  <c r="M419" i="5"/>
  <c r="M347" i="5"/>
  <c r="M299" i="5"/>
  <c r="M227" i="5"/>
  <c r="M152" i="5"/>
  <c r="M104" i="5"/>
  <c r="M32" i="5"/>
  <c r="M674" i="5"/>
  <c r="M512" i="5"/>
  <c r="M392" i="5"/>
  <c r="M296" i="5"/>
  <c r="M248" i="5"/>
  <c r="M173" i="5"/>
  <c r="M101" i="5"/>
  <c r="M53" i="5"/>
  <c r="M671" i="5"/>
  <c r="M560" i="5"/>
  <c r="M485" i="5"/>
  <c r="M413" i="5"/>
  <c r="M317" i="5"/>
  <c r="M245" i="5"/>
  <c r="M146" i="5"/>
  <c r="M74" i="5"/>
  <c r="M668" i="5"/>
  <c r="M605" i="5"/>
  <c r="M530" i="5"/>
  <c r="M458" i="5"/>
  <c r="M386" i="5"/>
  <c r="M314" i="5"/>
  <c r="M218" i="5"/>
  <c r="M119" i="5"/>
  <c r="M47" i="5"/>
  <c r="M716" i="5"/>
  <c r="M683" i="5"/>
  <c r="M659" i="5"/>
  <c r="M620" i="5"/>
  <c r="M596" i="5"/>
  <c r="M572" i="5"/>
  <c r="M545" i="5"/>
  <c r="M521" i="5"/>
  <c r="M497" i="5"/>
  <c r="M473" i="5"/>
  <c r="M449" i="5"/>
  <c r="M425" i="5"/>
  <c r="M401" i="5"/>
  <c r="M377" i="5"/>
  <c r="M353" i="5"/>
  <c r="M329" i="5"/>
  <c r="M305" i="5"/>
  <c r="M281" i="5"/>
  <c r="M257" i="5"/>
  <c r="M233" i="5"/>
  <c r="M209" i="5"/>
  <c r="M185" i="5"/>
  <c r="M158" i="5"/>
  <c r="M134" i="5"/>
  <c r="M110" i="5"/>
  <c r="M86" i="5"/>
  <c r="M62" i="5"/>
  <c r="M38" i="5"/>
  <c r="M14" i="5"/>
  <c r="M713" i="5"/>
  <c r="M617" i="5"/>
  <c r="M542" i="5"/>
  <c r="M494" i="5"/>
  <c r="M446" i="5"/>
  <c r="M374" i="5"/>
  <c r="M326" i="5"/>
  <c r="M230" i="5"/>
  <c r="M131" i="5"/>
  <c r="M35" i="5"/>
  <c r="M710" i="5"/>
  <c r="M650" i="5"/>
  <c r="M590" i="5"/>
  <c r="M539" i="5"/>
  <c r="M491" i="5"/>
  <c r="M443" i="5"/>
  <c r="M371" i="5"/>
  <c r="M323" i="5"/>
  <c r="M275" i="5"/>
  <c r="M251" i="5"/>
  <c r="M176" i="5"/>
  <c r="M128" i="5"/>
  <c r="M56" i="5"/>
  <c r="M644" i="5"/>
  <c r="M488" i="5"/>
  <c r="M416" i="5"/>
  <c r="M320" i="5"/>
  <c r="M224" i="5"/>
  <c r="M125" i="5"/>
  <c r="M29" i="5"/>
  <c r="M704" i="5"/>
  <c r="M584" i="5"/>
  <c r="M509" i="5"/>
  <c r="M437" i="5"/>
  <c r="M365" i="5"/>
  <c r="M293" i="5"/>
  <c r="M197" i="5"/>
  <c r="M122" i="5"/>
  <c r="M50" i="5"/>
  <c r="M692" i="5"/>
  <c r="M581" i="5"/>
  <c r="M506" i="5"/>
  <c r="M434" i="5"/>
  <c r="M362" i="5"/>
  <c r="M290" i="5"/>
  <c r="M242" i="5"/>
  <c r="M194" i="5"/>
  <c r="M143" i="5"/>
  <c r="M71" i="5"/>
  <c r="N11" i="6"/>
  <c r="N14" i="6" s="1"/>
  <c r="N17" i="6" s="1"/>
  <c r="N20" i="6" s="1"/>
  <c r="N23" i="6" s="1"/>
  <c r="N26" i="6" s="1"/>
  <c r="N29" i="6" s="1"/>
  <c r="N32" i="6" s="1"/>
  <c r="N35" i="6" s="1"/>
  <c r="N38" i="6" s="1"/>
  <c r="N41" i="6" s="1"/>
  <c r="N44" i="6" s="1"/>
  <c r="N47" i="6" s="1"/>
  <c r="N50" i="6" s="1"/>
  <c r="N53" i="6" s="1"/>
  <c r="N56" i="6" s="1"/>
  <c r="N59" i="6" s="1"/>
  <c r="N62" i="6" s="1"/>
  <c r="N65" i="6" s="1"/>
  <c r="N68" i="6" s="1"/>
  <c r="N71" i="6" s="1"/>
  <c r="N74" i="6" s="1"/>
  <c r="N77" i="6" s="1"/>
  <c r="N80" i="6" s="1"/>
  <c r="N83" i="6" s="1"/>
  <c r="N86" i="6" s="1"/>
  <c r="N89" i="6" s="1"/>
  <c r="N92" i="6" s="1"/>
  <c r="N95" i="6" s="1"/>
  <c r="N113" i="6" s="1"/>
  <c r="N116" i="6" s="1"/>
  <c r="N119" i="6" s="1"/>
  <c r="N122" i="6" s="1"/>
  <c r="N125" i="6" s="1"/>
  <c r="N128" i="6" s="1"/>
  <c r="N131" i="6" s="1"/>
  <c r="N134" i="6" s="1"/>
  <c r="N137" i="6" s="1"/>
  <c r="N140" i="6" s="1"/>
  <c r="N143" i="6" s="1"/>
  <c r="N146" i="6" s="1"/>
  <c r="N149" i="6" s="1"/>
  <c r="N152" i="6" s="1"/>
  <c r="N155" i="6" s="1"/>
  <c r="N158" i="6" s="1"/>
  <c r="N161" i="6" s="1"/>
  <c r="N164" i="6" s="1"/>
  <c r="N167" i="6" s="1"/>
  <c r="N170" i="6" s="1"/>
  <c r="N173" i="6" s="1"/>
  <c r="N176" i="6" s="1"/>
  <c r="N182" i="6" s="1"/>
  <c r="N185" i="6" s="1"/>
  <c r="N188" i="6" s="1"/>
  <c r="N191" i="6" s="1"/>
  <c r="N194" i="6" s="1"/>
  <c r="N197" i="6" s="1"/>
  <c r="N200" i="6" s="1"/>
  <c r="N203" i="6" s="1"/>
  <c r="N206" i="6" s="1"/>
  <c r="N209" i="6" s="1"/>
  <c r="N212" i="6" s="1"/>
  <c r="N215" i="6" s="1"/>
  <c r="N218" i="6" s="1"/>
  <c r="N221" i="6" s="1"/>
  <c r="N224" i="6" s="1"/>
  <c r="N227" i="6" s="1"/>
  <c r="N230" i="6" s="1"/>
  <c r="N233" i="6" s="1"/>
  <c r="N236" i="6" s="1"/>
  <c r="N239" i="6" s="1"/>
  <c r="N242" i="6" s="1"/>
  <c r="N245" i="6" s="1"/>
  <c r="N248" i="6" s="1"/>
  <c r="N251" i="6" s="1"/>
  <c r="N254" i="6" s="1"/>
  <c r="N257" i="6" s="1"/>
  <c r="N260" i="6" s="1"/>
  <c r="N263" i="6" s="1"/>
  <c r="N266" i="6" s="1"/>
  <c r="N269" i="6" s="1"/>
  <c r="N272" i="6" s="1"/>
  <c r="N275" i="6" s="1"/>
  <c r="N278" i="6" s="1"/>
  <c r="N281" i="6" s="1"/>
  <c r="N284" i="6" s="1"/>
  <c r="N287" i="6" s="1"/>
  <c r="N290" i="6" s="1"/>
  <c r="N293" i="6" s="1"/>
  <c r="N296" i="6" s="1"/>
  <c r="N299" i="6" s="1"/>
  <c r="N302" i="6" s="1"/>
  <c r="N305" i="6" s="1"/>
  <c r="N308" i="6" s="1"/>
  <c r="N311" i="6" s="1"/>
  <c r="N314" i="6" s="1"/>
  <c r="N317" i="6" s="1"/>
  <c r="N320" i="6" s="1"/>
  <c r="N323" i="6" s="1"/>
  <c r="N326" i="6" s="1"/>
  <c r="N329" i="6" s="1"/>
  <c r="N332" i="6" s="1"/>
  <c r="N335" i="6" s="1"/>
  <c r="N338" i="6" s="1"/>
  <c r="N341" i="6" s="1"/>
  <c r="N344" i="6" s="1"/>
  <c r="N347" i="6" s="1"/>
  <c r="N350" i="6" s="1"/>
  <c r="N353" i="6" s="1"/>
  <c r="N356" i="6" s="1"/>
  <c r="N359" i="6" s="1"/>
  <c r="N362" i="6" s="1"/>
  <c r="N365" i="6" s="1"/>
  <c r="N368" i="6" s="1"/>
  <c r="N371" i="6" s="1"/>
  <c r="N374" i="6" s="1"/>
  <c r="N377" i="6" s="1"/>
  <c r="N380" i="6" s="1"/>
  <c r="N383" i="6" s="1"/>
  <c r="N386" i="6" s="1"/>
  <c r="N389" i="6" s="1"/>
  <c r="N392" i="6" s="1"/>
  <c r="N395" i="6" s="1"/>
  <c r="N398" i="6" s="1"/>
  <c r="N401" i="6" s="1"/>
  <c r="N404" i="6" s="1"/>
  <c r="N407" i="6" s="1"/>
  <c r="N410" i="6" s="1"/>
  <c r="N413" i="6" s="1"/>
  <c r="N416" i="6" s="1"/>
  <c r="N419" i="6" s="1"/>
  <c r="N422" i="6" s="1"/>
  <c r="N425" i="6" s="1"/>
  <c r="N428" i="6" s="1"/>
  <c r="N431" i="6" s="1"/>
  <c r="N434" i="6" s="1"/>
  <c r="N437" i="6" s="1"/>
  <c r="N440" i="6" s="1"/>
  <c r="N443" i="6" s="1"/>
  <c r="N446" i="6" s="1"/>
  <c r="N449" i="6" s="1"/>
  <c r="N452" i="6" s="1"/>
  <c r="N455" i="6" s="1"/>
  <c r="N458" i="6" s="1"/>
  <c r="N461" i="6" s="1"/>
  <c r="N464" i="6" s="1"/>
  <c r="N467" i="6" s="1"/>
  <c r="N470" i="6" s="1"/>
  <c r="N473" i="6" s="1"/>
  <c r="N476" i="6" s="1"/>
  <c r="N479" i="6" s="1"/>
  <c r="N482" i="6" s="1"/>
  <c r="N485" i="6" s="1"/>
  <c r="N488" i="6" s="1"/>
  <c r="N491" i="6" s="1"/>
  <c r="N494" i="6" s="1"/>
  <c r="N497" i="6" s="1"/>
  <c r="N500" i="6" s="1"/>
  <c r="N503" i="6" s="1"/>
  <c r="N506" i="6" s="1"/>
  <c r="N509" i="6" s="1"/>
  <c r="N512" i="6" s="1"/>
  <c r="N515" i="6" s="1"/>
  <c r="N518" i="6" s="1"/>
  <c r="N521" i="6" s="1"/>
  <c r="N524" i="6" s="1"/>
  <c r="N527" i="6" s="1"/>
  <c r="N530" i="6" s="1"/>
  <c r="N533" i="6" s="1"/>
  <c r="N536" i="6" s="1"/>
  <c r="N539" i="6" s="1"/>
  <c r="N542" i="6" s="1"/>
  <c r="N545" i="6" s="1"/>
  <c r="N548" i="6" s="1"/>
  <c r="N551" i="6" s="1"/>
  <c r="N554" i="6" s="1"/>
  <c r="N560" i="6" s="1"/>
  <c r="N563" i="6" s="1"/>
  <c r="N566" i="6" s="1"/>
  <c r="N569" i="6" s="1"/>
  <c r="N572" i="6" s="1"/>
  <c r="N575" i="6" s="1"/>
  <c r="N578" i="6" s="1"/>
  <c r="N581" i="6" s="1"/>
  <c r="N584" i="6" s="1"/>
  <c r="N587" i="6" s="1"/>
  <c r="N590" i="6" s="1"/>
  <c r="N593" i="6" s="1"/>
  <c r="N596" i="6" s="1"/>
  <c r="N599" i="6" s="1"/>
  <c r="N602" i="6" s="1"/>
  <c r="N605" i="6" s="1"/>
  <c r="N608" i="6" s="1"/>
  <c r="N611" i="6" s="1"/>
  <c r="N614" i="6" s="1"/>
  <c r="N617" i="6" s="1"/>
  <c r="N620" i="6" s="1"/>
  <c r="N623" i="6" s="1"/>
  <c r="N632" i="6" s="1"/>
  <c r="N638" i="6" s="1"/>
  <c r="N641" i="6" s="1"/>
  <c r="N644" i="6" s="1"/>
  <c r="N650" i="6" s="1"/>
  <c r="N656" i="6" s="1"/>
  <c r="N659" i="6" s="1"/>
  <c r="N662" i="6" s="1"/>
  <c r="N665" i="6" s="1"/>
  <c r="N668" i="6" s="1"/>
  <c r="N671" i="6" s="1"/>
  <c r="N674" i="6" s="1"/>
  <c r="N677" i="6" s="1"/>
  <c r="N680" i="6" s="1"/>
  <c r="N683" i="6" s="1"/>
  <c r="N686" i="6" s="1"/>
  <c r="N689" i="6" s="1"/>
  <c r="N692" i="6" s="1"/>
  <c r="N704" i="6" s="1"/>
  <c r="N707" i="6" s="1"/>
  <c r="N710" i="6" s="1"/>
  <c r="N713" i="6" s="1"/>
  <c r="N716" i="6" s="1"/>
  <c r="N722" i="6" s="1"/>
  <c r="N725" i="6" s="1"/>
  <c r="N731" i="6" s="1"/>
  <c r="N737" i="6" s="1"/>
  <c r="N749" i="6" s="1"/>
  <c r="N752" i="6" s="1"/>
  <c r="N755" i="6" s="1"/>
  <c r="N758" i="6" s="1"/>
  <c r="N761" i="6" s="1"/>
  <c r="N764" i="6" s="1"/>
  <c r="N773" i="6" s="1"/>
  <c r="N776" i="6" s="1"/>
  <c r="N779" i="6" s="1"/>
  <c r="N782" i="6" s="1"/>
  <c r="N785" i="6" s="1"/>
  <c r="N791" i="6" s="1"/>
  <c r="N794" i="6" s="1"/>
  <c r="N797" i="6" s="1"/>
  <c r="N800" i="6" s="1"/>
  <c r="N803" i="6" s="1"/>
  <c r="N842" i="6" s="1"/>
  <c r="N845" i="6" s="1"/>
  <c r="N8" i="7"/>
  <c r="N11" i="7" s="1"/>
  <c r="N14" i="7" s="1"/>
  <c r="N17" i="7" s="1"/>
  <c r="N20" i="7" s="1"/>
  <c r="N23" i="7" s="1"/>
  <c r="N26" i="7" s="1"/>
  <c r="N29" i="7" s="1"/>
  <c r="N32" i="7" s="1"/>
  <c r="N35" i="7" s="1"/>
  <c r="N38" i="7" s="1"/>
  <c r="N41" i="7" s="1"/>
  <c r="N44" i="7" s="1"/>
  <c r="N47" i="7" s="1"/>
  <c r="N50" i="7" s="1"/>
  <c r="N53" i="7" s="1"/>
  <c r="N56" i="7" s="1"/>
  <c r="N59" i="7" s="1"/>
  <c r="N62" i="7" s="1"/>
  <c r="N65" i="7" s="1"/>
  <c r="N68" i="7" s="1"/>
  <c r="N71" i="7" s="1"/>
  <c r="N74" i="7" s="1"/>
  <c r="N77" i="7" s="1"/>
  <c r="N80" i="7" s="1"/>
  <c r="N83" i="7" s="1"/>
  <c r="N86" i="7" s="1"/>
  <c r="N89" i="7" s="1"/>
  <c r="N92" i="7" s="1"/>
  <c r="N95" i="7" s="1"/>
  <c r="N113" i="7" s="1"/>
  <c r="N116" i="7" s="1"/>
  <c r="N119" i="7" s="1"/>
  <c r="N122" i="7" s="1"/>
  <c r="N125" i="7" s="1"/>
  <c r="N128" i="7" s="1"/>
  <c r="N131" i="7" s="1"/>
  <c r="N134" i="7" s="1"/>
  <c r="N137" i="7" s="1"/>
  <c r="N140" i="7" s="1"/>
  <c r="N143" i="7" s="1"/>
  <c r="N146" i="7" s="1"/>
  <c r="N149" i="7" s="1"/>
  <c r="N152" i="7" s="1"/>
  <c r="N155" i="7" s="1"/>
  <c r="N158" i="7" s="1"/>
  <c r="N161" i="7" s="1"/>
  <c r="N164" i="7" s="1"/>
  <c r="N167" i="7" s="1"/>
  <c r="N170" i="7" s="1"/>
  <c r="N173" i="7" s="1"/>
  <c r="N176" i="7" s="1"/>
  <c r="N182" i="7" s="1"/>
  <c r="N185" i="7" s="1"/>
  <c r="N188" i="7" s="1"/>
  <c r="N191" i="7" s="1"/>
  <c r="N194" i="7" s="1"/>
  <c r="N197" i="7" s="1"/>
  <c r="N200" i="7" s="1"/>
  <c r="N203" i="7" s="1"/>
  <c r="N206" i="7" s="1"/>
  <c r="N209" i="7" s="1"/>
  <c r="N212" i="7" s="1"/>
  <c r="N215" i="7" s="1"/>
  <c r="N218" i="7" s="1"/>
  <c r="N221" i="7" s="1"/>
  <c r="N224" i="7" s="1"/>
  <c r="N227" i="7" s="1"/>
  <c r="N230" i="7" s="1"/>
  <c r="N233" i="7" s="1"/>
  <c r="N236" i="7" s="1"/>
  <c r="N239" i="7" s="1"/>
  <c r="N242" i="7" s="1"/>
  <c r="N245" i="7" s="1"/>
  <c r="N248" i="7" s="1"/>
  <c r="N251" i="7" s="1"/>
  <c r="N254" i="7" s="1"/>
  <c r="N257" i="7" s="1"/>
  <c r="N260" i="7" s="1"/>
  <c r="N263" i="7" s="1"/>
  <c r="N266" i="7" s="1"/>
  <c r="N269" i="7" s="1"/>
  <c r="N272" i="7" s="1"/>
  <c r="N275" i="7" s="1"/>
  <c r="N278" i="7" s="1"/>
  <c r="N281" i="7" s="1"/>
  <c r="N284" i="7" s="1"/>
  <c r="N287" i="7" s="1"/>
  <c r="N290" i="7" s="1"/>
  <c r="N293" i="7" s="1"/>
  <c r="N296" i="7" s="1"/>
  <c r="N299" i="7" s="1"/>
  <c r="N302" i="7" s="1"/>
  <c r="N305" i="7" s="1"/>
  <c r="N308" i="7" s="1"/>
  <c r="N311" i="7" s="1"/>
  <c r="N314" i="7" s="1"/>
  <c r="N317" i="7" s="1"/>
  <c r="N320" i="7" s="1"/>
  <c r="N323" i="7" s="1"/>
  <c r="N326" i="7" s="1"/>
  <c r="N329" i="7" s="1"/>
  <c r="N332" i="7" s="1"/>
  <c r="N335" i="7" s="1"/>
  <c r="N338" i="7" s="1"/>
  <c r="N341" i="7" s="1"/>
  <c r="N344" i="7" s="1"/>
  <c r="N347" i="7" s="1"/>
  <c r="N350" i="7" s="1"/>
  <c r="N353" i="7" s="1"/>
  <c r="N356" i="7" s="1"/>
  <c r="N359" i="7" s="1"/>
  <c r="N362" i="7" s="1"/>
  <c r="N365" i="7" s="1"/>
  <c r="N368" i="7" s="1"/>
  <c r="N371" i="7" s="1"/>
  <c r="N374" i="7" s="1"/>
  <c r="N377" i="7" s="1"/>
  <c r="N380" i="7" s="1"/>
  <c r="N383" i="7" s="1"/>
  <c r="N386" i="7" s="1"/>
  <c r="N389" i="7" s="1"/>
  <c r="N392" i="7" s="1"/>
  <c r="N395" i="7" s="1"/>
  <c r="N398" i="7" s="1"/>
  <c r="N401" i="7" s="1"/>
  <c r="N404" i="7" s="1"/>
  <c r="N407" i="7" s="1"/>
  <c r="N410" i="7" s="1"/>
  <c r="N413" i="7" s="1"/>
  <c r="N416" i="7" s="1"/>
  <c r="N419" i="7" s="1"/>
  <c r="N422" i="7" s="1"/>
  <c r="N425" i="7" s="1"/>
  <c r="N428" i="7" s="1"/>
  <c r="N431" i="7" s="1"/>
  <c r="N434" i="7" s="1"/>
  <c r="N437" i="7" s="1"/>
  <c r="N440" i="7" s="1"/>
  <c r="N443" i="7" s="1"/>
  <c r="N446" i="7" s="1"/>
  <c r="N449" i="7" s="1"/>
  <c r="N452" i="7" s="1"/>
  <c r="N455" i="7" s="1"/>
  <c r="N458" i="7" s="1"/>
  <c r="N461" i="7" s="1"/>
  <c r="N464" i="7" s="1"/>
  <c r="N467" i="7" s="1"/>
  <c r="N470" i="7" s="1"/>
  <c r="N473" i="7" s="1"/>
  <c r="N476" i="7" s="1"/>
  <c r="N479" i="7" s="1"/>
  <c r="N482" i="7" s="1"/>
  <c r="N485" i="7" s="1"/>
  <c r="N488" i="7" s="1"/>
  <c r="N491" i="7" s="1"/>
  <c r="N494" i="7" s="1"/>
  <c r="N497" i="7" s="1"/>
  <c r="N500" i="7" s="1"/>
  <c r="N503" i="7" s="1"/>
  <c r="N506" i="7" s="1"/>
  <c r="N509" i="7" s="1"/>
  <c r="N512" i="7" s="1"/>
  <c r="N515" i="7" s="1"/>
  <c r="N518" i="7" s="1"/>
  <c r="N521" i="7" s="1"/>
  <c r="N524" i="7" s="1"/>
  <c r="N527" i="7" s="1"/>
  <c r="N530" i="7" s="1"/>
  <c r="N533" i="7" s="1"/>
  <c r="N536" i="7" s="1"/>
  <c r="N539" i="7" s="1"/>
  <c r="N542" i="7" s="1"/>
  <c r="N545" i="7" s="1"/>
  <c r="N548" i="7" s="1"/>
  <c r="N551" i="7" s="1"/>
  <c r="N554" i="7" s="1"/>
  <c r="N560" i="7" s="1"/>
  <c r="N563" i="7" s="1"/>
  <c r="N566" i="7" s="1"/>
  <c r="N569" i="7" s="1"/>
  <c r="N572" i="7" s="1"/>
  <c r="N575" i="7" s="1"/>
  <c r="N578" i="7" s="1"/>
  <c r="N581" i="7" s="1"/>
  <c r="N584" i="7" s="1"/>
  <c r="N587" i="7" s="1"/>
  <c r="N590" i="7" s="1"/>
  <c r="N593" i="7" s="1"/>
  <c r="N596" i="7" s="1"/>
  <c r="N599" i="7" s="1"/>
  <c r="N602" i="7" s="1"/>
  <c r="N605" i="7" s="1"/>
  <c r="N608" i="7" s="1"/>
  <c r="N611" i="7" s="1"/>
  <c r="N614" i="7" s="1"/>
  <c r="N617" i="7" s="1"/>
  <c r="N620" i="7" s="1"/>
  <c r="N623" i="7" s="1"/>
  <c r="N632" i="7" s="1"/>
  <c r="N638" i="7" s="1"/>
  <c r="N641" i="7" s="1"/>
  <c r="N644" i="7" s="1"/>
  <c r="N650" i="7" s="1"/>
  <c r="N656" i="7" s="1"/>
  <c r="N659" i="7" s="1"/>
  <c r="N662" i="7" s="1"/>
  <c r="N665" i="7" s="1"/>
  <c r="N668" i="7" s="1"/>
  <c r="N671" i="7" s="1"/>
  <c r="N674" i="7" s="1"/>
  <c r="N677" i="7" s="1"/>
  <c r="N680" i="7" s="1"/>
  <c r="N683" i="7" s="1"/>
  <c r="N686" i="7" s="1"/>
  <c r="N689" i="7" s="1"/>
  <c r="N692" i="7" s="1"/>
  <c r="N704" i="7" s="1"/>
  <c r="N707" i="7" s="1"/>
  <c r="N710" i="7" s="1"/>
  <c r="N713" i="7" s="1"/>
  <c r="N716" i="7" s="1"/>
  <c r="N722" i="7" s="1"/>
  <c r="N725" i="7" s="1"/>
  <c r="N731" i="7" s="1"/>
  <c r="N737" i="7" s="1"/>
  <c r="N749" i="7" s="1"/>
  <c r="N752" i="7" s="1"/>
  <c r="N755" i="7" s="1"/>
  <c r="N758" i="7" s="1"/>
  <c r="N761" i="7" s="1"/>
  <c r="N764" i="7" s="1"/>
  <c r="N773" i="7" s="1"/>
  <c r="N776" i="7" s="1"/>
  <c r="N779" i="7" s="1"/>
  <c r="N782" i="7" s="1"/>
  <c r="N785" i="7" s="1"/>
  <c r="N791" i="7" s="1"/>
  <c r="N794" i="7" s="1"/>
  <c r="N797" i="7" s="1"/>
  <c r="N800" i="7" s="1"/>
  <c r="N803" i="7" s="1"/>
  <c r="N842" i="7" s="1"/>
  <c r="N845" i="7" s="1"/>
  <c r="N848" i="7" s="1"/>
  <c r="N851" i="7" s="1"/>
  <c r="N854" i="7" s="1"/>
  <c r="N857" i="7" s="1"/>
  <c r="N860" i="7" s="1"/>
  <c r="N863" i="7" s="1"/>
  <c r="N866" i="7" s="1"/>
  <c r="N869" i="7" s="1"/>
  <c r="N872" i="7" s="1"/>
  <c r="N875" i="7" s="1"/>
  <c r="N878" i="7" s="1"/>
  <c r="N881" i="7" s="1"/>
  <c r="AA98" i="7"/>
  <c r="AA101" i="7" s="1"/>
  <c r="AA104" i="7" s="1"/>
  <c r="AA107" i="7" s="1"/>
  <c r="AA110" i="7" s="1"/>
  <c r="AA113" i="7" s="1"/>
  <c r="AA116" i="7" s="1"/>
  <c r="AA119" i="7" s="1"/>
  <c r="AA122" i="7" s="1"/>
  <c r="AA125" i="7" s="1"/>
  <c r="AA128" i="7" s="1"/>
  <c r="AA131" i="7" s="1"/>
  <c r="AA134" i="7" s="1"/>
  <c r="AA137" i="7" s="1"/>
  <c r="AA140" i="7" s="1"/>
  <c r="AA143" i="7" s="1"/>
  <c r="AA146" i="7" s="1"/>
  <c r="AA149" i="7" s="1"/>
  <c r="AA152" i="7" s="1"/>
  <c r="AA155" i="7" s="1"/>
  <c r="AA158" i="7" s="1"/>
  <c r="AA161" i="7" s="1"/>
  <c r="AA164" i="7" s="1"/>
  <c r="AA167" i="7" s="1"/>
  <c r="AA170" i="7" s="1"/>
  <c r="AA173" i="7" s="1"/>
  <c r="AA176" i="7" s="1"/>
  <c r="J587" i="4"/>
  <c r="I587" i="4"/>
  <c r="L587" i="4" s="1"/>
  <c r="J584" i="4"/>
  <c r="L584" i="4" s="1"/>
  <c r="I584" i="4"/>
  <c r="J581" i="4"/>
  <c r="L581" i="4" s="1"/>
  <c r="I581" i="4"/>
  <c r="J578" i="4"/>
  <c r="L578" i="4" s="1"/>
  <c r="I578" i="4"/>
  <c r="J575" i="4"/>
  <c r="L575" i="4" s="1"/>
  <c r="I575" i="4"/>
  <c r="L572" i="4"/>
  <c r="J572" i="4"/>
  <c r="I572" i="4"/>
  <c r="J569" i="4"/>
  <c r="L569" i="4" s="1"/>
  <c r="I569" i="4"/>
  <c r="J566" i="4"/>
  <c r="L566" i="4" s="1"/>
  <c r="I566" i="4"/>
  <c r="J563" i="4"/>
  <c r="I563" i="4"/>
  <c r="L563" i="4" s="1"/>
  <c r="J560" i="4"/>
  <c r="L560" i="4" s="1"/>
  <c r="I560" i="4"/>
  <c r="J554" i="4"/>
  <c r="L554" i="4" s="1"/>
  <c r="I554" i="4"/>
  <c r="J587" i="5"/>
  <c r="L587" i="5" s="1"/>
  <c r="I587" i="5"/>
  <c r="L584" i="5"/>
  <c r="J584" i="5"/>
  <c r="I584" i="5"/>
  <c r="J581" i="5"/>
  <c r="L581" i="5" s="1"/>
  <c r="I581" i="5"/>
  <c r="J578" i="5"/>
  <c r="L578" i="5" s="1"/>
  <c r="I578" i="5"/>
  <c r="J575" i="5"/>
  <c r="L575" i="5" s="1"/>
  <c r="I575" i="5"/>
  <c r="L572" i="5"/>
  <c r="J572" i="5"/>
  <c r="I572" i="5"/>
  <c r="J569" i="5"/>
  <c r="L569" i="5" s="1"/>
  <c r="I569" i="5"/>
  <c r="J566" i="5"/>
  <c r="L566" i="5" s="1"/>
  <c r="I566" i="5"/>
  <c r="J563" i="5"/>
  <c r="L563" i="5" s="1"/>
  <c r="I563" i="5"/>
  <c r="J560" i="5"/>
  <c r="L560" i="5" s="1"/>
  <c r="I560" i="5"/>
  <c r="J554" i="5"/>
  <c r="L554" i="5" s="1"/>
  <c r="I554" i="5"/>
  <c r="J587" i="6"/>
  <c r="L587" i="6" s="1"/>
  <c r="I587" i="6"/>
  <c r="J584" i="6"/>
  <c r="L584" i="6" s="1"/>
  <c r="I584" i="6"/>
  <c r="J581" i="6"/>
  <c r="L581" i="6" s="1"/>
  <c r="I581" i="6"/>
  <c r="J578" i="6"/>
  <c r="L578" i="6" s="1"/>
  <c r="I578" i="6"/>
  <c r="J575" i="6"/>
  <c r="L575" i="6" s="1"/>
  <c r="I575" i="6"/>
  <c r="L572" i="6"/>
  <c r="J572" i="6"/>
  <c r="I572" i="6"/>
  <c r="J569" i="6"/>
  <c r="L569" i="6" s="1"/>
  <c r="I569" i="6"/>
  <c r="J566" i="6"/>
  <c r="L566" i="6" s="1"/>
  <c r="I566" i="6"/>
  <c r="J563" i="6"/>
  <c r="L563" i="6" s="1"/>
  <c r="I563" i="6"/>
  <c r="J560" i="6"/>
  <c r="L560" i="6" s="1"/>
  <c r="I560" i="6"/>
  <c r="J554" i="6"/>
  <c r="L554" i="6" s="1"/>
  <c r="I554" i="6"/>
  <c r="J587" i="7"/>
  <c r="L587" i="7" s="1"/>
  <c r="I587" i="7"/>
  <c r="J584" i="7"/>
  <c r="L584" i="7" s="1"/>
  <c r="I584" i="7"/>
  <c r="J581" i="7"/>
  <c r="L581" i="7" s="1"/>
  <c r="I581" i="7"/>
  <c r="J578" i="7"/>
  <c r="L578" i="7" s="1"/>
  <c r="I578" i="7"/>
  <c r="J575" i="7"/>
  <c r="L575" i="7" s="1"/>
  <c r="I575" i="7"/>
  <c r="J572" i="7"/>
  <c r="L572" i="7" s="1"/>
  <c r="I572" i="7"/>
  <c r="J569" i="7"/>
  <c r="L569" i="7" s="1"/>
  <c r="I569" i="7"/>
  <c r="J566" i="7"/>
  <c r="L566" i="7" s="1"/>
  <c r="I566" i="7"/>
  <c r="J563" i="7"/>
  <c r="L563" i="7" s="1"/>
  <c r="I563" i="7"/>
  <c r="J560" i="7"/>
  <c r="L560" i="7" s="1"/>
  <c r="I560" i="7"/>
  <c r="J554" i="7"/>
  <c r="L554" i="7" s="1"/>
  <c r="I554" i="7"/>
  <c r="J551" i="4"/>
  <c r="L551" i="4" s="1"/>
  <c r="I551" i="4"/>
  <c r="J548" i="4"/>
  <c r="I548" i="4"/>
  <c r="J545" i="4"/>
  <c r="L545" i="4" s="1"/>
  <c r="I545" i="4"/>
  <c r="J542" i="4"/>
  <c r="L542" i="4" s="1"/>
  <c r="I542" i="4"/>
  <c r="J539" i="4"/>
  <c r="L539" i="4" s="1"/>
  <c r="I539" i="4"/>
  <c r="L536" i="4"/>
  <c r="J536" i="4"/>
  <c r="I536" i="4"/>
  <c r="J533" i="4"/>
  <c r="L533" i="4" s="1"/>
  <c r="I533" i="4"/>
  <c r="J530" i="4"/>
  <c r="L530" i="4" s="1"/>
  <c r="I530" i="4"/>
  <c r="J527" i="4"/>
  <c r="L527" i="4" s="1"/>
  <c r="I527" i="4"/>
  <c r="J524" i="4"/>
  <c r="I524" i="4"/>
  <c r="L521" i="4"/>
  <c r="J521" i="4"/>
  <c r="I521" i="4"/>
  <c r="J518" i="4"/>
  <c r="L518" i="4" s="1"/>
  <c r="I518" i="4"/>
  <c r="J515" i="4"/>
  <c r="L515" i="4" s="1"/>
  <c r="I515" i="4"/>
  <c r="L512" i="4"/>
  <c r="J512" i="4"/>
  <c r="I512" i="4"/>
  <c r="J509" i="4"/>
  <c r="L509" i="4" s="1"/>
  <c r="I509" i="4"/>
  <c r="J506" i="4"/>
  <c r="L506" i="4" s="1"/>
  <c r="I506" i="4"/>
  <c r="J503" i="4"/>
  <c r="L503" i="4" s="1"/>
  <c r="I503" i="4"/>
  <c r="J500" i="4"/>
  <c r="I500" i="4"/>
  <c r="J497" i="4"/>
  <c r="L497" i="4" s="1"/>
  <c r="I497" i="4"/>
  <c r="J494" i="4"/>
  <c r="L494" i="4" s="1"/>
  <c r="I494" i="4"/>
  <c r="J491" i="4"/>
  <c r="L491" i="4" s="1"/>
  <c r="I491" i="4"/>
  <c r="L488" i="4"/>
  <c r="J488" i="4"/>
  <c r="I488" i="4"/>
  <c r="J485" i="4"/>
  <c r="L485" i="4" s="1"/>
  <c r="I485" i="4"/>
  <c r="J482" i="4"/>
  <c r="L482" i="4" s="1"/>
  <c r="I482" i="4"/>
  <c r="J479" i="4"/>
  <c r="L479" i="4" s="1"/>
  <c r="I479" i="4"/>
  <c r="J476" i="4"/>
  <c r="I476" i="4"/>
  <c r="L473" i="4"/>
  <c r="J473" i="4"/>
  <c r="I473" i="4"/>
  <c r="J470" i="4"/>
  <c r="L470" i="4" s="1"/>
  <c r="I470" i="4"/>
  <c r="J467" i="4"/>
  <c r="I467" i="4"/>
  <c r="L464" i="4"/>
  <c r="J464" i="4"/>
  <c r="I464" i="4"/>
  <c r="J461" i="4"/>
  <c r="L461" i="4" s="1"/>
  <c r="I461" i="4"/>
  <c r="J458" i="4"/>
  <c r="L458" i="4" s="1"/>
  <c r="I458" i="4"/>
  <c r="J455" i="4"/>
  <c r="L455" i="4" s="1"/>
  <c r="I455" i="4"/>
  <c r="J452" i="4"/>
  <c r="I452" i="4"/>
  <c r="J449" i="4"/>
  <c r="L449" i="4" s="1"/>
  <c r="I449" i="4"/>
  <c r="J446" i="4"/>
  <c r="L446" i="4" s="1"/>
  <c r="I446" i="4"/>
  <c r="J443" i="4"/>
  <c r="L443" i="4" s="1"/>
  <c r="I443" i="4"/>
  <c r="L440" i="4"/>
  <c r="J440" i="4"/>
  <c r="I440" i="4"/>
  <c r="J437" i="4"/>
  <c r="L437" i="4" s="1"/>
  <c r="I437" i="4"/>
  <c r="L434" i="4"/>
  <c r="J434" i="4"/>
  <c r="I434" i="4"/>
  <c r="J431" i="4"/>
  <c r="L431" i="4" s="1"/>
  <c r="I431" i="4"/>
  <c r="J428" i="4"/>
  <c r="I428" i="4"/>
  <c r="J425" i="4"/>
  <c r="L425" i="4" s="1"/>
  <c r="I425" i="4"/>
  <c r="J422" i="4"/>
  <c r="L422" i="4" s="1"/>
  <c r="I422" i="4"/>
  <c r="J419" i="4"/>
  <c r="I419" i="4"/>
  <c r="L416" i="4"/>
  <c r="J416" i="4"/>
  <c r="I416" i="4"/>
  <c r="J413" i="4"/>
  <c r="L413" i="4" s="1"/>
  <c r="I413" i="4"/>
  <c r="L410" i="4"/>
  <c r="J410" i="4"/>
  <c r="I410" i="4"/>
  <c r="J407" i="4"/>
  <c r="L407" i="4" s="1"/>
  <c r="I407" i="4"/>
  <c r="J404" i="4"/>
  <c r="I404" i="4"/>
  <c r="J401" i="4"/>
  <c r="L401" i="4" s="1"/>
  <c r="I401" i="4"/>
  <c r="J398" i="4"/>
  <c r="L398" i="4" s="1"/>
  <c r="I398" i="4"/>
  <c r="J395" i="4"/>
  <c r="I395" i="4"/>
  <c r="L392" i="4"/>
  <c r="J392" i="4"/>
  <c r="I392" i="4"/>
  <c r="J389" i="4"/>
  <c r="L389" i="4" s="1"/>
  <c r="I389" i="4"/>
  <c r="J386" i="4"/>
  <c r="L386" i="4" s="1"/>
  <c r="I386" i="4"/>
  <c r="J383" i="4"/>
  <c r="L383" i="4" s="1"/>
  <c r="I383" i="4"/>
  <c r="J380" i="4"/>
  <c r="L380" i="4" s="1"/>
  <c r="I380" i="4"/>
  <c r="J377" i="4"/>
  <c r="L377" i="4" s="1"/>
  <c r="I377" i="4"/>
  <c r="J374" i="4"/>
  <c r="L374" i="4" s="1"/>
  <c r="I374" i="4"/>
  <c r="J371" i="4"/>
  <c r="I371" i="4"/>
  <c r="L368" i="4"/>
  <c r="J368" i="4"/>
  <c r="I368" i="4"/>
  <c r="J365" i="4"/>
  <c r="L365" i="4" s="1"/>
  <c r="I365" i="4"/>
  <c r="J362" i="4"/>
  <c r="I362" i="4"/>
  <c r="L362" i="4" s="1"/>
  <c r="J359" i="4"/>
  <c r="L359" i="4" s="1"/>
  <c r="I359" i="4"/>
  <c r="J356" i="4"/>
  <c r="I356" i="4"/>
  <c r="J353" i="4"/>
  <c r="L353" i="4" s="1"/>
  <c r="I353" i="4"/>
  <c r="J350" i="4"/>
  <c r="L350" i="4" s="1"/>
  <c r="I350" i="4"/>
  <c r="J347" i="4"/>
  <c r="I347" i="4"/>
  <c r="L344" i="4"/>
  <c r="J344" i="4"/>
  <c r="I344" i="4"/>
  <c r="J341" i="4"/>
  <c r="L341" i="4" s="1"/>
  <c r="I341" i="4"/>
  <c r="J338" i="4"/>
  <c r="L338" i="4" s="1"/>
  <c r="I338" i="4"/>
  <c r="J335" i="4"/>
  <c r="L335" i="4" s="1"/>
  <c r="I335" i="4"/>
  <c r="J332" i="4"/>
  <c r="L332" i="4" s="1"/>
  <c r="I332" i="4"/>
  <c r="L329" i="4"/>
  <c r="J329" i="4"/>
  <c r="I329" i="4"/>
  <c r="J326" i="4"/>
  <c r="L326" i="4" s="1"/>
  <c r="I326" i="4"/>
  <c r="J323" i="4"/>
  <c r="I323" i="4"/>
  <c r="L320" i="4"/>
  <c r="J320" i="4"/>
  <c r="I320" i="4"/>
  <c r="J317" i="4"/>
  <c r="L317" i="4" s="1"/>
  <c r="I317" i="4"/>
  <c r="J314" i="4"/>
  <c r="L314" i="4" s="1"/>
  <c r="I314" i="4"/>
  <c r="J311" i="4"/>
  <c r="L311" i="4" s="1"/>
  <c r="I311" i="4"/>
  <c r="J308" i="4"/>
  <c r="I308" i="4"/>
  <c r="J305" i="4"/>
  <c r="L305" i="4" s="1"/>
  <c r="I305" i="4"/>
  <c r="J302" i="4"/>
  <c r="L302" i="4" s="1"/>
  <c r="I302" i="4"/>
  <c r="J299" i="4"/>
  <c r="L299" i="4" s="1"/>
  <c r="I299" i="4"/>
  <c r="L296" i="4"/>
  <c r="J296" i="4"/>
  <c r="I296" i="4"/>
  <c r="J293" i="4"/>
  <c r="L293" i="4" s="1"/>
  <c r="I293" i="4"/>
  <c r="J290" i="4"/>
  <c r="L290" i="4" s="1"/>
  <c r="I290" i="4"/>
  <c r="J287" i="4"/>
  <c r="L287" i="4" s="1"/>
  <c r="I287" i="4"/>
  <c r="J284" i="4"/>
  <c r="I284" i="4"/>
  <c r="L281" i="4"/>
  <c r="J281" i="4"/>
  <c r="I281" i="4"/>
  <c r="J278" i="4"/>
  <c r="L278" i="4" s="1"/>
  <c r="I278" i="4"/>
  <c r="J275" i="4"/>
  <c r="I275" i="4"/>
  <c r="L272" i="4"/>
  <c r="J272" i="4"/>
  <c r="I272" i="4"/>
  <c r="J269" i="4"/>
  <c r="L269" i="4" s="1"/>
  <c r="I269" i="4"/>
  <c r="J266" i="4"/>
  <c r="L266" i="4" s="1"/>
  <c r="I266" i="4"/>
  <c r="J263" i="4"/>
  <c r="L263" i="4" s="1"/>
  <c r="I263" i="4"/>
  <c r="J260" i="4"/>
  <c r="I260" i="4"/>
  <c r="J257" i="4"/>
  <c r="L257" i="4" s="1"/>
  <c r="I257" i="4"/>
  <c r="J254" i="4"/>
  <c r="L254" i="4" s="1"/>
  <c r="I254" i="4"/>
  <c r="J251" i="4"/>
  <c r="L251" i="4" s="1"/>
  <c r="I251" i="4"/>
  <c r="L248" i="4"/>
  <c r="J248" i="4"/>
  <c r="I248" i="4"/>
  <c r="J245" i="4"/>
  <c r="L245" i="4" s="1"/>
  <c r="I245" i="4"/>
  <c r="J242" i="4"/>
  <c r="L242" i="4" s="1"/>
  <c r="I242" i="4"/>
  <c r="J239" i="4"/>
  <c r="L239" i="4" s="1"/>
  <c r="I239" i="4"/>
  <c r="J236" i="4"/>
  <c r="I236" i="4"/>
  <c r="J233" i="4"/>
  <c r="L233" i="4" s="1"/>
  <c r="I233" i="4"/>
  <c r="J230" i="4"/>
  <c r="L230" i="4" s="1"/>
  <c r="I230" i="4"/>
  <c r="J227" i="4"/>
  <c r="I227" i="4"/>
  <c r="L224" i="4"/>
  <c r="J224" i="4"/>
  <c r="I224" i="4"/>
  <c r="J221" i="4"/>
  <c r="L221" i="4" s="1"/>
  <c r="I221" i="4"/>
  <c r="L218" i="4"/>
  <c r="J218" i="4"/>
  <c r="I218" i="4"/>
  <c r="J215" i="4"/>
  <c r="L215" i="4" s="1"/>
  <c r="I215" i="4"/>
  <c r="J212" i="4"/>
  <c r="I212" i="4"/>
  <c r="J209" i="4"/>
  <c r="L209" i="4" s="1"/>
  <c r="I209" i="4"/>
  <c r="J206" i="4"/>
  <c r="L206" i="4" s="1"/>
  <c r="I206" i="4"/>
  <c r="J203" i="4"/>
  <c r="I203" i="4"/>
  <c r="L200" i="4"/>
  <c r="J200" i="4"/>
  <c r="I200" i="4"/>
  <c r="J197" i="4"/>
  <c r="L197" i="4" s="1"/>
  <c r="I197" i="4"/>
  <c r="J194" i="4"/>
  <c r="L194" i="4" s="1"/>
  <c r="I194" i="4"/>
  <c r="J191" i="4"/>
  <c r="L191" i="4" s="1"/>
  <c r="I191" i="4"/>
  <c r="J188" i="4"/>
  <c r="L188" i="4" s="1"/>
  <c r="I188" i="4"/>
  <c r="J185" i="4"/>
  <c r="L185" i="4" s="1"/>
  <c r="I185" i="4"/>
  <c r="J182" i="4"/>
  <c r="L182" i="4" s="1"/>
  <c r="I182" i="4"/>
  <c r="J179" i="4"/>
  <c r="I179" i="4"/>
  <c r="L176" i="4"/>
  <c r="J176" i="4"/>
  <c r="I176" i="4"/>
  <c r="J173" i="4"/>
  <c r="L173" i="4" s="1"/>
  <c r="I173" i="4"/>
  <c r="J170" i="4"/>
  <c r="I170" i="4"/>
  <c r="L170" i="4" s="1"/>
  <c r="J167" i="4"/>
  <c r="L167" i="4" s="1"/>
  <c r="I167" i="4"/>
  <c r="J164" i="4"/>
  <c r="I164" i="4"/>
  <c r="J161" i="4"/>
  <c r="L161" i="4" s="1"/>
  <c r="I161" i="4"/>
  <c r="J158" i="4"/>
  <c r="L158" i="4" s="1"/>
  <c r="I158" i="4"/>
  <c r="J155" i="4"/>
  <c r="I155" i="4"/>
  <c r="L152" i="4"/>
  <c r="J152" i="4"/>
  <c r="I152" i="4"/>
  <c r="J149" i="4"/>
  <c r="L149" i="4" s="1"/>
  <c r="I149" i="4"/>
  <c r="J146" i="4"/>
  <c r="L146" i="4" s="1"/>
  <c r="I146" i="4"/>
  <c r="J143" i="4"/>
  <c r="L143" i="4" s="1"/>
  <c r="I143" i="4"/>
  <c r="J140" i="4"/>
  <c r="L140" i="4" s="1"/>
  <c r="I140" i="4"/>
  <c r="L137" i="4"/>
  <c r="J137" i="4"/>
  <c r="I137" i="4"/>
  <c r="J134" i="4"/>
  <c r="L134" i="4" s="1"/>
  <c r="I134" i="4"/>
  <c r="J131" i="4"/>
  <c r="I131" i="4"/>
  <c r="L128" i="4"/>
  <c r="J128" i="4"/>
  <c r="I128" i="4"/>
  <c r="J125" i="4"/>
  <c r="L125" i="4" s="1"/>
  <c r="I125" i="4"/>
  <c r="J122" i="4"/>
  <c r="L122" i="4" s="1"/>
  <c r="I122" i="4"/>
  <c r="J119" i="4"/>
  <c r="L119" i="4" s="1"/>
  <c r="I119" i="4"/>
  <c r="J116" i="4"/>
  <c r="I116" i="4"/>
  <c r="J113" i="4"/>
  <c r="L113" i="4" s="1"/>
  <c r="I113" i="4"/>
  <c r="J110" i="4"/>
  <c r="I110" i="4"/>
  <c r="J107" i="4"/>
  <c r="I107" i="4"/>
  <c r="J104" i="4"/>
  <c r="I104" i="4"/>
  <c r="J101" i="4"/>
  <c r="I101" i="4"/>
  <c r="J98" i="4"/>
  <c r="I98" i="4"/>
  <c r="J95" i="4"/>
  <c r="L95" i="4" s="1"/>
  <c r="I95" i="4"/>
  <c r="J92" i="4"/>
  <c r="I92" i="4"/>
  <c r="L89" i="4"/>
  <c r="J89" i="4"/>
  <c r="I89" i="4"/>
  <c r="J86" i="4"/>
  <c r="L86" i="4" s="1"/>
  <c r="I86" i="4"/>
  <c r="J83" i="4"/>
  <c r="I83" i="4"/>
  <c r="L80" i="4"/>
  <c r="J80" i="4"/>
  <c r="I80" i="4"/>
  <c r="J77" i="4"/>
  <c r="L77" i="4" s="1"/>
  <c r="I77" i="4"/>
  <c r="J74" i="4"/>
  <c r="L74" i="4" s="1"/>
  <c r="I74" i="4"/>
  <c r="J71" i="4"/>
  <c r="L71" i="4" s="1"/>
  <c r="I71" i="4"/>
  <c r="J68" i="4"/>
  <c r="I68" i="4"/>
  <c r="J65" i="4"/>
  <c r="L65" i="4" s="1"/>
  <c r="I65" i="4"/>
  <c r="J62" i="4"/>
  <c r="L62" i="4" s="1"/>
  <c r="I62" i="4"/>
  <c r="J59" i="4"/>
  <c r="L59" i="4" s="1"/>
  <c r="I59" i="4"/>
  <c r="L56" i="4"/>
  <c r="J56" i="4"/>
  <c r="I56" i="4"/>
  <c r="J53" i="4"/>
  <c r="L53" i="4" s="1"/>
  <c r="I53" i="4"/>
  <c r="J50" i="4"/>
  <c r="L50" i="4" s="1"/>
  <c r="I50" i="4"/>
  <c r="J47" i="4"/>
  <c r="L47" i="4" s="1"/>
  <c r="I47" i="4"/>
  <c r="J44" i="4"/>
  <c r="I44" i="4"/>
  <c r="J41" i="4"/>
  <c r="L41" i="4" s="1"/>
  <c r="I41" i="4"/>
  <c r="J38" i="4"/>
  <c r="L38" i="4" s="1"/>
  <c r="I38" i="4"/>
  <c r="J35" i="4"/>
  <c r="I35" i="4"/>
  <c r="L32" i="4"/>
  <c r="J32" i="4"/>
  <c r="I32" i="4"/>
  <c r="J29" i="4"/>
  <c r="L29" i="4" s="1"/>
  <c r="I29" i="4"/>
  <c r="L26" i="4"/>
  <c r="J26" i="4"/>
  <c r="I26" i="4"/>
  <c r="J23" i="4"/>
  <c r="L23" i="4" s="1"/>
  <c r="I23" i="4"/>
  <c r="J20" i="4"/>
  <c r="I20" i="4"/>
  <c r="J17" i="4"/>
  <c r="L17" i="4" s="1"/>
  <c r="I17" i="4"/>
  <c r="J14" i="4"/>
  <c r="L14" i="4" s="1"/>
  <c r="I14" i="4"/>
  <c r="J11" i="4"/>
  <c r="I11" i="4"/>
  <c r="L8" i="4"/>
  <c r="J8" i="4"/>
  <c r="I8" i="4"/>
  <c r="J5" i="4"/>
  <c r="L5" i="4" s="1"/>
  <c r="I5" i="4"/>
  <c r="J551" i="5"/>
  <c r="L551" i="5" s="1"/>
  <c r="I551" i="5"/>
  <c r="J548" i="5"/>
  <c r="L548" i="5" s="1"/>
  <c r="I548" i="5"/>
  <c r="J545" i="5"/>
  <c r="L545" i="5" s="1"/>
  <c r="I545" i="5"/>
  <c r="J542" i="5"/>
  <c r="L542" i="5" s="1"/>
  <c r="I542" i="5"/>
  <c r="J539" i="5"/>
  <c r="L539" i="5" s="1"/>
  <c r="I539" i="5"/>
  <c r="L536" i="5"/>
  <c r="J536" i="5"/>
  <c r="I536" i="5"/>
  <c r="J533" i="5"/>
  <c r="L533" i="5" s="1"/>
  <c r="I533" i="5"/>
  <c r="J530" i="5"/>
  <c r="L530" i="5" s="1"/>
  <c r="I530" i="5"/>
  <c r="J527" i="5"/>
  <c r="L527" i="5" s="1"/>
  <c r="I527" i="5"/>
  <c r="J524" i="5"/>
  <c r="L524" i="5" s="1"/>
  <c r="I524" i="5"/>
  <c r="J521" i="5"/>
  <c r="L521" i="5" s="1"/>
  <c r="I521" i="5"/>
  <c r="J518" i="5"/>
  <c r="L518" i="5" s="1"/>
  <c r="I518" i="5"/>
  <c r="J515" i="5"/>
  <c r="L515" i="5" s="1"/>
  <c r="I515" i="5"/>
  <c r="L512" i="5"/>
  <c r="J512" i="5"/>
  <c r="I512" i="5"/>
  <c r="J509" i="5"/>
  <c r="L509" i="5" s="1"/>
  <c r="I509" i="5"/>
  <c r="J506" i="5"/>
  <c r="L506" i="5" s="1"/>
  <c r="I506" i="5"/>
  <c r="J503" i="5"/>
  <c r="L503" i="5" s="1"/>
  <c r="I503" i="5"/>
  <c r="J500" i="5"/>
  <c r="L500" i="5" s="1"/>
  <c r="I500" i="5"/>
  <c r="J497" i="5"/>
  <c r="L497" i="5" s="1"/>
  <c r="I497" i="5"/>
  <c r="J494" i="5"/>
  <c r="L494" i="5" s="1"/>
  <c r="I494" i="5"/>
  <c r="J491" i="5"/>
  <c r="L491" i="5" s="1"/>
  <c r="I491" i="5"/>
  <c r="L488" i="5"/>
  <c r="J488" i="5"/>
  <c r="I488" i="5"/>
  <c r="J485" i="5"/>
  <c r="L485" i="5" s="1"/>
  <c r="I485" i="5"/>
  <c r="J482" i="5"/>
  <c r="L482" i="5" s="1"/>
  <c r="I482" i="5"/>
  <c r="J479" i="5"/>
  <c r="L479" i="5" s="1"/>
  <c r="I479" i="5"/>
  <c r="J476" i="5"/>
  <c r="L476" i="5" s="1"/>
  <c r="I476" i="5"/>
  <c r="J473" i="5"/>
  <c r="L473" i="5" s="1"/>
  <c r="I473" i="5"/>
  <c r="J470" i="5"/>
  <c r="L470" i="5" s="1"/>
  <c r="I470" i="5"/>
  <c r="J467" i="5"/>
  <c r="L467" i="5" s="1"/>
  <c r="I467" i="5"/>
  <c r="L464" i="5"/>
  <c r="J464" i="5"/>
  <c r="I464" i="5"/>
  <c r="J461" i="5"/>
  <c r="L461" i="5" s="1"/>
  <c r="I461" i="5"/>
  <c r="J458" i="5"/>
  <c r="L458" i="5" s="1"/>
  <c r="I458" i="5"/>
  <c r="J455" i="5"/>
  <c r="L455" i="5" s="1"/>
  <c r="I455" i="5"/>
  <c r="J452" i="5"/>
  <c r="L452" i="5" s="1"/>
  <c r="I452" i="5"/>
  <c r="J449" i="5"/>
  <c r="L449" i="5" s="1"/>
  <c r="I449" i="5"/>
  <c r="J446" i="5"/>
  <c r="L446" i="5" s="1"/>
  <c r="I446" i="5"/>
  <c r="J443" i="5"/>
  <c r="L443" i="5" s="1"/>
  <c r="I443" i="5"/>
  <c r="L440" i="5"/>
  <c r="J440" i="5"/>
  <c r="I440" i="5"/>
  <c r="J437" i="5"/>
  <c r="L437" i="5" s="1"/>
  <c r="I437" i="5"/>
  <c r="J434" i="5"/>
  <c r="L434" i="5" s="1"/>
  <c r="I434" i="5"/>
  <c r="J431" i="5"/>
  <c r="L431" i="5" s="1"/>
  <c r="I431" i="5"/>
  <c r="J428" i="5"/>
  <c r="L428" i="5" s="1"/>
  <c r="I428" i="5"/>
  <c r="J425" i="5"/>
  <c r="L425" i="5" s="1"/>
  <c r="I425" i="5"/>
  <c r="J422" i="5"/>
  <c r="L422" i="5" s="1"/>
  <c r="I422" i="5"/>
  <c r="J419" i="5"/>
  <c r="L419" i="5" s="1"/>
  <c r="I419" i="5"/>
  <c r="L416" i="5"/>
  <c r="J416" i="5"/>
  <c r="I416" i="5"/>
  <c r="J413" i="5"/>
  <c r="L413" i="5" s="1"/>
  <c r="I413" i="5"/>
  <c r="J410" i="5"/>
  <c r="L410" i="5" s="1"/>
  <c r="I410" i="5"/>
  <c r="J407" i="5"/>
  <c r="L407" i="5" s="1"/>
  <c r="I407" i="5"/>
  <c r="J404" i="5"/>
  <c r="L404" i="5" s="1"/>
  <c r="I404" i="5"/>
  <c r="J401" i="5"/>
  <c r="L401" i="5" s="1"/>
  <c r="I401" i="5"/>
  <c r="J398" i="5"/>
  <c r="L398" i="5" s="1"/>
  <c r="I398" i="5"/>
  <c r="J395" i="5"/>
  <c r="L395" i="5" s="1"/>
  <c r="I395" i="5"/>
  <c r="L392" i="5"/>
  <c r="J392" i="5"/>
  <c r="I392" i="5"/>
  <c r="J389" i="5"/>
  <c r="L389" i="5" s="1"/>
  <c r="I389" i="5"/>
  <c r="J386" i="5"/>
  <c r="L386" i="5" s="1"/>
  <c r="I386" i="5"/>
  <c r="J383" i="5"/>
  <c r="L383" i="5" s="1"/>
  <c r="I383" i="5"/>
  <c r="J380" i="5"/>
  <c r="L380" i="5" s="1"/>
  <c r="I380" i="5"/>
  <c r="J377" i="5"/>
  <c r="L377" i="5" s="1"/>
  <c r="I377" i="5"/>
  <c r="J374" i="5"/>
  <c r="L374" i="5" s="1"/>
  <c r="I374" i="5"/>
  <c r="J371" i="5"/>
  <c r="L371" i="5" s="1"/>
  <c r="I371" i="5"/>
  <c r="L368" i="5"/>
  <c r="J368" i="5"/>
  <c r="I368" i="5"/>
  <c r="J365" i="5"/>
  <c r="L365" i="5" s="1"/>
  <c r="I365" i="5"/>
  <c r="J362" i="5"/>
  <c r="L362" i="5" s="1"/>
  <c r="I362" i="5"/>
  <c r="J359" i="5"/>
  <c r="L359" i="5" s="1"/>
  <c r="I359" i="5"/>
  <c r="J356" i="5"/>
  <c r="L356" i="5" s="1"/>
  <c r="I356" i="5"/>
  <c r="J353" i="5"/>
  <c r="L353" i="5" s="1"/>
  <c r="I353" i="5"/>
  <c r="J350" i="5"/>
  <c r="L350" i="5" s="1"/>
  <c r="I350" i="5"/>
  <c r="J347" i="5"/>
  <c r="L347" i="5" s="1"/>
  <c r="I347" i="5"/>
  <c r="L344" i="5"/>
  <c r="J344" i="5"/>
  <c r="I344" i="5"/>
  <c r="J341" i="5"/>
  <c r="L341" i="5" s="1"/>
  <c r="I341" i="5"/>
  <c r="J338" i="5"/>
  <c r="L338" i="5" s="1"/>
  <c r="I338" i="5"/>
  <c r="J335" i="5"/>
  <c r="L335" i="5" s="1"/>
  <c r="I335" i="5"/>
  <c r="J332" i="5"/>
  <c r="L332" i="5" s="1"/>
  <c r="I332" i="5"/>
  <c r="J329" i="5"/>
  <c r="L329" i="5" s="1"/>
  <c r="I329" i="5"/>
  <c r="J326" i="5"/>
  <c r="L326" i="5" s="1"/>
  <c r="I326" i="5"/>
  <c r="J323" i="5"/>
  <c r="L323" i="5" s="1"/>
  <c r="I323" i="5"/>
  <c r="L320" i="5"/>
  <c r="J320" i="5"/>
  <c r="I320" i="5"/>
  <c r="J317" i="5"/>
  <c r="L317" i="5" s="1"/>
  <c r="I317" i="5"/>
  <c r="J314" i="5"/>
  <c r="L314" i="5" s="1"/>
  <c r="I314" i="5"/>
  <c r="J311" i="5"/>
  <c r="L311" i="5" s="1"/>
  <c r="I311" i="5"/>
  <c r="J308" i="5"/>
  <c r="L308" i="5" s="1"/>
  <c r="I308" i="5"/>
  <c r="J305" i="5"/>
  <c r="L305" i="5" s="1"/>
  <c r="I305" i="5"/>
  <c r="J302" i="5"/>
  <c r="L302" i="5" s="1"/>
  <c r="I302" i="5"/>
  <c r="J299" i="5"/>
  <c r="L299" i="5" s="1"/>
  <c r="I299" i="5"/>
  <c r="L296" i="5"/>
  <c r="J296" i="5"/>
  <c r="I296" i="5"/>
  <c r="J293" i="5"/>
  <c r="L293" i="5" s="1"/>
  <c r="I293" i="5"/>
  <c r="J290" i="5"/>
  <c r="L290" i="5" s="1"/>
  <c r="I290" i="5"/>
  <c r="J287" i="5"/>
  <c r="L287" i="5" s="1"/>
  <c r="I287" i="5"/>
  <c r="J284" i="5"/>
  <c r="L284" i="5" s="1"/>
  <c r="I284" i="5"/>
  <c r="J281" i="5"/>
  <c r="L281" i="5" s="1"/>
  <c r="I281" i="5"/>
  <c r="J278" i="5"/>
  <c r="L278" i="5" s="1"/>
  <c r="I278" i="5"/>
  <c r="J275" i="5"/>
  <c r="L275" i="5" s="1"/>
  <c r="I275" i="5"/>
  <c r="L272" i="5"/>
  <c r="J272" i="5"/>
  <c r="I272" i="5"/>
  <c r="J269" i="5"/>
  <c r="L269" i="5" s="1"/>
  <c r="I269" i="5"/>
  <c r="J266" i="5"/>
  <c r="L266" i="5" s="1"/>
  <c r="I266" i="5"/>
  <c r="J263" i="5"/>
  <c r="L263" i="5" s="1"/>
  <c r="I263" i="5"/>
  <c r="J260" i="5"/>
  <c r="L260" i="5" s="1"/>
  <c r="I260" i="5"/>
  <c r="J257" i="5"/>
  <c r="L257" i="5" s="1"/>
  <c r="I257" i="5"/>
  <c r="J254" i="5"/>
  <c r="L254" i="5" s="1"/>
  <c r="I254" i="5"/>
  <c r="J251" i="5"/>
  <c r="L251" i="5" s="1"/>
  <c r="I251" i="5"/>
  <c r="L248" i="5"/>
  <c r="J248" i="5"/>
  <c r="I248" i="5"/>
  <c r="J245" i="5"/>
  <c r="L245" i="5" s="1"/>
  <c r="I245" i="5"/>
  <c r="J242" i="5"/>
  <c r="L242" i="5" s="1"/>
  <c r="I242" i="5"/>
  <c r="J239" i="5"/>
  <c r="L239" i="5" s="1"/>
  <c r="I239" i="5"/>
  <c r="J236" i="5"/>
  <c r="L236" i="5" s="1"/>
  <c r="I236" i="5"/>
  <c r="J233" i="5"/>
  <c r="L233" i="5" s="1"/>
  <c r="I233" i="5"/>
  <c r="J230" i="5"/>
  <c r="L230" i="5" s="1"/>
  <c r="I230" i="5"/>
  <c r="J227" i="5"/>
  <c r="L227" i="5" s="1"/>
  <c r="I227" i="5"/>
  <c r="L224" i="5"/>
  <c r="J224" i="5"/>
  <c r="I224" i="5"/>
  <c r="J221" i="5"/>
  <c r="L221" i="5" s="1"/>
  <c r="I221" i="5"/>
  <c r="J218" i="5"/>
  <c r="L218" i="5" s="1"/>
  <c r="I218" i="5"/>
  <c r="J215" i="5"/>
  <c r="L215" i="5" s="1"/>
  <c r="I215" i="5"/>
  <c r="J212" i="5"/>
  <c r="L212" i="5" s="1"/>
  <c r="I212" i="5"/>
  <c r="J209" i="5"/>
  <c r="L209" i="5" s="1"/>
  <c r="I209" i="5"/>
  <c r="J206" i="5"/>
  <c r="L206" i="5" s="1"/>
  <c r="I206" i="5"/>
  <c r="J203" i="5"/>
  <c r="L203" i="5" s="1"/>
  <c r="I203" i="5"/>
  <c r="L200" i="5"/>
  <c r="J200" i="5"/>
  <c r="I200" i="5"/>
  <c r="J197" i="5"/>
  <c r="L197" i="5" s="1"/>
  <c r="I197" i="5"/>
  <c r="J194" i="5"/>
  <c r="L194" i="5" s="1"/>
  <c r="I194" i="5"/>
  <c r="J191" i="5"/>
  <c r="L191" i="5" s="1"/>
  <c r="I191" i="5"/>
  <c r="J188" i="5"/>
  <c r="L188" i="5" s="1"/>
  <c r="I188" i="5"/>
  <c r="J185" i="5"/>
  <c r="L185" i="5" s="1"/>
  <c r="I185" i="5"/>
  <c r="J182" i="5"/>
  <c r="L182" i="5" s="1"/>
  <c r="I182" i="5"/>
  <c r="J179" i="5"/>
  <c r="I179" i="5"/>
  <c r="L176" i="5"/>
  <c r="J176" i="5"/>
  <c r="I176" i="5"/>
  <c r="J173" i="5"/>
  <c r="L173" i="5" s="1"/>
  <c r="I173" i="5"/>
  <c r="J170" i="5"/>
  <c r="L170" i="5" s="1"/>
  <c r="I170" i="5"/>
  <c r="J167" i="5"/>
  <c r="L167" i="5" s="1"/>
  <c r="I167" i="5"/>
  <c r="J164" i="5"/>
  <c r="L164" i="5" s="1"/>
  <c r="I164" i="5"/>
  <c r="J161" i="5"/>
  <c r="L161" i="5" s="1"/>
  <c r="I161" i="5"/>
  <c r="J158" i="5"/>
  <c r="L158" i="5" s="1"/>
  <c r="I158" i="5"/>
  <c r="J155" i="5"/>
  <c r="L155" i="5" s="1"/>
  <c r="I155" i="5"/>
  <c r="L152" i="5"/>
  <c r="J152" i="5"/>
  <c r="I152" i="5"/>
  <c r="J149" i="5"/>
  <c r="L149" i="5" s="1"/>
  <c r="I149" i="5"/>
  <c r="J146" i="5"/>
  <c r="L146" i="5" s="1"/>
  <c r="I146" i="5"/>
  <c r="J143" i="5"/>
  <c r="L143" i="5" s="1"/>
  <c r="I143" i="5"/>
  <c r="J140" i="5"/>
  <c r="L140" i="5" s="1"/>
  <c r="I140" i="5"/>
  <c r="J137" i="5"/>
  <c r="L137" i="5" s="1"/>
  <c r="I137" i="5"/>
  <c r="J134" i="5"/>
  <c r="L134" i="5" s="1"/>
  <c r="I134" i="5"/>
  <c r="J131" i="5"/>
  <c r="L131" i="5" s="1"/>
  <c r="I131" i="5"/>
  <c r="L128" i="5"/>
  <c r="J128" i="5"/>
  <c r="I128" i="5"/>
  <c r="J125" i="5"/>
  <c r="L125" i="5" s="1"/>
  <c r="I125" i="5"/>
  <c r="J122" i="5"/>
  <c r="L122" i="5" s="1"/>
  <c r="I122" i="5"/>
  <c r="J119" i="5"/>
  <c r="L119" i="5" s="1"/>
  <c r="I119" i="5"/>
  <c r="J116" i="5"/>
  <c r="L116" i="5" s="1"/>
  <c r="I116" i="5"/>
  <c r="J113" i="5"/>
  <c r="L113" i="5" s="1"/>
  <c r="I113" i="5"/>
  <c r="J110" i="5"/>
  <c r="L110" i="5" s="1"/>
  <c r="I110" i="5"/>
  <c r="J107" i="5"/>
  <c r="L107" i="5" s="1"/>
  <c r="I107" i="5"/>
  <c r="L104" i="5"/>
  <c r="J104" i="5"/>
  <c r="I104" i="5"/>
  <c r="J101" i="5"/>
  <c r="L101" i="5" s="1"/>
  <c r="I101" i="5"/>
  <c r="J98" i="5"/>
  <c r="L98" i="5" s="1"/>
  <c r="I98" i="5"/>
  <c r="J95" i="5"/>
  <c r="L95" i="5" s="1"/>
  <c r="I95" i="5"/>
  <c r="J92" i="5"/>
  <c r="L92" i="5" s="1"/>
  <c r="I92" i="5"/>
  <c r="J89" i="5"/>
  <c r="L89" i="5" s="1"/>
  <c r="I89" i="5"/>
  <c r="J86" i="5"/>
  <c r="L86" i="5" s="1"/>
  <c r="I86" i="5"/>
  <c r="J83" i="5"/>
  <c r="L83" i="5" s="1"/>
  <c r="I83" i="5"/>
  <c r="L80" i="5"/>
  <c r="J80" i="5"/>
  <c r="I80" i="5"/>
  <c r="J77" i="5"/>
  <c r="L77" i="5" s="1"/>
  <c r="I77" i="5"/>
  <c r="J74" i="5"/>
  <c r="L74" i="5" s="1"/>
  <c r="I74" i="5"/>
  <c r="J71" i="5"/>
  <c r="L71" i="5" s="1"/>
  <c r="I71" i="5"/>
  <c r="J68" i="5"/>
  <c r="L68" i="5" s="1"/>
  <c r="I68" i="5"/>
  <c r="J65" i="5"/>
  <c r="L65" i="5" s="1"/>
  <c r="I65" i="5"/>
  <c r="J62" i="5"/>
  <c r="L62" i="5" s="1"/>
  <c r="I62" i="5"/>
  <c r="J59" i="5"/>
  <c r="L59" i="5" s="1"/>
  <c r="I59" i="5"/>
  <c r="L56" i="5"/>
  <c r="J56" i="5"/>
  <c r="I56" i="5"/>
  <c r="J53" i="5"/>
  <c r="L53" i="5" s="1"/>
  <c r="I53" i="5"/>
  <c r="J50" i="5"/>
  <c r="L50" i="5" s="1"/>
  <c r="I50" i="5"/>
  <c r="J47" i="5"/>
  <c r="L47" i="5" s="1"/>
  <c r="I47" i="5"/>
  <c r="J44" i="5"/>
  <c r="L44" i="5" s="1"/>
  <c r="I44" i="5"/>
  <c r="J41" i="5"/>
  <c r="L41" i="5" s="1"/>
  <c r="I41" i="5"/>
  <c r="J38" i="5"/>
  <c r="L38" i="5" s="1"/>
  <c r="I38" i="5"/>
  <c r="J35" i="5"/>
  <c r="L35" i="5" s="1"/>
  <c r="I35" i="5"/>
  <c r="L32" i="5"/>
  <c r="J32" i="5"/>
  <c r="I32" i="5"/>
  <c r="J29" i="5"/>
  <c r="L29" i="5" s="1"/>
  <c r="I29" i="5"/>
  <c r="J26" i="5"/>
  <c r="L26" i="5" s="1"/>
  <c r="I26" i="5"/>
  <c r="J23" i="5"/>
  <c r="L23" i="5" s="1"/>
  <c r="I23" i="5"/>
  <c r="J20" i="5"/>
  <c r="L20" i="5" s="1"/>
  <c r="I20" i="5"/>
  <c r="J17" i="5"/>
  <c r="L17" i="5" s="1"/>
  <c r="I17" i="5"/>
  <c r="J14" i="5"/>
  <c r="L14" i="5" s="1"/>
  <c r="I14" i="5"/>
  <c r="J11" i="5"/>
  <c r="L11" i="5" s="1"/>
  <c r="I11" i="5"/>
  <c r="L8" i="5"/>
  <c r="J8" i="5"/>
  <c r="I8" i="5"/>
  <c r="J5" i="5"/>
  <c r="L5" i="5" s="1"/>
  <c r="I5" i="5"/>
  <c r="J551" i="6"/>
  <c r="L551" i="6" s="1"/>
  <c r="I551" i="6"/>
  <c r="J548" i="6"/>
  <c r="L548" i="6" s="1"/>
  <c r="I548" i="6"/>
  <c r="J545" i="6"/>
  <c r="L545" i="6" s="1"/>
  <c r="I545" i="6"/>
  <c r="J542" i="6"/>
  <c r="L542" i="6" s="1"/>
  <c r="I542" i="6"/>
  <c r="J539" i="6"/>
  <c r="I539" i="6"/>
  <c r="L536" i="6"/>
  <c r="J536" i="6"/>
  <c r="I536" i="6"/>
  <c r="J533" i="6"/>
  <c r="L533" i="6" s="1"/>
  <c r="I533" i="6"/>
  <c r="J530" i="6"/>
  <c r="L530" i="6" s="1"/>
  <c r="I530" i="6"/>
  <c r="J527" i="6"/>
  <c r="L527" i="6" s="1"/>
  <c r="I527" i="6"/>
  <c r="J524" i="6"/>
  <c r="L524" i="6" s="1"/>
  <c r="I524" i="6"/>
  <c r="J521" i="6"/>
  <c r="L521" i="6" s="1"/>
  <c r="I521" i="6"/>
  <c r="J518" i="6"/>
  <c r="L518" i="6" s="1"/>
  <c r="I518" i="6"/>
  <c r="J515" i="6"/>
  <c r="I515" i="6"/>
  <c r="L512" i="6"/>
  <c r="J512" i="6"/>
  <c r="I512" i="6"/>
  <c r="J509" i="6"/>
  <c r="L509" i="6" s="1"/>
  <c r="I509" i="6"/>
  <c r="J506" i="6"/>
  <c r="I506" i="6"/>
  <c r="J503" i="6"/>
  <c r="L503" i="6" s="1"/>
  <c r="I503" i="6"/>
  <c r="J500" i="6"/>
  <c r="L500" i="6" s="1"/>
  <c r="I500" i="6"/>
  <c r="J497" i="6"/>
  <c r="L497" i="6" s="1"/>
  <c r="I497" i="6"/>
  <c r="J494" i="6"/>
  <c r="L494" i="6" s="1"/>
  <c r="I494" i="6"/>
  <c r="J491" i="6"/>
  <c r="L491" i="6" s="1"/>
  <c r="I491" i="6"/>
  <c r="L488" i="6"/>
  <c r="J488" i="6"/>
  <c r="I488" i="6"/>
  <c r="J485" i="6"/>
  <c r="L485" i="6" s="1"/>
  <c r="I485" i="6"/>
  <c r="J482" i="6"/>
  <c r="I482" i="6"/>
  <c r="J479" i="6"/>
  <c r="L479" i="6" s="1"/>
  <c r="I479" i="6"/>
  <c r="J476" i="6"/>
  <c r="L476" i="6" s="1"/>
  <c r="I476" i="6"/>
  <c r="J473" i="6"/>
  <c r="L473" i="6" s="1"/>
  <c r="I473" i="6"/>
  <c r="J470" i="6"/>
  <c r="L470" i="6" s="1"/>
  <c r="I470" i="6"/>
  <c r="J467" i="6"/>
  <c r="L467" i="6" s="1"/>
  <c r="I467" i="6"/>
  <c r="L464" i="6"/>
  <c r="J464" i="6"/>
  <c r="I464" i="6"/>
  <c r="J461" i="6"/>
  <c r="L461" i="6" s="1"/>
  <c r="I461" i="6"/>
  <c r="J458" i="6"/>
  <c r="I458" i="6"/>
  <c r="J455" i="6"/>
  <c r="L455" i="6" s="1"/>
  <c r="I455" i="6"/>
  <c r="J452" i="6"/>
  <c r="L452" i="6" s="1"/>
  <c r="I452" i="6"/>
  <c r="J449" i="6"/>
  <c r="L449" i="6" s="1"/>
  <c r="I449" i="6"/>
  <c r="J446" i="6"/>
  <c r="L446" i="6" s="1"/>
  <c r="I446" i="6"/>
  <c r="J443" i="6"/>
  <c r="I443" i="6"/>
  <c r="L440" i="6"/>
  <c r="J440" i="6"/>
  <c r="I440" i="6"/>
  <c r="J437" i="6"/>
  <c r="L437" i="6" s="1"/>
  <c r="I437" i="6"/>
  <c r="J434" i="6"/>
  <c r="L434" i="6" s="1"/>
  <c r="I434" i="6"/>
  <c r="J431" i="6"/>
  <c r="L431" i="6" s="1"/>
  <c r="I431" i="6"/>
  <c r="J428" i="6"/>
  <c r="L428" i="6" s="1"/>
  <c r="I428" i="6"/>
  <c r="J425" i="6"/>
  <c r="L425" i="6" s="1"/>
  <c r="I425" i="6"/>
  <c r="J422" i="6"/>
  <c r="L422" i="6" s="1"/>
  <c r="I422" i="6"/>
  <c r="J419" i="6"/>
  <c r="I419" i="6"/>
  <c r="L416" i="6"/>
  <c r="J416" i="6"/>
  <c r="I416" i="6"/>
  <c r="J413" i="6"/>
  <c r="L413" i="6" s="1"/>
  <c r="I413" i="6"/>
  <c r="J410" i="6"/>
  <c r="I410" i="6"/>
  <c r="J407" i="6"/>
  <c r="L407" i="6" s="1"/>
  <c r="I407" i="6"/>
  <c r="J404" i="6"/>
  <c r="L404" i="6" s="1"/>
  <c r="I404" i="6"/>
  <c r="J401" i="6"/>
  <c r="L401" i="6" s="1"/>
  <c r="I401" i="6"/>
  <c r="J398" i="6"/>
  <c r="L398" i="6" s="1"/>
  <c r="I398" i="6"/>
  <c r="J395" i="6"/>
  <c r="L395" i="6" s="1"/>
  <c r="I395" i="6"/>
  <c r="L392" i="6"/>
  <c r="J392" i="6"/>
  <c r="I392" i="6"/>
  <c r="J389" i="6"/>
  <c r="L389" i="6" s="1"/>
  <c r="I389" i="6"/>
  <c r="J386" i="6"/>
  <c r="I386" i="6"/>
  <c r="J383" i="6"/>
  <c r="L383" i="6" s="1"/>
  <c r="I383" i="6"/>
  <c r="J380" i="6"/>
  <c r="L380" i="6" s="1"/>
  <c r="I380" i="6"/>
  <c r="J377" i="6"/>
  <c r="L377" i="6" s="1"/>
  <c r="I377" i="6"/>
  <c r="J374" i="6"/>
  <c r="L374" i="6" s="1"/>
  <c r="I374" i="6"/>
  <c r="J371" i="6"/>
  <c r="L371" i="6" s="1"/>
  <c r="I371" i="6"/>
  <c r="L368" i="6"/>
  <c r="J368" i="6"/>
  <c r="I368" i="6"/>
  <c r="J365" i="6"/>
  <c r="L365" i="6" s="1"/>
  <c r="I365" i="6"/>
  <c r="J362" i="6"/>
  <c r="I362" i="6"/>
  <c r="J359" i="6"/>
  <c r="L359" i="6" s="1"/>
  <c r="I359" i="6"/>
  <c r="J356" i="6"/>
  <c r="L356" i="6" s="1"/>
  <c r="I356" i="6"/>
  <c r="J353" i="6"/>
  <c r="L353" i="6" s="1"/>
  <c r="I353" i="6"/>
  <c r="J350" i="6"/>
  <c r="L350" i="6" s="1"/>
  <c r="I350" i="6"/>
  <c r="J347" i="6"/>
  <c r="I347" i="6"/>
  <c r="L344" i="6"/>
  <c r="J344" i="6"/>
  <c r="I344" i="6"/>
  <c r="J341" i="6"/>
  <c r="L341" i="6" s="1"/>
  <c r="I341" i="6"/>
  <c r="J338" i="6"/>
  <c r="L338" i="6" s="1"/>
  <c r="I338" i="6"/>
  <c r="J335" i="6"/>
  <c r="L335" i="6" s="1"/>
  <c r="I335" i="6"/>
  <c r="J332" i="6"/>
  <c r="L332" i="6" s="1"/>
  <c r="I332" i="6"/>
  <c r="J329" i="6"/>
  <c r="L329" i="6" s="1"/>
  <c r="I329" i="6"/>
  <c r="J326" i="6"/>
  <c r="L326" i="6" s="1"/>
  <c r="I326" i="6"/>
  <c r="J323" i="6"/>
  <c r="I323" i="6"/>
  <c r="L320" i="6"/>
  <c r="J320" i="6"/>
  <c r="I320" i="6"/>
  <c r="J317" i="6"/>
  <c r="L317" i="6" s="1"/>
  <c r="I317" i="6"/>
  <c r="J314" i="6"/>
  <c r="I314" i="6"/>
  <c r="J311" i="6"/>
  <c r="L311" i="6" s="1"/>
  <c r="I311" i="6"/>
  <c r="J308" i="6"/>
  <c r="L308" i="6" s="1"/>
  <c r="I308" i="6"/>
  <c r="L305" i="6"/>
  <c r="J305" i="6"/>
  <c r="I305" i="6"/>
  <c r="J302" i="6"/>
  <c r="L302" i="6" s="1"/>
  <c r="I302" i="6"/>
  <c r="J299" i="6"/>
  <c r="L299" i="6" s="1"/>
  <c r="I299" i="6"/>
  <c r="L296" i="6"/>
  <c r="J296" i="6"/>
  <c r="I296" i="6"/>
  <c r="J293" i="6"/>
  <c r="L293" i="6" s="1"/>
  <c r="I293" i="6"/>
  <c r="J290" i="6"/>
  <c r="I290" i="6"/>
  <c r="J287" i="6"/>
  <c r="L287" i="6" s="1"/>
  <c r="I287" i="6"/>
  <c r="J284" i="6"/>
  <c r="L284" i="6" s="1"/>
  <c r="I284" i="6"/>
  <c r="J281" i="6"/>
  <c r="L281" i="6" s="1"/>
  <c r="I281" i="6"/>
  <c r="J278" i="6"/>
  <c r="L278" i="6" s="1"/>
  <c r="I278" i="6"/>
  <c r="J275" i="6"/>
  <c r="L275" i="6" s="1"/>
  <c r="I275" i="6"/>
  <c r="L272" i="6"/>
  <c r="J272" i="6"/>
  <c r="I272" i="6"/>
  <c r="J269" i="6"/>
  <c r="L269" i="6" s="1"/>
  <c r="I269" i="6"/>
  <c r="J266" i="6"/>
  <c r="I266" i="6"/>
  <c r="J263" i="6"/>
  <c r="L263" i="6" s="1"/>
  <c r="I263" i="6"/>
  <c r="J260" i="6"/>
  <c r="L260" i="6" s="1"/>
  <c r="I260" i="6"/>
  <c r="J257" i="6"/>
  <c r="L257" i="6" s="1"/>
  <c r="I257" i="6"/>
  <c r="J254" i="6"/>
  <c r="L254" i="6" s="1"/>
  <c r="I254" i="6"/>
  <c r="J251" i="6"/>
  <c r="I251" i="6"/>
  <c r="L248" i="6"/>
  <c r="J248" i="6"/>
  <c r="I248" i="6"/>
  <c r="J245" i="6"/>
  <c r="L245" i="6" s="1"/>
  <c r="I245" i="6"/>
  <c r="J242" i="6"/>
  <c r="I242" i="6"/>
  <c r="L242" i="6" s="1"/>
  <c r="J239" i="6"/>
  <c r="L239" i="6" s="1"/>
  <c r="I239" i="6"/>
  <c r="J236" i="6"/>
  <c r="L236" i="6" s="1"/>
  <c r="I236" i="6"/>
  <c r="L233" i="6"/>
  <c r="J233" i="6"/>
  <c r="I233" i="6"/>
  <c r="J230" i="6"/>
  <c r="L230" i="6" s="1"/>
  <c r="I230" i="6"/>
  <c r="J227" i="6"/>
  <c r="I227" i="6"/>
  <c r="L224" i="6"/>
  <c r="J224" i="6"/>
  <c r="I224" i="6"/>
  <c r="J221" i="6"/>
  <c r="L221" i="6" s="1"/>
  <c r="I221" i="6"/>
  <c r="J218" i="6"/>
  <c r="L218" i="6" s="1"/>
  <c r="I218" i="6"/>
  <c r="J215" i="6"/>
  <c r="L215" i="6" s="1"/>
  <c r="I215" i="6"/>
  <c r="J212" i="6"/>
  <c r="L212" i="6" s="1"/>
  <c r="I212" i="6"/>
  <c r="J209" i="6"/>
  <c r="L209" i="6" s="1"/>
  <c r="I209" i="6"/>
  <c r="J206" i="6"/>
  <c r="L206" i="6" s="1"/>
  <c r="I206" i="6"/>
  <c r="J203" i="6"/>
  <c r="L203" i="6" s="1"/>
  <c r="I203" i="6"/>
  <c r="L200" i="6"/>
  <c r="J200" i="6"/>
  <c r="I200" i="6"/>
  <c r="J197" i="6"/>
  <c r="L197" i="6" s="1"/>
  <c r="I197" i="6"/>
  <c r="J194" i="6"/>
  <c r="L194" i="6" s="1"/>
  <c r="I194" i="6"/>
  <c r="J191" i="6"/>
  <c r="L191" i="6" s="1"/>
  <c r="I191" i="6"/>
  <c r="J188" i="6"/>
  <c r="I188" i="6"/>
  <c r="L185" i="6"/>
  <c r="J185" i="6"/>
  <c r="I185" i="6"/>
  <c r="J182" i="6"/>
  <c r="L182" i="6" s="1"/>
  <c r="I182" i="6"/>
  <c r="J179" i="6"/>
  <c r="I179" i="6"/>
  <c r="L176" i="6"/>
  <c r="J176" i="6"/>
  <c r="I176" i="6"/>
  <c r="J173" i="6"/>
  <c r="L173" i="6" s="1"/>
  <c r="I173" i="6"/>
  <c r="J170" i="6"/>
  <c r="L170" i="6" s="1"/>
  <c r="I170" i="6"/>
  <c r="J167" i="6"/>
  <c r="L167" i="6" s="1"/>
  <c r="I167" i="6"/>
  <c r="J164" i="6"/>
  <c r="I164" i="6"/>
  <c r="L161" i="6"/>
  <c r="J161" i="6"/>
  <c r="I161" i="6"/>
  <c r="J158" i="6"/>
  <c r="L158" i="6" s="1"/>
  <c r="I158" i="6"/>
  <c r="J155" i="6"/>
  <c r="L155" i="6" s="1"/>
  <c r="I155" i="6"/>
  <c r="L152" i="6"/>
  <c r="J152" i="6"/>
  <c r="I152" i="6"/>
  <c r="J149" i="6"/>
  <c r="L149" i="6" s="1"/>
  <c r="I149" i="6"/>
  <c r="J146" i="6"/>
  <c r="L146" i="6" s="1"/>
  <c r="I146" i="6"/>
  <c r="J143" i="6"/>
  <c r="L143" i="6" s="1"/>
  <c r="I143" i="6"/>
  <c r="J140" i="6"/>
  <c r="I140" i="6"/>
  <c r="J137" i="6"/>
  <c r="L137" i="6" s="1"/>
  <c r="I137" i="6"/>
  <c r="J134" i="6"/>
  <c r="L134" i="6" s="1"/>
  <c r="I134" i="6"/>
  <c r="J131" i="6"/>
  <c r="L131" i="6" s="1"/>
  <c r="I131" i="6"/>
  <c r="L128" i="6"/>
  <c r="J128" i="6"/>
  <c r="I128" i="6"/>
  <c r="J125" i="6"/>
  <c r="L125" i="6" s="1"/>
  <c r="I125" i="6"/>
  <c r="L122" i="6"/>
  <c r="J122" i="6"/>
  <c r="I122" i="6"/>
  <c r="J119" i="6"/>
  <c r="L119" i="6" s="1"/>
  <c r="I119" i="6"/>
  <c r="J116" i="6"/>
  <c r="I116" i="6"/>
  <c r="J113" i="6"/>
  <c r="L113" i="6" s="1"/>
  <c r="I113" i="6"/>
  <c r="J110" i="6"/>
  <c r="I110" i="6"/>
  <c r="J107" i="6"/>
  <c r="I107" i="6"/>
  <c r="J104" i="6"/>
  <c r="I104" i="6"/>
  <c r="J101" i="6"/>
  <c r="I101" i="6"/>
  <c r="J98" i="6"/>
  <c r="I98" i="6"/>
  <c r="J95" i="6"/>
  <c r="L95" i="6" s="1"/>
  <c r="I95" i="6"/>
  <c r="J92" i="6"/>
  <c r="L92" i="6" s="1"/>
  <c r="I92" i="6"/>
  <c r="J89" i="6"/>
  <c r="L89" i="6" s="1"/>
  <c r="I89" i="6"/>
  <c r="J86" i="6"/>
  <c r="L86" i="6" s="1"/>
  <c r="I86" i="6"/>
  <c r="J83" i="6"/>
  <c r="I83" i="6"/>
  <c r="L80" i="6"/>
  <c r="J80" i="6"/>
  <c r="I80" i="6"/>
  <c r="J77" i="6"/>
  <c r="L77" i="6" s="1"/>
  <c r="I77" i="6"/>
  <c r="L74" i="6"/>
  <c r="J74" i="6"/>
  <c r="I74" i="6"/>
  <c r="J71" i="6"/>
  <c r="L71" i="6" s="1"/>
  <c r="I71" i="6"/>
  <c r="J68" i="6"/>
  <c r="I68" i="6"/>
  <c r="J65" i="6"/>
  <c r="L65" i="6" s="1"/>
  <c r="I65" i="6"/>
  <c r="J62" i="6"/>
  <c r="L62" i="6" s="1"/>
  <c r="I62" i="6"/>
  <c r="J59" i="6"/>
  <c r="I59" i="6"/>
  <c r="L56" i="6"/>
  <c r="J56" i="6"/>
  <c r="I56" i="6"/>
  <c r="J53" i="6"/>
  <c r="L53" i="6" s="1"/>
  <c r="I53" i="6"/>
  <c r="J50" i="6"/>
  <c r="L50" i="6" s="1"/>
  <c r="I50" i="6"/>
  <c r="J47" i="6"/>
  <c r="L47" i="6" s="1"/>
  <c r="I47" i="6"/>
  <c r="J44" i="6"/>
  <c r="L44" i="6" s="1"/>
  <c r="I44" i="6"/>
  <c r="L41" i="6"/>
  <c r="J41" i="6"/>
  <c r="I41" i="6"/>
  <c r="J38" i="6"/>
  <c r="L38" i="6" s="1"/>
  <c r="I38" i="6"/>
  <c r="J35" i="6"/>
  <c r="I35" i="6"/>
  <c r="L32" i="6"/>
  <c r="J32" i="6"/>
  <c r="I32" i="6"/>
  <c r="J29" i="6"/>
  <c r="L29" i="6" s="1"/>
  <c r="I29" i="6"/>
  <c r="J26" i="6"/>
  <c r="L26" i="6" s="1"/>
  <c r="I26" i="6"/>
  <c r="J23" i="6"/>
  <c r="L23" i="6" s="1"/>
  <c r="I23" i="6"/>
  <c r="J20" i="6"/>
  <c r="I20" i="6"/>
  <c r="J17" i="6"/>
  <c r="L17" i="6" s="1"/>
  <c r="I17" i="6"/>
  <c r="J14" i="6"/>
  <c r="L14" i="6" s="1"/>
  <c r="I14" i="6"/>
  <c r="J11" i="6"/>
  <c r="L11" i="6" s="1"/>
  <c r="I11" i="6"/>
  <c r="L8" i="6"/>
  <c r="J8" i="6"/>
  <c r="I8" i="6"/>
  <c r="J5" i="6"/>
  <c r="L5" i="6" s="1"/>
  <c r="I5" i="6"/>
  <c r="J551" i="7"/>
  <c r="L551" i="7" s="1"/>
  <c r="I551" i="7"/>
  <c r="J548" i="7"/>
  <c r="L548" i="7" s="1"/>
  <c r="I548" i="7"/>
  <c r="J545" i="7"/>
  <c r="L545" i="7" s="1"/>
  <c r="I545" i="7"/>
  <c r="J542" i="7"/>
  <c r="L542" i="7" s="1"/>
  <c r="I542" i="7"/>
  <c r="J539" i="7"/>
  <c r="L539" i="7" s="1"/>
  <c r="I539" i="7"/>
  <c r="J536" i="7"/>
  <c r="L536" i="7" s="1"/>
  <c r="I536" i="7"/>
  <c r="J533" i="7"/>
  <c r="L533" i="7" s="1"/>
  <c r="I533" i="7"/>
  <c r="J530" i="7"/>
  <c r="L530" i="7" s="1"/>
  <c r="I530" i="7"/>
  <c r="L527" i="7"/>
  <c r="J527" i="7"/>
  <c r="I527" i="7"/>
  <c r="J524" i="7"/>
  <c r="L524" i="7" s="1"/>
  <c r="I524" i="7"/>
  <c r="J521" i="7"/>
  <c r="L521" i="7" s="1"/>
  <c r="I521" i="7"/>
  <c r="J518" i="7"/>
  <c r="L518" i="7" s="1"/>
  <c r="I518" i="7"/>
  <c r="J515" i="7"/>
  <c r="L515" i="7" s="1"/>
  <c r="I515" i="7"/>
  <c r="J512" i="7"/>
  <c r="L512" i="7" s="1"/>
  <c r="I512" i="7"/>
  <c r="J509" i="7"/>
  <c r="L509" i="7" s="1"/>
  <c r="I509" i="7"/>
  <c r="J506" i="7"/>
  <c r="L506" i="7" s="1"/>
  <c r="I506" i="7"/>
  <c r="J503" i="7"/>
  <c r="L503" i="7" s="1"/>
  <c r="I503" i="7"/>
  <c r="J500" i="7"/>
  <c r="L500" i="7" s="1"/>
  <c r="I500" i="7"/>
  <c r="J497" i="7"/>
  <c r="L497" i="7" s="1"/>
  <c r="I497" i="7"/>
  <c r="J494" i="7"/>
  <c r="L494" i="7" s="1"/>
  <c r="I494" i="7"/>
  <c r="L491" i="7"/>
  <c r="J491" i="7"/>
  <c r="I491" i="7"/>
  <c r="J488" i="7"/>
  <c r="L488" i="7" s="1"/>
  <c r="I488" i="7"/>
  <c r="J485" i="7"/>
  <c r="L485" i="7" s="1"/>
  <c r="I485" i="7"/>
  <c r="J482" i="7"/>
  <c r="L482" i="7" s="1"/>
  <c r="I482" i="7"/>
  <c r="J479" i="7"/>
  <c r="L479" i="7" s="1"/>
  <c r="I479" i="7"/>
  <c r="J476" i="7"/>
  <c r="L476" i="7" s="1"/>
  <c r="I476" i="7"/>
  <c r="J473" i="7"/>
  <c r="L473" i="7" s="1"/>
  <c r="I473" i="7"/>
  <c r="J470" i="7"/>
  <c r="L470" i="7" s="1"/>
  <c r="I470" i="7"/>
  <c r="J467" i="7"/>
  <c r="L467" i="7" s="1"/>
  <c r="I467" i="7"/>
  <c r="J464" i="7"/>
  <c r="L464" i="7" s="1"/>
  <c r="I464" i="7"/>
  <c r="J461" i="7"/>
  <c r="L461" i="7" s="1"/>
  <c r="I461" i="7"/>
  <c r="J458" i="7"/>
  <c r="L458" i="7" s="1"/>
  <c r="I458" i="7"/>
  <c r="L455" i="7"/>
  <c r="J455" i="7"/>
  <c r="I455" i="7"/>
  <c r="J452" i="7"/>
  <c r="L452" i="7" s="1"/>
  <c r="I452" i="7"/>
  <c r="J449" i="7"/>
  <c r="L449" i="7" s="1"/>
  <c r="I449" i="7"/>
  <c r="J446" i="7"/>
  <c r="L446" i="7" s="1"/>
  <c r="I446" i="7"/>
  <c r="J443" i="7"/>
  <c r="L443" i="7" s="1"/>
  <c r="I443" i="7"/>
  <c r="J440" i="7"/>
  <c r="L440" i="7" s="1"/>
  <c r="I440" i="7"/>
  <c r="J437" i="7"/>
  <c r="L437" i="7" s="1"/>
  <c r="I437" i="7"/>
  <c r="L434" i="7"/>
  <c r="J434" i="7"/>
  <c r="I434" i="7"/>
  <c r="J431" i="7"/>
  <c r="L431" i="7" s="1"/>
  <c r="I431" i="7"/>
  <c r="J428" i="7"/>
  <c r="L428" i="7" s="1"/>
  <c r="I428" i="7"/>
  <c r="J425" i="7"/>
  <c r="L425" i="7" s="1"/>
  <c r="I425" i="7"/>
  <c r="J422" i="7"/>
  <c r="L422" i="7" s="1"/>
  <c r="I422" i="7"/>
  <c r="J419" i="7"/>
  <c r="L419" i="7" s="1"/>
  <c r="I419" i="7"/>
  <c r="J416" i="7"/>
  <c r="L416" i="7" s="1"/>
  <c r="I416" i="7"/>
  <c r="J413" i="7"/>
  <c r="L413" i="7" s="1"/>
  <c r="I413" i="7"/>
  <c r="L410" i="7"/>
  <c r="J410" i="7"/>
  <c r="I410" i="7"/>
  <c r="J407" i="7"/>
  <c r="L407" i="7" s="1"/>
  <c r="I407" i="7"/>
  <c r="J404" i="7"/>
  <c r="L404" i="7" s="1"/>
  <c r="I404" i="7"/>
  <c r="J401" i="7"/>
  <c r="L401" i="7" s="1"/>
  <c r="I401" i="7"/>
  <c r="J398" i="7"/>
  <c r="L398" i="7" s="1"/>
  <c r="I398" i="7"/>
  <c r="J395" i="7"/>
  <c r="L395" i="7" s="1"/>
  <c r="I395" i="7"/>
  <c r="J392" i="7"/>
  <c r="L392" i="7" s="1"/>
  <c r="I392" i="7"/>
  <c r="J389" i="7"/>
  <c r="L389" i="7" s="1"/>
  <c r="I389" i="7"/>
  <c r="J386" i="7"/>
  <c r="L386" i="7" s="1"/>
  <c r="I386" i="7"/>
  <c r="L383" i="7"/>
  <c r="J383" i="7"/>
  <c r="I383" i="7"/>
  <c r="J380" i="7"/>
  <c r="L380" i="7" s="1"/>
  <c r="I380" i="7"/>
  <c r="J377" i="7"/>
  <c r="L377" i="7" s="1"/>
  <c r="I377" i="7"/>
  <c r="J374" i="7"/>
  <c r="L374" i="7" s="1"/>
  <c r="I374" i="7"/>
  <c r="J371" i="7"/>
  <c r="L371" i="7" s="1"/>
  <c r="I371" i="7"/>
  <c r="J368" i="7"/>
  <c r="L368" i="7" s="1"/>
  <c r="I368" i="7"/>
  <c r="J365" i="7"/>
  <c r="L365" i="7" s="1"/>
  <c r="I365" i="7"/>
  <c r="J362" i="7"/>
  <c r="L362" i="7" s="1"/>
  <c r="I362" i="7"/>
  <c r="J359" i="7"/>
  <c r="L359" i="7" s="1"/>
  <c r="I359" i="7"/>
  <c r="J356" i="7"/>
  <c r="L356" i="7" s="1"/>
  <c r="I356" i="7"/>
  <c r="J353" i="7"/>
  <c r="L353" i="7" s="1"/>
  <c r="I353" i="7"/>
  <c r="J350" i="7"/>
  <c r="L350" i="7" s="1"/>
  <c r="I350" i="7"/>
  <c r="L347" i="7"/>
  <c r="J347" i="7"/>
  <c r="I347" i="7"/>
  <c r="J344" i="7"/>
  <c r="L344" i="7" s="1"/>
  <c r="I344" i="7"/>
  <c r="J341" i="7"/>
  <c r="L341" i="7" s="1"/>
  <c r="I341" i="7"/>
  <c r="J338" i="7"/>
  <c r="L338" i="7" s="1"/>
  <c r="I338" i="7"/>
  <c r="J335" i="7"/>
  <c r="L335" i="7" s="1"/>
  <c r="I335" i="7"/>
  <c r="J332" i="7"/>
  <c r="L332" i="7" s="1"/>
  <c r="I332" i="7"/>
  <c r="J329" i="7"/>
  <c r="L329" i="7" s="1"/>
  <c r="I329" i="7"/>
  <c r="J326" i="7"/>
  <c r="L326" i="7" s="1"/>
  <c r="I326" i="7"/>
  <c r="J323" i="7"/>
  <c r="L323" i="7" s="1"/>
  <c r="I323" i="7"/>
  <c r="J320" i="7"/>
  <c r="L320" i="7" s="1"/>
  <c r="I320" i="7"/>
  <c r="J317" i="7"/>
  <c r="L317" i="7" s="1"/>
  <c r="I317" i="7"/>
  <c r="J314" i="7"/>
  <c r="L314" i="7" s="1"/>
  <c r="I314" i="7"/>
  <c r="L311" i="7"/>
  <c r="J311" i="7"/>
  <c r="I311" i="7"/>
  <c r="J308" i="7"/>
  <c r="L308" i="7" s="1"/>
  <c r="I308" i="7"/>
  <c r="J305" i="7"/>
  <c r="L305" i="7" s="1"/>
  <c r="I305" i="7"/>
  <c r="J302" i="7"/>
  <c r="L302" i="7" s="1"/>
  <c r="I302" i="7"/>
  <c r="J299" i="7"/>
  <c r="L299" i="7" s="1"/>
  <c r="I299" i="7"/>
  <c r="J296" i="7"/>
  <c r="L296" i="7" s="1"/>
  <c r="I296" i="7"/>
  <c r="J293" i="7"/>
  <c r="L293" i="7" s="1"/>
  <c r="I293" i="7"/>
  <c r="J290" i="7"/>
  <c r="L290" i="7" s="1"/>
  <c r="I290" i="7"/>
  <c r="J287" i="7"/>
  <c r="L287" i="7" s="1"/>
  <c r="I287" i="7"/>
  <c r="J284" i="7"/>
  <c r="L284" i="7" s="1"/>
  <c r="I284" i="7"/>
  <c r="J281" i="7"/>
  <c r="L281" i="7" s="1"/>
  <c r="I281" i="7"/>
  <c r="L278" i="7"/>
  <c r="J278" i="7"/>
  <c r="I278" i="7"/>
  <c r="L275" i="7"/>
  <c r="J275" i="7"/>
  <c r="I275" i="7"/>
  <c r="J272" i="7"/>
  <c r="L272" i="7" s="1"/>
  <c r="I272" i="7"/>
  <c r="J269" i="7"/>
  <c r="L269" i="7" s="1"/>
  <c r="I269" i="7"/>
  <c r="J266" i="7"/>
  <c r="L266" i="7" s="1"/>
  <c r="I266" i="7"/>
  <c r="J263" i="7"/>
  <c r="L263" i="7" s="1"/>
  <c r="I263" i="7"/>
  <c r="J260" i="7"/>
  <c r="L260" i="7" s="1"/>
  <c r="I260" i="7"/>
  <c r="J257" i="7"/>
  <c r="L257" i="7" s="1"/>
  <c r="I257" i="7"/>
  <c r="J254" i="7"/>
  <c r="L254" i="7" s="1"/>
  <c r="I254" i="7"/>
  <c r="J251" i="7"/>
  <c r="L251" i="7" s="1"/>
  <c r="I251" i="7"/>
  <c r="J248" i="7"/>
  <c r="L248" i="7" s="1"/>
  <c r="I248" i="7"/>
  <c r="J245" i="7"/>
  <c r="L245" i="7" s="1"/>
  <c r="I245" i="7"/>
  <c r="J242" i="7"/>
  <c r="L242" i="7" s="1"/>
  <c r="I242" i="7"/>
  <c r="L239" i="7"/>
  <c r="J239" i="7"/>
  <c r="I239" i="7"/>
  <c r="J236" i="7"/>
  <c r="L236" i="7" s="1"/>
  <c r="I236" i="7"/>
  <c r="J233" i="7"/>
  <c r="L233" i="7" s="1"/>
  <c r="I233" i="7"/>
  <c r="J230" i="7"/>
  <c r="L230" i="7" s="1"/>
  <c r="I230" i="7"/>
  <c r="J227" i="7"/>
  <c r="L227" i="7" s="1"/>
  <c r="I227" i="7"/>
  <c r="J224" i="7"/>
  <c r="L224" i="7" s="1"/>
  <c r="I224" i="7"/>
  <c r="J221" i="7"/>
  <c r="L221" i="7" s="1"/>
  <c r="I221" i="7"/>
  <c r="J218" i="7"/>
  <c r="L218" i="7" s="1"/>
  <c r="I218" i="7"/>
  <c r="J215" i="7"/>
  <c r="L215" i="7" s="1"/>
  <c r="I215" i="7"/>
  <c r="J212" i="7"/>
  <c r="L212" i="7" s="1"/>
  <c r="I212" i="7"/>
  <c r="J209" i="7"/>
  <c r="L209" i="7" s="1"/>
  <c r="I209" i="7"/>
  <c r="J206" i="7"/>
  <c r="L206" i="7" s="1"/>
  <c r="I206" i="7"/>
  <c r="L203" i="7"/>
  <c r="J203" i="7"/>
  <c r="I203" i="7"/>
  <c r="J200" i="7"/>
  <c r="L200" i="7" s="1"/>
  <c r="I200" i="7"/>
  <c r="J197" i="7"/>
  <c r="L197" i="7" s="1"/>
  <c r="I197" i="7"/>
  <c r="J194" i="7"/>
  <c r="L194" i="7" s="1"/>
  <c r="I194" i="7"/>
  <c r="J191" i="7"/>
  <c r="L191" i="7" s="1"/>
  <c r="I191" i="7"/>
  <c r="J188" i="7"/>
  <c r="L188" i="7" s="1"/>
  <c r="I188" i="7"/>
  <c r="J185" i="7"/>
  <c r="L185" i="7" s="1"/>
  <c r="I185" i="7"/>
  <c r="J182" i="7"/>
  <c r="L182" i="7" s="1"/>
  <c r="I182" i="7"/>
  <c r="J179" i="7"/>
  <c r="I179" i="7"/>
  <c r="J176" i="7"/>
  <c r="L176" i="7" s="1"/>
  <c r="I176" i="7"/>
  <c r="J173" i="7"/>
  <c r="L173" i="7" s="1"/>
  <c r="I173" i="7"/>
  <c r="J170" i="7"/>
  <c r="L170" i="7" s="1"/>
  <c r="I170" i="7"/>
  <c r="L167" i="7"/>
  <c r="J167" i="7"/>
  <c r="I167" i="7"/>
  <c r="J164" i="7"/>
  <c r="L164" i="7" s="1"/>
  <c r="I164" i="7"/>
  <c r="J161" i="7"/>
  <c r="L161" i="7" s="1"/>
  <c r="I161" i="7"/>
  <c r="J158" i="7"/>
  <c r="L158" i="7" s="1"/>
  <c r="I158" i="7"/>
  <c r="J155" i="7"/>
  <c r="L155" i="7" s="1"/>
  <c r="I155" i="7"/>
  <c r="J152" i="7"/>
  <c r="L152" i="7" s="1"/>
  <c r="I152" i="7"/>
  <c r="J149" i="7"/>
  <c r="L149" i="7" s="1"/>
  <c r="I149" i="7"/>
  <c r="J146" i="7"/>
  <c r="L146" i="7" s="1"/>
  <c r="I146" i="7"/>
  <c r="J143" i="7"/>
  <c r="L143" i="7" s="1"/>
  <c r="I143" i="7"/>
  <c r="J140" i="7"/>
  <c r="L140" i="7" s="1"/>
  <c r="I140" i="7"/>
  <c r="J137" i="7"/>
  <c r="L137" i="7" s="1"/>
  <c r="I137" i="7"/>
  <c r="J134" i="7"/>
  <c r="L134" i="7" s="1"/>
  <c r="I134" i="7"/>
  <c r="L131" i="7"/>
  <c r="J131" i="7"/>
  <c r="I131" i="7"/>
  <c r="J128" i="7"/>
  <c r="L128" i="7" s="1"/>
  <c r="I128" i="7"/>
  <c r="J125" i="7"/>
  <c r="L125" i="7" s="1"/>
  <c r="I125" i="7"/>
  <c r="J122" i="7"/>
  <c r="L122" i="7" s="1"/>
  <c r="I122" i="7"/>
  <c r="J119" i="7"/>
  <c r="L119" i="7" s="1"/>
  <c r="I119" i="7"/>
  <c r="J116" i="7"/>
  <c r="L116" i="7" s="1"/>
  <c r="I116" i="7"/>
  <c r="J113" i="7"/>
  <c r="L113" i="7" s="1"/>
  <c r="I113" i="7"/>
  <c r="J110" i="7"/>
  <c r="I110" i="7"/>
  <c r="J107" i="7"/>
  <c r="I107" i="7"/>
  <c r="J104" i="7"/>
  <c r="I104" i="7"/>
  <c r="J101" i="7"/>
  <c r="I101" i="7"/>
  <c r="J98" i="7"/>
  <c r="I98" i="7"/>
  <c r="L95" i="7"/>
  <c r="J95" i="7"/>
  <c r="I95" i="7"/>
  <c r="J92" i="7"/>
  <c r="L92" i="7" s="1"/>
  <c r="I92" i="7"/>
  <c r="J89" i="7"/>
  <c r="L89" i="7" s="1"/>
  <c r="I89" i="7"/>
  <c r="J86" i="7"/>
  <c r="L86" i="7" s="1"/>
  <c r="I86" i="7"/>
  <c r="J83" i="7"/>
  <c r="L83" i="7" s="1"/>
  <c r="I83" i="7"/>
  <c r="J80" i="7"/>
  <c r="L80" i="7" s="1"/>
  <c r="I80" i="7"/>
  <c r="J77" i="7"/>
  <c r="L77" i="7" s="1"/>
  <c r="I77" i="7"/>
  <c r="J74" i="7"/>
  <c r="I74" i="7"/>
  <c r="L74" i="7" s="1"/>
  <c r="J71" i="7"/>
  <c r="L71" i="7" s="1"/>
  <c r="I71" i="7"/>
  <c r="J68" i="7"/>
  <c r="L68" i="7" s="1"/>
  <c r="I68" i="7"/>
  <c r="J65" i="7"/>
  <c r="L65" i="7" s="1"/>
  <c r="I65" i="7"/>
  <c r="J62" i="7"/>
  <c r="L62" i="7" s="1"/>
  <c r="I62" i="7"/>
  <c r="L59" i="7"/>
  <c r="J59" i="7"/>
  <c r="I59" i="7"/>
  <c r="J56" i="7"/>
  <c r="L56" i="7" s="1"/>
  <c r="I56" i="7"/>
  <c r="J53" i="7"/>
  <c r="L53" i="7" s="1"/>
  <c r="I53" i="7"/>
  <c r="J50" i="7"/>
  <c r="I50" i="7"/>
  <c r="L50" i="7" s="1"/>
  <c r="J47" i="7"/>
  <c r="L47" i="7" s="1"/>
  <c r="I47" i="7"/>
  <c r="J44" i="7"/>
  <c r="L44" i="7" s="1"/>
  <c r="I44" i="7"/>
  <c r="J41" i="7"/>
  <c r="L41" i="7" s="1"/>
  <c r="I41" i="7"/>
  <c r="J38" i="7"/>
  <c r="L38" i="7" s="1"/>
  <c r="I38" i="7"/>
  <c r="J35" i="7"/>
  <c r="L35" i="7" s="1"/>
  <c r="I35" i="7"/>
  <c r="J32" i="7"/>
  <c r="L32" i="7" s="1"/>
  <c r="I32" i="7"/>
  <c r="J29" i="7"/>
  <c r="L29" i="7" s="1"/>
  <c r="I29" i="7"/>
  <c r="J26" i="7"/>
  <c r="L26" i="7" s="1"/>
  <c r="I26" i="7"/>
  <c r="L23" i="7"/>
  <c r="J23" i="7"/>
  <c r="I23" i="7"/>
  <c r="J20" i="7"/>
  <c r="L20" i="7" s="1"/>
  <c r="I20" i="7"/>
  <c r="J17" i="7"/>
  <c r="L17" i="7" s="1"/>
  <c r="I17" i="7"/>
  <c r="J14" i="7"/>
  <c r="L14" i="7" s="1"/>
  <c r="I14" i="7"/>
  <c r="J11" i="7"/>
  <c r="L11" i="7" s="1"/>
  <c r="I11" i="7"/>
  <c r="J8" i="7"/>
  <c r="L8" i="7" s="1"/>
  <c r="I8" i="7"/>
  <c r="J5" i="7"/>
  <c r="L5" i="7" s="1"/>
  <c r="I5" i="7"/>
  <c r="N71" i="5" l="1"/>
  <c r="N74" i="5" s="1"/>
  <c r="N77" i="5" s="1"/>
  <c r="N80" i="5" s="1"/>
  <c r="N83" i="5" s="1"/>
  <c r="N86" i="5" s="1"/>
  <c r="N89" i="5" s="1"/>
  <c r="N92" i="5" s="1"/>
  <c r="N95" i="5" s="1"/>
  <c r="N98" i="5" s="1"/>
  <c r="N101" i="5" s="1"/>
  <c r="N104" i="5" s="1"/>
  <c r="N107" i="5" s="1"/>
  <c r="N110" i="5" s="1"/>
  <c r="N113" i="5" s="1"/>
  <c r="N116" i="5" s="1"/>
  <c r="N119" i="5" s="1"/>
  <c r="N122" i="5" s="1"/>
  <c r="N125" i="5" s="1"/>
  <c r="N128" i="5" s="1"/>
  <c r="N131" i="5" s="1"/>
  <c r="N134" i="5" s="1"/>
  <c r="N137" i="5" s="1"/>
  <c r="N140" i="5" s="1"/>
  <c r="N143" i="5" s="1"/>
  <c r="N146" i="5" s="1"/>
  <c r="N149" i="5" s="1"/>
  <c r="N152" i="5" s="1"/>
  <c r="N155" i="5" s="1"/>
  <c r="N158" i="5" s="1"/>
  <c r="N161" i="5" s="1"/>
  <c r="N164" i="5" s="1"/>
  <c r="N167" i="5" s="1"/>
  <c r="N170" i="5" s="1"/>
  <c r="N173" i="5" s="1"/>
  <c r="N176" i="5" s="1"/>
  <c r="N182" i="5" s="1"/>
  <c r="N185" i="5" s="1"/>
  <c r="N188" i="5" s="1"/>
  <c r="N191" i="5" s="1"/>
  <c r="N194" i="5" s="1"/>
  <c r="N197" i="5" s="1"/>
  <c r="N200" i="5" s="1"/>
  <c r="N203" i="5" s="1"/>
  <c r="N206" i="5" s="1"/>
  <c r="N209" i="5" s="1"/>
  <c r="N212" i="5" s="1"/>
  <c r="N215" i="5" s="1"/>
  <c r="N218" i="5" s="1"/>
  <c r="N221" i="5" s="1"/>
  <c r="N224" i="5" s="1"/>
  <c r="N227" i="5" s="1"/>
  <c r="N230" i="5" s="1"/>
  <c r="N233" i="5" s="1"/>
  <c r="N236" i="5" s="1"/>
  <c r="N239" i="5" s="1"/>
  <c r="N242" i="5" s="1"/>
  <c r="N245" i="5" s="1"/>
  <c r="N248" i="5" s="1"/>
  <c r="N251" i="5" s="1"/>
  <c r="N254" i="5" s="1"/>
  <c r="N257" i="5" s="1"/>
  <c r="N260" i="5" s="1"/>
  <c r="N263" i="5" s="1"/>
  <c r="N266" i="5" s="1"/>
  <c r="N269" i="5" s="1"/>
  <c r="N272" i="5" s="1"/>
  <c r="N275" i="5" s="1"/>
  <c r="N278" i="5" s="1"/>
  <c r="N281" i="5" s="1"/>
  <c r="N284" i="5" s="1"/>
  <c r="N287" i="5" s="1"/>
  <c r="N290" i="5" s="1"/>
  <c r="N293" i="5" s="1"/>
  <c r="N296" i="5" s="1"/>
  <c r="N299" i="5" s="1"/>
  <c r="N302" i="5" s="1"/>
  <c r="N305" i="5" s="1"/>
  <c r="N308" i="5" s="1"/>
  <c r="N311" i="5" s="1"/>
  <c r="N314" i="5" s="1"/>
  <c r="N317" i="5" s="1"/>
  <c r="N320" i="5" s="1"/>
  <c r="N323" i="5" s="1"/>
  <c r="N326" i="5" s="1"/>
  <c r="N329" i="5" s="1"/>
  <c r="N332" i="5" s="1"/>
  <c r="N335" i="5" s="1"/>
  <c r="N338" i="5" s="1"/>
  <c r="N341" i="5" s="1"/>
  <c r="N344" i="5" s="1"/>
  <c r="N347" i="5" s="1"/>
  <c r="N350" i="5" s="1"/>
  <c r="N353" i="5" s="1"/>
  <c r="N356" i="5" s="1"/>
  <c r="N359" i="5" s="1"/>
  <c r="N362" i="5" s="1"/>
  <c r="N365" i="5" s="1"/>
  <c r="N368" i="5" s="1"/>
  <c r="N371" i="5" s="1"/>
  <c r="N374" i="5" s="1"/>
  <c r="N377" i="5" s="1"/>
  <c r="N380" i="5" s="1"/>
  <c r="N383" i="5" s="1"/>
  <c r="N386" i="5" s="1"/>
  <c r="N389" i="5" s="1"/>
  <c r="N392" i="5" s="1"/>
  <c r="N395" i="5" s="1"/>
  <c r="N398" i="5" s="1"/>
  <c r="N401" i="5" s="1"/>
  <c r="N404" i="5" s="1"/>
  <c r="N407" i="5" s="1"/>
  <c r="N410" i="5" s="1"/>
  <c r="N413" i="5" s="1"/>
  <c r="N416" i="5" s="1"/>
  <c r="N419" i="5" s="1"/>
  <c r="N422" i="5" s="1"/>
  <c r="N425" i="5" s="1"/>
  <c r="N428" i="5" s="1"/>
  <c r="N431" i="5" s="1"/>
  <c r="N434" i="5" s="1"/>
  <c r="N437" i="5" s="1"/>
  <c r="N440" i="5" s="1"/>
  <c r="N443" i="5" s="1"/>
  <c r="N446" i="5" s="1"/>
  <c r="N449" i="5" s="1"/>
  <c r="N452" i="5" s="1"/>
  <c r="N455" i="5" s="1"/>
  <c r="N458" i="5" s="1"/>
  <c r="N461" i="5" s="1"/>
  <c r="N464" i="5" s="1"/>
  <c r="N467" i="5" s="1"/>
  <c r="N470" i="5" s="1"/>
  <c r="N473" i="5" s="1"/>
  <c r="N476" i="5" s="1"/>
  <c r="N479" i="5" s="1"/>
  <c r="N482" i="5" s="1"/>
  <c r="N485" i="5" s="1"/>
  <c r="N488" i="5" s="1"/>
  <c r="N491" i="5" s="1"/>
  <c r="N494" i="5" s="1"/>
  <c r="N497" i="5" s="1"/>
  <c r="N500" i="5" s="1"/>
  <c r="N503" i="5" s="1"/>
  <c r="N506" i="5" s="1"/>
  <c r="N509" i="5" s="1"/>
  <c r="N512" i="5" s="1"/>
  <c r="N515" i="5" s="1"/>
  <c r="N518" i="5" s="1"/>
  <c r="N521" i="5" s="1"/>
  <c r="N524" i="5" s="1"/>
  <c r="N527" i="5" s="1"/>
  <c r="N530" i="5" s="1"/>
  <c r="N533" i="5" s="1"/>
  <c r="N536" i="5" s="1"/>
  <c r="N539" i="5" s="1"/>
  <c r="N542" i="5" s="1"/>
  <c r="N545" i="5" s="1"/>
  <c r="N548" i="5" s="1"/>
  <c r="N551" i="5" s="1"/>
  <c r="N554" i="5" s="1"/>
  <c r="N560" i="5" s="1"/>
  <c r="N563" i="5" s="1"/>
  <c r="N566" i="5" s="1"/>
  <c r="N569" i="5" s="1"/>
  <c r="N572" i="5" s="1"/>
  <c r="N575" i="5" s="1"/>
  <c r="N578" i="5" s="1"/>
  <c r="N581" i="5" s="1"/>
  <c r="N584" i="5" s="1"/>
  <c r="N587" i="5" s="1"/>
  <c r="N590" i="5" s="1"/>
  <c r="N593" i="5" s="1"/>
  <c r="N596" i="5" s="1"/>
  <c r="N599" i="5" s="1"/>
  <c r="N602" i="5" s="1"/>
  <c r="N605" i="5" s="1"/>
  <c r="N608" i="5" s="1"/>
  <c r="N611" i="5" s="1"/>
  <c r="N614" i="5" s="1"/>
  <c r="N617" i="5" s="1"/>
  <c r="N620" i="5" s="1"/>
  <c r="N623" i="5" s="1"/>
  <c r="N632" i="5" s="1"/>
  <c r="N638" i="5" s="1"/>
  <c r="N641" i="5" s="1"/>
  <c r="N644" i="5" s="1"/>
  <c r="N650" i="5" s="1"/>
  <c r="N656" i="5" s="1"/>
  <c r="N659" i="5" s="1"/>
  <c r="N662" i="5" s="1"/>
  <c r="N665" i="5" s="1"/>
  <c r="N668" i="5" s="1"/>
  <c r="N671" i="5" s="1"/>
  <c r="N674" i="5" s="1"/>
  <c r="N677" i="5" s="1"/>
  <c r="N680" i="5" s="1"/>
  <c r="N683" i="5" s="1"/>
  <c r="N686" i="5" s="1"/>
  <c r="N689" i="5" s="1"/>
  <c r="N692" i="5" s="1"/>
  <c r="N704" i="5" s="1"/>
  <c r="N707" i="5" s="1"/>
  <c r="N710" i="5" s="1"/>
  <c r="N713" i="5" s="1"/>
  <c r="N716" i="5" s="1"/>
  <c r="N722" i="5" s="1"/>
  <c r="N725" i="5" s="1"/>
  <c r="N731" i="5" s="1"/>
  <c r="N737" i="5" s="1"/>
  <c r="N749" i="5" s="1"/>
  <c r="N752" i="5" s="1"/>
  <c r="N755" i="5" s="1"/>
  <c r="N758" i="5" s="1"/>
  <c r="N761" i="5" s="1"/>
  <c r="N764" i="5" s="1"/>
  <c r="N773" i="5" s="1"/>
  <c r="N776" i="5" s="1"/>
  <c r="N779" i="5" s="1"/>
  <c r="N782" i="5" s="1"/>
  <c r="N785" i="5" s="1"/>
  <c r="N791" i="5" s="1"/>
  <c r="N794" i="5" s="1"/>
  <c r="N797" i="5" s="1"/>
  <c r="N800" i="5" s="1"/>
  <c r="N803" i="5" s="1"/>
  <c r="N842" i="5" s="1"/>
  <c r="N845" i="5" s="1"/>
  <c r="N848" i="5" s="1"/>
  <c r="N851" i="5" s="1"/>
  <c r="N854" i="5" s="1"/>
  <c r="N857" i="5" s="1"/>
  <c r="N860" i="5" s="1"/>
  <c r="N863" i="5" s="1"/>
  <c r="N866" i="5" s="1"/>
  <c r="N869" i="5" s="1"/>
  <c r="N872" i="5" s="1"/>
  <c r="N875" i="5" s="1"/>
  <c r="N878" i="5" s="1"/>
  <c r="N881" i="5" s="1"/>
  <c r="N887" i="5" s="1"/>
  <c r="AA179" i="7"/>
  <c r="AA182" i="7" s="1"/>
  <c r="AA185" i="7" s="1"/>
  <c r="AA188" i="7" s="1"/>
  <c r="AA191" i="7" s="1"/>
  <c r="AA194" i="7" s="1"/>
  <c r="AA197" i="7" s="1"/>
  <c r="AA200" i="7" s="1"/>
  <c r="AA203" i="7" s="1"/>
  <c r="AA206" i="7" s="1"/>
  <c r="AA209" i="7" s="1"/>
  <c r="AA212" i="7" s="1"/>
  <c r="AA215" i="7" s="1"/>
  <c r="AA218" i="7" s="1"/>
  <c r="AA221" i="7" s="1"/>
  <c r="AA224" i="7" s="1"/>
  <c r="AA227" i="7" s="1"/>
  <c r="AA230" i="7" s="1"/>
  <c r="AA233" i="7" s="1"/>
  <c r="AA236" i="7" s="1"/>
  <c r="AA239" i="7" s="1"/>
  <c r="AA242" i="7" s="1"/>
  <c r="AA245" i="7" s="1"/>
  <c r="AA248" i="7" s="1"/>
  <c r="AA251" i="7" s="1"/>
  <c r="AA254" i="7" s="1"/>
  <c r="AA257" i="7" s="1"/>
  <c r="AA260" i="7" s="1"/>
  <c r="AA263" i="7" s="1"/>
  <c r="AA266" i="7" s="1"/>
  <c r="AA269" i="7" s="1"/>
  <c r="AA272" i="7" s="1"/>
  <c r="AA275" i="7" s="1"/>
  <c r="AA278" i="7" s="1"/>
  <c r="AA281" i="7" s="1"/>
  <c r="AA284" i="7" s="1"/>
  <c r="AA287" i="7" s="1"/>
  <c r="AA290" i="7" s="1"/>
  <c r="AA293" i="7" s="1"/>
  <c r="AA296" i="7" s="1"/>
  <c r="AA299" i="7" s="1"/>
  <c r="AA302" i="7" s="1"/>
  <c r="AA305" i="7" s="1"/>
  <c r="AA308" i="7" s="1"/>
  <c r="AA311" i="7" s="1"/>
  <c r="AA314" i="7" s="1"/>
  <c r="AA317" i="7" s="1"/>
  <c r="AA320" i="7" s="1"/>
  <c r="AA323" i="7" s="1"/>
  <c r="AA326" i="7" s="1"/>
  <c r="AA329" i="7" s="1"/>
  <c r="AA332" i="7" s="1"/>
  <c r="AA335" i="7" s="1"/>
  <c r="AA338" i="7" s="1"/>
  <c r="AA341" i="7" s="1"/>
  <c r="AA344" i="7" s="1"/>
  <c r="AA347" i="7" s="1"/>
  <c r="AA350" i="7" s="1"/>
  <c r="AA353" i="7" s="1"/>
  <c r="AA356" i="7" s="1"/>
  <c r="AA359" i="7" s="1"/>
  <c r="AA362" i="7" s="1"/>
  <c r="AA365" i="7" s="1"/>
  <c r="AA368" i="7" s="1"/>
  <c r="AA371" i="7" s="1"/>
  <c r="AA374" i="7" s="1"/>
  <c r="AA377" i="7" s="1"/>
  <c r="AA380" i="7" s="1"/>
  <c r="AA383" i="7" s="1"/>
  <c r="AA386" i="7" s="1"/>
  <c r="AA389" i="7" s="1"/>
  <c r="AA392" i="7" s="1"/>
  <c r="AA395" i="7" s="1"/>
  <c r="AA398" i="7" s="1"/>
  <c r="AA401" i="7" s="1"/>
  <c r="AA404" i="7" s="1"/>
  <c r="AA407" i="7" s="1"/>
  <c r="AA410" i="7" s="1"/>
  <c r="AA413" i="7" s="1"/>
  <c r="AA416" i="7" s="1"/>
  <c r="AA419" i="7" s="1"/>
  <c r="AA422" i="7" s="1"/>
  <c r="AA425" i="7" s="1"/>
  <c r="AA428" i="7" s="1"/>
  <c r="AA431" i="7" s="1"/>
  <c r="AA434" i="7" s="1"/>
  <c r="AA437" i="7" s="1"/>
  <c r="AA440" i="7" s="1"/>
  <c r="AA443" i="7" s="1"/>
  <c r="AA446" i="7" s="1"/>
  <c r="AA449" i="7" s="1"/>
  <c r="AA452" i="7" s="1"/>
  <c r="AA455" i="7" s="1"/>
  <c r="AA458" i="7" s="1"/>
  <c r="AA461" i="7" s="1"/>
  <c r="AA464" i="7" s="1"/>
  <c r="AA467" i="7" s="1"/>
  <c r="AA470" i="7" s="1"/>
  <c r="AA473" i="7" s="1"/>
  <c r="AA476" i="7" s="1"/>
  <c r="AA479" i="7" s="1"/>
  <c r="AA482" i="7" s="1"/>
  <c r="AA485" i="7" s="1"/>
  <c r="AA488" i="7" s="1"/>
  <c r="AA491" i="7" s="1"/>
  <c r="AA494" i="7" s="1"/>
  <c r="AA497" i="7" s="1"/>
  <c r="AA500" i="7" s="1"/>
  <c r="AA503" i="7" s="1"/>
  <c r="AA506" i="7" s="1"/>
  <c r="AA509" i="7" s="1"/>
  <c r="AA512" i="7" s="1"/>
  <c r="AA515" i="7" s="1"/>
  <c r="AA518" i="7" s="1"/>
  <c r="AA521" i="7" s="1"/>
  <c r="AA524" i="7" s="1"/>
  <c r="AA527" i="7" s="1"/>
  <c r="AA530" i="7" s="1"/>
  <c r="AA533" i="7" s="1"/>
  <c r="AA536" i="7" s="1"/>
  <c r="AA539" i="7" s="1"/>
  <c r="AA542" i="7" s="1"/>
  <c r="AA545" i="7" s="1"/>
  <c r="AA548" i="7" s="1"/>
  <c r="AA551" i="7" s="1"/>
  <c r="AA554" i="7" s="1"/>
  <c r="AA560" i="7" s="1"/>
  <c r="AA563" i="7" s="1"/>
  <c r="AA566" i="7" s="1"/>
  <c r="AA569" i="7" s="1"/>
  <c r="AA572" i="7" s="1"/>
  <c r="AA575" i="7" s="1"/>
  <c r="AA578" i="7" s="1"/>
  <c r="AA581" i="7" s="1"/>
  <c r="AA584" i="7" s="1"/>
  <c r="AA587" i="7" s="1"/>
  <c r="AA590" i="7" s="1"/>
  <c r="AA593" i="7" s="1"/>
  <c r="AA596" i="7" s="1"/>
  <c r="AA599" i="7" s="1"/>
  <c r="AA602" i="7" s="1"/>
  <c r="AA605" i="7" s="1"/>
  <c r="AA608" i="7" s="1"/>
  <c r="AA611" i="7" s="1"/>
  <c r="AA614" i="7" s="1"/>
  <c r="AA617" i="7" s="1"/>
  <c r="AA620" i="7" s="1"/>
  <c r="AA623" i="7" s="1"/>
  <c r="AA632" i="7" s="1"/>
  <c r="AA638" i="7" s="1"/>
  <c r="AA641" i="7" s="1"/>
  <c r="AA644" i="7" s="1"/>
  <c r="AA650" i="7" s="1"/>
  <c r="AA656" i="7" s="1"/>
  <c r="AA659" i="7" s="1"/>
  <c r="AA662" i="7" s="1"/>
  <c r="AA665" i="7" s="1"/>
  <c r="AA668" i="7" s="1"/>
  <c r="AA671" i="7" s="1"/>
  <c r="AA674" i="7" s="1"/>
  <c r="AA677" i="7" s="1"/>
  <c r="AA680" i="7" s="1"/>
  <c r="AA683" i="7" s="1"/>
  <c r="AA686" i="7" s="1"/>
  <c r="AA689" i="7" s="1"/>
  <c r="AA692" i="7" s="1"/>
  <c r="AA704" i="7" s="1"/>
  <c r="AA707" i="7" s="1"/>
  <c r="AA710" i="7" s="1"/>
  <c r="AA713" i="7" s="1"/>
  <c r="AA716" i="7" s="1"/>
  <c r="AA722" i="7" s="1"/>
  <c r="AA725" i="7" s="1"/>
  <c r="AA731" i="7" s="1"/>
  <c r="L68" i="4"/>
  <c r="L260" i="4"/>
  <c r="L371" i="4"/>
  <c r="L452" i="4"/>
  <c r="L524" i="4"/>
  <c r="L92" i="4"/>
  <c r="L203" i="4"/>
  <c r="L284" i="4"/>
  <c r="L395" i="4"/>
  <c r="L476" i="4"/>
  <c r="L323" i="4"/>
  <c r="L275" i="4"/>
  <c r="L356" i="4"/>
  <c r="L467" i="4"/>
  <c r="L548" i="4"/>
  <c r="L20" i="4"/>
  <c r="L212" i="4"/>
  <c r="L131" i="4"/>
  <c r="L404" i="4"/>
  <c r="L11" i="4"/>
  <c r="L83" i="4"/>
  <c r="L164" i="4"/>
  <c r="L44" i="4"/>
  <c r="L155" i="4"/>
  <c r="L236" i="4"/>
  <c r="L347" i="4"/>
  <c r="L428" i="4"/>
  <c r="L35" i="4"/>
  <c r="L116" i="4"/>
  <c r="L227" i="4"/>
  <c r="L308" i="4"/>
  <c r="L419" i="4"/>
  <c r="L500" i="4"/>
  <c r="L83" i="6"/>
  <c r="L164" i="6"/>
  <c r="L266" i="6"/>
  <c r="L362" i="6"/>
  <c r="L458" i="6"/>
  <c r="L116" i="6"/>
  <c r="L386" i="6"/>
  <c r="L482" i="6"/>
  <c r="L419" i="6"/>
  <c r="L515" i="6"/>
  <c r="L68" i="6"/>
  <c r="L314" i="6"/>
  <c r="L410" i="6"/>
  <c r="L506" i="6"/>
  <c r="L35" i="6"/>
  <c r="L188" i="6"/>
  <c r="L323" i="6"/>
  <c r="L59" i="6"/>
  <c r="L140" i="6"/>
  <c r="L251" i="6"/>
  <c r="L347" i="6"/>
  <c r="L443" i="6"/>
  <c r="L539" i="6"/>
  <c r="L227" i="6"/>
  <c r="L290" i="6"/>
  <c r="L20" i="6"/>
  <c r="R552" i="3"/>
  <c r="R553" i="3"/>
  <c r="R554" i="3"/>
  <c r="R555" i="3"/>
  <c r="R559" i="3"/>
  <c r="R564" i="3"/>
  <c r="R565" i="3"/>
  <c r="R566" i="3"/>
  <c r="R567" i="3"/>
  <c r="R515" i="3"/>
  <c r="R479" i="3"/>
  <c r="R443" i="3"/>
  <c r="R407" i="3"/>
  <c r="R371" i="3"/>
  <c r="R563" i="3" s="1"/>
  <c r="R335" i="3"/>
  <c r="R562" i="3" s="1"/>
  <c r="R299" i="3"/>
  <c r="R561" i="3" s="1"/>
  <c r="R263" i="3"/>
  <c r="R560" i="3" s="1"/>
  <c r="R227" i="3"/>
  <c r="R191" i="3"/>
  <c r="R558" i="3" s="1"/>
  <c r="R155" i="3"/>
  <c r="R557" i="3" s="1"/>
  <c r="R119" i="3"/>
  <c r="R556" i="3" s="1"/>
  <c r="Q83" i="3"/>
  <c r="Q47" i="3"/>
  <c r="Q11" i="3"/>
  <c r="Q2" i="3"/>
  <c r="Q515" i="3" l="1"/>
  <c r="Q479" i="3"/>
  <c r="Q443" i="3"/>
  <c r="Q407" i="3"/>
  <c r="Q371" i="3"/>
  <c r="Q335" i="3"/>
  <c r="Q299" i="3"/>
  <c r="Q263" i="3"/>
  <c r="Q227" i="3"/>
  <c r="Q191" i="3"/>
  <c r="Q155" i="3"/>
  <c r="Q119" i="3"/>
  <c r="Q552" i="3" l="1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V558" i="3" l="1"/>
  <c r="V564" i="3"/>
  <c r="V566" i="3"/>
  <c r="V565" i="3"/>
  <c r="V562" i="3"/>
  <c r="V554" i="3"/>
  <c r="V561" i="3"/>
  <c r="V560" i="3"/>
  <c r="V552" i="3"/>
  <c r="M2" i="3"/>
  <c r="M552" i="3" s="1"/>
  <c r="P515" i="3"/>
  <c r="P567" i="3" s="1"/>
  <c r="O515" i="3"/>
  <c r="O567" i="3" s="1"/>
  <c r="N515" i="3"/>
  <c r="N567" i="3" s="1"/>
  <c r="M515" i="3"/>
  <c r="M567" i="3" s="1"/>
  <c r="V567" i="3" s="1"/>
  <c r="P479" i="3"/>
  <c r="P566" i="3" s="1"/>
  <c r="U566" i="3" s="1"/>
  <c r="O479" i="3"/>
  <c r="O566" i="3" s="1"/>
  <c r="T566" i="3" s="1"/>
  <c r="N479" i="3"/>
  <c r="N566" i="3" s="1"/>
  <c r="S566" i="3" s="1"/>
  <c r="M479" i="3"/>
  <c r="M566" i="3" s="1"/>
  <c r="P443" i="3"/>
  <c r="P565" i="3" s="1"/>
  <c r="O443" i="3"/>
  <c r="O565" i="3" s="1"/>
  <c r="N443" i="3"/>
  <c r="N565" i="3" s="1"/>
  <c r="M443" i="3"/>
  <c r="M565" i="3" s="1"/>
  <c r="P407" i="3"/>
  <c r="P564" i="3" s="1"/>
  <c r="U564" i="3" s="1"/>
  <c r="O407" i="3"/>
  <c r="O564" i="3" s="1"/>
  <c r="T564" i="3" s="1"/>
  <c r="N407" i="3"/>
  <c r="N564" i="3" s="1"/>
  <c r="S564" i="3" s="1"/>
  <c r="M407" i="3"/>
  <c r="M564" i="3" s="1"/>
  <c r="P371" i="3"/>
  <c r="P563" i="3" s="1"/>
  <c r="O371" i="3"/>
  <c r="O563" i="3" s="1"/>
  <c r="N371" i="3"/>
  <c r="N563" i="3" s="1"/>
  <c r="M371" i="3"/>
  <c r="M563" i="3" s="1"/>
  <c r="V563" i="3" s="1"/>
  <c r="P335" i="3"/>
  <c r="P562" i="3" s="1"/>
  <c r="U562" i="3" s="1"/>
  <c r="O335" i="3"/>
  <c r="O562" i="3" s="1"/>
  <c r="T562" i="3" s="1"/>
  <c r="N335" i="3"/>
  <c r="N562" i="3" s="1"/>
  <c r="S562" i="3" s="1"/>
  <c r="M335" i="3"/>
  <c r="M562" i="3" s="1"/>
  <c r="P299" i="3"/>
  <c r="P561" i="3" s="1"/>
  <c r="O299" i="3"/>
  <c r="O561" i="3" s="1"/>
  <c r="N299" i="3"/>
  <c r="N561" i="3" s="1"/>
  <c r="M299" i="3"/>
  <c r="M561" i="3" s="1"/>
  <c r="P263" i="3"/>
  <c r="P560" i="3" s="1"/>
  <c r="U560" i="3" s="1"/>
  <c r="O263" i="3"/>
  <c r="O560" i="3" s="1"/>
  <c r="T560" i="3" s="1"/>
  <c r="N263" i="3"/>
  <c r="N560" i="3" s="1"/>
  <c r="S560" i="3" s="1"/>
  <c r="M263" i="3"/>
  <c r="M560" i="3" s="1"/>
  <c r="P227" i="3"/>
  <c r="P559" i="3" s="1"/>
  <c r="O227" i="3"/>
  <c r="O559" i="3" s="1"/>
  <c r="N227" i="3"/>
  <c r="N559" i="3" s="1"/>
  <c r="M227" i="3"/>
  <c r="M559" i="3" s="1"/>
  <c r="V559" i="3" s="1"/>
  <c r="P191" i="3"/>
  <c r="P558" i="3" s="1"/>
  <c r="U558" i="3" s="1"/>
  <c r="O191" i="3"/>
  <c r="O558" i="3" s="1"/>
  <c r="T558" i="3" s="1"/>
  <c r="N191" i="3"/>
  <c r="N558" i="3" s="1"/>
  <c r="S558" i="3" s="1"/>
  <c r="M191" i="3"/>
  <c r="M558" i="3" s="1"/>
  <c r="P155" i="3"/>
  <c r="P557" i="3" s="1"/>
  <c r="O155" i="3"/>
  <c r="O557" i="3" s="1"/>
  <c r="N155" i="3"/>
  <c r="N557" i="3" s="1"/>
  <c r="M155" i="3"/>
  <c r="M557" i="3" s="1"/>
  <c r="V557" i="3" s="1"/>
  <c r="P119" i="3"/>
  <c r="P556" i="3" s="1"/>
  <c r="U556" i="3" s="1"/>
  <c r="O119" i="3"/>
  <c r="O556" i="3" s="1"/>
  <c r="T556" i="3" s="1"/>
  <c r="N119" i="3"/>
  <c r="N556" i="3" s="1"/>
  <c r="S556" i="3" s="1"/>
  <c r="M119" i="3"/>
  <c r="M556" i="3" s="1"/>
  <c r="V556" i="3" s="1"/>
  <c r="P83" i="3"/>
  <c r="P555" i="3" s="1"/>
  <c r="O83" i="3"/>
  <c r="O555" i="3" s="1"/>
  <c r="N83" i="3"/>
  <c r="N555" i="3" s="1"/>
  <c r="M83" i="3"/>
  <c r="M555" i="3" s="1"/>
  <c r="V555" i="3" s="1"/>
  <c r="P47" i="3"/>
  <c r="P554" i="3" s="1"/>
  <c r="U554" i="3" s="1"/>
  <c r="O47" i="3"/>
  <c r="O554" i="3" s="1"/>
  <c r="T554" i="3" s="1"/>
  <c r="N47" i="3"/>
  <c r="N554" i="3" s="1"/>
  <c r="S554" i="3" s="1"/>
  <c r="M47" i="3"/>
  <c r="M554" i="3" s="1"/>
  <c r="P11" i="3"/>
  <c r="P553" i="3" s="1"/>
  <c r="O11" i="3"/>
  <c r="O553" i="3" s="1"/>
  <c r="N11" i="3"/>
  <c r="N553" i="3" s="1"/>
  <c r="M11" i="3"/>
  <c r="M553" i="3" s="1"/>
  <c r="V553" i="3" s="1"/>
  <c r="P2" i="3"/>
  <c r="P552" i="3" s="1"/>
  <c r="U552" i="3" s="1"/>
  <c r="O2" i="3"/>
  <c r="O552" i="3" s="1"/>
  <c r="T552" i="3" s="1"/>
  <c r="N2" i="3"/>
  <c r="N552" i="3" s="1"/>
  <c r="S552" i="3" s="1"/>
  <c r="S553" i="3" l="1"/>
  <c r="S555" i="3"/>
  <c r="S557" i="3"/>
  <c r="S559" i="3"/>
  <c r="S561" i="3"/>
  <c r="S563" i="3"/>
  <c r="S565" i="3"/>
  <c r="S567" i="3"/>
  <c r="T567" i="3"/>
  <c r="T561" i="3"/>
  <c r="T553" i="3"/>
  <c r="T555" i="3"/>
  <c r="T557" i="3"/>
  <c r="T559" i="3"/>
  <c r="T563" i="3"/>
  <c r="T565" i="3"/>
  <c r="U553" i="3"/>
  <c r="U555" i="3"/>
  <c r="U557" i="3"/>
  <c r="U559" i="3"/>
  <c r="U561" i="3"/>
  <c r="U563" i="3"/>
  <c r="U565" i="3"/>
  <c r="U567" i="3"/>
</calcChain>
</file>

<file path=xl/sharedStrings.xml><?xml version="1.0" encoding="utf-8"?>
<sst xmlns="http://schemas.openxmlformats.org/spreadsheetml/2006/main" count="5930" uniqueCount="102">
  <si>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</si>
  <si>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</si>
  <si>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</si>
  <si>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</si>
  <si>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</si>
  <si>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</si>
  <si>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</si>
  <si>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</si>
  <si>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</si>
  <si>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</si>
  <si>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</si>
  <si>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</si>
  <si>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</si>
  <si>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</si>
  <si>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</si>
  <si>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</si>
  <si>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</si>
  <si>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</si>
  <si>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</si>
  <si>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</si>
  <si>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</si>
  <si>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</si>
  <si>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</si>
  <si>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</si>
  <si>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</si>
  <si>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</si>
  <si>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</si>
  <si>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</si>
  <si>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</si>
  <si>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</si>
  <si>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</si>
  <si>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</si>
  <si>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</si>
  <si>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</si>
  <si>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</si>
  <si>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</si>
  <si>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</si>
  <si>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</si>
  <si>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</si>
  <si>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</si>
  <si>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ug/l</t>
  </si>
  <si>
    <t>ug/L</t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</si>
  <si>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</si>
  <si>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</si>
  <si>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</si>
  <si>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</si>
  <si>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</si>
  <si>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</si>
  <si>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</si>
  <si>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</si>
  <si>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</si>
  <si>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</si>
  <si>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</si>
  <si>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2006</t>
    <phoneticPr fontId="1" type="noConversion"/>
  </si>
  <si>
    <t>2007</t>
    <phoneticPr fontId="1" type="noConversion"/>
  </si>
  <si>
    <t>2007</t>
    <phoneticPr fontId="1" type="noConversion"/>
  </si>
  <si>
    <t>2008</t>
    <phoneticPr fontId="1" type="noConversion"/>
  </si>
  <si>
    <t>2008</t>
    <phoneticPr fontId="1" type="noConversion"/>
  </si>
  <si>
    <t>2009</t>
    <phoneticPr fontId="1" type="noConversion"/>
  </si>
  <si>
    <t>2009</t>
    <phoneticPr fontId="1" type="noConversion"/>
  </si>
  <si>
    <t>Average</t>
    <phoneticPr fontId="1" type="noConversion"/>
  </si>
  <si>
    <t>2010</t>
    <phoneticPr fontId="1" type="noConversion"/>
  </si>
  <si>
    <t>2010</t>
    <phoneticPr fontId="1" type="noConversion"/>
  </si>
  <si>
    <t>2011</t>
    <phoneticPr fontId="1" type="noConversion"/>
  </si>
  <si>
    <t>2011</t>
    <phoneticPr fontId="1" type="noConversion"/>
  </si>
  <si>
    <t>2012</t>
    <phoneticPr fontId="1" type="noConversion"/>
  </si>
  <si>
    <t>2012</t>
    <phoneticPr fontId="1" type="noConversion"/>
  </si>
  <si>
    <t>2013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</si>
  <si>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</si>
  <si>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</si>
  <si>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</si>
  <si>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</si>
  <si>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</si>
  <si>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</si>
  <si>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2003</t>
    <phoneticPr fontId="1" type="noConversion"/>
  </si>
  <si>
    <t>2005</t>
    <phoneticPr fontId="1" type="noConversion"/>
  </si>
  <si>
    <t>no data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</si>
  <si>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</si>
  <si>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</si>
  <si>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</si>
  <si>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</si>
  <si>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</si>
  <si>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peridin</t>
  </si>
  <si>
    <t>perid/chl</t>
  </si>
  <si>
    <t>z score</t>
  </si>
  <si>
    <t>CUSUM</t>
  </si>
  <si>
    <t>butfuco/chl</t>
  </si>
  <si>
    <t>fuco/CHL</t>
  </si>
  <si>
    <t>zea/chl</t>
  </si>
  <si>
    <t>mean</t>
  </si>
  <si>
    <t>std dev</t>
  </si>
  <si>
    <t>CHLOROPHYLL</t>
  </si>
  <si>
    <t>replicate avg</t>
  </si>
  <si>
    <t>unassigned</t>
  </si>
  <si>
    <t>values in July</t>
  </si>
  <si>
    <t>2022 not yet</t>
  </si>
  <si>
    <t>available</t>
  </si>
  <si>
    <t>remaining</t>
  </si>
  <si>
    <t>dates unavail.</t>
  </si>
  <si>
    <t>values in</t>
  </si>
  <si>
    <t>why 3 same values for sta 1? Moved to each station</t>
  </si>
  <si>
    <t>graphs not updated for 2020-2024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</si>
</sst>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0"/>
      <name val="Helv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b/>
      <sz val="14"/>
      <color indexed="41"/>
      <name val="Geneva"/>
      <family val="2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b/>
      <sz val="14"/>
      <color indexed="43"/>
      <name val="Geneva"/>
      <family val="2"/>
      <charset val="1"/>
    </font>
    <font>
      <sz val="10"/>
      <name val="Geneva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hair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/>
      <right style="hair">
        <color rgb="FFC0C0C0"/>
      </right>
      <top/>
      <bottom style="hair">
        <color rgb="FFC0C0C0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32">
    <xf numFmtId="0" fontId="0" fillId="0" borderId="0" xfId="0"/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0" fontId="0" fillId="3" borderId="0" xfId="0" applyFill="1" applyAlignment="1">
      <alignment horizontal="right"/>
    </xf>
    <xf numFmtId="14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2" fillId="0" borderId="0" xfId="0" applyFont="1"/>
    <xf numFmtId="164" fontId="7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2" fillId="3" borderId="0" xfId="0" applyFont="1" applyFill="1"/>
    <xf numFmtId="164" fontId="8" fillId="0" borderId="0" xfId="0" applyNumberFormat="1" applyFont="1" applyAlignment="1">
      <alignment horizontal="center" vertical="center"/>
    </xf>
    <xf numFmtId="14" fontId="0" fillId="0" borderId="0" xfId="0" applyNumberFormat="1"/>
    <xf numFmtId="164" fontId="0" fillId="4" borderId="0" xfId="0" applyNumberFormat="1" applyFill="1" applyAlignment="1">
      <alignment horizontal="center"/>
    </xf>
    <xf numFmtId="14" fontId="0" fillId="3" borderId="0" xfId="0" applyNumberFormat="1" applyFill="1"/>
    <xf numFmtId="164" fontId="9" fillId="0" borderId="0" xfId="0" applyNumberFormat="1" applyFont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9" fillId="0" borderId="3" xfId="0" applyNumberFormat="1" applyFon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/>
    </xf>
    <xf numFmtId="164" fontId="7" fillId="0" borderId="3" xfId="0" applyNumberFormat="1" applyFont="1" applyBorder="1" applyAlignment="1">
      <alignment horizontal="center" vertical="center" wrapText="1"/>
    </xf>
    <xf numFmtId="14" fontId="2" fillId="3" borderId="0" xfId="0" applyNumberFormat="1" applyFont="1" applyFill="1"/>
    <xf numFmtId="14" fontId="2" fillId="0" borderId="0" xfId="0" applyNumberFormat="1" applyFont="1"/>
    <xf numFmtId="164" fontId="7" fillId="0" borderId="4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5" borderId="0" xfId="0" applyFont="1" applyFill="1"/>
    <xf numFmtId="14" fontId="0" fillId="5" borderId="0" xfId="0" applyNumberFormat="1" applyFill="1"/>
    <xf numFmtId="0" fontId="2" fillId="5" borderId="0" xfId="0" applyFont="1" applyFill="1" applyAlignment="1">
      <alignment horizontal="left"/>
    </xf>
    <xf numFmtId="164" fontId="11" fillId="5" borderId="2" xfId="0" applyNumberFormat="1" applyFont="1" applyFill="1" applyBorder="1" applyAlignment="1">
      <alignment horizontal="center" vertical="center" wrapText="1"/>
    </xf>
    <xf numFmtId="164" fontId="0" fillId="5" borderId="0" xfId="0" applyNumberFormat="1" applyFill="1"/>
    <xf numFmtId="0" fontId="0" fillId="5" borderId="0" xfId="0" applyFill="1"/>
    <xf numFmtId="164" fontId="11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11" fillId="0" borderId="5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4" fontId="2" fillId="5" borderId="0" xfId="0" applyNumberFormat="1" applyFont="1" applyFill="1"/>
    <xf numFmtId="164" fontId="0" fillId="6" borderId="0" xfId="0" applyNumberFormat="1" applyFill="1"/>
    <xf numFmtId="14" fontId="2" fillId="0" borderId="0" xfId="1" applyNumberFormat="1"/>
    <xf numFmtId="164" fontId="2" fillId="5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1" fillId="0" borderId="2" xfId="2" applyNumberFormat="1" applyFont="1" applyBorder="1" applyAlignment="1">
      <alignment horizontal="center" vertical="center" wrapText="1"/>
    </xf>
    <xf numFmtId="164" fontId="12" fillId="7" borderId="0" xfId="0" applyNumberFormat="1" applyFont="1" applyFill="1" applyAlignment="1">
      <alignment horizontal="center"/>
    </xf>
    <xf numFmtId="49" fontId="0" fillId="0" borderId="0" xfId="0" applyNumberFormat="1"/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0" xfId="0" applyNumberFormat="1" applyFont="1" applyAlignment="1" applyProtection="1">
      <alignment horizontal="center"/>
      <protection locked="0"/>
    </xf>
    <xf numFmtId="164" fontId="2" fillId="3" borderId="0" xfId="0" applyNumberFormat="1" applyFont="1" applyFill="1" applyAlignment="1" applyProtection="1">
      <alignment horizontal="center"/>
      <protection locked="0"/>
    </xf>
    <xf numFmtId="164" fontId="2" fillId="3" borderId="0" xfId="0" applyNumberFormat="1" applyFont="1" applyFill="1"/>
    <xf numFmtId="164" fontId="0" fillId="3" borderId="0" xfId="0" applyNumberFormat="1" applyFill="1"/>
    <xf numFmtId="164" fontId="6" fillId="0" borderId="0" xfId="0" applyNumberFormat="1" applyFont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164" fontId="0" fillId="3" borderId="0" xfId="0" applyNumberFormat="1" applyFill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0" borderId="7" xfId="0" applyNumberFormat="1" applyFont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11" fillId="0" borderId="6" xfId="2" applyNumberFormat="1" applyFont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2" fillId="0" borderId="0" xfId="0" applyNumberFormat="1" applyFont="1" applyAlignment="1">
      <alignment horizontal="right"/>
    </xf>
    <xf numFmtId="166" fontId="2" fillId="3" borderId="0" xfId="0" applyNumberFormat="1" applyFont="1" applyFill="1" applyAlignment="1">
      <alignment horizontal="right"/>
    </xf>
    <xf numFmtId="166" fontId="0" fillId="3" borderId="0" xfId="0" applyNumberFormat="1" applyFill="1"/>
    <xf numFmtId="166" fontId="2" fillId="3" borderId="0" xfId="0" applyNumberFormat="1" applyFont="1" applyFill="1"/>
    <xf numFmtId="166" fontId="2" fillId="0" borderId="0" xfId="0" applyNumberFormat="1" applyFont="1"/>
    <xf numFmtId="166" fontId="0" fillId="5" borderId="0" xfId="0" applyNumberFormat="1" applyFill="1"/>
    <xf numFmtId="166" fontId="2" fillId="5" borderId="0" xfId="0" applyNumberFormat="1" applyFont="1" applyFill="1"/>
    <xf numFmtId="166" fontId="2" fillId="0" borderId="0" xfId="1" applyNumberFormat="1"/>
    <xf numFmtId="164" fontId="4" fillId="2" borderId="9" xfId="0" applyNumberFormat="1" applyFont="1" applyFill="1" applyBorder="1" applyAlignment="1">
      <alignment horizontal="center" vertical="center" wrapText="1"/>
    </xf>
    <xf numFmtId="164" fontId="13" fillId="8" borderId="0" xfId="0" applyNumberFormat="1" applyFont="1" applyFill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5" fontId="15" fillId="0" borderId="0" xfId="0" applyNumberFormat="1" applyFont="1"/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0" xfId="0" applyFill="1"/>
    <xf numFmtId="164" fontId="16" fillId="0" borderId="2" xfId="0" applyNumberFormat="1" applyFont="1" applyBorder="1" applyAlignment="1">
      <alignment horizontal="center" vertical="center" wrapText="1"/>
    </xf>
    <xf numFmtId="0" fontId="0" fillId="5" borderId="0" xfId="0" applyFill="1" applyAlignment="1">
      <alignment horizontal="right"/>
    </xf>
    <xf numFmtId="0" fontId="17" fillId="9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164" fontId="16" fillId="9" borderId="5" xfId="0" applyNumberFormat="1" applyFont="1" applyFill="1" applyBorder="1" applyAlignment="1">
      <alignment horizontal="center" vertical="center" wrapText="1"/>
    </xf>
    <xf numFmtId="164" fontId="16" fillId="0" borderId="2" xfId="2" applyNumberFormat="1" applyFont="1" applyBorder="1" applyAlignment="1">
      <alignment horizontal="center" vertical="center" wrapText="1"/>
    </xf>
    <xf numFmtId="166" fontId="0" fillId="5" borderId="0" xfId="0" applyNumberFormat="1" applyFill="1" applyAlignment="1">
      <alignment horizontal="center"/>
    </xf>
    <xf numFmtId="164" fontId="16" fillId="0" borderId="2" xfId="3" applyNumberFormat="1" applyFont="1" applyBorder="1" applyAlignment="1">
      <alignment horizontal="center" vertical="center" wrapText="1"/>
    </xf>
    <xf numFmtId="164" fontId="16" fillId="0" borderId="14" xfId="3" applyNumberFormat="1" applyFont="1" applyBorder="1" applyAlignment="1">
      <alignment horizontal="center" vertical="center" wrapText="1"/>
    </xf>
    <xf numFmtId="0" fontId="3" fillId="0" borderId="3" xfId="3" applyBorder="1" applyAlignment="1">
      <alignment horizontal="center"/>
    </xf>
    <xf numFmtId="164" fontId="3" fillId="0" borderId="3" xfId="3" applyNumberFormat="1" applyBorder="1" applyAlignment="1">
      <alignment horizontal="center"/>
    </xf>
    <xf numFmtId="0" fontId="18" fillId="0" borderId="0" xfId="0" applyFont="1"/>
  </cellXfs>
  <cellStyles count="4">
    <cellStyle name="Normal" xfId="0" builtinId="0"/>
    <cellStyle name="Normal 2" xfId="1" xr:uid="{00000000-0005-0000-0000-000000000000}"/>
    <cellStyle name="Normal 2 2" xfId="3" xr:uid="{A59ACC24-7F47-4977-97DA-63C0A1A91483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'zea update'!$N$3:$N$731</c:f>
              <c:numCache>
                <c:formatCode>General</c:formatCode>
                <c:ptCount val="729"/>
                <c:pt idx="2">
                  <c:v>-1.1409848413554019E-2</c:v>
                </c:pt>
                <c:pt idx="5">
                  <c:v>-0.70545874643715212</c:v>
                </c:pt>
                <c:pt idx="8">
                  <c:v>-1.3177491674881394</c:v>
                </c:pt>
                <c:pt idx="11">
                  <c:v>-1.9547652087359872</c:v>
                </c:pt>
                <c:pt idx="14">
                  <c:v>-2.4603579622148848</c:v>
                </c:pt>
                <c:pt idx="17">
                  <c:v>-2.1321286203466312</c:v>
                </c:pt>
                <c:pt idx="20">
                  <c:v>-2.9079283809897114</c:v>
                </c:pt>
                <c:pt idx="23">
                  <c:v>-3.1526386744905639</c:v>
                </c:pt>
                <c:pt idx="26">
                  <c:v>-3.6511173532681642</c:v>
                </c:pt>
                <c:pt idx="29">
                  <c:v>-3.2165109813132462</c:v>
                </c:pt>
                <c:pt idx="32">
                  <c:v>-2.6283966420184495</c:v>
                </c:pt>
                <c:pt idx="35">
                  <c:v>-3.1572326947988958</c:v>
                </c:pt>
                <c:pt idx="38">
                  <c:v>-3.7933468460193165</c:v>
                </c:pt>
                <c:pt idx="41">
                  <c:v>-4.3995295603486921</c:v>
                </c:pt>
                <c:pt idx="44">
                  <c:v>-5.0031244604832494</c:v>
                </c:pt>
                <c:pt idx="47">
                  <c:v>-5.7789242211263296</c:v>
                </c:pt>
                <c:pt idx="50">
                  <c:v>-6.3229676455648018</c:v>
                </c:pt>
                <c:pt idx="53">
                  <c:v>-7.098767406207882</c:v>
                </c:pt>
                <c:pt idx="56">
                  <c:v>-7.4970374692359609</c:v>
                </c:pt>
                <c:pt idx="59">
                  <c:v>-8.0437959463233231</c:v>
                </c:pt>
                <c:pt idx="62">
                  <c:v>-7.8592115248287051</c:v>
                </c:pt>
                <c:pt idx="65">
                  <c:v>-6.7017681580917623</c:v>
                </c:pt>
                <c:pt idx="68">
                  <c:v>-6.8145196076919587</c:v>
                </c:pt>
                <c:pt idx="71">
                  <c:v>-7.2536254551491455</c:v>
                </c:pt>
                <c:pt idx="74">
                  <c:v>-7.4750975056645652</c:v>
                </c:pt>
                <c:pt idx="77">
                  <c:v>-8.0151213401393289</c:v>
                </c:pt>
                <c:pt idx="80">
                  <c:v>-8.5658423874682974</c:v>
                </c:pt>
                <c:pt idx="83">
                  <c:v>-9.050162357239282</c:v>
                </c:pt>
                <c:pt idx="86">
                  <c:v>-9.6119204704071688</c:v>
                </c:pt>
                <c:pt idx="89">
                  <c:v>-10.109252391604807</c:v>
                </c:pt>
                <c:pt idx="92">
                  <c:v>-10.467826485646793</c:v>
                </c:pt>
                <c:pt idx="110">
                  <c:v>-10.793217867722626</c:v>
                </c:pt>
                <c:pt idx="113">
                  <c:v>-11.10609812537052</c:v>
                </c:pt>
                <c:pt idx="116">
                  <c:v>-11.74117506746161</c:v>
                </c:pt>
                <c:pt idx="119">
                  <c:v>-12.400293909480025</c:v>
                </c:pt>
                <c:pt idx="122">
                  <c:v>-12.687187041127315</c:v>
                </c:pt>
                <c:pt idx="125">
                  <c:v>-13.316541541191192</c:v>
                </c:pt>
                <c:pt idx="128">
                  <c:v>-13.884634987039881</c:v>
                </c:pt>
                <c:pt idx="131">
                  <c:v>-14.369128449252461</c:v>
                </c:pt>
                <c:pt idx="134">
                  <c:v>-14.653660880014616</c:v>
                </c:pt>
                <c:pt idx="137">
                  <c:v>-12.719492059892525</c:v>
                </c:pt>
                <c:pt idx="140">
                  <c:v>-10.960440435880916</c:v>
                </c:pt>
                <c:pt idx="143">
                  <c:v>-9.3359377897366098</c:v>
                </c:pt>
                <c:pt idx="146">
                  <c:v>-9.5295314937140816</c:v>
                </c:pt>
                <c:pt idx="149">
                  <c:v>-9.9214017770878247</c:v>
                </c:pt>
                <c:pt idx="152">
                  <c:v>-10.344441695325138</c:v>
                </c:pt>
                <c:pt idx="155">
                  <c:v>-11.00272835380207</c:v>
                </c:pt>
                <c:pt idx="158">
                  <c:v>-11.63934870853768</c:v>
                </c:pt>
                <c:pt idx="161">
                  <c:v>-12.245089178391158</c:v>
                </c:pt>
                <c:pt idx="164">
                  <c:v>-12.671131578050758</c:v>
                </c:pt>
                <c:pt idx="167">
                  <c:v>-12.890037739939133</c:v>
                </c:pt>
                <c:pt idx="170">
                  <c:v>-9.1996036287022172</c:v>
                </c:pt>
                <c:pt idx="173">
                  <c:v>-6.425830327191866</c:v>
                </c:pt>
                <c:pt idx="179">
                  <c:v>-5.9636939925362169</c:v>
                </c:pt>
                <c:pt idx="182">
                  <c:v>-6.2243305054718148</c:v>
                </c:pt>
                <c:pt idx="185">
                  <c:v>-6.8422959467567352</c:v>
                </c:pt>
                <c:pt idx="188">
                  <c:v>-7.5077339529420346</c:v>
                </c:pt>
                <c:pt idx="191">
                  <c:v>-8.2259716433432342</c:v>
                </c:pt>
                <c:pt idx="194">
                  <c:v>-8.7214768057689653</c:v>
                </c:pt>
                <c:pt idx="197">
                  <c:v>-9.4121490195610793</c:v>
                </c:pt>
                <c:pt idx="200">
                  <c:v>-9.6310377704722718</c:v>
                </c:pt>
                <c:pt idx="203">
                  <c:v>-9.7010145893948554</c:v>
                </c:pt>
                <c:pt idx="206">
                  <c:v>-9.4716235530521757</c:v>
                </c:pt>
                <c:pt idx="209">
                  <c:v>-7.5983365396815801</c:v>
                </c:pt>
                <c:pt idx="212">
                  <c:v>-6.4670811260452954</c:v>
                </c:pt>
                <c:pt idx="215">
                  <c:v>-5.8618302540360672</c:v>
                </c:pt>
                <c:pt idx="218">
                  <c:v>-5.1151050346805604</c:v>
                </c:pt>
                <c:pt idx="221">
                  <c:v>-5.6383194872088715</c:v>
                </c:pt>
                <c:pt idx="224">
                  <c:v>-6.3567803707930013</c:v>
                </c:pt>
                <c:pt idx="227">
                  <c:v>-7.0853924651820828</c:v>
                </c:pt>
                <c:pt idx="230">
                  <c:v>-7.7180335189685456</c:v>
                </c:pt>
                <c:pt idx="233">
                  <c:v>-8.2844842920730901</c:v>
                </c:pt>
                <c:pt idx="236">
                  <c:v>-8.7300991027737922</c:v>
                </c:pt>
                <c:pt idx="239">
                  <c:v>-9.2453134893461382</c:v>
                </c:pt>
                <c:pt idx="242">
                  <c:v>-9.1029630492330504</c:v>
                </c:pt>
                <c:pt idx="245">
                  <c:v>-8.1735357762204988</c:v>
                </c:pt>
                <c:pt idx="248">
                  <c:v>-6.4859485384681346</c:v>
                </c:pt>
                <c:pt idx="251">
                  <c:v>-6.7439170510457132</c:v>
                </c:pt>
                <c:pt idx="254">
                  <c:v>-6.7413971908280983</c:v>
                </c:pt>
                <c:pt idx="257">
                  <c:v>-7.1780640661200339</c:v>
                </c:pt>
                <c:pt idx="260">
                  <c:v>-7.7249559443774567</c:v>
                </c:pt>
                <c:pt idx="263">
                  <c:v>-7.964332488158111</c:v>
                </c:pt>
                <c:pt idx="266">
                  <c:v>-8.6040517205213387</c:v>
                </c:pt>
                <c:pt idx="269">
                  <c:v>-9.0982591762135208</c:v>
                </c:pt>
                <c:pt idx="272">
                  <c:v>-9.7408885489751604</c:v>
                </c:pt>
                <c:pt idx="275">
                  <c:v>-10.061211695630128</c:v>
                </c:pt>
                <c:pt idx="278">
                  <c:v>-9.7323738406773472</c:v>
                </c:pt>
                <c:pt idx="281">
                  <c:v>-6.7681869398160481</c:v>
                </c:pt>
                <c:pt idx="284">
                  <c:v>-6.1961201345568169</c:v>
                </c:pt>
                <c:pt idx="287">
                  <c:v>-4.8897358313943444</c:v>
                </c:pt>
                <c:pt idx="290">
                  <c:v>-5.0107349411769393</c:v>
                </c:pt>
                <c:pt idx="293">
                  <c:v>-5.5278824640475754</c:v>
                </c:pt>
                <c:pt idx="296">
                  <c:v>-6.2569536647362565</c:v>
                </c:pt>
                <c:pt idx="299">
                  <c:v>-6.9781898225756196</c:v>
                </c:pt>
                <c:pt idx="302">
                  <c:v>-7.4371556565083816</c:v>
                </c:pt>
                <c:pt idx="305">
                  <c:v>-7.7893809819759205</c:v>
                </c:pt>
                <c:pt idx="308">
                  <c:v>-8.3868546570787359</c:v>
                </c:pt>
                <c:pt idx="311">
                  <c:v>-8.5532469858157771</c:v>
                </c:pt>
                <c:pt idx="314">
                  <c:v>-6.588067160787209</c:v>
                </c:pt>
                <c:pt idx="317">
                  <c:v>-5.3032099329650091</c:v>
                </c:pt>
                <c:pt idx="320">
                  <c:v>-5.0504398678610931</c:v>
                </c:pt>
                <c:pt idx="323">
                  <c:v>-4.733421832269201</c:v>
                </c:pt>
                <c:pt idx="326">
                  <c:v>-5.2752010513244301</c:v>
                </c:pt>
                <c:pt idx="329">
                  <c:v>-5.7337518656227822</c:v>
                </c:pt>
                <c:pt idx="332">
                  <c:v>-6.4130940816219271</c:v>
                </c:pt>
                <c:pt idx="335">
                  <c:v>-7.1176950980339093</c:v>
                </c:pt>
                <c:pt idx="338">
                  <c:v>-7.7301267963135416</c:v>
                </c:pt>
                <c:pt idx="341">
                  <c:v>-8.3481556127605128</c:v>
                </c:pt>
                <c:pt idx="344">
                  <c:v>-8.9097800470115143</c:v>
                </c:pt>
                <c:pt idx="347">
                  <c:v>-9.4408853820729934</c:v>
                </c:pt>
                <c:pt idx="350">
                  <c:v>-9.6138433365639315</c:v>
                </c:pt>
                <c:pt idx="353">
                  <c:v>-7.3204524881444648</c:v>
                </c:pt>
                <c:pt idx="356">
                  <c:v>-5.0294070344281732</c:v>
                </c:pt>
                <c:pt idx="359">
                  <c:v>-5.1875459719735826</c:v>
                </c:pt>
                <c:pt idx="362">
                  <c:v>-4.4344731932933641</c:v>
                </c:pt>
                <c:pt idx="365">
                  <c:v>-4.9212332322757657</c:v>
                </c:pt>
                <c:pt idx="368">
                  <c:v>-5.5539344322598998</c:v>
                </c:pt>
                <c:pt idx="371">
                  <c:v>-6.2509796287437442</c:v>
                </c:pt>
                <c:pt idx="374">
                  <c:v>-6.9729862464806383</c:v>
                </c:pt>
                <c:pt idx="377">
                  <c:v>-7.0992249192832126</c:v>
                </c:pt>
                <c:pt idx="380">
                  <c:v>-7.5568700721386417</c:v>
                </c:pt>
                <c:pt idx="383">
                  <c:v>-7.1338673909034744</c:v>
                </c:pt>
                <c:pt idx="386">
                  <c:v>-4.055379985389397</c:v>
                </c:pt>
                <c:pt idx="389">
                  <c:v>-3.9852284165912759</c:v>
                </c:pt>
                <c:pt idx="392">
                  <c:v>-2.9897485032604383</c:v>
                </c:pt>
                <c:pt idx="395">
                  <c:v>-2.4883693954314481</c:v>
                </c:pt>
                <c:pt idx="398">
                  <c:v>-2.0535809024238878</c:v>
                </c:pt>
                <c:pt idx="401">
                  <c:v>-2.1742368690083982</c:v>
                </c:pt>
                <c:pt idx="404">
                  <c:v>-2.4208317176452621</c:v>
                </c:pt>
                <c:pt idx="407">
                  <c:v>-3.0518820196528464</c:v>
                </c:pt>
                <c:pt idx="410">
                  <c:v>-3.5924079985070887</c:v>
                </c:pt>
                <c:pt idx="413">
                  <c:v>-4.2140850986677805</c:v>
                </c:pt>
                <c:pt idx="416">
                  <c:v>-4.877189826086374</c:v>
                </c:pt>
                <c:pt idx="419">
                  <c:v>-5.0120887116534458</c:v>
                </c:pt>
                <c:pt idx="422">
                  <c:v>-3.6143956385236873</c:v>
                </c:pt>
                <c:pt idx="425">
                  <c:v>-0.9992228905840892</c:v>
                </c:pt>
                <c:pt idx="428">
                  <c:v>0.29227923206196049</c:v>
                </c:pt>
                <c:pt idx="431">
                  <c:v>1.2113653507408766</c:v>
                </c:pt>
                <c:pt idx="434">
                  <c:v>0.70197394726376217</c:v>
                </c:pt>
                <c:pt idx="437">
                  <c:v>0.24740363424165157</c:v>
                </c:pt>
                <c:pt idx="440">
                  <c:v>-0.20423697479364539</c:v>
                </c:pt>
                <c:pt idx="443">
                  <c:v>-0.79349362757927144</c:v>
                </c:pt>
                <c:pt idx="446">
                  <c:v>-1.407575102561935</c:v>
                </c:pt>
                <c:pt idx="449">
                  <c:v>-1.8277724042407804</c:v>
                </c:pt>
                <c:pt idx="452">
                  <c:v>-1.9854102177954105</c:v>
                </c:pt>
                <c:pt idx="455">
                  <c:v>-2.2725986547833985</c:v>
                </c:pt>
                <c:pt idx="458">
                  <c:v>-1.5207198293347739</c:v>
                </c:pt>
                <c:pt idx="461">
                  <c:v>-1.3325778923667995</c:v>
                </c:pt>
                <c:pt idx="464">
                  <c:v>1.0752864333655803</c:v>
                </c:pt>
                <c:pt idx="467">
                  <c:v>1.5262990122595266</c:v>
                </c:pt>
                <c:pt idx="470">
                  <c:v>1.365877295262786</c:v>
                </c:pt>
                <c:pt idx="473">
                  <c:v>0.92595801637392783</c:v>
                </c:pt>
                <c:pt idx="476">
                  <c:v>0.2037880608195638</c:v>
                </c:pt>
                <c:pt idx="479">
                  <c:v>-0.53920755368545237</c:v>
                </c:pt>
                <c:pt idx="482">
                  <c:v>-1.2226231092568027</c:v>
                </c:pt>
                <c:pt idx="485">
                  <c:v>-1.8446740635101304</c:v>
                </c:pt>
                <c:pt idx="488">
                  <c:v>-1.7643689793984718</c:v>
                </c:pt>
                <c:pt idx="491">
                  <c:v>-1.9293128861551376</c:v>
                </c:pt>
                <c:pt idx="494">
                  <c:v>-1.964741888084816</c:v>
                </c:pt>
                <c:pt idx="497">
                  <c:v>-1.7256196357001876</c:v>
                </c:pt>
                <c:pt idx="500">
                  <c:v>-1.3290273274093676</c:v>
                </c:pt>
                <c:pt idx="503">
                  <c:v>-1.4668464325423181</c:v>
                </c:pt>
                <c:pt idx="506">
                  <c:v>-1.8459931228240012</c:v>
                </c:pt>
                <c:pt idx="509">
                  <c:v>-2.3935862930862442</c:v>
                </c:pt>
                <c:pt idx="512">
                  <c:v>-3.0292358431783217</c:v>
                </c:pt>
                <c:pt idx="515">
                  <c:v>-3.5883392788331863</c:v>
                </c:pt>
                <c:pt idx="518">
                  <c:v>-4.3305260704048436</c:v>
                </c:pt>
                <c:pt idx="521">
                  <c:v>-4.1955076579708894</c:v>
                </c:pt>
                <c:pt idx="524">
                  <c:v>-4.8466853693095668</c:v>
                </c:pt>
                <c:pt idx="527">
                  <c:v>-5.0476864803101504</c:v>
                </c:pt>
                <c:pt idx="530">
                  <c:v>-3.9556745109816909</c:v>
                </c:pt>
                <c:pt idx="533">
                  <c:v>-2.778114022009615</c:v>
                </c:pt>
                <c:pt idx="536">
                  <c:v>-2.6344241926884342</c:v>
                </c:pt>
                <c:pt idx="539">
                  <c:v>-2.767548665200227</c:v>
                </c:pt>
                <c:pt idx="542">
                  <c:v>-2.9155279685924396</c:v>
                </c:pt>
                <c:pt idx="545">
                  <c:v>-3.2940003942613494</c:v>
                </c:pt>
                <c:pt idx="548">
                  <c:v>-3.9120812126374727</c:v>
                </c:pt>
                <c:pt idx="551">
                  <c:v>-4.6063944286009768</c:v>
                </c:pt>
                <c:pt idx="557">
                  <c:v>-5.1910119613806671</c:v>
                </c:pt>
                <c:pt idx="560">
                  <c:v>-5.8057598971229734</c:v>
                </c:pt>
                <c:pt idx="563">
                  <c:v>-6.3035344101449766</c:v>
                </c:pt>
                <c:pt idx="566">
                  <c:v>-6.6140903483696292</c:v>
                </c:pt>
                <c:pt idx="569">
                  <c:v>-7.0284442844401562</c:v>
                </c:pt>
                <c:pt idx="572">
                  <c:v>-7.4912859634000482</c:v>
                </c:pt>
                <c:pt idx="575">
                  <c:v>-7.2384667354604701</c:v>
                </c:pt>
                <c:pt idx="578">
                  <c:v>-7.8244336911626711</c:v>
                </c:pt>
                <c:pt idx="581">
                  <c:v>-8.4750467815167347</c:v>
                </c:pt>
                <c:pt idx="584">
                  <c:v>-8.9503443815409849</c:v>
                </c:pt>
                <c:pt idx="587">
                  <c:v>-9.652021022413118</c:v>
                </c:pt>
                <c:pt idx="590">
                  <c:v>-10.2081985222089</c:v>
                </c:pt>
                <c:pt idx="593">
                  <c:v>-10.864984816474237</c:v>
                </c:pt>
                <c:pt idx="596">
                  <c:v>-11.452283729939621</c:v>
                </c:pt>
                <c:pt idx="599">
                  <c:v>-11.767522929345652</c:v>
                </c:pt>
                <c:pt idx="602">
                  <c:v>-11.560834632682637</c:v>
                </c:pt>
                <c:pt idx="605">
                  <c:v>-9.0927330885373294</c:v>
                </c:pt>
                <c:pt idx="608">
                  <c:v>-7.2171630934168682</c:v>
                </c:pt>
                <c:pt idx="611">
                  <c:v>-7.5328757599408203</c:v>
                </c:pt>
                <c:pt idx="614">
                  <c:v>-7.8902902642428474</c:v>
                </c:pt>
                <c:pt idx="617">
                  <c:v>-8.5356730474673004</c:v>
                </c:pt>
                <c:pt idx="620">
                  <c:v>-9.1651720327469768</c:v>
                </c:pt>
                <c:pt idx="629">
                  <c:v>-9.8169586759132645</c:v>
                </c:pt>
                <c:pt idx="635">
                  <c:v>-9.8515649210933063</c:v>
                </c:pt>
                <c:pt idx="638">
                  <c:v>-3.4061506801951422</c:v>
                </c:pt>
                <c:pt idx="641">
                  <c:v>-1.0271002513008711</c:v>
                </c:pt>
                <c:pt idx="647">
                  <c:v>-1.1780007269545316</c:v>
                </c:pt>
                <c:pt idx="653">
                  <c:v>-1.5817806772943779</c:v>
                </c:pt>
                <c:pt idx="656">
                  <c:v>-2.2312198711623887</c:v>
                </c:pt>
                <c:pt idx="659">
                  <c:v>-2.8828696631884076</c:v>
                </c:pt>
                <c:pt idx="662">
                  <c:v>-3.5680517009282866</c:v>
                </c:pt>
                <c:pt idx="665">
                  <c:v>-4.3037871019615039</c:v>
                </c:pt>
                <c:pt idx="668">
                  <c:v>-4.7660852011115757</c:v>
                </c:pt>
                <c:pt idx="671">
                  <c:v>-5.0433209634208342</c:v>
                </c:pt>
                <c:pt idx="674">
                  <c:v>-0.40500376279495676</c:v>
                </c:pt>
                <c:pt idx="677">
                  <c:v>1.0868042175039669</c:v>
                </c:pt>
                <c:pt idx="680">
                  <c:v>3.0457908213359959</c:v>
                </c:pt>
                <c:pt idx="683">
                  <c:v>3.3655139019206102</c:v>
                </c:pt>
                <c:pt idx="686">
                  <c:v>3.7375284436305125</c:v>
                </c:pt>
                <c:pt idx="689">
                  <c:v>3.0923156208430616</c:v>
                </c:pt>
                <c:pt idx="701">
                  <c:v>2.452793499327552</c:v>
                </c:pt>
                <c:pt idx="704">
                  <c:v>1.8159520267289806</c:v>
                </c:pt>
                <c:pt idx="707">
                  <c:v>1.2568389041796404</c:v>
                </c:pt>
                <c:pt idx="710">
                  <c:v>4.75494393852623</c:v>
                </c:pt>
                <c:pt idx="713">
                  <c:v>4.838153414292564</c:v>
                </c:pt>
                <c:pt idx="719">
                  <c:v>4.6106621675009194</c:v>
                </c:pt>
                <c:pt idx="722">
                  <c:v>4.5837004987653094</c:v>
                </c:pt>
                <c:pt idx="728">
                  <c:v>4.3425035714050431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0-DA4E-820F-69E86CD6C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'zea update'!$L$3:$L$731</c:f>
              <c:numCache>
                <c:formatCode>General</c:formatCode>
                <c:ptCount val="729"/>
                <c:pt idx="2">
                  <c:v>1.8060980828718078E-2</c:v>
                </c:pt>
                <c:pt idx="5">
                  <c:v>1.9316068133278523E-3</c:v>
                </c:pt>
                <c:pt idx="8">
                  <c:v>3.8633935383521867E-3</c:v>
                </c:pt>
                <c:pt idx="11">
                  <c:v>3.2791773612297808E-3</c:v>
                </c:pt>
                <c:pt idx="14">
                  <c:v>6.384442675261514E-3</c:v>
                </c:pt>
                <c:pt idx="17">
                  <c:v>2.6085964945095467E-2</c:v>
                </c:pt>
                <c:pt idx="20">
                  <c:v>0</c:v>
                </c:pt>
                <c:pt idx="23">
                  <c:v>1.2548565242590027E-2</c:v>
                </c:pt>
                <c:pt idx="26">
                  <c:v>6.5525338087766482E-3</c:v>
                </c:pt>
                <c:pt idx="29">
                  <c:v>2.859943806957373E-2</c:v>
                </c:pt>
                <c:pt idx="32">
                  <c:v>3.2226519498597776E-2</c:v>
                </c:pt>
                <c:pt idx="35">
                  <c:v>5.8352507296784203E-3</c:v>
                </c:pt>
                <c:pt idx="38">
                  <c:v>3.3004871904600773E-3</c:v>
                </c:pt>
                <c:pt idx="41">
                  <c:v>4.0077062408638E-3</c:v>
                </c:pt>
                <c:pt idx="44">
                  <c:v>4.0688510333487865E-3</c:v>
                </c:pt>
                <c:pt idx="47">
                  <c:v>0</c:v>
                </c:pt>
                <c:pt idx="50">
                  <c:v>5.4759314299643574E-3</c:v>
                </c:pt>
                <c:pt idx="53">
                  <c:v>0</c:v>
                </c:pt>
                <c:pt idx="56">
                  <c:v>8.9202598331109759E-3</c:v>
                </c:pt>
                <c:pt idx="59">
                  <c:v>5.4117802512844565E-3</c:v>
                </c:pt>
                <c:pt idx="62">
                  <c:v>2.269192727988889E-2</c:v>
                </c:pt>
                <c:pt idx="65">
                  <c:v>4.5678607870451776E-2</c:v>
                </c:pt>
                <c:pt idx="68">
                  <c:v>1.5666484660074309E-2</c:v>
                </c:pt>
                <c:pt idx="71">
                  <c:v>7.9553932016969385E-3</c:v>
                </c:pt>
                <c:pt idx="74">
                  <c:v>1.3097637717694803E-2</c:v>
                </c:pt>
                <c:pt idx="77">
                  <c:v>5.5709061753297364E-3</c:v>
                </c:pt>
                <c:pt idx="80">
                  <c:v>5.3181527661213526E-3</c:v>
                </c:pt>
                <c:pt idx="83">
                  <c:v>6.8870753403125996E-3</c:v>
                </c:pt>
                <c:pt idx="86">
                  <c:v>5.0573693212684605E-3</c:v>
                </c:pt>
                <c:pt idx="89">
                  <c:v>6.5796293608444125E-3</c:v>
                </c:pt>
                <c:pt idx="92">
                  <c:v>9.8581949410509583E-3</c:v>
                </c:pt>
                <c:pt idx="110">
                  <c:v>1.0642235016772901E-2</c:v>
                </c:pt>
                <c:pt idx="113">
                  <c:v>1.093784747165168E-2</c:v>
                </c:pt>
                <c:pt idx="116">
                  <c:v>3.3249943351783763E-3</c:v>
                </c:pt>
                <c:pt idx="119">
                  <c:v>2.7569330791017833E-3</c:v>
                </c:pt>
                <c:pt idx="122">
                  <c:v>1.1551870468267897E-2</c:v>
                </c:pt>
                <c:pt idx="125">
                  <c:v>3.4602040155958884E-3</c:v>
                </c:pt>
                <c:pt idx="128">
                  <c:v>4.9076782797451805E-3</c:v>
                </c:pt>
                <c:pt idx="131">
                  <c:v>6.88297606635378E-3</c:v>
                </c:pt>
                <c:pt idx="134">
                  <c:v>1.1607649034607675E-2</c:v>
                </c:pt>
                <c:pt idx="137">
                  <c:v>6.403105247800718E-2</c:v>
                </c:pt>
                <c:pt idx="140">
                  <c:v>5.989338887056208E-2</c:v>
                </c:pt>
                <c:pt idx="143">
                  <c:v>5.6714269849096881E-2</c:v>
                </c:pt>
                <c:pt idx="146">
                  <c:v>1.3756346413744467E-2</c:v>
                </c:pt>
                <c:pt idx="149">
                  <c:v>9.0714736256999606E-3</c:v>
                </c:pt>
                <c:pt idx="152">
                  <c:v>8.3349984725061207E-3</c:v>
                </c:pt>
                <c:pt idx="155">
                  <c:v>2.7765958856724028E-3</c:v>
                </c:pt>
                <c:pt idx="158">
                  <c:v>3.2885266297082967E-3</c:v>
                </c:pt>
                <c:pt idx="161">
                  <c:v>4.0181555794448296E-3</c:v>
                </c:pt>
                <c:pt idx="164">
                  <c:v>8.2640559357994667E-3</c:v>
                </c:pt>
                <c:pt idx="167">
                  <c:v>1.3158264453553356E-2</c:v>
                </c:pt>
                <c:pt idx="170">
                  <c:v>0.10552803359390026</c:v>
                </c:pt>
                <c:pt idx="173">
                  <c:v>8.3869200783535547E-2</c:v>
                </c:pt>
                <c:pt idx="179">
                  <c:v>2.9249915163264001E-2</c:v>
                </c:pt>
                <c:pt idx="182">
                  <c:v>1.2172261030194143E-2</c:v>
                </c:pt>
                <c:pt idx="185">
                  <c:v>3.7293043385762384E-3</c:v>
                </c:pt>
                <c:pt idx="188">
                  <c:v>2.607624066717345E-3</c:v>
                </c:pt>
                <c:pt idx="191">
                  <c:v>1.3600747870515539E-3</c:v>
                </c:pt>
                <c:pt idx="194">
                  <c:v>6.6227919597095126E-3</c:v>
                </c:pt>
                <c:pt idx="197">
                  <c:v>2.0113910022525618E-3</c:v>
                </c:pt>
                <c:pt idx="200">
                  <c:v>1.3158675839575152E-2</c:v>
                </c:pt>
                <c:pt idx="203">
                  <c:v>1.6677162289728722E-2</c:v>
                </c:pt>
                <c:pt idx="206">
                  <c:v>2.3750616567676883E-2</c:v>
                </c:pt>
                <c:pt idx="209">
                  <c:v>6.2592539061013919E-2</c:v>
                </c:pt>
                <c:pt idx="212">
                  <c:v>4.5059839737425528E-2</c:v>
                </c:pt>
                <c:pt idx="215">
                  <c:v>3.2631420955137547E-2</c:v>
                </c:pt>
                <c:pt idx="218">
                  <c:v>3.5974172389054017E-2</c:v>
                </c:pt>
                <c:pt idx="221">
                  <c:v>5.9680777238029139E-3</c:v>
                </c:pt>
                <c:pt idx="224">
                  <c:v>1.3548011855381069E-3</c:v>
                </c:pt>
                <c:pt idx="227">
                  <c:v>1.114948695593857E-3</c:v>
                </c:pt>
                <c:pt idx="230">
                  <c:v>3.3825494275035095E-3</c:v>
                </c:pt>
                <c:pt idx="233">
                  <c:v>4.9464912997304149E-3</c:v>
                </c:pt>
                <c:pt idx="236">
                  <c:v>7.8015996226934179E-3</c:v>
                </c:pt>
                <c:pt idx="239">
                  <c:v>6.1571030308451473E-3</c:v>
                </c:pt>
                <c:pt idx="242">
                  <c:v>2.169402409481494E-2</c:v>
                </c:pt>
                <c:pt idx="245">
                  <c:v>4.0291050772290025E-2</c:v>
                </c:pt>
                <c:pt idx="248">
                  <c:v>5.8204830597468636E-2</c:v>
                </c:pt>
                <c:pt idx="251">
                  <c:v>1.2235300458823765E-2</c:v>
                </c:pt>
                <c:pt idx="254">
                  <c:v>1.8390111546578235E-2</c:v>
                </c:pt>
                <c:pt idx="257">
                  <c:v>8.0130211593839994E-3</c:v>
                </c:pt>
                <c:pt idx="260">
                  <c:v>5.4086282526297855E-3</c:v>
                </c:pt>
                <c:pt idx="263">
                  <c:v>1.2674590913390297E-2</c:v>
                </c:pt>
                <c:pt idx="266">
                  <c:v>3.2153064464909491E-3</c:v>
                </c:pt>
                <c:pt idx="269">
                  <c:v>6.6534541336353351E-3</c:v>
                </c:pt>
                <c:pt idx="272">
                  <c:v>3.1465457405950676E-3</c:v>
                </c:pt>
                <c:pt idx="275">
                  <c:v>1.0761987124051121E-2</c:v>
                </c:pt>
                <c:pt idx="278">
                  <c:v>2.610034287313694E-2</c:v>
                </c:pt>
                <c:pt idx="281">
                  <c:v>8.8368287326127198E-2</c:v>
                </c:pt>
                <c:pt idx="284">
                  <c:v>3.1847348868625468E-2</c:v>
                </c:pt>
                <c:pt idx="287">
                  <c:v>4.9197779636529541E-2</c:v>
                </c:pt>
                <c:pt idx="290">
                  <c:v>1.5471609204429434E-2</c:v>
                </c:pt>
                <c:pt idx="293">
                  <c:v>6.1114269471290502E-3</c:v>
                </c:pt>
                <c:pt idx="296">
                  <c:v>1.1041009463722397E-3</c:v>
                </c:pt>
                <c:pt idx="299">
                  <c:v>1.2892270926356832E-3</c:v>
                </c:pt>
                <c:pt idx="302">
                  <c:v>7.4861420652608717E-3</c:v>
                </c:pt>
                <c:pt idx="305">
                  <c:v>1.0008203445447087E-2</c:v>
                </c:pt>
                <c:pt idx="308">
                  <c:v>4.2134831460674165E-3</c:v>
                </c:pt>
                <c:pt idx="311">
                  <c:v>1.4399059653247136E-2</c:v>
                </c:pt>
                <c:pt idx="314">
                  <c:v>6.4763779527559059E-2</c:v>
                </c:pt>
                <c:pt idx="317">
                  <c:v>4.868913857677902E-2</c:v>
                </c:pt>
                <c:pt idx="320">
                  <c:v>2.4303015524668785E-2</c:v>
                </c:pt>
                <c:pt idx="323">
                  <c:v>2.5821064552661387E-2</c:v>
                </c:pt>
                <c:pt idx="326">
                  <c:v>5.5294300036173843E-3</c:v>
                </c:pt>
                <c:pt idx="329">
                  <c:v>7.4959481361426255E-3</c:v>
                </c:pt>
                <c:pt idx="332">
                  <c:v>2.2790958341117129E-3</c:v>
                </c:pt>
                <c:pt idx="335">
                  <c:v>1.6822816915989438E-3</c:v>
                </c:pt>
                <c:pt idx="338">
                  <c:v>3.8600554444327469E-3</c:v>
                </c:pt>
                <c:pt idx="341">
                  <c:v>3.7278069122385804E-3</c:v>
                </c:pt>
                <c:pt idx="344">
                  <c:v>5.0605278825163729E-3</c:v>
                </c:pt>
                <c:pt idx="347">
                  <c:v>5.7816321992439409E-3</c:v>
                </c:pt>
                <c:pt idx="350">
                  <c:v>1.4243927254228668E-2</c:v>
                </c:pt>
                <c:pt idx="353">
                  <c:v>7.2518739275715699E-2</c:v>
                </c:pt>
                <c:pt idx="356">
                  <c:v>7.2463322363362337E-2</c:v>
                </c:pt>
                <c:pt idx="359">
                  <c:v>1.459407052099811E-2</c:v>
                </c:pt>
                <c:pt idx="362">
                  <c:v>3.612415232133543E-2</c:v>
                </c:pt>
                <c:pt idx="365">
                  <c:v>6.8294214616531918E-3</c:v>
                </c:pt>
                <c:pt idx="368">
                  <c:v>3.3811282950347507E-3</c:v>
                </c:pt>
                <c:pt idx="371">
                  <c:v>1.8608103674540681E-3</c:v>
                </c:pt>
                <c:pt idx="374">
                  <c:v>1.2710226903849898E-3</c:v>
                </c:pt>
                <c:pt idx="377">
                  <c:v>1.5347808974022565E-2</c:v>
                </c:pt>
                <c:pt idx="380">
                  <c:v>7.5173470762597673E-3</c:v>
                </c:pt>
                <c:pt idx="383">
                  <c:v>2.8325266429840141E-2</c:v>
                </c:pt>
                <c:pt idx="386">
                  <c:v>9.1068976058694823E-2</c:v>
                </c:pt>
                <c:pt idx="389">
                  <c:v>1.9988111431902718E-2</c:v>
                </c:pt>
                <c:pt idx="392">
                  <c:v>4.1851740482329737E-2</c:v>
                </c:pt>
                <c:pt idx="395">
                  <c:v>3.0177142174779854E-2</c:v>
                </c:pt>
                <c:pt idx="398">
                  <c:v>2.8603741220083245E-2</c:v>
                </c:pt>
                <c:pt idx="401">
                  <c:v>1.5479716981132081E-2</c:v>
                </c:pt>
                <c:pt idx="404">
                  <c:v>1.2504037033049843E-2</c:v>
                </c:pt>
                <c:pt idx="407">
                  <c:v>3.4201356605527851E-3</c:v>
                </c:pt>
                <c:pt idx="410">
                  <c:v>5.5590415237089822E-3</c:v>
                </c:pt>
                <c:pt idx="413">
                  <c:v>3.6416053792813615E-3</c:v>
                </c:pt>
                <c:pt idx="416">
                  <c:v>2.6627547041045132E-3</c:v>
                </c:pt>
                <c:pt idx="419">
                  <c:v>1.5143185738930417E-2</c:v>
                </c:pt>
                <c:pt idx="422">
                  <c:v>5.1355220384357969E-2</c:v>
                </c:pt>
                <c:pt idx="425">
                  <c:v>8.0121791887059521E-2</c:v>
                </c:pt>
                <c:pt idx="428">
                  <c:v>4.8846143942891648E-2</c:v>
                </c:pt>
                <c:pt idx="431">
                  <c:v>4.0046710302618159E-2</c:v>
                </c:pt>
                <c:pt idx="434">
                  <c:v>6.2946882924587713E-3</c:v>
                </c:pt>
                <c:pt idx="437">
                  <c:v>7.5899992952286983E-3</c:v>
                </c:pt>
                <c:pt idx="440">
                  <c:v>7.6592222489766434E-3</c:v>
                </c:pt>
                <c:pt idx="443">
                  <c:v>4.4076346911957939E-3</c:v>
                </c:pt>
                <c:pt idx="446">
                  <c:v>3.8210745723301774E-3</c:v>
                </c:pt>
                <c:pt idx="449">
                  <c:v>8.4021637272334079E-3</c:v>
                </c:pt>
                <c:pt idx="452">
                  <c:v>1.4605911062906726E-2</c:v>
                </c:pt>
                <c:pt idx="455">
                  <c:v>1.1544893002956495E-2</c:v>
                </c:pt>
                <c:pt idx="458">
                  <c:v>3.6095941631893821E-2</c:v>
                </c:pt>
                <c:pt idx="461">
                  <c:v>2.2775984143714775E-2</c:v>
                </c:pt>
                <c:pt idx="464">
                  <c:v>7.5223515000862107E-2</c:v>
                </c:pt>
                <c:pt idx="467">
                  <c:v>2.8987083411639417E-2</c:v>
                </c:pt>
                <c:pt idx="470">
                  <c:v>1.4540133079847911E-2</c:v>
                </c:pt>
                <c:pt idx="473">
                  <c:v>7.9361734693877521E-3</c:v>
                </c:pt>
                <c:pt idx="476">
                  <c:v>1.2671633495659536E-3</c:v>
                </c:pt>
                <c:pt idx="479">
                  <c:v>7.7509533423059671E-4</c:v>
                </c:pt>
                <c:pt idx="482">
                  <c:v>2.1828510946856282E-3</c:v>
                </c:pt>
                <c:pt idx="485">
                  <c:v>3.6327719665271972E-3</c:v>
                </c:pt>
                <c:pt idx="488">
                  <c:v>2.0228018372703414E-2</c:v>
                </c:pt>
                <c:pt idx="491">
                  <c:v>1.4433282922289436E-2</c:v>
                </c:pt>
                <c:pt idx="494">
                  <c:v>1.7493457024130639E-2</c:v>
                </c:pt>
                <c:pt idx="497">
                  <c:v>2.3980545434557278E-2</c:v>
                </c:pt>
                <c:pt idx="500">
                  <c:v>2.7701242967735729E-2</c:v>
                </c:pt>
                <c:pt idx="503">
                  <c:v>1.5074186882782311E-2</c:v>
                </c:pt>
                <c:pt idx="506">
                  <c:v>9.3721062834986896E-3</c:v>
                </c:pt>
                <c:pt idx="509">
                  <c:v>5.3920581471747706E-3</c:v>
                </c:pt>
                <c:pt idx="512">
                  <c:v>3.31146477132262E-3</c:v>
                </c:pt>
                <c:pt idx="515">
                  <c:v>5.1200939581351086E-3</c:v>
                </c:pt>
                <c:pt idx="518">
                  <c:v>7.9420617708644901E-4</c:v>
                </c:pt>
                <c:pt idx="521">
                  <c:v>2.1520783175187647E-2</c:v>
                </c:pt>
                <c:pt idx="524">
                  <c:v>2.9445658652890922E-3</c:v>
                </c:pt>
                <c:pt idx="527">
                  <c:v>1.3581324433346137E-2</c:v>
                </c:pt>
                <c:pt idx="530">
                  <c:v>4.4132596868365181E-2</c:v>
                </c:pt>
                <c:pt idx="533">
                  <c:v>4.6153934602535349E-2</c:v>
                </c:pt>
                <c:pt idx="536">
                  <c:v>2.1725671140939595E-2</c:v>
                </c:pt>
                <c:pt idx="539">
                  <c:v>1.5185111514847761E-2</c:v>
                </c:pt>
                <c:pt idx="542">
                  <c:v>1.4834122037550017E-2</c:v>
                </c:pt>
                <c:pt idx="545">
                  <c:v>9.3880377865836369E-3</c:v>
                </c:pt>
                <c:pt idx="548">
                  <c:v>3.7265782122905037E-3</c:v>
                </c:pt>
                <c:pt idx="551">
                  <c:v>1.9253615173487359E-3</c:v>
                </c:pt>
                <c:pt idx="557">
                  <c:v>4.5172476729330169E-3</c:v>
                </c:pt>
                <c:pt idx="560">
                  <c:v>3.8053274584418182E-3</c:v>
                </c:pt>
                <c:pt idx="563">
                  <c:v>6.5691718151247363E-3</c:v>
                </c:pt>
                <c:pt idx="566">
                  <c:v>1.0992766417952955E-2</c:v>
                </c:pt>
                <c:pt idx="569">
                  <c:v>8.5402305862258294E-3</c:v>
                </c:pt>
                <c:pt idx="572">
                  <c:v>7.3945637207404749E-3</c:v>
                </c:pt>
                <c:pt idx="575">
                  <c:v>2.4304177142605094E-2</c:v>
                </c:pt>
                <c:pt idx="578">
                  <c:v>4.4853635505193584E-3</c:v>
                </c:pt>
                <c:pt idx="581">
                  <c:v>2.9579067121729237E-3</c:v>
                </c:pt>
                <c:pt idx="584">
                  <c:v>7.1002556092019317E-3</c:v>
                </c:pt>
                <c:pt idx="587">
                  <c:v>1.751378744969444E-3</c:v>
                </c:pt>
                <c:pt idx="590">
                  <c:v>5.1892278786794315E-3</c:v>
                </c:pt>
                <c:pt idx="593">
                  <c:v>2.8120464441219154E-3</c:v>
                </c:pt>
                <c:pt idx="596">
                  <c:v>4.4538920943415321E-3</c:v>
                </c:pt>
                <c:pt idx="599">
                  <c:v>1.0882110469909315E-2</c:v>
                </c:pt>
                <c:pt idx="602">
                  <c:v>2.3214196947855047E-2</c:v>
                </c:pt>
                <c:pt idx="605">
                  <c:v>7.6646798104844899E-2</c:v>
                </c:pt>
                <c:pt idx="608">
                  <c:v>6.2646481282067526E-2</c:v>
                </c:pt>
                <c:pt idx="611">
                  <c:v>1.0870923403723603E-2</c:v>
                </c:pt>
                <c:pt idx="614">
                  <c:v>9.8855936909918937E-3</c:v>
                </c:pt>
                <c:pt idx="617">
                  <c:v>3.0814882446929927E-3</c:v>
                </c:pt>
                <c:pt idx="620">
                  <c:v>3.4567901234567903E-3</c:v>
                </c:pt>
                <c:pt idx="629">
                  <c:v>2.9301780431991963E-3</c:v>
                </c:pt>
                <c:pt idx="635">
                  <c:v>1.7512897094759707E-2</c:v>
                </c:pt>
                <c:pt idx="638">
                  <c:v>0.17062261753494282</c:v>
                </c:pt>
                <c:pt idx="641">
                  <c:v>7.4542701151715601E-2</c:v>
                </c:pt>
                <c:pt idx="647">
                  <c:v>1.4765100671140941E-2</c:v>
                </c:pt>
                <c:pt idx="653">
                  <c:v>8.7900723888314387E-3</c:v>
                </c:pt>
                <c:pt idx="656">
                  <c:v>2.9856435014610594E-3</c:v>
                </c:pt>
                <c:pt idx="659">
                  <c:v>2.933411557641537E-3</c:v>
                </c:pt>
                <c:pt idx="662">
                  <c:v>2.1411127095112242E-3</c:v>
                </c:pt>
                <c:pt idx="665">
                  <c:v>9.4663943002341704E-4</c:v>
                </c:pt>
                <c:pt idx="668">
                  <c:v>7.4074074074074068E-3</c:v>
                </c:pt>
                <c:pt idx="671">
                  <c:v>1.1780054487548446E-2</c:v>
                </c:pt>
                <c:pt idx="674">
                  <c:v>0.12792458544711141</c:v>
                </c:pt>
                <c:pt idx="677">
                  <c:v>5.3578964453822438E-2</c:v>
                </c:pt>
                <c:pt idx="680">
                  <c:v>6.4617446291720754E-2</c:v>
                </c:pt>
                <c:pt idx="683">
                  <c:v>2.5884979270755819E-2</c:v>
                </c:pt>
                <c:pt idx="686">
                  <c:v>2.7120520271205206E-2</c:v>
                </c:pt>
                <c:pt idx="689">
                  <c:v>3.08550406455824E-3</c:v>
                </c:pt>
                <c:pt idx="701">
                  <c:v>3.2199637754075265E-3</c:v>
                </c:pt>
                <c:pt idx="704">
                  <c:v>3.2833020637898689E-3</c:v>
                </c:pt>
                <c:pt idx="707">
                  <c:v>5.1198650764968084E-3</c:v>
                </c:pt>
                <c:pt idx="710">
                  <c:v>0.10098368820819324</c:v>
                </c:pt>
                <c:pt idx="713">
                  <c:v>2.0296643247462925E-2</c:v>
                </c:pt>
                <c:pt idx="719">
                  <c:v>1.2955416337205768E-2</c:v>
                </c:pt>
                <c:pt idx="722">
                  <c:v>1.769352290679305E-2</c:v>
                </c:pt>
                <c:pt idx="728">
                  <c:v>1.2631578947368419E-2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5-1543-829E-EDD93457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'zea update'!$AA$3:$AA$731</c:f>
              <c:numCache>
                <c:formatCode>General</c:formatCode>
                <c:ptCount val="729"/>
                <c:pt idx="2">
                  <c:v>-0.76316748566373305</c:v>
                </c:pt>
                <c:pt idx="5">
                  <c:v>-0.8266980746182121</c:v>
                </c:pt>
                <c:pt idx="8">
                  <c:v>-1.1962819093411836</c:v>
                </c:pt>
                <c:pt idx="11">
                  <c:v>-0.89227875914492416</c:v>
                </c:pt>
                <c:pt idx="14">
                  <c:v>-1.3066558396053651</c:v>
                </c:pt>
                <c:pt idx="17">
                  <c:v>-2.3174197979393174</c:v>
                </c:pt>
                <c:pt idx="20">
                  <c:v>-2.7525940675377774</c:v>
                </c:pt>
                <c:pt idx="23">
                  <c:v>-3.7576431475144374</c:v>
                </c:pt>
                <c:pt idx="26">
                  <c:v>-4.2593527947703258</c:v>
                </c:pt>
                <c:pt idx="29">
                  <c:v>-4.5988626729424151</c:v>
                </c:pt>
                <c:pt idx="32">
                  <c:v>-4.9700351562326404</c:v>
                </c:pt>
                <c:pt idx="35">
                  <c:v>-4.5361159256192547</c:v>
                </c:pt>
                <c:pt idx="38">
                  <c:v>-5.3054946623482966</c:v>
                </c:pt>
                <c:pt idx="41">
                  <c:v>-5.641991200383174</c:v>
                </c:pt>
                <c:pt idx="44">
                  <c:v>-6.4166987419200581</c:v>
                </c:pt>
                <c:pt idx="47">
                  <c:v>-7.0127291001982064</c:v>
                </c:pt>
                <c:pt idx="50">
                  <c:v>-6.8875366761183701</c:v>
                </c:pt>
                <c:pt idx="53">
                  <c:v>-7.0907935613810489</c:v>
                </c:pt>
                <c:pt idx="56">
                  <c:v>-8.2165680887082786</c:v>
                </c:pt>
                <c:pt idx="59">
                  <c:v>-9.0995805498112947</c:v>
                </c:pt>
                <c:pt idx="62">
                  <c:v>-7.5946064182039219</c:v>
                </c:pt>
                <c:pt idx="65">
                  <c:v>-6.4023102896017452</c:v>
                </c:pt>
                <c:pt idx="68">
                  <c:v>-6.4985157289456481</c:v>
                </c:pt>
                <c:pt idx="71">
                  <c:v>-6.7844120248325765</c:v>
                </c:pt>
                <c:pt idx="74">
                  <c:v>-7.3513995933917444</c:v>
                </c:pt>
                <c:pt idx="77">
                  <c:v>-7.4359510116492986</c:v>
                </c:pt>
                <c:pt idx="80">
                  <c:v>-7.1601806997275466</c:v>
                </c:pt>
                <c:pt idx="83">
                  <c:v>-7.8111207638539089</c:v>
                </c:pt>
                <c:pt idx="86">
                  <c:v>-8.2506215955923121</c:v>
                </c:pt>
                <c:pt idx="89">
                  <c:v>-8.8747000996326797</c:v>
                </c:pt>
                <c:pt idx="92">
                  <c:v>-9.5991198620028371</c:v>
                </c:pt>
                <c:pt idx="95">
                  <c:v>-9.8437658444658389</c:v>
                </c:pt>
                <c:pt idx="98">
                  <c:v>-9.1741107333620491</c:v>
                </c:pt>
                <c:pt idx="101">
                  <c:v>-9.1537393526886373</c:v>
                </c:pt>
                <c:pt idx="104">
                  <c:v>-8.0451099507497137</c:v>
                </c:pt>
                <c:pt idx="107">
                  <c:v>-8.2889426687852943</c:v>
                </c:pt>
                <c:pt idx="110">
                  <c:v>-8.7723652795460492</c:v>
                </c:pt>
                <c:pt idx="113">
                  <c:v>-9.7746954223725275</c:v>
                </c:pt>
                <c:pt idx="116">
                  <c:v>-10.310110477505301</c:v>
                </c:pt>
                <c:pt idx="119">
                  <c:v>-9.008283148910845</c:v>
                </c:pt>
                <c:pt idx="122">
                  <c:v>-8.641914992294927</c:v>
                </c:pt>
                <c:pt idx="125">
                  <c:v>-8.3384405952507219</c:v>
                </c:pt>
                <c:pt idx="128">
                  <c:v>-7.3213532407515594</c:v>
                </c:pt>
                <c:pt idx="131">
                  <c:v>-8.2024667633591548</c:v>
                </c:pt>
                <c:pt idx="134">
                  <c:v>-8.5310889716075682</c:v>
                </c:pt>
                <c:pt idx="137">
                  <c:v>-7.6306852174321014</c:v>
                </c:pt>
                <c:pt idx="140">
                  <c:v>-5.30534654074172</c:v>
                </c:pt>
                <c:pt idx="143">
                  <c:v>-5.7963301882903009</c:v>
                </c:pt>
                <c:pt idx="146">
                  <c:v>-5.9205972138434406</c:v>
                </c:pt>
                <c:pt idx="149">
                  <c:v>-6.3798089259549098</c:v>
                </c:pt>
                <c:pt idx="152">
                  <c:v>-6.7547816732616139</c:v>
                </c:pt>
                <c:pt idx="155">
                  <c:v>-7.0324198047742215</c:v>
                </c:pt>
                <c:pt idx="158">
                  <c:v>-6.4442557820741984</c:v>
                </c:pt>
                <c:pt idx="161">
                  <c:v>-6.1589805030652993</c:v>
                </c:pt>
                <c:pt idx="164">
                  <c:v>-6.2942859495578647</c:v>
                </c:pt>
                <c:pt idx="167">
                  <c:v>-7.2307673570161759</c:v>
                </c:pt>
                <c:pt idx="170">
                  <c:v>-5.2783297332721926</c:v>
                </c:pt>
                <c:pt idx="173">
                  <c:v>-2.044099616268757</c:v>
                </c:pt>
                <c:pt idx="176">
                  <c:v>-1.3581096989567485</c:v>
                </c:pt>
                <c:pt idx="179">
                  <c:v>-0.54028818135705758</c:v>
                </c:pt>
                <c:pt idx="182">
                  <c:v>0.26661312926876268</c:v>
                </c:pt>
                <c:pt idx="185">
                  <c:v>0.78482442166357913</c:v>
                </c:pt>
                <c:pt idx="188">
                  <c:v>0.6741543050186477</c:v>
                </c:pt>
                <c:pt idx="191">
                  <c:v>2.7140564460560936</c:v>
                </c:pt>
                <c:pt idx="194">
                  <c:v>2.1502330506605594</c:v>
                </c:pt>
                <c:pt idx="197">
                  <c:v>1.1608009981117371</c:v>
                </c:pt>
                <c:pt idx="200">
                  <c:v>0.44793972945513927</c:v>
                </c:pt>
                <c:pt idx="203">
                  <c:v>-0.60148130487359519</c:v>
                </c:pt>
                <c:pt idx="206">
                  <c:v>3.1177899242771518</c:v>
                </c:pt>
                <c:pt idx="209">
                  <c:v>3.7445392923833749</c:v>
                </c:pt>
                <c:pt idx="212">
                  <c:v>4.3096132106426541</c:v>
                </c:pt>
                <c:pt idx="215">
                  <c:v>5.5929774446815657</c:v>
                </c:pt>
                <c:pt idx="218">
                  <c:v>4.8751918734987916</c:v>
                </c:pt>
                <c:pt idx="221">
                  <c:v>4.4984535929403018</c:v>
                </c:pt>
                <c:pt idx="224">
                  <c:v>5.3855454238622267</c:v>
                </c:pt>
                <c:pt idx="227">
                  <c:v>7.7313131511779378</c:v>
                </c:pt>
                <c:pt idx="230">
                  <c:v>8.683714359952873</c:v>
                </c:pt>
                <c:pt idx="233">
                  <c:v>9.2460478635561199</c:v>
                </c:pt>
                <c:pt idx="236">
                  <c:v>8.7103271517900964</c:v>
                </c:pt>
                <c:pt idx="239">
                  <c:v>7.9082642346449106</c:v>
                </c:pt>
                <c:pt idx="242">
                  <c:v>7.2979228761805883</c:v>
                </c:pt>
                <c:pt idx="245">
                  <c:v>7.6910645606420616</c:v>
                </c:pt>
                <c:pt idx="248">
                  <c:v>9.1518242024583252</c:v>
                </c:pt>
                <c:pt idx="251">
                  <c:v>8.9741920153120809</c:v>
                </c:pt>
                <c:pt idx="254">
                  <c:v>8.1664717155296511</c:v>
                </c:pt>
                <c:pt idx="257">
                  <c:v>7.4626108283413952</c:v>
                </c:pt>
                <c:pt idx="260">
                  <c:v>7.948105254334318</c:v>
                </c:pt>
                <c:pt idx="263">
                  <c:v>9.0658141090970989</c:v>
                </c:pt>
                <c:pt idx="266">
                  <c:v>9.6826488565598154</c:v>
                </c:pt>
                <c:pt idx="269">
                  <c:v>9.4501853475983317</c:v>
                </c:pt>
                <c:pt idx="272">
                  <c:v>9.7921342439895493</c:v>
                </c:pt>
                <c:pt idx="275">
                  <c:v>9.2740381598152641</c:v>
                </c:pt>
                <c:pt idx="278">
                  <c:v>9.0540869082468713</c:v>
                </c:pt>
                <c:pt idx="281">
                  <c:v>9.5196231322630869</c:v>
                </c:pt>
                <c:pt idx="284">
                  <c:v>10.475593788699241</c:v>
                </c:pt>
                <c:pt idx="287">
                  <c:v>11.17763470613944</c:v>
                </c:pt>
                <c:pt idx="290">
                  <c:v>10.838087767341392</c:v>
                </c:pt>
                <c:pt idx="293">
                  <c:v>10.061225918307564</c:v>
                </c:pt>
                <c:pt idx="296">
                  <c:v>10.204283655769363</c:v>
                </c:pt>
                <c:pt idx="299">
                  <c:v>11.32851730733222</c:v>
                </c:pt>
                <c:pt idx="302">
                  <c:v>11.354819563230279</c:v>
                </c:pt>
                <c:pt idx="305">
                  <c:v>10.50572437550383</c:v>
                </c:pt>
                <c:pt idx="308">
                  <c:v>9.680655792464723</c:v>
                </c:pt>
                <c:pt idx="311">
                  <c:v>8.6249164519640544</c:v>
                </c:pt>
                <c:pt idx="314">
                  <c:v>8.4778126376106435</c:v>
                </c:pt>
                <c:pt idx="317">
                  <c:v>8.0831503564307638</c:v>
                </c:pt>
                <c:pt idx="320">
                  <c:v>8.6550023871305939</c:v>
                </c:pt>
                <c:pt idx="323">
                  <c:v>10.049285863901364</c:v>
                </c:pt>
                <c:pt idx="326">
                  <c:v>10.217751927725818</c:v>
                </c:pt>
                <c:pt idx="329">
                  <c:v>9.2796892165724287</c:v>
                </c:pt>
                <c:pt idx="332">
                  <c:v>10.017271085994226</c:v>
                </c:pt>
                <c:pt idx="335">
                  <c:v>11.666251924913903</c:v>
                </c:pt>
                <c:pt idx="338">
                  <c:v>12.53678612442669</c:v>
                </c:pt>
                <c:pt idx="341">
                  <c:v>12.434741789151461</c:v>
                </c:pt>
                <c:pt idx="344">
                  <c:v>11.891390903245112</c:v>
                </c:pt>
                <c:pt idx="347">
                  <c:v>10.919629535677206</c:v>
                </c:pt>
                <c:pt idx="350">
                  <c:v>10.206250121392367</c:v>
                </c:pt>
                <c:pt idx="353">
                  <c:v>10.589266856466425</c:v>
                </c:pt>
                <c:pt idx="356">
                  <c:v>11.768078514204049</c:v>
                </c:pt>
                <c:pt idx="359">
                  <c:v>11.955428107591079</c:v>
                </c:pt>
                <c:pt idx="362">
                  <c:v>11.227080041823708</c:v>
                </c:pt>
                <c:pt idx="365">
                  <c:v>10.88799367691743</c:v>
                </c:pt>
                <c:pt idx="368">
                  <c:v>10.797003115044685</c:v>
                </c:pt>
                <c:pt idx="371">
                  <c:v>11.000856606220147</c:v>
                </c:pt>
                <c:pt idx="374">
                  <c:v>12.048634991749156</c:v>
                </c:pt>
                <c:pt idx="377">
                  <c:v>11.316755859478214</c:v>
                </c:pt>
                <c:pt idx="380">
                  <c:v>10.854389216208119</c:v>
                </c:pt>
                <c:pt idx="383">
                  <c:v>9.7535136343139737</c:v>
                </c:pt>
                <c:pt idx="386">
                  <c:v>9.0329185623914015</c:v>
                </c:pt>
                <c:pt idx="389">
                  <c:v>9.0985231237205166</c:v>
                </c:pt>
                <c:pt idx="392">
                  <c:v>10.312031347971494</c:v>
                </c:pt>
                <c:pt idx="395">
                  <c:v>10.843199351564959</c:v>
                </c:pt>
                <c:pt idx="398">
                  <c:v>10.706535212091671</c:v>
                </c:pt>
                <c:pt idx="401">
                  <c:v>9.6336778752802115</c:v>
                </c:pt>
                <c:pt idx="404">
                  <c:v>9.7428066693816078</c:v>
                </c:pt>
                <c:pt idx="407">
                  <c:v>11.150370026698418</c:v>
                </c:pt>
                <c:pt idx="410">
                  <c:v>10.70596576520736</c:v>
                </c:pt>
                <c:pt idx="413">
                  <c:v>11.215563558202922</c:v>
                </c:pt>
                <c:pt idx="416">
                  <c:v>10.685953126734381</c:v>
                </c:pt>
                <c:pt idx="419">
                  <c:v>9.7694606261788941</c:v>
                </c:pt>
                <c:pt idx="422">
                  <c:v>9.2553561823999502</c:v>
                </c:pt>
                <c:pt idx="425">
                  <c:v>9.9991557993606452</c:v>
                </c:pt>
                <c:pt idx="428">
                  <c:v>10.843590811673122</c:v>
                </c:pt>
                <c:pt idx="431">
                  <c:v>11.10693509720223</c:v>
                </c:pt>
                <c:pt idx="434">
                  <c:v>14.300296957542592</c:v>
                </c:pt>
                <c:pt idx="437">
                  <c:v>14.072515949814106</c:v>
                </c:pt>
                <c:pt idx="440">
                  <c:v>13.393142241204965</c:v>
                </c:pt>
                <c:pt idx="443">
                  <c:v>13.536583790243238</c:v>
                </c:pt>
                <c:pt idx="446">
                  <c:v>16.071171460721661</c:v>
                </c:pt>
                <c:pt idx="449">
                  <c:v>16.351556980246265</c:v>
                </c:pt>
                <c:pt idx="452">
                  <c:v>15.388469754306696</c:v>
                </c:pt>
                <c:pt idx="455">
                  <c:v>15.161993705938226</c:v>
                </c:pt>
                <c:pt idx="458">
                  <c:v>15.371911420021995</c:v>
                </c:pt>
                <c:pt idx="461">
                  <c:v>15.72998040262517</c:v>
                </c:pt>
                <c:pt idx="464">
                  <c:v>17.084193950811933</c:v>
                </c:pt>
                <c:pt idx="467">
                  <c:v>18.217946129471375</c:v>
                </c:pt>
                <c:pt idx="470">
                  <c:v>17.910409076151353</c:v>
                </c:pt>
                <c:pt idx="473">
                  <c:v>17.157650594120163</c:v>
                </c:pt>
                <c:pt idx="476">
                  <c:v>17.290882755224199</c:v>
                </c:pt>
                <c:pt idx="479">
                  <c:v>17.342746862115504</c:v>
                </c:pt>
                <c:pt idx="482">
                  <c:v>17.666656614412389</c:v>
                </c:pt>
                <c:pt idx="485">
                  <c:v>18.184314450513927</c:v>
                </c:pt>
                <c:pt idx="488">
                  <c:v>16.984338719573898</c:v>
                </c:pt>
                <c:pt idx="491">
                  <c:v>15.997301651262282</c:v>
                </c:pt>
                <c:pt idx="494">
                  <c:v>15.733288830714542</c:v>
                </c:pt>
                <c:pt idx="497">
                  <c:v>16.860209163312724</c:v>
                </c:pt>
                <c:pt idx="500">
                  <c:v>17.139673535053788</c:v>
                </c:pt>
                <c:pt idx="503">
                  <c:v>16.537829764892624</c:v>
                </c:pt>
                <c:pt idx="506">
                  <c:v>15.893997008265082</c:v>
                </c:pt>
                <c:pt idx="509">
                  <c:v>15.74535794760577</c:v>
                </c:pt>
                <c:pt idx="512">
                  <c:v>15.670410709629687</c:v>
                </c:pt>
                <c:pt idx="515">
                  <c:v>15.32157553068094</c:v>
                </c:pt>
                <c:pt idx="518">
                  <c:v>16.057545391481543</c:v>
                </c:pt>
                <c:pt idx="521">
                  <c:v>15.28260260033009</c:v>
                </c:pt>
                <c:pt idx="524">
                  <c:v>15.51102003239996</c:v>
                </c:pt>
                <c:pt idx="527">
                  <c:v>14.593683146376229</c:v>
                </c:pt>
                <c:pt idx="530">
                  <c:v>14.433683263053252</c:v>
                </c:pt>
                <c:pt idx="533">
                  <c:v>14.794055115115277</c:v>
                </c:pt>
                <c:pt idx="536">
                  <c:v>14.289162149171737</c:v>
                </c:pt>
                <c:pt idx="539">
                  <c:v>14.197480726461338</c:v>
                </c:pt>
                <c:pt idx="542">
                  <c:v>13.878122276585882</c:v>
                </c:pt>
                <c:pt idx="545">
                  <c:v>13.103563297010906</c:v>
                </c:pt>
                <c:pt idx="548">
                  <c:v>12.473624519451763</c:v>
                </c:pt>
                <c:pt idx="551">
                  <c:v>13.030507898669061</c:v>
                </c:pt>
                <c:pt idx="557">
                  <c:v>13.395869301225263</c:v>
                </c:pt>
                <c:pt idx="560">
                  <c:v>12.845456282311769</c:v>
                </c:pt>
                <c:pt idx="563">
                  <c:v>12.510054508539652</c:v>
                </c:pt>
                <c:pt idx="566">
                  <c:v>12.540808978724822</c:v>
                </c:pt>
                <c:pt idx="569">
                  <c:v>12.482212113906579</c:v>
                </c:pt>
                <c:pt idx="572">
                  <c:v>12.67048285507715</c:v>
                </c:pt>
                <c:pt idx="575">
                  <c:v>13.093799805681099</c:v>
                </c:pt>
                <c:pt idx="578">
                  <c:v>13.077498976590418</c:v>
                </c:pt>
                <c:pt idx="581">
                  <c:v>12.435278228584071</c:v>
                </c:pt>
                <c:pt idx="584">
                  <c:v>11.658876953442013</c:v>
                </c:pt>
                <c:pt idx="587">
                  <c:v>12.401908947249757</c:v>
                </c:pt>
                <c:pt idx="590">
                  <c:v>11.942919845852643</c:v>
                </c:pt>
                <c:pt idx="593">
                  <c:v>12.318413874027788</c:v>
                </c:pt>
                <c:pt idx="596">
                  <c:v>11.759787287377728</c:v>
                </c:pt>
                <c:pt idx="599">
                  <c:v>11.839516114721128</c:v>
                </c:pt>
                <c:pt idx="602">
                  <c:v>12.066782112061572</c:v>
                </c:pt>
                <c:pt idx="605">
                  <c:v>11.754332270562669</c:v>
                </c:pt>
                <c:pt idx="608">
                  <c:v>11.649217442675639</c:v>
                </c:pt>
                <c:pt idx="611">
                  <c:v>11.56091356183822</c:v>
                </c:pt>
                <c:pt idx="614">
                  <c:v>10.935043186989713</c:v>
                </c:pt>
                <c:pt idx="617">
                  <c:v>10.290673094155105</c:v>
                </c:pt>
                <c:pt idx="620">
                  <c:v>10.372704790957355</c:v>
                </c:pt>
                <c:pt idx="629">
                  <c:v>11.80644409778977</c:v>
                </c:pt>
                <c:pt idx="635">
                  <c:v>11.620345027266485</c:v>
                </c:pt>
                <c:pt idx="638">
                  <c:v>11.813682081246528</c:v>
                </c:pt>
                <c:pt idx="641">
                  <c:v>14.349114137193197</c:v>
                </c:pt>
                <c:pt idx="647">
                  <c:v>13.546843961796714</c:v>
                </c:pt>
                <c:pt idx="653">
                  <c:v>12.67525741568882</c:v>
                </c:pt>
                <c:pt idx="656">
                  <c:v>12.566688283613514</c:v>
                </c:pt>
                <c:pt idx="659">
                  <c:v>12.034774982686123</c:v>
                </c:pt>
                <c:pt idx="662">
                  <c:v>13.012315849720181</c:v>
                </c:pt>
                <c:pt idx="665">
                  <c:v>14.776747210843579</c:v>
                </c:pt>
                <c:pt idx="668">
                  <c:v>13.843213476292597</c:v>
                </c:pt>
                <c:pt idx="671">
                  <c:v>14.526754675746695</c:v>
                </c:pt>
                <c:pt idx="674">
                  <c:v>15.237392972499936</c:v>
                </c:pt>
                <c:pt idx="677">
                  <c:v>18.649757718377018</c:v>
                </c:pt>
                <c:pt idx="680">
                  <c:v>19.165803545857361</c:v>
                </c:pt>
                <c:pt idx="683">
                  <c:v>19.293048246368382</c:v>
                </c:pt>
                <c:pt idx="686">
                  <c:v>18.530847999555906</c:v>
                </c:pt>
                <c:pt idx="689">
                  <c:v>18.507561799773377</c:v>
                </c:pt>
                <c:pt idx="701">
                  <c:v>17.953464189725722</c:v>
                </c:pt>
                <c:pt idx="704">
                  <c:v>17.291131715112076</c:v>
                </c:pt>
                <c:pt idx="707">
                  <c:v>17.248578174190495</c:v>
                </c:pt>
                <c:pt idx="710">
                  <c:v>17.164572983009599</c:v>
                </c:pt>
                <c:pt idx="713">
                  <c:v>16.535939164810472</c:v>
                </c:pt>
                <c:pt idx="719">
                  <c:v>16.48102689112639</c:v>
                </c:pt>
                <c:pt idx="722">
                  <c:v>15.649970847494272</c:v>
                </c:pt>
                <c:pt idx="728">
                  <c:v>14.551781946635453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E-104A-9EF4-C45232E93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'fuco update'!$N$3:$N$731</c:f>
              <c:numCache>
                <c:formatCode>General</c:formatCode>
                <c:ptCount val="729"/>
                <c:pt idx="2">
                  <c:v>-0.26592174945062663</c:v>
                </c:pt>
                <c:pt idx="5">
                  <c:v>0.33627154810754345</c:v>
                </c:pt>
                <c:pt idx="8">
                  <c:v>0.96002752220694343</c:v>
                </c:pt>
                <c:pt idx="11">
                  <c:v>1.3981188908079702</c:v>
                </c:pt>
                <c:pt idx="14">
                  <c:v>2.3441313503833623</c:v>
                </c:pt>
                <c:pt idx="17">
                  <c:v>1.4661699947998781</c:v>
                </c:pt>
                <c:pt idx="20">
                  <c:v>1.8502870394072741</c:v>
                </c:pt>
                <c:pt idx="23">
                  <c:v>0.74416031975200259</c:v>
                </c:pt>
                <c:pt idx="26">
                  <c:v>1.3414915021049225</c:v>
                </c:pt>
                <c:pt idx="29">
                  <c:v>0.77772611244930601</c:v>
                </c:pt>
                <c:pt idx="32">
                  <c:v>0.32590434764390136</c:v>
                </c:pt>
                <c:pt idx="35">
                  <c:v>0.68264711229660047</c:v>
                </c:pt>
                <c:pt idx="38">
                  <c:v>0.60824957477319019</c:v>
                </c:pt>
                <c:pt idx="41">
                  <c:v>1.5108095437576794</c:v>
                </c:pt>
                <c:pt idx="44">
                  <c:v>1.5984325323404318</c:v>
                </c:pt>
                <c:pt idx="47">
                  <c:v>1.7357583982009368</c:v>
                </c:pt>
                <c:pt idx="50">
                  <c:v>2.7733039065883198</c:v>
                </c:pt>
                <c:pt idx="53">
                  <c:v>3.6669429889717264</c:v>
                </c:pt>
                <c:pt idx="56">
                  <c:v>3.5693719624160289</c:v>
                </c:pt>
                <c:pt idx="59">
                  <c:v>2.5703315656979995</c:v>
                </c:pt>
                <c:pt idx="62">
                  <c:v>2.8084060984700847</c:v>
                </c:pt>
                <c:pt idx="65">
                  <c:v>1.2487273149541005</c:v>
                </c:pt>
                <c:pt idx="68">
                  <c:v>-0.15707060723860633</c:v>
                </c:pt>
                <c:pt idx="71">
                  <c:v>-0.17324748568461748</c:v>
                </c:pt>
                <c:pt idx="74">
                  <c:v>-0.49076049005915423</c:v>
                </c:pt>
                <c:pt idx="77">
                  <c:v>0.12996428679025185</c:v>
                </c:pt>
                <c:pt idx="80">
                  <c:v>2.3519867944520718</c:v>
                </c:pt>
                <c:pt idx="83">
                  <c:v>1.367320604216512</c:v>
                </c:pt>
                <c:pt idx="86">
                  <c:v>2.5377733436715162</c:v>
                </c:pt>
                <c:pt idx="89">
                  <c:v>2.8497491241831816</c:v>
                </c:pt>
                <c:pt idx="92">
                  <c:v>3.0186740178472413</c:v>
                </c:pt>
                <c:pt idx="110">
                  <c:v>3.1826450435757221</c:v>
                </c:pt>
                <c:pt idx="113">
                  <c:v>2.8236785406640337</c:v>
                </c:pt>
                <c:pt idx="116">
                  <c:v>2.5917823865660972</c:v>
                </c:pt>
                <c:pt idx="119">
                  <c:v>2.4972989397802801</c:v>
                </c:pt>
                <c:pt idx="122">
                  <c:v>3.1692209674958653</c:v>
                </c:pt>
                <c:pt idx="125">
                  <c:v>3.3996659362911319</c:v>
                </c:pt>
                <c:pt idx="128">
                  <c:v>3.8248395763706742</c:v>
                </c:pt>
                <c:pt idx="131">
                  <c:v>3.6041084232150711</c:v>
                </c:pt>
                <c:pt idx="134">
                  <c:v>3.9572440351518052</c:v>
                </c:pt>
                <c:pt idx="137">
                  <c:v>2.4916980148070316</c:v>
                </c:pt>
                <c:pt idx="140">
                  <c:v>0.88799675924316523</c:v>
                </c:pt>
                <c:pt idx="143">
                  <c:v>-0.22104916676608011</c:v>
                </c:pt>
                <c:pt idx="146">
                  <c:v>-1.1698167357100164</c:v>
                </c:pt>
                <c:pt idx="149">
                  <c:v>-1.6690083993214033</c:v>
                </c:pt>
                <c:pt idx="152">
                  <c:v>-1.9125035788430065</c:v>
                </c:pt>
                <c:pt idx="155">
                  <c:v>-2.1853870893782159</c:v>
                </c:pt>
                <c:pt idx="158">
                  <c:v>-2.0516196355969107</c:v>
                </c:pt>
                <c:pt idx="161">
                  <c:v>-1.724747345965699</c:v>
                </c:pt>
                <c:pt idx="164">
                  <c:v>-1.5200898655957229</c:v>
                </c:pt>
                <c:pt idx="167">
                  <c:v>-2.4872037655755026</c:v>
                </c:pt>
                <c:pt idx="170">
                  <c:v>-3.3404740287245627</c:v>
                </c:pt>
                <c:pt idx="173">
                  <c:v>-5.4376285945215805</c:v>
                </c:pt>
                <c:pt idx="179">
                  <c:v>-5.0298087427137244</c:v>
                </c:pt>
                <c:pt idx="182">
                  <c:v>-5.2380360158251937</c:v>
                </c:pt>
                <c:pt idx="185">
                  <c:v>-4.851919052396017</c:v>
                </c:pt>
                <c:pt idx="188">
                  <c:v>-4.6025401627853268</c:v>
                </c:pt>
                <c:pt idx="191">
                  <c:v>-4.0379131642005017</c:v>
                </c:pt>
                <c:pt idx="194">
                  <c:v>-4.2597618526597492</c:v>
                </c:pt>
                <c:pt idx="197">
                  <c:v>-5.1446173203904246</c:v>
                </c:pt>
                <c:pt idx="200">
                  <c:v>-4.2446622154143938</c:v>
                </c:pt>
                <c:pt idx="203">
                  <c:v>-4.0704122398791398</c:v>
                </c:pt>
                <c:pt idx="206">
                  <c:v>-4.1279482367787894</c:v>
                </c:pt>
                <c:pt idx="209">
                  <c:v>-5.7823194744377959</c:v>
                </c:pt>
                <c:pt idx="212">
                  <c:v>-6.2270133123402669</c:v>
                </c:pt>
                <c:pt idx="215">
                  <c:v>-7.2832822274075015</c:v>
                </c:pt>
                <c:pt idx="218">
                  <c:v>-7.3142522360877953</c:v>
                </c:pt>
                <c:pt idx="221">
                  <c:v>-8.3137222767752501</c:v>
                </c:pt>
                <c:pt idx="224">
                  <c:v>-7.8685333889774371</c:v>
                </c:pt>
                <c:pt idx="227">
                  <c:v>-7.1617234265747829</c:v>
                </c:pt>
                <c:pt idx="230">
                  <c:v>-6.8139791000291883</c:v>
                </c:pt>
                <c:pt idx="233">
                  <c:v>-6.0088815295707079</c:v>
                </c:pt>
                <c:pt idx="236">
                  <c:v>-5.1405591514124893</c:v>
                </c:pt>
                <c:pt idx="239">
                  <c:v>-5.8076067927530302</c:v>
                </c:pt>
                <c:pt idx="242">
                  <c:v>-6.2463684188802873</c:v>
                </c:pt>
                <c:pt idx="245">
                  <c:v>-6.9172943990012499</c:v>
                </c:pt>
                <c:pt idx="248">
                  <c:v>-7.4821282453342821</c:v>
                </c:pt>
                <c:pt idx="251">
                  <c:v>-7.2818430840797603</c:v>
                </c:pt>
                <c:pt idx="254">
                  <c:v>-8.2655626397940196</c:v>
                </c:pt>
                <c:pt idx="257">
                  <c:v>-8.9051005553931457</c:v>
                </c:pt>
                <c:pt idx="260">
                  <c:v>-8.6042975616255557</c:v>
                </c:pt>
                <c:pt idx="263">
                  <c:v>-8.0152454582223953</c:v>
                </c:pt>
                <c:pt idx="266">
                  <c:v>-7.3338370614406623</c:v>
                </c:pt>
                <c:pt idx="269">
                  <c:v>-6.7660123746438385</c:v>
                </c:pt>
                <c:pt idx="272">
                  <c:v>-5.5380582205819913</c:v>
                </c:pt>
                <c:pt idx="275">
                  <c:v>-5.0528718318089991</c:v>
                </c:pt>
                <c:pt idx="278">
                  <c:v>-4.6568175557424079</c:v>
                </c:pt>
                <c:pt idx="281">
                  <c:v>-6.1775122700486778</c:v>
                </c:pt>
                <c:pt idx="284">
                  <c:v>-5.944472551541379</c:v>
                </c:pt>
                <c:pt idx="287">
                  <c:v>-6.0117643228148303</c:v>
                </c:pt>
                <c:pt idx="290">
                  <c:v>-6.4409710601424672</c:v>
                </c:pt>
                <c:pt idx="293">
                  <c:v>-6.7474712898576561</c:v>
                </c:pt>
                <c:pt idx="296">
                  <c:v>-7.1422709471890142</c:v>
                </c:pt>
                <c:pt idx="299">
                  <c:v>-6.8197580614883542</c:v>
                </c:pt>
                <c:pt idx="302">
                  <c:v>-7.5604326325842361</c:v>
                </c:pt>
                <c:pt idx="305">
                  <c:v>-7.3257086169578534</c:v>
                </c:pt>
                <c:pt idx="308">
                  <c:v>-7.2263604238035457</c:v>
                </c:pt>
                <c:pt idx="311">
                  <c:v>-8.95394225520349</c:v>
                </c:pt>
                <c:pt idx="314">
                  <c:v>-11.092304593591154</c:v>
                </c:pt>
                <c:pt idx="317">
                  <c:v>-12.539393950944847</c:v>
                </c:pt>
                <c:pt idx="320">
                  <c:v>-12.889259682485799</c:v>
                </c:pt>
                <c:pt idx="323">
                  <c:v>-11.904499407215262</c:v>
                </c:pt>
                <c:pt idx="326">
                  <c:v>-12.35735124966374</c:v>
                </c:pt>
                <c:pt idx="329">
                  <c:v>-12.84355485853068</c:v>
                </c:pt>
                <c:pt idx="332">
                  <c:v>-12.178079884066413</c:v>
                </c:pt>
                <c:pt idx="335">
                  <c:v>-11.134274394010175</c:v>
                </c:pt>
                <c:pt idx="338">
                  <c:v>-10.108328175613966</c:v>
                </c:pt>
                <c:pt idx="341">
                  <c:v>-9.1856829370547093</c:v>
                </c:pt>
                <c:pt idx="344">
                  <c:v>-8.1859448917315714</c:v>
                </c:pt>
                <c:pt idx="347">
                  <c:v>-8.3815509813044695</c:v>
                </c:pt>
                <c:pt idx="350">
                  <c:v>-9.3364805280095773</c:v>
                </c:pt>
                <c:pt idx="353">
                  <c:v>-11.112821844838011</c:v>
                </c:pt>
                <c:pt idx="356">
                  <c:v>-12.212135718842438</c:v>
                </c:pt>
                <c:pt idx="359">
                  <c:v>-12.946696814846595</c:v>
                </c:pt>
                <c:pt idx="362">
                  <c:v>-13.93045669527719</c:v>
                </c:pt>
                <c:pt idx="365">
                  <c:v>-15.763659301555002</c:v>
                </c:pt>
                <c:pt idx="368">
                  <c:v>-15.890957474205855</c:v>
                </c:pt>
                <c:pt idx="371">
                  <c:v>-14.482485090704348</c:v>
                </c:pt>
                <c:pt idx="374">
                  <c:v>-15.829487513010379</c:v>
                </c:pt>
                <c:pt idx="377">
                  <c:v>-15.193877606781383</c:v>
                </c:pt>
                <c:pt idx="380">
                  <c:v>-13.4497146152508</c:v>
                </c:pt>
                <c:pt idx="383">
                  <c:v>-12.705817736583493</c:v>
                </c:pt>
                <c:pt idx="386">
                  <c:v>-12.905004925602174</c:v>
                </c:pt>
                <c:pt idx="389">
                  <c:v>-11.985622056026969</c:v>
                </c:pt>
                <c:pt idx="392">
                  <c:v>-11.244497102485376</c:v>
                </c:pt>
                <c:pt idx="395">
                  <c:v>-9.659242102075261</c:v>
                </c:pt>
                <c:pt idx="398">
                  <c:v>-10.048983530330375</c:v>
                </c:pt>
                <c:pt idx="401">
                  <c:v>-10.947372976414151</c:v>
                </c:pt>
                <c:pt idx="404">
                  <c:v>-9.8659369583865377</c:v>
                </c:pt>
                <c:pt idx="407">
                  <c:v>-8.2180828483835704</c:v>
                </c:pt>
                <c:pt idx="410">
                  <c:v>-7.8602306531529038</c:v>
                </c:pt>
                <c:pt idx="413">
                  <c:v>-5.9532803698917398</c:v>
                </c:pt>
                <c:pt idx="416">
                  <c:v>-5.263604572789145</c:v>
                </c:pt>
                <c:pt idx="419">
                  <c:v>-6.4756204557212413</c:v>
                </c:pt>
                <c:pt idx="422">
                  <c:v>-7.29543982935758</c:v>
                </c:pt>
                <c:pt idx="425">
                  <c:v>-8.4418344268076133</c:v>
                </c:pt>
                <c:pt idx="428">
                  <c:v>-9.8508285830450237</c:v>
                </c:pt>
                <c:pt idx="431">
                  <c:v>-10.767160013532557</c:v>
                </c:pt>
                <c:pt idx="434">
                  <c:v>-9.2981669550377202</c:v>
                </c:pt>
                <c:pt idx="437">
                  <c:v>-8.1989199330016334</c:v>
                </c:pt>
                <c:pt idx="440">
                  <c:v>-7.7890469561926263</c:v>
                </c:pt>
                <c:pt idx="443">
                  <c:v>-6.4421258199328406</c:v>
                </c:pt>
                <c:pt idx="446">
                  <c:v>-2.8858201953310654</c:v>
                </c:pt>
                <c:pt idx="449">
                  <c:v>0.62281898068375963</c:v>
                </c:pt>
                <c:pt idx="452">
                  <c:v>1.46772375420287</c:v>
                </c:pt>
                <c:pt idx="455">
                  <c:v>3.3609674128414659</c:v>
                </c:pt>
                <c:pt idx="458">
                  <c:v>4.1760859461843873</c:v>
                </c:pt>
                <c:pt idx="461">
                  <c:v>4.6587869248429659</c:v>
                </c:pt>
                <c:pt idx="464">
                  <c:v>5.3044887426683935</c:v>
                </c:pt>
                <c:pt idx="467">
                  <c:v>7.3448618503439258</c:v>
                </c:pt>
                <c:pt idx="470">
                  <c:v>8.3234978141341696</c:v>
                </c:pt>
                <c:pt idx="473">
                  <c:v>9.0189537959280432</c:v>
                </c:pt>
                <c:pt idx="476">
                  <c:v>10.467658324329065</c:v>
                </c:pt>
                <c:pt idx="479">
                  <c:v>11.679073061642498</c:v>
                </c:pt>
                <c:pt idx="482">
                  <c:v>12.996143178542679</c:v>
                </c:pt>
                <c:pt idx="485">
                  <c:v>14.432087193264943</c:v>
                </c:pt>
                <c:pt idx="488">
                  <c:v>17.417023150726802</c:v>
                </c:pt>
                <c:pt idx="491">
                  <c:v>18.857559956094342</c:v>
                </c:pt>
                <c:pt idx="494">
                  <c:v>18.862581418607697</c:v>
                </c:pt>
                <c:pt idx="497">
                  <c:v>19.888186633834831</c:v>
                </c:pt>
                <c:pt idx="500">
                  <c:v>20.388247655403202</c:v>
                </c:pt>
                <c:pt idx="503">
                  <c:v>20.626368177460488</c:v>
                </c:pt>
                <c:pt idx="506">
                  <c:v>21.257777341226632</c:v>
                </c:pt>
                <c:pt idx="509">
                  <c:v>23.227791026919881</c:v>
                </c:pt>
                <c:pt idx="512">
                  <c:v>25.464335688535161</c:v>
                </c:pt>
                <c:pt idx="515">
                  <c:v>27.317193488758157</c:v>
                </c:pt>
                <c:pt idx="518">
                  <c:v>28.355665356846021</c:v>
                </c:pt>
                <c:pt idx="521">
                  <c:v>29.081804200277745</c:v>
                </c:pt>
                <c:pt idx="524">
                  <c:v>31.672275479357626</c:v>
                </c:pt>
                <c:pt idx="527">
                  <c:v>32.210711420605747</c:v>
                </c:pt>
                <c:pt idx="530">
                  <c:v>31.441325791837951</c:v>
                </c:pt>
                <c:pt idx="533">
                  <c:v>31.788043875661153</c:v>
                </c:pt>
                <c:pt idx="536">
                  <c:v>32.687022776830091</c:v>
                </c:pt>
                <c:pt idx="539">
                  <c:v>33.488991035450276</c:v>
                </c:pt>
                <c:pt idx="542">
                  <c:v>33.70365889197393</c:v>
                </c:pt>
                <c:pt idx="545">
                  <c:v>34.283252055665493</c:v>
                </c:pt>
                <c:pt idx="548">
                  <c:v>35.453969822683192</c:v>
                </c:pt>
                <c:pt idx="551">
                  <c:v>35.679700218786508</c:v>
                </c:pt>
                <c:pt idx="557">
                  <c:v>35.670314202634792</c:v>
                </c:pt>
                <c:pt idx="560">
                  <c:v>35.789125695668368</c:v>
                </c:pt>
                <c:pt idx="563">
                  <c:v>34.491382934264472</c:v>
                </c:pt>
                <c:pt idx="566">
                  <c:v>34.29240150386461</c:v>
                </c:pt>
                <c:pt idx="569">
                  <c:v>34.392621242793673</c:v>
                </c:pt>
                <c:pt idx="572">
                  <c:v>33.465950213187746</c:v>
                </c:pt>
                <c:pt idx="575">
                  <c:v>34.697757753804304</c:v>
                </c:pt>
                <c:pt idx="578">
                  <c:v>34.393477678244857</c:v>
                </c:pt>
                <c:pt idx="581">
                  <c:v>34.216147835347904</c:v>
                </c:pt>
                <c:pt idx="584">
                  <c:v>34.130879109033408</c:v>
                </c:pt>
                <c:pt idx="587">
                  <c:v>34.837589213061854</c:v>
                </c:pt>
                <c:pt idx="590">
                  <c:v>34.516629403375163</c:v>
                </c:pt>
                <c:pt idx="593">
                  <c:v>35.4106788507614</c:v>
                </c:pt>
                <c:pt idx="596">
                  <c:v>35.620769623344962</c:v>
                </c:pt>
                <c:pt idx="599">
                  <c:v>36.622719811634852</c:v>
                </c:pt>
                <c:pt idx="602">
                  <c:v>36.727156710524802</c:v>
                </c:pt>
                <c:pt idx="605">
                  <c:v>35.499341715844494</c:v>
                </c:pt>
                <c:pt idx="608">
                  <c:v>34.623320873914984</c:v>
                </c:pt>
                <c:pt idx="611">
                  <c:v>35.04541966520258</c:v>
                </c:pt>
                <c:pt idx="614">
                  <c:v>34.091155826861808</c:v>
                </c:pt>
                <c:pt idx="617">
                  <c:v>35.093344526657539</c:v>
                </c:pt>
                <c:pt idx="620">
                  <c:v>34.682365332913619</c:v>
                </c:pt>
                <c:pt idx="629">
                  <c:v>36.195561495028024</c:v>
                </c:pt>
                <c:pt idx="635">
                  <c:v>34.879234141804069</c:v>
                </c:pt>
                <c:pt idx="638">
                  <c:v>33.231581632663854</c:v>
                </c:pt>
                <c:pt idx="641">
                  <c:v>31.934950974776093</c:v>
                </c:pt>
                <c:pt idx="647">
                  <c:v>31.51212795582769</c:v>
                </c:pt>
                <c:pt idx="653">
                  <c:v>31.141504491827085</c:v>
                </c:pt>
                <c:pt idx="656">
                  <c:v>31.385011047628897</c:v>
                </c:pt>
                <c:pt idx="659">
                  <c:v>31.04380598317422</c:v>
                </c:pt>
                <c:pt idx="662">
                  <c:v>31.663448906204724</c:v>
                </c:pt>
                <c:pt idx="665">
                  <c:v>32.030803828493461</c:v>
                </c:pt>
                <c:pt idx="668">
                  <c:v>31.648931799851578</c:v>
                </c:pt>
                <c:pt idx="671">
                  <c:v>30.64149608975114</c:v>
                </c:pt>
                <c:pt idx="674">
                  <c:v>28.797351826800199</c:v>
                </c:pt>
                <c:pt idx="677">
                  <c:v>26.243534224474807</c:v>
                </c:pt>
                <c:pt idx="680">
                  <c:v>25.243063324451448</c:v>
                </c:pt>
                <c:pt idx="683">
                  <c:v>24.740189396104284</c:v>
                </c:pt>
                <c:pt idx="686">
                  <c:v>23.815068018173417</c:v>
                </c:pt>
                <c:pt idx="689">
                  <c:v>23.748966022271805</c:v>
                </c:pt>
                <c:pt idx="701">
                  <c:v>23.462005872885527</c:v>
                </c:pt>
                <c:pt idx="704">
                  <c:v>23.471216345653236</c:v>
                </c:pt>
                <c:pt idx="707">
                  <c:v>22.069841167377028</c:v>
                </c:pt>
                <c:pt idx="710">
                  <c:v>20.069027269008519</c:v>
                </c:pt>
                <c:pt idx="713">
                  <c:v>18.918555626448732</c:v>
                </c:pt>
                <c:pt idx="719">
                  <c:v>18.342139738352429</c:v>
                </c:pt>
                <c:pt idx="722">
                  <c:v>17.757595875372505</c:v>
                </c:pt>
                <c:pt idx="728">
                  <c:v>17.309857320177425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9-AE43-A77E-F6E508D2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'fuco update'!$L$3:$L$731</c:f>
              <c:numCache>
                <c:formatCode>General</c:formatCode>
                <c:ptCount val="729"/>
                <c:pt idx="2">
                  <c:v>0.28701608402521406</c:v>
                </c:pt>
                <c:pt idx="5">
                  <c:v>0.36742458992847171</c:v>
                </c:pt>
                <c:pt idx="8">
                  <c:v>0.36942181668998175</c:v>
                </c:pt>
                <c:pt idx="11">
                  <c:v>0.3522247716915316</c:v>
                </c:pt>
                <c:pt idx="14">
                  <c:v>0.39927058224708517</c:v>
                </c:pt>
                <c:pt idx="17">
                  <c:v>0.23032637400079758</c:v>
                </c:pt>
                <c:pt idx="20">
                  <c:v>0.34722544036509023</c:v>
                </c:pt>
                <c:pt idx="23">
                  <c:v>0.20919272807782888</c:v>
                </c:pt>
                <c:pt idx="26">
                  <c:v>0.36697424014991326</c:v>
                </c:pt>
                <c:pt idx="29">
                  <c:v>0.25942853997308568</c:v>
                </c:pt>
                <c:pt idx="32">
                  <c:v>0.26979723436516562</c:v>
                </c:pt>
                <c:pt idx="35">
                  <c:v>0.34468991819102018</c:v>
                </c:pt>
                <c:pt idx="38">
                  <c:v>0.30475587067956322</c:v>
                </c:pt>
                <c:pt idx="41">
                  <c:v>0.39524582785741214</c:v>
                </c:pt>
                <c:pt idx="44">
                  <c:v>0.31976290053666034</c:v>
                </c:pt>
                <c:pt idx="47">
                  <c:v>0.32436659231088733</c:v>
                </c:pt>
                <c:pt idx="50">
                  <c:v>0.40774876232367996</c:v>
                </c:pt>
                <c:pt idx="53">
                  <c:v>0.39441953741883828</c:v>
                </c:pt>
                <c:pt idx="56">
                  <c:v>0.30260944361776748</c:v>
                </c:pt>
                <c:pt idx="59">
                  <c:v>0.21911151851894206</c:v>
                </c:pt>
                <c:pt idx="62">
                  <c:v>0.33369836211031467</c:v>
                </c:pt>
                <c:pt idx="65">
                  <c:v>0.16718280792952708</c:v>
                </c:pt>
                <c:pt idx="68">
                  <c:v>0.18143590743372878</c:v>
                </c:pt>
                <c:pt idx="71">
                  <c:v>0.31014851561210655</c:v>
                </c:pt>
                <c:pt idx="74">
                  <c:v>0.28223748268614102</c:v>
                </c:pt>
                <c:pt idx="77">
                  <c:v>0.36914105431544408</c:v>
                </c:pt>
                <c:pt idx="80">
                  <c:v>0.51746005706116927</c:v>
                </c:pt>
                <c:pt idx="83">
                  <c:v>0.22044291862631585</c:v>
                </c:pt>
                <c:pt idx="86">
                  <c:v>0.4200591950373041</c:v>
                </c:pt>
                <c:pt idx="89">
                  <c:v>0.34054340982098513</c:v>
                </c:pt>
                <c:pt idx="92">
                  <c:v>0.32729342858959726</c:v>
                </c:pt>
                <c:pt idx="110">
                  <c:v>0.32683458028312629</c:v>
                </c:pt>
                <c:pt idx="113">
                  <c:v>0.27839788343795352</c:v>
                </c:pt>
                <c:pt idx="116">
                  <c:v>0.29016767930536236</c:v>
                </c:pt>
                <c:pt idx="119">
                  <c:v>0.30289542838097216</c:v>
                </c:pt>
                <c:pt idx="122">
                  <c:v>0.37388316132382776</c:v>
                </c:pt>
                <c:pt idx="125">
                  <c:v>0.33299167946245234</c:v>
                </c:pt>
                <c:pt idx="128">
                  <c:v>0.35102827676421128</c:v>
                </c:pt>
                <c:pt idx="131">
                  <c:v>0.29120182915367432</c:v>
                </c:pt>
                <c:pt idx="134">
                  <c:v>0.34435580837290908</c:v>
                </c:pt>
                <c:pt idx="137">
                  <c:v>0.17590178460113584</c:v>
                </c:pt>
                <c:pt idx="140">
                  <c:v>0.16310525943438822</c:v>
                </c:pt>
                <c:pt idx="143">
                  <c:v>0.20892233877613997</c:v>
                </c:pt>
                <c:pt idx="146">
                  <c:v>0.22376800153092891</c:v>
                </c:pt>
                <c:pt idx="149">
                  <c:v>0.2654096329741959</c:v>
                </c:pt>
                <c:pt idx="152">
                  <c:v>0.2890933282646051</c:v>
                </c:pt>
                <c:pt idx="155">
                  <c:v>0.28637125611997782</c:v>
                </c:pt>
                <c:pt idx="158">
                  <c:v>0.3240369970577438</c:v>
                </c:pt>
                <c:pt idx="161">
                  <c:v>0.34192318781884862</c:v>
                </c:pt>
                <c:pt idx="164">
                  <c:v>0.33060313266508973</c:v>
                </c:pt>
                <c:pt idx="167">
                  <c:v>0.22206868636241325</c:v>
                </c:pt>
                <c:pt idx="170">
                  <c:v>0.23261336794084289</c:v>
                </c:pt>
                <c:pt idx="173">
                  <c:v>0.11739951623182589</c:v>
                </c:pt>
                <c:pt idx="179">
                  <c:v>0.34942089512568797</c:v>
                </c:pt>
                <c:pt idx="182">
                  <c:v>0.2923599916758039</c:v>
                </c:pt>
                <c:pt idx="185">
                  <c:v>0.3474106813477702</c:v>
                </c:pt>
                <c:pt idx="188">
                  <c:v>0.33474541969412391</c:v>
                </c:pt>
                <c:pt idx="191">
                  <c:v>0.36394503962788677</c:v>
                </c:pt>
                <c:pt idx="194">
                  <c:v>0.29109831828334692</c:v>
                </c:pt>
                <c:pt idx="197">
                  <c:v>0.22968781202770974</c:v>
                </c:pt>
                <c:pt idx="200">
                  <c:v>0.39500455427999515</c:v>
                </c:pt>
                <c:pt idx="203">
                  <c:v>0.3277866603087693</c:v>
                </c:pt>
                <c:pt idx="206">
                  <c:v>0.30631765824845208</c:v>
                </c:pt>
                <c:pt idx="209">
                  <c:v>0.15841199030093228</c:v>
                </c:pt>
                <c:pt idx="212">
                  <c:v>0.27045745325484777</c:v>
                </c:pt>
                <c:pt idx="215">
                  <c:v>0.21381076987811115</c:v>
                </c:pt>
                <c:pt idx="218">
                  <c:v>0.30877831300604697</c:v>
                </c:pt>
                <c:pt idx="221">
                  <c:v>0.21907172306813077</c:v>
                </c:pt>
                <c:pt idx="224">
                  <c:v>0.352882174090211</c:v>
                </c:pt>
                <c:pt idx="227">
                  <c:v>0.37711463013882368</c:v>
                </c:pt>
                <c:pt idx="230">
                  <c:v>0.34385644460229675</c:v>
                </c:pt>
                <c:pt idx="233">
                  <c:v>0.38621844620537543</c:v>
                </c:pt>
                <c:pt idx="236">
                  <c:v>0.39207459665533434</c:v>
                </c:pt>
                <c:pt idx="239">
                  <c:v>0.24986209878199681</c:v>
                </c:pt>
                <c:pt idx="242">
                  <c:v>0.271006919926564</c:v>
                </c:pt>
                <c:pt idx="245">
                  <c:v>0.24950287055781742</c:v>
                </c:pt>
                <c:pt idx="248">
                  <c:v>0.25932957497374676</c:v>
                </c:pt>
                <c:pt idx="251">
                  <c:v>0.33019814988243057</c:v>
                </c:pt>
                <c:pt idx="254">
                  <c:v>0.22053059993970456</c:v>
                </c:pt>
                <c:pt idx="257">
                  <c:v>0.252410166520596</c:v>
                </c:pt>
                <c:pt idx="260">
                  <c:v>0.33950853881861925</c:v>
                </c:pt>
                <c:pt idx="263">
                  <c:v>0.36620739666424956</c:v>
                </c:pt>
                <c:pt idx="266">
                  <c:v>0.3747618291521117</c:v>
                </c:pt>
                <c:pt idx="269">
                  <c:v>0.36424122310305773</c:v>
                </c:pt>
                <c:pt idx="272">
                  <c:v>0.42538522048956556</c:v>
                </c:pt>
                <c:pt idx="275">
                  <c:v>0.35658691265494374</c:v>
                </c:pt>
                <c:pt idx="278">
                  <c:v>0.34833111748653001</c:v>
                </c:pt>
                <c:pt idx="281">
                  <c:v>0.1707936781361698</c:v>
                </c:pt>
                <c:pt idx="284">
                  <c:v>0.33323201621073967</c:v>
                </c:pt>
                <c:pt idx="287">
                  <c:v>0.30541403695536468</c:v>
                </c:pt>
                <c:pt idx="290">
                  <c:v>0.27189193434383097</c:v>
                </c:pt>
                <c:pt idx="293">
                  <c:v>0.28325753268902787</c:v>
                </c:pt>
                <c:pt idx="296">
                  <c:v>0.2750788643533123</c:v>
                </c:pt>
                <c:pt idx="299">
                  <c:v>0.34151940129551595</c:v>
                </c:pt>
                <c:pt idx="302">
                  <c:v>0.24304245956911827</c:v>
                </c:pt>
                <c:pt idx="305">
                  <c:v>0.33338802296964726</c:v>
                </c:pt>
                <c:pt idx="308">
                  <c:v>0.32084893882646698</c:v>
                </c:pt>
                <c:pt idx="311">
                  <c:v>0.15163091389950045</c:v>
                </c:pt>
                <c:pt idx="314">
                  <c:v>0.11358267716535432</c:v>
                </c:pt>
                <c:pt idx="317">
                  <c:v>0.17761131918435294</c:v>
                </c:pt>
                <c:pt idx="320">
                  <c:v>0.2792408355685605</c:v>
                </c:pt>
                <c:pt idx="323">
                  <c:v>0.40285956964892405</c:v>
                </c:pt>
                <c:pt idx="326">
                  <c:v>0.269701824195132</c:v>
                </c:pt>
                <c:pt idx="329">
                  <c:v>0.26661264181523503</c:v>
                </c:pt>
                <c:pt idx="332">
                  <c:v>0.37328600784606764</c:v>
                </c:pt>
                <c:pt idx="335">
                  <c:v>0.40832858843625436</c:v>
                </c:pt>
                <c:pt idx="338">
                  <c:v>0.40667438677755552</c:v>
                </c:pt>
                <c:pt idx="341">
                  <c:v>0.39710621090541487</c:v>
                </c:pt>
                <c:pt idx="344">
                  <c:v>0.40424687437983725</c:v>
                </c:pt>
                <c:pt idx="347">
                  <c:v>0.29352901934623082</c:v>
                </c:pt>
                <c:pt idx="350">
                  <c:v>0.22319725295688672</c:v>
                </c:pt>
                <c:pt idx="353">
                  <c:v>0.14711460308859386</c:v>
                </c:pt>
                <c:pt idx="356">
                  <c:v>0.20982376280257123</c:v>
                </c:pt>
                <c:pt idx="359">
                  <c:v>0.24360871561973768</c:v>
                </c:pt>
                <c:pt idx="362">
                  <c:v>0.22052686489306211</c:v>
                </c:pt>
                <c:pt idx="365">
                  <c:v>0.14184786874950936</c:v>
                </c:pt>
                <c:pt idx="368">
                  <c:v>0.29985598898002624</c:v>
                </c:pt>
                <c:pt idx="371">
                  <c:v>0.44210558626085189</c:v>
                </c:pt>
                <c:pt idx="374">
                  <c:v>0.18688179656560411</c:v>
                </c:pt>
                <c:pt idx="377">
                  <c:v>0.37051977827341903</c:v>
                </c:pt>
                <c:pt idx="380">
                  <c:v>0.47319867735560933</c:v>
                </c:pt>
                <c:pt idx="383">
                  <c:v>0.38054977797513312</c:v>
                </c:pt>
                <c:pt idx="386">
                  <c:v>0.29319732269275323</c:v>
                </c:pt>
                <c:pt idx="389">
                  <c:v>0.39680403642218631</c:v>
                </c:pt>
                <c:pt idx="392">
                  <c:v>0.38029303048687996</c:v>
                </c:pt>
                <c:pt idx="395">
                  <c:v>0.45847994371988698</c:v>
                </c:pt>
                <c:pt idx="398">
                  <c:v>0.27554737903225807</c:v>
                </c:pt>
                <c:pt idx="401">
                  <c:v>0.22843423742138366</c:v>
                </c:pt>
                <c:pt idx="404">
                  <c:v>0.41181408789966628</c:v>
                </c:pt>
                <c:pt idx="407">
                  <c:v>0.46427813935142132</c:v>
                </c:pt>
                <c:pt idx="410">
                  <c:v>0.34479267836720323</c:v>
                </c:pt>
                <c:pt idx="413">
                  <c:v>0.48827672830426555</c:v>
                </c:pt>
                <c:pt idx="416">
                  <c:v>0.37552759091352245</c:v>
                </c:pt>
                <c:pt idx="419">
                  <c:v>0.19938482365344065</c:v>
                </c:pt>
                <c:pt idx="422">
                  <c:v>0.23571173152309013</c:v>
                </c:pt>
                <c:pt idx="425">
                  <c:v>0.20546294606272816</c:v>
                </c:pt>
                <c:pt idx="428">
                  <c:v>0.18113985864971413</c:v>
                </c:pt>
                <c:pt idx="431">
                  <c:v>0.22677237455675914</c:v>
                </c:pt>
                <c:pt idx="434">
                  <c:v>0.4477112684446109</c:v>
                </c:pt>
                <c:pt idx="437">
                  <c:v>0.4134638188032983</c:v>
                </c:pt>
                <c:pt idx="440">
                  <c:v>0.34961106429087407</c:v>
                </c:pt>
                <c:pt idx="443">
                  <c:v>0.43640444809461215</c:v>
                </c:pt>
                <c:pt idx="446">
                  <c:v>0.64104703122404916</c:v>
                </c:pt>
                <c:pt idx="449">
                  <c:v>0.63663196213176987</c:v>
                </c:pt>
                <c:pt idx="452">
                  <c:v>0.38990555856832976</c:v>
                </c:pt>
                <c:pt idx="455">
                  <c:v>0.48700716246656345</c:v>
                </c:pt>
                <c:pt idx="458">
                  <c:v>0.3871466303856016</c:v>
                </c:pt>
                <c:pt idx="461">
                  <c:v>0.35635670340497688</c:v>
                </c:pt>
                <c:pt idx="464">
                  <c:v>0.37145453402494388</c:v>
                </c:pt>
                <c:pt idx="467">
                  <c:v>0.50063491746538868</c:v>
                </c:pt>
                <c:pt idx="470">
                  <c:v>0.40229230988593145</c:v>
                </c:pt>
                <c:pt idx="473">
                  <c:v>0.37606297619047624</c:v>
                </c:pt>
                <c:pt idx="476">
                  <c:v>0.44583205854329871</c:v>
                </c:pt>
                <c:pt idx="479">
                  <c:v>0.42385326940331991</c:v>
                </c:pt>
                <c:pt idx="482">
                  <c:v>0.43363951978854781</c:v>
                </c:pt>
                <c:pt idx="485">
                  <c:v>0.44465012552301258</c:v>
                </c:pt>
                <c:pt idx="488">
                  <c:v>0.58812434383202117</c:v>
                </c:pt>
                <c:pt idx="491">
                  <c:v>0.44507552931596089</c:v>
                </c:pt>
                <c:pt idx="494">
                  <c:v>0.31211199606327916</c:v>
                </c:pt>
                <c:pt idx="497">
                  <c:v>0.40664280161447369</c:v>
                </c:pt>
                <c:pt idx="500">
                  <c:v>0.35796466437466939</c:v>
                </c:pt>
                <c:pt idx="503">
                  <c:v>0.33370262183340488</c:v>
                </c:pt>
                <c:pt idx="506">
                  <c:v>0.37013068764967494</c:v>
                </c:pt>
                <c:pt idx="509">
                  <c:v>0.49411792871222071</c:v>
                </c:pt>
                <c:pt idx="512">
                  <c:v>0.51880516069221239</c:v>
                </c:pt>
                <c:pt idx="515">
                  <c:v>0.48326645258483969</c:v>
                </c:pt>
                <c:pt idx="518">
                  <c:v>0.40783456569697873</c:v>
                </c:pt>
                <c:pt idx="521">
                  <c:v>0.37890495326441009</c:v>
                </c:pt>
                <c:pt idx="524">
                  <c:v>0.55158734849990065</c:v>
                </c:pt>
                <c:pt idx="527">
                  <c:v>0.36151911256242797</c:v>
                </c:pt>
                <c:pt idx="530">
                  <c:v>0.24038311936040335</c:v>
                </c:pt>
                <c:pt idx="533">
                  <c:v>0.34376138963891817</c:v>
                </c:pt>
                <c:pt idx="536">
                  <c:v>0.394914134133661</c:v>
                </c:pt>
                <c:pt idx="539">
                  <c:v>0.38592859604059637</c:v>
                </c:pt>
                <c:pt idx="542">
                  <c:v>0.33153033625730999</c:v>
                </c:pt>
                <c:pt idx="545">
                  <c:v>0.36533126945938277</c:v>
                </c:pt>
                <c:pt idx="548">
                  <c:v>0.42008374301675988</c:v>
                </c:pt>
                <c:pt idx="551">
                  <c:v>0.33255499569866043</c:v>
                </c:pt>
                <c:pt idx="557">
                  <c:v>0.31077751414491694</c:v>
                </c:pt>
                <c:pt idx="560">
                  <c:v>0.32265171239735624</c:v>
                </c:pt>
                <c:pt idx="563">
                  <c:v>0.19144443575506373</c:v>
                </c:pt>
                <c:pt idx="566">
                  <c:v>0.29321638093068292</c:v>
                </c:pt>
                <c:pt idx="569">
                  <c:v>0.32092966510095772</c:v>
                </c:pt>
                <c:pt idx="572">
                  <c:v>0.22581467693406085</c:v>
                </c:pt>
                <c:pt idx="575">
                  <c:v>0.42574213753253065</c:v>
                </c:pt>
                <c:pt idx="578">
                  <c:v>0.28346317280453265</c:v>
                </c:pt>
                <c:pt idx="581">
                  <c:v>0.29522184300341292</c:v>
                </c:pt>
                <c:pt idx="584">
                  <c:v>0.30374893496165861</c:v>
                </c:pt>
                <c:pt idx="587">
                  <c:v>0.37710538083171863</c:v>
                </c:pt>
                <c:pt idx="590">
                  <c:v>0.28191822492618773</c:v>
                </c:pt>
                <c:pt idx="593">
                  <c:v>0.39445754716981124</c:v>
                </c:pt>
                <c:pt idx="596">
                  <c:v>0.33110638728616254</c:v>
                </c:pt>
                <c:pt idx="599">
                  <c:v>0.40445177246496283</c:v>
                </c:pt>
                <c:pt idx="602">
                  <c:v>0.32132027638315863</c:v>
                </c:pt>
                <c:pt idx="605">
                  <c:v>0.19792144276325846</c:v>
                </c:pt>
                <c:pt idx="608">
                  <c:v>0.23050611262431112</c:v>
                </c:pt>
                <c:pt idx="611">
                  <c:v>0.35074347119830063</c:v>
                </c:pt>
                <c:pt idx="614">
                  <c:v>0.22325891369543485</c:v>
                </c:pt>
                <c:pt idx="617">
                  <c:v>0.4044738644145171</c:v>
                </c:pt>
                <c:pt idx="620">
                  <c:v>0.27358024691358024</c:v>
                </c:pt>
                <c:pt idx="629">
                  <c:v>0.45180554780376164</c:v>
                </c:pt>
                <c:pt idx="635">
                  <c:v>0.18972305185989682</c:v>
                </c:pt>
                <c:pt idx="638">
                  <c:v>0.15903430749682337</c:v>
                </c:pt>
                <c:pt idx="641">
                  <c:v>0.19154744351014222</c:v>
                </c:pt>
                <c:pt idx="647">
                  <c:v>0.27248322147651005</c:v>
                </c:pt>
                <c:pt idx="653">
                  <c:v>0.27731816614960358</c:v>
                </c:pt>
                <c:pt idx="656">
                  <c:v>0.33420149917418368</c:v>
                </c:pt>
                <c:pt idx="659">
                  <c:v>0.28004302336951209</c:v>
                </c:pt>
                <c:pt idx="662">
                  <c:v>0.36904084841591112</c:v>
                </c:pt>
                <c:pt idx="665">
                  <c:v>0.34567286134223507</c:v>
                </c:pt>
                <c:pt idx="668">
                  <c:v>0.27627627627627627</c:v>
                </c:pt>
                <c:pt idx="671">
                  <c:v>0.21833390890602819</c:v>
                </c:pt>
                <c:pt idx="674">
                  <c:v>0.14083440599681987</c:v>
                </c:pt>
                <c:pt idx="677">
                  <c:v>7.5101444570686585E-2</c:v>
                </c:pt>
                <c:pt idx="680">
                  <c:v>0.21897901922191049</c:v>
                </c:pt>
                <c:pt idx="683">
                  <c:v>0.26506856596151801</c:v>
                </c:pt>
                <c:pt idx="686">
                  <c:v>0.22595821225958215</c:v>
                </c:pt>
                <c:pt idx="689">
                  <c:v>0.30552423900789183</c:v>
                </c:pt>
                <c:pt idx="701">
                  <c:v>0.28506741799154761</c:v>
                </c:pt>
                <c:pt idx="704">
                  <c:v>0.3125</c:v>
                </c:pt>
                <c:pt idx="707">
                  <c:v>0.18184556077581016</c:v>
                </c:pt>
                <c:pt idx="710">
                  <c:v>0.12632299838127256</c:v>
                </c:pt>
                <c:pt idx="713">
                  <c:v>0.20508531281365008</c:v>
                </c:pt>
                <c:pt idx="719">
                  <c:v>0.2582567970318107</c:v>
                </c:pt>
                <c:pt idx="722">
                  <c:v>0.25750394944707744</c:v>
                </c:pt>
                <c:pt idx="728">
                  <c:v>0.27017543859649118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5-1949-9BDE-FF100FDB7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'but-fuco update'!$N$3:$N$731</c:f>
              <c:numCache>
                <c:formatCode>General</c:formatCode>
                <c:ptCount val="729"/>
                <c:pt idx="2">
                  <c:v>-0.44434743109797642</c:v>
                </c:pt>
                <c:pt idx="5">
                  <c:v>-0.65926152771836788</c:v>
                </c:pt>
                <c:pt idx="8">
                  <c:v>-0.69803704105496545</c:v>
                </c:pt>
                <c:pt idx="11">
                  <c:v>-0.87908593354633069</c:v>
                </c:pt>
                <c:pt idx="14">
                  <c:v>-1.3234333646443071</c:v>
                </c:pt>
                <c:pt idx="17">
                  <c:v>-1.7677807957422835</c:v>
                </c:pt>
                <c:pt idx="20">
                  <c:v>-1.27910092926666</c:v>
                </c:pt>
                <c:pt idx="23">
                  <c:v>-1.1327516716543478</c:v>
                </c:pt>
                <c:pt idx="26">
                  <c:v>-1.4067076749123131</c:v>
                </c:pt>
                <c:pt idx="29">
                  <c:v>-1.5313922930329764</c:v>
                </c:pt>
                <c:pt idx="32">
                  <c:v>-1.9757397241309529</c:v>
                </c:pt>
                <c:pt idx="35">
                  <c:v>-2.3760844887211428</c:v>
                </c:pt>
                <c:pt idx="38">
                  <c:v>-2.3965120771188397</c:v>
                </c:pt>
                <c:pt idx="41">
                  <c:v>-2.7398012070494113</c:v>
                </c:pt>
                <c:pt idx="44">
                  <c:v>-2.9803378321983574</c:v>
                </c:pt>
                <c:pt idx="47">
                  <c:v>-3.4246852632963338</c:v>
                </c:pt>
                <c:pt idx="50">
                  <c:v>-3.83599756526749</c:v>
                </c:pt>
                <c:pt idx="53">
                  <c:v>-3.8861276319448872</c:v>
                </c:pt>
                <c:pt idx="56">
                  <c:v>-2.0278317269568418</c:v>
                </c:pt>
                <c:pt idx="59">
                  <c:v>-2.2576780977408886</c:v>
                </c:pt>
                <c:pt idx="62">
                  <c:v>6.203224236791768</c:v>
                </c:pt>
                <c:pt idx="65">
                  <c:v>5.9165706599965127</c:v>
                </c:pt>
                <c:pt idx="68">
                  <c:v>5.4722232288985362</c:v>
                </c:pt>
                <c:pt idx="71">
                  <c:v>5.2432540790233171</c:v>
                </c:pt>
                <c:pt idx="74">
                  <c:v>5.3428721207808838</c:v>
                </c:pt>
                <c:pt idx="77">
                  <c:v>5.1821516070415585</c:v>
                </c:pt>
                <c:pt idx="80">
                  <c:v>5.2800459336346721</c:v>
                </c:pt>
                <c:pt idx="83">
                  <c:v>5.1745998278496455</c:v>
                </c:pt>
                <c:pt idx="86">
                  <c:v>5.4629869881130455</c:v>
                </c:pt>
                <c:pt idx="89">
                  <c:v>5.9266156555179101</c:v>
                </c:pt>
                <c:pt idx="92">
                  <c:v>6.6875191818995967</c:v>
                </c:pt>
                <c:pt idx="95">
                  <c:v>7.9299982512255029</c:v>
                </c:pt>
                <c:pt idx="98">
                  <c:v>13.053975512744344</c:v>
                </c:pt>
                <c:pt idx="101">
                  <c:v>12.790254925569597</c:v>
                </c:pt>
                <c:pt idx="104">
                  <c:v>12.442985670814991</c:v>
                </c:pt>
                <c:pt idx="107">
                  <c:v>12.056095221095161</c:v>
                </c:pt>
                <c:pt idx="110">
                  <c:v>11.732029707291888</c:v>
                </c:pt>
                <c:pt idx="113">
                  <c:v>11.287682276193912</c:v>
                </c:pt>
                <c:pt idx="116">
                  <c:v>10.843334845095937</c:v>
                </c:pt>
                <c:pt idx="119">
                  <c:v>10.398987413997961</c:v>
                </c:pt>
                <c:pt idx="122">
                  <c:v>9.9546399828999856</c:v>
                </c:pt>
                <c:pt idx="125">
                  <c:v>9.5102925518020101</c:v>
                </c:pt>
                <c:pt idx="128">
                  <c:v>9.8167801092238456</c:v>
                </c:pt>
                <c:pt idx="131">
                  <c:v>9.37243267812587</c:v>
                </c:pt>
                <c:pt idx="134">
                  <c:v>9.4638131017524891</c:v>
                </c:pt>
                <c:pt idx="137">
                  <c:v>9.5910332571963313</c:v>
                </c:pt>
                <c:pt idx="140">
                  <c:v>9.1466858260983557</c:v>
                </c:pt>
                <c:pt idx="143">
                  <c:v>8.7023383950003801</c:v>
                </c:pt>
                <c:pt idx="146">
                  <c:v>8.2579909639024045</c:v>
                </c:pt>
                <c:pt idx="149">
                  <c:v>7.813643532804428</c:v>
                </c:pt>
                <c:pt idx="152">
                  <c:v>7.3692961017064516</c:v>
                </c:pt>
                <c:pt idx="155">
                  <c:v>6.9249486706084751</c:v>
                </c:pt>
                <c:pt idx="158">
                  <c:v>6.4806012395104986</c:v>
                </c:pt>
                <c:pt idx="161">
                  <c:v>6.1027934931866543</c:v>
                </c:pt>
                <c:pt idx="164">
                  <c:v>6.4286411004710908</c:v>
                </c:pt>
                <c:pt idx="167">
                  <c:v>6.3299796160850201</c:v>
                </c:pt>
                <c:pt idx="170">
                  <c:v>8.7469063478312616</c:v>
                </c:pt>
                <c:pt idx="173">
                  <c:v>8.3025589167332861</c:v>
                </c:pt>
                <c:pt idx="179">
                  <c:v>7.8582114856353096</c:v>
                </c:pt>
                <c:pt idx="182">
                  <c:v>7.4138640545373331</c:v>
                </c:pt>
                <c:pt idx="185">
                  <c:v>6.9695166234393566</c:v>
                </c:pt>
                <c:pt idx="188">
                  <c:v>6.5251691923413802</c:v>
                </c:pt>
                <c:pt idx="191">
                  <c:v>6.0808217612434037</c:v>
                </c:pt>
                <c:pt idx="194">
                  <c:v>5.6364743301454272</c:v>
                </c:pt>
                <c:pt idx="197">
                  <c:v>5.1921268990474507</c:v>
                </c:pt>
                <c:pt idx="200">
                  <c:v>5.9209752137021017</c:v>
                </c:pt>
                <c:pt idx="203">
                  <c:v>7.7900661596670187</c:v>
                </c:pt>
                <c:pt idx="206">
                  <c:v>12.682773815373258</c:v>
                </c:pt>
                <c:pt idx="209">
                  <c:v>12.238426384275282</c:v>
                </c:pt>
                <c:pt idx="212">
                  <c:v>12.171343836035517</c:v>
                </c:pt>
                <c:pt idx="215">
                  <c:v>11.845476936810453</c:v>
                </c:pt>
                <c:pt idx="218">
                  <c:v>11.403530563303608</c:v>
                </c:pt>
                <c:pt idx="221">
                  <c:v>10.960713253864066</c:v>
                </c:pt>
                <c:pt idx="224">
                  <c:v>10.517018554662892</c:v>
                </c:pt>
                <c:pt idx="227">
                  <c:v>10.073063906056309</c:v>
                </c:pt>
                <c:pt idx="230">
                  <c:v>9.629350422059769</c:v>
                </c:pt>
                <c:pt idx="233">
                  <c:v>9.5157117687413724</c:v>
                </c:pt>
                <c:pt idx="236">
                  <c:v>9.8245383614149908</c:v>
                </c:pt>
                <c:pt idx="239">
                  <c:v>9.3829849871671023</c:v>
                </c:pt>
                <c:pt idx="242">
                  <c:v>10.851768708081718</c:v>
                </c:pt>
                <c:pt idx="245">
                  <c:v>10.408262545466558</c:v>
                </c:pt>
                <c:pt idx="248">
                  <c:v>9.9644330410566191</c:v>
                </c:pt>
                <c:pt idx="251">
                  <c:v>9.5213483317156022</c:v>
                </c:pt>
                <c:pt idx="254">
                  <c:v>9.4065936959787013</c:v>
                </c:pt>
                <c:pt idx="257">
                  <c:v>8.9857091683035613</c:v>
                </c:pt>
                <c:pt idx="260">
                  <c:v>8.5493425817027617</c:v>
                </c:pt>
                <c:pt idx="263">
                  <c:v>9.3577111603996919</c:v>
                </c:pt>
                <c:pt idx="266">
                  <c:v>9.1191905721787627</c:v>
                </c:pt>
                <c:pt idx="269">
                  <c:v>8.7279003918277258</c:v>
                </c:pt>
                <c:pt idx="272">
                  <c:v>8.2922243877640458</c:v>
                </c:pt>
                <c:pt idx="275">
                  <c:v>13.250498187834129</c:v>
                </c:pt>
                <c:pt idx="278">
                  <c:v>16.967766171317031</c:v>
                </c:pt>
                <c:pt idx="281">
                  <c:v>16.717122740252133</c:v>
                </c:pt>
                <c:pt idx="284">
                  <c:v>17.836165615784736</c:v>
                </c:pt>
                <c:pt idx="287">
                  <c:v>17.39894305008248</c:v>
                </c:pt>
                <c:pt idx="290">
                  <c:v>16.969313141142532</c:v>
                </c:pt>
                <c:pt idx="293">
                  <c:v>16.551599906980059</c:v>
                </c:pt>
                <c:pt idx="296">
                  <c:v>16.117105168292081</c:v>
                </c:pt>
                <c:pt idx="299">
                  <c:v>15.678650392047201</c:v>
                </c:pt>
                <c:pt idx="302">
                  <c:v>15.49848599836614</c:v>
                </c:pt>
                <c:pt idx="305">
                  <c:v>15.08488478706114</c:v>
                </c:pt>
                <c:pt idx="308">
                  <c:v>14.669781770700709</c:v>
                </c:pt>
                <c:pt idx="311">
                  <c:v>14.280502870204611</c:v>
                </c:pt>
                <c:pt idx="314">
                  <c:v>13.848451909555335</c:v>
                </c:pt>
                <c:pt idx="317">
                  <c:v>13.731673640632675</c:v>
                </c:pt>
                <c:pt idx="320">
                  <c:v>14.033764018857729</c:v>
                </c:pt>
                <c:pt idx="323">
                  <c:v>15.292724667544508</c:v>
                </c:pt>
                <c:pt idx="326">
                  <c:v>16.097759011135128</c:v>
                </c:pt>
                <c:pt idx="329">
                  <c:v>15.691377181665635</c:v>
                </c:pt>
                <c:pt idx="332">
                  <c:v>15.25403136497596</c:v>
                </c:pt>
                <c:pt idx="335">
                  <c:v>14.845254576302047</c:v>
                </c:pt>
                <c:pt idx="338">
                  <c:v>14.407483870871099</c:v>
                </c:pt>
                <c:pt idx="341">
                  <c:v>13.974978036496022</c:v>
                </c:pt>
                <c:pt idx="344">
                  <c:v>13.549227246728996</c:v>
                </c:pt>
                <c:pt idx="347">
                  <c:v>13.146553032635669</c:v>
                </c:pt>
                <c:pt idx="350">
                  <c:v>13.075625276499171</c:v>
                </c:pt>
                <c:pt idx="353">
                  <c:v>12.696159236783634</c:v>
                </c:pt>
                <c:pt idx="356">
                  <c:v>12.257575983217771</c:v>
                </c:pt>
                <c:pt idx="359">
                  <c:v>11.822791148927378</c:v>
                </c:pt>
                <c:pt idx="362">
                  <c:v>11.402882712304908</c:v>
                </c:pt>
                <c:pt idx="365">
                  <c:v>10.973246852295841</c:v>
                </c:pt>
                <c:pt idx="368">
                  <c:v>10.540633076550577</c:v>
                </c:pt>
                <c:pt idx="371">
                  <c:v>10.096285645452602</c:v>
                </c:pt>
                <c:pt idx="374">
                  <c:v>9.651938214354626</c:v>
                </c:pt>
                <c:pt idx="377">
                  <c:v>9.2075907832566504</c:v>
                </c:pt>
                <c:pt idx="380">
                  <c:v>8.7632433521586748</c:v>
                </c:pt>
                <c:pt idx="383">
                  <c:v>8.3188959210606992</c:v>
                </c:pt>
                <c:pt idx="386">
                  <c:v>7.8745484899627227</c:v>
                </c:pt>
                <c:pt idx="389">
                  <c:v>7.4871652953821934</c:v>
                </c:pt>
                <c:pt idx="392">
                  <c:v>7.042817864284217</c:v>
                </c:pt>
                <c:pt idx="395">
                  <c:v>6.7311404248648063</c:v>
                </c:pt>
                <c:pt idx="398">
                  <c:v>6.2867929937668299</c:v>
                </c:pt>
                <c:pt idx="401">
                  <c:v>6.1167564975311324</c:v>
                </c:pt>
                <c:pt idx="404">
                  <c:v>5.6724090664331559</c:v>
                </c:pt>
                <c:pt idx="407">
                  <c:v>5.4272091973924965</c:v>
                </c:pt>
                <c:pt idx="410">
                  <c:v>4.98286176629452</c:v>
                </c:pt>
                <c:pt idx="413">
                  <c:v>4.5385143351965436</c:v>
                </c:pt>
                <c:pt idx="416">
                  <c:v>4.0941669040985671</c:v>
                </c:pt>
                <c:pt idx="419">
                  <c:v>3.6498194730005906</c:v>
                </c:pt>
                <c:pt idx="422">
                  <c:v>3.2054720419026141</c:v>
                </c:pt>
                <c:pt idx="425">
                  <c:v>2.7611246108046377</c:v>
                </c:pt>
                <c:pt idx="428">
                  <c:v>2.3167771797066612</c:v>
                </c:pt>
                <c:pt idx="431">
                  <c:v>1.8724297486086847</c:v>
                </c:pt>
                <c:pt idx="434">
                  <c:v>1.4280823175107082</c:v>
                </c:pt>
                <c:pt idx="437">
                  <c:v>1.3919012639352071</c:v>
                </c:pt>
                <c:pt idx="440">
                  <c:v>0.9475538328372306</c:v>
                </c:pt>
                <c:pt idx="443">
                  <c:v>0.67131070529074832</c:v>
                </c:pt>
                <c:pt idx="446">
                  <c:v>1.3129176118964714</c:v>
                </c:pt>
                <c:pt idx="449">
                  <c:v>1.2974961966175822</c:v>
                </c:pt>
                <c:pt idx="452">
                  <c:v>0.85314876551960572</c:v>
                </c:pt>
                <c:pt idx="455">
                  <c:v>2.7020396672722349</c:v>
                </c:pt>
                <c:pt idx="458">
                  <c:v>2.6483177436086267</c:v>
                </c:pt>
                <c:pt idx="461">
                  <c:v>2.2039703125106502</c:v>
                </c:pt>
                <c:pt idx="464">
                  <c:v>1.7596228814126738</c:v>
                </c:pt>
                <c:pt idx="467">
                  <c:v>1.3152754503146973</c:v>
                </c:pt>
                <c:pt idx="470">
                  <c:v>1.2018923405690563</c:v>
                </c:pt>
                <c:pt idx="473">
                  <c:v>0.75754490947107977</c:v>
                </c:pt>
                <c:pt idx="476">
                  <c:v>0.31319747837310336</c:v>
                </c:pt>
                <c:pt idx="479">
                  <c:v>-0.13114995272487306</c:v>
                </c:pt>
                <c:pt idx="482">
                  <c:v>-0.57549738382284943</c:v>
                </c:pt>
                <c:pt idx="485">
                  <c:v>-1.0198448149208259</c:v>
                </c:pt>
                <c:pt idx="488">
                  <c:v>-1.4641922460188024</c:v>
                </c:pt>
                <c:pt idx="491">
                  <c:v>-1.9085396771167789</c:v>
                </c:pt>
                <c:pt idx="494">
                  <c:v>-2.2466119823338455</c:v>
                </c:pt>
                <c:pt idx="497">
                  <c:v>-2.690959413431822</c:v>
                </c:pt>
                <c:pt idx="500">
                  <c:v>-3.1353068445297985</c:v>
                </c:pt>
                <c:pt idx="503">
                  <c:v>-3.5796542756277749</c:v>
                </c:pt>
                <c:pt idx="506">
                  <c:v>-4.024001706725751</c:v>
                </c:pt>
                <c:pt idx="509">
                  <c:v>-4.4683491378237274</c:v>
                </c:pt>
                <c:pt idx="512">
                  <c:v>-4.9126965689217039</c:v>
                </c:pt>
                <c:pt idx="515">
                  <c:v>-5.3570440000196804</c:v>
                </c:pt>
                <c:pt idx="518">
                  <c:v>-5.8013914311176569</c:v>
                </c:pt>
                <c:pt idx="521">
                  <c:v>-6.2457388622156333</c:v>
                </c:pt>
                <c:pt idx="524">
                  <c:v>-5.8606504591436668</c:v>
                </c:pt>
                <c:pt idx="527">
                  <c:v>-6.3049978902416433</c:v>
                </c:pt>
                <c:pt idx="530">
                  <c:v>-6.4523779890849431</c:v>
                </c:pt>
                <c:pt idx="533">
                  <c:v>-6.5259134356022166</c:v>
                </c:pt>
                <c:pt idx="536">
                  <c:v>-6.9702608667001931</c:v>
                </c:pt>
                <c:pt idx="539">
                  <c:v>-7.4146082977981695</c:v>
                </c:pt>
                <c:pt idx="542">
                  <c:v>-7.858955728896146</c:v>
                </c:pt>
                <c:pt idx="545">
                  <c:v>-8.3033031599941225</c:v>
                </c:pt>
                <c:pt idx="548">
                  <c:v>-8.7476505910920981</c:v>
                </c:pt>
                <c:pt idx="551">
                  <c:v>-8.8644220691270341</c:v>
                </c:pt>
                <c:pt idx="557">
                  <c:v>-9.0180149672202159</c:v>
                </c:pt>
                <c:pt idx="560">
                  <c:v>-7.0663181910725905</c:v>
                </c:pt>
                <c:pt idx="563">
                  <c:v>-7.3787541056303363</c:v>
                </c:pt>
                <c:pt idx="566">
                  <c:v>-7.6309556619205514</c:v>
                </c:pt>
                <c:pt idx="569">
                  <c:v>-7.7818626966569493</c:v>
                </c:pt>
                <c:pt idx="572">
                  <c:v>-7.8662034046402711</c:v>
                </c:pt>
                <c:pt idx="575">
                  <c:v>-5.389609715462341</c:v>
                </c:pt>
                <c:pt idx="578">
                  <c:v>-5.5832419929038384</c:v>
                </c:pt>
                <c:pt idx="581">
                  <c:v>-5.5940500219793323</c:v>
                </c:pt>
                <c:pt idx="584">
                  <c:v>-5.461757207092921</c:v>
                </c:pt>
                <c:pt idx="587">
                  <c:v>-5.5941620799523912</c:v>
                </c:pt>
                <c:pt idx="590">
                  <c:v>-5.6975583306103905</c:v>
                </c:pt>
                <c:pt idx="593">
                  <c:v>-5.971897641848674</c:v>
                </c:pt>
                <c:pt idx="596">
                  <c:v>-6.3024182219730456</c:v>
                </c:pt>
                <c:pt idx="599">
                  <c:v>-3.5776560793665313</c:v>
                </c:pt>
                <c:pt idx="602">
                  <c:v>-1.2022558375069798</c:v>
                </c:pt>
                <c:pt idx="605">
                  <c:v>-1.1644311741359079</c:v>
                </c:pt>
                <c:pt idx="608">
                  <c:v>-6.1125869910914066E-3</c:v>
                </c:pt>
                <c:pt idx="611">
                  <c:v>-0.13431246804534711</c:v>
                </c:pt>
                <c:pt idx="614">
                  <c:v>-0.41906162150748028</c:v>
                </c:pt>
                <c:pt idx="617">
                  <c:v>-0.54969278315912296</c:v>
                </c:pt>
                <c:pt idx="620">
                  <c:v>-0.40445236552674702</c:v>
                </c:pt>
                <c:pt idx="629">
                  <c:v>-0.41469791124586447</c:v>
                </c:pt>
                <c:pt idx="635">
                  <c:v>-0.42226495526508834</c:v>
                </c:pt>
                <c:pt idx="638">
                  <c:v>-0.82533525152286202</c:v>
                </c:pt>
                <c:pt idx="641">
                  <c:v>-1.2211348731254965</c:v>
                </c:pt>
                <c:pt idx="647">
                  <c:v>-1.3580122871218199</c:v>
                </c:pt>
                <c:pt idx="653">
                  <c:v>-1.6085480221204782</c:v>
                </c:pt>
                <c:pt idx="656">
                  <c:v>-1.9536830481526433</c:v>
                </c:pt>
                <c:pt idx="659">
                  <c:v>-2.1720134915600928</c:v>
                </c:pt>
                <c:pt idx="662">
                  <c:v>-2.5160407185386617</c:v>
                </c:pt>
                <c:pt idx="665">
                  <c:v>-2.7767467411589637</c:v>
                </c:pt>
                <c:pt idx="668">
                  <c:v>-2.3706201855591655</c:v>
                </c:pt>
                <c:pt idx="671">
                  <c:v>-1.8441188990331454</c:v>
                </c:pt>
                <c:pt idx="674">
                  <c:v>-2.1560195307738841</c:v>
                </c:pt>
                <c:pt idx="677">
                  <c:v>-2.4817293851473075</c:v>
                </c:pt>
                <c:pt idx="680">
                  <c:v>-2.8083476705524206</c:v>
                </c:pt>
                <c:pt idx="683">
                  <c:v>-3.063425298560507</c:v>
                </c:pt>
                <c:pt idx="686">
                  <c:v>-3.1533566508490947</c:v>
                </c:pt>
                <c:pt idx="689">
                  <c:v>-3.1602903621873364</c:v>
                </c:pt>
                <c:pt idx="701">
                  <c:v>1.4620443954401359</c:v>
                </c:pt>
                <c:pt idx="704">
                  <c:v>1.2887424302322881</c:v>
                </c:pt>
                <c:pt idx="707">
                  <c:v>1.4577540937681328</c:v>
                </c:pt>
                <c:pt idx="710">
                  <c:v>1.2584418997514564</c:v>
                </c:pt>
                <c:pt idx="713">
                  <c:v>0.88376221446006675</c:v>
                </c:pt>
                <c:pt idx="719">
                  <c:v>0.56480779258699054</c:v>
                </c:pt>
                <c:pt idx="722">
                  <c:v>0.54483688416610065</c:v>
                </c:pt>
                <c:pt idx="728">
                  <c:v>0.16624321083591098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E-174F-ADA0-199D7B476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'but-fuco update'!$L$3:$L$731</c:f>
              <c:numCache>
                <c:formatCode>General</c:formatCode>
                <c:ptCount val="729"/>
                <c:pt idx="2">
                  <c:v>0</c:v>
                </c:pt>
                <c:pt idx="5">
                  <c:v>3.6725600247791688E-3</c:v>
                </c:pt>
                <c:pt idx="8">
                  <c:v>6.4920261728096153E-3</c:v>
                </c:pt>
                <c:pt idx="11">
                  <c:v>4.2146433937823718E-3</c:v>
                </c:pt>
                <c:pt idx="14">
                  <c:v>0</c:v>
                </c:pt>
                <c:pt idx="17">
                  <c:v>0</c:v>
                </c:pt>
                <c:pt idx="20">
                  <c:v>1.4935051887289339E-2</c:v>
                </c:pt>
                <c:pt idx="23">
                  <c:v>9.455335035191987E-3</c:v>
                </c:pt>
                <c:pt idx="26">
                  <c:v>2.7274709138283724E-3</c:v>
                </c:pt>
                <c:pt idx="29">
                  <c:v>5.1168714041578585E-3</c:v>
                </c:pt>
                <c:pt idx="32">
                  <c:v>0</c:v>
                </c:pt>
                <c:pt idx="35">
                  <c:v>7.043546412649742E-4</c:v>
                </c:pt>
                <c:pt idx="38">
                  <c:v>6.7857230578838232E-3</c:v>
                </c:pt>
                <c:pt idx="41">
                  <c:v>1.6176493179798359E-3</c:v>
                </c:pt>
                <c:pt idx="44">
                  <c:v>3.262417905622868E-3</c:v>
                </c:pt>
                <c:pt idx="47">
                  <c:v>0</c:v>
                </c:pt>
                <c:pt idx="50">
                  <c:v>5.2879628376943742E-4</c:v>
                </c:pt>
                <c:pt idx="53">
                  <c:v>6.3102728160291171E-3</c:v>
                </c:pt>
                <c:pt idx="56">
                  <c:v>3.6858619026259476E-2</c:v>
                </c:pt>
                <c:pt idx="59">
                  <c:v>3.4335377689358646E-3</c:v>
                </c:pt>
                <c:pt idx="62">
                  <c:v>0.14254713411369752</c:v>
                </c:pt>
                <c:pt idx="65">
                  <c:v>2.524219711944707E-3</c:v>
                </c:pt>
                <c:pt idx="68">
                  <c:v>0</c:v>
                </c:pt>
                <c:pt idx="71">
                  <c:v>3.4475795229381673E-3</c:v>
                </c:pt>
                <c:pt idx="74">
                  <c:v>8.7073042590702591E-3</c:v>
                </c:pt>
                <c:pt idx="77">
                  <c:v>4.5400415812048966E-3</c:v>
                </c:pt>
                <c:pt idx="80">
                  <c:v>8.6797125953676363E-3</c:v>
                </c:pt>
                <c:pt idx="83">
                  <c:v>5.4248240018087528E-3</c:v>
                </c:pt>
                <c:pt idx="86">
                  <c:v>1.1728948520641384E-2</c:v>
                </c:pt>
                <c:pt idx="89">
                  <c:v>1.4534055090160704E-2</c:v>
                </c:pt>
                <c:pt idx="92">
                  <c:v>1.9292560500614921E-2</c:v>
                </c:pt>
                <c:pt idx="95">
                  <c:v>2.7001183539003677E-2</c:v>
                </c:pt>
                <c:pt idx="98">
                  <c:v>8.9132674280568369E-2</c:v>
                </c:pt>
                <c:pt idx="101">
                  <c:v>2.8913101398493081E-3</c:v>
                </c:pt>
                <c:pt idx="104">
                  <c:v>1.553939101869952E-3</c:v>
                </c:pt>
                <c:pt idx="107">
                  <c:v>9.1971906974342625E-4</c:v>
                </c:pt>
                <c:pt idx="110">
                  <c:v>1.925363470683819E-3</c:v>
                </c:pt>
                <c:pt idx="113">
                  <c:v>0</c:v>
                </c:pt>
                <c:pt idx="116">
                  <c:v>0</c:v>
                </c:pt>
                <c:pt idx="119">
                  <c:v>0</c:v>
                </c:pt>
                <c:pt idx="122">
                  <c:v>0</c:v>
                </c:pt>
                <c:pt idx="125">
                  <c:v>0</c:v>
                </c:pt>
                <c:pt idx="128">
                  <c:v>1.2018683206266104E-2</c:v>
                </c:pt>
                <c:pt idx="131">
                  <c:v>0</c:v>
                </c:pt>
                <c:pt idx="134">
                  <c:v>8.5754439645929961E-3</c:v>
                </c:pt>
                <c:pt idx="137">
                  <c:v>9.1491337759294512E-3</c:v>
                </c:pt>
                <c:pt idx="140">
                  <c:v>0</c:v>
                </c:pt>
                <c:pt idx="143">
                  <c:v>0</c:v>
                </c:pt>
                <c:pt idx="146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61">
                  <c:v>1.0651067200819397E-3</c:v>
                </c:pt>
                <c:pt idx="164">
                  <c:v>1.2328581266044638E-2</c:v>
                </c:pt>
                <c:pt idx="167">
                  <c:v>5.5334260468856067E-3</c:v>
                </c:pt>
                <c:pt idx="170">
                  <c:v>4.5800672924543047E-2</c:v>
                </c:pt>
                <c:pt idx="173">
                  <c:v>0</c:v>
                </c:pt>
                <c:pt idx="179">
                  <c:v>0</c:v>
                </c:pt>
                <c:pt idx="182">
                  <c:v>0</c:v>
                </c:pt>
                <c:pt idx="185">
                  <c:v>0</c:v>
                </c:pt>
                <c:pt idx="188">
                  <c:v>0</c:v>
                </c:pt>
                <c:pt idx="191">
                  <c:v>0</c:v>
                </c:pt>
                <c:pt idx="194">
                  <c:v>0</c:v>
                </c:pt>
                <c:pt idx="197">
                  <c:v>0</c:v>
                </c:pt>
                <c:pt idx="200">
                  <c:v>1.8779449842817098E-2</c:v>
                </c:pt>
                <c:pt idx="203">
                  <c:v>3.7031416218296906E-2</c:v>
                </c:pt>
                <c:pt idx="206">
                  <c:v>8.5430720895338805E-2</c:v>
                </c:pt>
                <c:pt idx="209">
                  <c:v>0</c:v>
                </c:pt>
                <c:pt idx="212">
                  <c:v>6.0389129186169989E-3</c:v>
                </c:pt>
                <c:pt idx="215">
                  <c:v>1.8965285321847899E-3</c:v>
                </c:pt>
                <c:pt idx="218">
                  <c:v>3.8433944860100441E-5</c:v>
                </c:pt>
                <c:pt idx="221">
                  <c:v>2.4492795036126873E-5</c:v>
                </c:pt>
                <c:pt idx="224">
                  <c:v>1.0448338191810592E-5</c:v>
                </c:pt>
                <c:pt idx="227">
                  <c:v>6.2873046744014493E-6</c:v>
                </c:pt>
                <c:pt idx="230">
                  <c:v>1.0147648282510528E-5</c:v>
                </c:pt>
                <c:pt idx="233">
                  <c:v>5.2936851564414668E-3</c:v>
                </c:pt>
                <c:pt idx="236">
                  <c:v>1.2056124353960735E-2</c:v>
                </c:pt>
                <c:pt idx="239">
                  <c:v>4.4724719352386056E-5</c:v>
                </c:pt>
                <c:pt idx="242">
                  <c:v>3.0623662455324645E-2</c:v>
                </c:pt>
                <c:pt idx="245">
                  <c:v>1.3466260284856293E-5</c:v>
                </c:pt>
                <c:pt idx="248">
                  <c:v>8.2904990880451008E-6</c:v>
                </c:pt>
                <c:pt idx="251">
                  <c:v>2.0212500757968778E-5</c:v>
                </c:pt>
                <c:pt idx="254">
                  <c:v>5.2758215254748268E-3</c:v>
                </c:pt>
                <c:pt idx="257">
                  <c:v>3.7557280580944035E-4</c:v>
                </c:pt>
                <c:pt idx="260">
                  <c:v>1.2775009582215407E-4</c:v>
                </c:pt>
                <c:pt idx="263">
                  <c:v>2.0052337862975691E-2</c:v>
                </c:pt>
                <c:pt idx="266">
                  <c:v>3.2946887900920925E-3</c:v>
                </c:pt>
                <c:pt idx="269">
                  <c:v>8.492921857304644E-4</c:v>
                </c:pt>
                <c:pt idx="272">
                  <c:v>1.3880431261857387E-4</c:v>
                </c:pt>
                <c:pt idx="275">
                  <c:v>8.6480244066493711E-2</c:v>
                </c:pt>
                <c:pt idx="278">
                  <c:v>6.6615352319641732E-2</c:v>
                </c:pt>
                <c:pt idx="281">
                  <c:v>3.1006373541191158E-3</c:v>
                </c:pt>
                <c:pt idx="284">
                  <c:v>2.5025329280648431E-2</c:v>
                </c:pt>
                <c:pt idx="287">
                  <c:v>1.1404836134134286E-4</c:v>
                </c:pt>
                <c:pt idx="290">
                  <c:v>2.3558470117018769E-4</c:v>
                </c:pt>
                <c:pt idx="293">
                  <c:v>4.2633598635588408E-4</c:v>
                </c:pt>
                <c:pt idx="296">
                  <c:v>1.5771293375394321E-4</c:v>
                </c:pt>
                <c:pt idx="299">
                  <c:v>9.4324256336079479E-5</c:v>
                </c:pt>
                <c:pt idx="302">
                  <c:v>4.2288016458083321E-3</c:v>
                </c:pt>
                <c:pt idx="305">
                  <c:v>4.9215750615258405E-4</c:v>
                </c:pt>
                <c:pt idx="308">
                  <c:v>4.6811797752808993E-4</c:v>
                </c:pt>
                <c:pt idx="311">
                  <c:v>8.8148692330296784E-4</c:v>
                </c:pt>
                <c:pt idx="314">
                  <c:v>1.9683070866141731E-4</c:v>
                </c:pt>
                <c:pt idx="317">
                  <c:v>5.2434290470245526E-3</c:v>
                </c:pt>
                <c:pt idx="320">
                  <c:v>1.1948297163293506E-2</c:v>
                </c:pt>
                <c:pt idx="323">
                  <c:v>2.7265005662514157E-2</c:v>
                </c:pt>
                <c:pt idx="326">
                  <c:v>1.9998966461681564E-2</c:v>
                </c:pt>
                <c:pt idx="329">
                  <c:v>6.0771880064829824E-4</c:v>
                </c:pt>
                <c:pt idx="332">
                  <c:v>1.120754716981132E-4</c:v>
                </c:pt>
                <c:pt idx="335">
                  <c:v>5.6938247321289921E-4</c:v>
                </c:pt>
                <c:pt idx="338">
                  <c:v>1.0527423939362037E-4</c:v>
                </c:pt>
                <c:pt idx="341">
                  <c:v>1.895495040121312E-4</c:v>
                </c:pt>
                <c:pt idx="344">
                  <c:v>2.9767811073625719E-4</c:v>
                </c:pt>
                <c:pt idx="347">
                  <c:v>6.6706693351122959E-4</c:v>
                </c:pt>
                <c:pt idx="350">
                  <c:v>5.9773623298995287E-3</c:v>
                </c:pt>
                <c:pt idx="353">
                  <c:v>1.0385622685812335E-3</c:v>
                </c:pt>
                <c:pt idx="356">
                  <c:v>9.2267708301294843E-5</c:v>
                </c:pt>
                <c:pt idx="359">
                  <c:v>1.5306934734908402E-4</c:v>
                </c:pt>
                <c:pt idx="362">
                  <c:v>3.911971830985916E-4</c:v>
                </c:pt>
                <c:pt idx="365">
                  <c:v>2.3548944187141849E-4</c:v>
                </c:pt>
                <c:pt idx="368">
                  <c:v>1.8782167678918038E-4</c:v>
                </c:pt>
                <c:pt idx="371">
                  <c:v>0</c:v>
                </c:pt>
                <c:pt idx="374">
                  <c:v>0</c:v>
                </c:pt>
                <c:pt idx="377">
                  <c:v>0</c:v>
                </c:pt>
                <c:pt idx="380">
                  <c:v>0</c:v>
                </c:pt>
                <c:pt idx="383">
                  <c:v>0</c:v>
                </c:pt>
                <c:pt idx="386">
                  <c:v>0</c:v>
                </c:pt>
                <c:pt idx="389">
                  <c:v>9.1183165843095873E-4</c:v>
                </c:pt>
                <c:pt idx="392">
                  <c:v>0</c:v>
                </c:pt>
                <c:pt idx="395">
                  <c:v>2.1236604917760425E-3</c:v>
                </c:pt>
                <c:pt idx="398">
                  <c:v>0</c:v>
                </c:pt>
                <c:pt idx="401">
                  <c:v>4.3909198113207546E-3</c:v>
                </c:pt>
                <c:pt idx="404">
                  <c:v>0</c:v>
                </c:pt>
                <c:pt idx="407">
                  <c:v>3.1877729411433236E-3</c:v>
                </c:pt>
                <c:pt idx="410">
                  <c:v>0</c:v>
                </c:pt>
                <c:pt idx="413">
                  <c:v>0</c:v>
                </c:pt>
                <c:pt idx="416">
                  <c:v>0</c:v>
                </c:pt>
                <c:pt idx="419">
                  <c:v>0</c:v>
                </c:pt>
                <c:pt idx="422">
                  <c:v>0</c:v>
                </c:pt>
                <c:pt idx="425">
                  <c:v>0</c:v>
                </c:pt>
                <c:pt idx="428">
                  <c:v>0</c:v>
                </c:pt>
                <c:pt idx="431">
                  <c:v>0</c:v>
                </c:pt>
                <c:pt idx="434">
                  <c:v>0</c:v>
                </c:pt>
                <c:pt idx="437">
                  <c:v>6.5335559236027897E-3</c:v>
                </c:pt>
                <c:pt idx="440">
                  <c:v>0</c:v>
                </c:pt>
                <c:pt idx="443">
                  <c:v>2.6908607095926405E-3</c:v>
                </c:pt>
                <c:pt idx="446">
                  <c:v>1.7382968775950837E-2</c:v>
                </c:pt>
                <c:pt idx="449">
                  <c:v>6.8658573213513383E-3</c:v>
                </c:pt>
                <c:pt idx="452">
                  <c:v>0</c:v>
                </c:pt>
                <c:pt idx="455">
                  <c:v>3.6708072293397155E-2</c:v>
                </c:pt>
                <c:pt idx="458">
                  <c:v>6.2527776381277973E-3</c:v>
                </c:pt>
                <c:pt idx="461">
                  <c:v>0</c:v>
                </c:pt>
                <c:pt idx="464">
                  <c:v>0</c:v>
                </c:pt>
                <c:pt idx="467">
                  <c:v>0</c:v>
                </c:pt>
                <c:pt idx="470">
                  <c:v>5.2977756653992385E-3</c:v>
                </c:pt>
                <c:pt idx="473">
                  <c:v>0</c:v>
                </c:pt>
                <c:pt idx="476">
                  <c:v>0</c:v>
                </c:pt>
                <c:pt idx="479">
                  <c:v>0</c:v>
                </c:pt>
                <c:pt idx="482">
                  <c:v>0</c:v>
                </c:pt>
                <c:pt idx="485">
                  <c:v>0</c:v>
                </c:pt>
                <c:pt idx="488">
                  <c:v>0</c:v>
                </c:pt>
                <c:pt idx="491">
                  <c:v>0</c:v>
                </c:pt>
                <c:pt idx="494">
                  <c:v>1.7011555004738646E-3</c:v>
                </c:pt>
                <c:pt idx="497">
                  <c:v>0</c:v>
                </c:pt>
                <c:pt idx="500">
                  <c:v>0</c:v>
                </c:pt>
                <c:pt idx="503">
                  <c:v>0</c:v>
                </c:pt>
                <c:pt idx="506">
                  <c:v>0</c:v>
                </c:pt>
                <c:pt idx="509">
                  <c:v>0</c:v>
                </c:pt>
                <c:pt idx="512">
                  <c:v>0</c:v>
                </c:pt>
                <c:pt idx="515">
                  <c:v>0</c:v>
                </c:pt>
                <c:pt idx="518">
                  <c:v>0</c:v>
                </c:pt>
                <c:pt idx="521">
                  <c:v>0</c:v>
                </c:pt>
                <c:pt idx="524">
                  <c:v>1.3276854013510829E-2</c:v>
                </c:pt>
                <c:pt idx="527">
                  <c:v>0</c:v>
                </c:pt>
                <c:pt idx="530">
                  <c:v>4.7535828025477705E-3</c:v>
                </c:pt>
                <c:pt idx="533">
                  <c:v>5.9356207953869394E-3</c:v>
                </c:pt>
                <c:pt idx="536">
                  <c:v>0</c:v>
                </c:pt>
                <c:pt idx="539">
                  <c:v>0</c:v>
                </c:pt>
                <c:pt idx="542">
                  <c:v>0</c:v>
                </c:pt>
                <c:pt idx="545">
                  <c:v>0</c:v>
                </c:pt>
                <c:pt idx="548">
                  <c:v>0</c:v>
                </c:pt>
                <c:pt idx="551">
                  <c:v>5.2435377493752809E-3</c:v>
                </c:pt>
                <c:pt idx="557">
                  <c:v>4.6541339660521996E-3</c:v>
                </c:pt>
                <c:pt idx="560">
                  <c:v>3.8353695173242539E-2</c:v>
                </c:pt>
                <c:pt idx="563">
                  <c:v>2.1115195120043795E-3</c:v>
                </c:pt>
                <c:pt idx="566">
                  <c:v>3.0756963034687017E-3</c:v>
                </c:pt>
                <c:pt idx="569">
                  <c:v>4.6971268224242054E-3</c:v>
                </c:pt>
                <c:pt idx="572">
                  <c:v>5.7626600030598182E-3</c:v>
                </c:pt>
                <c:pt idx="575">
                  <c:v>4.6755767279784741E-2</c:v>
                </c:pt>
                <c:pt idx="578">
                  <c:v>4.0132200188857416E-3</c:v>
                </c:pt>
                <c:pt idx="581">
                  <c:v>6.9397042093287814E-3</c:v>
                </c:pt>
                <c:pt idx="584">
                  <c:v>9.2303322919625105E-3</c:v>
                </c:pt>
                <c:pt idx="587">
                  <c:v>4.9932925920405432E-3</c:v>
                </c:pt>
                <c:pt idx="590">
                  <c:v>5.4576362172318151E-3</c:v>
                </c:pt>
                <c:pt idx="593">
                  <c:v>2.7213352685050798E-3</c:v>
                </c:pt>
                <c:pt idx="596">
                  <c:v>1.8220366433849581E-3</c:v>
                </c:pt>
                <c:pt idx="599">
                  <c:v>5.0728222039021713E-2</c:v>
                </c:pt>
                <c:pt idx="602">
                  <c:v>4.513595466520854E-2</c:v>
                </c:pt>
                <c:pt idx="605">
                  <c:v>7.718172092312397E-3</c:v>
                </c:pt>
                <c:pt idx="608">
                  <c:v>2.5654019129663648E-2</c:v>
                </c:pt>
                <c:pt idx="611">
                  <c:v>5.0606022741471945E-3</c:v>
                </c:pt>
                <c:pt idx="614">
                  <c:v>2.5547039875597022E-3</c:v>
                </c:pt>
                <c:pt idx="617">
                  <c:v>5.021684546907098E-3</c:v>
                </c:pt>
                <c:pt idx="620">
                  <c:v>9.4375857338820281E-3</c:v>
                </c:pt>
                <c:pt idx="629">
                  <c:v>6.9487079310152364E-3</c:v>
                </c:pt>
                <c:pt idx="635">
                  <c:v>6.9915829486831386E-3</c:v>
                </c:pt>
                <c:pt idx="638">
                  <c:v>6.6072681067344335E-4</c:v>
                </c:pt>
                <c:pt idx="641">
                  <c:v>7.7710915394731573E-4</c:v>
                </c:pt>
                <c:pt idx="647">
                  <c:v>4.9217002237136476E-3</c:v>
                </c:pt>
                <c:pt idx="653">
                  <c:v>3.1023612547397455E-3</c:v>
                </c:pt>
                <c:pt idx="656">
                  <c:v>1.5881018930250285E-3</c:v>
                </c:pt>
                <c:pt idx="659">
                  <c:v>3.6178742544245622E-3</c:v>
                </c:pt>
                <c:pt idx="662">
                  <c:v>1.6058345321334178E-3</c:v>
                </c:pt>
                <c:pt idx="665">
                  <c:v>2.9395645458621896E-3</c:v>
                </c:pt>
                <c:pt idx="668">
                  <c:v>1.3613613613613615E-2</c:v>
                </c:pt>
                <c:pt idx="671">
                  <c:v>1.5540462760446646E-2</c:v>
                </c:pt>
                <c:pt idx="674">
                  <c:v>2.1200878322101919E-3</c:v>
                </c:pt>
                <c:pt idx="677">
                  <c:v>1.8990423632527188E-3</c:v>
                </c:pt>
                <c:pt idx="680">
                  <c:v>1.8845010260061142E-3</c:v>
                </c:pt>
                <c:pt idx="683">
                  <c:v>3.0296587647496544E-3</c:v>
                </c:pt>
                <c:pt idx="686">
                  <c:v>5.6731700567317009E-3</c:v>
                </c:pt>
                <c:pt idx="689">
                  <c:v>7.0017207618821584E-3</c:v>
                </c:pt>
                <c:pt idx="701">
                  <c:v>8.1102837593077071E-2</c:v>
                </c:pt>
                <c:pt idx="704">
                  <c:v>4.3386491557223265E-3</c:v>
                </c:pt>
                <c:pt idx="707">
                  <c:v>9.8180942055174081E-3</c:v>
                </c:pt>
                <c:pt idx="710">
                  <c:v>3.9223010833022041E-3</c:v>
                </c:pt>
                <c:pt idx="713">
                  <c:v>1.1151778744284599E-3</c:v>
                </c:pt>
                <c:pt idx="719">
                  <c:v>2.0071771790037105E-3</c:v>
                </c:pt>
                <c:pt idx="722">
                  <c:v>6.7930331753554511E-3</c:v>
                </c:pt>
                <c:pt idx="728">
                  <c:v>1.0525263157894736E-3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DE-4744-973A-E1597B5D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cusum but fuco vs peri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'but-fuco update'!$N$3:$N$731</c:f>
              <c:numCache>
                <c:formatCode>General</c:formatCode>
                <c:ptCount val="729"/>
                <c:pt idx="2">
                  <c:v>-0.44434743109797642</c:v>
                </c:pt>
                <c:pt idx="5">
                  <c:v>-0.65926152771836788</c:v>
                </c:pt>
                <c:pt idx="8">
                  <c:v>-0.69803704105496545</c:v>
                </c:pt>
                <c:pt idx="11">
                  <c:v>-0.87908593354633069</c:v>
                </c:pt>
                <c:pt idx="14">
                  <c:v>-1.3234333646443071</c:v>
                </c:pt>
                <c:pt idx="17">
                  <c:v>-1.7677807957422835</c:v>
                </c:pt>
                <c:pt idx="20">
                  <c:v>-1.27910092926666</c:v>
                </c:pt>
                <c:pt idx="23">
                  <c:v>-1.1327516716543478</c:v>
                </c:pt>
                <c:pt idx="26">
                  <c:v>-1.4067076749123131</c:v>
                </c:pt>
                <c:pt idx="29">
                  <c:v>-1.5313922930329764</c:v>
                </c:pt>
                <c:pt idx="32">
                  <c:v>-1.9757397241309529</c:v>
                </c:pt>
                <c:pt idx="35">
                  <c:v>-2.3760844887211428</c:v>
                </c:pt>
                <c:pt idx="38">
                  <c:v>-2.3965120771188397</c:v>
                </c:pt>
                <c:pt idx="41">
                  <c:v>-2.7398012070494113</c:v>
                </c:pt>
                <c:pt idx="44">
                  <c:v>-2.9803378321983574</c:v>
                </c:pt>
                <c:pt idx="47">
                  <c:v>-3.4246852632963338</c:v>
                </c:pt>
                <c:pt idx="50">
                  <c:v>-3.83599756526749</c:v>
                </c:pt>
                <c:pt idx="53">
                  <c:v>-3.8861276319448872</c:v>
                </c:pt>
                <c:pt idx="56">
                  <c:v>-2.0278317269568418</c:v>
                </c:pt>
                <c:pt idx="59">
                  <c:v>-2.2576780977408886</c:v>
                </c:pt>
                <c:pt idx="62">
                  <c:v>6.203224236791768</c:v>
                </c:pt>
                <c:pt idx="65">
                  <c:v>5.9165706599965127</c:v>
                </c:pt>
                <c:pt idx="68">
                  <c:v>5.4722232288985362</c:v>
                </c:pt>
                <c:pt idx="71">
                  <c:v>5.2432540790233171</c:v>
                </c:pt>
                <c:pt idx="74">
                  <c:v>5.3428721207808838</c:v>
                </c:pt>
                <c:pt idx="77">
                  <c:v>5.1821516070415585</c:v>
                </c:pt>
                <c:pt idx="80">
                  <c:v>5.2800459336346721</c:v>
                </c:pt>
                <c:pt idx="83">
                  <c:v>5.1745998278496455</c:v>
                </c:pt>
                <c:pt idx="86">
                  <c:v>5.4629869881130455</c:v>
                </c:pt>
                <c:pt idx="89">
                  <c:v>5.9266156555179101</c:v>
                </c:pt>
                <c:pt idx="92">
                  <c:v>6.6875191818995967</c:v>
                </c:pt>
                <c:pt idx="95">
                  <c:v>7.9299982512255029</c:v>
                </c:pt>
                <c:pt idx="98">
                  <c:v>13.053975512744344</c:v>
                </c:pt>
                <c:pt idx="101">
                  <c:v>12.790254925569597</c:v>
                </c:pt>
                <c:pt idx="104">
                  <c:v>12.442985670814991</c:v>
                </c:pt>
                <c:pt idx="107">
                  <c:v>12.056095221095161</c:v>
                </c:pt>
                <c:pt idx="110">
                  <c:v>11.732029707291888</c:v>
                </c:pt>
                <c:pt idx="113">
                  <c:v>11.287682276193912</c:v>
                </c:pt>
                <c:pt idx="116">
                  <c:v>10.843334845095937</c:v>
                </c:pt>
                <c:pt idx="119">
                  <c:v>10.398987413997961</c:v>
                </c:pt>
                <c:pt idx="122">
                  <c:v>9.9546399828999856</c:v>
                </c:pt>
                <c:pt idx="125">
                  <c:v>9.5102925518020101</c:v>
                </c:pt>
                <c:pt idx="128">
                  <c:v>9.8167801092238456</c:v>
                </c:pt>
                <c:pt idx="131">
                  <c:v>9.37243267812587</c:v>
                </c:pt>
                <c:pt idx="134">
                  <c:v>9.4638131017524891</c:v>
                </c:pt>
                <c:pt idx="137">
                  <c:v>9.5910332571963313</c:v>
                </c:pt>
                <c:pt idx="140">
                  <c:v>9.1466858260983557</c:v>
                </c:pt>
                <c:pt idx="143">
                  <c:v>8.7023383950003801</c:v>
                </c:pt>
                <c:pt idx="146">
                  <c:v>8.2579909639024045</c:v>
                </c:pt>
                <c:pt idx="149">
                  <c:v>7.813643532804428</c:v>
                </c:pt>
                <c:pt idx="152">
                  <c:v>7.3692961017064516</c:v>
                </c:pt>
                <c:pt idx="155">
                  <c:v>6.9249486706084751</c:v>
                </c:pt>
                <c:pt idx="158">
                  <c:v>6.4806012395104986</c:v>
                </c:pt>
                <c:pt idx="161">
                  <c:v>6.1027934931866543</c:v>
                </c:pt>
                <c:pt idx="164">
                  <c:v>6.4286411004710908</c:v>
                </c:pt>
                <c:pt idx="167">
                  <c:v>6.3299796160850201</c:v>
                </c:pt>
                <c:pt idx="170">
                  <c:v>8.7469063478312616</c:v>
                </c:pt>
                <c:pt idx="173">
                  <c:v>8.3025589167332861</c:v>
                </c:pt>
                <c:pt idx="179">
                  <c:v>7.8582114856353096</c:v>
                </c:pt>
                <c:pt idx="182">
                  <c:v>7.4138640545373331</c:v>
                </c:pt>
                <c:pt idx="185">
                  <c:v>6.9695166234393566</c:v>
                </c:pt>
                <c:pt idx="188">
                  <c:v>6.5251691923413802</c:v>
                </c:pt>
                <c:pt idx="191">
                  <c:v>6.0808217612434037</c:v>
                </c:pt>
                <c:pt idx="194">
                  <c:v>5.6364743301454272</c:v>
                </c:pt>
                <c:pt idx="197">
                  <c:v>5.1921268990474507</c:v>
                </c:pt>
                <c:pt idx="200">
                  <c:v>5.9209752137021017</c:v>
                </c:pt>
                <c:pt idx="203">
                  <c:v>7.7900661596670187</c:v>
                </c:pt>
                <c:pt idx="206">
                  <c:v>12.682773815373258</c:v>
                </c:pt>
                <c:pt idx="209">
                  <c:v>12.238426384275282</c:v>
                </c:pt>
                <c:pt idx="212">
                  <c:v>12.171343836035517</c:v>
                </c:pt>
                <c:pt idx="215">
                  <c:v>11.845476936810453</c:v>
                </c:pt>
                <c:pt idx="218">
                  <c:v>11.403530563303608</c:v>
                </c:pt>
                <c:pt idx="221">
                  <c:v>10.960713253864066</c:v>
                </c:pt>
                <c:pt idx="224">
                  <c:v>10.517018554662892</c:v>
                </c:pt>
                <c:pt idx="227">
                  <c:v>10.073063906056309</c:v>
                </c:pt>
                <c:pt idx="230">
                  <c:v>9.629350422059769</c:v>
                </c:pt>
                <c:pt idx="233">
                  <c:v>9.5157117687413724</c:v>
                </c:pt>
                <c:pt idx="236">
                  <c:v>9.8245383614149908</c:v>
                </c:pt>
                <c:pt idx="239">
                  <c:v>9.3829849871671023</c:v>
                </c:pt>
                <c:pt idx="242">
                  <c:v>10.851768708081718</c:v>
                </c:pt>
                <c:pt idx="245">
                  <c:v>10.408262545466558</c:v>
                </c:pt>
                <c:pt idx="248">
                  <c:v>9.9644330410566191</c:v>
                </c:pt>
                <c:pt idx="251">
                  <c:v>9.5213483317156022</c:v>
                </c:pt>
                <c:pt idx="254">
                  <c:v>9.4065936959787013</c:v>
                </c:pt>
                <c:pt idx="257">
                  <c:v>8.9857091683035613</c:v>
                </c:pt>
                <c:pt idx="260">
                  <c:v>8.5493425817027617</c:v>
                </c:pt>
                <c:pt idx="263">
                  <c:v>9.3577111603996919</c:v>
                </c:pt>
                <c:pt idx="266">
                  <c:v>9.1191905721787627</c:v>
                </c:pt>
                <c:pt idx="269">
                  <c:v>8.7279003918277258</c:v>
                </c:pt>
                <c:pt idx="272">
                  <c:v>8.2922243877640458</c:v>
                </c:pt>
                <c:pt idx="275">
                  <c:v>13.250498187834129</c:v>
                </c:pt>
                <c:pt idx="278">
                  <c:v>16.967766171317031</c:v>
                </c:pt>
                <c:pt idx="281">
                  <c:v>16.717122740252133</c:v>
                </c:pt>
                <c:pt idx="284">
                  <c:v>17.836165615784736</c:v>
                </c:pt>
                <c:pt idx="287">
                  <c:v>17.39894305008248</c:v>
                </c:pt>
                <c:pt idx="290">
                  <c:v>16.969313141142532</c:v>
                </c:pt>
                <c:pt idx="293">
                  <c:v>16.551599906980059</c:v>
                </c:pt>
                <c:pt idx="296">
                  <c:v>16.117105168292081</c:v>
                </c:pt>
                <c:pt idx="299">
                  <c:v>15.678650392047201</c:v>
                </c:pt>
                <c:pt idx="302">
                  <c:v>15.49848599836614</c:v>
                </c:pt>
                <c:pt idx="305">
                  <c:v>15.08488478706114</c:v>
                </c:pt>
                <c:pt idx="308">
                  <c:v>14.669781770700709</c:v>
                </c:pt>
                <c:pt idx="311">
                  <c:v>14.280502870204611</c:v>
                </c:pt>
                <c:pt idx="314">
                  <c:v>13.848451909555335</c:v>
                </c:pt>
                <c:pt idx="317">
                  <c:v>13.731673640632675</c:v>
                </c:pt>
                <c:pt idx="320">
                  <c:v>14.033764018857729</c:v>
                </c:pt>
                <c:pt idx="323">
                  <c:v>15.292724667544508</c:v>
                </c:pt>
                <c:pt idx="326">
                  <c:v>16.097759011135128</c:v>
                </c:pt>
                <c:pt idx="329">
                  <c:v>15.691377181665635</c:v>
                </c:pt>
                <c:pt idx="332">
                  <c:v>15.25403136497596</c:v>
                </c:pt>
                <c:pt idx="335">
                  <c:v>14.845254576302047</c:v>
                </c:pt>
                <c:pt idx="338">
                  <c:v>14.407483870871099</c:v>
                </c:pt>
                <c:pt idx="341">
                  <c:v>13.974978036496022</c:v>
                </c:pt>
                <c:pt idx="344">
                  <c:v>13.549227246728996</c:v>
                </c:pt>
                <c:pt idx="347">
                  <c:v>13.146553032635669</c:v>
                </c:pt>
                <c:pt idx="350">
                  <c:v>13.075625276499171</c:v>
                </c:pt>
                <c:pt idx="353">
                  <c:v>12.696159236783634</c:v>
                </c:pt>
                <c:pt idx="356">
                  <c:v>12.257575983217771</c:v>
                </c:pt>
                <c:pt idx="359">
                  <c:v>11.822791148927378</c:v>
                </c:pt>
                <c:pt idx="362">
                  <c:v>11.402882712304908</c:v>
                </c:pt>
                <c:pt idx="365">
                  <c:v>10.973246852295841</c:v>
                </c:pt>
                <c:pt idx="368">
                  <c:v>10.540633076550577</c:v>
                </c:pt>
                <c:pt idx="371">
                  <c:v>10.096285645452602</c:v>
                </c:pt>
                <c:pt idx="374">
                  <c:v>9.651938214354626</c:v>
                </c:pt>
                <c:pt idx="377">
                  <c:v>9.2075907832566504</c:v>
                </c:pt>
                <c:pt idx="380">
                  <c:v>8.7632433521586748</c:v>
                </c:pt>
                <c:pt idx="383">
                  <c:v>8.3188959210606992</c:v>
                </c:pt>
                <c:pt idx="386">
                  <c:v>7.8745484899627227</c:v>
                </c:pt>
                <c:pt idx="389">
                  <c:v>7.4871652953821934</c:v>
                </c:pt>
                <c:pt idx="392">
                  <c:v>7.042817864284217</c:v>
                </c:pt>
                <c:pt idx="395">
                  <c:v>6.7311404248648063</c:v>
                </c:pt>
                <c:pt idx="398">
                  <c:v>6.2867929937668299</c:v>
                </c:pt>
                <c:pt idx="401">
                  <c:v>6.1167564975311324</c:v>
                </c:pt>
                <c:pt idx="404">
                  <c:v>5.6724090664331559</c:v>
                </c:pt>
                <c:pt idx="407">
                  <c:v>5.4272091973924965</c:v>
                </c:pt>
                <c:pt idx="410">
                  <c:v>4.98286176629452</c:v>
                </c:pt>
                <c:pt idx="413">
                  <c:v>4.5385143351965436</c:v>
                </c:pt>
                <c:pt idx="416">
                  <c:v>4.0941669040985671</c:v>
                </c:pt>
                <c:pt idx="419">
                  <c:v>3.6498194730005906</c:v>
                </c:pt>
                <c:pt idx="422">
                  <c:v>3.2054720419026141</c:v>
                </c:pt>
                <c:pt idx="425">
                  <c:v>2.7611246108046377</c:v>
                </c:pt>
                <c:pt idx="428">
                  <c:v>2.3167771797066612</c:v>
                </c:pt>
                <c:pt idx="431">
                  <c:v>1.8724297486086847</c:v>
                </c:pt>
                <c:pt idx="434">
                  <c:v>1.4280823175107082</c:v>
                </c:pt>
                <c:pt idx="437">
                  <c:v>1.3919012639352071</c:v>
                </c:pt>
                <c:pt idx="440">
                  <c:v>0.9475538328372306</c:v>
                </c:pt>
                <c:pt idx="443">
                  <c:v>0.67131070529074832</c:v>
                </c:pt>
                <c:pt idx="446">
                  <c:v>1.3129176118964714</c:v>
                </c:pt>
                <c:pt idx="449">
                  <c:v>1.2974961966175822</c:v>
                </c:pt>
                <c:pt idx="452">
                  <c:v>0.85314876551960572</c:v>
                </c:pt>
                <c:pt idx="455">
                  <c:v>2.7020396672722349</c:v>
                </c:pt>
                <c:pt idx="458">
                  <c:v>2.6483177436086267</c:v>
                </c:pt>
                <c:pt idx="461">
                  <c:v>2.2039703125106502</c:v>
                </c:pt>
                <c:pt idx="464">
                  <c:v>1.7596228814126738</c:v>
                </c:pt>
                <c:pt idx="467">
                  <c:v>1.3152754503146973</c:v>
                </c:pt>
                <c:pt idx="470">
                  <c:v>1.2018923405690563</c:v>
                </c:pt>
                <c:pt idx="473">
                  <c:v>0.75754490947107977</c:v>
                </c:pt>
                <c:pt idx="476">
                  <c:v>0.31319747837310336</c:v>
                </c:pt>
                <c:pt idx="479">
                  <c:v>-0.13114995272487306</c:v>
                </c:pt>
                <c:pt idx="482">
                  <c:v>-0.57549738382284943</c:v>
                </c:pt>
                <c:pt idx="485">
                  <c:v>-1.0198448149208259</c:v>
                </c:pt>
                <c:pt idx="488">
                  <c:v>-1.4641922460188024</c:v>
                </c:pt>
                <c:pt idx="491">
                  <c:v>-1.9085396771167789</c:v>
                </c:pt>
                <c:pt idx="494">
                  <c:v>-2.2466119823338455</c:v>
                </c:pt>
                <c:pt idx="497">
                  <c:v>-2.690959413431822</c:v>
                </c:pt>
                <c:pt idx="500">
                  <c:v>-3.1353068445297985</c:v>
                </c:pt>
                <c:pt idx="503">
                  <c:v>-3.5796542756277749</c:v>
                </c:pt>
                <c:pt idx="506">
                  <c:v>-4.024001706725751</c:v>
                </c:pt>
                <c:pt idx="509">
                  <c:v>-4.4683491378237274</c:v>
                </c:pt>
                <c:pt idx="512">
                  <c:v>-4.9126965689217039</c:v>
                </c:pt>
                <c:pt idx="515">
                  <c:v>-5.3570440000196804</c:v>
                </c:pt>
                <c:pt idx="518">
                  <c:v>-5.8013914311176569</c:v>
                </c:pt>
                <c:pt idx="521">
                  <c:v>-6.2457388622156333</c:v>
                </c:pt>
                <c:pt idx="524">
                  <c:v>-5.8606504591436668</c:v>
                </c:pt>
                <c:pt idx="527">
                  <c:v>-6.3049978902416433</c:v>
                </c:pt>
                <c:pt idx="530">
                  <c:v>-6.4523779890849431</c:v>
                </c:pt>
                <c:pt idx="533">
                  <c:v>-6.5259134356022166</c:v>
                </c:pt>
                <c:pt idx="536">
                  <c:v>-6.9702608667001931</c:v>
                </c:pt>
                <c:pt idx="539">
                  <c:v>-7.4146082977981695</c:v>
                </c:pt>
                <c:pt idx="542">
                  <c:v>-7.858955728896146</c:v>
                </c:pt>
                <c:pt idx="545">
                  <c:v>-8.3033031599941225</c:v>
                </c:pt>
                <c:pt idx="548">
                  <c:v>-8.7476505910920981</c:v>
                </c:pt>
                <c:pt idx="551">
                  <c:v>-8.8644220691270341</c:v>
                </c:pt>
                <c:pt idx="557">
                  <c:v>-9.0180149672202159</c:v>
                </c:pt>
                <c:pt idx="560">
                  <c:v>-7.0663181910725905</c:v>
                </c:pt>
                <c:pt idx="563">
                  <c:v>-7.3787541056303363</c:v>
                </c:pt>
                <c:pt idx="566">
                  <c:v>-7.6309556619205514</c:v>
                </c:pt>
                <c:pt idx="569">
                  <c:v>-7.7818626966569493</c:v>
                </c:pt>
                <c:pt idx="572">
                  <c:v>-7.8662034046402711</c:v>
                </c:pt>
                <c:pt idx="575">
                  <c:v>-5.389609715462341</c:v>
                </c:pt>
                <c:pt idx="578">
                  <c:v>-5.5832419929038384</c:v>
                </c:pt>
                <c:pt idx="581">
                  <c:v>-5.5940500219793323</c:v>
                </c:pt>
                <c:pt idx="584">
                  <c:v>-5.461757207092921</c:v>
                </c:pt>
                <c:pt idx="587">
                  <c:v>-5.5941620799523912</c:v>
                </c:pt>
                <c:pt idx="590">
                  <c:v>-5.6975583306103905</c:v>
                </c:pt>
                <c:pt idx="593">
                  <c:v>-5.971897641848674</c:v>
                </c:pt>
                <c:pt idx="596">
                  <c:v>-6.3024182219730456</c:v>
                </c:pt>
                <c:pt idx="599">
                  <c:v>-3.5776560793665313</c:v>
                </c:pt>
                <c:pt idx="602">
                  <c:v>-1.2022558375069798</c:v>
                </c:pt>
                <c:pt idx="605">
                  <c:v>-1.1644311741359079</c:v>
                </c:pt>
                <c:pt idx="608">
                  <c:v>-6.1125869910914066E-3</c:v>
                </c:pt>
                <c:pt idx="611">
                  <c:v>-0.13431246804534711</c:v>
                </c:pt>
                <c:pt idx="614">
                  <c:v>-0.41906162150748028</c:v>
                </c:pt>
                <c:pt idx="617">
                  <c:v>-0.54969278315912296</c:v>
                </c:pt>
                <c:pt idx="620">
                  <c:v>-0.40445236552674702</c:v>
                </c:pt>
                <c:pt idx="629">
                  <c:v>-0.41469791124586447</c:v>
                </c:pt>
                <c:pt idx="635">
                  <c:v>-0.42226495526508834</c:v>
                </c:pt>
                <c:pt idx="638">
                  <c:v>-0.82533525152286202</c:v>
                </c:pt>
                <c:pt idx="641">
                  <c:v>-1.2211348731254965</c:v>
                </c:pt>
                <c:pt idx="647">
                  <c:v>-1.3580122871218199</c:v>
                </c:pt>
                <c:pt idx="653">
                  <c:v>-1.6085480221204782</c:v>
                </c:pt>
                <c:pt idx="656">
                  <c:v>-1.9536830481526433</c:v>
                </c:pt>
                <c:pt idx="659">
                  <c:v>-2.1720134915600928</c:v>
                </c:pt>
                <c:pt idx="662">
                  <c:v>-2.5160407185386617</c:v>
                </c:pt>
                <c:pt idx="665">
                  <c:v>-2.7767467411589637</c:v>
                </c:pt>
                <c:pt idx="668">
                  <c:v>-2.3706201855591655</c:v>
                </c:pt>
                <c:pt idx="671">
                  <c:v>-1.8441188990331454</c:v>
                </c:pt>
                <c:pt idx="674">
                  <c:v>-2.1560195307738841</c:v>
                </c:pt>
                <c:pt idx="677">
                  <c:v>-2.4817293851473075</c:v>
                </c:pt>
                <c:pt idx="680">
                  <c:v>-2.8083476705524206</c:v>
                </c:pt>
                <c:pt idx="683">
                  <c:v>-3.063425298560507</c:v>
                </c:pt>
                <c:pt idx="686">
                  <c:v>-3.1533566508490947</c:v>
                </c:pt>
                <c:pt idx="689">
                  <c:v>-3.1602903621873364</c:v>
                </c:pt>
                <c:pt idx="701">
                  <c:v>1.4620443954401359</c:v>
                </c:pt>
                <c:pt idx="704">
                  <c:v>1.2887424302322881</c:v>
                </c:pt>
                <c:pt idx="707">
                  <c:v>1.4577540937681328</c:v>
                </c:pt>
                <c:pt idx="710">
                  <c:v>1.2584418997514564</c:v>
                </c:pt>
                <c:pt idx="713">
                  <c:v>0.88376221446006675</c:v>
                </c:pt>
                <c:pt idx="719">
                  <c:v>0.56480779258699054</c:v>
                </c:pt>
                <c:pt idx="722">
                  <c:v>0.54483688416610065</c:v>
                </c:pt>
                <c:pt idx="728">
                  <c:v>0.16624321083591098</c:v>
                </c:pt>
              </c:numCache>
            </c:numRef>
          </c:xVal>
          <c:yVal>
            <c:numRef>
              <c:f>'peridin update'!$N$3:$N$731</c:f>
              <c:numCache>
                <c:formatCode>General</c:formatCode>
                <c:ptCount val="729"/>
                <c:pt idx="2">
                  <c:v>-0.71640198305684688</c:v>
                </c:pt>
                <c:pt idx="5">
                  <c:v>-1.2254025712691181</c:v>
                </c:pt>
                <c:pt idx="8">
                  <c:v>-1.9089177139767315</c:v>
                </c:pt>
                <c:pt idx="11">
                  <c:v>-2.306708513450261</c:v>
                </c:pt>
                <c:pt idx="14">
                  <c:v>-2.7134371742177068</c:v>
                </c:pt>
                <c:pt idx="17">
                  <c:v>-3.2929168970066289</c:v>
                </c:pt>
                <c:pt idx="20">
                  <c:v>-3.2949795704383908</c:v>
                </c:pt>
                <c:pt idx="23">
                  <c:v>-3.0534150296865619</c:v>
                </c:pt>
                <c:pt idx="26">
                  <c:v>-2.4563481794695115</c:v>
                </c:pt>
                <c:pt idx="29">
                  <c:v>-2.7531242305301187</c:v>
                </c:pt>
                <c:pt idx="32">
                  <c:v>-3.097823466989428</c:v>
                </c:pt>
                <c:pt idx="35">
                  <c:v>-3.5401107979093838</c:v>
                </c:pt>
                <c:pt idx="38">
                  <c:v>-3.5895534368405291</c:v>
                </c:pt>
                <c:pt idx="41">
                  <c:v>-4.3059554198973764</c:v>
                </c:pt>
                <c:pt idx="44">
                  <c:v>-4.2843131811470112</c:v>
                </c:pt>
                <c:pt idx="47">
                  <c:v>-4.1719378909697484</c:v>
                </c:pt>
                <c:pt idx="50">
                  <c:v>-4.6964776883864072</c:v>
                </c:pt>
                <c:pt idx="53">
                  <c:v>-5.4128796714432541</c:v>
                </c:pt>
                <c:pt idx="56">
                  <c:v>-6.129281654500101</c:v>
                </c:pt>
                <c:pt idx="59">
                  <c:v>-4.107341444152727</c:v>
                </c:pt>
                <c:pt idx="62">
                  <c:v>-3.3624113541641765</c:v>
                </c:pt>
                <c:pt idx="65">
                  <c:v>-2.4853184662681569</c:v>
                </c:pt>
                <c:pt idx="68">
                  <c:v>-1.3942351971970215</c:v>
                </c:pt>
                <c:pt idx="71">
                  <c:v>-1.4465929647161524</c:v>
                </c:pt>
                <c:pt idx="74">
                  <c:v>-1.6268489399782435</c:v>
                </c:pt>
                <c:pt idx="77">
                  <c:v>-2.17237782237234</c:v>
                </c:pt>
                <c:pt idx="80">
                  <c:v>-2.5506797580215745</c:v>
                </c:pt>
                <c:pt idx="83">
                  <c:v>-0.44877663231488052</c:v>
                </c:pt>
                <c:pt idx="86">
                  <c:v>-0.63376339361112866</c:v>
                </c:pt>
                <c:pt idx="89">
                  <c:v>-0.3970982949002631</c:v>
                </c:pt>
                <c:pt idx="92">
                  <c:v>-0.50700605585073699</c:v>
                </c:pt>
                <c:pt idx="110">
                  <c:v>-0.92979597727750707</c:v>
                </c:pt>
                <c:pt idx="113">
                  <c:v>-1.5132507133660957</c:v>
                </c:pt>
                <c:pt idx="116">
                  <c:v>-1.9266768904069249</c:v>
                </c:pt>
                <c:pt idx="119">
                  <c:v>-2.3434664328697412</c:v>
                </c:pt>
                <c:pt idx="122">
                  <c:v>-2.428257563117636</c:v>
                </c:pt>
                <c:pt idx="125">
                  <c:v>-2.7371455514815199</c:v>
                </c:pt>
                <c:pt idx="128">
                  <c:v>-2.920142671537675</c:v>
                </c:pt>
                <c:pt idx="131">
                  <c:v>-3.1454935962694184</c:v>
                </c:pt>
                <c:pt idx="134">
                  <c:v>-3.2954353295292051</c:v>
                </c:pt>
                <c:pt idx="137">
                  <c:v>-2.7430330082282022</c:v>
                </c:pt>
                <c:pt idx="140">
                  <c:v>-3.2492994493673635</c:v>
                </c:pt>
                <c:pt idx="143">
                  <c:v>-3.8306132361400711</c:v>
                </c:pt>
                <c:pt idx="146">
                  <c:v>-3.9279756907831538</c:v>
                </c:pt>
                <c:pt idx="149">
                  <c:v>-3.9107292234720639</c:v>
                </c:pt>
                <c:pt idx="152">
                  <c:v>-4.0725642875894437</c:v>
                </c:pt>
                <c:pt idx="155">
                  <c:v>-4.4575648149397153</c:v>
                </c:pt>
                <c:pt idx="158">
                  <c:v>-4.3644022275920795</c:v>
                </c:pt>
                <c:pt idx="161">
                  <c:v>-4.2334005354149893</c:v>
                </c:pt>
                <c:pt idx="164">
                  <c:v>-4.6008074186004189</c:v>
                </c:pt>
                <c:pt idx="167">
                  <c:v>-2.6136094637248091</c:v>
                </c:pt>
                <c:pt idx="170">
                  <c:v>-3.1004926879768906</c:v>
                </c:pt>
                <c:pt idx="173">
                  <c:v>-3.6144927158741296</c:v>
                </c:pt>
                <c:pt idx="179">
                  <c:v>-4.2423209833205924</c:v>
                </c:pt>
                <c:pt idx="182">
                  <c:v>-4.8144559342511872</c:v>
                </c:pt>
                <c:pt idx="185">
                  <c:v>-5.4006481735837362</c:v>
                </c:pt>
                <c:pt idx="188">
                  <c:v>-5.6535085331206476</c:v>
                </c:pt>
                <c:pt idx="191">
                  <c:v>-6.2146064084784598</c:v>
                </c:pt>
                <c:pt idx="194">
                  <c:v>-5.8350984042763558</c:v>
                </c:pt>
                <c:pt idx="197">
                  <c:v>-2.6859255336516807</c:v>
                </c:pt>
                <c:pt idx="200">
                  <c:v>-3.2063785049689164</c:v>
                </c:pt>
                <c:pt idx="203">
                  <c:v>-3.4602189078639909</c:v>
                </c:pt>
                <c:pt idx="206">
                  <c:v>-3.7768665536210708</c:v>
                </c:pt>
                <c:pt idx="209">
                  <c:v>-3.7402561381430002</c:v>
                </c:pt>
                <c:pt idx="212">
                  <c:v>-3.4204676516506329</c:v>
                </c:pt>
                <c:pt idx="215">
                  <c:v>-3.5801177209039192</c:v>
                </c:pt>
                <c:pt idx="218">
                  <c:v>-3.9513435996153836</c:v>
                </c:pt>
                <c:pt idx="221">
                  <c:v>-4.5404323385424457</c:v>
                </c:pt>
                <c:pt idx="224">
                  <c:v>-5.0825073956985722</c:v>
                </c:pt>
                <c:pt idx="227">
                  <c:v>-5.2027376408228854</c:v>
                </c:pt>
                <c:pt idx="230">
                  <c:v>-5.792007543018598</c:v>
                </c:pt>
                <c:pt idx="233">
                  <c:v>-6.4728892819777801</c:v>
                </c:pt>
                <c:pt idx="236">
                  <c:v>-6.9717689020538174</c:v>
                </c:pt>
                <c:pt idx="239">
                  <c:v>-6.4783156724975353</c:v>
                </c:pt>
                <c:pt idx="242">
                  <c:v>-4.6866713452750162</c:v>
                </c:pt>
                <c:pt idx="245">
                  <c:v>-4.296743065123108</c:v>
                </c:pt>
                <c:pt idx="248">
                  <c:v>-4.3139483755160644</c:v>
                </c:pt>
                <c:pt idx="251">
                  <c:v>-4.7995663344442416</c:v>
                </c:pt>
                <c:pt idx="254">
                  <c:v>-5.0893925972758272</c:v>
                </c:pt>
                <c:pt idx="257">
                  <c:v>-4.9679894952398325</c:v>
                </c:pt>
                <c:pt idx="260">
                  <c:v>-5.3542196769228427</c:v>
                </c:pt>
                <c:pt idx="263">
                  <c:v>-4.4711019818363713</c:v>
                </c:pt>
                <c:pt idx="266">
                  <c:v>-5.0154932478080854</c:v>
                </c:pt>
                <c:pt idx="269">
                  <c:v>-5.2832959294661253</c:v>
                </c:pt>
                <c:pt idx="272">
                  <c:v>-5.8714784920867258</c:v>
                </c:pt>
                <c:pt idx="275">
                  <c:v>-6.4434211968678685</c:v>
                </c:pt>
                <c:pt idx="278">
                  <c:v>-6.9391131967258666</c:v>
                </c:pt>
                <c:pt idx="281">
                  <c:v>-7.1629637020399342</c:v>
                </c:pt>
                <c:pt idx="284">
                  <c:v>-7.447297646534941</c:v>
                </c:pt>
                <c:pt idx="287">
                  <c:v>-7.9989482404582759</c:v>
                </c:pt>
                <c:pt idx="290">
                  <c:v>-8.4329078120262775</c:v>
                </c:pt>
                <c:pt idx="293">
                  <c:v>-9.0445696285819643</c:v>
                </c:pt>
                <c:pt idx="296">
                  <c:v>-9.3983061780296389</c:v>
                </c:pt>
                <c:pt idx="299">
                  <c:v>-9.9172723221638819</c:v>
                </c:pt>
                <c:pt idx="302">
                  <c:v>-9.6027209645622307</c:v>
                </c:pt>
                <c:pt idx="305">
                  <c:v>-9.5646360406191917</c:v>
                </c:pt>
                <c:pt idx="308">
                  <c:v>-9.9406224275818236</c:v>
                </c:pt>
                <c:pt idx="311">
                  <c:v>-9.5742228248008754</c:v>
                </c:pt>
                <c:pt idx="314">
                  <c:v>-9.9850110231523423</c:v>
                </c:pt>
                <c:pt idx="317">
                  <c:v>-9.9702851883890684</c:v>
                </c:pt>
                <c:pt idx="320">
                  <c:v>-9.0334358215909845</c:v>
                </c:pt>
                <c:pt idx="323">
                  <c:v>-9.5520368103566362</c:v>
                </c:pt>
                <c:pt idx="326">
                  <c:v>-9.8723698824042057</c:v>
                </c:pt>
                <c:pt idx="329">
                  <c:v>-10.493219768555157</c:v>
                </c:pt>
                <c:pt idx="332">
                  <c:v>-11.003665405648148</c:v>
                </c:pt>
                <c:pt idx="335">
                  <c:v>-11.48813587378844</c:v>
                </c:pt>
                <c:pt idx="338">
                  <c:v>-12.139368681371046</c:v>
                </c:pt>
                <c:pt idx="341">
                  <c:v>-12.753331764414837</c:v>
                </c:pt>
                <c:pt idx="344">
                  <c:v>-13.329333555181872</c:v>
                </c:pt>
                <c:pt idx="347">
                  <c:v>-13.803198925350726</c:v>
                </c:pt>
                <c:pt idx="350">
                  <c:v>-13.717320259826943</c:v>
                </c:pt>
                <c:pt idx="353">
                  <c:v>-13.905281821226573</c:v>
                </c:pt>
                <c:pt idx="356">
                  <c:v>-14.048675582475529</c:v>
                </c:pt>
                <c:pt idx="359">
                  <c:v>-13.991908720727357</c:v>
                </c:pt>
                <c:pt idx="362">
                  <c:v>-14.423831558297667</c:v>
                </c:pt>
                <c:pt idx="365">
                  <c:v>-8.3069580745972722</c:v>
                </c:pt>
                <c:pt idx="368">
                  <c:v>-8.7114313009694193</c:v>
                </c:pt>
                <c:pt idx="371">
                  <c:v>-8.8429762487513504</c:v>
                </c:pt>
                <c:pt idx="374">
                  <c:v>0.57191425946832375</c:v>
                </c:pt>
                <c:pt idx="377">
                  <c:v>0.49910960295435614</c:v>
                </c:pt>
                <c:pt idx="380">
                  <c:v>0.15588322681427014</c:v>
                </c:pt>
                <c:pt idx="383">
                  <c:v>-0.2566473074897147</c:v>
                </c:pt>
                <c:pt idx="386">
                  <c:v>0.530948357856315</c:v>
                </c:pt>
                <c:pt idx="389">
                  <c:v>0.89786823432458518</c:v>
                </c:pt>
                <c:pt idx="392">
                  <c:v>1.0306156380491134</c:v>
                </c:pt>
                <c:pt idx="395">
                  <c:v>0.84063125085721735</c:v>
                </c:pt>
                <c:pt idx="398">
                  <c:v>0.43926328838482065</c:v>
                </c:pt>
                <c:pt idx="401">
                  <c:v>-0.19865069533652147</c:v>
                </c:pt>
                <c:pt idx="404">
                  <c:v>-0.76252470201991807</c:v>
                </c:pt>
                <c:pt idx="407">
                  <c:v>-1.2697718316097122</c:v>
                </c:pt>
                <c:pt idx="410">
                  <c:v>-0.58209443873284339</c:v>
                </c:pt>
                <c:pt idx="413">
                  <c:v>-1.2062697623865781</c:v>
                </c:pt>
                <c:pt idx="416">
                  <c:v>-1.6728680077364575</c:v>
                </c:pt>
                <c:pt idx="419">
                  <c:v>1.5769288459667976</c:v>
                </c:pt>
                <c:pt idx="422">
                  <c:v>3.4087411833841923</c:v>
                </c:pt>
                <c:pt idx="425">
                  <c:v>4.3058649436144822</c:v>
                </c:pt>
                <c:pt idx="428">
                  <c:v>5.1531810049334439</c:v>
                </c:pt>
                <c:pt idx="431">
                  <c:v>7.4707083250133905</c:v>
                </c:pt>
                <c:pt idx="434">
                  <c:v>7.1863928371436812</c:v>
                </c:pt>
                <c:pt idx="437">
                  <c:v>6.7151671170861382</c:v>
                </c:pt>
                <c:pt idx="440">
                  <c:v>6.7792579845102239</c:v>
                </c:pt>
                <c:pt idx="443">
                  <c:v>6.3664050521294095</c:v>
                </c:pt>
                <c:pt idx="446">
                  <c:v>5.9253161237560343</c:v>
                </c:pt>
                <c:pt idx="449">
                  <c:v>5.6420497472418072</c:v>
                </c:pt>
                <c:pt idx="452">
                  <c:v>4.9256477641849603</c:v>
                </c:pt>
                <c:pt idx="455">
                  <c:v>4.5974654660105276</c:v>
                </c:pt>
                <c:pt idx="458">
                  <c:v>4.8276018625640074</c:v>
                </c:pt>
                <c:pt idx="461">
                  <c:v>4.6711277779383247</c:v>
                </c:pt>
                <c:pt idx="464">
                  <c:v>5.1429707841685097</c:v>
                </c:pt>
                <c:pt idx="467">
                  <c:v>4.4977329715590004</c:v>
                </c:pt>
                <c:pt idx="470">
                  <c:v>4.3858572192608172</c:v>
                </c:pt>
                <c:pt idx="473">
                  <c:v>3.6694552362039703</c:v>
                </c:pt>
                <c:pt idx="476">
                  <c:v>3.0483465512695664</c:v>
                </c:pt>
                <c:pt idx="479">
                  <c:v>2.6507564374418351</c:v>
                </c:pt>
                <c:pt idx="482">
                  <c:v>3.1216697276910907</c:v>
                </c:pt>
                <c:pt idx="485">
                  <c:v>3.3128039420190216</c:v>
                </c:pt>
                <c:pt idx="488">
                  <c:v>2.5964019589621747</c:v>
                </c:pt>
                <c:pt idx="491">
                  <c:v>2.3794188530710541</c:v>
                </c:pt>
                <c:pt idx="494">
                  <c:v>2.7459444081660589</c:v>
                </c:pt>
                <c:pt idx="497">
                  <c:v>2.7287929798973138</c:v>
                </c:pt>
                <c:pt idx="500">
                  <c:v>3.6695530317808416</c:v>
                </c:pt>
                <c:pt idx="503">
                  <c:v>3.4920852098670072</c:v>
                </c:pt>
                <c:pt idx="506">
                  <c:v>3.1678698084237666</c:v>
                </c:pt>
                <c:pt idx="509">
                  <c:v>2.6713490755049691</c:v>
                </c:pt>
                <c:pt idx="512">
                  <c:v>2.0391152511868387</c:v>
                </c:pt>
                <c:pt idx="515">
                  <c:v>1.8313636852364108</c:v>
                </c:pt>
                <c:pt idx="518">
                  <c:v>3.8705821170678427</c:v>
                </c:pt>
                <c:pt idx="521">
                  <c:v>4.2208049930912841</c:v>
                </c:pt>
                <c:pt idx="524">
                  <c:v>3.615806285132213</c:v>
                </c:pt>
                <c:pt idx="527">
                  <c:v>3.4878207760086446</c:v>
                </c:pt>
                <c:pt idx="530">
                  <c:v>4.5219542943280491</c:v>
                </c:pt>
                <c:pt idx="533">
                  <c:v>4.8348996301295859</c:v>
                </c:pt>
                <c:pt idx="536">
                  <c:v>5.9203447190985017</c:v>
                </c:pt>
                <c:pt idx="539">
                  <c:v>6.0532655518159917</c:v>
                </c:pt>
                <c:pt idx="542">
                  <c:v>5.7758557693464549</c:v>
                </c:pt>
                <c:pt idx="545">
                  <c:v>5.6537312464988378</c:v>
                </c:pt>
                <c:pt idx="548">
                  <c:v>5.7464364224730042</c:v>
                </c:pt>
                <c:pt idx="551">
                  <c:v>5.2147938973263521</c:v>
                </c:pt>
                <c:pt idx="557">
                  <c:v>6.0398231137257907</c:v>
                </c:pt>
                <c:pt idx="560">
                  <c:v>5.5654811757894675</c:v>
                </c:pt>
                <c:pt idx="563">
                  <c:v>5.4922648589580545</c:v>
                </c:pt>
                <c:pt idx="566">
                  <c:v>6.3155052163865824</c:v>
                </c:pt>
                <c:pt idx="569">
                  <c:v>7.1887280908663511</c:v>
                </c:pt>
                <c:pt idx="572">
                  <c:v>9.2188534070697159</c:v>
                </c:pt>
                <c:pt idx="575">
                  <c:v>8.5531615569819071</c:v>
                </c:pt>
                <c:pt idx="578">
                  <c:v>8.1847079966451748</c:v>
                </c:pt>
                <c:pt idx="581">
                  <c:v>8.03506530517096</c:v>
                </c:pt>
                <c:pt idx="584">
                  <c:v>7.8963387369753795</c:v>
                </c:pt>
                <c:pt idx="587">
                  <c:v>7.2798963352245831</c:v>
                </c:pt>
                <c:pt idx="590">
                  <c:v>7.0936112229687094</c:v>
                </c:pt>
                <c:pt idx="593">
                  <c:v>6.7341884139662191</c:v>
                </c:pt>
                <c:pt idx="596">
                  <c:v>6.4265840907008682</c:v>
                </c:pt>
                <c:pt idx="599">
                  <c:v>6.2075607525719896</c:v>
                </c:pt>
                <c:pt idx="602">
                  <c:v>7.6232245344151792</c:v>
                </c:pt>
                <c:pt idx="605">
                  <c:v>9.5311609117716038</c:v>
                </c:pt>
                <c:pt idx="608">
                  <c:v>9.2871718104738363</c:v>
                </c:pt>
                <c:pt idx="611">
                  <c:v>8.878333103205172</c:v>
                </c:pt>
                <c:pt idx="614">
                  <c:v>8.9641255710366732</c:v>
                </c:pt>
                <c:pt idx="617">
                  <c:v>8.3991177467288711</c:v>
                </c:pt>
                <c:pt idx="620">
                  <c:v>8.3216120707927388</c:v>
                </c:pt>
                <c:pt idx="629">
                  <c:v>7.9235686208131995</c:v>
                </c:pt>
                <c:pt idx="635">
                  <c:v>11.343157643775703</c:v>
                </c:pt>
                <c:pt idx="638">
                  <c:v>10.800553377783679</c:v>
                </c:pt>
                <c:pt idx="641">
                  <c:v>10.32497668570176</c:v>
                </c:pt>
                <c:pt idx="647">
                  <c:v>10.096580538794971</c:v>
                </c:pt>
                <c:pt idx="653">
                  <c:v>9.7205850974445749</c:v>
                </c:pt>
                <c:pt idx="656">
                  <c:v>9.2345107357738492</c:v>
                </c:pt>
                <c:pt idx="659">
                  <c:v>9.1983525121764877</c:v>
                </c:pt>
                <c:pt idx="662">
                  <c:v>8.6190308697514659</c:v>
                </c:pt>
                <c:pt idx="665">
                  <c:v>8.1376201905487218</c:v>
                </c:pt>
                <c:pt idx="668">
                  <c:v>7.4389210558725418</c:v>
                </c:pt>
                <c:pt idx="671">
                  <c:v>7.2247375803765932</c:v>
                </c:pt>
                <c:pt idx="674">
                  <c:v>7.1009349419090686</c:v>
                </c:pt>
                <c:pt idx="677">
                  <c:v>6.5720909953098818</c:v>
                </c:pt>
                <c:pt idx="680">
                  <c:v>6.3507162051636303</c:v>
                </c:pt>
                <c:pt idx="683">
                  <c:v>5.8097982936364421</c:v>
                </c:pt>
                <c:pt idx="686">
                  <c:v>5.2524728951543898</c:v>
                </c:pt>
                <c:pt idx="689">
                  <c:v>4.8211800932981745</c:v>
                </c:pt>
                <c:pt idx="701">
                  <c:v>4.5704730074577853</c:v>
                </c:pt>
                <c:pt idx="704">
                  <c:v>4.0165329084914472</c:v>
                </c:pt>
                <c:pt idx="707">
                  <c:v>5.6172637068203857</c:v>
                </c:pt>
                <c:pt idx="710">
                  <c:v>5.5266905693083785</c:v>
                </c:pt>
                <c:pt idx="713">
                  <c:v>7.4829515474565635</c:v>
                </c:pt>
                <c:pt idx="719">
                  <c:v>6.9852916862589387</c:v>
                </c:pt>
                <c:pt idx="722">
                  <c:v>6.2828590124693005</c:v>
                </c:pt>
                <c:pt idx="728">
                  <c:v>5.8560662864723518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D-8043-BEF7-D8F774FD2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47232"/>
        <c:axId val="1203013744"/>
      </c:scatterChart>
      <c:valAx>
        <c:axId val="120294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13744"/>
        <c:crosses val="autoZero"/>
        <c:crossBetween val="midCat"/>
      </c:valAx>
      <c:valAx>
        <c:axId val="12030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94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'peridin update'!$N$3:$N$731</c:f>
              <c:numCache>
                <c:formatCode>General</c:formatCode>
                <c:ptCount val="729"/>
                <c:pt idx="2">
                  <c:v>-0.71640198305684688</c:v>
                </c:pt>
                <c:pt idx="5">
                  <c:v>-1.2254025712691181</c:v>
                </c:pt>
                <c:pt idx="8">
                  <c:v>-1.9089177139767315</c:v>
                </c:pt>
                <c:pt idx="11">
                  <c:v>-2.306708513450261</c:v>
                </c:pt>
                <c:pt idx="14">
                  <c:v>-2.7134371742177068</c:v>
                </c:pt>
                <c:pt idx="17">
                  <c:v>-3.2929168970066289</c:v>
                </c:pt>
                <c:pt idx="20">
                  <c:v>-3.2949795704383908</c:v>
                </c:pt>
                <c:pt idx="23">
                  <c:v>-3.0534150296865619</c:v>
                </c:pt>
                <c:pt idx="26">
                  <c:v>-2.4563481794695115</c:v>
                </c:pt>
                <c:pt idx="29">
                  <c:v>-2.7531242305301187</c:v>
                </c:pt>
                <c:pt idx="32">
                  <c:v>-3.097823466989428</c:v>
                </c:pt>
                <c:pt idx="35">
                  <c:v>-3.5401107979093838</c:v>
                </c:pt>
                <c:pt idx="38">
                  <c:v>-3.5895534368405291</c:v>
                </c:pt>
                <c:pt idx="41">
                  <c:v>-4.3059554198973764</c:v>
                </c:pt>
                <c:pt idx="44">
                  <c:v>-4.2843131811470112</c:v>
                </c:pt>
                <c:pt idx="47">
                  <c:v>-4.1719378909697484</c:v>
                </c:pt>
                <c:pt idx="50">
                  <c:v>-4.6964776883864072</c:v>
                </c:pt>
                <c:pt idx="53">
                  <c:v>-5.4128796714432541</c:v>
                </c:pt>
                <c:pt idx="56">
                  <c:v>-6.129281654500101</c:v>
                </c:pt>
                <c:pt idx="59">
                  <c:v>-4.107341444152727</c:v>
                </c:pt>
                <c:pt idx="62">
                  <c:v>-3.3624113541641765</c:v>
                </c:pt>
                <c:pt idx="65">
                  <c:v>-2.4853184662681569</c:v>
                </c:pt>
                <c:pt idx="68">
                  <c:v>-1.3942351971970215</c:v>
                </c:pt>
                <c:pt idx="71">
                  <c:v>-1.4465929647161524</c:v>
                </c:pt>
                <c:pt idx="74">
                  <c:v>-1.6268489399782435</c:v>
                </c:pt>
                <c:pt idx="77">
                  <c:v>-2.17237782237234</c:v>
                </c:pt>
                <c:pt idx="80">
                  <c:v>-2.5506797580215745</c:v>
                </c:pt>
                <c:pt idx="83">
                  <c:v>-0.44877663231488052</c:v>
                </c:pt>
                <c:pt idx="86">
                  <c:v>-0.63376339361112866</c:v>
                </c:pt>
                <c:pt idx="89">
                  <c:v>-0.3970982949002631</c:v>
                </c:pt>
                <c:pt idx="92">
                  <c:v>-0.50700605585073699</c:v>
                </c:pt>
                <c:pt idx="110">
                  <c:v>-0.92979597727750707</c:v>
                </c:pt>
                <c:pt idx="113">
                  <c:v>-1.5132507133660957</c:v>
                </c:pt>
                <c:pt idx="116">
                  <c:v>-1.9266768904069249</c:v>
                </c:pt>
                <c:pt idx="119">
                  <c:v>-2.3434664328697412</c:v>
                </c:pt>
                <c:pt idx="122">
                  <c:v>-2.428257563117636</c:v>
                </c:pt>
                <c:pt idx="125">
                  <c:v>-2.7371455514815199</c:v>
                </c:pt>
                <c:pt idx="128">
                  <c:v>-2.920142671537675</c:v>
                </c:pt>
                <c:pt idx="131">
                  <c:v>-3.1454935962694184</c:v>
                </c:pt>
                <c:pt idx="134">
                  <c:v>-3.2954353295292051</c:v>
                </c:pt>
                <c:pt idx="137">
                  <c:v>-2.7430330082282022</c:v>
                </c:pt>
                <c:pt idx="140">
                  <c:v>-3.2492994493673635</c:v>
                </c:pt>
                <c:pt idx="143">
                  <c:v>-3.8306132361400711</c:v>
                </c:pt>
                <c:pt idx="146">
                  <c:v>-3.9279756907831538</c:v>
                </c:pt>
                <c:pt idx="149">
                  <c:v>-3.9107292234720639</c:v>
                </c:pt>
                <c:pt idx="152">
                  <c:v>-4.0725642875894437</c:v>
                </c:pt>
                <c:pt idx="155">
                  <c:v>-4.4575648149397153</c:v>
                </c:pt>
                <c:pt idx="158">
                  <c:v>-4.3644022275920795</c:v>
                </c:pt>
                <c:pt idx="161">
                  <c:v>-4.2334005354149893</c:v>
                </c:pt>
                <c:pt idx="164">
                  <c:v>-4.6008074186004189</c:v>
                </c:pt>
                <c:pt idx="167">
                  <c:v>-2.6136094637248091</c:v>
                </c:pt>
                <c:pt idx="170">
                  <c:v>-3.1004926879768906</c:v>
                </c:pt>
                <c:pt idx="173">
                  <c:v>-3.6144927158741296</c:v>
                </c:pt>
                <c:pt idx="179">
                  <c:v>-4.2423209833205924</c:v>
                </c:pt>
                <c:pt idx="182">
                  <c:v>-4.8144559342511872</c:v>
                </c:pt>
                <c:pt idx="185">
                  <c:v>-5.4006481735837362</c:v>
                </c:pt>
                <c:pt idx="188">
                  <c:v>-5.6535085331206476</c:v>
                </c:pt>
                <c:pt idx="191">
                  <c:v>-6.2146064084784598</c:v>
                </c:pt>
                <c:pt idx="194">
                  <c:v>-5.8350984042763558</c:v>
                </c:pt>
                <c:pt idx="197">
                  <c:v>-2.6859255336516807</c:v>
                </c:pt>
                <c:pt idx="200">
                  <c:v>-3.2063785049689164</c:v>
                </c:pt>
                <c:pt idx="203">
                  <c:v>-3.4602189078639909</c:v>
                </c:pt>
                <c:pt idx="206">
                  <c:v>-3.7768665536210708</c:v>
                </c:pt>
                <c:pt idx="209">
                  <c:v>-3.7402561381430002</c:v>
                </c:pt>
                <c:pt idx="212">
                  <c:v>-3.4204676516506329</c:v>
                </c:pt>
                <c:pt idx="215">
                  <c:v>-3.5801177209039192</c:v>
                </c:pt>
                <c:pt idx="218">
                  <c:v>-3.9513435996153836</c:v>
                </c:pt>
                <c:pt idx="221">
                  <c:v>-4.5404323385424457</c:v>
                </c:pt>
                <c:pt idx="224">
                  <c:v>-5.0825073956985722</c:v>
                </c:pt>
                <c:pt idx="227">
                  <c:v>-5.2027376408228854</c:v>
                </c:pt>
                <c:pt idx="230">
                  <c:v>-5.792007543018598</c:v>
                </c:pt>
                <c:pt idx="233">
                  <c:v>-6.4728892819777801</c:v>
                </c:pt>
                <c:pt idx="236">
                  <c:v>-6.9717689020538174</c:v>
                </c:pt>
                <c:pt idx="239">
                  <c:v>-6.4783156724975353</c:v>
                </c:pt>
                <c:pt idx="242">
                  <c:v>-4.6866713452750162</c:v>
                </c:pt>
                <c:pt idx="245">
                  <c:v>-4.296743065123108</c:v>
                </c:pt>
                <c:pt idx="248">
                  <c:v>-4.3139483755160644</c:v>
                </c:pt>
                <c:pt idx="251">
                  <c:v>-4.7995663344442416</c:v>
                </c:pt>
                <c:pt idx="254">
                  <c:v>-5.0893925972758272</c:v>
                </c:pt>
                <c:pt idx="257">
                  <c:v>-4.9679894952398325</c:v>
                </c:pt>
                <c:pt idx="260">
                  <c:v>-5.3542196769228427</c:v>
                </c:pt>
                <c:pt idx="263">
                  <c:v>-4.4711019818363713</c:v>
                </c:pt>
                <c:pt idx="266">
                  <c:v>-5.0154932478080854</c:v>
                </c:pt>
                <c:pt idx="269">
                  <c:v>-5.2832959294661253</c:v>
                </c:pt>
                <c:pt idx="272">
                  <c:v>-5.8714784920867258</c:v>
                </c:pt>
                <c:pt idx="275">
                  <c:v>-6.4434211968678685</c:v>
                </c:pt>
                <c:pt idx="278">
                  <c:v>-6.9391131967258666</c:v>
                </c:pt>
                <c:pt idx="281">
                  <c:v>-7.1629637020399342</c:v>
                </c:pt>
                <c:pt idx="284">
                  <c:v>-7.447297646534941</c:v>
                </c:pt>
                <c:pt idx="287">
                  <c:v>-7.9989482404582759</c:v>
                </c:pt>
                <c:pt idx="290">
                  <c:v>-8.4329078120262775</c:v>
                </c:pt>
                <c:pt idx="293">
                  <c:v>-9.0445696285819643</c:v>
                </c:pt>
                <c:pt idx="296">
                  <c:v>-9.3983061780296389</c:v>
                </c:pt>
                <c:pt idx="299">
                  <c:v>-9.9172723221638819</c:v>
                </c:pt>
                <c:pt idx="302">
                  <c:v>-9.6027209645622307</c:v>
                </c:pt>
                <c:pt idx="305">
                  <c:v>-9.5646360406191917</c:v>
                </c:pt>
                <c:pt idx="308">
                  <c:v>-9.9406224275818236</c:v>
                </c:pt>
                <c:pt idx="311">
                  <c:v>-9.5742228248008754</c:v>
                </c:pt>
                <c:pt idx="314">
                  <c:v>-9.9850110231523423</c:v>
                </c:pt>
                <c:pt idx="317">
                  <c:v>-9.9702851883890684</c:v>
                </c:pt>
                <c:pt idx="320">
                  <c:v>-9.0334358215909845</c:v>
                </c:pt>
                <c:pt idx="323">
                  <c:v>-9.5520368103566362</c:v>
                </c:pt>
                <c:pt idx="326">
                  <c:v>-9.8723698824042057</c:v>
                </c:pt>
                <c:pt idx="329">
                  <c:v>-10.493219768555157</c:v>
                </c:pt>
                <c:pt idx="332">
                  <c:v>-11.003665405648148</c:v>
                </c:pt>
                <c:pt idx="335">
                  <c:v>-11.48813587378844</c:v>
                </c:pt>
                <c:pt idx="338">
                  <c:v>-12.139368681371046</c:v>
                </c:pt>
                <c:pt idx="341">
                  <c:v>-12.753331764414837</c:v>
                </c:pt>
                <c:pt idx="344">
                  <c:v>-13.329333555181872</c:v>
                </c:pt>
                <c:pt idx="347">
                  <c:v>-13.803198925350726</c:v>
                </c:pt>
                <c:pt idx="350">
                  <c:v>-13.717320259826943</c:v>
                </c:pt>
                <c:pt idx="353">
                  <c:v>-13.905281821226573</c:v>
                </c:pt>
                <c:pt idx="356">
                  <c:v>-14.048675582475529</c:v>
                </c:pt>
                <c:pt idx="359">
                  <c:v>-13.991908720727357</c:v>
                </c:pt>
                <c:pt idx="362">
                  <c:v>-14.423831558297667</c:v>
                </c:pt>
                <c:pt idx="365">
                  <c:v>-8.3069580745972722</c:v>
                </c:pt>
                <c:pt idx="368">
                  <c:v>-8.7114313009694193</c:v>
                </c:pt>
                <c:pt idx="371">
                  <c:v>-8.8429762487513504</c:v>
                </c:pt>
                <c:pt idx="374">
                  <c:v>0.57191425946832375</c:v>
                </c:pt>
                <c:pt idx="377">
                  <c:v>0.49910960295435614</c:v>
                </c:pt>
                <c:pt idx="380">
                  <c:v>0.15588322681427014</c:v>
                </c:pt>
                <c:pt idx="383">
                  <c:v>-0.2566473074897147</c:v>
                </c:pt>
                <c:pt idx="386">
                  <c:v>0.530948357856315</c:v>
                </c:pt>
                <c:pt idx="389">
                  <c:v>0.89786823432458518</c:v>
                </c:pt>
                <c:pt idx="392">
                  <c:v>1.0306156380491134</c:v>
                </c:pt>
                <c:pt idx="395">
                  <c:v>0.84063125085721735</c:v>
                </c:pt>
                <c:pt idx="398">
                  <c:v>0.43926328838482065</c:v>
                </c:pt>
                <c:pt idx="401">
                  <c:v>-0.19865069533652147</c:v>
                </c:pt>
                <c:pt idx="404">
                  <c:v>-0.76252470201991807</c:v>
                </c:pt>
                <c:pt idx="407">
                  <c:v>-1.2697718316097122</c:v>
                </c:pt>
                <c:pt idx="410">
                  <c:v>-0.58209443873284339</c:v>
                </c:pt>
                <c:pt idx="413">
                  <c:v>-1.2062697623865781</c:v>
                </c:pt>
                <c:pt idx="416">
                  <c:v>-1.6728680077364575</c:v>
                </c:pt>
                <c:pt idx="419">
                  <c:v>1.5769288459667976</c:v>
                </c:pt>
                <c:pt idx="422">
                  <c:v>3.4087411833841923</c:v>
                </c:pt>
                <c:pt idx="425">
                  <c:v>4.3058649436144822</c:v>
                </c:pt>
                <c:pt idx="428">
                  <c:v>5.1531810049334439</c:v>
                </c:pt>
                <c:pt idx="431">
                  <c:v>7.4707083250133905</c:v>
                </c:pt>
                <c:pt idx="434">
                  <c:v>7.1863928371436812</c:v>
                </c:pt>
                <c:pt idx="437">
                  <c:v>6.7151671170861382</c:v>
                </c:pt>
                <c:pt idx="440">
                  <c:v>6.7792579845102239</c:v>
                </c:pt>
                <c:pt idx="443">
                  <c:v>6.3664050521294095</c:v>
                </c:pt>
                <c:pt idx="446">
                  <c:v>5.9253161237560343</c:v>
                </c:pt>
                <c:pt idx="449">
                  <c:v>5.6420497472418072</c:v>
                </c:pt>
                <c:pt idx="452">
                  <c:v>4.9256477641849603</c:v>
                </c:pt>
                <c:pt idx="455">
                  <c:v>4.5974654660105276</c:v>
                </c:pt>
                <c:pt idx="458">
                  <c:v>4.8276018625640074</c:v>
                </c:pt>
                <c:pt idx="461">
                  <c:v>4.6711277779383247</c:v>
                </c:pt>
                <c:pt idx="464">
                  <c:v>5.1429707841685097</c:v>
                </c:pt>
                <c:pt idx="467">
                  <c:v>4.4977329715590004</c:v>
                </c:pt>
                <c:pt idx="470">
                  <c:v>4.3858572192608172</c:v>
                </c:pt>
                <c:pt idx="473">
                  <c:v>3.6694552362039703</c:v>
                </c:pt>
                <c:pt idx="476">
                  <c:v>3.0483465512695664</c:v>
                </c:pt>
                <c:pt idx="479">
                  <c:v>2.6507564374418351</c:v>
                </c:pt>
                <c:pt idx="482">
                  <c:v>3.1216697276910907</c:v>
                </c:pt>
                <c:pt idx="485">
                  <c:v>3.3128039420190216</c:v>
                </c:pt>
                <c:pt idx="488">
                  <c:v>2.5964019589621747</c:v>
                </c:pt>
                <c:pt idx="491">
                  <c:v>2.3794188530710541</c:v>
                </c:pt>
                <c:pt idx="494">
                  <c:v>2.7459444081660589</c:v>
                </c:pt>
                <c:pt idx="497">
                  <c:v>2.7287929798973138</c:v>
                </c:pt>
                <c:pt idx="500">
                  <c:v>3.6695530317808416</c:v>
                </c:pt>
                <c:pt idx="503">
                  <c:v>3.4920852098670072</c:v>
                </c:pt>
                <c:pt idx="506">
                  <c:v>3.1678698084237666</c:v>
                </c:pt>
                <c:pt idx="509">
                  <c:v>2.6713490755049691</c:v>
                </c:pt>
                <c:pt idx="512">
                  <c:v>2.0391152511868387</c:v>
                </c:pt>
                <c:pt idx="515">
                  <c:v>1.8313636852364108</c:v>
                </c:pt>
                <c:pt idx="518">
                  <c:v>3.8705821170678427</c:v>
                </c:pt>
                <c:pt idx="521">
                  <c:v>4.2208049930912841</c:v>
                </c:pt>
                <c:pt idx="524">
                  <c:v>3.615806285132213</c:v>
                </c:pt>
                <c:pt idx="527">
                  <c:v>3.4878207760086446</c:v>
                </c:pt>
                <c:pt idx="530">
                  <c:v>4.5219542943280491</c:v>
                </c:pt>
                <c:pt idx="533">
                  <c:v>4.8348996301295859</c:v>
                </c:pt>
                <c:pt idx="536">
                  <c:v>5.9203447190985017</c:v>
                </c:pt>
                <c:pt idx="539">
                  <c:v>6.0532655518159917</c:v>
                </c:pt>
                <c:pt idx="542">
                  <c:v>5.7758557693464549</c:v>
                </c:pt>
                <c:pt idx="545">
                  <c:v>5.6537312464988378</c:v>
                </c:pt>
                <c:pt idx="548">
                  <c:v>5.7464364224730042</c:v>
                </c:pt>
                <c:pt idx="551">
                  <c:v>5.2147938973263521</c:v>
                </c:pt>
                <c:pt idx="557">
                  <c:v>6.0398231137257907</c:v>
                </c:pt>
                <c:pt idx="560">
                  <c:v>5.5654811757894675</c:v>
                </c:pt>
                <c:pt idx="563">
                  <c:v>5.4922648589580545</c:v>
                </c:pt>
                <c:pt idx="566">
                  <c:v>6.3155052163865824</c:v>
                </c:pt>
                <c:pt idx="569">
                  <c:v>7.1887280908663511</c:v>
                </c:pt>
                <c:pt idx="572">
                  <c:v>9.2188534070697159</c:v>
                </c:pt>
                <c:pt idx="575">
                  <c:v>8.5531615569819071</c:v>
                </c:pt>
                <c:pt idx="578">
                  <c:v>8.1847079966451748</c:v>
                </c:pt>
                <c:pt idx="581">
                  <c:v>8.03506530517096</c:v>
                </c:pt>
                <c:pt idx="584">
                  <c:v>7.8963387369753795</c:v>
                </c:pt>
                <c:pt idx="587">
                  <c:v>7.2798963352245831</c:v>
                </c:pt>
                <c:pt idx="590">
                  <c:v>7.0936112229687094</c:v>
                </c:pt>
                <c:pt idx="593">
                  <c:v>6.7341884139662191</c:v>
                </c:pt>
                <c:pt idx="596">
                  <c:v>6.4265840907008682</c:v>
                </c:pt>
                <c:pt idx="599">
                  <c:v>6.2075607525719896</c:v>
                </c:pt>
                <c:pt idx="602">
                  <c:v>7.6232245344151792</c:v>
                </c:pt>
                <c:pt idx="605">
                  <c:v>9.5311609117716038</c:v>
                </c:pt>
                <c:pt idx="608">
                  <c:v>9.2871718104738363</c:v>
                </c:pt>
                <c:pt idx="611">
                  <c:v>8.878333103205172</c:v>
                </c:pt>
                <c:pt idx="614">
                  <c:v>8.9641255710366732</c:v>
                </c:pt>
                <c:pt idx="617">
                  <c:v>8.3991177467288711</c:v>
                </c:pt>
                <c:pt idx="620">
                  <c:v>8.3216120707927388</c:v>
                </c:pt>
                <c:pt idx="629">
                  <c:v>7.9235686208131995</c:v>
                </c:pt>
                <c:pt idx="635">
                  <c:v>11.343157643775703</c:v>
                </c:pt>
                <c:pt idx="638">
                  <c:v>10.800553377783679</c:v>
                </c:pt>
                <c:pt idx="641">
                  <c:v>10.32497668570176</c:v>
                </c:pt>
                <c:pt idx="647">
                  <c:v>10.096580538794971</c:v>
                </c:pt>
                <c:pt idx="653">
                  <c:v>9.7205850974445749</c:v>
                </c:pt>
                <c:pt idx="656">
                  <c:v>9.2345107357738492</c:v>
                </c:pt>
                <c:pt idx="659">
                  <c:v>9.1983525121764877</c:v>
                </c:pt>
                <c:pt idx="662">
                  <c:v>8.6190308697514659</c:v>
                </c:pt>
                <c:pt idx="665">
                  <c:v>8.1376201905487218</c:v>
                </c:pt>
                <c:pt idx="668">
                  <c:v>7.4389210558725418</c:v>
                </c:pt>
                <c:pt idx="671">
                  <c:v>7.2247375803765932</c:v>
                </c:pt>
                <c:pt idx="674">
                  <c:v>7.1009349419090686</c:v>
                </c:pt>
                <c:pt idx="677">
                  <c:v>6.5720909953098818</c:v>
                </c:pt>
                <c:pt idx="680">
                  <c:v>6.3507162051636303</c:v>
                </c:pt>
                <c:pt idx="683">
                  <c:v>5.8097982936364421</c:v>
                </c:pt>
                <c:pt idx="686">
                  <c:v>5.2524728951543898</c:v>
                </c:pt>
                <c:pt idx="689">
                  <c:v>4.8211800932981745</c:v>
                </c:pt>
                <c:pt idx="701">
                  <c:v>4.5704730074577853</c:v>
                </c:pt>
                <c:pt idx="704">
                  <c:v>4.0165329084914472</c:v>
                </c:pt>
                <c:pt idx="707">
                  <c:v>5.6172637068203857</c:v>
                </c:pt>
                <c:pt idx="710">
                  <c:v>5.5266905693083785</c:v>
                </c:pt>
                <c:pt idx="713">
                  <c:v>7.4829515474565635</c:v>
                </c:pt>
                <c:pt idx="719">
                  <c:v>6.9852916862589387</c:v>
                </c:pt>
                <c:pt idx="722">
                  <c:v>6.2828590124693005</c:v>
                </c:pt>
                <c:pt idx="728">
                  <c:v>5.8560662864723518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2-224C-8C6A-96592BF8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update'!$B$3:$B$731</c:f>
              <c:numCache>
                <c:formatCode>[$-409]mmm\-yy;@</c:formatCode>
                <c:ptCount val="729"/>
                <c:pt idx="0">
                  <c:v>36445</c:v>
                </c:pt>
                <c:pt idx="1">
                  <c:v>36445</c:v>
                </c:pt>
                <c:pt idx="2">
                  <c:v>36445</c:v>
                </c:pt>
                <c:pt idx="3">
                  <c:v>36472</c:v>
                </c:pt>
                <c:pt idx="4">
                  <c:v>36472</c:v>
                </c:pt>
                <c:pt idx="5">
                  <c:v>36472</c:v>
                </c:pt>
                <c:pt idx="6">
                  <c:v>36501</c:v>
                </c:pt>
                <c:pt idx="7">
                  <c:v>36501</c:v>
                </c:pt>
                <c:pt idx="8">
                  <c:v>36501</c:v>
                </c:pt>
                <c:pt idx="9">
                  <c:v>36530</c:v>
                </c:pt>
                <c:pt idx="10">
                  <c:v>36530</c:v>
                </c:pt>
                <c:pt idx="11">
                  <c:v>36530</c:v>
                </c:pt>
                <c:pt idx="12">
                  <c:v>36579</c:v>
                </c:pt>
                <c:pt idx="13">
                  <c:v>36579</c:v>
                </c:pt>
                <c:pt idx="14">
                  <c:v>36579</c:v>
                </c:pt>
                <c:pt idx="15">
                  <c:v>36600</c:v>
                </c:pt>
                <c:pt idx="16">
                  <c:v>36600</c:v>
                </c:pt>
                <c:pt idx="17">
                  <c:v>36600</c:v>
                </c:pt>
                <c:pt idx="18">
                  <c:v>36628</c:v>
                </c:pt>
                <c:pt idx="19">
                  <c:v>36628</c:v>
                </c:pt>
                <c:pt idx="20">
                  <c:v>36628</c:v>
                </c:pt>
                <c:pt idx="21">
                  <c:v>36661</c:v>
                </c:pt>
                <c:pt idx="22">
                  <c:v>36661</c:v>
                </c:pt>
                <c:pt idx="23">
                  <c:v>36661</c:v>
                </c:pt>
                <c:pt idx="24">
                  <c:v>36691</c:v>
                </c:pt>
                <c:pt idx="25">
                  <c:v>36691</c:v>
                </c:pt>
                <c:pt idx="26">
                  <c:v>36691</c:v>
                </c:pt>
                <c:pt idx="27">
                  <c:v>36720</c:v>
                </c:pt>
                <c:pt idx="28">
                  <c:v>36720</c:v>
                </c:pt>
                <c:pt idx="29">
                  <c:v>36720</c:v>
                </c:pt>
                <c:pt idx="30">
                  <c:v>36754</c:v>
                </c:pt>
                <c:pt idx="31">
                  <c:v>36754</c:v>
                </c:pt>
                <c:pt idx="32">
                  <c:v>36754</c:v>
                </c:pt>
                <c:pt idx="33">
                  <c:v>36782</c:v>
                </c:pt>
                <c:pt idx="34">
                  <c:v>36782</c:v>
                </c:pt>
                <c:pt idx="35">
                  <c:v>36782</c:v>
                </c:pt>
                <c:pt idx="36">
                  <c:v>36818</c:v>
                </c:pt>
                <c:pt idx="37">
                  <c:v>36818</c:v>
                </c:pt>
                <c:pt idx="38">
                  <c:v>36818</c:v>
                </c:pt>
                <c:pt idx="39">
                  <c:v>36845</c:v>
                </c:pt>
                <c:pt idx="40">
                  <c:v>36845</c:v>
                </c:pt>
                <c:pt idx="41">
                  <c:v>36845</c:v>
                </c:pt>
                <c:pt idx="42">
                  <c:v>36875</c:v>
                </c:pt>
                <c:pt idx="43">
                  <c:v>36875</c:v>
                </c:pt>
                <c:pt idx="44">
                  <c:v>36875</c:v>
                </c:pt>
                <c:pt idx="45">
                  <c:v>36901</c:v>
                </c:pt>
                <c:pt idx="46">
                  <c:v>36901</c:v>
                </c:pt>
                <c:pt idx="47">
                  <c:v>36901</c:v>
                </c:pt>
                <c:pt idx="48">
                  <c:v>36928</c:v>
                </c:pt>
                <c:pt idx="49">
                  <c:v>36928</c:v>
                </c:pt>
                <c:pt idx="50">
                  <c:v>36928</c:v>
                </c:pt>
                <c:pt idx="51">
                  <c:v>36963</c:v>
                </c:pt>
                <c:pt idx="52">
                  <c:v>36963</c:v>
                </c:pt>
                <c:pt idx="53">
                  <c:v>36963</c:v>
                </c:pt>
                <c:pt idx="54">
                  <c:v>37000</c:v>
                </c:pt>
                <c:pt idx="55">
                  <c:v>37000</c:v>
                </c:pt>
                <c:pt idx="56">
                  <c:v>37000</c:v>
                </c:pt>
                <c:pt idx="57">
                  <c:v>37028</c:v>
                </c:pt>
                <c:pt idx="58">
                  <c:v>37028</c:v>
                </c:pt>
                <c:pt idx="59">
                  <c:v>37028</c:v>
                </c:pt>
                <c:pt idx="60">
                  <c:v>37058</c:v>
                </c:pt>
                <c:pt idx="61">
                  <c:v>37058</c:v>
                </c:pt>
                <c:pt idx="62">
                  <c:v>37058</c:v>
                </c:pt>
                <c:pt idx="63">
                  <c:v>37089</c:v>
                </c:pt>
                <c:pt idx="64">
                  <c:v>37089</c:v>
                </c:pt>
                <c:pt idx="65">
                  <c:v>37089</c:v>
                </c:pt>
                <c:pt idx="66">
                  <c:v>37119</c:v>
                </c:pt>
                <c:pt idx="67">
                  <c:v>37119</c:v>
                </c:pt>
                <c:pt idx="68">
                  <c:v>37119</c:v>
                </c:pt>
                <c:pt idx="69">
                  <c:v>37152</c:v>
                </c:pt>
                <c:pt idx="70">
                  <c:v>37152</c:v>
                </c:pt>
                <c:pt idx="71">
                  <c:v>37152</c:v>
                </c:pt>
                <c:pt idx="72">
                  <c:v>37181</c:v>
                </c:pt>
                <c:pt idx="73">
                  <c:v>37181</c:v>
                </c:pt>
                <c:pt idx="74">
                  <c:v>37181</c:v>
                </c:pt>
                <c:pt idx="75">
                  <c:v>37203</c:v>
                </c:pt>
                <c:pt idx="76">
                  <c:v>37203</c:v>
                </c:pt>
                <c:pt idx="77">
                  <c:v>37203</c:v>
                </c:pt>
                <c:pt idx="78">
                  <c:v>37228</c:v>
                </c:pt>
                <c:pt idx="79">
                  <c:v>37228</c:v>
                </c:pt>
                <c:pt idx="80">
                  <c:v>37228</c:v>
                </c:pt>
                <c:pt idx="81">
                  <c:v>37270</c:v>
                </c:pt>
                <c:pt idx="82">
                  <c:v>37270</c:v>
                </c:pt>
                <c:pt idx="83">
                  <c:v>37270</c:v>
                </c:pt>
                <c:pt idx="84">
                  <c:v>37300</c:v>
                </c:pt>
                <c:pt idx="85">
                  <c:v>37300</c:v>
                </c:pt>
                <c:pt idx="86">
                  <c:v>37300</c:v>
                </c:pt>
                <c:pt idx="87">
                  <c:v>37334</c:v>
                </c:pt>
                <c:pt idx="88">
                  <c:v>37334</c:v>
                </c:pt>
                <c:pt idx="89">
                  <c:v>37334</c:v>
                </c:pt>
                <c:pt idx="90">
                  <c:v>37361</c:v>
                </c:pt>
                <c:pt idx="91">
                  <c:v>37361</c:v>
                </c:pt>
                <c:pt idx="92">
                  <c:v>37361</c:v>
                </c:pt>
                <c:pt idx="93">
                  <c:v>37389</c:v>
                </c:pt>
                <c:pt idx="94">
                  <c:v>37389</c:v>
                </c:pt>
                <c:pt idx="95">
                  <c:v>37389</c:v>
                </c:pt>
                <c:pt idx="96">
                  <c:v>37418</c:v>
                </c:pt>
                <c:pt idx="97">
                  <c:v>37418</c:v>
                </c:pt>
                <c:pt idx="98">
                  <c:v>37418</c:v>
                </c:pt>
                <c:pt idx="99">
                  <c:v>37455</c:v>
                </c:pt>
                <c:pt idx="100">
                  <c:v>37455</c:v>
                </c:pt>
                <c:pt idx="101">
                  <c:v>37455</c:v>
                </c:pt>
                <c:pt idx="102">
                  <c:v>37483</c:v>
                </c:pt>
                <c:pt idx="103">
                  <c:v>37483</c:v>
                </c:pt>
                <c:pt idx="104">
                  <c:v>37483</c:v>
                </c:pt>
                <c:pt idx="105">
                  <c:v>37516</c:v>
                </c:pt>
                <c:pt idx="106">
                  <c:v>37516</c:v>
                </c:pt>
                <c:pt idx="107">
                  <c:v>37516</c:v>
                </c:pt>
                <c:pt idx="108">
                  <c:v>37544</c:v>
                </c:pt>
                <c:pt idx="109">
                  <c:v>37544</c:v>
                </c:pt>
                <c:pt idx="110">
                  <c:v>37544</c:v>
                </c:pt>
                <c:pt idx="111">
                  <c:v>37575</c:v>
                </c:pt>
                <c:pt idx="112">
                  <c:v>37575</c:v>
                </c:pt>
                <c:pt idx="113">
                  <c:v>37575</c:v>
                </c:pt>
                <c:pt idx="114">
                  <c:v>37609</c:v>
                </c:pt>
                <c:pt idx="115">
                  <c:v>37609</c:v>
                </c:pt>
                <c:pt idx="116">
                  <c:v>37609</c:v>
                </c:pt>
                <c:pt idx="117">
                  <c:v>37635</c:v>
                </c:pt>
                <c:pt idx="118">
                  <c:v>37635</c:v>
                </c:pt>
                <c:pt idx="119">
                  <c:v>37635</c:v>
                </c:pt>
                <c:pt idx="120">
                  <c:v>37665</c:v>
                </c:pt>
                <c:pt idx="121">
                  <c:v>37665</c:v>
                </c:pt>
                <c:pt idx="122">
                  <c:v>37665</c:v>
                </c:pt>
                <c:pt idx="123">
                  <c:v>37690</c:v>
                </c:pt>
                <c:pt idx="124">
                  <c:v>37690</c:v>
                </c:pt>
                <c:pt idx="125">
                  <c:v>37690</c:v>
                </c:pt>
                <c:pt idx="126">
                  <c:v>37725</c:v>
                </c:pt>
                <c:pt idx="127">
                  <c:v>37725</c:v>
                </c:pt>
                <c:pt idx="128">
                  <c:v>37725</c:v>
                </c:pt>
                <c:pt idx="129">
                  <c:v>37753</c:v>
                </c:pt>
                <c:pt idx="130">
                  <c:v>37753</c:v>
                </c:pt>
                <c:pt idx="131">
                  <c:v>37753</c:v>
                </c:pt>
                <c:pt idx="132">
                  <c:v>37792</c:v>
                </c:pt>
                <c:pt idx="133">
                  <c:v>37792</c:v>
                </c:pt>
                <c:pt idx="134">
                  <c:v>37792</c:v>
                </c:pt>
                <c:pt idx="135">
                  <c:v>37817</c:v>
                </c:pt>
                <c:pt idx="136">
                  <c:v>37817</c:v>
                </c:pt>
                <c:pt idx="137">
                  <c:v>37817</c:v>
                </c:pt>
                <c:pt idx="138">
                  <c:v>37845</c:v>
                </c:pt>
                <c:pt idx="139">
                  <c:v>37845</c:v>
                </c:pt>
                <c:pt idx="140">
                  <c:v>37845</c:v>
                </c:pt>
                <c:pt idx="141">
                  <c:v>37888</c:v>
                </c:pt>
                <c:pt idx="142">
                  <c:v>37888</c:v>
                </c:pt>
                <c:pt idx="143">
                  <c:v>37888</c:v>
                </c:pt>
                <c:pt idx="144">
                  <c:v>37908</c:v>
                </c:pt>
                <c:pt idx="145">
                  <c:v>37908</c:v>
                </c:pt>
                <c:pt idx="146">
                  <c:v>37908</c:v>
                </c:pt>
                <c:pt idx="147">
                  <c:v>37943</c:v>
                </c:pt>
                <c:pt idx="148">
                  <c:v>37943</c:v>
                </c:pt>
                <c:pt idx="149">
                  <c:v>37943</c:v>
                </c:pt>
                <c:pt idx="150">
                  <c:v>37973</c:v>
                </c:pt>
                <c:pt idx="151">
                  <c:v>37973</c:v>
                </c:pt>
                <c:pt idx="152">
                  <c:v>37973</c:v>
                </c:pt>
                <c:pt idx="153">
                  <c:v>37999</c:v>
                </c:pt>
                <c:pt idx="154">
                  <c:v>37999</c:v>
                </c:pt>
                <c:pt idx="155">
                  <c:v>38000</c:v>
                </c:pt>
                <c:pt idx="156">
                  <c:v>38027</c:v>
                </c:pt>
                <c:pt idx="157">
                  <c:v>38027</c:v>
                </c:pt>
                <c:pt idx="158">
                  <c:v>38027</c:v>
                </c:pt>
                <c:pt idx="159">
                  <c:v>38063</c:v>
                </c:pt>
                <c:pt idx="160">
                  <c:v>38063</c:v>
                </c:pt>
                <c:pt idx="161">
                  <c:v>38063</c:v>
                </c:pt>
                <c:pt idx="162">
                  <c:v>38094</c:v>
                </c:pt>
                <c:pt idx="163">
                  <c:v>38094</c:v>
                </c:pt>
                <c:pt idx="164">
                  <c:v>38094</c:v>
                </c:pt>
                <c:pt idx="165">
                  <c:v>38118</c:v>
                </c:pt>
                <c:pt idx="166">
                  <c:v>38118</c:v>
                </c:pt>
                <c:pt idx="167">
                  <c:v>38118</c:v>
                </c:pt>
                <c:pt idx="168">
                  <c:v>38153</c:v>
                </c:pt>
                <c:pt idx="169">
                  <c:v>38153</c:v>
                </c:pt>
                <c:pt idx="170">
                  <c:v>38153</c:v>
                </c:pt>
                <c:pt idx="171">
                  <c:v>38181</c:v>
                </c:pt>
                <c:pt idx="172">
                  <c:v>38181</c:v>
                </c:pt>
                <c:pt idx="173">
                  <c:v>38181</c:v>
                </c:pt>
                <c:pt idx="174">
                  <c:v>38217</c:v>
                </c:pt>
                <c:pt idx="175">
                  <c:v>38217</c:v>
                </c:pt>
                <c:pt idx="176">
                  <c:v>38217</c:v>
                </c:pt>
                <c:pt idx="177">
                  <c:v>38244</c:v>
                </c:pt>
                <c:pt idx="178">
                  <c:v>38244</c:v>
                </c:pt>
                <c:pt idx="179">
                  <c:v>38244</c:v>
                </c:pt>
                <c:pt idx="180">
                  <c:v>38272</c:v>
                </c:pt>
                <c:pt idx="181">
                  <c:v>38272</c:v>
                </c:pt>
                <c:pt idx="182">
                  <c:v>38272</c:v>
                </c:pt>
                <c:pt idx="183">
                  <c:v>38306</c:v>
                </c:pt>
                <c:pt idx="184">
                  <c:v>38306</c:v>
                </c:pt>
                <c:pt idx="185">
                  <c:v>38306</c:v>
                </c:pt>
                <c:pt idx="186">
                  <c:v>38335</c:v>
                </c:pt>
                <c:pt idx="187">
                  <c:v>38335</c:v>
                </c:pt>
                <c:pt idx="188">
                  <c:v>38335</c:v>
                </c:pt>
                <c:pt idx="189">
                  <c:v>38362</c:v>
                </c:pt>
                <c:pt idx="190">
                  <c:v>38362</c:v>
                </c:pt>
                <c:pt idx="191">
                  <c:v>38362</c:v>
                </c:pt>
                <c:pt idx="192">
                  <c:v>38399</c:v>
                </c:pt>
                <c:pt idx="193">
                  <c:v>38399</c:v>
                </c:pt>
                <c:pt idx="194">
                  <c:v>38399</c:v>
                </c:pt>
                <c:pt idx="195">
                  <c:v>38428</c:v>
                </c:pt>
                <c:pt idx="196">
                  <c:v>38428</c:v>
                </c:pt>
                <c:pt idx="197">
                  <c:v>38428</c:v>
                </c:pt>
                <c:pt idx="198">
                  <c:v>38468</c:v>
                </c:pt>
                <c:pt idx="199">
                  <c:v>38468</c:v>
                </c:pt>
                <c:pt idx="200">
                  <c:v>38468</c:v>
                </c:pt>
                <c:pt idx="201">
                  <c:v>38489</c:v>
                </c:pt>
                <c:pt idx="202">
                  <c:v>38489</c:v>
                </c:pt>
                <c:pt idx="203">
                  <c:v>38489</c:v>
                </c:pt>
                <c:pt idx="204">
                  <c:v>38517</c:v>
                </c:pt>
                <c:pt idx="205">
                  <c:v>38517</c:v>
                </c:pt>
                <c:pt idx="206">
                  <c:v>38517</c:v>
                </c:pt>
                <c:pt idx="207">
                  <c:v>38547</c:v>
                </c:pt>
                <c:pt idx="208">
                  <c:v>38547</c:v>
                </c:pt>
                <c:pt idx="209">
                  <c:v>38547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38608</c:v>
                </c:pt>
                <c:pt idx="215">
                  <c:v>38608</c:v>
                </c:pt>
                <c:pt idx="216">
                  <c:v>38638</c:v>
                </c:pt>
                <c:pt idx="217">
                  <c:v>38638</c:v>
                </c:pt>
                <c:pt idx="218">
                  <c:v>38637</c:v>
                </c:pt>
                <c:pt idx="219">
                  <c:v>38671</c:v>
                </c:pt>
                <c:pt idx="220">
                  <c:v>38671</c:v>
                </c:pt>
                <c:pt idx="221">
                  <c:v>38671</c:v>
                </c:pt>
                <c:pt idx="222">
                  <c:v>38707</c:v>
                </c:pt>
                <c:pt idx="223">
                  <c:v>38707</c:v>
                </c:pt>
                <c:pt idx="224">
                  <c:v>38707</c:v>
                </c:pt>
                <c:pt idx="225">
                  <c:v>38734</c:v>
                </c:pt>
                <c:pt idx="226">
                  <c:v>38734</c:v>
                </c:pt>
                <c:pt idx="227">
                  <c:v>38734</c:v>
                </c:pt>
                <c:pt idx="228">
                  <c:v>38762</c:v>
                </c:pt>
                <c:pt idx="229">
                  <c:v>38762</c:v>
                </c:pt>
                <c:pt idx="230">
                  <c:v>38762</c:v>
                </c:pt>
                <c:pt idx="231">
                  <c:v>38789</c:v>
                </c:pt>
                <c:pt idx="232">
                  <c:v>38789</c:v>
                </c:pt>
                <c:pt idx="233">
                  <c:v>38789</c:v>
                </c:pt>
                <c:pt idx="234">
                  <c:v>38825</c:v>
                </c:pt>
                <c:pt idx="235">
                  <c:v>38825</c:v>
                </c:pt>
                <c:pt idx="236">
                  <c:v>38825</c:v>
                </c:pt>
                <c:pt idx="237">
                  <c:v>38852</c:v>
                </c:pt>
                <c:pt idx="238">
                  <c:v>38852</c:v>
                </c:pt>
                <c:pt idx="239">
                  <c:v>38852</c:v>
                </c:pt>
                <c:pt idx="240">
                  <c:v>38883</c:v>
                </c:pt>
                <c:pt idx="241">
                  <c:v>38883</c:v>
                </c:pt>
                <c:pt idx="242">
                  <c:v>38883</c:v>
                </c:pt>
                <c:pt idx="243">
                  <c:v>38916</c:v>
                </c:pt>
                <c:pt idx="244">
                  <c:v>38916</c:v>
                </c:pt>
                <c:pt idx="245">
                  <c:v>38916</c:v>
                </c:pt>
                <c:pt idx="246">
                  <c:v>38953</c:v>
                </c:pt>
                <c:pt idx="247">
                  <c:v>38954</c:v>
                </c:pt>
                <c:pt idx="248">
                  <c:v>38954</c:v>
                </c:pt>
                <c:pt idx="249">
                  <c:v>38972</c:v>
                </c:pt>
                <c:pt idx="250">
                  <c:v>38972</c:v>
                </c:pt>
                <c:pt idx="251">
                  <c:v>38972</c:v>
                </c:pt>
                <c:pt idx="252">
                  <c:v>39009</c:v>
                </c:pt>
                <c:pt idx="253">
                  <c:v>39009</c:v>
                </c:pt>
                <c:pt idx="254">
                  <c:v>39009</c:v>
                </c:pt>
                <c:pt idx="255">
                  <c:v>39035</c:v>
                </c:pt>
                <c:pt idx="256">
                  <c:v>39035</c:v>
                </c:pt>
                <c:pt idx="257">
                  <c:v>39035</c:v>
                </c:pt>
                <c:pt idx="258">
                  <c:v>39063</c:v>
                </c:pt>
                <c:pt idx="259">
                  <c:v>39063</c:v>
                </c:pt>
                <c:pt idx="260">
                  <c:v>39063</c:v>
                </c:pt>
                <c:pt idx="261">
                  <c:v>39098</c:v>
                </c:pt>
                <c:pt idx="262">
                  <c:v>39098</c:v>
                </c:pt>
                <c:pt idx="263">
                  <c:v>39098</c:v>
                </c:pt>
                <c:pt idx="264">
                  <c:v>39133</c:v>
                </c:pt>
                <c:pt idx="265">
                  <c:v>39133</c:v>
                </c:pt>
                <c:pt idx="266">
                  <c:v>39133</c:v>
                </c:pt>
                <c:pt idx="267">
                  <c:v>39154</c:v>
                </c:pt>
                <c:pt idx="268">
                  <c:v>39154</c:v>
                </c:pt>
                <c:pt idx="269">
                  <c:v>39154</c:v>
                </c:pt>
                <c:pt idx="270">
                  <c:v>39190</c:v>
                </c:pt>
                <c:pt idx="271">
                  <c:v>39190</c:v>
                </c:pt>
                <c:pt idx="272">
                  <c:v>39190</c:v>
                </c:pt>
                <c:pt idx="273">
                  <c:v>39217</c:v>
                </c:pt>
                <c:pt idx="274">
                  <c:v>39217</c:v>
                </c:pt>
                <c:pt idx="275">
                  <c:v>39217</c:v>
                </c:pt>
                <c:pt idx="276">
                  <c:v>39245</c:v>
                </c:pt>
                <c:pt idx="277">
                  <c:v>39245</c:v>
                </c:pt>
                <c:pt idx="278">
                  <c:v>39245</c:v>
                </c:pt>
                <c:pt idx="279">
                  <c:v>39280</c:v>
                </c:pt>
                <c:pt idx="280">
                  <c:v>39280</c:v>
                </c:pt>
                <c:pt idx="281">
                  <c:v>39280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39337</c:v>
                </c:pt>
                <c:pt idx="286">
                  <c:v>39337</c:v>
                </c:pt>
                <c:pt idx="287">
                  <c:v>39337</c:v>
                </c:pt>
                <c:pt idx="288">
                  <c:v>39373</c:v>
                </c:pt>
                <c:pt idx="289">
                  <c:v>39373</c:v>
                </c:pt>
                <c:pt idx="290">
                  <c:v>39373</c:v>
                </c:pt>
                <c:pt idx="291">
                  <c:v>39399</c:v>
                </c:pt>
                <c:pt idx="292">
                  <c:v>39399</c:v>
                </c:pt>
                <c:pt idx="293">
                  <c:v>39399</c:v>
                </c:pt>
                <c:pt idx="294">
                  <c:v>39427</c:v>
                </c:pt>
                <c:pt idx="295">
                  <c:v>39427</c:v>
                </c:pt>
                <c:pt idx="296">
                  <c:v>39427</c:v>
                </c:pt>
                <c:pt idx="297">
                  <c:v>39464</c:v>
                </c:pt>
                <c:pt idx="298">
                  <c:v>39464</c:v>
                </c:pt>
                <c:pt idx="299">
                  <c:v>39464</c:v>
                </c:pt>
                <c:pt idx="300">
                  <c:v>39490</c:v>
                </c:pt>
                <c:pt idx="301">
                  <c:v>39490</c:v>
                </c:pt>
                <c:pt idx="302">
                  <c:v>39490</c:v>
                </c:pt>
                <c:pt idx="303">
                  <c:v>39520</c:v>
                </c:pt>
                <c:pt idx="304">
                  <c:v>39520</c:v>
                </c:pt>
                <c:pt idx="305">
                  <c:v>39520</c:v>
                </c:pt>
                <c:pt idx="306">
                  <c:v>39553</c:v>
                </c:pt>
                <c:pt idx="307">
                  <c:v>39553</c:v>
                </c:pt>
                <c:pt idx="308">
                  <c:v>39553</c:v>
                </c:pt>
                <c:pt idx="309">
                  <c:v>39582</c:v>
                </c:pt>
                <c:pt idx="310">
                  <c:v>39582</c:v>
                </c:pt>
                <c:pt idx="311">
                  <c:v>39582</c:v>
                </c:pt>
                <c:pt idx="312">
                  <c:v>39616</c:v>
                </c:pt>
                <c:pt idx="313">
                  <c:v>39616</c:v>
                </c:pt>
                <c:pt idx="314">
                  <c:v>39616</c:v>
                </c:pt>
                <c:pt idx="315">
                  <c:v>39644</c:v>
                </c:pt>
                <c:pt idx="316">
                  <c:v>39644</c:v>
                </c:pt>
                <c:pt idx="317">
                  <c:v>39644</c:v>
                </c:pt>
                <c:pt idx="318">
                  <c:v>39673</c:v>
                </c:pt>
                <c:pt idx="319">
                  <c:v>39673</c:v>
                </c:pt>
                <c:pt idx="320">
                  <c:v>39673</c:v>
                </c:pt>
                <c:pt idx="321">
                  <c:v>39708</c:v>
                </c:pt>
                <c:pt idx="322">
                  <c:v>39708</c:v>
                </c:pt>
                <c:pt idx="323">
                  <c:v>39708</c:v>
                </c:pt>
                <c:pt idx="324">
                  <c:v>39737</c:v>
                </c:pt>
                <c:pt idx="325">
                  <c:v>39737</c:v>
                </c:pt>
                <c:pt idx="326">
                  <c:v>39737</c:v>
                </c:pt>
                <c:pt idx="327">
                  <c:v>39763</c:v>
                </c:pt>
                <c:pt idx="328">
                  <c:v>39763</c:v>
                </c:pt>
                <c:pt idx="329">
                  <c:v>39763</c:v>
                </c:pt>
                <c:pt idx="330">
                  <c:v>39799</c:v>
                </c:pt>
                <c:pt idx="331">
                  <c:v>39799</c:v>
                </c:pt>
                <c:pt idx="332">
                  <c:v>39799</c:v>
                </c:pt>
                <c:pt idx="333">
                  <c:v>39825</c:v>
                </c:pt>
                <c:pt idx="334">
                  <c:v>39825</c:v>
                </c:pt>
                <c:pt idx="335">
                  <c:v>39825</c:v>
                </c:pt>
                <c:pt idx="336">
                  <c:v>39854</c:v>
                </c:pt>
                <c:pt idx="337">
                  <c:v>39854</c:v>
                </c:pt>
                <c:pt idx="338">
                  <c:v>39854</c:v>
                </c:pt>
                <c:pt idx="339">
                  <c:v>39890</c:v>
                </c:pt>
                <c:pt idx="340">
                  <c:v>39890</c:v>
                </c:pt>
                <c:pt idx="341">
                  <c:v>39890</c:v>
                </c:pt>
                <c:pt idx="342">
                  <c:v>39920</c:v>
                </c:pt>
                <c:pt idx="343">
                  <c:v>39920</c:v>
                </c:pt>
                <c:pt idx="344">
                  <c:v>39920</c:v>
                </c:pt>
                <c:pt idx="345">
                  <c:v>39945</c:v>
                </c:pt>
                <c:pt idx="346">
                  <c:v>39945</c:v>
                </c:pt>
                <c:pt idx="347">
                  <c:v>39945</c:v>
                </c:pt>
                <c:pt idx="348">
                  <c:v>39980</c:v>
                </c:pt>
                <c:pt idx="349">
                  <c:v>39980</c:v>
                </c:pt>
                <c:pt idx="350">
                  <c:v>39980</c:v>
                </c:pt>
                <c:pt idx="351">
                  <c:v>40009</c:v>
                </c:pt>
                <c:pt idx="352">
                  <c:v>40009</c:v>
                </c:pt>
                <c:pt idx="353">
                  <c:v>40009</c:v>
                </c:pt>
                <c:pt idx="354">
                  <c:v>40043</c:v>
                </c:pt>
                <c:pt idx="355">
                  <c:v>40042</c:v>
                </c:pt>
                <c:pt idx="356">
                  <c:v>40043</c:v>
                </c:pt>
                <c:pt idx="357">
                  <c:v>40070</c:v>
                </c:pt>
                <c:pt idx="358">
                  <c:v>40070</c:v>
                </c:pt>
                <c:pt idx="359">
                  <c:v>40070</c:v>
                </c:pt>
                <c:pt idx="360">
                  <c:v>40099</c:v>
                </c:pt>
                <c:pt idx="361">
                  <c:v>40099</c:v>
                </c:pt>
                <c:pt idx="362">
                  <c:v>40099</c:v>
                </c:pt>
                <c:pt idx="363">
                  <c:v>40134</c:v>
                </c:pt>
                <c:pt idx="364">
                  <c:v>40134</c:v>
                </c:pt>
                <c:pt idx="365">
                  <c:v>40134</c:v>
                </c:pt>
                <c:pt idx="366">
                  <c:v>40162</c:v>
                </c:pt>
                <c:pt idx="367">
                  <c:v>40162</c:v>
                </c:pt>
                <c:pt idx="368">
                  <c:v>40162</c:v>
                </c:pt>
                <c:pt idx="369">
                  <c:v>40198</c:v>
                </c:pt>
                <c:pt idx="370">
                  <c:v>40198</c:v>
                </c:pt>
                <c:pt idx="371">
                  <c:v>40198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40254</c:v>
                </c:pt>
                <c:pt idx="377">
                  <c:v>40254</c:v>
                </c:pt>
                <c:pt idx="378">
                  <c:v>40282</c:v>
                </c:pt>
                <c:pt idx="379">
                  <c:v>40282</c:v>
                </c:pt>
                <c:pt idx="380">
                  <c:v>40282</c:v>
                </c:pt>
                <c:pt idx="381">
                  <c:v>40315</c:v>
                </c:pt>
                <c:pt idx="382">
                  <c:v>40315</c:v>
                </c:pt>
                <c:pt idx="383">
                  <c:v>40315</c:v>
                </c:pt>
                <c:pt idx="384">
                  <c:v>40344</c:v>
                </c:pt>
                <c:pt idx="385">
                  <c:v>40344</c:v>
                </c:pt>
                <c:pt idx="386">
                  <c:v>40344</c:v>
                </c:pt>
                <c:pt idx="387">
                  <c:v>40371</c:v>
                </c:pt>
                <c:pt idx="388">
                  <c:v>40371</c:v>
                </c:pt>
                <c:pt idx="389">
                  <c:v>40371</c:v>
                </c:pt>
                <c:pt idx="390">
                  <c:v>40407</c:v>
                </c:pt>
                <c:pt idx="391">
                  <c:v>40407</c:v>
                </c:pt>
                <c:pt idx="392">
                  <c:v>40407</c:v>
                </c:pt>
                <c:pt idx="393">
                  <c:v>40436</c:v>
                </c:pt>
                <c:pt idx="394">
                  <c:v>40436</c:v>
                </c:pt>
                <c:pt idx="395">
                  <c:v>40436</c:v>
                </c:pt>
                <c:pt idx="396">
                  <c:v>40464</c:v>
                </c:pt>
                <c:pt idx="397">
                  <c:v>40464</c:v>
                </c:pt>
                <c:pt idx="398">
                  <c:v>40464</c:v>
                </c:pt>
                <c:pt idx="399">
                  <c:v>40498</c:v>
                </c:pt>
                <c:pt idx="400">
                  <c:v>40498</c:v>
                </c:pt>
                <c:pt idx="401">
                  <c:v>40498</c:v>
                </c:pt>
                <c:pt idx="402">
                  <c:v>40520</c:v>
                </c:pt>
                <c:pt idx="403">
                  <c:v>40520</c:v>
                </c:pt>
                <c:pt idx="404">
                  <c:v>40520</c:v>
                </c:pt>
                <c:pt idx="405">
                  <c:v>40562</c:v>
                </c:pt>
                <c:pt idx="406">
                  <c:v>40562</c:v>
                </c:pt>
                <c:pt idx="407">
                  <c:v>40562</c:v>
                </c:pt>
                <c:pt idx="408">
                  <c:v>40591</c:v>
                </c:pt>
                <c:pt idx="409">
                  <c:v>40591</c:v>
                </c:pt>
                <c:pt idx="410">
                  <c:v>40591</c:v>
                </c:pt>
                <c:pt idx="411">
                  <c:v>40619</c:v>
                </c:pt>
                <c:pt idx="412">
                  <c:v>40619</c:v>
                </c:pt>
                <c:pt idx="413">
                  <c:v>40619</c:v>
                </c:pt>
                <c:pt idx="414">
                  <c:v>40646</c:v>
                </c:pt>
                <c:pt idx="415">
                  <c:v>40646</c:v>
                </c:pt>
                <c:pt idx="416">
                  <c:v>40646</c:v>
                </c:pt>
                <c:pt idx="417">
                  <c:v>40681</c:v>
                </c:pt>
                <c:pt idx="418">
                  <c:v>40681</c:v>
                </c:pt>
                <c:pt idx="419">
                  <c:v>40681</c:v>
                </c:pt>
                <c:pt idx="420">
                  <c:v>40708</c:v>
                </c:pt>
                <c:pt idx="421">
                  <c:v>40708</c:v>
                </c:pt>
                <c:pt idx="422">
                  <c:v>40708</c:v>
                </c:pt>
                <c:pt idx="423">
                  <c:v>40735</c:v>
                </c:pt>
                <c:pt idx="424">
                  <c:v>40735</c:v>
                </c:pt>
                <c:pt idx="425">
                  <c:v>40735</c:v>
                </c:pt>
                <c:pt idx="426">
                  <c:v>40771</c:v>
                </c:pt>
                <c:pt idx="427">
                  <c:v>40771</c:v>
                </c:pt>
                <c:pt idx="428">
                  <c:v>40771</c:v>
                </c:pt>
                <c:pt idx="429">
                  <c:v>40799</c:v>
                </c:pt>
                <c:pt idx="430">
                  <c:v>40799</c:v>
                </c:pt>
                <c:pt idx="431">
                  <c:v>40799</c:v>
                </c:pt>
                <c:pt idx="432">
                  <c:v>40827</c:v>
                </c:pt>
                <c:pt idx="433">
                  <c:v>40827</c:v>
                </c:pt>
                <c:pt idx="434">
                  <c:v>40827</c:v>
                </c:pt>
                <c:pt idx="435">
                  <c:v>40862</c:v>
                </c:pt>
                <c:pt idx="436">
                  <c:v>40862</c:v>
                </c:pt>
                <c:pt idx="437">
                  <c:v>40862</c:v>
                </c:pt>
                <c:pt idx="438">
                  <c:v>40890</c:v>
                </c:pt>
                <c:pt idx="439">
                  <c:v>40890</c:v>
                </c:pt>
                <c:pt idx="440">
                  <c:v>40890</c:v>
                </c:pt>
                <c:pt idx="441">
                  <c:v>40917</c:v>
                </c:pt>
                <c:pt idx="442">
                  <c:v>40917</c:v>
                </c:pt>
                <c:pt idx="443">
                  <c:v>40917</c:v>
                </c:pt>
                <c:pt idx="444">
                  <c:v>40962</c:v>
                </c:pt>
                <c:pt idx="445">
                  <c:v>40962</c:v>
                </c:pt>
                <c:pt idx="446">
                  <c:v>40962</c:v>
                </c:pt>
                <c:pt idx="447">
                  <c:v>40980</c:v>
                </c:pt>
                <c:pt idx="448">
                  <c:v>40980</c:v>
                </c:pt>
                <c:pt idx="449">
                  <c:v>40980</c:v>
                </c:pt>
                <c:pt idx="450">
                  <c:v>41015</c:v>
                </c:pt>
                <c:pt idx="451">
                  <c:v>41015</c:v>
                </c:pt>
                <c:pt idx="452">
                  <c:v>41015</c:v>
                </c:pt>
                <c:pt idx="453">
                  <c:v>41045</c:v>
                </c:pt>
                <c:pt idx="454">
                  <c:v>41045</c:v>
                </c:pt>
                <c:pt idx="455">
                  <c:v>41045</c:v>
                </c:pt>
                <c:pt idx="456">
                  <c:v>41073</c:v>
                </c:pt>
                <c:pt idx="457">
                  <c:v>41073</c:v>
                </c:pt>
                <c:pt idx="458">
                  <c:v>41073</c:v>
                </c:pt>
                <c:pt idx="459">
                  <c:v>41107</c:v>
                </c:pt>
                <c:pt idx="460">
                  <c:v>41107</c:v>
                </c:pt>
                <c:pt idx="461">
                  <c:v>41107</c:v>
                </c:pt>
                <c:pt idx="462">
                  <c:v>41135</c:v>
                </c:pt>
                <c:pt idx="463">
                  <c:v>41135</c:v>
                </c:pt>
                <c:pt idx="464">
                  <c:v>41135</c:v>
                </c:pt>
                <c:pt idx="465">
                  <c:v>41164</c:v>
                </c:pt>
                <c:pt idx="466">
                  <c:v>41164</c:v>
                </c:pt>
                <c:pt idx="467">
                  <c:v>41164</c:v>
                </c:pt>
                <c:pt idx="468">
                  <c:v>41200</c:v>
                </c:pt>
                <c:pt idx="469">
                  <c:v>41200</c:v>
                </c:pt>
                <c:pt idx="470">
                  <c:v>41200</c:v>
                </c:pt>
                <c:pt idx="471">
                  <c:v>41226</c:v>
                </c:pt>
                <c:pt idx="472">
                  <c:v>41226</c:v>
                </c:pt>
                <c:pt idx="473">
                  <c:v>41226</c:v>
                </c:pt>
                <c:pt idx="474">
                  <c:v>41254</c:v>
                </c:pt>
                <c:pt idx="475">
                  <c:v>41254</c:v>
                </c:pt>
                <c:pt idx="476">
                  <c:v>41254</c:v>
                </c:pt>
                <c:pt idx="477">
                  <c:v>41288</c:v>
                </c:pt>
                <c:pt idx="478">
                  <c:v>41288</c:v>
                </c:pt>
                <c:pt idx="479">
                  <c:v>41288</c:v>
                </c:pt>
                <c:pt idx="480">
                  <c:v>41318</c:v>
                </c:pt>
                <c:pt idx="481">
                  <c:v>41318</c:v>
                </c:pt>
                <c:pt idx="482">
                  <c:v>41318</c:v>
                </c:pt>
                <c:pt idx="483">
                  <c:v>41344</c:v>
                </c:pt>
                <c:pt idx="484">
                  <c:v>41344</c:v>
                </c:pt>
                <c:pt idx="485">
                  <c:v>41344</c:v>
                </c:pt>
                <c:pt idx="486">
                  <c:v>41381</c:v>
                </c:pt>
                <c:pt idx="487">
                  <c:v>41381</c:v>
                </c:pt>
                <c:pt idx="488">
                  <c:v>41381</c:v>
                </c:pt>
                <c:pt idx="489">
                  <c:v>41408</c:v>
                </c:pt>
                <c:pt idx="490">
                  <c:v>41408</c:v>
                </c:pt>
                <c:pt idx="491">
                  <c:v>41408</c:v>
                </c:pt>
                <c:pt idx="492">
                  <c:v>41436</c:v>
                </c:pt>
                <c:pt idx="493">
                  <c:v>41436</c:v>
                </c:pt>
                <c:pt idx="494">
                  <c:v>41436</c:v>
                </c:pt>
                <c:pt idx="495">
                  <c:v>41471</c:v>
                </c:pt>
                <c:pt idx="496">
                  <c:v>41471</c:v>
                </c:pt>
                <c:pt idx="497">
                  <c:v>41471</c:v>
                </c:pt>
                <c:pt idx="498">
                  <c:v>41499</c:v>
                </c:pt>
                <c:pt idx="499">
                  <c:v>41499</c:v>
                </c:pt>
                <c:pt idx="500">
                  <c:v>41499</c:v>
                </c:pt>
                <c:pt idx="501">
                  <c:v>41533</c:v>
                </c:pt>
                <c:pt idx="502">
                  <c:v>41533</c:v>
                </c:pt>
                <c:pt idx="503">
                  <c:v>41533</c:v>
                </c:pt>
                <c:pt idx="504">
                  <c:v>41569</c:v>
                </c:pt>
                <c:pt idx="505">
                  <c:v>41569</c:v>
                </c:pt>
                <c:pt idx="506">
                  <c:v>41569</c:v>
                </c:pt>
                <c:pt idx="507">
                  <c:v>41598</c:v>
                </c:pt>
                <c:pt idx="508">
                  <c:v>41598</c:v>
                </c:pt>
                <c:pt idx="509">
                  <c:v>41598</c:v>
                </c:pt>
                <c:pt idx="510">
                  <c:v>41624</c:v>
                </c:pt>
                <c:pt idx="511">
                  <c:v>41624</c:v>
                </c:pt>
                <c:pt idx="512">
                  <c:v>41624</c:v>
                </c:pt>
                <c:pt idx="513">
                  <c:v>41654</c:v>
                </c:pt>
                <c:pt idx="514">
                  <c:v>41654</c:v>
                </c:pt>
                <c:pt idx="515">
                  <c:v>41654</c:v>
                </c:pt>
                <c:pt idx="516">
                  <c:v>41688</c:v>
                </c:pt>
                <c:pt idx="517">
                  <c:v>41688</c:v>
                </c:pt>
                <c:pt idx="518">
                  <c:v>41688</c:v>
                </c:pt>
                <c:pt idx="519">
                  <c:v>41719</c:v>
                </c:pt>
                <c:pt idx="520">
                  <c:v>41719</c:v>
                </c:pt>
                <c:pt idx="521">
                  <c:v>41719</c:v>
                </c:pt>
                <c:pt idx="522">
                  <c:v>41747</c:v>
                </c:pt>
                <c:pt idx="523">
                  <c:v>41747</c:v>
                </c:pt>
                <c:pt idx="524">
                  <c:v>41747</c:v>
                </c:pt>
                <c:pt idx="525">
                  <c:v>41772</c:v>
                </c:pt>
                <c:pt idx="526">
                  <c:v>41772</c:v>
                </c:pt>
                <c:pt idx="527">
                  <c:v>41772</c:v>
                </c:pt>
                <c:pt idx="528">
                  <c:v>41808</c:v>
                </c:pt>
                <c:pt idx="529">
                  <c:v>41808</c:v>
                </c:pt>
                <c:pt idx="530">
                  <c:v>41808</c:v>
                </c:pt>
                <c:pt idx="531">
                  <c:v>41834</c:v>
                </c:pt>
                <c:pt idx="532">
                  <c:v>41834</c:v>
                </c:pt>
                <c:pt idx="533">
                  <c:v>41834</c:v>
                </c:pt>
                <c:pt idx="534">
                  <c:v>41864</c:v>
                </c:pt>
                <c:pt idx="535">
                  <c:v>41864</c:v>
                </c:pt>
                <c:pt idx="536">
                  <c:v>41864</c:v>
                </c:pt>
                <c:pt idx="537">
                  <c:v>41898</c:v>
                </c:pt>
                <c:pt idx="538">
                  <c:v>41898</c:v>
                </c:pt>
                <c:pt idx="539">
                  <c:v>41898</c:v>
                </c:pt>
                <c:pt idx="540">
                  <c:v>41929</c:v>
                </c:pt>
                <c:pt idx="541">
                  <c:v>41929</c:v>
                </c:pt>
                <c:pt idx="542">
                  <c:v>41929</c:v>
                </c:pt>
                <c:pt idx="543">
                  <c:v>41953</c:v>
                </c:pt>
                <c:pt idx="544">
                  <c:v>41953</c:v>
                </c:pt>
                <c:pt idx="545">
                  <c:v>41953</c:v>
                </c:pt>
                <c:pt idx="546">
                  <c:v>41988</c:v>
                </c:pt>
                <c:pt idx="547">
                  <c:v>41988</c:v>
                </c:pt>
                <c:pt idx="548">
                  <c:v>41988</c:v>
                </c:pt>
                <c:pt idx="549">
                  <c:v>42014</c:v>
                </c:pt>
                <c:pt idx="550">
                  <c:v>42009</c:v>
                </c:pt>
                <c:pt idx="551">
                  <c:v>42009</c:v>
                </c:pt>
                <c:pt idx="552">
                  <c:v>42036</c:v>
                </c:pt>
                <c:pt idx="553">
                  <c:v>42036</c:v>
                </c:pt>
                <c:pt idx="554">
                  <c:v>42036</c:v>
                </c:pt>
                <c:pt idx="555">
                  <c:v>42064</c:v>
                </c:pt>
                <c:pt idx="556">
                  <c:v>42064</c:v>
                </c:pt>
                <c:pt idx="557">
                  <c:v>42064</c:v>
                </c:pt>
                <c:pt idx="558">
                  <c:v>42095</c:v>
                </c:pt>
                <c:pt idx="559">
                  <c:v>42095</c:v>
                </c:pt>
                <c:pt idx="560">
                  <c:v>42095</c:v>
                </c:pt>
                <c:pt idx="561">
                  <c:v>42125</c:v>
                </c:pt>
                <c:pt idx="562">
                  <c:v>42125</c:v>
                </c:pt>
                <c:pt idx="563">
                  <c:v>42125</c:v>
                </c:pt>
                <c:pt idx="564">
                  <c:v>42156</c:v>
                </c:pt>
                <c:pt idx="565">
                  <c:v>42156</c:v>
                </c:pt>
                <c:pt idx="566">
                  <c:v>42156</c:v>
                </c:pt>
                <c:pt idx="567">
                  <c:v>42186</c:v>
                </c:pt>
                <c:pt idx="568">
                  <c:v>42186</c:v>
                </c:pt>
                <c:pt idx="569">
                  <c:v>42186</c:v>
                </c:pt>
                <c:pt idx="570">
                  <c:v>42217</c:v>
                </c:pt>
                <c:pt idx="571">
                  <c:v>42217</c:v>
                </c:pt>
                <c:pt idx="572">
                  <c:v>42217</c:v>
                </c:pt>
                <c:pt idx="573">
                  <c:v>42248</c:v>
                </c:pt>
                <c:pt idx="574">
                  <c:v>42248</c:v>
                </c:pt>
                <c:pt idx="575">
                  <c:v>42248</c:v>
                </c:pt>
                <c:pt idx="576">
                  <c:v>42278</c:v>
                </c:pt>
                <c:pt idx="577">
                  <c:v>42278</c:v>
                </c:pt>
                <c:pt idx="578">
                  <c:v>42278</c:v>
                </c:pt>
                <c:pt idx="579">
                  <c:v>42309</c:v>
                </c:pt>
                <c:pt idx="580">
                  <c:v>42309</c:v>
                </c:pt>
                <c:pt idx="581">
                  <c:v>42309</c:v>
                </c:pt>
                <c:pt idx="582">
                  <c:v>42339</c:v>
                </c:pt>
                <c:pt idx="583">
                  <c:v>42339</c:v>
                </c:pt>
                <c:pt idx="584">
                  <c:v>42339</c:v>
                </c:pt>
                <c:pt idx="585">
                  <c:v>42379</c:v>
                </c:pt>
                <c:pt idx="586">
                  <c:v>42374</c:v>
                </c:pt>
                <c:pt idx="587">
                  <c:v>42374</c:v>
                </c:pt>
                <c:pt idx="588">
                  <c:v>42401</c:v>
                </c:pt>
                <c:pt idx="589">
                  <c:v>42401</c:v>
                </c:pt>
                <c:pt idx="590">
                  <c:v>42401</c:v>
                </c:pt>
                <c:pt idx="591">
                  <c:v>42430</c:v>
                </c:pt>
                <c:pt idx="592">
                  <c:v>42430</c:v>
                </c:pt>
                <c:pt idx="593">
                  <c:v>42430</c:v>
                </c:pt>
                <c:pt idx="594">
                  <c:v>42461</c:v>
                </c:pt>
                <c:pt idx="595">
                  <c:v>42461</c:v>
                </c:pt>
                <c:pt idx="596">
                  <c:v>42461</c:v>
                </c:pt>
                <c:pt idx="597">
                  <c:v>42491</c:v>
                </c:pt>
                <c:pt idx="598">
                  <c:v>42491</c:v>
                </c:pt>
                <c:pt idx="599">
                  <c:v>42491</c:v>
                </c:pt>
                <c:pt idx="600">
                  <c:v>42522</c:v>
                </c:pt>
                <c:pt idx="601">
                  <c:v>42522</c:v>
                </c:pt>
                <c:pt idx="602">
                  <c:v>42522</c:v>
                </c:pt>
                <c:pt idx="603">
                  <c:v>42552</c:v>
                </c:pt>
                <c:pt idx="604">
                  <c:v>42552</c:v>
                </c:pt>
                <c:pt idx="605">
                  <c:v>42552</c:v>
                </c:pt>
                <c:pt idx="606">
                  <c:v>42583</c:v>
                </c:pt>
                <c:pt idx="607">
                  <c:v>42583</c:v>
                </c:pt>
                <c:pt idx="608">
                  <c:v>42583</c:v>
                </c:pt>
                <c:pt idx="609">
                  <c:v>42614</c:v>
                </c:pt>
                <c:pt idx="610">
                  <c:v>42614</c:v>
                </c:pt>
                <c:pt idx="611">
                  <c:v>42614</c:v>
                </c:pt>
                <c:pt idx="612">
                  <c:v>42644</c:v>
                </c:pt>
                <c:pt idx="613">
                  <c:v>42644</c:v>
                </c:pt>
                <c:pt idx="614">
                  <c:v>42644</c:v>
                </c:pt>
                <c:pt idx="615">
                  <c:v>42675</c:v>
                </c:pt>
                <c:pt idx="616">
                  <c:v>42675</c:v>
                </c:pt>
                <c:pt idx="617">
                  <c:v>42675</c:v>
                </c:pt>
                <c:pt idx="618">
                  <c:v>42705</c:v>
                </c:pt>
                <c:pt idx="619">
                  <c:v>42705</c:v>
                </c:pt>
                <c:pt idx="620">
                  <c:v>42705</c:v>
                </c:pt>
                <c:pt idx="621">
                  <c:v>42745</c:v>
                </c:pt>
                <c:pt idx="622">
                  <c:v>42740</c:v>
                </c:pt>
                <c:pt idx="623">
                  <c:v>42740</c:v>
                </c:pt>
                <c:pt idx="624">
                  <c:v>42767</c:v>
                </c:pt>
                <c:pt idx="625">
                  <c:v>42767</c:v>
                </c:pt>
                <c:pt idx="626">
                  <c:v>42767</c:v>
                </c:pt>
                <c:pt idx="627">
                  <c:v>42795</c:v>
                </c:pt>
                <c:pt idx="628">
                  <c:v>42795</c:v>
                </c:pt>
                <c:pt idx="629">
                  <c:v>42795</c:v>
                </c:pt>
                <c:pt idx="630">
                  <c:v>42826</c:v>
                </c:pt>
                <c:pt idx="631">
                  <c:v>42826</c:v>
                </c:pt>
                <c:pt idx="632">
                  <c:v>42826</c:v>
                </c:pt>
                <c:pt idx="633">
                  <c:v>42856</c:v>
                </c:pt>
                <c:pt idx="634">
                  <c:v>42856</c:v>
                </c:pt>
                <c:pt idx="635">
                  <c:v>42856</c:v>
                </c:pt>
                <c:pt idx="636">
                  <c:v>42887</c:v>
                </c:pt>
                <c:pt idx="637">
                  <c:v>42887</c:v>
                </c:pt>
                <c:pt idx="638">
                  <c:v>42887</c:v>
                </c:pt>
                <c:pt idx="639">
                  <c:v>42917</c:v>
                </c:pt>
                <c:pt idx="640">
                  <c:v>42917</c:v>
                </c:pt>
                <c:pt idx="641">
                  <c:v>42917</c:v>
                </c:pt>
                <c:pt idx="642">
                  <c:v>42948</c:v>
                </c:pt>
                <c:pt idx="643">
                  <c:v>42948</c:v>
                </c:pt>
                <c:pt idx="644">
                  <c:v>42948</c:v>
                </c:pt>
                <c:pt idx="645">
                  <c:v>42979</c:v>
                </c:pt>
                <c:pt idx="646">
                  <c:v>42979</c:v>
                </c:pt>
                <c:pt idx="647">
                  <c:v>42979</c:v>
                </c:pt>
                <c:pt idx="648">
                  <c:v>43009</c:v>
                </c:pt>
                <c:pt idx="649">
                  <c:v>43009</c:v>
                </c:pt>
                <c:pt idx="650">
                  <c:v>43009</c:v>
                </c:pt>
                <c:pt idx="651">
                  <c:v>43040</c:v>
                </c:pt>
                <c:pt idx="652">
                  <c:v>43040</c:v>
                </c:pt>
                <c:pt idx="653">
                  <c:v>43040</c:v>
                </c:pt>
                <c:pt idx="654">
                  <c:v>43070</c:v>
                </c:pt>
                <c:pt idx="655">
                  <c:v>43070</c:v>
                </c:pt>
                <c:pt idx="656">
                  <c:v>43070</c:v>
                </c:pt>
                <c:pt idx="657">
                  <c:v>43110</c:v>
                </c:pt>
                <c:pt idx="658">
                  <c:v>43105</c:v>
                </c:pt>
                <c:pt idx="659">
                  <c:v>43105</c:v>
                </c:pt>
                <c:pt idx="660">
                  <c:v>43132</c:v>
                </c:pt>
                <c:pt idx="661">
                  <c:v>43132</c:v>
                </c:pt>
                <c:pt idx="662">
                  <c:v>43132</c:v>
                </c:pt>
                <c:pt idx="663">
                  <c:v>43160</c:v>
                </c:pt>
                <c:pt idx="664">
                  <c:v>43160</c:v>
                </c:pt>
                <c:pt idx="665">
                  <c:v>43160</c:v>
                </c:pt>
                <c:pt idx="666">
                  <c:v>43191</c:v>
                </c:pt>
                <c:pt idx="667">
                  <c:v>43191</c:v>
                </c:pt>
                <c:pt idx="668">
                  <c:v>43191</c:v>
                </c:pt>
                <c:pt idx="669">
                  <c:v>43221</c:v>
                </c:pt>
                <c:pt idx="670">
                  <c:v>43221</c:v>
                </c:pt>
                <c:pt idx="671">
                  <c:v>43221</c:v>
                </c:pt>
                <c:pt idx="672">
                  <c:v>43252</c:v>
                </c:pt>
                <c:pt idx="673">
                  <c:v>43252</c:v>
                </c:pt>
                <c:pt idx="674">
                  <c:v>43252</c:v>
                </c:pt>
                <c:pt idx="675">
                  <c:v>43282</c:v>
                </c:pt>
                <c:pt idx="676">
                  <c:v>43282</c:v>
                </c:pt>
                <c:pt idx="677">
                  <c:v>43282</c:v>
                </c:pt>
                <c:pt idx="678">
                  <c:v>43313</c:v>
                </c:pt>
                <c:pt idx="679">
                  <c:v>43313</c:v>
                </c:pt>
                <c:pt idx="680">
                  <c:v>43313</c:v>
                </c:pt>
                <c:pt idx="681">
                  <c:v>43344</c:v>
                </c:pt>
                <c:pt idx="682">
                  <c:v>43344</c:v>
                </c:pt>
                <c:pt idx="683">
                  <c:v>43344</c:v>
                </c:pt>
                <c:pt idx="684">
                  <c:v>43374</c:v>
                </c:pt>
                <c:pt idx="685">
                  <c:v>43374</c:v>
                </c:pt>
                <c:pt idx="686">
                  <c:v>43374</c:v>
                </c:pt>
                <c:pt idx="687">
                  <c:v>43405</c:v>
                </c:pt>
                <c:pt idx="688">
                  <c:v>43405</c:v>
                </c:pt>
                <c:pt idx="689">
                  <c:v>43405</c:v>
                </c:pt>
                <c:pt idx="690">
                  <c:v>43435</c:v>
                </c:pt>
                <c:pt idx="691">
                  <c:v>43435</c:v>
                </c:pt>
                <c:pt idx="692">
                  <c:v>43435</c:v>
                </c:pt>
                <c:pt idx="693">
                  <c:v>43475</c:v>
                </c:pt>
                <c:pt idx="694">
                  <c:v>43470</c:v>
                </c:pt>
                <c:pt idx="695">
                  <c:v>43470</c:v>
                </c:pt>
                <c:pt idx="696">
                  <c:v>43497</c:v>
                </c:pt>
                <c:pt idx="697">
                  <c:v>43497</c:v>
                </c:pt>
                <c:pt idx="698">
                  <c:v>43497</c:v>
                </c:pt>
                <c:pt idx="699">
                  <c:v>43525</c:v>
                </c:pt>
                <c:pt idx="700">
                  <c:v>43525</c:v>
                </c:pt>
                <c:pt idx="701">
                  <c:v>43525</c:v>
                </c:pt>
                <c:pt idx="702">
                  <c:v>43556</c:v>
                </c:pt>
                <c:pt idx="703">
                  <c:v>43556</c:v>
                </c:pt>
                <c:pt idx="704">
                  <c:v>43556</c:v>
                </c:pt>
                <c:pt idx="705">
                  <c:v>43586</c:v>
                </c:pt>
                <c:pt idx="706">
                  <c:v>43586</c:v>
                </c:pt>
                <c:pt idx="707">
                  <c:v>43586</c:v>
                </c:pt>
                <c:pt idx="708">
                  <c:v>43617</c:v>
                </c:pt>
                <c:pt idx="709">
                  <c:v>43617</c:v>
                </c:pt>
                <c:pt idx="710">
                  <c:v>43617</c:v>
                </c:pt>
                <c:pt idx="711">
                  <c:v>43647</c:v>
                </c:pt>
                <c:pt idx="712">
                  <c:v>43647</c:v>
                </c:pt>
                <c:pt idx="713">
                  <c:v>43647</c:v>
                </c:pt>
                <c:pt idx="714">
                  <c:v>43678</c:v>
                </c:pt>
                <c:pt idx="715">
                  <c:v>43678</c:v>
                </c:pt>
                <c:pt idx="716">
                  <c:v>43678</c:v>
                </c:pt>
                <c:pt idx="717">
                  <c:v>43709</c:v>
                </c:pt>
                <c:pt idx="718">
                  <c:v>43709</c:v>
                </c:pt>
                <c:pt idx="719">
                  <c:v>43709</c:v>
                </c:pt>
                <c:pt idx="720">
                  <c:v>43739</c:v>
                </c:pt>
                <c:pt idx="721">
                  <c:v>43739</c:v>
                </c:pt>
                <c:pt idx="722">
                  <c:v>43739</c:v>
                </c:pt>
                <c:pt idx="723">
                  <c:v>43770</c:v>
                </c:pt>
                <c:pt idx="724">
                  <c:v>43770</c:v>
                </c:pt>
                <c:pt idx="725">
                  <c:v>43770</c:v>
                </c:pt>
                <c:pt idx="726">
                  <c:v>43800</c:v>
                </c:pt>
                <c:pt idx="727">
                  <c:v>43800</c:v>
                </c:pt>
                <c:pt idx="728">
                  <c:v>43800</c:v>
                </c:pt>
              </c:numCache>
            </c:numRef>
          </c:xVal>
          <c:yVal>
            <c:numRef>
              <c:f>'peridin update'!$L$3:$L$731</c:f>
              <c:numCache>
                <c:formatCode>General</c:formatCode>
                <c:ptCount val="729"/>
                <c:pt idx="2">
                  <c:v>0</c:v>
                </c:pt>
                <c:pt idx="5">
                  <c:v>7.0357573589595115E-3</c:v>
                </c:pt>
                <c:pt idx="8">
                  <c:v>1.1156329453494893E-3</c:v>
                </c:pt>
                <c:pt idx="11">
                  <c:v>1.0808369833881823E-2</c:v>
                </c:pt>
                <c:pt idx="14">
                  <c:v>1.050516732447172E-2</c:v>
                </c:pt>
                <c:pt idx="17">
                  <c:v>4.6448665449301688E-3</c:v>
                </c:pt>
                <c:pt idx="20">
                  <c:v>2.4232807393870803E-2</c:v>
                </c:pt>
                <c:pt idx="23">
                  <c:v>3.2497467167830058E-2</c:v>
                </c:pt>
                <c:pt idx="26">
                  <c:v>4.4557308866683756E-2</c:v>
                </c:pt>
                <c:pt idx="29">
                  <c:v>1.4235132031128682E-2</c:v>
                </c:pt>
                <c:pt idx="32">
                  <c:v>1.2609415364245253E-2</c:v>
                </c:pt>
                <c:pt idx="35">
                  <c:v>9.2988968681528613E-3</c:v>
                </c:pt>
                <c:pt idx="38">
                  <c:v>2.2625518584750946E-2</c:v>
                </c:pt>
                <c:pt idx="41">
                  <c:v>0</c:v>
                </c:pt>
                <c:pt idx="44">
                  <c:v>2.5036958255314483E-2</c:v>
                </c:pt>
                <c:pt idx="47">
                  <c:v>2.8114930487642253E-2</c:v>
                </c:pt>
                <c:pt idx="50">
                  <c:v>6.5086147831146671E-3</c:v>
                </c:pt>
                <c:pt idx="53">
                  <c:v>0</c:v>
                </c:pt>
                <c:pt idx="56">
                  <c:v>0</c:v>
                </c:pt>
                <c:pt idx="59">
                  <c:v>9.2893836384422807E-2</c:v>
                </c:pt>
                <c:pt idx="62">
                  <c:v>4.9573330471174598E-2</c:v>
                </c:pt>
                <c:pt idx="65">
                  <c:v>5.4056739942239071E-2</c:v>
                </c:pt>
                <c:pt idx="68">
                  <c:v>6.1316018020998578E-2</c:v>
                </c:pt>
                <c:pt idx="71">
                  <c:v>2.2526627555447098E-2</c:v>
                </c:pt>
                <c:pt idx="74">
                  <c:v>1.8187887418238232E-2</c:v>
                </c:pt>
                <c:pt idx="77">
                  <c:v>5.7965939734258174E-3</c:v>
                </c:pt>
                <c:pt idx="80">
                  <c:v>1.1469498063864551E-2</c:v>
                </c:pt>
                <c:pt idx="83">
                  <c:v>9.5606449144837444E-2</c:v>
                </c:pt>
                <c:pt idx="86">
                  <c:v>1.8027403142428872E-2</c:v>
                </c:pt>
                <c:pt idx="89">
                  <c:v>3.2331261509375653E-2</c:v>
                </c:pt>
                <c:pt idx="92">
                  <c:v>2.0574336973717518E-2</c:v>
                </c:pt>
                <c:pt idx="110">
                  <c:v>9.9603149961511196E-3</c:v>
                </c:pt>
                <c:pt idx="113">
                  <c:v>4.5100206385366758E-3</c:v>
                </c:pt>
                <c:pt idx="116">
                  <c:v>1.0277964901640763E-2</c:v>
                </c:pt>
                <c:pt idx="119">
                  <c:v>1.0163868161662957E-2</c:v>
                </c:pt>
                <c:pt idx="122">
                  <c:v>2.1426378105988429E-2</c:v>
                </c:pt>
                <c:pt idx="125">
                  <c:v>1.3824254119354531E-2</c:v>
                </c:pt>
                <c:pt idx="128">
                  <c:v>1.809489850815274E-2</c:v>
                </c:pt>
                <c:pt idx="131">
                  <c:v>1.6658114087539193E-2</c:v>
                </c:pt>
                <c:pt idx="134">
                  <c:v>1.9216249119512342E-2</c:v>
                </c:pt>
                <c:pt idx="137">
                  <c:v>4.3042136858120188E-2</c:v>
                </c:pt>
                <c:pt idx="140">
                  <c:v>7.1285088826632216E-3</c:v>
                </c:pt>
                <c:pt idx="143">
                  <c:v>4.5826488863633464E-3</c:v>
                </c:pt>
                <c:pt idx="146">
                  <c:v>2.0999916229048832E-2</c:v>
                </c:pt>
                <c:pt idx="149">
                  <c:v>2.4887838808575185E-2</c:v>
                </c:pt>
                <c:pt idx="152">
                  <c:v>1.8812787078350303E-2</c:v>
                </c:pt>
                <c:pt idx="155">
                  <c:v>1.1242259158887297E-2</c:v>
                </c:pt>
                <c:pt idx="158">
                  <c:v>2.7463170573393099E-2</c:v>
                </c:pt>
                <c:pt idx="161">
                  <c:v>2.8746801093138562E-2</c:v>
                </c:pt>
                <c:pt idx="164">
                  <c:v>1.1839095122774935E-2</c:v>
                </c:pt>
                <c:pt idx="167">
                  <c:v>9.1715261477607474E-2</c:v>
                </c:pt>
                <c:pt idx="170">
                  <c:v>7.7860532109247553E-3</c:v>
                </c:pt>
                <c:pt idx="173">
                  <c:v>6.8661594419322626E-3</c:v>
                </c:pt>
                <c:pt idx="179">
                  <c:v>3.0047202521620089E-3</c:v>
                </c:pt>
                <c:pt idx="182">
                  <c:v>4.8940260681379468E-3</c:v>
                </c:pt>
                <c:pt idx="185">
                  <c:v>4.4171552621571986E-3</c:v>
                </c:pt>
                <c:pt idx="188">
                  <c:v>1.5724900940557601E-2</c:v>
                </c:pt>
                <c:pt idx="191">
                  <c:v>5.2684410316476771E-3</c:v>
                </c:pt>
                <c:pt idx="194">
                  <c:v>3.7176976381439464E-2</c:v>
                </c:pt>
                <c:pt idx="197">
                  <c:v>0.13113338386070128</c:v>
                </c:pt>
                <c:pt idx="200">
                  <c:v>6.6472537581579788E-3</c:v>
                </c:pt>
                <c:pt idx="203">
                  <c:v>1.5691654552439222E-2</c:v>
                </c:pt>
                <c:pt idx="206">
                  <c:v>1.3561020274432255E-2</c:v>
                </c:pt>
                <c:pt idx="209">
                  <c:v>2.5544729476627056E-2</c:v>
                </c:pt>
                <c:pt idx="212">
                  <c:v>3.5151088192429625E-2</c:v>
                </c:pt>
                <c:pt idx="215">
                  <c:v>1.888690950026483E-2</c:v>
                </c:pt>
                <c:pt idx="218">
                  <c:v>1.1709541867377268E-2</c:v>
                </c:pt>
                <c:pt idx="221">
                  <c:v>4.3188961913703718E-3</c:v>
                </c:pt>
                <c:pt idx="224">
                  <c:v>5.9137594165647959E-3</c:v>
                </c:pt>
                <c:pt idx="227">
                  <c:v>2.0224163369324664E-2</c:v>
                </c:pt>
                <c:pt idx="230">
                  <c:v>4.3127505200669745E-3</c:v>
                </c:pt>
                <c:pt idx="233">
                  <c:v>1.2049669144677724E-3</c:v>
                </c:pt>
                <c:pt idx="236">
                  <c:v>7.3790948572326921E-3</c:v>
                </c:pt>
                <c:pt idx="239">
                  <c:v>4.1042384125706266E-2</c:v>
                </c:pt>
                <c:pt idx="242">
                  <c:v>8.5081420486024351E-2</c:v>
                </c:pt>
                <c:pt idx="245">
                  <c:v>3.7530467413894486E-2</c:v>
                </c:pt>
                <c:pt idx="248">
                  <c:v>2.3719117890897035E-2</c:v>
                </c:pt>
                <c:pt idx="251">
                  <c:v>7.8289752935865736E-3</c:v>
                </c:pt>
                <c:pt idx="254">
                  <c:v>1.4470892372625867E-2</c:v>
                </c:pt>
                <c:pt idx="257">
                  <c:v>2.8421184424690119E-2</c:v>
                </c:pt>
                <c:pt idx="260">
                  <c:v>1.1200545121587666E-2</c:v>
                </c:pt>
                <c:pt idx="263">
                  <c:v>5.4261121795882335E-2</c:v>
                </c:pt>
                <c:pt idx="266">
                  <c:v>5.8351857732613513E-3</c:v>
                </c:pt>
                <c:pt idx="269">
                  <c:v>1.5218006795016989E-2</c:v>
                </c:pt>
                <c:pt idx="272">
                  <c:v>4.3496367590578873E-3</c:v>
                </c:pt>
                <c:pt idx="275">
                  <c:v>4.9005477082732785E-3</c:v>
                </c:pt>
                <c:pt idx="278">
                  <c:v>7.4872297250017476E-3</c:v>
                </c:pt>
                <c:pt idx="281">
                  <c:v>1.670901339304939E-2</c:v>
                </c:pt>
                <c:pt idx="284">
                  <c:v>1.4657210401891253E-2</c:v>
                </c:pt>
                <c:pt idx="287">
                  <c:v>5.5889247965934148E-3</c:v>
                </c:pt>
                <c:pt idx="290">
                  <c:v>9.5814026545197502E-3</c:v>
                </c:pt>
                <c:pt idx="293">
                  <c:v>3.5531409891984087E-3</c:v>
                </c:pt>
                <c:pt idx="296">
                  <c:v>1.2302839116719243E-2</c:v>
                </c:pt>
                <c:pt idx="299">
                  <c:v>6.69769196905855E-3</c:v>
                </c:pt>
                <c:pt idx="302">
                  <c:v>3.4973427052974466E-2</c:v>
                </c:pt>
                <c:pt idx="305">
                  <c:v>2.559474979491386E-2</c:v>
                </c:pt>
                <c:pt idx="308">
                  <c:v>1.1548049313358306E-2</c:v>
                </c:pt>
                <c:pt idx="311">
                  <c:v>3.6732295033793709E-2</c:v>
                </c:pt>
                <c:pt idx="314">
                  <c:v>1.036745406824147E-2</c:v>
                </c:pt>
                <c:pt idx="317">
                  <c:v>2.4802330420307953E-2</c:v>
                </c:pt>
                <c:pt idx="320">
                  <c:v>5.6083881980004871E-2</c:v>
                </c:pt>
                <c:pt idx="323">
                  <c:v>6.7100792751981879E-3</c:v>
                </c:pt>
                <c:pt idx="326">
                  <c:v>1.3435998139631027E-2</c:v>
                </c:pt>
                <c:pt idx="329">
                  <c:v>3.2414505672609404E-3</c:v>
                </c:pt>
                <c:pt idx="332">
                  <c:v>6.9867364094900056E-3</c:v>
                </c:pt>
                <c:pt idx="335">
                  <c:v>7.8679020653242907E-3</c:v>
                </c:pt>
                <c:pt idx="338">
                  <c:v>2.2107590272660281E-3</c:v>
                </c:pt>
                <c:pt idx="341">
                  <c:v>3.4750742402224056E-3</c:v>
                </c:pt>
                <c:pt idx="344">
                  <c:v>4.7628497717801151E-3</c:v>
                </c:pt>
                <c:pt idx="347">
                  <c:v>8.2276628863686904E-3</c:v>
                </c:pt>
                <c:pt idx="350">
                  <c:v>2.7216075289329771E-2</c:v>
                </c:pt>
                <c:pt idx="353">
                  <c:v>1.7926487853336944E-2</c:v>
                </c:pt>
                <c:pt idx="356">
                  <c:v>1.943837849475594E-2</c:v>
                </c:pt>
                <c:pt idx="359">
                  <c:v>2.6228504362912689E-2</c:v>
                </c:pt>
                <c:pt idx="362">
                  <c:v>9.6504955659885271E-3</c:v>
                </c:pt>
                <c:pt idx="365">
                  <c:v>0.23180783420990661</c:v>
                </c:pt>
                <c:pt idx="368">
                  <c:v>1.0581679293719868E-2</c:v>
                </c:pt>
                <c:pt idx="371">
                  <c:v>1.9840330355340198E-2</c:v>
                </c:pt>
                <c:pt idx="374">
                  <c:v>0.34368773534376412</c:v>
                </c:pt>
                <c:pt idx="377">
                  <c:v>2.1832999868800839E-2</c:v>
                </c:pt>
                <c:pt idx="380">
                  <c:v>1.2659379771849454E-2</c:v>
                </c:pt>
                <c:pt idx="383">
                  <c:v>1.0308348134991116E-2</c:v>
                </c:pt>
                <c:pt idx="386">
                  <c:v>5.1020691208649771E-2</c:v>
                </c:pt>
                <c:pt idx="389">
                  <c:v>3.6749944478374326E-2</c:v>
                </c:pt>
                <c:pt idx="392">
                  <c:v>2.8806021537994837E-2</c:v>
                </c:pt>
                <c:pt idx="395">
                  <c:v>1.7857866755274961E-2</c:v>
                </c:pt>
                <c:pt idx="398">
                  <c:v>1.0687020356399585E-2</c:v>
                </c:pt>
                <c:pt idx="401">
                  <c:v>2.6625786163522016E-3</c:v>
                </c:pt>
                <c:pt idx="404">
                  <c:v>5.1742652599849285E-3</c:v>
                </c:pt>
                <c:pt idx="407">
                  <c:v>7.0952406108246678E-3</c:v>
                </c:pt>
                <c:pt idx="410">
                  <c:v>4.7631125186944658E-2</c:v>
                </c:pt>
                <c:pt idx="413">
                  <c:v>3.1286404706871184E-3</c:v>
                </c:pt>
                <c:pt idx="416">
                  <c:v>8.4741883591693459E-3</c:v>
                </c:pt>
                <c:pt idx="419">
                  <c:v>0.13454688997508146</c:v>
                </c:pt>
                <c:pt idx="422">
                  <c:v>8.6444055359020958E-2</c:v>
                </c:pt>
                <c:pt idx="425">
                  <c:v>5.4736254935558365E-2</c:v>
                </c:pt>
                <c:pt idx="428">
                  <c:v>5.30466091913201E-2</c:v>
                </c:pt>
                <c:pt idx="431">
                  <c:v>0.1029211516976733</c:v>
                </c:pt>
                <c:pt idx="434">
                  <c:v>1.4657836513096316E-2</c:v>
                </c:pt>
                <c:pt idx="437">
                  <c:v>8.3172087532595654E-3</c:v>
                </c:pt>
                <c:pt idx="440">
                  <c:v>2.6476959426920302E-2</c:v>
                </c:pt>
                <c:pt idx="443">
                  <c:v>1.0297411300919842E-2</c:v>
                </c:pt>
                <c:pt idx="446">
                  <c:v>9.3395507390798844E-3</c:v>
                </c:pt>
                <c:pt idx="449">
                  <c:v>1.4693425921476285E-2</c:v>
                </c:pt>
                <c:pt idx="452">
                  <c:v>0</c:v>
                </c:pt>
                <c:pt idx="455">
                  <c:v>1.3169725820076025E-2</c:v>
                </c:pt>
                <c:pt idx="458">
                  <c:v>3.2109785832788701E-2</c:v>
                </c:pt>
                <c:pt idx="461">
                  <c:v>1.8994649649420284E-2</c:v>
                </c:pt>
                <c:pt idx="464">
                  <c:v>4.0309292200701188E-2</c:v>
                </c:pt>
                <c:pt idx="467">
                  <c:v>2.4141295495834114E-3</c:v>
                </c:pt>
                <c:pt idx="470">
                  <c:v>2.0507576045627373E-2</c:v>
                </c:pt>
                <c:pt idx="473">
                  <c:v>0</c:v>
                </c:pt>
                <c:pt idx="476">
                  <c:v>3.2326712365022226E-3</c:v>
                </c:pt>
                <c:pt idx="479">
                  <c:v>1.0815177770300582E-2</c:v>
                </c:pt>
                <c:pt idx="482">
                  <c:v>4.027775308757485E-2</c:v>
                </c:pt>
                <c:pt idx="485">
                  <c:v>3.0786699790794979E-2</c:v>
                </c:pt>
                <c:pt idx="488">
                  <c:v>0</c:v>
                </c:pt>
                <c:pt idx="491">
                  <c:v>1.6941978827361561E-2</c:v>
                </c:pt>
                <c:pt idx="494">
                  <c:v>3.6736567762630311E-2</c:v>
                </c:pt>
                <c:pt idx="497">
                  <c:v>2.3720945754939222E-2</c:v>
                </c:pt>
                <c:pt idx="500">
                  <c:v>5.6216545655623402E-2</c:v>
                </c:pt>
                <c:pt idx="503">
                  <c:v>1.8282471017604121E-2</c:v>
                </c:pt>
                <c:pt idx="506">
                  <c:v>1.3304296384992585E-2</c:v>
                </c:pt>
                <c:pt idx="509">
                  <c:v>7.4591162943495404E-3</c:v>
                </c:pt>
                <c:pt idx="512">
                  <c:v>2.8552688504326321E-3</c:v>
                </c:pt>
                <c:pt idx="515">
                  <c:v>1.7255143910561366E-2</c:v>
                </c:pt>
                <c:pt idx="518">
                  <c:v>9.3479972143284462E-2</c:v>
                </c:pt>
                <c:pt idx="521">
                  <c:v>3.6183525704574421E-2</c:v>
                </c:pt>
                <c:pt idx="524">
                  <c:v>3.779176187164713E-3</c:v>
                </c:pt>
                <c:pt idx="527">
                  <c:v>1.9961078563196313E-2</c:v>
                </c:pt>
                <c:pt idx="530">
                  <c:v>5.9384089702760073E-2</c:v>
                </c:pt>
                <c:pt idx="533">
                  <c:v>3.4918945357191894E-2</c:v>
                </c:pt>
                <c:pt idx="536">
                  <c:v>6.1124751866906121E-2</c:v>
                </c:pt>
                <c:pt idx="539">
                  <c:v>2.8811904836486657E-2</c:v>
                </c:pt>
                <c:pt idx="542">
                  <c:v>1.4892101415820253E-2</c:v>
                </c:pt>
                <c:pt idx="545">
                  <c:v>2.0159903056892158E-2</c:v>
                </c:pt>
                <c:pt idx="548">
                  <c:v>2.7447653631284919E-2</c:v>
                </c:pt>
                <c:pt idx="551">
                  <c:v>6.2676662160501403E-3</c:v>
                </c:pt>
                <c:pt idx="557">
                  <c:v>5.2290563971527655E-2</c:v>
                </c:pt>
                <c:pt idx="560">
                  <c:v>8.2114960945323442E-3</c:v>
                </c:pt>
                <c:pt idx="563">
                  <c:v>2.1819034957378591E-2</c:v>
                </c:pt>
                <c:pt idx="566">
                  <c:v>5.2229879820014806E-2</c:v>
                </c:pt>
                <c:pt idx="569">
                  <c:v>5.392545598731166E-2</c:v>
                </c:pt>
                <c:pt idx="572">
                  <c:v>9.3171502881329984E-2</c:v>
                </c:pt>
                <c:pt idx="575">
                  <c:v>1.7202593621807596E-3</c:v>
                </c:pt>
                <c:pt idx="578">
                  <c:v>1.1803588290840416E-2</c:v>
                </c:pt>
                <c:pt idx="581">
                  <c:v>1.9226393629124004E-2</c:v>
                </c:pt>
                <c:pt idx="584">
                  <c:v>1.9596705481397327E-2</c:v>
                </c:pt>
                <c:pt idx="587">
                  <c:v>3.3909673572812648E-3</c:v>
                </c:pt>
                <c:pt idx="590">
                  <c:v>1.7983358683009754E-2</c:v>
                </c:pt>
                <c:pt idx="593">
                  <c:v>1.2109941944847605E-2</c:v>
                </c:pt>
                <c:pt idx="596">
                  <c:v>1.3867800384654315E-2</c:v>
                </c:pt>
                <c:pt idx="599">
                  <c:v>1.6872767243748282E-2</c:v>
                </c:pt>
                <c:pt idx="602">
                  <c:v>7.2326887706914561E-2</c:v>
                </c:pt>
                <c:pt idx="605">
                  <c:v>8.9026440470732104E-2</c:v>
                </c:pt>
                <c:pt idx="608">
                  <c:v>1.6025844048900995E-2</c:v>
                </c:pt>
                <c:pt idx="611">
                  <c:v>1.0433587404723228E-2</c:v>
                </c:pt>
                <c:pt idx="614">
                  <c:v>2.7213151171831613E-2</c:v>
                </c:pt>
                <c:pt idx="617">
                  <c:v>5.1358023282355629E-3</c:v>
                </c:pt>
                <c:pt idx="620">
                  <c:v>2.1673525377229084E-2</c:v>
                </c:pt>
                <c:pt idx="629">
                  <c:v>1.0799799073505608E-2</c:v>
                </c:pt>
                <c:pt idx="635">
                  <c:v>0.14030681509638879</c:v>
                </c:pt>
                <c:pt idx="638">
                  <c:v>5.895806861499364E-3</c:v>
                </c:pt>
                <c:pt idx="641">
                  <c:v>8.1696090543179369E-3</c:v>
                </c:pt>
                <c:pt idx="647">
                  <c:v>1.6554809843400447E-2</c:v>
                </c:pt>
                <c:pt idx="653">
                  <c:v>1.1547742157876595E-2</c:v>
                </c:pt>
                <c:pt idx="656">
                  <c:v>7.8134925676534104E-3</c:v>
                </c:pt>
                <c:pt idx="659">
                  <c:v>2.3076170920113426E-2</c:v>
                </c:pt>
                <c:pt idx="662">
                  <c:v>4.6502291659696899E-3</c:v>
                </c:pt>
                <c:pt idx="665">
                  <c:v>7.9717004633550904E-3</c:v>
                </c:pt>
                <c:pt idx="668">
                  <c:v>6.0054054054054049E-4</c:v>
                </c:pt>
                <c:pt idx="671">
                  <c:v>1.7036951767008174E-2</c:v>
                </c:pt>
                <c:pt idx="674">
                  <c:v>2.0102975694707349E-2</c:v>
                </c:pt>
                <c:pt idx="677">
                  <c:v>6.3626034734621017E-3</c:v>
                </c:pt>
                <c:pt idx="680">
                  <c:v>1.6792998031743375E-2</c:v>
                </c:pt>
                <c:pt idx="683">
                  <c:v>5.9530137131923039E-3</c:v>
                </c:pt>
                <c:pt idx="686">
                  <c:v>5.396416216964163E-3</c:v>
                </c:pt>
                <c:pt idx="689">
                  <c:v>9.6718685100575588E-3</c:v>
                </c:pt>
                <c:pt idx="701">
                  <c:v>1.5797947273093176E-2</c:v>
                </c:pt>
                <c:pt idx="704">
                  <c:v>5.5112570356472788E-3</c:v>
                </c:pt>
                <c:pt idx="707">
                  <c:v>7.8604987350921585E-2</c:v>
                </c:pt>
                <c:pt idx="710">
                  <c:v>2.1230232847715105E-2</c:v>
                </c:pt>
                <c:pt idx="713">
                  <c:v>9.0665774506523925E-2</c:v>
                </c:pt>
                <c:pt idx="719">
                  <c:v>7.4204732072258375E-3</c:v>
                </c:pt>
                <c:pt idx="722">
                  <c:v>4.738862559241706E-4</c:v>
                </c:pt>
                <c:pt idx="728">
                  <c:v>9.8245263157894745E-3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2-1648-807B-CC6FEDB9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24</xdr:col>
      <xdr:colOff>152400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50FB9-8F22-3849-8371-F2B97FFF7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24</xdr:col>
      <xdr:colOff>152400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86C3A-5518-3143-947B-9E880CF57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42</xdr:row>
      <xdr:rowOff>0</xdr:rowOff>
    </xdr:from>
    <xdr:to>
      <xdr:col>24</xdr:col>
      <xdr:colOff>152400</xdr:colOff>
      <xdr:row>56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909A61-07EB-4C42-BD92-7FD379B77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24</xdr:col>
      <xdr:colOff>152400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FC321-6FEC-734A-9279-0D99C35EC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24</xdr:col>
      <xdr:colOff>152400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3B5B0-2088-D040-A56E-6A3C6B181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24</xdr:col>
      <xdr:colOff>152400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3C289-FA98-DD47-BF37-32965152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24</xdr:col>
      <xdr:colOff>152400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DC369-747C-3D4C-9003-F929CB335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12700</xdr:colOff>
      <xdr:row>39</xdr:row>
      <xdr:rowOff>139700</xdr:rowOff>
    </xdr:from>
    <xdr:to>
      <xdr:col>20</xdr:col>
      <xdr:colOff>457200</xdr:colOff>
      <xdr:row>54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E2660-EBDD-A5E7-12FE-5F9CA83F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24</xdr:col>
      <xdr:colOff>152400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CA738-CD87-6749-9CE6-2F86F8DE6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24</xdr:col>
      <xdr:colOff>152400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BE174-8AFA-734F-AC67-BC8CF89E6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F8AD-353F-B649-AB85-D53982A37B57}">
  <sheetPr>
    <tabColor theme="9" tint="0.39997558519241921"/>
  </sheetPr>
  <dimension ref="A1:AA914"/>
  <sheetViews>
    <sheetView tabSelected="1" workbookViewId="0">
      <pane ySplit="2" topLeftCell="A729" activePane="bottomLeft" state="frozen"/>
      <selection pane="bottomLeft" activeCell="O734" sqref="O734"/>
    </sheetView>
  </sheetViews>
  <sheetFormatPr defaultColWidth="11.42578125" defaultRowHeight="15"/>
  <cols>
    <col min="2" max="2" width="10.85546875" style="86"/>
    <col min="14" max="14" width="12.28515625" bestFit="1" customWidth="1"/>
    <col min="27" max="27" width="12.28515625" bestFit="1" customWidth="1"/>
  </cols>
  <sheetData>
    <row r="1" spans="1:27" ht="18">
      <c r="F1" s="61" t="s">
        <v>40</v>
      </c>
      <c r="G1" s="61" t="s">
        <v>41</v>
      </c>
      <c r="I1" s="99" t="s">
        <v>81</v>
      </c>
      <c r="Z1" t="s">
        <v>91</v>
      </c>
    </row>
    <row r="2" spans="1:27">
      <c r="A2" s="1" t="s">
        <v>0</v>
      </c>
      <c r="B2" s="89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9</v>
      </c>
      <c r="I2" s="5" t="s">
        <v>5</v>
      </c>
      <c r="J2" s="5" t="s">
        <v>9</v>
      </c>
      <c r="L2" s="98" t="s">
        <v>88</v>
      </c>
      <c r="M2" s="98" t="s">
        <v>84</v>
      </c>
      <c r="N2" s="98" t="s">
        <v>85</v>
      </c>
      <c r="Z2" s="98" t="s">
        <v>84</v>
      </c>
      <c r="AA2" s="98" t="s">
        <v>85</v>
      </c>
    </row>
    <row r="3" spans="1:27">
      <c r="A3" s="7">
        <v>1</v>
      </c>
      <c r="B3" s="90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5.1218945833333328E-2</v>
      </c>
    </row>
    <row r="4" spans="1:27">
      <c r="A4" s="7">
        <v>17</v>
      </c>
      <c r="B4" s="90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2.9348091666666663E-2</v>
      </c>
    </row>
    <row r="5" spans="1:27">
      <c r="A5" s="7">
        <v>18</v>
      </c>
      <c r="B5" s="90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4.9732094666666657E-2</v>
      </c>
      <c r="I5" s="50">
        <f>AVERAGE(F3:F5)</f>
        <v>2.4047998537540289</v>
      </c>
      <c r="J5" s="50">
        <f>AVERAGE(G3:G5)</f>
        <v>4.3433044055555557E-2</v>
      </c>
      <c r="L5">
        <f>+J5/I5</f>
        <v>1.8060980828718078E-2</v>
      </c>
      <c r="M5">
        <f>+(L5-$L$913)/$L$914</f>
        <v>-1.1409848413554019E-2</v>
      </c>
      <c r="N5">
        <f>+M5</f>
        <v>-1.1409848413554019E-2</v>
      </c>
      <c r="Q5" t="s">
        <v>101</v>
      </c>
      <c r="Z5">
        <f>+(I5-$F$913)/$F$914</f>
        <v>-0.76316748566373305</v>
      </c>
      <c r="AA5">
        <f>+Z5</f>
        <v>-0.76316748566373305</v>
      </c>
    </row>
    <row r="6" spans="1:27">
      <c r="A6" s="7">
        <v>1</v>
      </c>
      <c r="B6" s="90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1.9754374000000002E-2</v>
      </c>
    </row>
    <row r="7" spans="1:27">
      <c r="A7" s="7">
        <v>17</v>
      </c>
      <c r="B7" s="90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1.1786306833333333E-2</v>
      </c>
    </row>
    <row r="8" spans="1:27">
      <c r="A8" s="7">
        <v>18</v>
      </c>
      <c r="B8" s="90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0</v>
      </c>
      <c r="I8" s="50">
        <f>AVERAGE(F6:F8)</f>
        <v>5.4429090875200323</v>
      </c>
      <c r="J8" s="50">
        <f>AVERAGE(G6:G8)</f>
        <v>1.0513560277777778E-2</v>
      </c>
      <c r="L8">
        <f>+J8/I8</f>
        <v>1.9316068133278523E-3</v>
      </c>
      <c r="M8">
        <f>+(L8-$L$913)/$L$914</f>
        <v>-0.69404889802359815</v>
      </c>
      <c r="N8">
        <f>+N5+M8</f>
        <v>-0.70545874643715212</v>
      </c>
      <c r="Z8">
        <f>+(I8-$F$913)/$F$914</f>
        <v>-6.353058895447905E-2</v>
      </c>
      <c r="AA8">
        <f>+AA5+Z8</f>
        <v>-0.8266980746182121</v>
      </c>
    </row>
    <row r="9" spans="1:27">
      <c r="A9" s="7">
        <v>1</v>
      </c>
      <c r="B9" s="90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1.6792098499999998E-2</v>
      </c>
    </row>
    <row r="10" spans="1:27">
      <c r="A10" s="7">
        <v>17</v>
      </c>
      <c r="B10" s="90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2.0369674000000001E-2</v>
      </c>
    </row>
    <row r="11" spans="1:27">
      <c r="A11" s="7">
        <v>18</v>
      </c>
      <c r="B11" s="90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1.0519081500000001E-2</v>
      </c>
      <c r="I11" s="50">
        <f>AVERAGE(F9:F11)</f>
        <v>4.1139008600141054</v>
      </c>
      <c r="J11" s="50">
        <f>AVERAGE(G9:G11)</f>
        <v>1.5893617999999998E-2</v>
      </c>
      <c r="L11">
        <f>+J11/I11</f>
        <v>3.8633935383521867E-3</v>
      </c>
      <c r="M11">
        <f>+(L11-$L$913)/$L$914</f>
        <v>-0.61229042105098719</v>
      </c>
      <c r="N11">
        <f>+N8+M11</f>
        <v>-1.3177491674881394</v>
      </c>
      <c r="Z11">
        <f>+(I11-$F$913)/$F$914</f>
        <v>-0.36958383472297152</v>
      </c>
      <c r="AA11">
        <f>+AA8+Z11</f>
        <v>-1.1962819093411836</v>
      </c>
    </row>
    <row r="12" spans="1:27">
      <c r="A12" s="15">
        <v>1</v>
      </c>
      <c r="B12" s="91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1.7847350833333334E-2</v>
      </c>
    </row>
    <row r="13" spans="1:27">
      <c r="A13" s="7">
        <v>17</v>
      </c>
      <c r="B13" s="90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1.5823924100000001E-2</v>
      </c>
    </row>
    <row r="14" spans="1:27">
      <c r="A14" s="7">
        <v>18</v>
      </c>
      <c r="B14" s="90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3.5574038499999995E-2</v>
      </c>
      <c r="I14" s="50">
        <f>AVERAGE(F12:F14)</f>
        <v>7.0388907344091178</v>
      </c>
      <c r="J14" s="50">
        <f>AVERAGE(G12:G14)</f>
        <v>2.3081771144444443E-2</v>
      </c>
      <c r="L14">
        <f>+J14/I14</f>
        <v>3.2791773612297808E-3</v>
      </c>
      <c r="M14">
        <f>+(L14-$L$913)/$L$914</f>
        <v>-0.63701604124784794</v>
      </c>
      <c r="N14">
        <f>+N11+M14</f>
        <v>-1.9547652087359872</v>
      </c>
      <c r="Z14">
        <f>+(I14-$F$913)/$F$914</f>
        <v>0.3040031501962594</v>
      </c>
      <c r="AA14">
        <f>+AA11+Z14</f>
        <v>-0.89227875914492416</v>
      </c>
    </row>
    <row r="15" spans="1:27">
      <c r="A15" s="7">
        <v>1</v>
      </c>
      <c r="B15" s="90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2.2316815166666667E-2</v>
      </c>
    </row>
    <row r="16" spans="1:27">
      <c r="A16" s="7">
        <v>17</v>
      </c>
      <c r="B16" s="90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1.6001550333333333E-2</v>
      </c>
    </row>
    <row r="17" spans="1:27">
      <c r="A17" s="7">
        <v>18</v>
      </c>
      <c r="B17" s="90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3.6751002333333331E-2</v>
      </c>
      <c r="I17" s="50">
        <f>AVERAGE(F15:F17)</f>
        <v>3.9193902872792474</v>
      </c>
      <c r="J17" s="50">
        <f>AVERAGE(G15:G17)</f>
        <v>2.5023122611111111E-2</v>
      </c>
      <c r="L17">
        <f>+J17/I17</f>
        <v>6.384442675261514E-3</v>
      </c>
      <c r="M17">
        <f>+(L17-$L$913)/$L$914</f>
        <v>-0.50559275347889765</v>
      </c>
      <c r="N17">
        <f>+N14+M17</f>
        <v>-2.4603579622148848</v>
      </c>
      <c r="Z17">
        <f>+(I17-$F$913)/$F$914</f>
        <v>-0.41437708046044097</v>
      </c>
      <c r="AA17">
        <f>+AA14+Z17</f>
        <v>-1.3066558396053651</v>
      </c>
    </row>
    <row r="18" spans="1:27">
      <c r="A18" s="7">
        <v>1</v>
      </c>
      <c r="B18" s="90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2.4382136666666665E-2</v>
      </c>
    </row>
    <row r="19" spans="1:27">
      <c r="A19" s="7">
        <v>17</v>
      </c>
      <c r="B19" s="90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2.6908305499999997E-2</v>
      </c>
    </row>
    <row r="20" spans="1:27">
      <c r="A20" s="7">
        <v>18</v>
      </c>
      <c r="B20" s="90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5.2763979499999995E-2</v>
      </c>
      <c r="I20" s="50">
        <f>AVERAGE(F18:F20)</f>
        <v>1.3296348168536298</v>
      </c>
      <c r="J20" s="50">
        <f>AVERAGE(G18:G20)</f>
        <v>3.4684807222222218E-2</v>
      </c>
      <c r="L20">
        <f>+J20/I20</f>
        <v>2.6085964945095467E-2</v>
      </c>
      <c r="M20">
        <f>+(L20-$L$913)/$L$914</f>
        <v>0.32822934186825342</v>
      </c>
      <c r="N20">
        <f>+N17+M20</f>
        <v>-2.1321286203466312</v>
      </c>
      <c r="Z20">
        <f>+(I20-$F$913)/$F$914</f>
        <v>-1.0107639583339525</v>
      </c>
      <c r="AA20">
        <f>+AA17+Z20</f>
        <v>-2.3174197979393174</v>
      </c>
    </row>
    <row r="21" spans="1:27">
      <c r="A21" s="7">
        <v>1</v>
      </c>
      <c r="B21" s="90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0</v>
      </c>
    </row>
    <row r="22" spans="1:27">
      <c r="A22" s="7">
        <v>17</v>
      </c>
      <c r="B22" s="90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0</v>
      </c>
    </row>
    <row r="23" spans="1:27">
      <c r="A23" s="7">
        <v>18</v>
      </c>
      <c r="B23" s="90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0</v>
      </c>
      <c r="I23" s="50">
        <f>AVERAGE(F21:F23)</f>
        <v>3.8290803956000334</v>
      </c>
      <c r="J23" s="50">
        <f>AVERAGE(G21:G23)</f>
        <v>0</v>
      </c>
      <c r="L23">
        <f>+J23/I23</f>
        <v>0</v>
      </c>
      <c r="M23">
        <f>+(L23-$L$913)/$L$914</f>
        <v>-0.77579976064308032</v>
      </c>
      <c r="N23">
        <f>+N20+M23</f>
        <v>-2.9079283809897114</v>
      </c>
      <c r="Z23">
        <f>+(I23-$F$913)/$F$914</f>
        <v>-0.43517426959846017</v>
      </c>
      <c r="AA23">
        <f>+AA20+Z23</f>
        <v>-2.7525940675377774</v>
      </c>
    </row>
    <row r="24" spans="1:27">
      <c r="A24" s="7">
        <v>1</v>
      </c>
      <c r="B24" s="90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1.3712199999999999E-2</v>
      </c>
    </row>
    <row r="25" spans="1:27">
      <c r="A25" s="7">
        <v>17</v>
      </c>
      <c r="B25" s="90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1.6943687499999999E-2</v>
      </c>
    </row>
    <row r="26" spans="1:27">
      <c r="A26" s="7">
        <v>18</v>
      </c>
      <c r="B26" s="90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2.0333368500000001E-2</v>
      </c>
      <c r="I26" s="50">
        <f>AVERAGE(F24:F26)</f>
        <v>1.3544511534259354</v>
      </c>
      <c r="J26" s="50">
        <f>AVERAGE(G24:G26)</f>
        <v>1.6996418666666666E-2</v>
      </c>
      <c r="L26">
        <f>+J26/I26</f>
        <v>1.2548565242590027E-2</v>
      </c>
      <c r="M26">
        <f>+(L26-$L$913)/$L$914</f>
        <v>-0.24471029350085252</v>
      </c>
      <c r="N26">
        <f>+N23+M26</f>
        <v>-3.1526386744905639</v>
      </c>
      <c r="Z26">
        <f>+(I26-$F$913)/$F$914</f>
        <v>-1.00504907997666</v>
      </c>
      <c r="AA26">
        <f>+AA23+Z26</f>
        <v>-3.7576431475144374</v>
      </c>
    </row>
    <row r="27" spans="1:27">
      <c r="A27" s="7">
        <v>1</v>
      </c>
      <c r="B27" s="90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2.5473556500000001E-2</v>
      </c>
    </row>
    <row r="28" spans="1:27">
      <c r="A28" s="7">
        <v>17</v>
      </c>
      <c r="B28" s="90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1.9808363166666666E-2</v>
      </c>
    </row>
    <row r="29" spans="1:27">
      <c r="A29" s="7">
        <v>18</v>
      </c>
      <c r="B29" s="90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2.4309067833333337E-2</v>
      </c>
      <c r="I29" s="50">
        <f>AVERAGE(F27:F29)</f>
        <v>3.5401566035817513</v>
      </c>
      <c r="J29" s="50">
        <f>AVERAGE(G27:G29)</f>
        <v>2.3196995833333334E-2</v>
      </c>
      <c r="L29">
        <f>+J29/I29</f>
        <v>6.5525338087766482E-3</v>
      </c>
      <c r="M29">
        <f>+(L29-$L$913)/$L$914</f>
        <v>-0.49847867877760055</v>
      </c>
      <c r="N29">
        <f>+N26+M29</f>
        <v>-3.6511173532681642</v>
      </c>
      <c r="Z29">
        <f>+(I29-$F$913)/$F$914</f>
        <v>-0.50170964725588829</v>
      </c>
      <c r="AA29">
        <f>+AA26+Z29</f>
        <v>-4.2593527947703258</v>
      </c>
    </row>
    <row r="30" spans="1:27">
      <c r="A30" s="7">
        <v>1</v>
      </c>
      <c r="B30" s="90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6.9119132666666666E-2</v>
      </c>
    </row>
    <row r="31" spans="1:27">
      <c r="A31" s="7">
        <v>17</v>
      </c>
      <c r="B31" s="90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8.6650830333333331E-2</v>
      </c>
    </row>
    <row r="32" spans="1:27">
      <c r="A32" s="7">
        <v>18</v>
      </c>
      <c r="B32" s="90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0.20840048966666669</v>
      </c>
      <c r="I32" s="50">
        <f>AVERAGE(F30:F32)</f>
        <v>4.2444942657119205</v>
      </c>
      <c r="J32" s="50">
        <f>AVERAGE(G30:G32)</f>
        <v>0.1213901508888889</v>
      </c>
      <c r="L32">
        <f>+J32/I32</f>
        <v>2.859943806957373E-2</v>
      </c>
      <c r="M32">
        <f>+(L32-$L$913)/$L$914</f>
        <v>0.43460637195491786</v>
      </c>
      <c r="N32">
        <f>+N29+M32</f>
        <v>-3.2165109813132462</v>
      </c>
      <c r="Z32">
        <f>+(I32-$F$913)/$F$914</f>
        <v>-0.33950987817208955</v>
      </c>
      <c r="AA32">
        <f>+AA29+Z32</f>
        <v>-4.5988626729424151</v>
      </c>
    </row>
    <row r="33" spans="1:27">
      <c r="A33" s="7">
        <v>1</v>
      </c>
      <c r="B33" s="90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8.5341462000000007E-2</v>
      </c>
    </row>
    <row r="34" spans="1:27">
      <c r="A34" s="7">
        <v>17</v>
      </c>
      <c r="B34" s="90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7.8761073666666667E-2</v>
      </c>
    </row>
    <row r="35" spans="1:27">
      <c r="A35" s="7">
        <v>18</v>
      </c>
      <c r="B35" s="90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0.23296063333333333</v>
      </c>
      <c r="I35" s="50">
        <f>AVERAGE(F33:F35)</f>
        <v>4.1070022989117891</v>
      </c>
      <c r="J35" s="50">
        <f>AVERAGE(G33:G35)</f>
        <v>0.13235438966666666</v>
      </c>
      <c r="L35">
        <f>+J35/I35</f>
        <v>3.2226519498597776E-2</v>
      </c>
      <c r="M35">
        <f>+(L35-$L$913)/$L$914</f>
        <v>0.58811433929479684</v>
      </c>
      <c r="N35">
        <f>+N32+M35</f>
        <v>-2.6283966420184495</v>
      </c>
      <c r="Z35">
        <f>+(I35-$F$913)/$F$914</f>
        <v>-0.37117248329022556</v>
      </c>
      <c r="AA35">
        <f>+AA32+Z35</f>
        <v>-4.9700351562326404</v>
      </c>
    </row>
    <row r="36" spans="1:27">
      <c r="A36" s="7">
        <v>1</v>
      </c>
      <c r="B36" s="90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4.1984072666666664E-2</v>
      </c>
    </row>
    <row r="37" spans="1:27">
      <c r="A37" s="7">
        <v>17</v>
      </c>
      <c r="B37" s="90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6.0506445333333339E-2</v>
      </c>
    </row>
    <row r="38" spans="1:27">
      <c r="A38" s="7">
        <v>18</v>
      </c>
      <c r="B38" s="90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3.0606406166666669E-2</v>
      </c>
      <c r="I38" s="50">
        <f>AVERAGE(F36:F38)</f>
        <v>7.6030394312351826</v>
      </c>
      <c r="J38" s="50">
        <f>AVERAGE(G36:G38)</f>
        <v>4.4365641388888898E-2</v>
      </c>
      <c r="L38">
        <f>+J38/I38</f>
        <v>5.8352507296784203E-3</v>
      </c>
      <c r="M38">
        <f>+(L38-$L$913)/$L$914</f>
        <v>-0.52883605278044621</v>
      </c>
      <c r="N38">
        <f>+N35+M38</f>
        <v>-3.1572326947988958</v>
      </c>
      <c r="Z38">
        <f>+(I38-$F$913)/$F$914</f>
        <v>0.43391923061338555</v>
      </c>
      <c r="AA38">
        <f>+AA35+Z38</f>
        <v>-4.5361159256192547</v>
      </c>
    </row>
    <row r="39" spans="1:27">
      <c r="A39" s="7">
        <v>1</v>
      </c>
      <c r="B39" s="90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0</v>
      </c>
    </row>
    <row r="40" spans="1:27">
      <c r="A40" s="7">
        <v>17</v>
      </c>
      <c r="B40" s="90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8.3667273666666667E-3</v>
      </c>
    </row>
    <row r="41" spans="1:27">
      <c r="A41" s="7">
        <v>18</v>
      </c>
      <c r="B41" s="90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1.5177245833333332E-2</v>
      </c>
      <c r="I41" s="50">
        <f>AVERAGE(F39:F41)</f>
        <v>2.3778280640964042</v>
      </c>
      <c r="J41" s="50">
        <f>AVERAGE(G39:G41)</f>
        <v>7.8479910666666656E-3</v>
      </c>
      <c r="L41">
        <f>+J41/I41</f>
        <v>3.3004871904600773E-3</v>
      </c>
      <c r="M41">
        <f>+(L41-$L$913)/$L$914</f>
        <v>-0.63611415122042081</v>
      </c>
      <c r="N41">
        <f>+N38+M41</f>
        <v>-3.7933468460193165</v>
      </c>
      <c r="Z41">
        <f>+(I41-$F$913)/$F$914</f>
        <v>-0.76937873672904233</v>
      </c>
      <c r="AA41">
        <f>+AA38+Z41</f>
        <v>-5.3054946623482966</v>
      </c>
    </row>
    <row r="42" spans="1:27">
      <c r="A42" s="7">
        <v>1</v>
      </c>
      <c r="B42" s="90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</v>
      </c>
    </row>
    <row r="43" spans="1:27">
      <c r="A43" s="7">
        <v>17</v>
      </c>
      <c r="B43" s="90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2.6562565166666666E-2</v>
      </c>
    </row>
    <row r="44" spans="1:27">
      <c r="A44" s="7">
        <v>18</v>
      </c>
      <c r="B44" s="90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2.4626817666666665E-2</v>
      </c>
      <c r="I44" s="50">
        <f>AVERAGE(F42:F44)</f>
        <v>4.2575794196516297</v>
      </c>
      <c r="J44" s="50">
        <f>AVERAGE(G42:G44)</f>
        <v>1.706312761111111E-2</v>
      </c>
      <c r="L44">
        <f>+J44/I44</f>
        <v>4.0077062408638E-3</v>
      </c>
      <c r="M44">
        <f>+(L44-$L$913)/$L$914</f>
        <v>-0.60618271432937565</v>
      </c>
      <c r="N44">
        <f>+N41+M44</f>
        <v>-4.3995295603486921</v>
      </c>
      <c r="Z44">
        <f>+(I44-$F$913)/$F$914</f>
        <v>-0.33649653803487772</v>
      </c>
      <c r="AA44">
        <f>+AA41+Z44</f>
        <v>-5.641991200383174</v>
      </c>
    </row>
    <row r="45" spans="1:27">
      <c r="A45" s="7">
        <v>1</v>
      </c>
      <c r="B45" s="90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8.2784786666666669E-3</v>
      </c>
    </row>
    <row r="46" spans="1:27">
      <c r="A46" s="7">
        <v>17</v>
      </c>
      <c r="B46" s="90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27">
      <c r="A47" s="7">
        <v>18</v>
      </c>
      <c r="B47" s="90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1.0883272500000001E-2</v>
      </c>
      <c r="I47" s="50">
        <f>AVERAGE(F45:F47)</f>
        <v>2.3546882166015268</v>
      </c>
      <c r="J47" s="50">
        <f>AVERAGE(G45:G47)</f>
        <v>9.5808755833333339E-3</v>
      </c>
      <c r="L47">
        <f>+J47/I47</f>
        <v>4.0688510333487865E-3</v>
      </c>
      <c r="M47">
        <f>+(L47-$L$913)/$L$914</f>
        <v>-0.60359490013455774</v>
      </c>
      <c r="N47">
        <f>+N44+M47</f>
        <v>-5.0031244604832494</v>
      </c>
      <c r="Z47">
        <f>+(I47-$F$913)/$F$914</f>
        <v>-0.77470754153688437</v>
      </c>
      <c r="AA47">
        <f>+AA44+Z47</f>
        <v>-6.4166987419200581</v>
      </c>
    </row>
    <row r="48" spans="1:27">
      <c r="A48" s="15">
        <v>1</v>
      </c>
      <c r="B48" s="91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0</v>
      </c>
    </row>
    <row r="49" spans="1:27">
      <c r="A49" s="7">
        <v>17</v>
      </c>
      <c r="B49" s="90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0</v>
      </c>
    </row>
    <row r="50" spans="1:27">
      <c r="A50" s="7">
        <v>18</v>
      </c>
      <c r="B50" s="90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0</v>
      </c>
      <c r="I50" s="50">
        <f>AVERAGE(F48:F50)</f>
        <v>3.1305775427290095</v>
      </c>
      <c r="J50" s="50">
        <f>AVERAGE(G48:G50)</f>
        <v>0</v>
      </c>
      <c r="L50">
        <f>+J50/I50</f>
        <v>0</v>
      </c>
      <c r="M50">
        <f>+(L50-$L$913)/$L$914</f>
        <v>-0.77579976064308032</v>
      </c>
      <c r="N50">
        <f>+N47+M50</f>
        <v>-5.7789242211263296</v>
      </c>
      <c r="Z50">
        <f>+(I50-$F$913)/$F$914</f>
        <v>-0.59603035827814832</v>
      </c>
      <c r="AA50">
        <f>+AA47+Z50</f>
        <v>-7.0127291001982064</v>
      </c>
    </row>
    <row r="51" spans="1:27">
      <c r="A51" s="11">
        <v>1</v>
      </c>
      <c r="B51" s="90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3.5239515333333332E-2</v>
      </c>
    </row>
    <row r="52" spans="1:27">
      <c r="A52" s="11">
        <v>17</v>
      </c>
      <c r="B52" s="90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2.9764175166666663E-2</v>
      </c>
    </row>
    <row r="53" spans="1:27">
      <c r="A53" s="11">
        <v>18</v>
      </c>
      <c r="B53" s="90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3.7874081833333337E-2</v>
      </c>
      <c r="I53" s="50">
        <f>AVERAGE(F51:F53)</f>
        <v>6.2624215106362255</v>
      </c>
      <c r="J53" s="50">
        <f>AVERAGE(G51:G53)</f>
        <v>3.4292590777777777E-2</v>
      </c>
      <c r="L53">
        <f>+J53/I53</f>
        <v>5.4759314299643574E-3</v>
      </c>
      <c r="M53">
        <f>+(L53-$L$913)/$L$914</f>
        <v>-0.54404342443847264</v>
      </c>
      <c r="N53">
        <f>+N50+M53</f>
        <v>-6.3229676455648018</v>
      </c>
      <c r="Z53">
        <f>+(I53-$F$913)/$F$914</f>
        <v>0.12519242407983605</v>
      </c>
      <c r="AA53">
        <f>+AA50+Z53</f>
        <v>-6.8875366761183701</v>
      </c>
    </row>
    <row r="54" spans="1:27">
      <c r="A54" s="7">
        <v>1</v>
      </c>
      <c r="B54" s="90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0</v>
      </c>
    </row>
    <row r="55" spans="1:27">
      <c r="A55" s="7">
        <v>17</v>
      </c>
      <c r="B55" s="90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0</v>
      </c>
    </row>
    <row r="56" spans="1:27">
      <c r="A56" s="7">
        <v>18</v>
      </c>
      <c r="B56" s="90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0</v>
      </c>
      <c r="I56" s="50">
        <f>AVERAGE(F54:F56)</f>
        <v>4.8361604254490045</v>
      </c>
      <c r="J56" s="50">
        <f>AVERAGE(G54:G56)</f>
        <v>0</v>
      </c>
      <c r="L56">
        <f>+J56/I56</f>
        <v>0</v>
      </c>
      <c r="M56">
        <f>+(L56-$L$913)/$L$914</f>
        <v>-0.77579976064308032</v>
      </c>
      <c r="N56">
        <f>+N53+M56</f>
        <v>-7.098767406207882</v>
      </c>
      <c r="Z56">
        <f>+(I56-$F$913)/$F$914</f>
        <v>-0.20325688526267863</v>
      </c>
      <c r="AA56">
        <f>+AA53+Z56</f>
        <v>-7.0907935613810489</v>
      </c>
    </row>
    <row r="57" spans="1:27">
      <c r="A57" s="7">
        <v>1</v>
      </c>
      <c r="B57" s="90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2.2217118666666664E-2</v>
      </c>
    </row>
    <row r="58" spans="1:27">
      <c r="A58" s="7">
        <v>17</v>
      </c>
      <c r="B58" s="90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0</v>
      </c>
    </row>
    <row r="59" spans="1:27">
      <c r="A59" s="7">
        <v>18</v>
      </c>
      <c r="B59" s="90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0</v>
      </c>
      <c r="I59" s="50">
        <f>AVERAGE(F57:F59)</f>
        <v>0.83021194009765209</v>
      </c>
      <c r="J59" s="50">
        <f>AVERAGE(G57:G59)</f>
        <v>7.4057062222222213E-3</v>
      </c>
      <c r="L59">
        <f>+J59/I59</f>
        <v>8.9202598331109759E-3</v>
      </c>
      <c r="M59">
        <f>+(L59-$L$913)/$L$914</f>
        <v>-0.39827006302807921</v>
      </c>
      <c r="N59">
        <f>+N56+M59</f>
        <v>-7.4970374692359609</v>
      </c>
      <c r="Z59">
        <f>+(I59-$F$913)/$F$914</f>
        <v>-1.1257745273272306</v>
      </c>
      <c r="AA59">
        <f>+AA56+Z59</f>
        <v>-8.2165680887082786</v>
      </c>
    </row>
    <row r="60" spans="1:27">
      <c r="A60" s="7">
        <v>1</v>
      </c>
      <c r="B60" s="90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1.839783066666667E-2</v>
      </c>
    </row>
    <row r="61" spans="1:27">
      <c r="A61" s="7">
        <v>17</v>
      </c>
      <c r="B61" s="90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1.2195785833333332E-2</v>
      </c>
    </row>
    <row r="62" spans="1:27">
      <c r="A62" s="7">
        <v>18</v>
      </c>
      <c r="B62" s="90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0</v>
      </c>
      <c r="I62" s="50">
        <f>AVERAGE(F60:F62)</f>
        <v>1.8843840091707824</v>
      </c>
      <c r="J62" s="50">
        <f>AVERAGE(G60:G62)</f>
        <v>1.0197872166666669E-2</v>
      </c>
      <c r="L62">
        <f>+J62/I62</f>
        <v>5.4117802512844565E-3</v>
      </c>
      <c r="M62">
        <f>+(L62-$L$913)/$L$914</f>
        <v>-0.54675847708736203</v>
      </c>
      <c r="N62">
        <f>+N59+M62</f>
        <v>-8.0437959463233231</v>
      </c>
      <c r="Z62">
        <f>+(I62-$F$913)/$F$914</f>
        <v>-0.8830124611030169</v>
      </c>
      <c r="AA62">
        <f>+AA59+Z62</f>
        <v>-9.0995805498112947</v>
      </c>
    </row>
    <row r="63" spans="1:27">
      <c r="A63" s="7">
        <v>1</v>
      </c>
      <c r="B63" s="90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0.19438259566666666</v>
      </c>
    </row>
    <row r="64" spans="1:27">
      <c r="A64" s="7">
        <v>17</v>
      </c>
      <c r="B64" s="90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5.4107418666666671E-2</v>
      </c>
    </row>
    <row r="65" spans="1:27">
      <c r="A65" s="7">
        <v>18</v>
      </c>
      <c r="B65" s="90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0.58571043783333332</v>
      </c>
      <c r="I65" s="50">
        <f>AVERAGE(F63:F65)</f>
        <v>12.253997377971961</v>
      </c>
      <c r="J65" s="50">
        <f>AVERAGE(G63:G65)</f>
        <v>0.27806681738888889</v>
      </c>
      <c r="L65">
        <f>+J65/I65</f>
        <v>2.269192727988889E-2</v>
      </c>
      <c r="M65">
        <f>+(L65-$L$913)/$L$914</f>
        <v>0.18458442149461815</v>
      </c>
      <c r="N65">
        <f>+N62+M65</f>
        <v>-7.8592115248287051</v>
      </c>
      <c r="Z65">
        <f>+(I65-$F$913)/$F$914</f>
        <v>1.5049741316073724</v>
      </c>
      <c r="AA65">
        <f>+AA62+Z65</f>
        <v>-7.5946064182039219</v>
      </c>
    </row>
    <row r="66" spans="1:27">
      <c r="A66" s="7">
        <v>1</v>
      </c>
      <c r="B66" s="90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0.43885927550000003</v>
      </c>
    </row>
    <row r="67" spans="1:27">
      <c r="A67" s="7">
        <v>17</v>
      </c>
      <c r="B67" s="90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0.59547430000000001</v>
      </c>
    </row>
    <row r="68" spans="1:27">
      <c r="A68" s="7">
        <v>18</v>
      </c>
      <c r="B68" s="90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0.45883914599999998</v>
      </c>
      <c r="I68" s="50">
        <f>AVERAGE(F66:F68)</f>
        <v>10.896221748079236</v>
      </c>
      <c r="J68" s="50">
        <f>AVERAGE(G66:G68)</f>
        <v>0.49772424050000003</v>
      </c>
      <c r="L68">
        <f>+J68/I68</f>
        <v>4.5678607870451776E-2</v>
      </c>
      <c r="M68">
        <f>+(L68-$L$913)/$L$914</f>
        <v>1.157443366736943</v>
      </c>
      <c r="N68">
        <f>+N65+M68</f>
        <v>-6.7017681580917623</v>
      </c>
      <c r="Z68">
        <f>+(I68-$F$913)/$F$914</f>
        <v>1.1922961286021767</v>
      </c>
      <c r="AA68">
        <f>+AA65+Z68</f>
        <v>-6.4023102896017452</v>
      </c>
    </row>
    <row r="69" spans="1:27">
      <c r="A69" s="7">
        <v>1</v>
      </c>
      <c r="B69" s="90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0.10570292583333334</v>
      </c>
    </row>
    <row r="70" spans="1:27">
      <c r="A70" s="7">
        <v>17</v>
      </c>
      <c r="B70" s="90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9.0785771500000015E-2</v>
      </c>
    </row>
    <row r="71" spans="1:27">
      <c r="A71" s="7">
        <v>18</v>
      </c>
      <c r="B71" s="90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5.2656420500000002E-2</v>
      </c>
      <c r="I71" s="50">
        <f>AVERAGE(F69:F71)</f>
        <v>5.3010215382113168</v>
      </c>
      <c r="J71" s="50">
        <f>AVERAGE(G69:G71)</f>
        <v>8.3048372611111115E-2</v>
      </c>
      <c r="L71">
        <f>+J71/I71</f>
        <v>1.5666484660074309E-2</v>
      </c>
      <c r="M71">
        <f>+(L71-$L$913)/$L$914</f>
        <v>-0.11275144960019673</v>
      </c>
      <c r="N71">
        <f>+N68+M71</f>
        <v>-6.8145196076919587</v>
      </c>
      <c r="Z71">
        <f>+(I71-$F$913)/$F$914</f>
        <v>-9.6205439343902785E-2</v>
      </c>
      <c r="AA71">
        <f>+AA68+Z71</f>
        <v>-6.4985157289456481</v>
      </c>
    </row>
    <row r="72" spans="1:27">
      <c r="A72" s="7">
        <v>1</v>
      </c>
      <c r="B72" s="90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4.4387586499999993E-2</v>
      </c>
    </row>
    <row r="73" spans="1:27">
      <c r="A73" s="7">
        <v>17</v>
      </c>
      <c r="B73" s="90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3.5900699166666668E-2</v>
      </c>
    </row>
    <row r="74" spans="1:27">
      <c r="A74" s="7">
        <v>18</v>
      </c>
      <c r="B74" s="90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2.6567911666666662E-2</v>
      </c>
      <c r="I74" s="50">
        <f>AVERAGE(F72:F74)</f>
        <v>4.4773063431794577</v>
      </c>
      <c r="J74" s="50">
        <f>AVERAGE(G72:G74)</f>
        <v>3.561873244444444E-2</v>
      </c>
      <c r="L74">
        <f>+J74/I74</f>
        <v>7.9553932016969385E-3</v>
      </c>
      <c r="M74">
        <f>+(L74-$L$913)/$L$914</f>
        <v>-0.43910584745718673</v>
      </c>
      <c r="N74">
        <f>+N71+M74</f>
        <v>-7.2536254551491455</v>
      </c>
      <c r="Z74">
        <f>+(I74-$F$913)/$F$914</f>
        <v>-0.28589629588692816</v>
      </c>
      <c r="AA74">
        <f>+AA71+Z74</f>
        <v>-6.7844120248325765</v>
      </c>
    </row>
    <row r="75" spans="1:27">
      <c r="A75" s="7">
        <v>1</v>
      </c>
      <c r="B75" s="90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13">
        <v>3.1295771012687122E-2</v>
      </c>
    </row>
    <row r="76" spans="1:27">
      <c r="A76" s="7">
        <v>17</v>
      </c>
      <c r="B76" s="90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13">
        <v>4.8589114410041281E-2</v>
      </c>
    </row>
    <row r="77" spans="1:27">
      <c r="A77" s="7">
        <v>18</v>
      </c>
      <c r="B77" s="90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13">
        <v>4.8080077681441562E-2</v>
      </c>
      <c r="I77" s="50">
        <f>AVERAGE(F75:F77)</f>
        <v>3.2566932007718798</v>
      </c>
      <c r="J77" s="50">
        <f>AVERAGE(G75:G77)</f>
        <v>4.2654987701389986E-2</v>
      </c>
      <c r="L77">
        <f>+J77/I77</f>
        <v>1.3097637717694803E-2</v>
      </c>
      <c r="M77">
        <f>+(L77-$L$913)/$L$914</f>
        <v>-0.22147205051542004</v>
      </c>
      <c r="N77">
        <f>+N74+M77</f>
        <v>-7.4750975056645652</v>
      </c>
      <c r="Z77">
        <f>+(I77-$F$913)/$F$914</f>
        <v>-0.56698756855916776</v>
      </c>
      <c r="AA77">
        <f>+AA74+Z77</f>
        <v>-7.3513995933917444</v>
      </c>
    </row>
    <row r="78" spans="1:27">
      <c r="A78" s="7">
        <v>1</v>
      </c>
      <c r="B78" s="90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13">
        <v>2.2063385401799279E-2</v>
      </c>
    </row>
    <row r="79" spans="1:27">
      <c r="A79" s="7">
        <v>17</v>
      </c>
      <c r="B79" s="90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13">
        <v>3.1610899182750091E-2</v>
      </c>
    </row>
    <row r="80" spans="1:27">
      <c r="A80" s="7">
        <v>18</v>
      </c>
      <c r="B80" s="90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13">
        <v>3.5765968819275337E-2</v>
      </c>
      <c r="I80" s="50">
        <f>AVERAGE(F78:F80)</f>
        <v>5.3516280588786396</v>
      </c>
      <c r="J80" s="50">
        <f>AVERAGE(G78:G80)</f>
        <v>2.9813417801274902E-2</v>
      </c>
      <c r="L80">
        <f>+J80/I80</f>
        <v>5.5709061753297364E-3</v>
      </c>
      <c r="M80">
        <f>+(L80-$L$913)/$L$914</f>
        <v>-0.54002383447476321</v>
      </c>
      <c r="N80">
        <f>+N77+M80</f>
        <v>-8.0151213401393289</v>
      </c>
      <c r="Z80">
        <f>+(I80-$F$913)/$F$914</f>
        <v>-8.4551418257554509E-2</v>
      </c>
      <c r="AA80">
        <f>+AA77+Z80</f>
        <v>-7.4359510116492986</v>
      </c>
    </row>
    <row r="81" spans="1:27">
      <c r="A81" s="7">
        <v>1</v>
      </c>
      <c r="B81" s="90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13">
        <v>3.3330518924422049E-2</v>
      </c>
    </row>
    <row r="82" spans="1:27">
      <c r="A82" s="7">
        <v>17</v>
      </c>
      <c r="B82" s="90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13">
        <v>3.6119718934291833E-2</v>
      </c>
    </row>
    <row r="83" spans="1:27">
      <c r="A83" s="7">
        <v>18</v>
      </c>
      <c r="B83" s="90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13">
        <v>4.0895457887683735E-2</v>
      </c>
      <c r="I83" s="50">
        <f>AVERAGE(F81:F83)</f>
        <v>6.9162922164340896</v>
      </c>
      <c r="J83" s="50">
        <f>AVERAGE(G81:G83)</f>
        <v>3.6781898582132537E-2</v>
      </c>
      <c r="L83">
        <f>+J83/I83</f>
        <v>5.3181527661213526E-3</v>
      </c>
      <c r="M83">
        <f>+(L83-$L$913)/$L$914</f>
        <v>-0.55072104732896809</v>
      </c>
      <c r="N83">
        <f>+N80+M83</f>
        <v>-8.5658423874682974</v>
      </c>
      <c r="Z83">
        <f>+(I83-$F$913)/$F$914</f>
        <v>0.27577031192175228</v>
      </c>
      <c r="AA83">
        <f>+AA80+Z83</f>
        <v>-7.1601806997275466</v>
      </c>
    </row>
    <row r="84" spans="1:27">
      <c r="A84" s="15">
        <v>1</v>
      </c>
      <c r="B84" s="91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13">
        <v>1.091003650262189E-2</v>
      </c>
    </row>
    <row r="85" spans="1:27">
      <c r="A85" s="7">
        <v>17</v>
      </c>
      <c r="B85" s="90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13">
        <v>2.0306489017141435E-2</v>
      </c>
    </row>
    <row r="86" spans="1:27">
      <c r="A86" s="7">
        <v>18</v>
      </c>
      <c r="B86" s="90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13">
        <v>2.8538574176033303E-2</v>
      </c>
      <c r="I86" s="50">
        <f>AVERAGE(F84:F86)</f>
        <v>2.8921371672349765</v>
      </c>
      <c r="J86" s="50">
        <f>AVERAGE(G84:G86)</f>
        <v>1.9918366565265543E-2</v>
      </c>
      <c r="L86">
        <f>+J86/I86</f>
        <v>6.8870753403125996E-3</v>
      </c>
      <c r="M86">
        <f>+(L86-$L$913)/$L$914</f>
        <v>-0.48431996977098413</v>
      </c>
      <c r="N86">
        <f>+N83+M86</f>
        <v>-9.050162357239282</v>
      </c>
      <c r="Z86">
        <f>+(I86-$F$913)/$F$914</f>
        <v>-0.65094006412636252</v>
      </c>
      <c r="AA86">
        <f>+AA83+Z86</f>
        <v>-7.8111207638539089</v>
      </c>
    </row>
    <row r="87" spans="1:27">
      <c r="A87" s="7">
        <v>1</v>
      </c>
      <c r="B87" s="90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13">
        <v>2.0722494012503666E-2</v>
      </c>
    </row>
    <row r="88" spans="1:27">
      <c r="A88" s="7">
        <v>17</v>
      </c>
      <c r="B88" s="90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13">
        <v>1.809359349514602E-2</v>
      </c>
    </row>
    <row r="89" spans="1:27">
      <c r="A89" s="7">
        <v>18</v>
      </c>
      <c r="B89" s="90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13">
        <v>1.8994084637978512E-2</v>
      </c>
      <c r="I89" s="50">
        <f>AVERAGE(F87:F89)</f>
        <v>3.8102926952233851</v>
      </c>
      <c r="J89" s="50">
        <f>AVERAGE(G87:G89)</f>
        <v>1.9270057381876066E-2</v>
      </c>
      <c r="L89">
        <f>+J89/I89</f>
        <v>5.0573693212684605E-3</v>
      </c>
      <c r="M89">
        <f>+(L89-$L$913)/$L$914</f>
        <v>-0.56175811316788715</v>
      </c>
      <c r="N89">
        <f>+N86+M89</f>
        <v>-9.6119204704071688</v>
      </c>
      <c r="Z89">
        <f>+(I89-$F$913)/$F$914</f>
        <v>-0.4395008317384026</v>
      </c>
      <c r="AA89">
        <f>+AA86+Z89</f>
        <v>-8.2506215955923121</v>
      </c>
    </row>
    <row r="90" spans="1:27">
      <c r="A90" s="7">
        <v>1</v>
      </c>
      <c r="B90" s="86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13">
        <v>1.6105928070757045E-2</v>
      </c>
    </row>
    <row r="91" spans="1:27">
      <c r="A91" s="7">
        <v>17</v>
      </c>
      <c r="B91" s="86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13">
        <v>2.1514077937907432E-2</v>
      </c>
    </row>
    <row r="92" spans="1:27">
      <c r="A92" s="7">
        <v>18</v>
      </c>
      <c r="B92" s="86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13">
        <v>2.1769986107948721E-2</v>
      </c>
      <c r="I92" s="50">
        <f>AVERAGE(F90:F92)</f>
        <v>3.0087810350962401</v>
      </c>
      <c r="J92" s="50">
        <f>AVERAGE(G90:G92)</f>
        <v>1.9796664038871065E-2</v>
      </c>
      <c r="L92">
        <f>+J92/I92</f>
        <v>6.5796293608444125E-3</v>
      </c>
      <c r="M92">
        <f>+(L92-$L$913)/$L$914</f>
        <v>-0.49733192119763808</v>
      </c>
      <c r="N92">
        <f>+N89+M92</f>
        <v>-10.109252391604807</v>
      </c>
      <c r="Z92">
        <f>+(I92-$F$913)/$F$914</f>
        <v>-0.62407850404036846</v>
      </c>
      <c r="AA92">
        <f>+AA89+Z92</f>
        <v>-8.8747000996326797</v>
      </c>
    </row>
    <row r="93" spans="1:27">
      <c r="A93" s="7">
        <v>1</v>
      </c>
      <c r="B93" s="86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13">
        <v>2.4076675769377377E-2</v>
      </c>
    </row>
    <row r="94" spans="1:27">
      <c r="A94" s="7">
        <v>17</v>
      </c>
      <c r="B94" s="86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13">
        <v>2.7247170646775076E-2</v>
      </c>
    </row>
    <row r="95" spans="1:27">
      <c r="A95" s="7">
        <v>18</v>
      </c>
      <c r="B95" s="86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13">
        <v>2.4773284479232296E-2</v>
      </c>
      <c r="I95" s="50">
        <f>AVERAGE(F93:F95)</f>
        <v>2.5730582982118841</v>
      </c>
      <c r="J95" s="50">
        <f>AVERAGE(G93:G95)</f>
        <v>2.5365710298461585E-2</v>
      </c>
      <c r="L95">
        <f>+J95/I95</f>
        <v>9.8581949410509583E-3</v>
      </c>
      <c r="M95">
        <f>+(L95-$L$913)/$L$914</f>
        <v>-0.35857409404198504</v>
      </c>
      <c r="N95">
        <f>+N92+M95</f>
        <v>-10.467826485646793</v>
      </c>
      <c r="Z95">
        <f>+(I95-$F$913)/$F$914</f>
        <v>-0.72441976237015804</v>
      </c>
      <c r="AA95">
        <f>+AA92+Z95</f>
        <v>-9.5991198620028371</v>
      </c>
    </row>
    <row r="96" spans="1:27">
      <c r="A96" s="7">
        <v>1</v>
      </c>
      <c r="B96" s="86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26"/>
    </row>
    <row r="97" spans="1:27">
      <c r="A97" s="7">
        <v>17</v>
      </c>
      <c r="B97" s="86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26"/>
    </row>
    <row r="98" spans="1:27">
      <c r="A98" s="7">
        <v>18</v>
      </c>
      <c r="B98" s="86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26"/>
      <c r="I98" s="50">
        <f>AVERAGE(F96:F98)</f>
        <v>4.6564320563864543</v>
      </c>
      <c r="J98" s="50" t="e">
        <f>AVERAGE(G96:G98)</f>
        <v>#DIV/0!</v>
      </c>
      <c r="M98">
        <f>+(L98-$L$913)/$L$914</f>
        <v>-0.77579976064308032</v>
      </c>
      <c r="Z98">
        <f>+(I98-$F$913)/$F$914</f>
        <v>-0.24464598246300101</v>
      </c>
      <c r="AA98">
        <f>+AA95+Z98</f>
        <v>-9.8437658444658389</v>
      </c>
    </row>
    <row r="99" spans="1:27">
      <c r="A99" s="7">
        <v>1</v>
      </c>
      <c r="B99" s="86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26"/>
    </row>
    <row r="100" spans="1:27">
      <c r="A100" s="7">
        <v>17</v>
      </c>
      <c r="B100" s="86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26"/>
    </row>
    <row r="101" spans="1:27">
      <c r="A101" s="7">
        <v>18</v>
      </c>
      <c r="B101" s="86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26"/>
      <c r="I101" s="50">
        <f>AVERAGE(F99:F101)</f>
        <v>8.6267009313882834</v>
      </c>
      <c r="J101" s="50" t="e">
        <f>AVERAGE(G99:G101)</f>
        <v>#DIV/0!</v>
      </c>
      <c r="M101">
        <f>+(L101-$L$913)/$L$914</f>
        <v>-0.77579976064308032</v>
      </c>
      <c r="Z101">
        <f>+(I101-$F$913)/$F$914</f>
        <v>0.66965511110378939</v>
      </c>
      <c r="AA101">
        <f>+AA98+Z101</f>
        <v>-9.1741107333620491</v>
      </c>
    </row>
    <row r="102" spans="1:27">
      <c r="A102" s="7">
        <v>1</v>
      </c>
      <c r="B102" s="86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26"/>
    </row>
    <row r="103" spans="1:27">
      <c r="A103" s="7">
        <v>17</v>
      </c>
      <c r="B103" s="86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26"/>
    </row>
    <row r="104" spans="1:27">
      <c r="A104" s="7">
        <v>18</v>
      </c>
      <c r="B104" s="86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26"/>
      <c r="I104" s="50">
        <f>AVERAGE(F102:F104)</f>
        <v>5.80724571678671</v>
      </c>
      <c r="J104" s="50" t="e">
        <f>AVERAGE(G102:G104)</f>
        <v>#DIV/0!</v>
      </c>
      <c r="M104">
        <f>+(L104-$L$913)/$L$914</f>
        <v>-0.77579976064308032</v>
      </c>
      <c r="Z104">
        <f>+(I104-$F$913)/$F$914</f>
        <v>2.0371380673411262E-2</v>
      </c>
      <c r="AA104">
        <f>+AA101+Z104</f>
        <v>-9.1537393526886373</v>
      </c>
    </row>
    <row r="105" spans="1:27">
      <c r="A105" s="7">
        <v>1</v>
      </c>
      <c r="B105" s="86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26"/>
    </row>
    <row r="106" spans="1:27">
      <c r="A106" s="7">
        <v>17</v>
      </c>
      <c r="B106" s="86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26"/>
    </row>
    <row r="107" spans="1:27">
      <c r="A107" s="7">
        <v>18</v>
      </c>
      <c r="B107" s="86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26"/>
      <c r="I107" s="50">
        <f>AVERAGE(F105:F107)</f>
        <v>10.532906639870701</v>
      </c>
      <c r="J107" s="50" t="e">
        <f>AVERAGE(G105:G107)</f>
        <v>#DIV/0!</v>
      </c>
      <c r="M107">
        <f>+(L107-$L$913)/$L$914</f>
        <v>-0.77579976064308032</v>
      </c>
      <c r="Z107">
        <f>+(I107-$F$913)/$F$914</f>
        <v>1.1086294019389233</v>
      </c>
      <c r="AA107">
        <f>+AA104+Z107</f>
        <v>-8.0451099507497137</v>
      </c>
    </row>
    <row r="108" spans="1:27">
      <c r="A108" s="7">
        <v>1</v>
      </c>
      <c r="B108" s="86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26"/>
    </row>
    <row r="109" spans="1:27">
      <c r="A109" s="7">
        <v>17</v>
      </c>
      <c r="B109" s="86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26"/>
    </row>
    <row r="110" spans="1:27">
      <c r="A110" s="7">
        <v>18</v>
      </c>
      <c r="B110" s="86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26"/>
      <c r="I110" s="50">
        <f>AVERAGE(F108:F110)</f>
        <v>4.6599635827797288</v>
      </c>
      <c r="J110" s="50" t="e">
        <f>AVERAGE(G108:G110)</f>
        <v>#DIV/0!</v>
      </c>
      <c r="M110">
        <f>+(L110-$L$913)/$L$914</f>
        <v>-0.77579976064308032</v>
      </c>
      <c r="Z110">
        <f>+(I110-$F$913)/$F$914</f>
        <v>-0.24383271803558126</v>
      </c>
      <c r="AA110">
        <f>+AA107+Z110</f>
        <v>-8.2889426687852943</v>
      </c>
    </row>
    <row r="111" spans="1:27">
      <c r="A111" s="7">
        <v>1</v>
      </c>
      <c r="B111" s="86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3.4210125811342258E-2</v>
      </c>
    </row>
    <row r="112" spans="1:27">
      <c r="A112" s="7">
        <v>17</v>
      </c>
      <c r="B112" s="86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3.8598187329351122E-2</v>
      </c>
    </row>
    <row r="113" spans="1:27">
      <c r="A113" s="7">
        <v>18</v>
      </c>
      <c r="B113" s="86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4.2752515306874427E-2</v>
      </c>
      <c r="I113" s="50">
        <f>AVERAGE(F111:F113)</f>
        <v>3.6195663869928301</v>
      </c>
      <c r="J113" s="50">
        <f>AVERAGE(G111:G113)</f>
        <v>3.8520276149189271E-2</v>
      </c>
      <c r="L113">
        <f>+J113/I113</f>
        <v>1.0642235016772901E-2</v>
      </c>
      <c r="M113">
        <f>+(L113-$L$913)/$L$914</f>
        <v>-0.32539138207583407</v>
      </c>
      <c r="N113">
        <f>+N95+M113</f>
        <v>-10.793217867722626</v>
      </c>
      <c r="Z113">
        <f>+(I113-$F$913)/$F$914</f>
        <v>-0.48342261076075477</v>
      </c>
      <c r="AA113">
        <f>+AA110+Z113</f>
        <v>-8.7723652795460492</v>
      </c>
    </row>
    <row r="114" spans="1:27">
      <c r="A114" s="7">
        <v>1</v>
      </c>
      <c r="B114" s="86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2.7631836011564093E-2</v>
      </c>
    </row>
    <row r="115" spans="1:27">
      <c r="A115" s="7">
        <v>17</v>
      </c>
      <c r="B115" s="86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1.098171896672461E-2</v>
      </c>
    </row>
    <row r="116" spans="1:27">
      <c r="A116" s="7">
        <v>18</v>
      </c>
      <c r="B116" s="86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6.2182062227179166E-3</v>
      </c>
      <c r="I116" s="50">
        <f>AVERAGE(F114:F116)</f>
        <v>1.3662578893211534</v>
      </c>
      <c r="J116" s="50">
        <f>AVERAGE(G114:G116)</f>
        <v>1.494392040033554E-2</v>
      </c>
      <c r="L116">
        <f>+J116/I116</f>
        <v>1.093784747165168E-2</v>
      </c>
      <c r="M116">
        <f>+(L116-$L$913)/$L$914</f>
        <v>-0.31288025764789329</v>
      </c>
      <c r="N116">
        <f>+N113+M116</f>
        <v>-11.10609812537052</v>
      </c>
      <c r="Z116">
        <f>+(I116-$F$913)/$F$914</f>
        <v>-1.0023301428264781</v>
      </c>
      <c r="AA116">
        <f>+AA113+Z116</f>
        <v>-9.7746954223725275</v>
      </c>
    </row>
    <row r="117" spans="1:27">
      <c r="A117" s="7">
        <v>1</v>
      </c>
      <c r="B117" s="86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1.7445145268340127E-2</v>
      </c>
    </row>
    <row r="118" spans="1:27">
      <c r="A118" s="7">
        <v>17</v>
      </c>
      <c r="B118" s="86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8.2621725366448621E-3</v>
      </c>
    </row>
    <row r="119" spans="1:27">
      <c r="A119" s="7">
        <v>18</v>
      </c>
      <c r="B119" s="86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8.1457191968927825E-3</v>
      </c>
      <c r="I119" s="50">
        <f>AVERAGE(F117:F119)</f>
        <v>3.3937939526405896</v>
      </c>
      <c r="J119" s="50">
        <f>AVERAGE(G117:G119)</f>
        <v>1.128434566729259E-2</v>
      </c>
      <c r="L119">
        <f>+J119/I119</f>
        <v>3.3249943351783763E-3</v>
      </c>
      <c r="M119">
        <f>+(L119-$L$913)/$L$914</f>
        <v>-0.63507694209108989</v>
      </c>
      <c r="N119">
        <f>+N116+M119</f>
        <v>-11.74117506746161</v>
      </c>
      <c r="Z119">
        <f>+(I119-$F$913)/$F$914</f>
        <v>-0.53541505513277354</v>
      </c>
      <c r="AA119">
        <f>+AA116+Z119</f>
        <v>-10.310110477505301</v>
      </c>
    </row>
    <row r="120" spans="1:27">
      <c r="A120" s="15">
        <v>1</v>
      </c>
      <c r="B120" s="92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4.7880341769359742E-2</v>
      </c>
    </row>
    <row r="121" spans="1:27">
      <c r="A121" s="7">
        <v>17</v>
      </c>
      <c r="B121" s="86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1.7476919642323344E-2</v>
      </c>
    </row>
    <row r="122" spans="1:27">
      <c r="A122" s="7">
        <v>18</v>
      </c>
      <c r="B122" s="86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2.8697034885507223E-2</v>
      </c>
      <c r="I122" s="50">
        <f>AVERAGE(F120:F122)</f>
        <v>11.371850966102457</v>
      </c>
      <c r="J122" s="50">
        <f>AVERAGE(G120:G122)</f>
        <v>3.1351432099063437E-2</v>
      </c>
      <c r="L122">
        <f>+J122/I122</f>
        <v>2.7569330791017833E-3</v>
      </c>
      <c r="M122">
        <f>+(L122-$L$913)/$L$914</f>
        <v>-0.6591188420184152</v>
      </c>
      <c r="N122">
        <f>+N119+M122</f>
        <v>-12.400293909480025</v>
      </c>
      <c r="Z122">
        <f>+(I122-$F$913)/$F$914</f>
        <v>1.3018273285944564</v>
      </c>
      <c r="AA122">
        <f>+AA119+Z122</f>
        <v>-9.008283148910845</v>
      </c>
    </row>
    <row r="123" spans="1:27">
      <c r="A123" s="7">
        <v>1</v>
      </c>
      <c r="B123" s="86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6.05200292066971E-2</v>
      </c>
    </row>
    <row r="124" spans="1:27">
      <c r="A124" s="7">
        <v>17</v>
      </c>
      <c r="B124" s="86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6.4811223523123559E-2</v>
      </c>
    </row>
    <row r="125" spans="1:27">
      <c r="A125" s="7">
        <v>18</v>
      </c>
      <c r="B125" s="86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0.12799104568608827</v>
      </c>
      <c r="I125" s="50">
        <f>AVERAGE(F123:F125)</f>
        <v>7.3097050707579028</v>
      </c>
      <c r="J125" s="50">
        <f>AVERAGE(G123:G125)</f>
        <v>8.4440766138636311E-2</v>
      </c>
      <c r="L125">
        <f>+J125/I125</f>
        <v>1.1551870468267897E-2</v>
      </c>
      <c r="M125">
        <f>+(L125-$L$913)/$L$914</f>
        <v>-0.28689313164728975</v>
      </c>
      <c r="N125">
        <f>+N122+M125</f>
        <v>-12.687187041127315</v>
      </c>
      <c r="Z125">
        <f>+(I125-$F$913)/$F$914</f>
        <v>0.36636815661591771</v>
      </c>
      <c r="AA125">
        <f>+AA122+Z125</f>
        <v>-8.641914992294927</v>
      </c>
    </row>
    <row r="126" spans="1:27">
      <c r="A126" s="7">
        <v>1</v>
      </c>
      <c r="B126" s="86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3.2707897722215377E-2</v>
      </c>
    </row>
    <row r="127" spans="1:27">
      <c r="A127" s="7">
        <v>17</v>
      </c>
      <c r="B127" s="86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1.7511192095921529E-2</v>
      </c>
    </row>
    <row r="128" spans="1:27">
      <c r="A128" s="7">
        <v>18</v>
      </c>
      <c r="B128" s="86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2.2825069604538527E-2</v>
      </c>
      <c r="I128" s="50">
        <f>AVERAGE(F126:F128)</f>
        <v>7.0365946722071486</v>
      </c>
      <c r="J128" s="50">
        <f>AVERAGE(G126:G128)</f>
        <v>2.434805314089181E-2</v>
      </c>
      <c r="L128">
        <f>+J128/I128</f>
        <v>3.4602040155958884E-3</v>
      </c>
      <c r="M128">
        <f>+(L128-$L$913)/$L$914</f>
        <v>-0.62935450006387805</v>
      </c>
      <c r="N128">
        <f>+N125+M128</f>
        <v>-13.316541541191192</v>
      </c>
      <c r="Z128">
        <f>+(I128-$F$913)/$F$914</f>
        <v>0.30347439704420576</v>
      </c>
      <c r="AA128">
        <f>+AA125+Z128</f>
        <v>-8.3384405952507219</v>
      </c>
    </row>
    <row r="129" spans="1:27">
      <c r="A129" s="7">
        <v>1</v>
      </c>
      <c r="B129" s="86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4.6541582357934735E-2</v>
      </c>
    </row>
    <row r="130" spans="1:27">
      <c r="A130" s="7">
        <v>17</v>
      </c>
      <c r="B130" s="86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4.0855856468416017E-2</v>
      </c>
    </row>
    <row r="131" spans="1:27">
      <c r="A131" s="7">
        <v>18</v>
      </c>
      <c r="B131" s="86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6.1826315308258162E-2</v>
      </c>
      <c r="I131" s="50">
        <f>AVERAGE(F129:F131)</f>
        <v>10.135393671482817</v>
      </c>
      <c r="J131" s="50">
        <f>AVERAGE(G129:G131)</f>
        <v>4.9741251378202976E-2</v>
      </c>
      <c r="L131">
        <f>+J131/I131</f>
        <v>4.9076782797451805E-3</v>
      </c>
      <c r="M131">
        <f>+(L131-$L$913)/$L$914</f>
        <v>-0.5680934458486897</v>
      </c>
      <c r="N131">
        <f>+N128+M131</f>
        <v>-13.884634987039881</v>
      </c>
      <c r="Z131">
        <f>+(I131-$F$913)/$F$914</f>
        <v>1.0170873544991623</v>
      </c>
      <c r="AA131">
        <f>+AA128+Z131</f>
        <v>-7.3213532407515594</v>
      </c>
    </row>
    <row r="132" spans="1:27">
      <c r="A132" s="7">
        <v>1</v>
      </c>
      <c r="B132" s="86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1.6773955876107079E-2</v>
      </c>
    </row>
    <row r="133" spans="1:27">
      <c r="A133" s="7">
        <v>17</v>
      </c>
      <c r="B133" s="86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1.1959565444067127E-2</v>
      </c>
    </row>
    <row r="134" spans="1:27">
      <c r="A134" s="7">
        <v>18</v>
      </c>
      <c r="B134" s="86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1.0347259159708785E-2</v>
      </c>
      <c r="I134" s="50">
        <f>AVERAGE(F132:F134)</f>
        <v>1.8926299759064262</v>
      </c>
      <c r="J134" s="50">
        <f>AVERAGE(G132:G134)</f>
        <v>1.3026926826627663E-2</v>
      </c>
      <c r="L134">
        <f>+J134/I134</f>
        <v>6.88297606635378E-3</v>
      </c>
      <c r="M134">
        <f>+(L134-$L$913)/$L$914</f>
        <v>-0.48449346221257988</v>
      </c>
      <c r="N134">
        <f>+N131+M134</f>
        <v>-14.369128449252461</v>
      </c>
      <c r="Z134">
        <f>+(I134-$F$913)/$F$914</f>
        <v>-0.88111352260759535</v>
      </c>
      <c r="AA134">
        <f>+AA131+Z134</f>
        <v>-8.2024667633591548</v>
      </c>
    </row>
    <row r="135" spans="1:27">
      <c r="A135" s="7">
        <v>1</v>
      </c>
      <c r="B135" s="86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4.7902777407395875E-2</v>
      </c>
    </row>
    <row r="136" spans="1:27">
      <c r="A136" s="7">
        <v>17</v>
      </c>
      <c r="B136" s="86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4.7396867117932777E-2</v>
      </c>
    </row>
    <row r="137" spans="1:27">
      <c r="A137" s="7">
        <v>18</v>
      </c>
      <c r="B137" s="86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5.415253881859701E-2</v>
      </c>
      <c r="I137" s="50">
        <f>AVERAGE(F135:F137)</f>
        <v>4.2917729765473558</v>
      </c>
      <c r="J137" s="50">
        <f>AVERAGE(G135:G137)</f>
        <v>4.9817394447975227E-2</v>
      </c>
      <c r="L137">
        <f>+J137/I137</f>
        <v>1.1607649034607675E-2</v>
      </c>
      <c r="M137">
        <f>+(L137-$L$913)/$L$914</f>
        <v>-0.28453243076215529</v>
      </c>
      <c r="N137">
        <f>+N134+M137</f>
        <v>-14.653660880014616</v>
      </c>
      <c r="Z137">
        <f>+(I137-$F$913)/$F$914</f>
        <v>-0.32862220824841304</v>
      </c>
      <c r="AA137">
        <f>+AA134+Z137</f>
        <v>-8.5310889716075682</v>
      </c>
    </row>
    <row r="138" spans="1:27">
      <c r="A138" s="7">
        <v>1</v>
      </c>
      <c r="B138" s="86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0.78246833496506984</v>
      </c>
    </row>
    <row r="139" spans="1:27">
      <c r="A139" s="7">
        <v>17</v>
      </c>
      <c r="B139" s="86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0.14978463333407904</v>
      </c>
    </row>
    <row r="140" spans="1:27">
      <c r="A140" s="7">
        <v>18</v>
      </c>
      <c r="B140" s="86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0.91735553259209757</v>
      </c>
      <c r="I140" s="50">
        <f>AVERAGE(F138:F140)</f>
        <v>9.6287058091933027</v>
      </c>
      <c r="J140" s="50">
        <f>AVERAGE(G138:G140)</f>
        <v>0.61653616696374891</v>
      </c>
      <c r="L140">
        <f>+J140/I140</f>
        <v>6.403105247800718E-2</v>
      </c>
      <c r="M140">
        <f>+(L140-$L$913)/$L$914</f>
        <v>1.9341688201220912</v>
      </c>
      <c r="N140">
        <f>+N137+M140</f>
        <v>-12.719492059892525</v>
      </c>
      <c r="Z140">
        <f>+(I140-$F$913)/$F$914</f>
        <v>0.90040375417546681</v>
      </c>
      <c r="AA140">
        <f>+AA137+Z140</f>
        <v>-7.6306852174321014</v>
      </c>
    </row>
    <row r="141" spans="1:27">
      <c r="A141" s="7">
        <v>1</v>
      </c>
      <c r="B141" s="86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0.45236609946757922</v>
      </c>
    </row>
    <row r="142" spans="1:27">
      <c r="A142" s="7">
        <v>17</v>
      </c>
      <c r="B142" s="86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1.043523264787384</v>
      </c>
    </row>
    <row r="143" spans="1:27">
      <c r="A143" s="7">
        <v>18</v>
      </c>
      <c r="B143" s="86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1.3459960061176393</v>
      </c>
      <c r="I143" s="50">
        <f>AVERAGE(F141:F143)</f>
        <v>15.816355382808114</v>
      </c>
      <c r="J143" s="50">
        <f>AVERAGE(G141:G143)</f>
        <v>0.94729512345753408</v>
      </c>
      <c r="L143">
        <f>+J143/I143</f>
        <v>5.989338887056208E-2</v>
      </c>
      <c r="M143">
        <f>+(L143-$L$913)/$L$914</f>
        <v>1.7590516240116099</v>
      </c>
      <c r="N143">
        <f>+N140+M143</f>
        <v>-10.960440435880916</v>
      </c>
      <c r="Z143">
        <f>+(I143-$F$913)/$F$914</f>
        <v>2.325338676690381</v>
      </c>
      <c r="AA143">
        <f>+AA140+Z143</f>
        <v>-5.30534654074172</v>
      </c>
    </row>
    <row r="144" spans="1:27">
      <c r="A144" s="7">
        <v>1</v>
      </c>
      <c r="B144" s="86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9.8761824797969522E-2</v>
      </c>
    </row>
    <row r="145" spans="1:27">
      <c r="A145" s="7">
        <v>17</v>
      </c>
      <c r="B145" s="86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0.18709622377790835</v>
      </c>
    </row>
    <row r="146" spans="1:27">
      <c r="A146" s="7">
        <v>18</v>
      </c>
      <c r="B146" s="86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0.32439882814873988</v>
      </c>
      <c r="I146" s="50">
        <f>AVERAGE(F144:F146)</f>
        <v>3.5867332762892858</v>
      </c>
      <c r="J146" s="50">
        <f>AVERAGE(G144:G146)</f>
        <v>0.20341895890820591</v>
      </c>
      <c r="L146">
        <f>+J146/I146</f>
        <v>5.6714269849096881E-2</v>
      </c>
      <c r="M146">
        <f>+(L146-$L$913)/$L$914</f>
        <v>1.6245026461443053</v>
      </c>
      <c r="N146">
        <f>+N143+M146</f>
        <v>-9.3359377897366098</v>
      </c>
      <c r="Z146">
        <f>+(I146-$F$913)/$F$914</f>
        <v>-0.49098364754858093</v>
      </c>
      <c r="AA146">
        <f>+AA143+Z146</f>
        <v>-5.7963301882903009</v>
      </c>
    </row>
    <row r="147" spans="1:27">
      <c r="A147" s="7">
        <v>1</v>
      </c>
      <c r="B147" s="86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7.3152826693757736E-2</v>
      </c>
    </row>
    <row r="148" spans="1:27">
      <c r="A148" s="7">
        <v>17</v>
      </c>
      <c r="B148" s="86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7.2804110334706212E-2</v>
      </c>
    </row>
    <row r="149" spans="1:27">
      <c r="A149" s="7">
        <v>18</v>
      </c>
      <c r="B149" s="86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6.7782295375090701E-2</v>
      </c>
      <c r="I149" s="50">
        <f>AVERAGE(F147:F149)</f>
        <v>5.1791666666666671</v>
      </c>
      <c r="J149" s="50">
        <f>AVERAGE(G147:G149)</f>
        <v>7.1246410801184892E-2</v>
      </c>
      <c r="L149">
        <f>+J149/I149</f>
        <v>1.3756346413744467E-2</v>
      </c>
      <c r="M149">
        <f>+(L149-$L$913)/$L$914</f>
        <v>-0.19359370397747258</v>
      </c>
      <c r="N149">
        <f>+N146+M149</f>
        <v>-9.5295314937140816</v>
      </c>
      <c r="Z149">
        <f>+(I149-$F$913)/$F$914</f>
        <v>-0.12426702555313973</v>
      </c>
      <c r="AA149">
        <f>+AA146+Z149</f>
        <v>-5.9205972138434406</v>
      </c>
    </row>
    <row r="150" spans="1:27">
      <c r="A150" s="7">
        <v>1</v>
      </c>
      <c r="B150" s="86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3.4889958469863286E-2</v>
      </c>
    </row>
    <row r="151" spans="1:27">
      <c r="A151" s="7">
        <v>17</v>
      </c>
      <c r="B151" s="86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3.3417182924667249E-2</v>
      </c>
    </row>
    <row r="152" spans="1:27">
      <c r="A152" s="7">
        <v>18</v>
      </c>
      <c r="B152" s="86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3.3058412046403418E-2</v>
      </c>
      <c r="I152" s="50">
        <f>AVERAGE(F150:F152)</f>
        <v>3.7247000000000003</v>
      </c>
      <c r="J152" s="50">
        <f>AVERAGE(G150:G152)</f>
        <v>3.3788517813644649E-2</v>
      </c>
      <c r="L152">
        <f>+J152/I152</f>
        <v>9.0714736256999606E-3</v>
      </c>
      <c r="M152">
        <f>+(L152-$L$913)/$L$914</f>
        <v>-0.39187028337374291</v>
      </c>
      <c r="N152">
        <f>+N149+M152</f>
        <v>-9.9214017770878247</v>
      </c>
      <c r="Z152">
        <f>+(I152-$F$913)/$F$914</f>
        <v>-0.45921171211146894</v>
      </c>
      <c r="AA152">
        <f>+AA149+Z152</f>
        <v>-6.3798089259549098</v>
      </c>
    </row>
    <row r="153" spans="1:27">
      <c r="A153" s="7">
        <v>1</v>
      </c>
      <c r="B153" s="86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2.1929073791060669E-2</v>
      </c>
    </row>
    <row r="154" spans="1:27">
      <c r="A154" s="7">
        <v>17</v>
      </c>
      <c r="B154" s="86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2.7123343798999527E-2</v>
      </c>
    </row>
    <row r="155" spans="1:27">
      <c r="A155" s="7">
        <v>18</v>
      </c>
      <c r="B155" s="86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5.3230516165298641E-2</v>
      </c>
      <c r="I155" s="50">
        <f>AVERAGE(F153:F155)</f>
        <v>4.0904999999999996</v>
      </c>
      <c r="J155" s="50">
        <f>AVERAGE(G153:G155)</f>
        <v>3.4094311251786281E-2</v>
      </c>
      <c r="L155">
        <f>+J155/I155</f>
        <v>8.3349984725061207E-3</v>
      </c>
      <c r="M155">
        <f>+(L155-$L$913)/$L$914</f>
        <v>-0.42303991823731213</v>
      </c>
      <c r="N155">
        <f>+N152+M155</f>
        <v>-10.344441695325138</v>
      </c>
      <c r="Z155">
        <f>+(I155-$F$913)/$F$914</f>
        <v>-0.37497274730670438</v>
      </c>
      <c r="AA155">
        <f>+AA152+Z155</f>
        <v>-6.7547816732616139</v>
      </c>
    </row>
    <row r="156" spans="1:27">
      <c r="A156" s="15">
        <v>1</v>
      </c>
      <c r="B156" s="92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1.7139663584445856E-2</v>
      </c>
    </row>
    <row r="157" spans="1:27">
      <c r="A157" s="7">
        <v>17</v>
      </c>
      <c r="B157" s="86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9.9524948578637289E-3</v>
      </c>
    </row>
    <row r="158" spans="1:27">
      <c r="A158" s="7">
        <v>18</v>
      </c>
      <c r="B158" s="86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1.0501561551751915E-2</v>
      </c>
      <c r="I158" s="50">
        <f>AVERAGE(F156:F158)</f>
        <v>4.5131666666666668</v>
      </c>
      <c r="J158" s="50">
        <f>AVERAGE(G156:G158)</f>
        <v>1.2531239998020499E-2</v>
      </c>
      <c r="L158">
        <f>+J158/I158</f>
        <v>2.7765958856724028E-3</v>
      </c>
      <c r="M158">
        <f>+(L158-$L$913)/$L$914</f>
        <v>-0.65828665847693202</v>
      </c>
      <c r="N158">
        <f>+N155+M158</f>
        <v>-11.00272835380207</v>
      </c>
      <c r="Z158">
        <f>+(I158-$F$913)/$F$914</f>
        <v>-0.27763813151260758</v>
      </c>
      <c r="AA158">
        <f>+AA155+Z158</f>
        <v>-7.0324198047742215</v>
      </c>
    </row>
    <row r="159" spans="1:27">
      <c r="A159" s="7">
        <v>1</v>
      </c>
      <c r="B159" s="86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1.9321537053466658E-2</v>
      </c>
    </row>
    <row r="160" spans="1:27">
      <c r="A160" s="7">
        <v>17</v>
      </c>
      <c r="B160" s="86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1.818081686237473E-2</v>
      </c>
    </row>
    <row r="161" spans="1:27">
      <c r="A161" s="7">
        <v>18</v>
      </c>
      <c r="B161" s="86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4.4113944243573969E-2</v>
      </c>
      <c r="I161" s="50">
        <f>AVERAGE(F159:F161)</f>
        <v>8.2728333333333328</v>
      </c>
      <c r="J161" s="50">
        <f>AVERAGE(G159:G161)</f>
        <v>2.720543271980512E-2</v>
      </c>
      <c r="L161">
        <f>+J161/I161</f>
        <v>3.2885266297082967E-3</v>
      </c>
      <c r="M161">
        <f>+(L161-$L$913)/$L$914</f>
        <v>-0.63662035473561052</v>
      </c>
      <c r="N161">
        <f>+N158+M161</f>
        <v>-11.63934870853768</v>
      </c>
      <c r="Z161">
        <f>+(I161-$F$913)/$F$914</f>
        <v>0.58816402270002344</v>
      </c>
      <c r="AA161">
        <f>+AA158+Z161</f>
        <v>-6.4442557820741984</v>
      </c>
    </row>
    <row r="162" spans="1:27">
      <c r="A162" s="7">
        <v>1</v>
      </c>
      <c r="B162" s="86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3.3264147973075635E-2</v>
      </c>
    </row>
    <row r="163" spans="1:27">
      <c r="A163" s="7">
        <v>17</v>
      </c>
      <c r="B163" s="86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2.6659008288636592E-2</v>
      </c>
    </row>
    <row r="164" spans="1:27">
      <c r="A164" s="7">
        <v>18</v>
      </c>
      <c r="B164" s="86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2.3946599701365888E-2</v>
      </c>
      <c r="I164" s="50">
        <f>AVERAGE(F162:F164)</f>
        <v>6.9575666666666676</v>
      </c>
      <c r="J164" s="50">
        <f>AVERAGE(G162:G164)</f>
        <v>2.7956585321026035E-2</v>
      </c>
      <c r="L164">
        <f>+J164/I164</f>
        <v>4.0181555794448296E-3</v>
      </c>
      <c r="M164">
        <f>+(L164-$L$913)/$L$914</f>
        <v>-0.60574046985347718</v>
      </c>
      <c r="N164">
        <f>+N161+M164</f>
        <v>-12.245089178391158</v>
      </c>
      <c r="Z164">
        <f>+(I164-$F$913)/$F$914</f>
        <v>0.28527527900889865</v>
      </c>
      <c r="AA164">
        <f>+AA161+Z164</f>
        <v>-6.1589805030652993</v>
      </c>
    </row>
    <row r="165" spans="1:27">
      <c r="A165" s="7">
        <v>1</v>
      </c>
      <c r="B165" s="86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5.1168402974852978E-2</v>
      </c>
    </row>
    <row r="166" spans="1:27">
      <c r="A166" s="7">
        <v>17</v>
      </c>
      <c r="B166" s="86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2.8473401545721561E-2</v>
      </c>
    </row>
    <row r="167" spans="1:27">
      <c r="A167" s="7">
        <v>18</v>
      </c>
      <c r="B167" s="86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4.7572593338341712E-2</v>
      </c>
      <c r="I167" s="50">
        <f>AVERAGE(F165:F167)</f>
        <v>5.1312333333333333</v>
      </c>
      <c r="J167" s="50">
        <f>AVERAGE(G165:G167)</f>
        <v>4.2404799286305417E-2</v>
      </c>
      <c r="L167">
        <f>+J167/I167</f>
        <v>8.2640559357994667E-3</v>
      </c>
      <c r="M167">
        <f>+(L167-$L$913)/$L$914</f>
        <v>-0.42604239965960089</v>
      </c>
      <c r="N167">
        <f>+N164+M167</f>
        <v>-12.671131578050758</v>
      </c>
      <c r="Z167">
        <f>+(I167-$F$913)/$F$914</f>
        <v>-0.13530544649256498</v>
      </c>
      <c r="AA167">
        <f>+AA164+Z167</f>
        <v>-6.2942859495578647</v>
      </c>
    </row>
    <row r="168" spans="1:27">
      <c r="A168" s="7">
        <v>1</v>
      </c>
      <c r="B168" s="86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1.7751584517868832E-2</v>
      </c>
    </row>
    <row r="169" spans="1:27">
      <c r="A169" s="7">
        <v>17</v>
      </c>
      <c r="B169" s="86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1.6548487455140731E-2</v>
      </c>
    </row>
    <row r="170" spans="1:27">
      <c r="A170" s="7">
        <v>18</v>
      </c>
      <c r="B170" s="86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3.0920181617472998E-2</v>
      </c>
      <c r="I170" s="50">
        <f>AVERAGE(F168:F170)</f>
        <v>1.6521999999999999</v>
      </c>
      <c r="J170" s="50">
        <f>AVERAGE(G168:G170)</f>
        <v>2.1740084530160853E-2</v>
      </c>
      <c r="L170">
        <f>+J170/I170</f>
        <v>1.3158264453553356E-2</v>
      </c>
      <c r="M170">
        <f>+(L170-$L$913)/$L$914</f>
        <v>-0.21890616188837525</v>
      </c>
      <c r="N170">
        <f>+N167+M170</f>
        <v>-12.890037739939133</v>
      </c>
      <c r="Z170">
        <f>+(I170-$F$913)/$F$914</f>
        <v>-0.93648140745831132</v>
      </c>
      <c r="AA170">
        <f>+AA167+Z170</f>
        <v>-7.2307673570161759</v>
      </c>
    </row>
    <row r="171" spans="1:27">
      <c r="A171" s="7">
        <v>1</v>
      </c>
      <c r="B171" s="86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1.7314011284883875</v>
      </c>
    </row>
    <row r="172" spans="1:27">
      <c r="A172" s="7">
        <v>17</v>
      </c>
      <c r="B172" s="86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1.529415505099661</v>
      </c>
    </row>
    <row r="173" spans="1:27">
      <c r="A173" s="7">
        <v>18</v>
      </c>
      <c r="B173" s="86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1.2337489508164765</v>
      </c>
      <c r="I173" s="50">
        <f>AVERAGE(F171:F173)</f>
        <v>14.197066666666666</v>
      </c>
      <c r="J173" s="50">
        <f>AVERAGE(G171:G173)</f>
        <v>1.4981885281348415</v>
      </c>
      <c r="L173">
        <f>+J173/I173</f>
        <v>0.10552803359390026</v>
      </c>
      <c r="M173">
        <f>+(L173-$L$913)/$L$914</f>
        <v>3.6904341112369154</v>
      </c>
      <c r="N173">
        <f>+N170+M173</f>
        <v>-9.1996036287022172</v>
      </c>
      <c r="Z173">
        <f>+(I173-$F$913)/$F$914</f>
        <v>1.9524376237439838</v>
      </c>
      <c r="AA173">
        <f>+AA170+Z173</f>
        <v>-5.2783297332721926</v>
      </c>
    </row>
    <row r="174" spans="1:27">
      <c r="A174" s="7">
        <v>1</v>
      </c>
      <c r="B174" s="86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1.3332949233854376</v>
      </c>
    </row>
    <row r="175" spans="1:27">
      <c r="A175" s="7">
        <v>17</v>
      </c>
      <c r="B175" s="86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1.5186453666052768</v>
      </c>
    </row>
    <row r="176" spans="1:27">
      <c r="A176" s="7">
        <v>18</v>
      </c>
      <c r="B176" s="86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2.1206143029446376</v>
      </c>
      <c r="I176" s="50">
        <f>AVERAGE(F174:F176)</f>
        <v>19.763133333333332</v>
      </c>
      <c r="J176" s="50">
        <f>AVERAGE(G174:G176)</f>
        <v>1.6575181976451174</v>
      </c>
      <c r="L176">
        <f>+J176/I176</f>
        <v>8.3869200783535547E-2</v>
      </c>
      <c r="M176">
        <f>+(L176-$L$913)/$L$914</f>
        <v>2.7737733015103512</v>
      </c>
      <c r="N176">
        <f>+N173+M176</f>
        <v>-6.425830327191866</v>
      </c>
      <c r="Z176">
        <f>+(I176-$F$913)/$F$914</f>
        <v>3.2342301170034355</v>
      </c>
      <c r="AA176">
        <f>+AA173+Z176</f>
        <v>-2.044099616268757</v>
      </c>
    </row>
    <row r="177" spans="1:27">
      <c r="A177" s="7">
        <v>1</v>
      </c>
      <c r="B177" s="86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</row>
    <row r="178" spans="1:27">
      <c r="A178" s="7">
        <v>17</v>
      </c>
      <c r="B178" s="86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</row>
    <row r="179" spans="1:27">
      <c r="A179" s="7">
        <v>18</v>
      </c>
      <c r="B179" s="86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I179" s="50">
        <f>AVERAGE(F177:F179)</f>
        <v>8.697633333333334</v>
      </c>
      <c r="J179" s="50" t="e">
        <f>AVERAGE(G177:G179)</f>
        <v>#DIV/0!</v>
      </c>
      <c r="Z179">
        <f>+(I179-$F$913)/$F$914</f>
        <v>0.68598991731200853</v>
      </c>
      <c r="AA179">
        <f>+AA176+Z179</f>
        <v>-1.3581096989567485</v>
      </c>
    </row>
    <row r="180" spans="1:27">
      <c r="A180" s="7">
        <v>1</v>
      </c>
      <c r="B180" s="86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0.28192225064015186</v>
      </c>
    </row>
    <row r="181" spans="1:27">
      <c r="A181" s="7">
        <v>17</v>
      </c>
      <c r="B181" s="86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0.31586262300889834</v>
      </c>
    </row>
    <row r="182" spans="1:27">
      <c r="A182" s="7">
        <v>18</v>
      </c>
      <c r="B182" s="86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0.21566404201587061</v>
      </c>
      <c r="I182" s="50">
        <f>AVERAGE(F180:F182)</f>
        <v>9.2700999999999993</v>
      </c>
      <c r="J182" s="50">
        <f>AVERAGE(G180:G182)</f>
        <v>0.27114963855497359</v>
      </c>
      <c r="L182">
        <f>+J182/I182</f>
        <v>2.9249915163264001E-2</v>
      </c>
      <c r="M182">
        <f>+(L182-$L$913)/$L$914</f>
        <v>0.46213633465564868</v>
      </c>
      <c r="N182">
        <f>+N176+M182</f>
        <v>-5.9636939925362169</v>
      </c>
      <c r="Z182">
        <f>+(I182-$F$913)/$F$914</f>
        <v>0.81782151759969091</v>
      </c>
      <c r="AA182">
        <f>+AA179+Z182</f>
        <v>-0.54028818135705758</v>
      </c>
    </row>
    <row r="183" spans="1:27">
      <c r="A183" s="7">
        <v>1</v>
      </c>
      <c r="B183" s="86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0.11793478574782618</v>
      </c>
    </row>
    <row r="184" spans="1:27">
      <c r="A184" s="7">
        <v>17</v>
      </c>
      <c r="B184" s="86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0.12377559661840422</v>
      </c>
    </row>
    <row r="185" spans="1:27">
      <c r="A185" s="7">
        <v>18</v>
      </c>
      <c r="B185" s="86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9.5072222707622375E-2</v>
      </c>
      <c r="I185" s="50">
        <f>AVERAGE(F183:F185)</f>
        <v>9.2226800000000004</v>
      </c>
      <c r="J185" s="50">
        <f>AVERAGE(G183:G185)</f>
        <v>0.11226086835795092</v>
      </c>
      <c r="L185">
        <f>+J185/I185</f>
        <v>1.2172261030194143E-2</v>
      </c>
      <c r="M185">
        <f>+(L185-$L$913)/$L$914</f>
        <v>-0.26063651293559781</v>
      </c>
      <c r="N185">
        <f>+N182+M185</f>
        <v>-6.2243305054718148</v>
      </c>
      <c r="Z185">
        <f>+(I185-$F$913)/$F$914</f>
        <v>0.80690131062582027</v>
      </c>
      <c r="AA185">
        <f>+AA182+Z185</f>
        <v>0.26661312926876268</v>
      </c>
    </row>
    <row r="186" spans="1:27">
      <c r="A186" s="7">
        <v>1</v>
      </c>
      <c r="B186" s="86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2.4319080009713834E-2</v>
      </c>
    </row>
    <row r="187" spans="1:27">
      <c r="A187" s="7">
        <v>17</v>
      </c>
      <c r="B187" s="86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2.2728019694697097E-2</v>
      </c>
    </row>
    <row r="188" spans="1:27">
      <c r="A188" s="7">
        <v>18</v>
      </c>
      <c r="B188" s="86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4.2110162271842305E-2</v>
      </c>
      <c r="I188" s="50">
        <f>AVERAGE(F186:F188)</f>
        <v>7.9690699999999994</v>
      </c>
      <c r="J188" s="50">
        <f>AVERAGE(G186:G188)</f>
        <v>2.9719087325417743E-2</v>
      </c>
      <c r="L188">
        <f>+J188/I188</f>
        <v>3.7293043385762384E-3</v>
      </c>
      <c r="M188">
        <f>+(L188-$L$913)/$L$914</f>
        <v>-0.61796544128492092</v>
      </c>
      <c r="N188">
        <f>+N185+M188</f>
        <v>-6.8422959467567352</v>
      </c>
      <c r="Z188">
        <f>+(I188-$F$913)/$F$914</f>
        <v>0.51821129239481645</v>
      </c>
      <c r="AA188">
        <f>+AA185+Z188</f>
        <v>0.78482442166357913</v>
      </c>
    </row>
    <row r="189" spans="1:27">
      <c r="A189" s="7">
        <v>1</v>
      </c>
      <c r="B189" s="86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9.7552531545915481E-3</v>
      </c>
    </row>
    <row r="190" spans="1:27">
      <c r="A190" s="7">
        <v>17</v>
      </c>
      <c r="B190" s="86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1.9284967014744789E-2</v>
      </c>
    </row>
    <row r="191" spans="1:27">
      <c r="A191" s="7">
        <v>18</v>
      </c>
      <c r="B191" s="86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1.1937627218222049E-2</v>
      </c>
      <c r="I191" s="50">
        <f>AVERAGE(F189:F191)</f>
        <v>5.2382099999999996</v>
      </c>
      <c r="J191" s="50">
        <f>AVERAGE(G189:G191)</f>
        <v>1.3659282462519462E-2</v>
      </c>
      <c r="L191">
        <f>+J191/I191</f>
        <v>2.607624066717345E-3</v>
      </c>
      <c r="M191">
        <f>+(L191-$L$913)/$L$914</f>
        <v>-0.66543800618529936</v>
      </c>
      <c r="N191">
        <f>+N188+M191</f>
        <v>-7.5077339529420346</v>
      </c>
      <c r="Z191">
        <f>+(I191-$F$913)/$F$914</f>
        <v>-0.11067011664493145</v>
      </c>
      <c r="AA191">
        <f>+AA188+Z191</f>
        <v>0.6741543050186477</v>
      </c>
    </row>
    <row r="192" spans="1:27">
      <c r="A192" s="15">
        <v>1</v>
      </c>
      <c r="B192" s="93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2.4478702834014134E-2</v>
      </c>
    </row>
    <row r="193" spans="1:27">
      <c r="A193" s="7">
        <v>17</v>
      </c>
      <c r="B193" s="94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1.7478671686910228E-2</v>
      </c>
    </row>
    <row r="194" spans="1:27">
      <c r="A194" s="7">
        <v>18</v>
      </c>
      <c r="B194" s="94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1.7519539163208055E-2</v>
      </c>
      <c r="I194" s="50">
        <f>AVERAGE(F192:F194)</f>
        <v>14.576873333333333</v>
      </c>
      <c r="J194" s="50">
        <f>AVERAGE(G192:G194)</f>
        <v>1.9825637894710809E-2</v>
      </c>
      <c r="L194">
        <f>+J194/I194</f>
        <v>1.3600747870515539E-3</v>
      </c>
      <c r="M194">
        <f>+(L194-$L$913)/$L$914</f>
        <v>-0.71823769040119967</v>
      </c>
      <c r="N194">
        <f>+N191+M194</f>
        <v>-8.2259716433432342</v>
      </c>
      <c r="Z194">
        <f>+(I194-$F$913)/$F$914</f>
        <v>2.0399021410374458</v>
      </c>
      <c r="AA194">
        <f>+AA191+Z194</f>
        <v>2.7140564460560936</v>
      </c>
    </row>
    <row r="195" spans="1:27">
      <c r="A195" s="7">
        <v>1</v>
      </c>
      <c r="B195" s="94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2.2348948123955527E-2</v>
      </c>
    </row>
    <row r="196" spans="1:27">
      <c r="A196" s="7">
        <v>17</v>
      </c>
      <c r="B196" s="94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2.0277299660653173E-2</v>
      </c>
    </row>
    <row r="197" spans="1:27">
      <c r="A197" s="7">
        <v>18</v>
      </c>
      <c r="B197" s="94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2.2351950969689244E-2</v>
      </c>
      <c r="I197" s="50">
        <f>AVERAGE(F195:F197)</f>
        <v>3.2704333333333335</v>
      </c>
      <c r="J197" s="50">
        <f>AVERAGE(G195:G197)</f>
        <v>2.1659399584765981E-2</v>
      </c>
      <c r="L197">
        <f>+J197/I197</f>
        <v>6.6227919597095126E-3</v>
      </c>
      <c r="M197">
        <f>+(L197-$L$913)/$L$914</f>
        <v>-0.49550516242573184</v>
      </c>
      <c r="N197">
        <f>+N194+M197</f>
        <v>-8.7214768057689653</v>
      </c>
      <c r="Z197">
        <f>+(I197-$F$913)/$F$914</f>
        <v>-0.56382339539553439</v>
      </c>
      <c r="AA197">
        <f>+AA194+Z197</f>
        <v>2.1502330506605594</v>
      </c>
    </row>
    <row r="198" spans="1:27">
      <c r="A198" s="7">
        <v>1</v>
      </c>
      <c r="B198" s="94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</v>
      </c>
    </row>
    <row r="199" spans="1:27">
      <c r="A199" s="7">
        <v>17</v>
      </c>
      <c r="B199" s="94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4.4500288135462772E-3</v>
      </c>
    </row>
    <row r="200" spans="1:27">
      <c r="A200" s="7">
        <v>18</v>
      </c>
      <c r="B200" s="94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4.1321743148649542E-3</v>
      </c>
      <c r="I200" s="50">
        <f>AVERAGE(F198:F200)</f>
        <v>1.4222666666666666</v>
      </c>
      <c r="J200" s="50">
        <f>AVERAGE(G198:G200)</f>
        <v>2.860734376137077E-3</v>
      </c>
      <c r="L200">
        <f>+J200/I200</f>
        <v>2.0113910022525618E-3</v>
      </c>
      <c r="M200">
        <f>+(L200-$L$913)/$L$914</f>
        <v>-0.69067221379211452</v>
      </c>
      <c r="N200">
        <f>+N197+M200</f>
        <v>-9.4121490195610793</v>
      </c>
      <c r="Z200">
        <f>+(I200-$F$913)/$F$914</f>
        <v>-0.98943205254882227</v>
      </c>
      <c r="AA200">
        <f>+AA197+Z200</f>
        <v>1.1608009981117371</v>
      </c>
    </row>
    <row r="201" spans="1:27">
      <c r="A201" s="7">
        <v>1</v>
      </c>
      <c r="B201" s="94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3.2732812874604479E-2</v>
      </c>
    </row>
    <row r="202" spans="1:27">
      <c r="A202" s="7">
        <v>17</v>
      </c>
      <c r="B202" s="94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2.9852623631612337E-2</v>
      </c>
    </row>
    <row r="203" spans="1:27">
      <c r="A203" s="7">
        <v>18</v>
      </c>
      <c r="B203" s="94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4.0970052682279733E-2</v>
      </c>
      <c r="I203" s="50">
        <f>AVERAGE(F201:F203)</f>
        <v>2.6232500000000001</v>
      </c>
      <c r="J203" s="50">
        <f>AVERAGE(G201:G203)</f>
        <v>3.451849639616552E-2</v>
      </c>
      <c r="L203">
        <f>+J203/I203</f>
        <v>1.3158675839575152E-2</v>
      </c>
      <c r="M203">
        <f>+(L203-$L$913)/$L$914</f>
        <v>-0.21888875091119325</v>
      </c>
      <c r="N203">
        <f>+N200+M203</f>
        <v>-9.6310377704722718</v>
      </c>
      <c r="Z203">
        <f>+(I203-$F$913)/$F$914</f>
        <v>-0.71286126865659782</v>
      </c>
      <c r="AA203">
        <f>+AA200+Z203</f>
        <v>0.44793972945513927</v>
      </c>
    </row>
    <row r="204" spans="1:27">
      <c r="A204" s="7">
        <v>1</v>
      </c>
      <c r="B204" s="94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8.1722331188550986E-3</v>
      </c>
    </row>
    <row r="205" spans="1:27">
      <c r="A205" s="7">
        <v>17</v>
      </c>
      <c r="B205" s="94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3.5187640491699201E-2</v>
      </c>
    </row>
    <row r="206" spans="1:27">
      <c r="A206" s="7">
        <v>18</v>
      </c>
      <c r="B206" s="94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1.4765206889460109E-2</v>
      </c>
      <c r="I206" s="50">
        <f>AVERAGE(F204:F206)</f>
        <v>1.16177</v>
      </c>
      <c r="J206" s="50">
        <f>AVERAGE(G204:G206)</f>
        <v>1.9375026833338138E-2</v>
      </c>
      <c r="L206">
        <f>+J206/I206</f>
        <v>1.6677162289728722E-2</v>
      </c>
      <c r="M206">
        <f>+(L206-$L$913)/$L$914</f>
        <v>-6.9976818922582715E-2</v>
      </c>
      <c r="N206">
        <f>+N203+M206</f>
        <v>-9.7010145893948554</v>
      </c>
      <c r="Z206">
        <f>+(I206-$F$913)/$F$914</f>
        <v>-1.0494210343287345</v>
      </c>
      <c r="AA206">
        <f>+AA203+Z206</f>
        <v>-0.60148130487359519</v>
      </c>
    </row>
    <row r="207" spans="1:27">
      <c r="A207" s="7">
        <v>1</v>
      </c>
      <c r="B207" s="94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0.76109140239355721</v>
      </c>
    </row>
    <row r="208" spans="1:27">
      <c r="A208" s="7">
        <v>17</v>
      </c>
      <c r="B208" s="94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4.5431753428739882E-2</v>
      </c>
    </row>
    <row r="209" spans="1:27">
      <c r="A209" s="7">
        <v>18</v>
      </c>
      <c r="B209" s="94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0.75171062103616748</v>
      </c>
      <c r="I209" s="50">
        <f>AVERAGE(F207:F209)</f>
        <v>21.869380000000003</v>
      </c>
      <c r="J209" s="50">
        <f>AVERAGE(G207:G209)</f>
        <v>0.51941125895282159</v>
      </c>
      <c r="L209">
        <f>+J209/I209</f>
        <v>2.3750616567676883E-2</v>
      </c>
      <c r="M209">
        <f>+(L209-$L$913)/$L$914</f>
        <v>0.22939103634268021</v>
      </c>
      <c r="N209">
        <f>+N206+M209</f>
        <v>-9.4716235530521757</v>
      </c>
      <c r="Z209">
        <f>+(I209-$F$913)/$F$914</f>
        <v>3.7192712291507473</v>
      </c>
      <c r="AA209">
        <f>+AA206+Z209</f>
        <v>3.1177899242771518</v>
      </c>
    </row>
    <row r="210" spans="1:27">
      <c r="A210" s="7">
        <v>1</v>
      </c>
      <c r="B210" s="94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0.69038174754876269</v>
      </c>
    </row>
    <row r="211" spans="1:27">
      <c r="A211" s="7">
        <v>17</v>
      </c>
      <c r="B211" s="94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4.4073939608212133E-2</v>
      </c>
    </row>
    <row r="212" spans="1:27">
      <c r="A212" s="7">
        <v>18</v>
      </c>
      <c r="B212" s="94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0.8504600092132083</v>
      </c>
      <c r="I212" s="50">
        <f>AVERAGE(F210:F212)</f>
        <v>8.4403866666666669</v>
      </c>
      <c r="J212" s="50">
        <f>AVERAGE(G210:G212)</f>
        <v>0.52830523212339442</v>
      </c>
      <c r="L212">
        <f>+J212/I212</f>
        <v>6.2592539061013919E-2</v>
      </c>
      <c r="M212">
        <f>+(L212-$L$913)/$L$914</f>
        <v>1.8732870133705959</v>
      </c>
      <c r="N212">
        <f>+N209+M212</f>
        <v>-7.5983365396815801</v>
      </c>
      <c r="Z212">
        <f>+(I212-$F$913)/$F$914</f>
        <v>0.62674936810622284</v>
      </c>
      <c r="AA212">
        <f>+AA209+Z212</f>
        <v>3.7445392923833749</v>
      </c>
    </row>
    <row r="213" spans="1:27">
      <c r="A213" s="7">
        <v>1</v>
      </c>
      <c r="B213" s="94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0.35701993203612914</v>
      </c>
    </row>
    <row r="214" spans="1:27">
      <c r="A214" s="7">
        <v>17</v>
      </c>
      <c r="B214" s="94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0.28202812460153071</v>
      </c>
    </row>
    <row r="215" spans="1:27">
      <c r="A215" s="7">
        <v>18</v>
      </c>
      <c r="B215" s="94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0.4657155760926181</v>
      </c>
      <c r="I215" s="50">
        <f>AVERAGE(F213:F215)</f>
        <v>8.1725666666666665</v>
      </c>
      <c r="J215" s="50">
        <f>AVERAGE(G213:G215)</f>
        <v>0.36825454424342596</v>
      </c>
      <c r="L215">
        <f>+J215/I215</f>
        <v>4.5059839737425528E-2</v>
      </c>
      <c r="M215">
        <f>+(L215-$L$913)/$L$914</f>
        <v>1.1312554136362845</v>
      </c>
      <c r="N215">
        <f>+N212+M215</f>
        <v>-6.4670811260452954</v>
      </c>
      <c r="Z215">
        <f>+(I215-$F$913)/$F$914</f>
        <v>0.56507391825927877</v>
      </c>
      <c r="AA215">
        <f>+AA212+Z215</f>
        <v>4.3096132106426541</v>
      </c>
    </row>
    <row r="216" spans="1:27">
      <c r="A216" s="7">
        <v>1</v>
      </c>
      <c r="B216" s="94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0.12668012066686996</v>
      </c>
    </row>
    <row r="217" spans="1:27">
      <c r="A217" s="7">
        <v>17</v>
      </c>
      <c r="B217" s="94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0.1794301891484118</v>
      </c>
    </row>
    <row r="218" spans="1:27">
      <c r="A218" s="7">
        <v>18</v>
      </c>
      <c r="B218" s="94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0.79928005398263124</v>
      </c>
      <c r="I218" s="50">
        <f>AVERAGE(F216:F218)</f>
        <v>11.291676666666667</v>
      </c>
      <c r="J218" s="50">
        <f>AVERAGE(G216:G218)</f>
        <v>0.36846345459930435</v>
      </c>
      <c r="L218">
        <f>+J218/I218</f>
        <v>3.2631420955137547E-2</v>
      </c>
      <c r="M218">
        <f>+(L218-$L$913)/$L$914</f>
        <v>0.60525087200922811</v>
      </c>
      <c r="N218">
        <f>+N215+M218</f>
        <v>-5.8618302540360672</v>
      </c>
      <c r="Z218">
        <f>+(I218-$F$913)/$F$914</f>
        <v>1.283364234038912</v>
      </c>
      <c r="AA218">
        <f>+AA215+Z218</f>
        <v>5.5929774446815657</v>
      </c>
    </row>
    <row r="219" spans="1:27">
      <c r="A219" s="7">
        <v>1</v>
      </c>
      <c r="B219" s="94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8.3500000000000005E-2</v>
      </c>
    </row>
    <row r="220" spans="1:27">
      <c r="A220" s="7">
        <v>17</v>
      </c>
      <c r="B220" s="94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9.8699999999999996E-2</v>
      </c>
    </row>
    <row r="221" spans="1:27">
      <c r="A221" s="7">
        <v>18</v>
      </c>
      <c r="B221" s="94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9.8599999999999993E-2</v>
      </c>
      <c r="I221" s="50">
        <f>AVERAGE(F219:F221)</f>
        <v>2.6018666666666665</v>
      </c>
      <c r="J221" s="50">
        <f>AVERAGE(G219:G221)</f>
        <v>9.3600000000000003E-2</v>
      </c>
      <c r="L221">
        <f>+J221/I221</f>
        <v>3.5974172389054017E-2</v>
      </c>
      <c r="M221">
        <f>+(L221-$L$913)/$L$914</f>
        <v>0.74672521935550629</v>
      </c>
      <c r="N221">
        <f>+N218+M221</f>
        <v>-5.1151050346805604</v>
      </c>
      <c r="Z221">
        <f>+(I221-$F$913)/$F$914</f>
        <v>-0.71778557118277397</v>
      </c>
      <c r="AA221">
        <f>+AA218+Z221</f>
        <v>4.8751918734987916</v>
      </c>
    </row>
    <row r="222" spans="1:27">
      <c r="A222" s="7">
        <v>1</v>
      </c>
      <c r="B222" s="94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1.7999999999999999E-2</v>
      </c>
    </row>
    <row r="223" spans="1:27">
      <c r="A223" s="7">
        <v>17</v>
      </c>
      <c r="B223" s="94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3.0599999999999999E-2</v>
      </c>
    </row>
    <row r="224" spans="1:27">
      <c r="A224" s="7">
        <v>18</v>
      </c>
      <c r="B224" s="94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2.4500000000000001E-2</v>
      </c>
      <c r="I224" s="50">
        <f>AVERAGE(F222:F224)</f>
        <v>4.0828333333333333</v>
      </c>
      <c r="J224" s="50">
        <f>AVERAGE(G222:G224)</f>
        <v>2.4366666666666665E-2</v>
      </c>
      <c r="L224">
        <f>+J224/I224</f>
        <v>5.9680777238029139E-3</v>
      </c>
      <c r="M224">
        <f>+(L224-$L$913)/$L$914</f>
        <v>-0.52321445252831078</v>
      </c>
      <c r="N224">
        <f>+N221+M224</f>
        <v>-5.6383194872088715</v>
      </c>
      <c r="Z224">
        <f>+(I224-$F$913)/$F$914</f>
        <v>-0.37673828055848996</v>
      </c>
      <c r="AA224">
        <f>+AA221+Z224</f>
        <v>4.4984535929403018</v>
      </c>
    </row>
    <row r="225" spans="1:27">
      <c r="A225" s="7">
        <v>1</v>
      </c>
      <c r="B225" s="94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1.17E-2</v>
      </c>
    </row>
    <row r="226" spans="1:27">
      <c r="A226" s="7">
        <v>17</v>
      </c>
      <c r="B226" s="94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1.38E-2</v>
      </c>
    </row>
    <row r="227" spans="1:27">
      <c r="A227" s="7">
        <v>18</v>
      </c>
      <c r="B227" s="94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1.34E-2</v>
      </c>
      <c r="I227" s="50">
        <f>AVERAGE(F225:F227)</f>
        <v>9.5709</v>
      </c>
      <c r="J227" s="50">
        <f>AVERAGE(G225:G227)</f>
        <v>1.2966666666666668E-2</v>
      </c>
      <c r="L227">
        <f>+J227/I227</f>
        <v>1.3548011855381069E-3</v>
      </c>
      <c r="M227">
        <f>+(L227-$L$913)/$L$914</f>
        <v>-0.71846088358412952</v>
      </c>
      <c r="N227">
        <f>+N224+M227</f>
        <v>-6.3567803707930013</v>
      </c>
      <c r="Z227">
        <f>+(I227-$F$913)/$F$914</f>
        <v>0.88709183092192512</v>
      </c>
      <c r="AA227">
        <f>+AA224+Z227</f>
        <v>5.3855454238622267</v>
      </c>
    </row>
    <row r="228" spans="1:27">
      <c r="A228" s="17">
        <v>1</v>
      </c>
      <c r="B228" s="93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1.6299999999999999E-2</v>
      </c>
    </row>
    <row r="229" spans="1:27">
      <c r="A229" s="11">
        <v>17</v>
      </c>
      <c r="B229" s="94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1.78E-2</v>
      </c>
    </row>
    <row r="230" spans="1:27">
      <c r="A230" s="11">
        <v>18</v>
      </c>
      <c r="B230" s="94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1.9099999999999999E-2</v>
      </c>
      <c r="I230" s="50">
        <f>AVERAGE(F228:F230)</f>
        <v>15.905066666666665</v>
      </c>
      <c r="J230" s="50">
        <f>AVERAGE(G228:G230)</f>
        <v>1.7733333333333334E-2</v>
      </c>
      <c r="L230">
        <f>+J230/I230</f>
        <v>1.114948695593857E-3</v>
      </c>
      <c r="M230">
        <f>+(L230-$L$913)/$L$914</f>
        <v>-0.72861209438908181</v>
      </c>
      <c r="N230">
        <f>+N227+M230</f>
        <v>-7.0853924651820828</v>
      </c>
      <c r="Z230">
        <f>+(I230-$F$913)/$F$914</f>
        <v>2.3457677273157116</v>
      </c>
      <c r="AA230">
        <f>+AA227+Z230</f>
        <v>7.7313131511779378</v>
      </c>
    </row>
    <row r="231" spans="1:27">
      <c r="A231" s="11">
        <v>1</v>
      </c>
      <c r="B231" s="94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1.8200000000000001E-2</v>
      </c>
    </row>
    <row r="232" spans="1:27">
      <c r="A232" s="11">
        <v>17</v>
      </c>
      <c r="B232" s="94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3.1699999999999999E-2</v>
      </c>
    </row>
    <row r="233" spans="1:27">
      <c r="A233" s="11">
        <v>18</v>
      </c>
      <c r="B233" s="94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5.0099999999999999E-2</v>
      </c>
      <c r="I233" s="50">
        <f>AVERAGE(F231:F233)</f>
        <v>9.8544999999999998</v>
      </c>
      <c r="J233" s="50">
        <f>AVERAGE(G231:G233)</f>
        <v>3.3333333333333333E-2</v>
      </c>
      <c r="L233">
        <f>+J233/I233</f>
        <v>3.3825494275035095E-3</v>
      </c>
      <c r="M233">
        <f>+(L233-$L$913)/$L$914</f>
        <v>-0.63264105378646263</v>
      </c>
      <c r="N233">
        <f>+N230+M233</f>
        <v>-7.7180335189685456</v>
      </c>
      <c r="Z233">
        <f>+(I233-$F$913)/$F$914</f>
        <v>0.95240120877493561</v>
      </c>
      <c r="AA233">
        <f>+AA230+Z233</f>
        <v>8.683714359952873</v>
      </c>
    </row>
    <row r="234" spans="1:27">
      <c r="A234" s="11">
        <v>1</v>
      </c>
      <c r="B234" s="94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4.9299999999999997E-2</v>
      </c>
    </row>
    <row r="235" spans="1:27">
      <c r="A235" s="11">
        <v>17</v>
      </c>
      <c r="B235" s="94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2.98E-2</v>
      </c>
    </row>
    <row r="236" spans="1:27">
      <c r="A236" s="11">
        <v>18</v>
      </c>
      <c r="B236" s="94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4.2000000000000003E-2</v>
      </c>
      <c r="I236" s="50">
        <f>AVERAGE(F234:F236)</f>
        <v>8.1606666666666658</v>
      </c>
      <c r="J236" s="50">
        <f>AVERAGE(G234:G236)</f>
        <v>4.0366666666666669E-2</v>
      </c>
      <c r="L236">
        <f>+J236/I236</f>
        <v>4.9464912997304149E-3</v>
      </c>
      <c r="M236">
        <f>+(L236-$L$913)/$L$914</f>
        <v>-0.56645077310454384</v>
      </c>
      <c r="N236">
        <f>+N233+M236</f>
        <v>-8.2844842920730901</v>
      </c>
      <c r="Z236">
        <f>+(I236-$F$913)/$F$914</f>
        <v>0.56233350360324608</v>
      </c>
      <c r="AA236">
        <f>+AA233+Z236</f>
        <v>9.2460478635561199</v>
      </c>
    </row>
    <row r="237" spans="1:27">
      <c r="A237" s="11">
        <v>1</v>
      </c>
      <c r="B237" s="90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2.6200000000000001E-2</v>
      </c>
    </row>
    <row r="238" spans="1:27">
      <c r="A238" s="11">
        <v>17</v>
      </c>
      <c r="B238" s="90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2.7300000000000001E-2</v>
      </c>
    </row>
    <row r="239" spans="1:27">
      <c r="A239" s="11">
        <v>18</v>
      </c>
      <c r="B239" s="90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2.5899999999999999E-2</v>
      </c>
      <c r="I239" s="50">
        <f>AVERAGE(F237:F239)</f>
        <v>3.392466666666667</v>
      </c>
      <c r="J239" s="50">
        <f>AVERAGE(G237:G239)</f>
        <v>2.6466666666666666E-2</v>
      </c>
      <c r="L239">
        <f>+J239/I239</f>
        <v>7.8015996226934179E-3</v>
      </c>
      <c r="M239">
        <f>+(L239-$L$913)/$L$914</f>
        <v>-0.44561481070070236</v>
      </c>
      <c r="N239">
        <f>+N236+M239</f>
        <v>-8.7300991027737922</v>
      </c>
      <c r="Z239">
        <f>+(I239-$F$913)/$F$914</f>
        <v>-0.5357207117660242</v>
      </c>
      <c r="AA239">
        <f>+AA236+Z239</f>
        <v>8.7103271517900964</v>
      </c>
    </row>
    <row r="240" spans="1:27">
      <c r="A240" s="11">
        <v>1</v>
      </c>
      <c r="B240" s="90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6.7999999999999996E-3</v>
      </c>
    </row>
    <row r="241" spans="1:27">
      <c r="A241" s="11">
        <v>17</v>
      </c>
      <c r="B241" s="90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1.7999999999999999E-2</v>
      </c>
    </row>
    <row r="242" spans="1:27">
      <c r="A242" s="11">
        <v>18</v>
      </c>
      <c r="B242" s="90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1.6500000000000001E-2</v>
      </c>
      <c r="I242" s="50">
        <f>AVERAGE(F240:F242)</f>
        <v>2.2359000000000004</v>
      </c>
      <c r="J242" s="50">
        <f>AVERAGE(G240:G242)</f>
        <v>1.3766666666666668E-2</v>
      </c>
      <c r="L242">
        <f>+J242/I242</f>
        <v>6.1571030308451473E-3</v>
      </c>
      <c r="M242">
        <f>+(L242-$L$913)/$L$914</f>
        <v>-0.51521438657234542</v>
      </c>
      <c r="N242">
        <f>+N239+M242</f>
        <v>-9.2453134893461382</v>
      </c>
      <c r="Z242">
        <f>+(I242-$F$913)/$F$914</f>
        <v>-0.80206291714518607</v>
      </c>
      <c r="AA242">
        <f>+AA239+Z242</f>
        <v>7.9082642346449106</v>
      </c>
    </row>
    <row r="243" spans="1:27">
      <c r="A243" s="11">
        <v>1</v>
      </c>
      <c r="B243" s="90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5.6300000000000003E-2</v>
      </c>
    </row>
    <row r="244" spans="1:27">
      <c r="A244" s="11">
        <v>17</v>
      </c>
      <c r="B244" s="90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5.3600000000000002E-2</v>
      </c>
    </row>
    <row r="245" spans="1:27">
      <c r="A245" s="11">
        <v>18</v>
      </c>
      <c r="B245" s="90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8.9800000000000005E-2</v>
      </c>
      <c r="I245" s="50">
        <f>AVERAGE(F243:F245)</f>
        <v>3.0684333333333336</v>
      </c>
      <c r="J245" s="50">
        <f>AVERAGE(G243:G245)</f>
        <v>6.6566666666666663E-2</v>
      </c>
      <c r="L245">
        <f>+J245/I245</f>
        <v>2.169402409481494E-2</v>
      </c>
      <c r="M245">
        <f>+(L245-$L$913)/$L$914</f>
        <v>0.14235044011308856</v>
      </c>
      <c r="N245">
        <f>+N242+M245</f>
        <v>-9.1029630492330504</v>
      </c>
      <c r="Z245">
        <f>+(I245-$F$913)/$F$914</f>
        <v>-0.61034135846432191</v>
      </c>
      <c r="AA245">
        <f>+AA242+Z245</f>
        <v>7.2979228761805883</v>
      </c>
    </row>
    <row r="246" spans="1:27">
      <c r="A246" s="11">
        <v>1</v>
      </c>
      <c r="B246" s="90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8.1500000000000003E-2</v>
      </c>
    </row>
    <row r="247" spans="1:27">
      <c r="A247" s="11">
        <v>17</v>
      </c>
      <c r="B247" s="90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0.1298</v>
      </c>
    </row>
    <row r="248" spans="1:27">
      <c r="A248" s="11">
        <v>18</v>
      </c>
      <c r="B248" s="90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0.68630000000000002</v>
      </c>
      <c r="I248" s="50">
        <f>AVERAGE(F246:F248)</f>
        <v>7.4259666666666666</v>
      </c>
      <c r="J248" s="50">
        <f>AVERAGE(G246:G248)</f>
        <v>0.29919999999999997</v>
      </c>
      <c r="L248">
        <f>+J248/I248</f>
        <v>4.0291050772290025E-2</v>
      </c>
      <c r="M248">
        <f>+(L248-$L$913)/$L$914</f>
        <v>0.92942727301255135</v>
      </c>
      <c r="N248">
        <f>+N245+M248</f>
        <v>-8.1735357762204988</v>
      </c>
      <c r="Z248">
        <f>+(I248-$F$913)/$F$914</f>
        <v>0.39314168446147302</v>
      </c>
      <c r="AA248">
        <f>+AA245+Z248</f>
        <v>7.6910645606420616</v>
      </c>
    </row>
    <row r="249" spans="1:27">
      <c r="A249" s="11">
        <v>1</v>
      </c>
      <c r="B249" s="90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0.1452</v>
      </c>
    </row>
    <row r="250" spans="1:27">
      <c r="A250" s="11">
        <v>17</v>
      </c>
      <c r="B250" s="90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0.32969999999999999</v>
      </c>
    </row>
    <row r="251" spans="1:27">
      <c r="A251" s="11">
        <v>18</v>
      </c>
      <c r="B251" s="90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1.6313</v>
      </c>
      <c r="I251" s="50">
        <f>AVERAGE(F249:F251)</f>
        <v>12.061999999999999</v>
      </c>
      <c r="J251" s="50">
        <f>AVERAGE(G249:G251)</f>
        <v>0.70206666666666662</v>
      </c>
      <c r="L251">
        <f>+J251/I251</f>
        <v>5.8204830597468636E-2</v>
      </c>
      <c r="M251">
        <f>+(L251-$L$913)/$L$914</f>
        <v>1.6875872377523644</v>
      </c>
      <c r="N251">
        <f>+N248+M251</f>
        <v>-6.4859485384681346</v>
      </c>
      <c r="Z251">
        <f>+(I251-$F$913)/$F$914</f>
        <v>1.4607596418162645</v>
      </c>
      <c r="AA251">
        <f>+AA248+Z251</f>
        <v>9.1518242024583252</v>
      </c>
    </row>
    <row r="252" spans="1:27">
      <c r="A252" s="11">
        <v>1</v>
      </c>
      <c r="B252" s="90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4.07E-2</v>
      </c>
    </row>
    <row r="253" spans="1:27">
      <c r="A253" s="11">
        <v>17</v>
      </c>
      <c r="B253" s="90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6.83E-2</v>
      </c>
    </row>
    <row r="254" spans="1:27">
      <c r="A254" s="11">
        <v>18</v>
      </c>
      <c r="B254" s="90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7.2599999999999998E-2</v>
      </c>
      <c r="I254" s="50">
        <f>AVERAGE(F252:F254)</f>
        <v>4.9474333333333336</v>
      </c>
      <c r="J254" s="50">
        <f>AVERAGE(G252:G254)</f>
        <v>6.0533333333333328E-2</v>
      </c>
      <c r="L254">
        <f>+J254/I254</f>
        <v>1.2235300458823765E-2</v>
      </c>
      <c r="M254">
        <f>+(L254-$L$913)/$L$914</f>
        <v>-0.25796851257757869</v>
      </c>
      <c r="N254">
        <f>+N251+M254</f>
        <v>-6.7439170510457132</v>
      </c>
      <c r="Z254">
        <f>+(I254-$F$913)/$F$914</f>
        <v>-0.17763218714624388</v>
      </c>
      <c r="AA254">
        <f>+AA251+Z254</f>
        <v>8.9741920153120809</v>
      </c>
    </row>
    <row r="255" spans="1:27">
      <c r="A255" s="11">
        <v>1</v>
      </c>
      <c r="B255" s="90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2.8000000000000001E-2</v>
      </c>
    </row>
    <row r="256" spans="1:27">
      <c r="A256" s="11">
        <v>17</v>
      </c>
      <c r="B256" s="90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6.3E-2</v>
      </c>
    </row>
    <row r="257" spans="1:27">
      <c r="A257" s="11">
        <v>18</v>
      </c>
      <c r="B257" s="90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3.1E-2</v>
      </c>
      <c r="I257" s="50">
        <f>AVERAGE(F255:F257)</f>
        <v>2.2113333333333332</v>
      </c>
      <c r="J257" s="50">
        <f>AVERAGE(G255:G257)</f>
        <v>4.0666666666666663E-2</v>
      </c>
      <c r="L257">
        <f>+J257/I257</f>
        <v>1.8390111546578235E-2</v>
      </c>
      <c r="M257">
        <f>+(L257-$L$913)/$L$914</f>
        <v>2.5198602176146733E-3</v>
      </c>
      <c r="N257">
        <f>+N254+M257</f>
        <v>-6.7413971908280983</v>
      </c>
      <c r="Z257">
        <f>+(I257-$F$913)/$F$914</f>
        <v>-0.80772029978242976</v>
      </c>
      <c r="AA257">
        <f>+AA254+Z257</f>
        <v>8.1664717155296511</v>
      </c>
    </row>
    <row r="258" spans="1:27">
      <c r="A258" s="11">
        <v>1</v>
      </c>
      <c r="B258" s="90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2.1000000000000001E-2</v>
      </c>
    </row>
    <row r="259" spans="1:27">
      <c r="A259" s="11">
        <v>17</v>
      </c>
      <c r="B259" s="90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2.1000000000000001E-2</v>
      </c>
    </row>
    <row r="260" spans="1:27">
      <c r="A260" s="11">
        <v>18</v>
      </c>
      <c r="B260" s="90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2.1999999999999999E-2</v>
      </c>
      <c r="I260" s="50">
        <f>AVERAGE(F258:F260)</f>
        <v>2.6623333333333332</v>
      </c>
      <c r="J260" s="50">
        <f>AVERAGE(G258:G260)</f>
        <v>2.1333333333333333E-2</v>
      </c>
      <c r="L260">
        <f>+J260/I260</f>
        <v>8.0130211593839994E-3</v>
      </c>
      <c r="M260">
        <f>+(L260-$L$913)/$L$914</f>
        <v>-0.43666687529193549</v>
      </c>
      <c r="N260">
        <f>+N257+M260</f>
        <v>-7.1780640661200339</v>
      </c>
      <c r="Z260">
        <f>+(I260-$F$913)/$F$914</f>
        <v>-0.70386088718825568</v>
      </c>
      <c r="AA260">
        <f>+AA257+Z260</f>
        <v>7.4626108283413952</v>
      </c>
    </row>
    <row r="261" spans="1:27">
      <c r="A261" s="11">
        <v>1</v>
      </c>
      <c r="B261" s="94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9.2999999999999999E-2</v>
      </c>
    </row>
    <row r="262" spans="1:27">
      <c r="A262" s="11">
        <v>17</v>
      </c>
      <c r="B262" s="94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1.6E-2</v>
      </c>
    </row>
    <row r="263" spans="1:27">
      <c r="A263" s="11">
        <v>18</v>
      </c>
      <c r="B263" s="94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1.7999999999999999E-2</v>
      </c>
      <c r="I263" s="50">
        <f>AVERAGE(F261:F263)</f>
        <v>7.8270000000000008</v>
      </c>
      <c r="J263" s="50">
        <f>AVERAGE(G261:G263)</f>
        <v>4.2333333333333334E-2</v>
      </c>
      <c r="L263">
        <f>+J263/I263</f>
        <v>5.4086282526297855E-3</v>
      </c>
      <c r="M263">
        <f>+(L263-$L$913)/$L$914</f>
        <v>-0.54689187825742247</v>
      </c>
      <c r="N263">
        <f>+N260+M263</f>
        <v>-7.7249559443774567</v>
      </c>
      <c r="Z263">
        <f>+(I263-$F$913)/$F$914</f>
        <v>0.48549442599292253</v>
      </c>
      <c r="AA263">
        <f>+AA260+Z263</f>
        <v>7.948105254334318</v>
      </c>
    </row>
    <row r="264" spans="1:27">
      <c r="A264" s="23">
        <v>1</v>
      </c>
      <c r="B264" s="93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0.105</v>
      </c>
    </row>
    <row r="265" spans="1:27">
      <c r="A265" s="20">
        <v>17</v>
      </c>
      <c r="B265" s="94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3.5000000000000003E-2</v>
      </c>
    </row>
    <row r="266" spans="1:27">
      <c r="A266" s="20">
        <v>18</v>
      </c>
      <c r="B266" s="94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0.26200000000000001</v>
      </c>
      <c r="I266" s="50">
        <f>AVERAGE(F264:F266)</f>
        <v>10.572333333333333</v>
      </c>
      <c r="J266" s="50">
        <f>AVERAGE(G264:G266)</f>
        <v>0.13400000000000001</v>
      </c>
      <c r="L266">
        <f>+J266/I266</f>
        <v>1.2674590913390297E-2</v>
      </c>
      <c r="M266">
        <f>+(L266-$L$913)/$L$914</f>
        <v>-0.23937654378065404</v>
      </c>
      <c r="N266">
        <f>+N263+M266</f>
        <v>-7.964332488158111</v>
      </c>
      <c r="Z266">
        <f>+(I266-$F$913)/$F$914</f>
        <v>1.1177088547627805</v>
      </c>
      <c r="AA266">
        <f>+AA263+Z266</f>
        <v>9.0658141090970989</v>
      </c>
    </row>
    <row r="267" spans="1:27">
      <c r="A267" s="20">
        <v>1</v>
      </c>
      <c r="B267" s="94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1.4999999999999999E-2</v>
      </c>
    </row>
    <row r="268" spans="1:27">
      <c r="A268" s="20">
        <v>17</v>
      </c>
      <c r="B268" s="94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2.5000000000000001E-2</v>
      </c>
    </row>
    <row r="269" spans="1:27">
      <c r="A269" s="20">
        <v>18</v>
      </c>
      <c r="B269" s="94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4.1000000000000002E-2</v>
      </c>
      <c r="I269" s="50">
        <f>AVERAGE(F267:F269)</f>
        <v>8.397333333333334</v>
      </c>
      <c r="J269" s="50">
        <f>AVERAGE(G267:G269)</f>
        <v>2.7E-2</v>
      </c>
      <c r="L269">
        <f>+J269/I269</f>
        <v>3.2153064464909491E-3</v>
      </c>
      <c r="M269">
        <f>+(L269-$L$913)/$L$914</f>
        <v>-0.6397192323632277</v>
      </c>
      <c r="N269">
        <f>+N266+M269</f>
        <v>-8.6040517205213387</v>
      </c>
      <c r="Z269">
        <f>+(I269-$F$913)/$F$914</f>
        <v>0.61683474746271694</v>
      </c>
      <c r="AA269">
        <f>+AA266+Z269</f>
        <v>9.6826488565598154</v>
      </c>
    </row>
    <row r="270" spans="1:27">
      <c r="A270" s="20">
        <v>1</v>
      </c>
      <c r="B270" s="94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3.1E-2</v>
      </c>
    </row>
    <row r="271" spans="1:27">
      <c r="A271" s="20">
        <v>17</v>
      </c>
      <c r="B271" s="94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2.4E-2</v>
      </c>
    </row>
    <row r="272" spans="1:27">
      <c r="A272" s="20">
        <v>18</v>
      </c>
      <c r="B272" s="94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3.9E-2</v>
      </c>
      <c r="I272" s="50">
        <f>AVERAGE(F270:F272)</f>
        <v>4.7093333333333325</v>
      </c>
      <c r="J272" s="50">
        <f>AVERAGE(G270:G272)</f>
        <v>3.1333333333333331E-2</v>
      </c>
      <c r="L272">
        <f>+J272/I272</f>
        <v>6.6534541336353351E-3</v>
      </c>
      <c r="M272">
        <f>+(L272-$L$913)/$L$914</f>
        <v>-0.49420745569218288</v>
      </c>
      <c r="N272">
        <f>+N269+M272</f>
        <v>-9.0982591762135208</v>
      </c>
      <c r="Z272">
        <f>+(I272-$F$913)/$F$914</f>
        <v>-0.2324635089614833</v>
      </c>
      <c r="AA272">
        <f>+AA269+Z272</f>
        <v>9.4501853475983317</v>
      </c>
    </row>
    <row r="273" spans="1:27">
      <c r="A273" s="20">
        <v>1</v>
      </c>
      <c r="B273" s="94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1.0999999999999999E-2</v>
      </c>
    </row>
    <row r="274" spans="1:27">
      <c r="A274" s="20">
        <v>17</v>
      </c>
      <c r="B274" s="94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2.8000000000000001E-2</v>
      </c>
    </row>
    <row r="275" spans="1:27">
      <c r="A275" s="20">
        <v>18</v>
      </c>
      <c r="B275" s="94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2.9000000000000001E-2</v>
      </c>
      <c r="I275" s="50">
        <f>AVERAGE(F273:F275)</f>
        <v>7.203666666666666</v>
      </c>
      <c r="J275" s="50">
        <f>AVERAGE(G273:G275)</f>
        <v>2.2666666666666668E-2</v>
      </c>
      <c r="L275">
        <f>+J275/I275</f>
        <v>3.1465457405950676E-3</v>
      </c>
      <c r="M275">
        <f>+(L275-$L$913)/$L$914</f>
        <v>-0.64262937276163945</v>
      </c>
      <c r="N275">
        <f>+N272+M275</f>
        <v>-9.7408885489751604</v>
      </c>
      <c r="Z275">
        <f>+(I275-$F$913)/$F$914</f>
        <v>0.34194889639121812</v>
      </c>
      <c r="AA275">
        <f>+AA272+Z275</f>
        <v>9.7921342439895493</v>
      </c>
    </row>
    <row r="276" spans="1:27">
      <c r="A276" s="20">
        <v>1</v>
      </c>
      <c r="B276" s="94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2.1000000000000001E-2</v>
      </c>
    </row>
    <row r="277" spans="1:27">
      <c r="A277" s="20">
        <v>17</v>
      </c>
      <c r="B277" s="94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4.4999999999999998E-2</v>
      </c>
    </row>
    <row r="278" spans="1:27">
      <c r="A278" s="20">
        <v>18</v>
      </c>
      <c r="B278" s="94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4.5999999999999999E-2</v>
      </c>
      <c r="I278" s="50">
        <f>AVERAGE(F276:F278)</f>
        <v>3.4689999999999999</v>
      </c>
      <c r="J278" s="50">
        <f>AVERAGE(G276:G278)</f>
        <v>3.7333333333333336E-2</v>
      </c>
      <c r="L278">
        <f>+J278/I278</f>
        <v>1.0761987124051121E-2</v>
      </c>
      <c r="M278">
        <f>+(L278-$L$913)/$L$914</f>
        <v>-0.32032314665496758</v>
      </c>
      <c r="N278">
        <f>+N275+M278</f>
        <v>-10.061211695630128</v>
      </c>
      <c r="Z278">
        <f>+(I278-$F$913)/$F$914</f>
        <v>-0.51809608417428576</v>
      </c>
      <c r="AA278">
        <f>+AA275+Z278</f>
        <v>9.2740381598152641</v>
      </c>
    </row>
    <row r="279" spans="1:27">
      <c r="A279" s="20">
        <v>1</v>
      </c>
      <c r="B279" s="94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0.14199999999999999</v>
      </c>
    </row>
    <row r="280" spans="1:27">
      <c r="A280" s="20">
        <v>17</v>
      </c>
      <c r="B280" s="94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7.0999999999999994E-2</v>
      </c>
    </row>
    <row r="281" spans="1:27">
      <c r="A281" s="20">
        <v>18</v>
      </c>
      <c r="B281" s="94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0.16</v>
      </c>
      <c r="I281" s="50">
        <f>AVERAGE(F279:F281)</f>
        <v>4.7636666666666665</v>
      </c>
      <c r="J281" s="50">
        <f>AVERAGE(G279:G281)</f>
        <v>0.12433333333333334</v>
      </c>
      <c r="L281">
        <f>+J281/I281</f>
        <v>2.610034287313694E-2</v>
      </c>
      <c r="M281">
        <f>+(L281-$L$913)/$L$914</f>
        <v>0.32883785495278028</v>
      </c>
      <c r="N281">
        <f>+N278+M281</f>
        <v>-9.7323738406773472</v>
      </c>
      <c r="Z281">
        <f>+(I281-$F$913)/$F$914</f>
        <v>-0.21995125156839343</v>
      </c>
      <c r="AA281">
        <f>+AA278+Z281</f>
        <v>9.0540869082468713</v>
      </c>
    </row>
    <row r="282" spans="1:27">
      <c r="A282" s="20">
        <v>1</v>
      </c>
      <c r="B282" s="94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0.39700000000000002</v>
      </c>
    </row>
    <row r="283" spans="1:27">
      <c r="A283" s="20">
        <v>17</v>
      </c>
      <c r="B283" s="94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0.13300000000000001</v>
      </c>
    </row>
    <row r="284" spans="1:27">
      <c r="A284" s="20">
        <v>18</v>
      </c>
      <c r="B284" s="94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1.522</v>
      </c>
      <c r="I284" s="50">
        <f>AVERAGE(F282:F284)</f>
        <v>7.7403333333333348</v>
      </c>
      <c r="J284" s="50">
        <f>AVERAGE(G282:G284)</f>
        <v>0.68400000000000005</v>
      </c>
      <c r="L284">
        <f>+J284/I284</f>
        <v>8.8368287326127198E-2</v>
      </c>
      <c r="M284">
        <f>+(L284-$L$913)/$L$914</f>
        <v>2.9641869008612991</v>
      </c>
      <c r="N284">
        <f>+N281+M284</f>
        <v>-6.7681869398160481</v>
      </c>
      <c r="Z284">
        <f>+(I284-$F$913)/$F$914</f>
        <v>0.46553622401621519</v>
      </c>
      <c r="AA284">
        <f>+AA281+Z284</f>
        <v>9.5196231322630869</v>
      </c>
    </row>
    <row r="285" spans="1:27">
      <c r="A285" s="20">
        <v>1</v>
      </c>
      <c r="B285" s="94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0.28899999999999998</v>
      </c>
    </row>
    <row r="286" spans="1:27">
      <c r="A286" s="20">
        <v>17</v>
      </c>
      <c r="B286" s="94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0.27500000000000002</v>
      </c>
    </row>
    <row r="287" spans="1:27">
      <c r="A287" s="20">
        <v>18</v>
      </c>
      <c r="B287" s="94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0.379</v>
      </c>
      <c r="I287" s="50">
        <f>AVERAGE(F285:F287)</f>
        <v>9.8699999999999992</v>
      </c>
      <c r="J287" s="50">
        <f>AVERAGE(G285:G287)</f>
        <v>0.31433333333333335</v>
      </c>
      <c r="L287">
        <f>+J287/I287</f>
        <v>3.1847348868625468E-2</v>
      </c>
      <c r="M287">
        <f>+(L287-$L$913)/$L$914</f>
        <v>0.57206680525923148</v>
      </c>
      <c r="N287">
        <f>+N284+M287</f>
        <v>-6.1961201345568169</v>
      </c>
      <c r="Z287">
        <f>+(I287-$F$913)/$F$914</f>
        <v>0.95597065643615442</v>
      </c>
      <c r="AA287">
        <f>+AA284+Z287</f>
        <v>10.475593788699241</v>
      </c>
    </row>
    <row r="288" spans="1:27">
      <c r="A288" s="20">
        <v>1</v>
      </c>
      <c r="B288" s="94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0.156</v>
      </c>
    </row>
    <row r="289" spans="1:27">
      <c r="A289" s="20">
        <v>17</v>
      </c>
      <c r="B289" s="94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0.115</v>
      </c>
    </row>
    <row r="290" spans="1:27">
      <c r="A290" s="20">
        <v>18</v>
      </c>
      <c r="B290" s="94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1.0229999999999999</v>
      </c>
      <c r="I290" s="50">
        <f>AVERAGE(F288:F290)</f>
        <v>8.7673333333333332</v>
      </c>
      <c r="J290" s="50">
        <f>AVERAGE(G288:G290)</f>
        <v>0.43133333333333335</v>
      </c>
      <c r="L290">
        <f>+J290/I290</f>
        <v>4.9197779636529541E-2</v>
      </c>
      <c r="M290">
        <f>+(L290-$L$913)/$L$914</f>
        <v>1.3063843031624727</v>
      </c>
      <c r="N290">
        <f>+N287+M290</f>
        <v>-4.8897358313943444</v>
      </c>
      <c r="Z290">
        <f>+(I290-$F$913)/$F$914</f>
        <v>0.70204091744019892</v>
      </c>
      <c r="AA290">
        <f>+AA287+Z290</f>
        <v>11.17763470613944</v>
      </c>
    </row>
    <row r="291" spans="1:27">
      <c r="A291" s="20">
        <v>1</v>
      </c>
      <c r="B291" s="94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6.8000000000000005E-2</v>
      </c>
    </row>
    <row r="292" spans="1:27">
      <c r="A292" s="20">
        <v>17</v>
      </c>
      <c r="B292" s="94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0.1</v>
      </c>
    </row>
    <row r="293" spans="1:27">
      <c r="A293" s="20">
        <v>18</v>
      </c>
      <c r="B293" s="94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2.9000000000000001E-2</v>
      </c>
      <c r="I293" s="50">
        <f>AVERAGE(F291:F293)</f>
        <v>4.2443333333333335</v>
      </c>
      <c r="J293" s="50">
        <f>AVERAGE(G291:G293)</f>
        <v>6.5666666666666665E-2</v>
      </c>
      <c r="L293">
        <f>+J293/I293</f>
        <v>1.5471609204429434E-2</v>
      </c>
      <c r="M293">
        <f>+(L293-$L$913)/$L$914</f>
        <v>-0.1209991097825949</v>
      </c>
      <c r="N293">
        <f>+N290+M293</f>
        <v>-5.0107349411769393</v>
      </c>
      <c r="Z293">
        <f>+(I293-$F$913)/$F$914</f>
        <v>-0.33954693879804837</v>
      </c>
      <c r="AA293">
        <f>+AA290+Z293</f>
        <v>10.838087767341392</v>
      </c>
    </row>
    <row r="294" spans="1:27">
      <c r="A294" s="20">
        <v>1</v>
      </c>
      <c r="B294" s="94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1.0999999999999999E-2</v>
      </c>
    </row>
    <row r="295" spans="1:27">
      <c r="A295" s="20">
        <v>17</v>
      </c>
      <c r="B295" s="94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1.7999999999999999E-2</v>
      </c>
    </row>
    <row r="296" spans="1:27">
      <c r="A296" s="20">
        <v>18</v>
      </c>
      <c r="B296" s="94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1.4E-2</v>
      </c>
      <c r="I296" s="50">
        <f>AVERAGE(F294:F296)</f>
        <v>2.345333333333333</v>
      </c>
      <c r="J296" s="50">
        <f>AVERAGE(G294:G296)</f>
        <v>1.4333333333333332E-2</v>
      </c>
      <c r="L296">
        <f>+J296/I296</f>
        <v>6.1114269471290502E-3</v>
      </c>
      <c r="M296">
        <f>+(L296-$L$913)/$L$914</f>
        <v>-0.51714752287063659</v>
      </c>
      <c r="N296">
        <f>+N293+M296</f>
        <v>-5.5278824640475754</v>
      </c>
      <c r="Z296">
        <f>+(I296-$F$913)/$F$914</f>
        <v>-0.77686184903382827</v>
      </c>
      <c r="AA296">
        <f>+AA293+Z296</f>
        <v>10.061225918307564</v>
      </c>
    </row>
    <row r="297" spans="1:27">
      <c r="A297" s="20">
        <v>1</v>
      </c>
      <c r="B297" s="94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7.0000000000000001E-3</v>
      </c>
    </row>
    <row r="298" spans="1:27">
      <c r="A298" s="20">
        <v>17</v>
      </c>
      <c r="B298" s="94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7.0000000000000001E-3</v>
      </c>
    </row>
    <row r="299" spans="1:27">
      <c r="A299" s="20">
        <v>18</v>
      </c>
      <c r="B299" s="94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7.0000000000000001E-3</v>
      </c>
      <c r="I299" s="50">
        <f>AVERAGE(F297:F299)</f>
        <v>6.34</v>
      </c>
      <c r="J299" s="50">
        <f>AVERAGE(G297:G299)</f>
        <v>7.0000000000000001E-3</v>
      </c>
      <c r="L299">
        <f>+J299/I299</f>
        <v>1.1041009463722397E-3</v>
      </c>
      <c r="M299">
        <f>+(L299-$L$913)/$L$914</f>
        <v>-0.7290712006886807</v>
      </c>
      <c r="N299">
        <f>+N296+M299</f>
        <v>-6.2569536647362565</v>
      </c>
      <c r="Z299">
        <f>+(I299-$F$913)/$F$914</f>
        <v>0.14305773746179831</v>
      </c>
      <c r="AA299">
        <f>+AA296+Z299</f>
        <v>10.204283655769363</v>
      </c>
    </row>
    <row r="300" spans="1:27">
      <c r="A300" s="23">
        <v>1</v>
      </c>
      <c r="B300" s="93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2.1000000000000001E-2</v>
      </c>
    </row>
    <row r="301" spans="1:27">
      <c r="A301" s="20">
        <v>17</v>
      </c>
      <c r="B301" s="94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0.01</v>
      </c>
    </row>
    <row r="302" spans="1:27">
      <c r="A302" s="20">
        <v>18</v>
      </c>
      <c r="B302" s="94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0.01</v>
      </c>
      <c r="I302" s="50">
        <f>AVERAGE(F300:F302)</f>
        <v>10.600666666666667</v>
      </c>
      <c r="J302" s="50">
        <f>AVERAGE(G300:G302)</f>
        <v>1.3666666666666667E-2</v>
      </c>
      <c r="L302">
        <f>+J302/I302</f>
        <v>1.2892270926356832E-3</v>
      </c>
      <c r="M302">
        <f>+(L302-$L$913)/$L$914</f>
        <v>-0.72123615783936346</v>
      </c>
      <c r="N302">
        <f>+N299+M302</f>
        <v>-6.9781898225756196</v>
      </c>
      <c r="Z302">
        <f>+(I302-$F$913)/$F$914</f>
        <v>1.1242336515628581</v>
      </c>
      <c r="AA302">
        <f>+AA299+Z302</f>
        <v>11.32851730733222</v>
      </c>
    </row>
    <row r="303" spans="1:27">
      <c r="A303" s="20">
        <v>1</v>
      </c>
      <c r="B303" s="94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0.10199999999999999</v>
      </c>
    </row>
    <row r="304" spans="1:27">
      <c r="A304" s="20">
        <v>17</v>
      </c>
      <c r="B304" s="94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8.9999999999999993E-3</v>
      </c>
    </row>
    <row r="305" spans="1:27">
      <c r="A305" s="20">
        <v>18</v>
      </c>
      <c r="B305" s="94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0.02</v>
      </c>
      <c r="I305" s="50">
        <f>AVERAGE(F303:F305)</f>
        <v>5.8329999999999993</v>
      </c>
      <c r="J305" s="50">
        <f>AVERAGE(G303:G305)</f>
        <v>4.3666666666666659E-2</v>
      </c>
      <c r="L305">
        <f>+J305/I305</f>
        <v>7.4861420652608717E-3</v>
      </c>
      <c r="M305">
        <f>+(L305-$L$913)/$L$914</f>
        <v>-0.4589658339327623</v>
      </c>
      <c r="N305">
        <f>+N302+M305</f>
        <v>-7.4371556565083816</v>
      </c>
      <c r="Z305">
        <f>+(I305-$F$913)/$F$914</f>
        <v>2.6302255898059217E-2</v>
      </c>
      <c r="AA305">
        <f>+AA302+Z305</f>
        <v>11.354819563230279</v>
      </c>
    </row>
    <row r="306" spans="1:27">
      <c r="A306" s="20">
        <v>1</v>
      </c>
      <c r="B306" s="94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1.6E-2</v>
      </c>
    </row>
    <row r="307" spans="1:27">
      <c r="A307" s="20">
        <v>17</v>
      </c>
      <c r="B307" s="94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2.5000000000000001E-2</v>
      </c>
    </row>
    <row r="308" spans="1:27">
      <c r="A308" s="20">
        <v>18</v>
      </c>
      <c r="B308" s="94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0.02</v>
      </c>
      <c r="I308" s="50">
        <f>AVERAGE(F306:F308)</f>
        <v>2.0316666666666667</v>
      </c>
      <c r="J308" s="50">
        <f>AVERAGE(G306:G308)</f>
        <v>2.0333333333333332E-2</v>
      </c>
      <c r="L308">
        <f>+J308/I308</f>
        <v>1.0008203445447087E-2</v>
      </c>
      <c r="M308">
        <f>+(L308-$L$913)/$L$914</f>
        <v>-0.35222532546753887</v>
      </c>
      <c r="N308">
        <f>+N305+M308</f>
        <v>-7.7893809819759205</v>
      </c>
      <c r="Z308">
        <f>+(I308-$F$913)/$F$914</f>
        <v>-0.84909518772645032</v>
      </c>
      <c r="AA308">
        <f>+AA305+Z308</f>
        <v>10.50572437550383</v>
      </c>
    </row>
    <row r="309" spans="1:27">
      <c r="A309" s="20">
        <v>1</v>
      </c>
      <c r="B309" s="94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8.9999999999999993E-3</v>
      </c>
    </row>
    <row r="310" spans="1:27">
      <c r="A310" s="20">
        <v>17</v>
      </c>
      <c r="B310" s="94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1.2999999999999999E-2</v>
      </c>
    </row>
    <row r="311" spans="1:27">
      <c r="A311" s="20">
        <v>18</v>
      </c>
      <c r="B311" s="94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5.0000000000000001E-3</v>
      </c>
      <c r="I311" s="50">
        <f>AVERAGE(F309:F311)</f>
        <v>2.1359999999999997</v>
      </c>
      <c r="J311" s="50">
        <f>AVERAGE(G309:G311)</f>
        <v>8.9999999999999993E-3</v>
      </c>
      <c r="L311">
        <f>+J311/I311</f>
        <v>4.2134831460674165E-3</v>
      </c>
      <c r="M311">
        <f>+(L311-$L$913)/$L$914</f>
        <v>-0.59747367510281568</v>
      </c>
      <c r="N311">
        <f>+N308+M311</f>
        <v>-8.3868546570787359</v>
      </c>
      <c r="Z311">
        <f>+(I311-$F$913)/$F$914</f>
        <v>-0.82506858303910635</v>
      </c>
      <c r="AA311">
        <f>+AA308+Z311</f>
        <v>9.680655792464723</v>
      </c>
    </row>
    <row r="312" spans="1:27">
      <c r="A312" s="20">
        <v>1</v>
      </c>
      <c r="B312" s="94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2.1000000000000001E-2</v>
      </c>
    </row>
    <row r="313" spans="1:27">
      <c r="A313" s="20">
        <v>17</v>
      </c>
      <c r="B313" s="94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1.2999999999999999E-2</v>
      </c>
    </row>
    <row r="314" spans="1:27">
      <c r="A314" s="20">
        <v>18</v>
      </c>
      <c r="B314" s="94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1.4999999999999999E-2</v>
      </c>
      <c r="I314" s="50">
        <f>AVERAGE(F312:F314)</f>
        <v>1.1343333333333334</v>
      </c>
      <c r="J314" s="50">
        <f>AVERAGE(G312:G314)</f>
        <v>1.6333333333333335E-2</v>
      </c>
      <c r="L314">
        <f>+J314/I314</f>
        <v>1.4399059653247136E-2</v>
      </c>
      <c r="M314">
        <f>+(L314-$L$913)/$L$914</f>
        <v>-0.1663923287370411</v>
      </c>
      <c r="N314">
        <f>+N311+M314</f>
        <v>-8.5532469858157771</v>
      </c>
      <c r="Z314">
        <f>+(I314-$F$913)/$F$914</f>
        <v>-1.0557393405006683</v>
      </c>
      <c r="AA314">
        <f>+AA311+Z314</f>
        <v>8.6249164519640544</v>
      </c>
    </row>
    <row r="315" spans="1:27">
      <c r="A315" s="20">
        <v>1</v>
      </c>
      <c r="B315" s="94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0.121</v>
      </c>
    </row>
    <row r="316" spans="1:27">
      <c r="A316" s="20">
        <v>17</v>
      </c>
      <c r="B316" s="94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0.26500000000000001</v>
      </c>
    </row>
    <row r="317" spans="1:27">
      <c r="A317" s="20">
        <v>18</v>
      </c>
      <c r="B317" s="94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0.60099999999999998</v>
      </c>
      <c r="I317" s="50">
        <f>AVERAGE(F315:F317)</f>
        <v>5.08</v>
      </c>
      <c r="J317" s="50">
        <f>AVERAGE(G315:G317)</f>
        <v>0.32900000000000001</v>
      </c>
      <c r="L317">
        <f>+J317/I317</f>
        <v>6.4763779527559059E-2</v>
      </c>
      <c r="M317">
        <f>+(L317-$L$913)/$L$914</f>
        <v>1.9651798250285681</v>
      </c>
      <c r="N317">
        <f>+N314+M317</f>
        <v>-6.588067160787209</v>
      </c>
      <c r="Z317">
        <f>+(I317-$F$913)/$F$914</f>
        <v>-0.14710381435341091</v>
      </c>
      <c r="AA317">
        <f>+AA314+Z317</f>
        <v>8.4778126376106435</v>
      </c>
    </row>
    <row r="318" spans="1:27">
      <c r="A318" s="20">
        <v>1</v>
      </c>
      <c r="B318" s="94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0.125</v>
      </c>
    </row>
    <row r="319" spans="1:27">
      <c r="A319" s="20">
        <v>17</v>
      </c>
      <c r="B319" s="94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0.11899999999999999</v>
      </c>
    </row>
    <row r="320" spans="1:27">
      <c r="A320" s="20">
        <v>18</v>
      </c>
      <c r="B320" s="94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0.34100000000000003</v>
      </c>
      <c r="I320" s="50">
        <f>AVERAGE(F318:F320)</f>
        <v>4.0049999999999999</v>
      </c>
      <c r="J320" s="50">
        <f>AVERAGE(G318:G320)</f>
        <v>0.19499999999999998</v>
      </c>
      <c r="L320">
        <f>+J320/I320</f>
        <v>4.868913857677902E-2</v>
      </c>
      <c r="M320">
        <f>+(L320-$L$913)/$L$914</f>
        <v>1.2848572278222001</v>
      </c>
      <c r="N320">
        <f>+N317+M320</f>
        <v>-5.3032099329650091</v>
      </c>
      <c r="Z320">
        <f>+(I320-$F$913)/$F$914</f>
        <v>-0.39466228117987923</v>
      </c>
      <c r="AA320">
        <f>+AA317+Z320</f>
        <v>8.0831503564307638</v>
      </c>
    </row>
    <row r="321" spans="1:27">
      <c r="A321" s="20">
        <v>1</v>
      </c>
      <c r="B321" s="94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0.22800000000000001</v>
      </c>
    </row>
    <row r="322" spans="1:27">
      <c r="A322" s="20">
        <v>17</v>
      </c>
      <c r="B322" s="94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0.19700000000000001</v>
      </c>
    </row>
    <row r="323" spans="1:27">
      <c r="A323" s="20">
        <v>18</v>
      </c>
      <c r="B323" s="94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0.17299999999999999</v>
      </c>
      <c r="I323" s="50">
        <f>AVERAGE(F321:F323)</f>
        <v>8.202</v>
      </c>
      <c r="J323" s="50">
        <f>AVERAGE(G321:G323)</f>
        <v>0.19933333333333336</v>
      </c>
      <c r="L323">
        <f>+J323/I323</f>
        <v>2.4303015524668785E-2</v>
      </c>
      <c r="M323">
        <f>+(L323-$L$913)/$L$914</f>
        <v>0.25277006510391564</v>
      </c>
      <c r="N323">
        <f>+N320+M323</f>
        <v>-5.0504398678610931</v>
      </c>
      <c r="Z323">
        <f>+(I323-$F$913)/$F$914</f>
        <v>0.57185203069982982</v>
      </c>
      <c r="AA323">
        <f>+AA320+Z323</f>
        <v>8.6550023871305939</v>
      </c>
    </row>
    <row r="324" spans="1:27">
      <c r="A324" s="20">
        <v>1</v>
      </c>
      <c r="B324" s="94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0.39400000000000002</v>
      </c>
    </row>
    <row r="325" spans="1:27">
      <c r="A325" s="20">
        <v>17</v>
      </c>
      <c r="B325" s="94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0.315</v>
      </c>
    </row>
    <row r="326" spans="1:27">
      <c r="A326" s="20">
        <v>18</v>
      </c>
      <c r="B326" s="94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0.20300000000000001</v>
      </c>
      <c r="I326" s="50">
        <f>AVERAGE(F324:F326)</f>
        <v>11.773333333333333</v>
      </c>
      <c r="J326" s="50">
        <f>AVERAGE(G324:G326)</f>
        <v>0.30400000000000005</v>
      </c>
      <c r="L326">
        <f>+J326/I326</f>
        <v>2.5821064552661387E-2</v>
      </c>
      <c r="M326">
        <f>+(L326-$L$913)/$L$914</f>
        <v>0.31701803559189179</v>
      </c>
      <c r="N326">
        <f>+N323+M326</f>
        <v>-4.733421832269201</v>
      </c>
      <c r="Z326">
        <f>+(I326-$F$913)/$F$914</f>
        <v>1.3942834767707697</v>
      </c>
      <c r="AA326">
        <f>+AA323+Z326</f>
        <v>10.049285863901364</v>
      </c>
    </row>
    <row r="327" spans="1:27">
      <c r="A327" s="20">
        <v>1</v>
      </c>
      <c r="B327" s="94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2.9000000000000001E-2</v>
      </c>
    </row>
    <row r="328" spans="1:27">
      <c r="A328" s="20">
        <v>17</v>
      </c>
      <c r="B328" s="94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3.5999999999999997E-2</v>
      </c>
    </row>
    <row r="329" spans="1:27">
      <c r="A329" s="20">
        <v>18</v>
      </c>
      <c r="B329" s="94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4.2000000000000003E-2</v>
      </c>
      <c r="I329" s="50">
        <f>AVERAGE(F327:F329)</f>
        <v>6.4503333333333339</v>
      </c>
      <c r="J329" s="50">
        <f>AVERAGE(G327:G329)</f>
        <v>3.5666666666666673E-2</v>
      </c>
      <c r="L329">
        <f>+J329/I329</f>
        <v>5.5294300036173843E-3</v>
      </c>
      <c r="M329">
        <f>+(L329-$L$913)/$L$914</f>
        <v>-0.54177921905522908</v>
      </c>
      <c r="N329">
        <f>+N326+M329</f>
        <v>-5.2752010513244301</v>
      </c>
      <c r="Z329">
        <f>+(I329-$F$913)/$F$914</f>
        <v>0.16846606382445306</v>
      </c>
      <c r="AA329">
        <f>+AA326+Z329</f>
        <v>10.217751927725818</v>
      </c>
    </row>
    <row r="330" spans="1:27">
      <c r="A330" s="20">
        <v>1</v>
      </c>
      <c r="B330" s="94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1.7999999999999999E-2</v>
      </c>
    </row>
    <row r="331" spans="1:27">
      <c r="A331" s="20">
        <v>17</v>
      </c>
      <c r="B331" s="94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1.4E-2</v>
      </c>
    </row>
    <row r="332" spans="1:27">
      <c r="A332" s="20">
        <v>18</v>
      </c>
      <c r="B332" s="94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5.0000000000000001E-3</v>
      </c>
      <c r="I332" s="50">
        <f>AVERAGE(F330:F332)</f>
        <v>1.6453333333333333</v>
      </c>
      <c r="J332" s="50">
        <f>AVERAGE(G330:G332)</f>
        <v>1.2333333333333333E-2</v>
      </c>
      <c r="L332">
        <f>+J332/I332</f>
        <v>7.4959481361426255E-3</v>
      </c>
      <c r="M332">
        <f>+(L332-$L$913)/$L$914</f>
        <v>-0.45855081429835232</v>
      </c>
      <c r="N332">
        <f>+N329+M332</f>
        <v>-5.7337518656227822</v>
      </c>
      <c r="Z332">
        <f>+(I332-$F$913)/$F$914</f>
        <v>-0.93806271115338891</v>
      </c>
      <c r="AA332">
        <f>+AA329+Z332</f>
        <v>9.2796892165724287</v>
      </c>
    </row>
    <row r="333" spans="1:27">
      <c r="A333" s="20">
        <v>1</v>
      </c>
      <c r="B333" s="94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1.6E-2</v>
      </c>
    </row>
    <row r="334" spans="1:27">
      <c r="A334" s="20">
        <v>17</v>
      </c>
      <c r="B334" s="94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2.4E-2</v>
      </c>
    </row>
    <row r="335" spans="1:27">
      <c r="A335" s="20">
        <v>18</v>
      </c>
      <c r="B335" s="94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2.1000000000000001E-2</v>
      </c>
      <c r="I335" s="50">
        <f>AVERAGE(F333:F335)</f>
        <v>8.9216666666666669</v>
      </c>
      <c r="J335" s="50">
        <f>AVERAGE(G333:G335)</f>
        <v>2.0333333333333332E-2</v>
      </c>
      <c r="L335">
        <f>+J335/I335</f>
        <v>2.2790958341117129E-3</v>
      </c>
      <c r="M335">
        <f>+(L335-$L$913)/$L$914</f>
        <v>-0.67934221599914513</v>
      </c>
      <c r="N335">
        <f>+N332+M335</f>
        <v>-6.4130940816219271</v>
      </c>
      <c r="Z335">
        <f>+(I335-$F$913)/$F$914</f>
        <v>0.73758186942179738</v>
      </c>
      <c r="AA335">
        <f>+AA332+Z335</f>
        <v>10.017271085994226</v>
      </c>
    </row>
    <row r="336" spans="1:27">
      <c r="A336" s="23">
        <v>1</v>
      </c>
      <c r="B336" s="93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1.7999999999999999E-2</v>
      </c>
    </row>
    <row r="337" spans="1:27">
      <c r="A337" s="20">
        <v>17</v>
      </c>
      <c r="B337" s="94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2.4E-2</v>
      </c>
    </row>
    <row r="338" spans="1:27">
      <c r="A338" s="20">
        <v>18</v>
      </c>
      <c r="B338" s="94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2.3E-2</v>
      </c>
      <c r="I338" s="50">
        <f>AVERAGE(F336:F338)</f>
        <v>12.879333333333335</v>
      </c>
      <c r="J338" s="50">
        <f>AVERAGE(G336:G338)</f>
        <v>2.1666666666666667E-2</v>
      </c>
      <c r="L338">
        <f>+J338/I338</f>
        <v>1.6822816915989438E-3</v>
      </c>
      <c r="M338">
        <f>+(L338-$L$913)/$L$914</f>
        <v>-0.70460101641198258</v>
      </c>
      <c r="N338">
        <f>+N335+M338</f>
        <v>-7.1176950980339093</v>
      </c>
      <c r="Z338">
        <f>+(I338-$F$913)/$F$914</f>
        <v>1.6489808389196761</v>
      </c>
      <c r="AA338">
        <f>+AA335+Z338</f>
        <v>11.666251924913903</v>
      </c>
    </row>
    <row r="339" spans="1:27">
      <c r="A339" s="11">
        <v>1</v>
      </c>
      <c r="B339" s="94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4.2999999999999997E-2</v>
      </c>
    </row>
    <row r="340" spans="1:27">
      <c r="A340" s="11">
        <v>17</v>
      </c>
      <c r="B340" s="94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3.2000000000000001E-2</v>
      </c>
    </row>
    <row r="341" spans="1:27">
      <c r="A341" s="11">
        <v>18</v>
      </c>
      <c r="B341" s="94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3.5000000000000003E-2</v>
      </c>
      <c r="I341" s="50">
        <f>AVERAGE(F339:F341)</f>
        <v>9.4990000000000006</v>
      </c>
      <c r="J341" s="50">
        <f>AVERAGE(G339:G341)</f>
        <v>3.6666666666666667E-2</v>
      </c>
      <c r="L341">
        <f>+J341/I341</f>
        <v>3.8600554444327469E-3</v>
      </c>
      <c r="M341">
        <f>+(L341-$L$913)/$L$914</f>
        <v>-0.6124316982796324</v>
      </c>
      <c r="N341">
        <f>+N338+M341</f>
        <v>-7.7301267963135416</v>
      </c>
      <c r="Z341">
        <f>+(I341-$F$913)/$F$914</f>
        <v>0.87053419951278754</v>
      </c>
      <c r="AA341">
        <f>+AA338+Z341</f>
        <v>12.53678612442669</v>
      </c>
    </row>
    <row r="342" spans="1:27">
      <c r="A342" s="11">
        <v>1</v>
      </c>
      <c r="B342" s="94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1.7000000000000001E-2</v>
      </c>
    </row>
    <row r="343" spans="1:27">
      <c r="A343" s="11">
        <v>17</v>
      </c>
      <c r="B343" s="94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1.7999999999999999E-2</v>
      </c>
    </row>
    <row r="344" spans="1:27">
      <c r="A344" s="11">
        <v>18</v>
      </c>
      <c r="B344" s="94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2.4E-2</v>
      </c>
      <c r="I344" s="50">
        <f>AVERAGE(F342:F344)</f>
        <v>5.2756666666666661</v>
      </c>
      <c r="J344" s="50">
        <f>AVERAGE(G342:G344)</f>
        <v>1.9666666666666669E-2</v>
      </c>
      <c r="L344">
        <f>+J344/I344</f>
        <v>3.7278069122385804E-3</v>
      </c>
      <c r="M344">
        <f>+(L344-$L$913)/$L$914</f>
        <v>-0.61802881644697161</v>
      </c>
      <c r="N344">
        <f>+N341+M344</f>
        <v>-8.3481556127605128</v>
      </c>
      <c r="Z344">
        <f>+(I344-$F$913)/$F$914</f>
        <v>-0.1020443352752291</v>
      </c>
      <c r="AA344">
        <f>+AA341+Z344</f>
        <v>12.434741789151461</v>
      </c>
    </row>
    <row r="345" spans="1:27">
      <c r="A345" s="11">
        <v>1</v>
      </c>
      <c r="B345" s="94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1.2999999999999999E-2</v>
      </c>
    </row>
    <row r="346" spans="1:27">
      <c r="A346" s="11">
        <v>17</v>
      </c>
      <c r="B346" s="94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1.9E-2</v>
      </c>
    </row>
    <row r="347" spans="1:27">
      <c r="A347" s="11">
        <v>18</v>
      </c>
      <c r="B347" s="94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1.9E-2</v>
      </c>
      <c r="I347" s="50">
        <f>AVERAGE(F345:F347)</f>
        <v>3.3593333333333333</v>
      </c>
      <c r="J347" s="50">
        <f>AVERAGE(G345:G347)</f>
        <v>1.7000000000000001E-2</v>
      </c>
      <c r="L347">
        <f>+J347/I347</f>
        <v>5.0605278825163729E-3</v>
      </c>
      <c r="M347">
        <f>+(L347-$L$913)/$L$914</f>
        <v>-0.56162443425100217</v>
      </c>
      <c r="N347">
        <f>+N344+M347</f>
        <v>-8.9097800470115143</v>
      </c>
      <c r="Z347">
        <f>+(I347-$F$913)/$F$914</f>
        <v>-0.54335088590635017</v>
      </c>
      <c r="AA347">
        <f>+AA344+Z347</f>
        <v>11.891390903245112</v>
      </c>
    </row>
    <row r="348" spans="1:27">
      <c r="A348" s="11">
        <v>1</v>
      </c>
      <c r="B348" s="94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8.9999999999999993E-3</v>
      </c>
    </row>
    <row r="349" spans="1:27">
      <c r="A349" s="11">
        <v>17</v>
      </c>
      <c r="B349" s="94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1.2999999999999999E-2</v>
      </c>
    </row>
    <row r="350" spans="1:27">
      <c r="A350" s="11">
        <v>18</v>
      </c>
      <c r="B350" s="94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4.0000000000000001E-3</v>
      </c>
      <c r="I350" s="50">
        <f>AVERAGE(F348:F350)</f>
        <v>1.4989999999999999</v>
      </c>
      <c r="J350" s="50">
        <f>AVERAGE(G348:G350)</f>
        <v>8.6666666666666663E-3</v>
      </c>
      <c r="L350">
        <f>+J350/I350</f>
        <v>5.7816321992439409E-3</v>
      </c>
      <c r="M350">
        <f>+(L350-$L$913)/$L$914</f>
        <v>-0.53110533506147928</v>
      </c>
      <c r="N350">
        <f>+N347+M350</f>
        <v>-9.4408853820729934</v>
      </c>
      <c r="Z350">
        <f>+(I350-$F$913)/$F$914</f>
        <v>-0.97176136756790665</v>
      </c>
      <c r="AA350">
        <f>+AA347+Z350</f>
        <v>10.919629535677206</v>
      </c>
    </row>
    <row r="351" spans="1:27">
      <c r="A351" s="20">
        <v>1</v>
      </c>
      <c r="B351" s="94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4.3999999999999997E-2</v>
      </c>
    </row>
    <row r="352" spans="1:27">
      <c r="A352" s="20">
        <v>17</v>
      </c>
      <c r="B352" s="94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4.7E-2</v>
      </c>
    </row>
    <row r="353" spans="1:27">
      <c r="A353" s="20">
        <v>18</v>
      </c>
      <c r="B353" s="94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2.1000000000000001E-2</v>
      </c>
      <c r="I353" s="50">
        <f>AVERAGE(F351:F353)</f>
        <v>2.621</v>
      </c>
      <c r="J353" s="50">
        <f>AVERAGE(G351:G353)</f>
        <v>3.7333333333333336E-2</v>
      </c>
      <c r="L353">
        <f>+J353/I353</f>
        <v>1.4243927254228668E-2</v>
      </c>
      <c r="M353">
        <f>+(L353-$L$913)/$L$914</f>
        <v>-0.17295795449093873</v>
      </c>
      <c r="N353">
        <f>+N350+M353</f>
        <v>-9.6138433365639315</v>
      </c>
      <c r="Z353">
        <f>+(I353-$F$913)/$F$914</f>
        <v>-0.7133794142848392</v>
      </c>
      <c r="AA353">
        <f>+AA350+Z353</f>
        <v>10.206250121392367</v>
      </c>
    </row>
    <row r="354" spans="1:27">
      <c r="A354" s="20">
        <v>1</v>
      </c>
      <c r="B354" s="94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0.17199999999999999</v>
      </c>
    </row>
    <row r="355" spans="1:27">
      <c r="A355" s="20">
        <v>17</v>
      </c>
      <c r="B355" s="94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0.46300000000000002</v>
      </c>
    </row>
    <row r="356" spans="1:27">
      <c r="A356" s="20">
        <v>18</v>
      </c>
      <c r="B356" s="94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0.97099999999999997</v>
      </c>
      <c r="I356" s="50">
        <f>AVERAGE(F354:F356)</f>
        <v>7.3820000000000006</v>
      </c>
      <c r="J356" s="50">
        <f>AVERAGE(G354:G356)</f>
        <v>0.53533333333333333</v>
      </c>
      <c r="L356">
        <f>+J356/I356</f>
        <v>7.2518739275715699E-2</v>
      </c>
      <c r="M356">
        <f>+(L356-$L$913)/$L$914</f>
        <v>2.2933908484194667</v>
      </c>
      <c r="N356">
        <f>+N353+M356</f>
        <v>-7.3204524881444648</v>
      </c>
      <c r="Z356">
        <f>+(I356-$F$913)/$F$914</f>
        <v>0.38301673507405887</v>
      </c>
      <c r="AA356">
        <f>+AA353+Z356</f>
        <v>10.589266856466425</v>
      </c>
    </row>
    <row r="357" spans="1:27">
      <c r="A357" s="20">
        <v>1</v>
      </c>
      <c r="B357" s="94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0.7</v>
      </c>
    </row>
    <row r="358" spans="1:27">
      <c r="A358" s="20">
        <v>17</v>
      </c>
      <c r="B358" s="94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0.877</v>
      </c>
    </row>
    <row r="359" spans="1:27">
      <c r="A359" s="20">
        <v>18</v>
      </c>
      <c r="B359" s="94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0.77900000000000003</v>
      </c>
      <c r="I359" s="50">
        <f>AVERAGE(F357:F359)</f>
        <v>10.837666666666669</v>
      </c>
      <c r="J359" s="50">
        <f>AVERAGE(G357:G359)</f>
        <v>0.78533333333333333</v>
      </c>
      <c r="L359">
        <f>+J359/I359</f>
        <v>7.2463322363362337E-2</v>
      </c>
      <c r="M359">
        <f>+(L359-$L$913)/$L$914</f>
        <v>2.2910454537162921</v>
      </c>
      <c r="N359">
        <f>+N356+M359</f>
        <v>-5.0294070344281732</v>
      </c>
      <c r="Z359">
        <f>+(I359-$F$913)/$F$914</f>
        <v>1.178811657737624</v>
      </c>
      <c r="AA359">
        <f>+AA356+Z359</f>
        <v>11.768078514204049</v>
      </c>
    </row>
    <row r="360" spans="1:27">
      <c r="A360" s="20">
        <v>1</v>
      </c>
      <c r="B360" s="94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4.7E-2</v>
      </c>
    </row>
    <row r="361" spans="1:27">
      <c r="A361" s="20">
        <v>17</v>
      </c>
      <c r="B361" s="94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0.17399999999999999</v>
      </c>
    </row>
    <row r="362" spans="1:27">
      <c r="A362" s="20">
        <v>18</v>
      </c>
      <c r="B362" s="94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6.5000000000000002E-2</v>
      </c>
      <c r="I362" s="50">
        <f>AVERAGE(F360:F362)</f>
        <v>6.5323333333333338</v>
      </c>
      <c r="J362" s="50">
        <f>AVERAGE(G360:G362)</f>
        <v>9.5333333333333325E-2</v>
      </c>
      <c r="L362">
        <f>+J362/I362</f>
        <v>1.459407052099811E-2</v>
      </c>
      <c r="M362">
        <f>+(L362-$L$913)/$L$914</f>
        <v>-0.15813893754540939</v>
      </c>
      <c r="N362">
        <f>+N359+M362</f>
        <v>-5.1875459719735826</v>
      </c>
      <c r="Z362">
        <f>+(I362-$F$913)/$F$914</f>
        <v>0.18734959338703014</v>
      </c>
      <c r="AA362">
        <f>+AA359+Z362</f>
        <v>11.955428107591079</v>
      </c>
    </row>
    <row r="363" spans="1:27">
      <c r="A363" s="20">
        <v>1</v>
      </c>
      <c r="B363" s="94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0.113</v>
      </c>
    </row>
    <row r="364" spans="1:27">
      <c r="A364" s="20">
        <v>17</v>
      </c>
      <c r="B364" s="94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0.106</v>
      </c>
    </row>
    <row r="365" spans="1:27">
      <c r="A365" s="20">
        <v>18</v>
      </c>
      <c r="B365" s="94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5.8000000000000003E-2</v>
      </c>
      <c r="I365" s="50">
        <f>AVERAGE(F363:F365)</f>
        <v>2.5559999999999996</v>
      </c>
      <c r="J365" s="50">
        <f>AVERAGE(G363:G365)</f>
        <v>9.2333333333333337E-2</v>
      </c>
      <c r="L365">
        <f>+J365/I365</f>
        <v>3.612415232133543E-2</v>
      </c>
      <c r="M365">
        <f>+(L365-$L$913)/$L$914</f>
        <v>0.7530727786802186</v>
      </c>
      <c r="N365">
        <f>+N362+M365</f>
        <v>-4.4344731932933641</v>
      </c>
      <c r="Z365">
        <f>+(I365-$F$913)/$F$914</f>
        <v>-0.72834806576736999</v>
      </c>
      <c r="AA365">
        <f>+AA362+Z365</f>
        <v>11.227080041823708</v>
      </c>
    </row>
    <row r="366" spans="1:27">
      <c r="A366" s="20">
        <v>1</v>
      </c>
      <c r="B366" s="94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3.3000000000000002E-2</v>
      </c>
    </row>
    <row r="367" spans="1:27">
      <c r="A367" s="20">
        <v>17</v>
      </c>
      <c r="B367" s="94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2.5000000000000001E-2</v>
      </c>
    </row>
    <row r="368" spans="1:27">
      <c r="A368" s="20">
        <v>18</v>
      </c>
      <c r="B368" s="94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2.9000000000000001E-2</v>
      </c>
      <c r="I368" s="50">
        <f>AVERAGE(F366:F368)</f>
        <v>4.2463333333333333</v>
      </c>
      <c r="J368" s="50">
        <f>AVERAGE(G366:G368)</f>
        <v>2.9000000000000001E-2</v>
      </c>
      <c r="L368">
        <f>+J368/I368</f>
        <v>6.8294214616531918E-3</v>
      </c>
      <c r="M368">
        <f>+(L368-$L$913)/$L$914</f>
        <v>-0.48676003898240167</v>
      </c>
      <c r="N368">
        <f>+N365+M368</f>
        <v>-4.9212332322757657</v>
      </c>
      <c r="Z368">
        <f>+(I368-$F$913)/$F$914</f>
        <v>-0.33908636490627825</v>
      </c>
      <c r="AA368">
        <f>+AA365+Z368</f>
        <v>10.88799367691743</v>
      </c>
    </row>
    <row r="369" spans="1:27">
      <c r="A369" s="20">
        <v>1</v>
      </c>
      <c r="B369" s="94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1.6E-2</v>
      </c>
    </row>
    <row r="370" spans="1:27">
      <c r="A370" s="20">
        <v>17</v>
      </c>
      <c r="B370" s="94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1.7999999999999999E-2</v>
      </c>
    </row>
    <row r="371" spans="1:27">
      <c r="A371" s="20">
        <v>18</v>
      </c>
      <c r="B371" s="94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0.02</v>
      </c>
      <c r="I371" s="50">
        <f>AVERAGE(F369:F371)</f>
        <v>5.323666666666667</v>
      </c>
      <c r="J371" s="50">
        <f>AVERAGE(G369:G371)</f>
        <v>1.8000000000000002E-2</v>
      </c>
      <c r="L371">
        <f>+J371/I371</f>
        <v>3.3811282950347507E-3</v>
      </c>
      <c r="M371">
        <f>+(L371-$L$913)/$L$914</f>
        <v>-0.63270119998413399</v>
      </c>
      <c r="N371">
        <f>+N368+M371</f>
        <v>-5.5539344322598998</v>
      </c>
      <c r="Z371">
        <f>+(I371-$F$913)/$F$914</f>
        <v>-9.0990561872744721E-2</v>
      </c>
      <c r="AA371">
        <f>+AA368+Z371</f>
        <v>10.797003115044685</v>
      </c>
    </row>
    <row r="372" spans="1:27">
      <c r="A372" s="43">
        <v>1</v>
      </c>
      <c r="B372" s="95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9.9383749999999993E-3</v>
      </c>
    </row>
    <row r="373" spans="1:27">
      <c r="A373" s="20">
        <v>17</v>
      </c>
      <c r="B373" s="86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1.3779125E-2</v>
      </c>
    </row>
    <row r="374" spans="1:27">
      <c r="A374" s="20">
        <v>18</v>
      </c>
      <c r="B374" s="86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1.3148875000000001E-2</v>
      </c>
      <c r="I374" s="50">
        <f>AVERAGE(F372:F374)</f>
        <v>6.6040000000000001</v>
      </c>
      <c r="J374" s="50">
        <f>AVERAGE(G372:G374)</f>
        <v>1.2288791666666667E-2</v>
      </c>
      <c r="L374">
        <f>+J374/I374</f>
        <v>1.8608103674540681E-3</v>
      </c>
      <c r="M374">
        <f>+(L374-$L$913)/$L$914</f>
        <v>-0.69704519648384433</v>
      </c>
      <c r="N374">
        <f>+N371+M374</f>
        <v>-6.2509796287437442</v>
      </c>
      <c r="Z374">
        <f>+(I374-$F$913)/$F$914</f>
        <v>0.20385349117546128</v>
      </c>
      <c r="AA374">
        <f>+AA371+Z374</f>
        <v>11.000856606220147</v>
      </c>
    </row>
    <row r="375" spans="1:27">
      <c r="A375" s="20">
        <v>1</v>
      </c>
      <c r="B375" s="86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1.5066125E-2</v>
      </c>
    </row>
    <row r="376" spans="1:27">
      <c r="A376" s="20">
        <v>17</v>
      </c>
      <c r="B376" s="86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2.4088999999999992E-2</v>
      </c>
    </row>
    <row r="377" spans="1:27">
      <c r="A377" s="20">
        <v>18</v>
      </c>
      <c r="B377" s="86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0</v>
      </c>
      <c r="I377" s="50">
        <f>AVERAGE(F375:F377)</f>
        <v>10.268666666666666</v>
      </c>
      <c r="J377" s="50">
        <f>AVERAGE(G375:G377)</f>
        <v>1.305170833333333E-2</v>
      </c>
      <c r="L377">
        <f>+J377/I377</f>
        <v>1.2710226903849898E-3</v>
      </c>
      <c r="M377">
        <f>+(L377-$L$913)/$L$914</f>
        <v>-0.72200661773689423</v>
      </c>
      <c r="N377">
        <f>+N374+M377</f>
        <v>-6.9729862464806383</v>
      </c>
      <c r="Z377">
        <f>+(I377-$F$913)/$F$914</f>
        <v>1.047778385529009</v>
      </c>
      <c r="AA377">
        <f>+AA374+Z377</f>
        <v>12.048634991749156</v>
      </c>
    </row>
    <row r="378" spans="1:27">
      <c r="A378" s="20">
        <v>1</v>
      </c>
      <c r="B378" s="86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8.0541499999999988E-2</v>
      </c>
    </row>
    <row r="379" spans="1:27">
      <c r="A379" s="20">
        <v>17</v>
      </c>
      <c r="B379" s="86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1.5839375000000003E-2</v>
      </c>
    </row>
    <row r="380" spans="1:27">
      <c r="A380" s="20">
        <v>18</v>
      </c>
      <c r="B380" s="86">
        <v>40254</v>
      </c>
      <c r="C380" s="20">
        <v>2010</v>
      </c>
      <c r="D380" s="10" t="s">
        <v>27</v>
      </c>
      <c r="E380" s="20">
        <v>3</v>
      </c>
      <c r="F380" s="49">
        <v>3.1829999999999998</v>
      </c>
      <c r="G380" s="50">
        <v>2.0600125E-2</v>
      </c>
      <c r="I380" s="50">
        <f>AVERAGE(F378:F380)</f>
        <v>2.5406666666666666</v>
      </c>
      <c r="J380" s="50">
        <f>AVERAGE(G378:G380)</f>
        <v>3.8993666666666663E-2</v>
      </c>
      <c r="L380">
        <f>+J380/I380</f>
        <v>1.5347808974022565E-2</v>
      </c>
      <c r="M380">
        <f>+(L380-$L$913)/$L$914</f>
        <v>-0.12623867280257395</v>
      </c>
      <c r="N380">
        <f>+N377+M380</f>
        <v>-7.0992249192832126</v>
      </c>
      <c r="Z380">
        <f>+(I380-$F$913)/$F$914</f>
        <v>-0.73187913227094126</v>
      </c>
      <c r="AA380">
        <f>+AA377+Z380</f>
        <v>11.316755859478214</v>
      </c>
    </row>
    <row r="381" spans="1:27">
      <c r="A381" s="20">
        <v>1</v>
      </c>
      <c r="B381" s="86">
        <v>40282</v>
      </c>
      <c r="C381" s="20">
        <v>2010</v>
      </c>
      <c r="D381" s="10" t="s">
        <v>28</v>
      </c>
      <c r="E381" s="20">
        <v>4</v>
      </c>
      <c r="F381" s="49">
        <v>3.3370000000000002</v>
      </c>
      <c r="G381" s="50">
        <v>2.3836875000000004E-2</v>
      </c>
    </row>
    <row r="382" spans="1:27">
      <c r="A382" s="20">
        <v>17</v>
      </c>
      <c r="B382" s="86">
        <v>40282</v>
      </c>
      <c r="C382" s="20">
        <v>2010</v>
      </c>
      <c r="D382" s="10" t="s">
        <v>28</v>
      </c>
      <c r="E382" s="20">
        <v>4</v>
      </c>
      <c r="F382" s="49">
        <v>4.6260000000000003</v>
      </c>
      <c r="G382" s="50">
        <v>2.9251124999999996E-2</v>
      </c>
    </row>
    <row r="383" spans="1:27">
      <c r="A383" s="20">
        <v>18</v>
      </c>
      <c r="B383" s="86">
        <v>40282</v>
      </c>
      <c r="C383" s="20">
        <v>2010</v>
      </c>
      <c r="D383" s="10" t="s">
        <v>28</v>
      </c>
      <c r="E383" s="20">
        <v>4</v>
      </c>
      <c r="F383" s="51">
        <v>3.17</v>
      </c>
      <c r="G383" s="50">
        <v>3.0602624999999998E-2</v>
      </c>
      <c r="I383" s="50">
        <f>AVERAGE(F381:F383)</f>
        <v>3.7110000000000003</v>
      </c>
      <c r="J383" s="50">
        <f>AVERAGE(G381:G383)</f>
        <v>2.7896874999999998E-2</v>
      </c>
      <c r="L383">
        <f>+J383/I383</f>
        <v>7.5173470762597673E-3</v>
      </c>
      <c r="M383">
        <f>+(L383-$L$913)/$L$914</f>
        <v>-0.457645152855429</v>
      </c>
      <c r="N383">
        <f>+N380+M383</f>
        <v>-7.5568700721386417</v>
      </c>
      <c r="Z383">
        <f>+(I383-$F$913)/$F$914</f>
        <v>-0.46236664327009463</v>
      </c>
      <c r="AA383">
        <f>+AA380+Z383</f>
        <v>10.854389216208119</v>
      </c>
    </row>
    <row r="384" spans="1:27">
      <c r="A384" s="20">
        <v>1</v>
      </c>
      <c r="B384" s="94">
        <v>40315</v>
      </c>
      <c r="C384" s="20">
        <v>2010</v>
      </c>
      <c r="D384" s="10" t="s">
        <v>29</v>
      </c>
      <c r="E384" s="20">
        <v>5</v>
      </c>
      <c r="F384" s="52">
        <v>0.67200000000000004</v>
      </c>
      <c r="G384" s="50">
        <v>1.7032749999999999E-2</v>
      </c>
    </row>
    <row r="385" spans="1:27">
      <c r="A385" s="20">
        <v>17</v>
      </c>
      <c r="B385" s="94">
        <v>40315</v>
      </c>
      <c r="C385" s="20">
        <v>2010</v>
      </c>
      <c r="D385" s="10" t="s">
        <v>29</v>
      </c>
      <c r="E385" s="20">
        <v>5</v>
      </c>
      <c r="F385" s="52">
        <v>1.71</v>
      </c>
      <c r="G385" s="50">
        <v>4.4653499999999999E-2</v>
      </c>
    </row>
    <row r="386" spans="1:27">
      <c r="A386" s="20">
        <v>18</v>
      </c>
      <c r="B386" s="94">
        <v>40315</v>
      </c>
      <c r="C386" s="20">
        <v>2010</v>
      </c>
      <c r="D386" s="10" t="s">
        <v>29</v>
      </c>
      <c r="E386" s="20">
        <v>5</v>
      </c>
      <c r="F386" s="52">
        <v>0.433</v>
      </c>
      <c r="G386" s="50">
        <v>1.8049375000000003E-2</v>
      </c>
      <c r="I386" s="50">
        <f>AVERAGE(F384:F386)</f>
        <v>0.93833333333333335</v>
      </c>
      <c r="J386" s="50">
        <f>AVERAGE(G384:G386)</f>
        <v>2.6578541666666667E-2</v>
      </c>
      <c r="L386">
        <f>+J386/I386</f>
        <v>2.8325266429840141E-2</v>
      </c>
      <c r="M386">
        <f>+(L386-$L$913)/$L$914</f>
        <v>0.4230026812351676</v>
      </c>
      <c r="N386">
        <f>+N383+M386</f>
        <v>-7.1338673909034744</v>
      </c>
      <c r="Z386">
        <f>+(I386-$F$913)/$F$914</f>
        <v>-1.1008755818941451</v>
      </c>
      <c r="AA386">
        <f>+AA383+Z386</f>
        <v>9.7535136343139737</v>
      </c>
    </row>
    <row r="387" spans="1:27">
      <c r="A387" s="20">
        <v>1</v>
      </c>
      <c r="B387" s="94">
        <v>40344</v>
      </c>
      <c r="C387" s="20">
        <v>2010</v>
      </c>
      <c r="D387" s="10" t="s">
        <v>30</v>
      </c>
      <c r="E387" s="20">
        <v>6</v>
      </c>
      <c r="F387" s="52">
        <v>2.6179999999999999</v>
      </c>
      <c r="G387" s="50">
        <v>0.19022587499999999</v>
      </c>
    </row>
    <row r="388" spans="1:27">
      <c r="A388" s="20">
        <v>17</v>
      </c>
      <c r="B388" s="94">
        <v>40344</v>
      </c>
      <c r="C388" s="20">
        <v>2010</v>
      </c>
      <c r="D388" s="10" t="s">
        <v>30</v>
      </c>
      <c r="E388" s="20">
        <v>6</v>
      </c>
      <c r="F388" s="52">
        <v>2.0750000000000002</v>
      </c>
      <c r="G388" s="50">
        <v>0.25558637499999992</v>
      </c>
    </row>
    <row r="389" spans="1:27" ht="20.25" customHeight="1">
      <c r="A389" s="20">
        <v>18</v>
      </c>
      <c r="B389" s="94">
        <v>40344</v>
      </c>
      <c r="C389" s="20">
        <v>2010</v>
      </c>
      <c r="D389" s="10" t="s">
        <v>30</v>
      </c>
      <c r="E389" s="20">
        <v>6</v>
      </c>
      <c r="F389" s="52">
        <v>3.0760000000000001</v>
      </c>
      <c r="G389" s="50">
        <v>0.26170262500000002</v>
      </c>
      <c r="I389" s="50">
        <f>AVERAGE(F387:F389)</f>
        <v>2.5896666666666666</v>
      </c>
      <c r="J389" s="50">
        <f>AVERAGE(G387:G389)</f>
        <v>0.23583829166666667</v>
      </c>
      <c r="L389">
        <f>+J389/I389</f>
        <v>9.1068976058694823E-2</v>
      </c>
      <c r="M389">
        <f>+(L389-$L$913)/$L$914</f>
        <v>3.0784874055140778</v>
      </c>
      <c r="N389">
        <f>+N386+M389</f>
        <v>-4.055379985389397</v>
      </c>
      <c r="Z389">
        <f>+(I389-$F$913)/$F$914</f>
        <v>-0.72059507192257199</v>
      </c>
      <c r="AA389">
        <f>+AA386+Z389</f>
        <v>9.0329185623914015</v>
      </c>
    </row>
    <row r="390" spans="1:27">
      <c r="A390" s="20">
        <v>1</v>
      </c>
      <c r="B390" s="94">
        <v>40371</v>
      </c>
      <c r="C390" s="20">
        <v>2010</v>
      </c>
      <c r="D390" s="10" t="s">
        <v>31</v>
      </c>
      <c r="E390" s="20">
        <v>7</v>
      </c>
      <c r="F390" s="52">
        <v>7.69</v>
      </c>
      <c r="G390" s="50">
        <v>0.12024099999999999</v>
      </c>
    </row>
    <row r="391" spans="1:27">
      <c r="A391" s="20">
        <v>17</v>
      </c>
      <c r="B391" s="94">
        <v>40371</v>
      </c>
      <c r="C391" s="20">
        <v>2010</v>
      </c>
      <c r="D391" s="10" t="s">
        <v>31</v>
      </c>
      <c r="E391" s="20">
        <v>7</v>
      </c>
      <c r="F391" s="52">
        <v>5.4009999999999998</v>
      </c>
      <c r="G391" s="50">
        <v>0.13698674999999999</v>
      </c>
    </row>
    <row r="392" spans="1:27">
      <c r="A392" s="20">
        <v>18</v>
      </c>
      <c r="B392" s="94">
        <v>40371</v>
      </c>
      <c r="C392" s="20">
        <v>2010</v>
      </c>
      <c r="D392" s="10" t="s">
        <v>31</v>
      </c>
      <c r="E392" s="20">
        <v>7</v>
      </c>
      <c r="F392" s="52">
        <v>4.92</v>
      </c>
      <c r="G392" s="50">
        <v>0.10277812499999997</v>
      </c>
      <c r="I392" s="50">
        <f>AVERAGE(F390:F392)</f>
        <v>6.0036666666666676</v>
      </c>
      <c r="J392" s="50">
        <f>AVERAGE(G390:G392)</f>
        <v>0.12000195833333331</v>
      </c>
      <c r="L392">
        <f>+J392/I392</f>
        <v>1.9988111431902718E-2</v>
      </c>
      <c r="M392">
        <f>+(L392-$L$913)/$L$914</f>
        <v>7.0151568798121108E-2</v>
      </c>
      <c r="N392">
        <f>+N389+M392</f>
        <v>-3.9852284165912759</v>
      </c>
      <c r="Z392">
        <f>+(I392-$F$913)/$F$914</f>
        <v>6.5604561329114394E-2</v>
      </c>
      <c r="AA392">
        <f>+AA389+Z392</f>
        <v>9.0985231237205166</v>
      </c>
    </row>
    <row r="393" spans="1:27">
      <c r="A393" s="20">
        <v>1</v>
      </c>
      <c r="B393" s="94">
        <v>40407</v>
      </c>
      <c r="C393" s="20">
        <v>2010</v>
      </c>
      <c r="D393" s="10" t="s">
        <v>32</v>
      </c>
      <c r="E393" s="20">
        <v>8</v>
      </c>
      <c r="F393" s="52">
        <v>11.997</v>
      </c>
      <c r="G393" s="50">
        <v>0.40655499999999994</v>
      </c>
    </row>
    <row r="394" spans="1:27">
      <c r="A394" s="20">
        <v>17</v>
      </c>
      <c r="B394" s="94">
        <v>40407</v>
      </c>
      <c r="C394" s="20">
        <v>2010</v>
      </c>
      <c r="D394" s="10" t="s">
        <v>32</v>
      </c>
      <c r="E394" s="20">
        <v>8</v>
      </c>
      <c r="F394" s="52">
        <v>12.503</v>
      </c>
      <c r="G394" s="50">
        <v>0.62758599999999998</v>
      </c>
    </row>
    <row r="395" spans="1:27">
      <c r="A395" s="20">
        <v>18</v>
      </c>
      <c r="B395" s="94">
        <v>40407</v>
      </c>
      <c r="C395" s="20">
        <v>2010</v>
      </c>
      <c r="D395" s="10" t="s">
        <v>32</v>
      </c>
      <c r="E395" s="20">
        <v>8</v>
      </c>
      <c r="F395" s="52">
        <v>8.4649999999999999</v>
      </c>
      <c r="G395" s="50">
        <v>0.34550162500000003</v>
      </c>
      <c r="I395" s="50">
        <f>AVERAGE(F393:F395)</f>
        <v>10.988333333333335</v>
      </c>
      <c r="J395" s="50">
        <f>AVERAGE(G393:G395)</f>
        <v>0.45988087500000002</v>
      </c>
      <c r="L395">
        <f>+J395/I395</f>
        <v>4.1851740482329737E-2</v>
      </c>
      <c r="M395">
        <f>+(L395-$L$913)/$L$914</f>
        <v>0.99547991333083774</v>
      </c>
      <c r="N395">
        <f>+N392+M395</f>
        <v>-2.9897485032604383</v>
      </c>
      <c r="Z395">
        <f>+(I395-$F$913)/$F$914</f>
        <v>1.2135082242509769</v>
      </c>
      <c r="AA395">
        <f>+AA392+Z395</f>
        <v>10.312031347971494</v>
      </c>
    </row>
    <row r="396" spans="1:27">
      <c r="A396" s="20">
        <v>1</v>
      </c>
      <c r="B396" s="94">
        <v>40436</v>
      </c>
      <c r="C396" s="20">
        <v>2010</v>
      </c>
      <c r="D396" s="10" t="s">
        <v>38</v>
      </c>
      <c r="E396" s="20">
        <v>9</v>
      </c>
      <c r="F396" s="52">
        <v>9.1959999999999997</v>
      </c>
      <c r="G396" s="50">
        <v>0.26796224999999996</v>
      </c>
    </row>
    <row r="397" spans="1:27">
      <c r="A397" s="20">
        <v>17</v>
      </c>
      <c r="B397" s="94">
        <v>40436</v>
      </c>
      <c r="C397" s="20">
        <v>2010</v>
      </c>
      <c r="D397" s="10" t="s">
        <v>38</v>
      </c>
      <c r="E397" s="20">
        <v>9</v>
      </c>
      <c r="F397" s="52">
        <v>6.9210000000000003</v>
      </c>
      <c r="G397" s="50">
        <v>0.274526875</v>
      </c>
    </row>
    <row r="398" spans="1:27">
      <c r="A398" s="20">
        <v>18</v>
      </c>
      <c r="B398" s="94">
        <v>40436</v>
      </c>
      <c r="C398" s="20">
        <v>2010</v>
      </c>
      <c r="D398" s="10" t="s">
        <v>38</v>
      </c>
      <c r="E398" s="20">
        <v>9</v>
      </c>
      <c r="F398" s="52">
        <v>7.9589999999999996</v>
      </c>
      <c r="G398" s="50">
        <v>0.18405575000000002</v>
      </c>
      <c r="I398" s="50">
        <f>AVERAGE(F396:F398)</f>
        <v>8.0253333333333341</v>
      </c>
      <c r="J398" s="50">
        <f>AVERAGE(G396:G398)</f>
        <v>0.24218162499999996</v>
      </c>
      <c r="L398">
        <f>+J398/I398</f>
        <v>3.0177142174779854E-2</v>
      </c>
      <c r="M398">
        <f>+(L398-$L$913)/$L$914</f>
        <v>0.50137910782898998</v>
      </c>
      <c r="N398">
        <f>+N395+M398</f>
        <v>-2.4883693954314481</v>
      </c>
      <c r="Z398">
        <f>+(I398-$F$913)/$F$914</f>
        <v>0.53116800359346472</v>
      </c>
      <c r="AA398">
        <f>+AA395+Z398</f>
        <v>10.843199351564959</v>
      </c>
    </row>
    <row r="399" spans="1:27">
      <c r="A399" s="20">
        <v>1</v>
      </c>
      <c r="B399" s="94">
        <v>40464</v>
      </c>
      <c r="C399" s="20">
        <v>2010</v>
      </c>
      <c r="D399" s="10" t="s">
        <v>34</v>
      </c>
      <c r="E399" s="20">
        <v>10</v>
      </c>
      <c r="F399" s="49">
        <v>4.5039999999999996</v>
      </c>
      <c r="G399" s="50">
        <v>0.12532937499999997</v>
      </c>
    </row>
    <row r="400" spans="1:27">
      <c r="A400" s="20">
        <v>17</v>
      </c>
      <c r="B400" s="94">
        <v>40464</v>
      </c>
      <c r="C400" s="20">
        <v>2010</v>
      </c>
      <c r="D400" s="10" t="s">
        <v>34</v>
      </c>
      <c r="E400" s="20">
        <v>10</v>
      </c>
      <c r="F400" s="49">
        <v>6.1580000000000004</v>
      </c>
      <c r="G400" s="50">
        <v>0.17949624999999997</v>
      </c>
    </row>
    <row r="401" spans="1:27">
      <c r="A401" s="20">
        <v>18</v>
      </c>
      <c r="B401" s="94">
        <v>40464</v>
      </c>
      <c r="C401" s="20">
        <v>2010</v>
      </c>
      <c r="D401" s="10" t="s">
        <v>34</v>
      </c>
      <c r="E401" s="20">
        <v>10</v>
      </c>
      <c r="F401" s="49">
        <v>4.7140000000000004</v>
      </c>
      <c r="G401" s="50">
        <v>0.13498549999999998</v>
      </c>
      <c r="I401" s="50">
        <f>AVERAGE(F399:F401)</f>
        <v>5.1253333333333329</v>
      </c>
      <c r="J401" s="50">
        <f>AVERAGE(G399:G401)</f>
        <v>0.1466037083333333</v>
      </c>
      <c r="L401">
        <f>+J401/I401</f>
        <v>2.8603741220083245E-2</v>
      </c>
      <c r="M401">
        <f>+(L401-$L$913)/$L$914</f>
        <v>0.43478849300756017</v>
      </c>
      <c r="N401">
        <f>+N398+M401</f>
        <v>-2.0535809024238878</v>
      </c>
      <c r="Z401">
        <f>+(I401-$F$913)/$F$914</f>
        <v>-0.13666413947328712</v>
      </c>
      <c r="AA401">
        <f>+AA398+Z401</f>
        <v>10.706535212091671</v>
      </c>
    </row>
    <row r="402" spans="1:27">
      <c r="A402" s="20">
        <v>1</v>
      </c>
      <c r="B402" s="94">
        <v>40498</v>
      </c>
      <c r="C402" s="20">
        <v>2010</v>
      </c>
      <c r="D402" s="10" t="s">
        <v>35</v>
      </c>
      <c r="E402" s="20">
        <v>11</v>
      </c>
      <c r="F402" s="49">
        <v>1.141</v>
      </c>
      <c r="G402" s="50">
        <v>2.4174999999999999E-2</v>
      </c>
    </row>
    <row r="403" spans="1:27">
      <c r="A403" s="20">
        <v>17</v>
      </c>
      <c r="B403" s="94">
        <v>40498</v>
      </c>
      <c r="C403" s="20">
        <v>2010</v>
      </c>
      <c r="D403" s="10" t="s">
        <v>35</v>
      </c>
      <c r="E403" s="20">
        <v>11</v>
      </c>
      <c r="F403" s="49">
        <v>1.087</v>
      </c>
      <c r="G403" s="50">
        <v>1.4288624999999999E-2</v>
      </c>
    </row>
    <row r="404" spans="1:27">
      <c r="A404" s="20">
        <v>18</v>
      </c>
      <c r="B404" s="94">
        <v>40498</v>
      </c>
      <c r="C404" s="20">
        <v>2010</v>
      </c>
      <c r="D404" s="10" t="s">
        <v>35</v>
      </c>
      <c r="E404" s="20">
        <v>11</v>
      </c>
      <c r="F404" s="49">
        <v>0.95199999999999996</v>
      </c>
      <c r="G404" s="50">
        <v>1.0761875000000001E-2</v>
      </c>
      <c r="I404" s="50">
        <f>AVERAGE(F402:F404)</f>
        <v>1.0599999999999998</v>
      </c>
      <c r="J404" s="50">
        <f>AVERAGE(G402:G404)</f>
        <v>1.6408500000000003E-2</v>
      </c>
      <c r="L404">
        <f>+J404/I404</f>
        <v>1.5479716981132081E-2</v>
      </c>
      <c r="M404">
        <f>+(L404-$L$913)/$L$914</f>
        <v>-0.12065596658451019</v>
      </c>
      <c r="N404">
        <f>+N401+M404</f>
        <v>-2.1742368690083982</v>
      </c>
      <c r="Z404">
        <f>+(I404-$F$913)/$F$914</f>
        <v>-1.0728573368114598</v>
      </c>
      <c r="AA404">
        <f>+AA401+Z404</f>
        <v>9.6336778752802115</v>
      </c>
    </row>
    <row r="405" spans="1:27">
      <c r="A405" s="20">
        <v>1</v>
      </c>
      <c r="B405" s="94">
        <v>40520</v>
      </c>
      <c r="C405" s="20">
        <v>2010</v>
      </c>
      <c r="D405" s="10" t="s">
        <v>36</v>
      </c>
      <c r="E405" s="20">
        <v>12</v>
      </c>
      <c r="F405" s="49">
        <v>2.4660000000000002</v>
      </c>
      <c r="G405" s="50">
        <v>9.0875874999999981E-2</v>
      </c>
    </row>
    <row r="406" spans="1:27">
      <c r="A406" s="20">
        <v>17</v>
      </c>
      <c r="B406" s="94">
        <v>40520</v>
      </c>
      <c r="C406" s="20">
        <v>2010</v>
      </c>
      <c r="D406" s="10" t="s">
        <v>36</v>
      </c>
      <c r="E406" s="20">
        <v>12</v>
      </c>
      <c r="F406" s="49">
        <v>7.1849999999999996</v>
      </c>
      <c r="G406" s="50">
        <v>6.7865999999999996E-2</v>
      </c>
    </row>
    <row r="407" spans="1:27">
      <c r="A407" s="20">
        <v>18</v>
      </c>
      <c r="B407" s="94">
        <v>40520</v>
      </c>
      <c r="C407" s="20">
        <v>2010</v>
      </c>
      <c r="D407" s="10" t="s">
        <v>36</v>
      </c>
      <c r="E407" s="20">
        <v>12</v>
      </c>
      <c r="F407" s="49">
        <v>8.9269999999999996</v>
      </c>
      <c r="G407" s="50">
        <v>7.3558125000000002E-2</v>
      </c>
      <c r="I407" s="50">
        <f>AVERAGE(F405:F407)</f>
        <v>6.1926666666666668</v>
      </c>
      <c r="J407" s="50">
        <f>AVERAGE(G405:G407)</f>
        <v>7.7433333333333326E-2</v>
      </c>
      <c r="L407">
        <f>+J407/I407</f>
        <v>1.2504037033049843E-2</v>
      </c>
      <c r="M407">
        <f>+(L407-$L$913)/$L$914</f>
        <v>-0.24659484863686365</v>
      </c>
      <c r="N407">
        <f>+N404+M407</f>
        <v>-2.4208317176452621</v>
      </c>
      <c r="Z407">
        <f>+(I407-$F$913)/$F$914</f>
        <v>0.1091287941013956</v>
      </c>
      <c r="AA407">
        <f>+AA404+Z407</f>
        <v>9.7428066693816078</v>
      </c>
    </row>
    <row r="408" spans="1:27">
      <c r="A408" s="43">
        <v>1</v>
      </c>
      <c r="B408" s="96">
        <v>40562</v>
      </c>
      <c r="C408" s="43">
        <v>2011</v>
      </c>
      <c r="D408" s="45" t="s">
        <v>37</v>
      </c>
      <c r="E408" s="43">
        <v>1</v>
      </c>
      <c r="F408" s="46">
        <v>6.3860000000000001</v>
      </c>
      <c r="G408" s="47">
        <v>2.0014125000000001E-2</v>
      </c>
    </row>
    <row r="409" spans="1:27">
      <c r="A409" s="20">
        <v>17</v>
      </c>
      <c r="B409" s="94">
        <v>40562</v>
      </c>
      <c r="C409" s="20">
        <v>2011</v>
      </c>
      <c r="D409" s="10" t="s">
        <v>37</v>
      </c>
      <c r="E409" s="20">
        <v>1</v>
      </c>
      <c r="F409" s="49">
        <v>13.541</v>
      </c>
      <c r="G409" s="50">
        <v>4.3029625000000002E-2</v>
      </c>
    </row>
    <row r="410" spans="1:27">
      <c r="A410" s="20">
        <v>18</v>
      </c>
      <c r="B410" s="94">
        <v>40562</v>
      </c>
      <c r="C410" s="20">
        <v>2011</v>
      </c>
      <c r="D410" s="10" t="s">
        <v>37</v>
      </c>
      <c r="E410" s="20">
        <v>1</v>
      </c>
      <c r="F410" s="49">
        <v>15.566000000000001</v>
      </c>
      <c r="G410" s="50">
        <v>5.8347125E-2</v>
      </c>
      <c r="I410" s="50">
        <f>AVERAGE(F408:F410)</f>
        <v>11.831000000000001</v>
      </c>
      <c r="J410" s="50">
        <f>AVERAGE(G408:G410)</f>
        <v>4.0463625000000003E-2</v>
      </c>
      <c r="L410">
        <f>+J410/I410</f>
        <v>3.4201356605527851E-3</v>
      </c>
      <c r="M410">
        <f>+(L410-$L$913)/$L$914</f>
        <v>-0.63105030200758416</v>
      </c>
      <c r="N410">
        <f>+N407+M410</f>
        <v>-3.0518820196528464</v>
      </c>
      <c r="Z410">
        <f>+(I410-$F$913)/$F$914</f>
        <v>1.40756335731681</v>
      </c>
      <c r="AA410">
        <f>+AA407+Z410</f>
        <v>11.150370026698418</v>
      </c>
    </row>
    <row r="411" spans="1:27">
      <c r="A411" s="20">
        <v>1</v>
      </c>
      <c r="B411" s="94">
        <v>40591</v>
      </c>
      <c r="C411" s="20">
        <v>2011</v>
      </c>
      <c r="D411" s="10" t="s">
        <v>26</v>
      </c>
      <c r="E411" s="20">
        <v>2</v>
      </c>
      <c r="F411" s="49">
        <v>4.093</v>
      </c>
      <c r="G411" s="50">
        <v>2.6999749999999999E-2</v>
      </c>
    </row>
    <row r="412" spans="1:27">
      <c r="A412" s="20">
        <v>17</v>
      </c>
      <c r="B412" s="94">
        <v>40591</v>
      </c>
      <c r="C412" s="20">
        <v>2011</v>
      </c>
      <c r="D412" s="10" t="s">
        <v>26</v>
      </c>
      <c r="E412" s="20">
        <v>2</v>
      </c>
      <c r="F412" s="49">
        <v>3.5270000000000001</v>
      </c>
      <c r="G412" s="50">
        <v>1.1761999999999998E-2</v>
      </c>
    </row>
    <row r="413" spans="1:27">
      <c r="A413" s="20">
        <v>18</v>
      </c>
      <c r="B413" s="94">
        <v>40591</v>
      </c>
      <c r="C413" s="20">
        <v>2011</v>
      </c>
      <c r="D413" s="10" t="s">
        <v>26</v>
      </c>
      <c r="E413" s="20">
        <v>2</v>
      </c>
      <c r="F413" s="49">
        <v>3.7469999999999999</v>
      </c>
      <c r="G413" s="50">
        <v>2.4427875000000002E-2</v>
      </c>
      <c r="I413" s="50">
        <f>AVERAGE(F411:F413)</f>
        <v>3.7890000000000001</v>
      </c>
      <c r="J413" s="50">
        <f>AVERAGE(G411:G413)</f>
        <v>2.1063208333333333E-2</v>
      </c>
      <c r="L413">
        <f>+J413/I413</f>
        <v>5.5590415237089822E-3</v>
      </c>
      <c r="M413">
        <f>+(L413-$L$913)/$L$914</f>
        <v>-0.54052597885424236</v>
      </c>
      <c r="N413">
        <f>+N410+M413</f>
        <v>-3.5924079985070887</v>
      </c>
      <c r="Z413">
        <f>+(I413-$F$913)/$F$914</f>
        <v>-0.44440426149105788</v>
      </c>
      <c r="AA413">
        <f>+AA410+Z413</f>
        <v>10.70596576520736</v>
      </c>
    </row>
    <row r="414" spans="1:27">
      <c r="A414" s="20">
        <v>1</v>
      </c>
      <c r="B414" s="94">
        <v>40619</v>
      </c>
      <c r="C414" s="20">
        <v>2011</v>
      </c>
      <c r="D414" s="10" t="s">
        <v>27</v>
      </c>
      <c r="E414" s="20">
        <v>3</v>
      </c>
      <c r="F414" s="49">
        <v>7.6820000000000004</v>
      </c>
      <c r="G414" s="50">
        <v>2.6990874999999998E-2</v>
      </c>
    </row>
    <row r="415" spans="1:27">
      <c r="A415" s="20">
        <v>17</v>
      </c>
      <c r="B415" s="94">
        <v>40619</v>
      </c>
      <c r="C415" s="20">
        <v>2011</v>
      </c>
      <c r="D415" s="10" t="s">
        <v>27</v>
      </c>
      <c r="E415" s="20">
        <v>3</v>
      </c>
      <c r="F415" s="49">
        <v>8.2309999999999999</v>
      </c>
      <c r="G415" s="50">
        <v>2.336825E-2</v>
      </c>
    </row>
    <row r="416" spans="1:27">
      <c r="A416" s="20">
        <v>18</v>
      </c>
      <c r="B416" s="94">
        <v>40619</v>
      </c>
      <c r="C416" s="20">
        <v>2011</v>
      </c>
      <c r="D416" s="10" t="s">
        <v>27</v>
      </c>
      <c r="E416" s="20">
        <v>3</v>
      </c>
      <c r="F416" s="49">
        <v>7.8819999999999997</v>
      </c>
      <c r="G416" s="50">
        <v>3.6292875000000002E-2</v>
      </c>
      <c r="I416" s="50">
        <f>AVERAGE(F414:F416)</f>
        <v>7.9316666666666675</v>
      </c>
      <c r="J416" s="50">
        <f>AVERAGE(G414:G416)</f>
        <v>2.8884000000000003E-2</v>
      </c>
      <c r="L416">
        <f>+J416/I416</f>
        <v>3.6416053792813615E-3</v>
      </c>
      <c r="M416">
        <f>+(L416-$L$913)/$L$914</f>
        <v>-0.62167710016069144</v>
      </c>
      <c r="N416">
        <f>+N413+M416</f>
        <v>-4.2140850986677805</v>
      </c>
      <c r="Z416">
        <f>+(I416-$F$913)/$F$914</f>
        <v>0.50959779299556163</v>
      </c>
      <c r="AA416">
        <f>+AA413+Z416</f>
        <v>11.215563558202922</v>
      </c>
    </row>
    <row r="417" spans="1:27">
      <c r="A417" s="20">
        <v>1</v>
      </c>
      <c r="B417" s="94">
        <v>40646</v>
      </c>
      <c r="C417" s="20">
        <v>2011</v>
      </c>
      <c r="D417" s="10" t="s">
        <v>28</v>
      </c>
      <c r="E417" s="20">
        <v>4</v>
      </c>
      <c r="F417" s="49">
        <v>4.5759999999999996</v>
      </c>
      <c r="G417" s="50">
        <v>2.7311874999999992E-2</v>
      </c>
    </row>
    <row r="418" spans="1:27">
      <c r="A418" s="20">
        <v>17</v>
      </c>
      <c r="B418" s="94">
        <v>40646</v>
      </c>
      <c r="C418" s="20">
        <v>2011</v>
      </c>
      <c r="D418" s="10" t="s">
        <v>28</v>
      </c>
      <c r="E418" s="20">
        <v>4</v>
      </c>
      <c r="F418" s="49">
        <v>3.1059999999999999</v>
      </c>
      <c r="G418" s="50">
        <v>0</v>
      </c>
    </row>
    <row r="419" spans="1:27">
      <c r="A419" s="20">
        <v>18</v>
      </c>
      <c r="B419" s="94">
        <v>40646</v>
      </c>
      <c r="C419" s="20">
        <v>2011</v>
      </c>
      <c r="D419" s="10" t="s">
        <v>28</v>
      </c>
      <c r="E419" s="20">
        <v>4</v>
      </c>
      <c r="F419" s="49">
        <v>2.5750000000000002</v>
      </c>
      <c r="G419" s="50">
        <v>0</v>
      </c>
      <c r="I419" s="50">
        <f>AVERAGE(F417:F419)</f>
        <v>3.419</v>
      </c>
      <c r="J419" s="50">
        <f>AVERAGE(G417:G419)</f>
        <v>9.1039583333333302E-3</v>
      </c>
      <c r="L419">
        <f>+J419/I419</f>
        <v>2.6627547041045132E-3</v>
      </c>
      <c r="M419">
        <f>+(L419-$L$913)/$L$914</f>
        <v>-0.66310472741859328</v>
      </c>
      <c r="N419">
        <f>+N416+M419</f>
        <v>-4.877189826086374</v>
      </c>
      <c r="Z419">
        <f>+(I419-$F$913)/$F$914</f>
        <v>-0.52961043146854003</v>
      </c>
      <c r="AA419">
        <f>+AA416+Z419</f>
        <v>10.685953126734381</v>
      </c>
    </row>
    <row r="420" spans="1:27">
      <c r="A420" s="20">
        <v>1</v>
      </c>
      <c r="B420" s="94">
        <v>40681</v>
      </c>
      <c r="C420" s="20">
        <v>2011</v>
      </c>
      <c r="D420" s="10" t="s">
        <v>29</v>
      </c>
      <c r="E420" s="20">
        <v>5</v>
      </c>
      <c r="F420" s="49">
        <v>1.44</v>
      </c>
      <c r="G420" s="50">
        <v>2.3752125000000002E-2</v>
      </c>
    </row>
    <row r="421" spans="1:27">
      <c r="A421" s="20">
        <v>17</v>
      </c>
      <c r="B421" s="94">
        <v>40681</v>
      </c>
      <c r="C421" s="20">
        <v>2011</v>
      </c>
      <c r="D421" s="10" t="s">
        <v>29</v>
      </c>
      <c r="E421" s="20">
        <v>5</v>
      </c>
      <c r="F421" s="49">
        <v>1.978</v>
      </c>
      <c r="G421" s="50">
        <v>2.4803624999999996E-2</v>
      </c>
    </row>
    <row r="422" spans="1:27">
      <c r="A422" s="20">
        <v>18</v>
      </c>
      <c r="B422" s="94">
        <v>40681</v>
      </c>
      <c r="C422" s="20">
        <v>2011</v>
      </c>
      <c r="D422" s="10" t="s">
        <v>29</v>
      </c>
      <c r="E422" s="20">
        <v>5</v>
      </c>
      <c r="F422" s="49">
        <v>1.7989999999999999</v>
      </c>
      <c r="G422" s="50">
        <v>3.0446250000000001E-2</v>
      </c>
      <c r="I422" s="50">
        <f>AVERAGE(F420:F422)</f>
        <v>1.7390000000000001</v>
      </c>
      <c r="J422" s="50">
        <f>AVERAGE(G420:G422)</f>
        <v>2.6333999999999996E-2</v>
      </c>
      <c r="L422">
        <f>+J422/I422</f>
        <v>1.5143185738930417E-2</v>
      </c>
      <c r="M422">
        <f>+(L422-$L$913)/$L$914</f>
        <v>-0.13489888556707144</v>
      </c>
      <c r="N422">
        <f>+N419+M422</f>
        <v>-5.0120887116534458</v>
      </c>
      <c r="Z422">
        <f>+(I422-$F$913)/$F$914</f>
        <v>-0.91649250055548581</v>
      </c>
      <c r="AA422">
        <f>+AA419+Z422</f>
        <v>9.7694606261788941</v>
      </c>
    </row>
    <row r="423" spans="1:27">
      <c r="A423" s="20">
        <v>1</v>
      </c>
      <c r="B423" s="94">
        <v>40708</v>
      </c>
      <c r="C423" s="20">
        <v>2011</v>
      </c>
      <c r="D423" s="10" t="s">
        <v>30</v>
      </c>
      <c r="E423" s="20">
        <v>6</v>
      </c>
      <c r="F423" s="49">
        <v>3.72</v>
      </c>
      <c r="G423" s="50">
        <v>0.15833187500000004</v>
      </c>
    </row>
    <row r="424" spans="1:27">
      <c r="A424" s="20">
        <v>17</v>
      </c>
      <c r="B424" s="94">
        <v>40708</v>
      </c>
      <c r="C424" s="20">
        <v>2011</v>
      </c>
      <c r="D424" s="10" t="s">
        <v>30</v>
      </c>
      <c r="E424" s="20">
        <v>6</v>
      </c>
      <c r="F424" s="49">
        <v>2.9140000000000001</v>
      </c>
      <c r="G424" s="50">
        <v>0.18229324999999993</v>
      </c>
    </row>
    <row r="425" spans="1:27">
      <c r="A425" s="20">
        <v>18</v>
      </c>
      <c r="B425" s="94">
        <v>40708</v>
      </c>
      <c r="C425" s="20">
        <v>2011</v>
      </c>
      <c r="D425" s="10" t="s">
        <v>30</v>
      </c>
      <c r="E425" s="20">
        <v>6</v>
      </c>
      <c r="F425" s="49">
        <v>3.8250000000000002</v>
      </c>
      <c r="G425" s="50">
        <v>0.19649912499999997</v>
      </c>
      <c r="I425" s="50">
        <f>AVERAGE(F423:F425)</f>
        <v>3.4863333333333331</v>
      </c>
      <c r="J425" s="50">
        <f>AVERAGE(G423:G425)</f>
        <v>0.17904141666666665</v>
      </c>
      <c r="L425">
        <f>+J425/I425</f>
        <v>5.1355220384357969E-2</v>
      </c>
      <c r="M425">
        <f>+(L425-$L$913)/$L$914</f>
        <v>1.3976930731297583</v>
      </c>
      <c r="N425">
        <f>+N422+M425</f>
        <v>-3.6143956385236873</v>
      </c>
      <c r="Z425">
        <f>+(I425-$F$913)/$F$914</f>
        <v>-0.51410444377894426</v>
      </c>
      <c r="AA425">
        <f>+AA422+Z425</f>
        <v>9.2553561823999502</v>
      </c>
    </row>
    <row r="426" spans="1:27">
      <c r="A426" s="20">
        <v>1</v>
      </c>
      <c r="B426" s="94">
        <v>40735</v>
      </c>
      <c r="C426" s="20">
        <v>2011</v>
      </c>
      <c r="D426" s="10" t="s">
        <v>31</v>
      </c>
      <c r="E426" s="20">
        <v>7</v>
      </c>
      <c r="F426" s="49">
        <v>13.347</v>
      </c>
      <c r="G426" s="50">
        <v>0.37248424999999996</v>
      </c>
    </row>
    <row r="427" spans="1:27">
      <c r="A427" s="20">
        <v>17</v>
      </c>
      <c r="B427" s="94">
        <v>40735</v>
      </c>
      <c r="C427" s="20">
        <v>2011</v>
      </c>
      <c r="D427" s="10" t="s">
        <v>31</v>
      </c>
      <c r="E427" s="20">
        <v>7</v>
      </c>
      <c r="F427" s="49">
        <v>8.2550000000000008</v>
      </c>
      <c r="G427" s="50">
        <v>0.98744712499999998</v>
      </c>
    </row>
    <row r="428" spans="1:27">
      <c r="A428" s="20">
        <v>18</v>
      </c>
      <c r="B428" s="94">
        <v>40735</v>
      </c>
      <c r="C428" s="20">
        <v>2011</v>
      </c>
      <c r="D428" s="10" t="s">
        <v>31</v>
      </c>
      <c r="E428" s="20">
        <v>7</v>
      </c>
      <c r="F428" s="49">
        <v>5.2439999999999998</v>
      </c>
      <c r="G428" s="50">
        <v>0.79101824999999992</v>
      </c>
      <c r="I428" s="50">
        <f>AVERAGE(F426:F428)</f>
        <v>8.9486666666666661</v>
      </c>
      <c r="J428" s="50">
        <f>AVERAGE(G426:G428)</f>
        <v>0.71698320833333329</v>
      </c>
      <c r="L428">
        <f>+J428/I428</f>
        <v>8.0121791887059521E-2</v>
      </c>
      <c r="M428">
        <f>+(L428-$L$913)/$L$914</f>
        <v>2.6151727479395981</v>
      </c>
      <c r="N428">
        <f>+N425+M428</f>
        <v>-0.9992228905840892</v>
      </c>
      <c r="Z428">
        <f>+(I428-$F$913)/$F$914</f>
        <v>0.74379961696069452</v>
      </c>
      <c r="AA428">
        <f>+AA425+Z428</f>
        <v>9.9991557993606452</v>
      </c>
    </row>
    <row r="429" spans="1:27">
      <c r="A429" s="20">
        <v>1</v>
      </c>
      <c r="B429" s="94">
        <v>40771</v>
      </c>
      <c r="C429" s="20">
        <v>2011</v>
      </c>
      <c r="D429" s="10" t="s">
        <v>32</v>
      </c>
      <c r="E429" s="20">
        <v>8</v>
      </c>
      <c r="F429" s="49">
        <v>12.743</v>
      </c>
      <c r="G429" s="50">
        <v>0.27486937499999997</v>
      </c>
    </row>
    <row r="430" spans="1:27">
      <c r="A430" s="20">
        <v>17</v>
      </c>
      <c r="B430" s="94">
        <v>40771</v>
      </c>
      <c r="C430" s="20">
        <v>2011</v>
      </c>
      <c r="D430" s="10" t="s">
        <v>32</v>
      </c>
      <c r="E430" s="20">
        <v>8</v>
      </c>
      <c r="F430" s="49">
        <v>6.6539999999999999</v>
      </c>
      <c r="G430" s="50">
        <v>0.10035400000000003</v>
      </c>
    </row>
    <row r="431" spans="1:27">
      <c r="A431" s="20">
        <v>18</v>
      </c>
      <c r="B431" s="94">
        <v>40771</v>
      </c>
      <c r="C431" s="20">
        <v>2011</v>
      </c>
      <c r="D431" s="10" t="s">
        <v>32</v>
      </c>
      <c r="E431" s="20">
        <v>8</v>
      </c>
      <c r="F431" s="49">
        <v>8.76</v>
      </c>
      <c r="G431" s="50">
        <v>1.0001374999999999</v>
      </c>
      <c r="I431" s="50">
        <f>AVERAGE(F429:F431)</f>
        <v>9.3856666666666655</v>
      </c>
      <c r="J431" s="50">
        <f>AVERAGE(G429:G431)</f>
        <v>0.45845362499999998</v>
      </c>
      <c r="L431">
        <f>+J431/I431</f>
        <v>4.8846143942891648E-2</v>
      </c>
      <c r="M431">
        <f>+(L431-$L$913)/$L$914</f>
        <v>1.2915021226460497</v>
      </c>
      <c r="N431">
        <f>+N428+M431</f>
        <v>0.29227923206196049</v>
      </c>
      <c r="Z431">
        <f>+(I431-$F$913)/$F$914</f>
        <v>0.84443501231247731</v>
      </c>
      <c r="AA431">
        <f>+AA428+Z431</f>
        <v>10.843590811673122</v>
      </c>
    </row>
    <row r="432" spans="1:27">
      <c r="A432" s="20">
        <v>1</v>
      </c>
      <c r="B432" s="94">
        <v>40799</v>
      </c>
      <c r="C432" s="20">
        <v>2011</v>
      </c>
      <c r="D432" s="10" t="s">
        <v>38</v>
      </c>
      <c r="E432" s="20">
        <v>9</v>
      </c>
      <c r="F432" s="49">
        <v>9.2149999999999999</v>
      </c>
      <c r="G432" s="50">
        <v>0.2211765</v>
      </c>
    </row>
    <row r="433" spans="1:27">
      <c r="A433" s="20">
        <v>17</v>
      </c>
      <c r="B433" s="94">
        <v>40799</v>
      </c>
      <c r="C433" s="20">
        <v>2011</v>
      </c>
      <c r="D433" s="10" t="s">
        <v>38</v>
      </c>
      <c r="E433" s="20">
        <v>9</v>
      </c>
      <c r="F433" s="49">
        <v>5.7110000000000003</v>
      </c>
      <c r="G433" s="50">
        <v>0.246921375</v>
      </c>
    </row>
    <row r="434" spans="1:27">
      <c r="A434" s="20">
        <v>18</v>
      </c>
      <c r="B434" s="94">
        <v>40799</v>
      </c>
      <c r="C434" s="20">
        <v>2011</v>
      </c>
      <c r="D434" s="10" t="s">
        <v>38</v>
      </c>
      <c r="E434" s="20">
        <v>9</v>
      </c>
      <c r="F434" s="49">
        <v>5.6609999999999996</v>
      </c>
      <c r="G434" s="50">
        <v>0.35634374999999996</v>
      </c>
      <c r="I434" s="50">
        <f>AVERAGE(F432:F434)</f>
        <v>6.862333333333333</v>
      </c>
      <c r="J434" s="50">
        <f>AVERAGE(G432:G434)</f>
        <v>0.27481387499999999</v>
      </c>
      <c r="L434">
        <f>+J434/I434</f>
        <v>4.0046710302618159E-2</v>
      </c>
      <c r="M434">
        <f>+(L434-$L$913)/$L$914</f>
        <v>0.91908611867891621</v>
      </c>
      <c r="N434">
        <f>+N431+M434</f>
        <v>1.2113653507408766</v>
      </c>
      <c r="Z434">
        <f>+(I434-$F$913)/$F$914</f>
        <v>0.2633442855291086</v>
      </c>
      <c r="AA434">
        <f>+AA431+Z434</f>
        <v>11.10693509720223</v>
      </c>
    </row>
    <row r="435" spans="1:27">
      <c r="A435" s="20">
        <v>1</v>
      </c>
      <c r="B435" s="94">
        <v>40827</v>
      </c>
      <c r="C435" s="20">
        <v>2011</v>
      </c>
      <c r="D435" s="10" t="s">
        <v>34</v>
      </c>
      <c r="E435" s="20">
        <v>10</v>
      </c>
      <c r="F435" s="52">
        <v>19.387</v>
      </c>
      <c r="G435" s="54">
        <v>0.112805</v>
      </c>
    </row>
    <row r="436" spans="1:27">
      <c r="A436" s="20">
        <v>17</v>
      </c>
      <c r="B436" s="94">
        <v>40827</v>
      </c>
      <c r="C436" s="20">
        <v>2011</v>
      </c>
      <c r="D436" s="10" t="s">
        <v>34</v>
      </c>
      <c r="E436" s="20">
        <v>10</v>
      </c>
      <c r="F436" s="52">
        <v>30.335999999999999</v>
      </c>
      <c r="G436" s="50">
        <v>0.17064674999999999</v>
      </c>
    </row>
    <row r="437" spans="1:27">
      <c r="A437" s="20">
        <v>18</v>
      </c>
      <c r="B437" s="94">
        <v>40827</v>
      </c>
      <c r="C437" s="20">
        <v>2011</v>
      </c>
      <c r="D437" s="10" t="s">
        <v>34</v>
      </c>
      <c r="E437" s="20">
        <v>10</v>
      </c>
      <c r="F437" s="52">
        <v>9.0340000000000007</v>
      </c>
      <c r="G437" s="50">
        <v>8.6405250000000003E-2</v>
      </c>
      <c r="I437" s="50">
        <f>AVERAGE(F435:F437)</f>
        <v>19.585666666666665</v>
      </c>
      <c r="J437" s="50">
        <f>AVERAGE(G435:G437)</f>
        <v>0.12328566666666667</v>
      </c>
      <c r="L437">
        <f>+J437/I437</f>
        <v>6.2946882924587713E-3</v>
      </c>
      <c r="M437">
        <f>+(L437-$L$913)/$L$914</f>
        <v>-0.50939140347711442</v>
      </c>
      <c r="N437">
        <f>+N434+M437</f>
        <v>0.70197394726376217</v>
      </c>
      <c r="Z437">
        <f>+(I437-$F$913)/$F$914</f>
        <v>3.193361860340362</v>
      </c>
      <c r="AA437">
        <f>+AA434+Z437</f>
        <v>14.300296957542592</v>
      </c>
    </row>
    <row r="438" spans="1:27">
      <c r="A438" s="20">
        <v>1</v>
      </c>
      <c r="B438" s="97">
        <v>40862</v>
      </c>
      <c r="C438" s="20">
        <v>2011</v>
      </c>
      <c r="D438" s="10" t="s">
        <v>35</v>
      </c>
      <c r="E438" s="20">
        <v>11</v>
      </c>
      <c r="F438" s="52">
        <v>2.7909999999999999</v>
      </c>
      <c r="G438" s="50">
        <v>3.049025E-2</v>
      </c>
    </row>
    <row r="439" spans="1:27">
      <c r="A439" s="20">
        <v>17</v>
      </c>
      <c r="B439" s="97">
        <v>40862</v>
      </c>
      <c r="C439" s="20">
        <v>2011</v>
      </c>
      <c r="D439" s="10" t="s">
        <v>35</v>
      </c>
      <c r="E439" s="20">
        <v>11</v>
      </c>
      <c r="F439" s="52">
        <v>5.7450000000000001</v>
      </c>
      <c r="G439" s="50">
        <v>3.7591375000000003E-2</v>
      </c>
    </row>
    <row r="440" spans="1:27">
      <c r="A440" s="20">
        <v>18</v>
      </c>
      <c r="B440" s="97">
        <v>40862</v>
      </c>
      <c r="C440" s="20">
        <v>2011</v>
      </c>
      <c r="D440" s="10" t="s">
        <v>35</v>
      </c>
      <c r="E440" s="20">
        <v>11</v>
      </c>
      <c r="F440" s="52">
        <v>5.6529999999999996</v>
      </c>
      <c r="G440" s="50">
        <v>3.9612874999999999E-2</v>
      </c>
      <c r="I440" s="50">
        <f>AVERAGE(F438:F440)</f>
        <v>4.7296666666666667</v>
      </c>
      <c r="J440" s="50">
        <f>AVERAGE(G438:G440)</f>
        <v>3.5898166666666669E-2</v>
      </c>
      <c r="L440">
        <f>+J440/I440</f>
        <v>7.5899992952286983E-3</v>
      </c>
      <c r="M440">
        <f>+(L440-$L$913)/$L$914</f>
        <v>-0.45457031302211059</v>
      </c>
      <c r="N440">
        <f>+N437+M440</f>
        <v>0.24740363424165157</v>
      </c>
      <c r="Z440">
        <f>+(I440-$F$913)/$F$914</f>
        <v>-0.22778100772848633</v>
      </c>
      <c r="AA440">
        <f>+AA437+Z440</f>
        <v>14.072515949814106</v>
      </c>
    </row>
    <row r="441" spans="1:27">
      <c r="A441" s="20">
        <v>1</v>
      </c>
      <c r="B441" s="97">
        <v>40890</v>
      </c>
      <c r="C441" s="20">
        <v>2011</v>
      </c>
      <c r="D441" s="10" t="s">
        <v>36</v>
      </c>
      <c r="E441" s="20">
        <v>12</v>
      </c>
      <c r="F441" s="52">
        <v>2.3290000000000002</v>
      </c>
      <c r="G441" s="50">
        <v>2.0709374999999999E-2</v>
      </c>
    </row>
    <row r="442" spans="1:27">
      <c r="A442" s="20">
        <v>17</v>
      </c>
      <c r="B442" s="97">
        <v>40890</v>
      </c>
      <c r="C442" s="20">
        <v>2011</v>
      </c>
      <c r="D442" s="10" t="s">
        <v>36</v>
      </c>
      <c r="E442" s="20">
        <v>12</v>
      </c>
      <c r="F442" s="52">
        <v>4.0019999999999998</v>
      </c>
      <c r="G442" s="50">
        <v>2.5033749999999994E-2</v>
      </c>
    </row>
    <row r="443" spans="1:27">
      <c r="A443" s="20">
        <v>18</v>
      </c>
      <c r="B443" s="97">
        <v>40890</v>
      </c>
      <c r="C443" s="20">
        <v>2011</v>
      </c>
      <c r="D443" s="10" t="s">
        <v>36</v>
      </c>
      <c r="E443" s="20">
        <v>12</v>
      </c>
      <c r="F443" s="52">
        <v>1.9750000000000001</v>
      </c>
      <c r="G443" s="50">
        <v>1.7874375000000001E-2</v>
      </c>
      <c r="I443" s="50">
        <f>AVERAGE(F441:F443)</f>
        <v>2.7686666666666664</v>
      </c>
      <c r="J443" s="50">
        <f>AVERAGE(G441:G443)</f>
        <v>2.120583333333333E-2</v>
      </c>
      <c r="L443">
        <f>+J443/I443</f>
        <v>7.6592222489766434E-3</v>
      </c>
      <c r="M443">
        <f>+(L443-$L$913)/$L$914</f>
        <v>-0.45164060903529696</v>
      </c>
      <c r="N443">
        <f>+N440+M443</f>
        <v>-0.20423697479364539</v>
      </c>
      <c r="Z443">
        <f>+(I443-$F$913)/$F$914</f>
        <v>-0.67937370860914148</v>
      </c>
      <c r="AA443">
        <f>+AA440+Z443</f>
        <v>13.393142241204965</v>
      </c>
    </row>
    <row r="444" spans="1:27">
      <c r="A444" s="43">
        <v>1</v>
      </c>
      <c r="B444" s="96">
        <v>40917</v>
      </c>
      <c r="C444" s="43">
        <v>2012</v>
      </c>
      <c r="D444" s="45" t="s">
        <v>37</v>
      </c>
      <c r="E444" s="43">
        <v>1</v>
      </c>
      <c r="F444" s="56">
        <v>4.7460000000000004</v>
      </c>
      <c r="G444" s="47">
        <v>4.5291499999999991E-2</v>
      </c>
    </row>
    <row r="445" spans="1:27">
      <c r="A445" s="20">
        <v>17</v>
      </c>
      <c r="B445" s="94">
        <v>40917</v>
      </c>
      <c r="C445" s="20">
        <v>2012</v>
      </c>
      <c r="D445" s="10" t="s">
        <v>37</v>
      </c>
      <c r="E445" s="20">
        <v>1</v>
      </c>
      <c r="F445" s="57">
        <v>10.285</v>
      </c>
      <c r="G445" s="50">
        <v>1.8464624999999998E-2</v>
      </c>
    </row>
    <row r="446" spans="1:27">
      <c r="A446" s="20">
        <v>18</v>
      </c>
      <c r="B446" s="94">
        <v>40917</v>
      </c>
      <c r="C446" s="20">
        <v>2012</v>
      </c>
      <c r="D446" s="10" t="s">
        <v>37</v>
      </c>
      <c r="E446" s="20">
        <v>1</v>
      </c>
      <c r="F446" s="57">
        <v>3.9940000000000002</v>
      </c>
      <c r="G446" s="50">
        <v>2.0099124999999995E-2</v>
      </c>
      <c r="I446" s="50">
        <f>AVERAGE(F444:F446)</f>
        <v>6.3416666666666677</v>
      </c>
      <c r="J446" s="50">
        <f>AVERAGE(G444:G446)</f>
        <v>2.7951749999999997E-2</v>
      </c>
      <c r="L446">
        <f>+J446/I446</f>
        <v>4.4076346911957939E-3</v>
      </c>
      <c r="M446">
        <f>+(L446-$L$913)/$L$914</f>
        <v>-0.58925665278562611</v>
      </c>
      <c r="N446">
        <f>+N443+M446</f>
        <v>-0.79349362757927144</v>
      </c>
      <c r="Z446">
        <f>+(I446-$F$913)/$F$914</f>
        <v>0.14344154903827375</v>
      </c>
      <c r="AA446">
        <f>+AA443+Z446</f>
        <v>13.536583790243238</v>
      </c>
    </row>
    <row r="447" spans="1:27">
      <c r="A447" s="20">
        <v>1</v>
      </c>
      <c r="B447" s="94">
        <v>40962</v>
      </c>
      <c r="C447" s="20">
        <v>2012</v>
      </c>
      <c r="D447" s="10" t="s">
        <v>26</v>
      </c>
      <c r="E447" s="20">
        <v>2</v>
      </c>
      <c r="F447" s="57">
        <v>11.262</v>
      </c>
      <c r="G447" s="50">
        <v>6.2926999999999997E-2</v>
      </c>
    </row>
    <row r="448" spans="1:27">
      <c r="A448" s="20">
        <v>17</v>
      </c>
      <c r="B448" s="94">
        <v>40962</v>
      </c>
      <c r="C448" s="20">
        <v>2012</v>
      </c>
      <c r="D448" s="10" t="s">
        <v>26</v>
      </c>
      <c r="E448" s="20">
        <v>2</v>
      </c>
      <c r="F448" s="57">
        <v>22.803999999999998</v>
      </c>
      <c r="G448" s="50">
        <v>6.4279166666666665E-2</v>
      </c>
    </row>
    <row r="449" spans="1:27">
      <c r="A449" s="20">
        <v>18</v>
      </c>
      <c r="B449" s="94">
        <v>40962</v>
      </c>
      <c r="C449" s="20">
        <v>2012</v>
      </c>
      <c r="D449" s="10" t="s">
        <v>26</v>
      </c>
      <c r="E449" s="20">
        <v>2</v>
      </c>
      <c r="F449" s="57">
        <v>16.109000000000002</v>
      </c>
      <c r="G449" s="50">
        <v>6.4516249999999997E-2</v>
      </c>
      <c r="I449" s="50">
        <f>AVERAGE(F447:F449)</f>
        <v>16.725000000000001</v>
      </c>
      <c r="J449" s="50">
        <f>AVERAGE(G447:G449)</f>
        <v>6.390747222222222E-2</v>
      </c>
      <c r="L449">
        <f>+J449/I449</f>
        <v>3.8210745723301774E-3</v>
      </c>
      <c r="M449">
        <f>+(L449-$L$913)/$L$914</f>
        <v>-0.61408147498266363</v>
      </c>
      <c r="N449">
        <f>+N446+M449</f>
        <v>-1.407575102561935</v>
      </c>
      <c r="Z449">
        <f>+(I449-$F$913)/$F$914</f>
        <v>2.5345876704784245</v>
      </c>
      <c r="AA449">
        <f>+AA446+Z449</f>
        <v>16.071171460721661</v>
      </c>
    </row>
    <row r="450" spans="1:27">
      <c r="A450" s="20">
        <v>1</v>
      </c>
      <c r="B450" s="94">
        <v>40980</v>
      </c>
      <c r="C450" s="20">
        <v>2012</v>
      </c>
      <c r="D450" s="10" t="s">
        <v>27</v>
      </c>
      <c r="E450" s="20">
        <v>3</v>
      </c>
      <c r="F450" s="57">
        <v>5.2960000000000003</v>
      </c>
      <c r="G450" s="50">
        <v>6.4036124999999999E-2</v>
      </c>
    </row>
    <row r="451" spans="1:27">
      <c r="A451" s="20">
        <v>17</v>
      </c>
      <c r="B451" s="94">
        <v>40980</v>
      </c>
      <c r="C451" s="20">
        <v>2012</v>
      </c>
      <c r="D451" s="10" t="s">
        <v>27</v>
      </c>
      <c r="E451" s="20">
        <v>3</v>
      </c>
      <c r="F451" s="57">
        <v>12.057</v>
      </c>
      <c r="G451" s="50">
        <v>4.3167124999999994E-2</v>
      </c>
    </row>
    <row r="452" spans="1:27">
      <c r="A452" s="20">
        <v>18</v>
      </c>
      <c r="B452" s="94">
        <v>40980</v>
      </c>
      <c r="C452" s="20">
        <v>2012</v>
      </c>
      <c r="D452" s="10" t="s">
        <v>27</v>
      </c>
      <c r="E452" s="20">
        <v>3</v>
      </c>
      <c r="F452" s="57">
        <v>3.456</v>
      </c>
      <c r="G452" s="50">
        <v>6.7637375E-2</v>
      </c>
      <c r="I452" s="50">
        <f>AVERAGE(F450:F452)</f>
        <v>6.9363333333333337</v>
      </c>
      <c r="J452" s="50">
        <f>AVERAGE(G450:G452)</f>
        <v>5.8280208333333333E-2</v>
      </c>
      <c r="L452">
        <f>+J452/I452</f>
        <v>8.4021637272334079E-3</v>
      </c>
      <c r="M452">
        <f>+(L452-$L$913)/$L$914</f>
        <v>-0.42019730167884539</v>
      </c>
      <c r="N452">
        <f>+N449+M452</f>
        <v>-1.8277724042407804</v>
      </c>
      <c r="Z452">
        <f>+(I452-$F$913)/$F$914</f>
        <v>0.28038551952460516</v>
      </c>
      <c r="AA452">
        <f>+AA449+Z452</f>
        <v>16.351556980246265</v>
      </c>
    </row>
    <row r="453" spans="1:27">
      <c r="A453" s="20">
        <v>1</v>
      </c>
      <c r="B453" s="94">
        <v>41015</v>
      </c>
      <c r="C453" s="20">
        <v>2012</v>
      </c>
      <c r="D453" s="10" t="s">
        <v>28</v>
      </c>
      <c r="E453" s="20">
        <v>4</v>
      </c>
      <c r="F453" s="49">
        <v>1.6080000000000001</v>
      </c>
      <c r="G453" s="50">
        <v>1.8827750000000004E-2</v>
      </c>
    </row>
    <row r="454" spans="1:27">
      <c r="A454" s="20">
        <v>17</v>
      </c>
      <c r="B454" s="94">
        <v>41015</v>
      </c>
      <c r="C454" s="20">
        <v>2012</v>
      </c>
      <c r="D454" s="10" t="s">
        <v>28</v>
      </c>
      <c r="E454" s="20">
        <v>4</v>
      </c>
      <c r="F454" s="49">
        <v>1.4930000000000001</v>
      </c>
      <c r="G454" s="50">
        <v>1.9624625E-2</v>
      </c>
    </row>
    <row r="455" spans="1:27">
      <c r="A455" s="20">
        <v>18</v>
      </c>
      <c r="B455" s="94">
        <v>41015</v>
      </c>
      <c r="C455" s="20">
        <v>2012</v>
      </c>
      <c r="D455" s="10" t="s">
        <v>28</v>
      </c>
      <c r="E455" s="20">
        <v>4</v>
      </c>
      <c r="F455" s="49">
        <v>1.5089999999999999</v>
      </c>
      <c r="G455" s="50">
        <v>2.8880874999999997E-2</v>
      </c>
      <c r="I455" s="50">
        <f>AVERAGE(F453:F455)</f>
        <v>1.5366666666666664</v>
      </c>
      <c r="J455" s="50">
        <f>AVERAGE(G453:G455)</f>
        <v>2.2444416666666665E-2</v>
      </c>
      <c r="L455">
        <f>+J455/I455</f>
        <v>1.4605911062906726E-2</v>
      </c>
      <c r="M455">
        <f>+(L455-$L$913)/$L$914</f>
        <v>-0.15763781355463002</v>
      </c>
      <c r="N455">
        <f>+N452+M455</f>
        <v>-1.9854102177954105</v>
      </c>
      <c r="Z455">
        <f>+(I455-$F$913)/$F$914</f>
        <v>-0.96308722593956841</v>
      </c>
      <c r="AA455">
        <f>+AA452+Z455</f>
        <v>15.388469754306696</v>
      </c>
    </row>
    <row r="456" spans="1:27">
      <c r="A456" s="20">
        <v>1</v>
      </c>
      <c r="B456" s="94">
        <v>41045</v>
      </c>
      <c r="C456" s="20">
        <v>2012</v>
      </c>
      <c r="D456" s="10" t="s">
        <v>29</v>
      </c>
      <c r="E456" s="20">
        <v>5</v>
      </c>
      <c r="F456" s="49">
        <v>4.4130000000000003</v>
      </c>
      <c r="G456" s="50">
        <v>4.6744249999999994E-2</v>
      </c>
    </row>
    <row r="457" spans="1:27">
      <c r="A457" s="20">
        <v>17</v>
      </c>
      <c r="B457" s="94">
        <v>41045</v>
      </c>
      <c r="C457" s="20">
        <v>2012</v>
      </c>
      <c r="D457" s="10" t="s">
        <v>29</v>
      </c>
      <c r="E457" s="20">
        <v>5</v>
      </c>
      <c r="F457" s="49">
        <v>4.45</v>
      </c>
      <c r="G457" s="50">
        <v>4.8279500000000003E-2</v>
      </c>
    </row>
    <row r="458" spans="1:27">
      <c r="A458" s="20">
        <v>18</v>
      </c>
      <c r="B458" s="94">
        <v>41045</v>
      </c>
      <c r="C458" s="20">
        <v>2012</v>
      </c>
      <c r="D458" s="10" t="s">
        <v>29</v>
      </c>
      <c r="E458" s="20">
        <v>5</v>
      </c>
      <c r="F458" s="49">
        <v>5.343</v>
      </c>
      <c r="G458" s="50">
        <v>6.8983000000000003E-2</v>
      </c>
      <c r="I458" s="50">
        <f>AVERAGE(F456:F458)</f>
        <v>4.7353333333333332</v>
      </c>
      <c r="J458" s="50">
        <f>AVERAGE(G456:G458)</f>
        <v>5.4668916666666657E-2</v>
      </c>
      <c r="L458">
        <f>+J458/I458</f>
        <v>1.1544893002956495E-2</v>
      </c>
      <c r="M458">
        <f>+(L458-$L$913)/$L$914</f>
        <v>-0.28718843698798791</v>
      </c>
      <c r="N458">
        <f>+N455+M458</f>
        <v>-2.2725986547833985</v>
      </c>
      <c r="Z458">
        <f>+(I458-$F$913)/$F$914</f>
        <v>-0.22647604836847088</v>
      </c>
      <c r="AA458">
        <f>+AA455+Z458</f>
        <v>15.161993705938226</v>
      </c>
    </row>
    <row r="459" spans="1:27">
      <c r="A459" s="20">
        <v>1</v>
      </c>
      <c r="B459" s="94">
        <v>41073</v>
      </c>
      <c r="C459" s="20">
        <v>2012</v>
      </c>
      <c r="D459" s="10" t="s">
        <v>30</v>
      </c>
      <c r="E459" s="20">
        <v>6</v>
      </c>
      <c r="F459" s="49">
        <v>5.7510000000000003</v>
      </c>
      <c r="G459" s="50">
        <v>0.33436587499999998</v>
      </c>
    </row>
    <row r="460" spans="1:27">
      <c r="A460" s="20">
        <v>17</v>
      </c>
      <c r="B460" s="94">
        <v>41073</v>
      </c>
      <c r="C460" s="20">
        <v>2012</v>
      </c>
      <c r="D460" s="10" t="s">
        <v>30</v>
      </c>
      <c r="E460" s="20">
        <v>6</v>
      </c>
      <c r="F460" s="49">
        <v>5.8970000000000002</v>
      </c>
      <c r="G460" s="50">
        <v>6.4409750000000002E-2</v>
      </c>
    </row>
    <row r="461" spans="1:27">
      <c r="A461" s="20">
        <v>18</v>
      </c>
      <c r="B461" s="94">
        <v>41073</v>
      </c>
      <c r="C461" s="20">
        <v>2012</v>
      </c>
      <c r="D461" s="10" t="s">
        <v>30</v>
      </c>
      <c r="E461" s="20">
        <v>6</v>
      </c>
      <c r="F461" s="49">
        <v>8.2430000000000003</v>
      </c>
      <c r="G461" s="50">
        <v>0.31920874999999999</v>
      </c>
      <c r="I461" s="50">
        <f>AVERAGE(F459:F461)</f>
        <v>6.6303333333333327</v>
      </c>
      <c r="J461" s="50">
        <f>AVERAGE(G459:G461)</f>
        <v>0.23932812499999997</v>
      </c>
      <c r="L461">
        <f>+J461/I461</f>
        <v>3.6095941631893821E-2</v>
      </c>
      <c r="M461">
        <f>+(L461-$L$913)/$L$914</f>
        <v>0.75187882544862461</v>
      </c>
      <c r="N461">
        <f>+N458+M461</f>
        <v>-1.5207198293347739</v>
      </c>
      <c r="Z461">
        <f>+(I461-$F$913)/$F$914</f>
        <v>0.20991771408376841</v>
      </c>
      <c r="AA461">
        <f>+AA458+Z461</f>
        <v>15.371911420021995</v>
      </c>
    </row>
    <row r="462" spans="1:27">
      <c r="A462" s="20">
        <v>1</v>
      </c>
      <c r="B462" s="94">
        <v>41107</v>
      </c>
      <c r="C462" s="20">
        <v>2012</v>
      </c>
      <c r="D462" s="10" t="s">
        <v>31</v>
      </c>
      <c r="E462" s="20">
        <v>7</v>
      </c>
      <c r="F462" s="49">
        <v>8.2539999999999996</v>
      </c>
      <c r="G462" s="50">
        <v>0.239925375</v>
      </c>
    </row>
    <row r="463" spans="1:27">
      <c r="A463" s="20">
        <v>17</v>
      </c>
      <c r="B463" s="94">
        <v>41107</v>
      </c>
      <c r="C463" s="20">
        <v>2012</v>
      </c>
      <c r="D463" s="10" t="s">
        <v>31</v>
      </c>
      <c r="E463" s="20">
        <v>7</v>
      </c>
      <c r="F463" s="49">
        <v>8.0850000000000009</v>
      </c>
      <c r="G463" s="50">
        <v>2.6998749999999996E-3</v>
      </c>
    </row>
    <row r="464" spans="1:27">
      <c r="A464" s="20">
        <v>18</v>
      </c>
      <c r="B464" s="94">
        <v>41107</v>
      </c>
      <c r="C464" s="20">
        <v>2012</v>
      </c>
      <c r="D464" s="10" t="s">
        <v>31</v>
      </c>
      <c r="E464" s="20">
        <v>7</v>
      </c>
      <c r="F464" s="49">
        <v>5.4820000000000002</v>
      </c>
      <c r="G464" s="50">
        <v>0.25436950000000003</v>
      </c>
      <c r="I464" s="50">
        <f>AVERAGE(F462:F464)</f>
        <v>7.2736666666666663</v>
      </c>
      <c r="J464" s="50">
        <f>AVERAGE(G462:G464)</f>
        <v>0.16566491666666669</v>
      </c>
      <c r="L464">
        <f>+J464/I464</f>
        <v>2.2775984143714775E-2</v>
      </c>
      <c r="M464">
        <f>+(L464-$L$913)/$L$914</f>
        <v>0.18814193696797452</v>
      </c>
      <c r="N464">
        <f>+N461+M464</f>
        <v>-1.3325778923667995</v>
      </c>
      <c r="Z464">
        <f>+(I464-$F$913)/$F$914</f>
        <v>0.35806898260317427</v>
      </c>
      <c r="AA464">
        <f>+AA461+Z464</f>
        <v>15.72998040262517</v>
      </c>
    </row>
    <row r="465" spans="1:27">
      <c r="A465" s="20">
        <v>1</v>
      </c>
      <c r="B465" s="94">
        <v>41135</v>
      </c>
      <c r="C465" s="20">
        <v>2012</v>
      </c>
      <c r="D465" s="10" t="s">
        <v>32</v>
      </c>
      <c r="E465" s="20">
        <v>8</v>
      </c>
      <c r="F465" s="49">
        <v>11.004</v>
      </c>
      <c r="G465" s="50">
        <v>0.49703550000000002</v>
      </c>
    </row>
    <row r="466" spans="1:27">
      <c r="A466" s="20">
        <v>17</v>
      </c>
      <c r="B466" s="94">
        <v>41135</v>
      </c>
      <c r="C466" s="20">
        <v>2012</v>
      </c>
      <c r="D466" s="10" t="s">
        <v>32</v>
      </c>
      <c r="E466" s="20">
        <v>8</v>
      </c>
      <c r="F466" s="49">
        <v>11.523999999999999</v>
      </c>
      <c r="G466" s="50">
        <v>0.58554012499999997</v>
      </c>
    </row>
    <row r="467" spans="1:27">
      <c r="A467" s="20">
        <v>18</v>
      </c>
      <c r="B467" s="94">
        <v>41135</v>
      </c>
      <c r="C467" s="20">
        <v>2012</v>
      </c>
      <c r="D467" s="10" t="s">
        <v>32</v>
      </c>
      <c r="E467" s="20">
        <v>8</v>
      </c>
      <c r="F467" s="49">
        <v>12.27</v>
      </c>
      <c r="G467" s="50">
        <v>1.5350522499999997</v>
      </c>
      <c r="I467" s="50">
        <f>AVERAGE(F465:F467)</f>
        <v>11.599333333333334</v>
      </c>
      <c r="J467" s="50">
        <f>AVERAGE(G465:G467)</f>
        <v>0.87254262499999991</v>
      </c>
      <c r="L467">
        <f>+J467/I467</f>
        <v>7.5223515000862107E-2</v>
      </c>
      <c r="M467">
        <f>+(L467-$L$913)/$L$914</f>
        <v>2.4078643257323797</v>
      </c>
      <c r="N467">
        <f>+N464+M467</f>
        <v>1.0752864333655803</v>
      </c>
      <c r="Z467">
        <f>+(I467-$F$913)/$F$914</f>
        <v>1.3542135481867648</v>
      </c>
      <c r="AA467">
        <f>+AA464+Z467</f>
        <v>17.084193950811933</v>
      </c>
    </row>
    <row r="468" spans="1:27">
      <c r="A468" s="20">
        <v>1</v>
      </c>
      <c r="B468" s="94">
        <v>41164</v>
      </c>
      <c r="C468" s="20">
        <v>2012</v>
      </c>
      <c r="D468" s="10" t="s">
        <v>38</v>
      </c>
      <c r="E468" s="20">
        <v>9</v>
      </c>
      <c r="F468" s="49">
        <v>9.9719999999999995</v>
      </c>
      <c r="G468" s="50">
        <v>0.34494412499999993</v>
      </c>
    </row>
    <row r="469" spans="1:27">
      <c r="A469" s="20">
        <v>17</v>
      </c>
      <c r="B469" s="94">
        <v>41164</v>
      </c>
      <c r="C469" s="20">
        <v>2012</v>
      </c>
      <c r="D469" s="10" t="s">
        <v>38</v>
      </c>
      <c r="E469" s="20">
        <v>9</v>
      </c>
      <c r="F469" s="49">
        <v>12.736000000000001</v>
      </c>
      <c r="G469" s="50">
        <v>0.30021662500000001</v>
      </c>
    </row>
    <row r="470" spans="1:27">
      <c r="A470" s="20">
        <v>18</v>
      </c>
      <c r="B470" s="94">
        <v>41164</v>
      </c>
      <c r="C470" s="20">
        <v>2012</v>
      </c>
      <c r="D470" s="10" t="s">
        <v>38</v>
      </c>
      <c r="E470" s="20">
        <v>9</v>
      </c>
      <c r="F470" s="49">
        <v>9.218</v>
      </c>
      <c r="G470" s="50">
        <v>0.28028087499999993</v>
      </c>
      <c r="I470" s="50">
        <f>AVERAGE(F468:F470)</f>
        <v>10.641999999999999</v>
      </c>
      <c r="J470" s="50">
        <f>AVERAGE(G468:G470)</f>
        <v>0.30848054166666666</v>
      </c>
      <c r="L470">
        <f>+J470/I470</f>
        <v>2.8987083411639417E-2</v>
      </c>
      <c r="M470">
        <f>+(L470-$L$913)/$L$914</f>
        <v>0.45101257889394636</v>
      </c>
      <c r="N470">
        <f>+N467+M470</f>
        <v>1.5262990122595266</v>
      </c>
      <c r="Z470">
        <f>+(I470-$F$913)/$F$914</f>
        <v>1.1337521786594413</v>
      </c>
      <c r="AA470">
        <f>+AA467+Z470</f>
        <v>18.217946129471375</v>
      </c>
    </row>
    <row r="471" spans="1:27">
      <c r="A471" s="20">
        <v>1</v>
      </c>
      <c r="B471" s="94">
        <v>41200</v>
      </c>
      <c r="C471" s="20">
        <v>2012</v>
      </c>
      <c r="D471" s="10" t="s">
        <v>34</v>
      </c>
      <c r="E471" s="20">
        <v>10</v>
      </c>
      <c r="F471" s="49">
        <v>3.069</v>
      </c>
      <c r="G471" s="50">
        <v>4.6839874999999996E-2</v>
      </c>
    </row>
    <row r="472" spans="1:27">
      <c r="A472" s="20">
        <v>17</v>
      </c>
      <c r="B472" s="94">
        <v>41200</v>
      </c>
      <c r="C472" s="20">
        <v>2012</v>
      </c>
      <c r="D472" s="10" t="s">
        <v>34</v>
      </c>
      <c r="E472" s="20">
        <v>10</v>
      </c>
      <c r="F472" s="49">
        <v>7.125</v>
      </c>
      <c r="G472" s="50">
        <v>9.4490624999999995E-2</v>
      </c>
    </row>
    <row r="473" spans="1:27">
      <c r="A473" s="20">
        <v>18</v>
      </c>
      <c r="B473" s="94">
        <v>41200</v>
      </c>
      <c r="C473" s="20">
        <v>2012</v>
      </c>
      <c r="D473" s="10" t="s">
        <v>34</v>
      </c>
      <c r="E473" s="20">
        <v>10</v>
      </c>
      <c r="F473" s="49">
        <v>2.956</v>
      </c>
      <c r="G473" s="50">
        <v>4.987225E-2</v>
      </c>
      <c r="I473" s="50">
        <f>AVERAGE(F471:F473)</f>
        <v>4.3833333333333329</v>
      </c>
      <c r="J473" s="50">
        <f>AVERAGE(G471:G473)</f>
        <v>6.3734250000000006E-2</v>
      </c>
      <c r="L473">
        <f>+J473/I473</f>
        <v>1.4540133079847911E-2</v>
      </c>
      <c r="M473">
        <f>+(L473-$L$913)/$L$914</f>
        <v>-0.16042171699674065</v>
      </c>
      <c r="N473">
        <f>+N470+M473</f>
        <v>1.365877295262786</v>
      </c>
      <c r="Z473">
        <f>+(I473-$F$913)/$F$914</f>
        <v>-0.30753705332002146</v>
      </c>
      <c r="AA473">
        <f>+AA470+Z473</f>
        <v>17.910409076151353</v>
      </c>
    </row>
    <row r="474" spans="1:27">
      <c r="A474" s="20">
        <v>1</v>
      </c>
      <c r="B474" s="94">
        <v>41226</v>
      </c>
      <c r="C474" s="20">
        <v>2012</v>
      </c>
      <c r="D474" s="10" t="s">
        <v>35</v>
      </c>
      <c r="E474" s="20">
        <v>11</v>
      </c>
      <c r="F474" s="49">
        <v>1.71</v>
      </c>
      <c r="G474" s="50">
        <v>0</v>
      </c>
    </row>
    <row r="475" spans="1:27">
      <c r="A475" s="20">
        <v>17</v>
      </c>
      <c r="B475" s="94">
        <v>41226</v>
      </c>
      <c r="C475" s="20">
        <v>2012</v>
      </c>
      <c r="D475" s="10" t="s">
        <v>35</v>
      </c>
      <c r="E475" s="20">
        <v>11</v>
      </c>
      <c r="F475" s="49">
        <v>2.6160000000000001</v>
      </c>
      <c r="G475" s="50">
        <v>2.422175E-2</v>
      </c>
    </row>
    <row r="476" spans="1:27">
      <c r="A476" s="20">
        <v>18</v>
      </c>
      <c r="B476" s="94">
        <v>41226</v>
      </c>
      <c r="C476" s="20">
        <v>2012</v>
      </c>
      <c r="D476" s="10" t="s">
        <v>35</v>
      </c>
      <c r="E476" s="20">
        <v>11</v>
      </c>
      <c r="F476" s="49">
        <v>3.024</v>
      </c>
      <c r="G476" s="50">
        <v>3.410912499999999E-2</v>
      </c>
      <c r="I476" s="50">
        <f>AVERAGE(F474:F476)</f>
        <v>2.4500000000000002</v>
      </c>
      <c r="J476" s="50">
        <f>AVERAGE(G474:G476)</f>
        <v>1.9443624999999996E-2</v>
      </c>
      <c r="L476">
        <f>+J476/I476</f>
        <v>7.9361734693877521E-3</v>
      </c>
      <c r="M476">
        <f>+(L476-$L$913)/$L$914</f>
        <v>-0.43991927888885812</v>
      </c>
      <c r="N476">
        <f>+N473+M476</f>
        <v>0.92595801637392783</v>
      </c>
      <c r="Z476">
        <f>+(I476-$F$913)/$F$914</f>
        <v>-0.752758482031189</v>
      </c>
      <c r="AA476">
        <f>+AA473+Z476</f>
        <v>17.157650594120163</v>
      </c>
    </row>
    <row r="477" spans="1:27">
      <c r="A477" s="20">
        <v>1</v>
      </c>
      <c r="B477" s="94">
        <v>41254</v>
      </c>
      <c r="C477" s="20">
        <v>2012</v>
      </c>
      <c r="D477" s="10" t="s">
        <v>36</v>
      </c>
      <c r="E477" s="20">
        <v>12</v>
      </c>
      <c r="F477" s="49">
        <v>7.4009999999999998</v>
      </c>
      <c r="G477" s="50">
        <v>0</v>
      </c>
    </row>
    <row r="478" spans="1:27">
      <c r="A478" s="20">
        <v>17</v>
      </c>
      <c r="B478" s="94">
        <v>41254</v>
      </c>
      <c r="C478" s="20">
        <v>2012</v>
      </c>
      <c r="D478" s="10" t="s">
        <v>36</v>
      </c>
      <c r="E478" s="20">
        <v>12</v>
      </c>
      <c r="F478" s="49">
        <v>8.8949999999999996</v>
      </c>
      <c r="G478" s="50">
        <v>1.6306749999999998E-2</v>
      </c>
    </row>
    <row r="479" spans="1:27">
      <c r="A479" s="20">
        <v>18</v>
      </c>
      <c r="B479" s="94">
        <v>41254</v>
      </c>
      <c r="C479" s="20">
        <v>2012</v>
      </c>
      <c r="D479" s="10" t="s">
        <v>36</v>
      </c>
      <c r="E479" s="20">
        <v>12</v>
      </c>
      <c r="F479" s="49">
        <v>2.5960000000000001</v>
      </c>
      <c r="G479" s="50">
        <v>7.6324999999999987E-3</v>
      </c>
      <c r="I479" s="50">
        <f>AVERAGE(F477:F479)</f>
        <v>6.2973333333333334</v>
      </c>
      <c r="J479" s="50">
        <f>AVERAGE(G477:G479)</f>
        <v>7.979749999999999E-3</v>
      </c>
      <c r="L479">
        <f>+J479/I479</f>
        <v>1.2671633495659536E-3</v>
      </c>
      <c r="M479">
        <f>+(L479-$L$913)/$L$914</f>
        <v>-0.72216995555436403</v>
      </c>
      <c r="N479">
        <f>+N476+M479</f>
        <v>0.2037880608195638</v>
      </c>
      <c r="Z479">
        <f>+(I479-$F$913)/$F$914</f>
        <v>0.13323216110403469</v>
      </c>
      <c r="AA479">
        <f>+AA476+Z479</f>
        <v>17.290882755224199</v>
      </c>
    </row>
    <row r="480" spans="1:27">
      <c r="A480" s="43">
        <v>1</v>
      </c>
      <c r="B480" s="96">
        <v>41288</v>
      </c>
      <c r="C480" s="43">
        <v>2013</v>
      </c>
      <c r="D480" s="45" t="s">
        <v>37</v>
      </c>
      <c r="E480" s="43">
        <v>1</v>
      </c>
      <c r="F480" s="46">
        <v>3.7519999999999998</v>
      </c>
      <c r="G480" s="47">
        <v>0</v>
      </c>
    </row>
    <row r="481" spans="1:27">
      <c r="A481" s="20">
        <v>17</v>
      </c>
      <c r="B481" s="94">
        <v>41288</v>
      </c>
      <c r="C481" s="20">
        <v>2013</v>
      </c>
      <c r="D481" s="10" t="s">
        <v>37</v>
      </c>
      <c r="E481" s="20">
        <v>1</v>
      </c>
      <c r="F481" s="49">
        <v>8.4710000000000001</v>
      </c>
      <c r="G481" s="50">
        <v>1.38215E-2</v>
      </c>
    </row>
    <row r="482" spans="1:27">
      <c r="A482" s="20">
        <v>18</v>
      </c>
      <c r="B482" s="94">
        <v>41288</v>
      </c>
      <c r="C482" s="20">
        <v>2013</v>
      </c>
      <c r="D482" s="10" t="s">
        <v>37</v>
      </c>
      <c r="E482" s="20">
        <v>1</v>
      </c>
      <c r="F482" s="51">
        <v>5.609</v>
      </c>
      <c r="G482" s="50">
        <v>0</v>
      </c>
      <c r="I482" s="50">
        <f>AVERAGE(F480:F482)</f>
        <v>5.944</v>
      </c>
      <c r="J482" s="50">
        <f>AVERAGE(G480:G482)</f>
        <v>4.6071666666666665E-3</v>
      </c>
      <c r="L482">
        <f>+J482/I482</f>
        <v>7.7509533423059671E-4</v>
      </c>
      <c r="M482">
        <f>+(L482-$L$913)/$L$914</f>
        <v>-0.74299561450501617</v>
      </c>
      <c r="N482">
        <f>+N479+M482</f>
        <v>-0.53920755368545237</v>
      </c>
      <c r="Z482">
        <f>+(I482-$F$913)/$F$914</f>
        <v>5.1864106891303996E-2</v>
      </c>
      <c r="AA482">
        <f>+AA479+Z482</f>
        <v>17.342746862115504</v>
      </c>
    </row>
    <row r="483" spans="1:27">
      <c r="A483" s="20">
        <v>1</v>
      </c>
      <c r="B483" s="94">
        <v>41318</v>
      </c>
      <c r="C483" s="20">
        <v>2013</v>
      </c>
      <c r="D483" s="10" t="s">
        <v>26</v>
      </c>
      <c r="E483" s="20">
        <v>2</v>
      </c>
      <c r="F483" s="58">
        <v>6.1440000000000001</v>
      </c>
      <c r="G483" s="50">
        <v>1.4628875E-2</v>
      </c>
    </row>
    <row r="484" spans="1:27">
      <c r="A484" s="20">
        <v>17</v>
      </c>
      <c r="B484" s="94">
        <v>41318</v>
      </c>
      <c r="C484" s="20">
        <v>2013</v>
      </c>
      <c r="D484" s="10" t="s">
        <v>26</v>
      </c>
      <c r="E484" s="20">
        <v>2</v>
      </c>
      <c r="F484" s="58">
        <v>7.3550000000000004</v>
      </c>
      <c r="G484" s="50">
        <v>1.5055249999999997E-2</v>
      </c>
    </row>
    <row r="485" spans="1:27">
      <c r="A485" s="20">
        <v>18</v>
      </c>
      <c r="B485" s="94">
        <v>41318</v>
      </c>
      <c r="C485" s="20">
        <v>2013</v>
      </c>
      <c r="D485" s="10" t="s">
        <v>26</v>
      </c>
      <c r="E485" s="20">
        <v>2</v>
      </c>
      <c r="F485" s="58">
        <v>7.8769999999999998</v>
      </c>
      <c r="G485" s="50">
        <v>1.6976499999999999E-2</v>
      </c>
      <c r="I485" s="50">
        <f>AVERAGE(F483:F485)</f>
        <v>7.1253333333333337</v>
      </c>
      <c r="J485" s="50">
        <f>AVERAGE(G483:G485)</f>
        <v>1.5553541666666665E-2</v>
      </c>
      <c r="L485">
        <f>+J485/I485</f>
        <v>2.1828510946856282E-3</v>
      </c>
      <c r="M485">
        <f>+(L485-$L$913)/$L$914</f>
        <v>-0.68341555557135047</v>
      </c>
      <c r="N485">
        <f>+N482+M485</f>
        <v>-1.2226231092568027</v>
      </c>
      <c r="Z485">
        <f>+(I485-$F$913)/$F$914</f>
        <v>0.32390975229688657</v>
      </c>
      <c r="AA485">
        <f>+AA482+Z485</f>
        <v>17.666656614412389</v>
      </c>
    </row>
    <row r="486" spans="1:27">
      <c r="A486" s="20">
        <v>1</v>
      </c>
      <c r="B486" s="94">
        <v>41344</v>
      </c>
      <c r="C486" s="20">
        <v>2013</v>
      </c>
      <c r="D486" s="10" t="s">
        <v>27</v>
      </c>
      <c r="E486" s="20">
        <v>3</v>
      </c>
      <c r="F486" s="58">
        <v>6.5209999999999999</v>
      </c>
      <c r="G486" s="50">
        <v>3.1136750000000001E-2</v>
      </c>
    </row>
    <row r="487" spans="1:27">
      <c r="A487" s="20">
        <v>17</v>
      </c>
      <c r="B487" s="94">
        <v>41344</v>
      </c>
      <c r="C487" s="20">
        <v>2013</v>
      </c>
      <c r="D487" s="10" t="s">
        <v>27</v>
      </c>
      <c r="E487" s="20">
        <v>3</v>
      </c>
      <c r="F487" s="58">
        <v>8.843</v>
      </c>
      <c r="G487" s="50">
        <v>2.5451000000000001E-2</v>
      </c>
    </row>
    <row r="488" spans="1:27">
      <c r="A488" s="20">
        <v>18</v>
      </c>
      <c r="B488" s="94">
        <v>41344</v>
      </c>
      <c r="C488" s="20">
        <v>2013</v>
      </c>
      <c r="D488" s="10" t="s">
        <v>27</v>
      </c>
      <c r="E488" s="20">
        <v>3</v>
      </c>
      <c r="F488" s="58">
        <v>8.5359999999999996</v>
      </c>
      <c r="G488" s="50">
        <v>3.0235499999999998E-2</v>
      </c>
      <c r="I488" s="50">
        <f>AVERAGE(F486:F488)</f>
        <v>7.9666666666666659</v>
      </c>
      <c r="J488" s="50">
        <f>AVERAGE(G486:G488)</f>
        <v>2.8941083333333336E-2</v>
      </c>
      <c r="L488">
        <f>+J488/I488</f>
        <v>3.6327719665271972E-3</v>
      </c>
      <c r="M488">
        <f>+(L488-$L$913)/$L$914</f>
        <v>-0.62205095425332779</v>
      </c>
      <c r="N488">
        <f>+N485+M488</f>
        <v>-1.8446740635101304</v>
      </c>
      <c r="Z488">
        <f>+(I488-$F$913)/$F$914</f>
        <v>0.51765783610153926</v>
      </c>
      <c r="AA488">
        <f>+AA485+Z488</f>
        <v>18.184314450513927</v>
      </c>
    </row>
    <row r="489" spans="1:27">
      <c r="A489" s="20">
        <v>1</v>
      </c>
      <c r="B489" s="94">
        <v>41381</v>
      </c>
      <c r="C489" s="20">
        <v>2013</v>
      </c>
      <c r="D489" s="10" t="s">
        <v>28</v>
      </c>
      <c r="E489" s="20">
        <v>4</v>
      </c>
      <c r="F489" s="59">
        <v>0.47099999999999997</v>
      </c>
      <c r="G489" s="50">
        <v>5.5519999999999996E-3</v>
      </c>
    </row>
    <row r="490" spans="1:27">
      <c r="A490" s="20">
        <v>17</v>
      </c>
      <c r="B490" s="94">
        <v>41381</v>
      </c>
      <c r="C490" s="20">
        <v>2013</v>
      </c>
      <c r="D490" s="10" t="s">
        <v>28</v>
      </c>
      <c r="E490" s="20">
        <v>4</v>
      </c>
      <c r="F490" s="59">
        <v>0.59899999999999998</v>
      </c>
      <c r="G490" s="50">
        <v>1.5762499999999995E-2</v>
      </c>
    </row>
    <row r="491" spans="1:27">
      <c r="A491" s="20">
        <v>18</v>
      </c>
      <c r="B491" s="94">
        <v>41381</v>
      </c>
      <c r="C491" s="20">
        <v>2013</v>
      </c>
      <c r="D491" s="10" t="s">
        <v>28</v>
      </c>
      <c r="E491" s="20">
        <v>4</v>
      </c>
      <c r="F491" s="59">
        <v>0.45400000000000001</v>
      </c>
      <c r="G491" s="50">
        <v>9.5130000000000006E-3</v>
      </c>
      <c r="I491" s="50">
        <f>AVERAGE(F489:F491)</f>
        <v>0.5079999999999999</v>
      </c>
      <c r="J491" s="50">
        <f>AVERAGE(G489:G491)</f>
        <v>1.0275833333333331E-2</v>
      </c>
      <c r="L491">
        <f>+J491/I491</f>
        <v>2.0228018372703414E-2</v>
      </c>
      <c r="M491">
        <f>+(L491-$L$913)/$L$914</f>
        <v>8.0305084111658709E-2</v>
      </c>
      <c r="N491">
        <f>+N488+M491</f>
        <v>-1.7643689793984718</v>
      </c>
      <c r="Z491">
        <f>+(I491-$F$913)/$F$914</f>
        <v>-1.1999757309400276</v>
      </c>
      <c r="AA491">
        <f>+AA488+Z491</f>
        <v>16.984338719573898</v>
      </c>
    </row>
    <row r="492" spans="1:27">
      <c r="A492" s="20">
        <v>1</v>
      </c>
      <c r="B492" s="94">
        <v>41408</v>
      </c>
      <c r="C492" s="20">
        <v>2013</v>
      </c>
      <c r="D492" s="10" t="s">
        <v>29</v>
      </c>
      <c r="E492" s="20">
        <v>5</v>
      </c>
      <c r="F492" s="59">
        <v>0.88300000000000001</v>
      </c>
      <c r="G492" s="50">
        <v>2.1122499999999999E-2</v>
      </c>
    </row>
    <row r="493" spans="1:27">
      <c r="A493" s="20">
        <v>17</v>
      </c>
      <c r="B493" s="94">
        <v>41408</v>
      </c>
      <c r="C493" s="20">
        <v>2013</v>
      </c>
      <c r="D493" s="10" t="s">
        <v>29</v>
      </c>
      <c r="E493" s="20">
        <v>5</v>
      </c>
      <c r="F493" s="59">
        <v>2.5680000000000001</v>
      </c>
      <c r="G493" s="50">
        <v>2.5832250000000005E-2</v>
      </c>
    </row>
    <row r="494" spans="1:27">
      <c r="A494" s="20">
        <v>18</v>
      </c>
      <c r="B494" s="94">
        <v>41408</v>
      </c>
      <c r="C494" s="20">
        <v>2013</v>
      </c>
      <c r="D494" s="10" t="s">
        <v>29</v>
      </c>
      <c r="E494" s="20">
        <v>5</v>
      </c>
      <c r="F494" s="59">
        <v>0.84699999999999998</v>
      </c>
      <c r="G494" s="50">
        <v>1.5079499999999997E-2</v>
      </c>
      <c r="I494" s="50">
        <f>AVERAGE(F492:F494)</f>
        <v>1.4326666666666668</v>
      </c>
      <c r="J494" s="50">
        <f>AVERAGE(G492:G494)</f>
        <v>2.0678083333333333E-2</v>
      </c>
      <c r="L494">
        <f>+J494/I494</f>
        <v>1.4433282922289436E-2</v>
      </c>
      <c r="M494">
        <f>+(L494-$L$913)/$L$914</f>
        <v>-0.16494390675666584</v>
      </c>
      <c r="N494">
        <f>+N491+M494</f>
        <v>-1.9293128861551376</v>
      </c>
      <c r="Z494">
        <f>+(I494-$F$913)/$F$914</f>
        <v>-0.98703706831161719</v>
      </c>
      <c r="AA494">
        <f>+AA491+Z494</f>
        <v>15.997301651262282</v>
      </c>
    </row>
    <row r="495" spans="1:27">
      <c r="A495" s="20">
        <v>1</v>
      </c>
      <c r="B495" s="94">
        <v>41436</v>
      </c>
      <c r="C495" s="20">
        <v>2013</v>
      </c>
      <c r="D495" s="10" t="s">
        <v>30</v>
      </c>
      <c r="E495" s="20">
        <v>6</v>
      </c>
      <c r="F495" s="59">
        <v>3.645</v>
      </c>
      <c r="G495" s="50">
        <v>4.44815E-2</v>
      </c>
    </row>
    <row r="496" spans="1:27">
      <c r="A496" s="20">
        <v>17</v>
      </c>
      <c r="B496" s="94">
        <v>41436</v>
      </c>
      <c r="C496" s="20">
        <v>2013</v>
      </c>
      <c r="D496" s="10" t="s">
        <v>30</v>
      </c>
      <c r="E496" s="20">
        <v>6</v>
      </c>
      <c r="F496" s="59">
        <v>4.2629999999999999</v>
      </c>
      <c r="G496" s="50">
        <v>6.0755374999999993E-2</v>
      </c>
    </row>
    <row r="497" spans="1:27">
      <c r="A497" s="20">
        <v>18</v>
      </c>
      <c r="B497" s="94">
        <v>41436</v>
      </c>
      <c r="C497" s="20">
        <v>2013</v>
      </c>
      <c r="D497" s="10" t="s">
        <v>30</v>
      </c>
      <c r="E497" s="20">
        <v>6</v>
      </c>
      <c r="F497" s="59">
        <v>5.8090000000000002</v>
      </c>
      <c r="G497" s="50">
        <v>0.13472087499999996</v>
      </c>
      <c r="I497" s="50">
        <f>AVERAGE(F495:F497)</f>
        <v>4.5723333333333329</v>
      </c>
      <c r="J497" s="50">
        <f>AVERAGE(G495:G497)</f>
        <v>7.9985916666666657E-2</v>
      </c>
      <c r="L497">
        <f>+J497/I497</f>
        <v>1.7493457024130639E-2</v>
      </c>
      <c r="M497">
        <f>+(L497-$L$913)/$L$914</f>
        <v>-3.5429001929678412E-2</v>
      </c>
      <c r="N497">
        <f>+N494+M497</f>
        <v>-1.964741888084816</v>
      </c>
      <c r="Z497">
        <f>+(I497-$F$913)/$F$914</f>
        <v>-0.26401282054774006</v>
      </c>
      <c r="AA497">
        <f>+AA494+Z497</f>
        <v>15.733288830714542</v>
      </c>
    </row>
    <row r="498" spans="1:27">
      <c r="A498" s="20">
        <v>1</v>
      </c>
      <c r="B498" s="94">
        <v>41471</v>
      </c>
      <c r="C498" s="20">
        <v>2013</v>
      </c>
      <c r="D498" s="10" t="s">
        <v>31</v>
      </c>
      <c r="E498" s="20">
        <v>7</v>
      </c>
      <c r="F498" s="59">
        <v>5.0659999999999998</v>
      </c>
      <c r="G498" s="50">
        <v>0.11054924999999997</v>
      </c>
    </row>
    <row r="499" spans="1:27">
      <c r="A499" s="20">
        <v>17</v>
      </c>
      <c r="B499" s="94">
        <v>41471</v>
      </c>
      <c r="C499" s="20">
        <v>2013</v>
      </c>
      <c r="D499" s="10" t="s">
        <v>31</v>
      </c>
      <c r="E499" s="20">
        <v>7</v>
      </c>
      <c r="F499" s="59">
        <v>15.305</v>
      </c>
      <c r="G499" s="50">
        <v>0.30220249999999999</v>
      </c>
    </row>
    <row r="500" spans="1:27">
      <c r="A500" s="20">
        <v>18</v>
      </c>
      <c r="B500" s="94">
        <v>41471</v>
      </c>
      <c r="C500" s="20">
        <v>2013</v>
      </c>
      <c r="D500" s="10" t="s">
        <v>31</v>
      </c>
      <c r="E500" s="20">
        <v>7</v>
      </c>
      <c r="F500" s="59">
        <v>11.465999999999999</v>
      </c>
      <c r="G500" s="50">
        <v>0.35071687499999998</v>
      </c>
      <c r="I500" s="50">
        <f>AVERAGE(F498:F500)</f>
        <v>10.612333333333332</v>
      </c>
      <c r="J500" s="50">
        <f>AVERAGE(G498:G500)</f>
        <v>0.25448954166666665</v>
      </c>
      <c r="L500">
        <f>+J500/I500</f>
        <v>2.3980545434557278E-2</v>
      </c>
      <c r="M500">
        <f>+(L500-$L$913)/$L$914</f>
        <v>0.23912225238462834</v>
      </c>
      <c r="N500">
        <f>+N497+M500</f>
        <v>-1.7256196357001876</v>
      </c>
      <c r="Z500">
        <f>+(I500-$F$913)/$F$914</f>
        <v>1.1269203325981836</v>
      </c>
      <c r="AA500">
        <f>+AA497+Z500</f>
        <v>16.860209163312724</v>
      </c>
    </row>
    <row r="501" spans="1:27">
      <c r="A501" s="20">
        <v>1</v>
      </c>
      <c r="B501" s="94">
        <v>41499</v>
      </c>
      <c r="C501" s="20">
        <v>2013</v>
      </c>
      <c r="D501" s="10" t="s">
        <v>32</v>
      </c>
      <c r="E501" s="20">
        <v>8</v>
      </c>
      <c r="F501" s="59">
        <v>5.7140000000000004</v>
      </c>
      <c r="G501" s="50">
        <v>0.17590112499999996</v>
      </c>
    </row>
    <row r="502" spans="1:27">
      <c r="A502" s="20">
        <v>17</v>
      </c>
      <c r="B502" s="94">
        <v>41499</v>
      </c>
      <c r="C502" s="20">
        <v>2013</v>
      </c>
      <c r="D502" s="10" t="s">
        <v>32</v>
      </c>
      <c r="E502" s="20">
        <v>8</v>
      </c>
      <c r="F502" s="59">
        <v>6.3680000000000003</v>
      </c>
      <c r="G502" s="50">
        <v>0.16898712499999999</v>
      </c>
    </row>
    <row r="503" spans="1:27">
      <c r="A503" s="20">
        <v>18</v>
      </c>
      <c r="B503" s="94">
        <v>41499</v>
      </c>
      <c r="C503" s="20">
        <v>2013</v>
      </c>
      <c r="D503" s="10" t="s">
        <v>32</v>
      </c>
      <c r="E503" s="20">
        <v>8</v>
      </c>
      <c r="F503" s="59">
        <v>8.7149999999999999</v>
      </c>
      <c r="G503" s="50">
        <v>0.23121449999999999</v>
      </c>
      <c r="I503" s="50">
        <f>AVERAGE(F501:F503)</f>
        <v>6.9323333333333332</v>
      </c>
      <c r="J503" s="50">
        <f>AVERAGE(G501:G503)</f>
        <v>0.19203424999999999</v>
      </c>
      <c r="L503">
        <f>+J503/I503</f>
        <v>2.7701242967735729E-2</v>
      </c>
      <c r="M503">
        <f>+(L503-$L$913)/$L$914</f>
        <v>0.39659230829081998</v>
      </c>
      <c r="N503">
        <f>+N500+M503</f>
        <v>-1.3290273274093676</v>
      </c>
      <c r="Z503">
        <f>+(I503-$F$913)/$F$914</f>
        <v>0.2794643717410647</v>
      </c>
      <c r="AA503">
        <f>+AA500+Z503</f>
        <v>17.139673535053788</v>
      </c>
    </row>
    <row r="504" spans="1:27">
      <c r="A504" s="20">
        <v>1</v>
      </c>
      <c r="B504" s="94">
        <v>41533</v>
      </c>
      <c r="C504" s="20">
        <v>2013</v>
      </c>
      <c r="D504" s="10" t="s">
        <v>38</v>
      </c>
      <c r="E504" s="20">
        <v>9</v>
      </c>
      <c r="F504" s="59">
        <v>3.1379999999999999</v>
      </c>
      <c r="G504" s="50">
        <v>5.4569125000000003E-2</v>
      </c>
    </row>
    <row r="505" spans="1:27">
      <c r="A505" s="20">
        <v>17</v>
      </c>
      <c r="B505" s="94">
        <v>41533</v>
      </c>
      <c r="C505" s="20">
        <v>2013</v>
      </c>
      <c r="D505" s="10" t="s">
        <v>38</v>
      </c>
      <c r="E505" s="20">
        <v>9</v>
      </c>
      <c r="F505" s="59">
        <v>3.1459999999999999</v>
      </c>
      <c r="G505" s="50">
        <v>5.0449374999999998E-2</v>
      </c>
    </row>
    <row r="506" spans="1:27">
      <c r="A506" s="20">
        <v>18</v>
      </c>
      <c r="B506" s="94">
        <v>41533</v>
      </c>
      <c r="C506" s="20">
        <v>2013</v>
      </c>
      <c r="D506" s="10" t="s">
        <v>38</v>
      </c>
      <c r="E506" s="20">
        <v>9</v>
      </c>
      <c r="F506" s="59">
        <v>3.032</v>
      </c>
      <c r="G506" s="50">
        <v>3.5412625000000003E-2</v>
      </c>
      <c r="I506" s="50">
        <f>AVERAGE(F504:F506)</f>
        <v>3.1053333333333328</v>
      </c>
      <c r="J506" s="50">
        <f>AVERAGE(G504:G506)</f>
        <v>4.6810374999999994E-2</v>
      </c>
      <c r="L506">
        <f>+J506/I506</f>
        <v>1.5074186882782311E-2</v>
      </c>
      <c r="M506">
        <f>+(L506-$L$913)/$L$914</f>
        <v>-0.13781910513295048</v>
      </c>
      <c r="N506">
        <f>+N503+M506</f>
        <v>-1.4668464325423181</v>
      </c>
      <c r="Z506">
        <f>+(I506-$F$913)/$F$914</f>
        <v>-0.60184377016116231</v>
      </c>
      <c r="AA506">
        <f>+AA503+Z506</f>
        <v>16.537829764892624</v>
      </c>
    </row>
    <row r="507" spans="1:27">
      <c r="A507" s="20">
        <v>1</v>
      </c>
      <c r="B507" s="94">
        <v>41569</v>
      </c>
      <c r="C507" s="20">
        <v>2013</v>
      </c>
      <c r="D507" s="10" t="s">
        <v>34</v>
      </c>
      <c r="E507" s="20">
        <v>10</v>
      </c>
      <c r="F507" s="49">
        <v>1.3</v>
      </c>
      <c r="G507" s="54">
        <v>1.2742500000000002E-2</v>
      </c>
    </row>
    <row r="508" spans="1:27">
      <c r="A508" s="20">
        <v>17</v>
      </c>
      <c r="B508" s="94">
        <v>41569</v>
      </c>
      <c r="C508" s="20">
        <v>2013</v>
      </c>
      <c r="D508" s="10" t="s">
        <v>34</v>
      </c>
      <c r="E508" s="20">
        <v>10</v>
      </c>
      <c r="F508" s="49">
        <v>3.7040000000000002</v>
      </c>
      <c r="G508" s="50">
        <v>3.2357999999999998E-2</v>
      </c>
    </row>
    <row r="509" spans="1:27">
      <c r="A509" s="20">
        <v>18</v>
      </c>
      <c r="B509" s="94">
        <v>41569</v>
      </c>
      <c r="C509" s="20">
        <v>2013</v>
      </c>
      <c r="D509" s="10" t="s">
        <v>34</v>
      </c>
      <c r="E509" s="20">
        <v>10</v>
      </c>
      <c r="F509" s="49">
        <v>3.7650000000000001</v>
      </c>
      <c r="G509" s="50">
        <v>3.7083499999999998E-2</v>
      </c>
      <c r="I509" s="50">
        <f>AVERAGE(F507:F509)</f>
        <v>2.923</v>
      </c>
      <c r="J509" s="50">
        <f>AVERAGE(G507:G509)</f>
        <v>2.7394666666666668E-2</v>
      </c>
      <c r="L509">
        <f>+J509/I509</f>
        <v>9.3721062834986896E-3</v>
      </c>
      <c r="M509">
        <f>+(L509-$L$913)/$L$914</f>
        <v>-0.37914669028168324</v>
      </c>
      <c r="N509">
        <f>+N506+M509</f>
        <v>-1.8459931228240012</v>
      </c>
      <c r="Z509">
        <f>+(I509-$F$913)/$F$914</f>
        <v>-0.64383275662754302</v>
      </c>
      <c r="AA509">
        <f>+AA506+Z509</f>
        <v>15.893997008265082</v>
      </c>
    </row>
    <row r="510" spans="1:27">
      <c r="A510" s="20">
        <v>1</v>
      </c>
      <c r="B510" s="94">
        <v>41598</v>
      </c>
      <c r="C510" s="20">
        <v>2013</v>
      </c>
      <c r="D510" s="10" t="s">
        <v>35</v>
      </c>
      <c r="E510" s="20">
        <v>11</v>
      </c>
      <c r="F510" s="49">
        <v>2.0910000000000002</v>
      </c>
      <c r="G510" s="50">
        <v>1.6012624999999999E-2</v>
      </c>
    </row>
    <row r="511" spans="1:27">
      <c r="A511" s="20">
        <v>17</v>
      </c>
      <c r="B511" s="94">
        <v>41598</v>
      </c>
      <c r="C511" s="20">
        <v>2013</v>
      </c>
      <c r="D511" s="10" t="s">
        <v>35</v>
      </c>
      <c r="E511" s="20">
        <v>11</v>
      </c>
      <c r="F511" s="49">
        <v>6.4530000000000003</v>
      </c>
      <c r="G511" s="50">
        <v>3.3987375E-2</v>
      </c>
    </row>
    <row r="512" spans="1:27">
      <c r="A512" s="20">
        <v>18</v>
      </c>
      <c r="B512" s="94">
        <v>41598</v>
      </c>
      <c r="C512" s="20">
        <v>2013</v>
      </c>
      <c r="D512" s="10" t="s">
        <v>35</v>
      </c>
      <c r="E512" s="20">
        <v>11</v>
      </c>
      <c r="F512" s="49">
        <v>6.6760000000000002</v>
      </c>
      <c r="G512" s="50">
        <v>3.2067125000000002E-2</v>
      </c>
      <c r="I512" s="50">
        <f>AVERAGE(F510:F512)</f>
        <v>5.0733333333333333</v>
      </c>
      <c r="J512" s="50">
        <f>AVERAGE(G510:G512)</f>
        <v>2.7355708333333336E-2</v>
      </c>
      <c r="L512">
        <f>+J512/I512</f>
        <v>5.3920581471747706E-3</v>
      </c>
      <c r="M512">
        <f>+(L512-$L$913)/$L$914</f>
        <v>-0.54759317026224286</v>
      </c>
      <c r="N512">
        <f>+N509+M512</f>
        <v>-2.3935862930862442</v>
      </c>
      <c r="Z512">
        <f>+(I512-$F$913)/$F$914</f>
        <v>-0.14863906065931154</v>
      </c>
      <c r="AA512">
        <f>+AA509+Z512</f>
        <v>15.74535794760577</v>
      </c>
    </row>
    <row r="513" spans="1:27">
      <c r="A513" s="20">
        <v>1</v>
      </c>
      <c r="B513" s="94">
        <v>41624</v>
      </c>
      <c r="C513" s="20">
        <v>2013</v>
      </c>
      <c r="D513" s="10" t="s">
        <v>36</v>
      </c>
      <c r="E513" s="20">
        <v>12</v>
      </c>
      <c r="F513" s="49">
        <v>2.355</v>
      </c>
      <c r="G513" s="50">
        <v>1.1933250000000001E-2</v>
      </c>
    </row>
    <row r="514" spans="1:27">
      <c r="A514" s="20">
        <v>17</v>
      </c>
      <c r="B514" s="94">
        <v>41624</v>
      </c>
      <c r="C514" s="20">
        <v>2013</v>
      </c>
      <c r="D514" s="10" t="s">
        <v>36</v>
      </c>
      <c r="E514" s="20">
        <v>12</v>
      </c>
      <c r="F514" s="49">
        <v>11.252000000000001</v>
      </c>
      <c r="G514" s="50">
        <v>4.1646249999999996E-2</v>
      </c>
    </row>
    <row r="515" spans="1:27">
      <c r="A515" s="20">
        <v>18</v>
      </c>
      <c r="B515" s="94">
        <v>41624</v>
      </c>
      <c r="C515" s="20">
        <v>2013</v>
      </c>
      <c r="D515" s="10" t="s">
        <v>36</v>
      </c>
      <c r="E515" s="20">
        <v>12</v>
      </c>
      <c r="F515" s="49">
        <v>2.573</v>
      </c>
      <c r="G515" s="50">
        <v>0</v>
      </c>
      <c r="I515" s="50">
        <f>AVERAGE(F513:F515)</f>
        <v>5.3933333333333335</v>
      </c>
      <c r="J515" s="50">
        <f>AVERAGE(G513:G515)</f>
        <v>1.7859833333333332E-2</v>
      </c>
      <c r="L515">
        <f>+J515/I515</f>
        <v>3.31146477132262E-3</v>
      </c>
      <c r="M515">
        <f>+(L515-$L$913)/$L$914</f>
        <v>-0.63564955009207735</v>
      </c>
      <c r="N515">
        <f>+N512+M515</f>
        <v>-3.0292358431783217</v>
      </c>
      <c r="Z515">
        <f>+(I515-$F$913)/$F$914</f>
        <v>-7.4947237976083714E-2</v>
      </c>
      <c r="AA515">
        <f>+AA512+Z515</f>
        <v>15.670410709629687</v>
      </c>
    </row>
    <row r="516" spans="1:27">
      <c r="A516" s="43">
        <v>1</v>
      </c>
      <c r="B516" s="96">
        <v>41654</v>
      </c>
      <c r="C516" s="43">
        <v>2014</v>
      </c>
      <c r="D516" s="45" t="s">
        <v>37</v>
      </c>
      <c r="E516" s="43">
        <v>1</v>
      </c>
      <c r="F516" s="46">
        <v>2.0259999999999998</v>
      </c>
      <c r="G516" s="47">
        <v>1.7601624999999996E-2</v>
      </c>
    </row>
    <row r="517" spans="1:27">
      <c r="A517" s="20">
        <v>17</v>
      </c>
      <c r="B517" s="94">
        <v>41654</v>
      </c>
      <c r="C517" s="20">
        <v>2014</v>
      </c>
      <c r="D517" s="10" t="s">
        <v>37</v>
      </c>
      <c r="E517" s="20">
        <v>1</v>
      </c>
      <c r="F517" s="49">
        <v>6.6669999999999998</v>
      </c>
      <c r="G517" s="50">
        <v>2.4910624999999992E-2</v>
      </c>
    </row>
    <row r="518" spans="1:27">
      <c r="A518" s="20">
        <v>18</v>
      </c>
      <c r="B518" s="94">
        <v>41654</v>
      </c>
      <c r="C518" s="20">
        <v>2014</v>
      </c>
      <c r="D518" s="10" t="s">
        <v>37</v>
      </c>
      <c r="E518" s="20">
        <v>1</v>
      </c>
      <c r="F518" s="49">
        <v>3.919</v>
      </c>
      <c r="G518" s="50">
        <v>2.2062374999999999E-2</v>
      </c>
      <c r="I518" s="50">
        <f>AVERAGE(F516:F518)</f>
        <v>4.2039999999999997</v>
      </c>
      <c r="J518" s="50">
        <f>AVERAGE(G516:G518)</f>
        <v>2.1524874999999995E-2</v>
      </c>
      <c r="L518">
        <f>+J518/I518</f>
        <v>5.1200939581351086E-3</v>
      </c>
      <c r="M518">
        <f>+(L518-$L$913)/$L$914</f>
        <v>-0.55910343565486476</v>
      </c>
      <c r="N518">
        <f>+N515+M518</f>
        <v>-3.5883392788331863</v>
      </c>
      <c r="Z518">
        <f>+(I518-$F$913)/$F$914</f>
        <v>-0.34883517894874699</v>
      </c>
      <c r="AA518">
        <f>+AA515+Z518</f>
        <v>15.32157553068094</v>
      </c>
    </row>
    <row r="519" spans="1:27">
      <c r="A519" s="20">
        <v>1</v>
      </c>
      <c r="B519" s="94">
        <v>41688</v>
      </c>
      <c r="C519" s="20">
        <v>2014</v>
      </c>
      <c r="D519" s="10" t="s">
        <v>26</v>
      </c>
      <c r="E519" s="20">
        <v>2</v>
      </c>
      <c r="F519" s="49">
        <v>6.2839999999999998</v>
      </c>
      <c r="G519" s="50">
        <v>0</v>
      </c>
    </row>
    <row r="520" spans="1:27">
      <c r="A520" s="20">
        <v>17</v>
      </c>
      <c r="B520" s="94">
        <v>41688</v>
      </c>
      <c r="C520" s="20">
        <v>2014</v>
      </c>
      <c r="D520" s="10" t="s">
        <v>26</v>
      </c>
      <c r="E520" s="20">
        <v>2</v>
      </c>
      <c r="F520" s="49">
        <v>12.17</v>
      </c>
      <c r="G520" s="50">
        <v>0</v>
      </c>
    </row>
    <row r="521" spans="1:27">
      <c r="A521" s="20">
        <v>18</v>
      </c>
      <c r="B521" s="94">
        <v>41688</v>
      </c>
      <c r="C521" s="20">
        <v>2014</v>
      </c>
      <c r="D521" s="10" t="s">
        <v>26</v>
      </c>
      <c r="E521" s="20">
        <v>2</v>
      </c>
      <c r="F521" s="49">
        <v>8.2899999999999991</v>
      </c>
      <c r="G521" s="50">
        <v>2.1240249999999995E-2</v>
      </c>
      <c r="I521" s="50">
        <f>AVERAGE(F519:F521)</f>
        <v>8.9146666666666672</v>
      </c>
      <c r="J521" s="50">
        <f>AVERAGE(G519:G521)</f>
        <v>7.0800833333333315E-3</v>
      </c>
      <c r="L521">
        <f>+J521/I521</f>
        <v>7.9420617708644901E-4</v>
      </c>
      <c r="M521">
        <f>+(L521-$L$913)/$L$914</f>
        <v>-0.74218679157165768</v>
      </c>
      <c r="N521">
        <f>+N518+M521</f>
        <v>-4.3305260704048436</v>
      </c>
      <c r="Z521">
        <f>+(I521-$F$913)/$F$914</f>
        <v>0.73596986080060178</v>
      </c>
      <c r="AA521">
        <f>+AA518+Z521</f>
        <v>16.057545391481543</v>
      </c>
    </row>
    <row r="522" spans="1:27">
      <c r="A522" s="20">
        <v>1</v>
      </c>
      <c r="B522" s="94">
        <v>41719</v>
      </c>
      <c r="C522" s="20">
        <v>2014</v>
      </c>
      <c r="D522" s="10" t="s">
        <v>27</v>
      </c>
      <c r="E522" s="20">
        <v>3</v>
      </c>
      <c r="F522" s="49">
        <v>2.2229999999999999</v>
      </c>
      <c r="G522" s="50">
        <v>5.1310624999999992E-2</v>
      </c>
    </row>
    <row r="523" spans="1:27">
      <c r="A523" s="20">
        <v>17</v>
      </c>
      <c r="B523" s="94">
        <v>41719</v>
      </c>
      <c r="C523" s="20">
        <v>2014</v>
      </c>
      <c r="D523" s="10" t="s">
        <v>27</v>
      </c>
      <c r="E523" s="20">
        <v>3</v>
      </c>
      <c r="F523" s="49">
        <v>3.36</v>
      </c>
      <c r="G523" s="50">
        <v>6.6218250000000006E-2</v>
      </c>
    </row>
    <row r="524" spans="1:27">
      <c r="A524" s="20">
        <v>18</v>
      </c>
      <c r="B524" s="94">
        <v>41719</v>
      </c>
      <c r="C524" s="20">
        <v>2014</v>
      </c>
      <c r="D524" s="10" t="s">
        <v>27</v>
      </c>
      <c r="E524" s="20">
        <v>3</v>
      </c>
      <c r="F524" s="49">
        <v>1.478</v>
      </c>
      <c r="G524" s="50">
        <v>3.4429374999999991E-2</v>
      </c>
      <c r="I524" s="50">
        <f>AVERAGE(F522:F524)</f>
        <v>2.3536666666666668</v>
      </c>
      <c r="J524" s="50">
        <f>AVERAGE(G522:G524)</f>
        <v>5.0652749999999996E-2</v>
      </c>
      <c r="L524">
        <f>+J524/I524</f>
        <v>2.1520783175187647E-2</v>
      </c>
      <c r="M524">
        <f>+(L524-$L$913)/$L$914</f>
        <v>0.13501841243395463</v>
      </c>
      <c r="N524">
        <f>+N521+M524</f>
        <v>-4.1955076579708894</v>
      </c>
      <c r="Z524">
        <f>+(I524-$F$913)/$F$914</f>
        <v>-0.77494279115145237</v>
      </c>
      <c r="AA524">
        <f>+AA521+Z524</f>
        <v>15.28260260033009</v>
      </c>
    </row>
    <row r="525" spans="1:27">
      <c r="A525" s="20">
        <v>1</v>
      </c>
      <c r="B525" s="94">
        <v>41747</v>
      </c>
      <c r="C525" s="20">
        <v>2014</v>
      </c>
      <c r="D525" s="10" t="s">
        <v>28</v>
      </c>
      <c r="E525" s="20">
        <v>4</v>
      </c>
      <c r="F525" s="60">
        <v>1.7649999999999999</v>
      </c>
      <c r="G525" s="50">
        <v>9.987374999999998E-3</v>
      </c>
    </row>
    <row r="526" spans="1:27">
      <c r="A526" s="20">
        <v>17</v>
      </c>
      <c r="B526" s="94">
        <v>41747</v>
      </c>
      <c r="C526" s="20">
        <v>2014</v>
      </c>
      <c r="D526" s="10" t="s">
        <v>28</v>
      </c>
      <c r="E526" s="20">
        <v>4</v>
      </c>
      <c r="F526" s="60">
        <v>10.795999999999999</v>
      </c>
      <c r="G526" s="50">
        <v>2.7901124999999999E-2</v>
      </c>
    </row>
    <row r="527" spans="1:27">
      <c r="A527" s="20">
        <v>18</v>
      </c>
      <c r="B527" s="94">
        <v>41747</v>
      </c>
      <c r="C527" s="20">
        <v>2014</v>
      </c>
      <c r="D527" s="10" t="s">
        <v>28</v>
      </c>
      <c r="E527" s="20">
        <v>4</v>
      </c>
      <c r="F527" s="60">
        <v>7.5709999999999997</v>
      </c>
      <c r="G527" s="50">
        <v>2.1391499999999997E-2</v>
      </c>
      <c r="I527" s="50">
        <f>AVERAGE(F525:F527)</f>
        <v>6.7106666666666657</v>
      </c>
      <c r="J527" s="50">
        <f>AVERAGE(G525:G527)</f>
        <v>1.976E-2</v>
      </c>
      <c r="L527">
        <f>+J527/I527</f>
        <v>2.9445658652890922E-3</v>
      </c>
      <c r="M527">
        <f>+(L527-$L$913)/$L$914</f>
        <v>-0.65117771133867697</v>
      </c>
      <c r="N527">
        <f>+N524+M527</f>
        <v>-4.8466853693095668</v>
      </c>
      <c r="Z527">
        <f>+(I527-$F$913)/$F$914</f>
        <v>0.22841743206987028</v>
      </c>
      <c r="AA527">
        <f>+AA524+Z527</f>
        <v>15.51102003239996</v>
      </c>
    </row>
    <row r="528" spans="1:27">
      <c r="A528" s="20">
        <v>1</v>
      </c>
      <c r="B528" s="94">
        <v>41772</v>
      </c>
      <c r="C528" s="20">
        <v>2014</v>
      </c>
      <c r="D528" s="10" t="s">
        <v>29</v>
      </c>
      <c r="E528" s="20">
        <v>5</v>
      </c>
      <c r="F528" s="60">
        <v>0.57799999999999996</v>
      </c>
      <c r="G528" s="50">
        <v>8.2109999999999978E-3</v>
      </c>
    </row>
    <row r="529" spans="1:27">
      <c r="A529" s="20">
        <v>17</v>
      </c>
      <c r="B529" s="94">
        <v>41772</v>
      </c>
      <c r="C529" s="20">
        <v>2014</v>
      </c>
      <c r="D529" s="10" t="s">
        <v>29</v>
      </c>
      <c r="E529" s="20">
        <v>5</v>
      </c>
      <c r="F529" s="60">
        <v>2.113</v>
      </c>
      <c r="G529" s="50">
        <v>2.7023749999999999E-2</v>
      </c>
    </row>
    <row r="530" spans="1:27">
      <c r="A530" s="20">
        <v>18</v>
      </c>
      <c r="B530" s="94">
        <v>41772</v>
      </c>
      <c r="C530" s="20">
        <v>2014</v>
      </c>
      <c r="D530" s="10" t="s">
        <v>29</v>
      </c>
      <c r="E530" s="20">
        <v>5</v>
      </c>
      <c r="F530" s="60">
        <v>2.5150000000000001</v>
      </c>
      <c r="G530" s="50">
        <v>3.5469624999999998E-2</v>
      </c>
      <c r="I530" s="50">
        <f>AVERAGE(F528:F530)</f>
        <v>1.7353333333333332</v>
      </c>
      <c r="J530" s="50">
        <f>AVERAGE(G528:G530)</f>
        <v>2.3568124999999995E-2</v>
      </c>
      <c r="L530">
        <f>+J530/I530</f>
        <v>1.3581324433346137E-2</v>
      </c>
      <c r="M530">
        <f>+(L530-$L$913)/$L$914</f>
        <v>-0.20100111100058346</v>
      </c>
      <c r="N530">
        <f>+N527+M530</f>
        <v>-5.0476864803101504</v>
      </c>
      <c r="Z530">
        <f>+(I530-$F$913)/$F$914</f>
        <v>-0.91733688602373109</v>
      </c>
      <c r="AA530">
        <f>+AA527+Z530</f>
        <v>14.593683146376229</v>
      </c>
    </row>
    <row r="531" spans="1:27">
      <c r="A531" s="20">
        <v>1</v>
      </c>
      <c r="B531" s="94">
        <v>41808</v>
      </c>
      <c r="C531" s="20">
        <v>2014</v>
      </c>
      <c r="D531" s="10" t="s">
        <v>30</v>
      </c>
      <c r="E531" s="20">
        <v>6</v>
      </c>
      <c r="F531" s="60">
        <v>5.7789999999999999</v>
      </c>
      <c r="G531" s="50">
        <v>0.22862987500000001</v>
      </c>
    </row>
    <row r="532" spans="1:27">
      <c r="A532" s="20">
        <v>17</v>
      </c>
      <c r="B532" s="94">
        <v>41808</v>
      </c>
      <c r="C532" s="20">
        <v>2014</v>
      </c>
      <c r="D532" s="10" t="s">
        <v>30</v>
      </c>
      <c r="E532" s="20">
        <v>6</v>
      </c>
      <c r="F532" s="60">
        <v>3.677</v>
      </c>
      <c r="G532" s="50">
        <v>0.15547549999999999</v>
      </c>
    </row>
    <row r="533" spans="1:27">
      <c r="A533" s="20">
        <v>18</v>
      </c>
      <c r="B533" s="94">
        <v>41808</v>
      </c>
      <c r="C533" s="20">
        <v>2014</v>
      </c>
      <c r="D533" s="10" t="s">
        <v>30</v>
      </c>
      <c r="E533" s="20">
        <v>6</v>
      </c>
      <c r="F533" s="60">
        <v>5.6159999999999997</v>
      </c>
      <c r="G533" s="50">
        <v>0.28106112499999997</v>
      </c>
      <c r="I533" s="50">
        <f>AVERAGE(F531:F533)</f>
        <v>5.024</v>
      </c>
      <c r="J533" s="50">
        <f>AVERAGE(G531:G533)</f>
        <v>0.22172216666666666</v>
      </c>
      <c r="L533">
        <f>+J533/I533</f>
        <v>4.4132596868365181E-2</v>
      </c>
      <c r="M533">
        <f>+(L533-$L$913)/$L$914</f>
        <v>1.0920119693284596</v>
      </c>
      <c r="N533">
        <f>+N530+M533</f>
        <v>-3.9556745109816909</v>
      </c>
      <c r="Z533">
        <f>+(I533-$F$913)/$F$914</f>
        <v>-0.15999988332297579</v>
      </c>
      <c r="AA533">
        <f>+AA530+Z533</f>
        <v>14.433683263053252</v>
      </c>
    </row>
    <row r="534" spans="1:27">
      <c r="A534" s="20">
        <v>1</v>
      </c>
      <c r="B534" s="94">
        <v>41834</v>
      </c>
      <c r="C534" s="20">
        <v>2014</v>
      </c>
      <c r="D534" s="10" t="s">
        <v>31</v>
      </c>
      <c r="E534" s="20">
        <v>7</v>
      </c>
      <c r="F534" s="60">
        <v>5.8869999999999996</v>
      </c>
      <c r="G534" s="50">
        <v>0.19788362499999995</v>
      </c>
    </row>
    <row r="535" spans="1:27">
      <c r="A535" s="20">
        <v>17</v>
      </c>
      <c r="B535" s="94">
        <v>41834</v>
      </c>
      <c r="C535" s="20">
        <v>2014</v>
      </c>
      <c r="D535" s="10" t="s">
        <v>31</v>
      </c>
      <c r="E535" s="20">
        <v>7</v>
      </c>
      <c r="F535" s="60">
        <v>5.673</v>
      </c>
      <c r="G535" s="50">
        <v>3.5649E-2</v>
      </c>
    </row>
    <row r="536" spans="1:27">
      <c r="A536" s="20">
        <v>18</v>
      </c>
      <c r="B536" s="94">
        <v>41834</v>
      </c>
      <c r="C536" s="20">
        <v>2014</v>
      </c>
      <c r="D536" s="10" t="s">
        <v>31</v>
      </c>
      <c r="E536" s="20">
        <v>7</v>
      </c>
      <c r="F536" s="60">
        <v>10.291</v>
      </c>
      <c r="G536" s="50">
        <v>0.77497699999999992</v>
      </c>
      <c r="I536" s="50">
        <f>AVERAGE(F534:F536)</f>
        <v>7.2836666666666661</v>
      </c>
      <c r="J536" s="50">
        <f>AVERAGE(G534:G536)</f>
        <v>0.33616987499999995</v>
      </c>
      <c r="L536">
        <f>+J536/I536</f>
        <v>4.6153934602535349E-2</v>
      </c>
      <c r="M536">
        <f>+(L536-$L$913)/$L$914</f>
        <v>1.1775604889720757</v>
      </c>
      <c r="N536">
        <f>+N533+M536</f>
        <v>-2.778114022009615</v>
      </c>
      <c r="Z536">
        <f>+(I536-$F$913)/$F$914</f>
        <v>0.3603718520620251</v>
      </c>
      <c r="AA536">
        <f>+AA533+Z536</f>
        <v>14.794055115115277</v>
      </c>
    </row>
    <row r="537" spans="1:27">
      <c r="A537" s="20">
        <v>1</v>
      </c>
      <c r="B537" s="94">
        <v>41864</v>
      </c>
      <c r="C537" s="20">
        <v>2014</v>
      </c>
      <c r="D537" s="10" t="s">
        <v>32</v>
      </c>
      <c r="E537" s="20">
        <v>8</v>
      </c>
      <c r="F537" s="60">
        <v>3.1840000000000002</v>
      </c>
      <c r="G537" s="50">
        <v>7.0996249999999983E-2</v>
      </c>
    </row>
    <row r="538" spans="1:27">
      <c r="A538" s="20">
        <v>17</v>
      </c>
      <c r="B538" s="94">
        <v>41864</v>
      </c>
      <c r="C538" s="20">
        <v>2014</v>
      </c>
      <c r="D538" s="10" t="s">
        <v>32</v>
      </c>
      <c r="E538" s="20">
        <v>8</v>
      </c>
      <c r="F538" s="60">
        <v>3.0710000000000002</v>
      </c>
      <c r="G538" s="50">
        <v>6.5885624999999989E-2</v>
      </c>
    </row>
    <row r="539" spans="1:27">
      <c r="A539" s="20">
        <v>18</v>
      </c>
      <c r="B539" s="94">
        <v>41864</v>
      </c>
      <c r="C539" s="20">
        <v>2014</v>
      </c>
      <c r="D539" s="10" t="s">
        <v>32</v>
      </c>
      <c r="E539" s="20">
        <v>8</v>
      </c>
      <c r="F539" s="60">
        <v>4.3239999999999998</v>
      </c>
      <c r="G539" s="50">
        <v>9.2953999999999995E-2</v>
      </c>
      <c r="I539" s="50">
        <f>AVERAGE(F537:F539)</f>
        <v>3.5263333333333335</v>
      </c>
      <c r="J539" s="50">
        <f>AVERAGE(G537:G539)</f>
        <v>7.6611958333333327E-2</v>
      </c>
      <c r="L539">
        <f>+J539/I539</f>
        <v>2.1725671140939595E-2</v>
      </c>
      <c r="M539">
        <f>+(L539-$L$913)/$L$914</f>
        <v>0.14368982932118099</v>
      </c>
      <c r="N539">
        <f>+N536+M539</f>
        <v>-2.6344241926884342</v>
      </c>
      <c r="Z539">
        <f>+(I539-$F$913)/$F$914</f>
        <v>-0.50489296594354061</v>
      </c>
      <c r="AA539">
        <f>+AA536+Z539</f>
        <v>14.289162149171737</v>
      </c>
    </row>
    <row r="540" spans="1:27">
      <c r="A540" s="20">
        <v>1</v>
      </c>
      <c r="B540" s="94">
        <v>41898</v>
      </c>
      <c r="C540" s="20">
        <v>2014</v>
      </c>
      <c r="D540" s="10" t="s">
        <v>38</v>
      </c>
      <c r="E540" s="20">
        <v>9</v>
      </c>
      <c r="F540" s="60">
        <v>5.444</v>
      </c>
      <c r="G540" s="50">
        <v>7.1622249999999985E-2</v>
      </c>
    </row>
    <row r="541" spans="1:27">
      <c r="A541" s="20">
        <v>17</v>
      </c>
      <c r="B541" s="94">
        <v>41898</v>
      </c>
      <c r="C541" s="20">
        <v>2014</v>
      </c>
      <c r="D541" s="10" t="s">
        <v>38</v>
      </c>
      <c r="E541" s="20">
        <v>9</v>
      </c>
      <c r="F541" s="60">
        <v>6.3810000000000002</v>
      </c>
      <c r="G541" s="50">
        <v>0.11867324999999999</v>
      </c>
    </row>
    <row r="542" spans="1:27">
      <c r="A542" s="20">
        <v>18</v>
      </c>
      <c r="B542" s="94">
        <v>41898</v>
      </c>
      <c r="C542" s="20">
        <v>2014</v>
      </c>
      <c r="D542" s="10" t="s">
        <v>38</v>
      </c>
      <c r="E542" s="20">
        <v>9</v>
      </c>
      <c r="F542" s="60">
        <v>4.1369999999999996</v>
      </c>
      <c r="G542" s="50">
        <v>5.2089249999999997E-2</v>
      </c>
      <c r="I542" s="50">
        <f>AVERAGE(F540:F542)</f>
        <v>5.3206666666666669</v>
      </c>
      <c r="J542" s="50">
        <f>AVERAGE(G540:G542)</f>
        <v>8.0794916666666661E-2</v>
      </c>
      <c r="L542">
        <f>+J542/I542</f>
        <v>1.5185111514847761E-2</v>
      </c>
      <c r="M542">
        <f>+(L542-$L$913)/$L$914</f>
        <v>-0.13312447251179288</v>
      </c>
      <c r="N542">
        <f>+N539+M542</f>
        <v>-2.767548665200227</v>
      </c>
      <c r="Z542">
        <f>+(I542-$F$913)/$F$914</f>
        <v>-9.1681422710400015E-2</v>
      </c>
      <c r="AA542">
        <f>+AA539+Z542</f>
        <v>14.197480726461338</v>
      </c>
    </row>
    <row r="543" spans="1:27">
      <c r="A543" s="20">
        <v>1</v>
      </c>
      <c r="B543" s="94">
        <v>41929</v>
      </c>
      <c r="C543" s="20">
        <v>2014</v>
      </c>
      <c r="D543" s="10" t="s">
        <v>34</v>
      </c>
      <c r="E543" s="20">
        <v>10</v>
      </c>
      <c r="F543" s="49">
        <v>5.1669999999999998</v>
      </c>
      <c r="G543" s="50">
        <v>6.3552625000000001E-2</v>
      </c>
    </row>
    <row r="544" spans="1:27">
      <c r="A544" s="20">
        <v>17</v>
      </c>
      <c r="B544" s="94">
        <v>41929</v>
      </c>
      <c r="C544" s="20">
        <v>2014</v>
      </c>
      <c r="D544" s="10" t="s">
        <v>34</v>
      </c>
      <c r="E544" s="20">
        <v>10</v>
      </c>
      <c r="F544" s="49">
        <v>5.8529999999999998</v>
      </c>
      <c r="G544" s="50">
        <v>0.119685875</v>
      </c>
    </row>
    <row r="545" spans="1:27">
      <c r="A545" s="20">
        <v>18</v>
      </c>
      <c r="B545" s="94">
        <v>41929</v>
      </c>
      <c r="C545" s="20">
        <v>2014</v>
      </c>
      <c r="D545" s="10" t="s">
        <v>34</v>
      </c>
      <c r="E545" s="20">
        <v>10</v>
      </c>
      <c r="F545" s="49">
        <v>1.976</v>
      </c>
      <c r="G545" s="50">
        <v>9.5457499999999987E-3</v>
      </c>
      <c r="I545" s="50">
        <f>AVERAGE(F543:F545)</f>
        <v>4.3319999999999999</v>
      </c>
      <c r="J545" s="50">
        <f>AVERAGE(G543:G545)</f>
        <v>6.4261416666666668E-2</v>
      </c>
      <c r="L545">
        <f>+J545/I545</f>
        <v>1.4834122037550017E-2</v>
      </c>
      <c r="M545">
        <f>+(L545-$L$913)/$L$914</f>
        <v>-0.1479793033922126</v>
      </c>
      <c r="N545">
        <f>+N542+M545</f>
        <v>-2.9155279685924396</v>
      </c>
      <c r="Z545">
        <f>+(I545-$F$913)/$F$914</f>
        <v>-0.31935844987545586</v>
      </c>
      <c r="AA545">
        <f>+AA542+Z545</f>
        <v>13.878122276585882</v>
      </c>
    </row>
    <row r="546" spans="1:27">
      <c r="A546" s="20">
        <v>1</v>
      </c>
      <c r="B546" s="94">
        <v>41953</v>
      </c>
      <c r="C546" s="20">
        <v>2014</v>
      </c>
      <c r="D546" s="10" t="s">
        <v>35</v>
      </c>
      <c r="E546" s="20">
        <v>11</v>
      </c>
      <c r="F546" s="49">
        <v>1.482</v>
      </c>
      <c r="G546" s="50">
        <v>1.4412625000000002E-2</v>
      </c>
    </row>
    <row r="547" spans="1:27">
      <c r="A547" s="20">
        <v>17</v>
      </c>
      <c r="B547" s="94">
        <v>41953</v>
      </c>
      <c r="C547" s="20">
        <v>2014</v>
      </c>
      <c r="D547" s="10" t="s">
        <v>35</v>
      </c>
      <c r="E547" s="20">
        <v>11</v>
      </c>
      <c r="F547" s="49">
        <v>2.7370000000000001</v>
      </c>
      <c r="G547" s="50">
        <v>2.7099125000000002E-2</v>
      </c>
    </row>
    <row r="548" spans="1:27">
      <c r="A548" s="20">
        <v>18</v>
      </c>
      <c r="B548" s="94">
        <v>41953</v>
      </c>
      <c r="C548" s="20">
        <v>2014</v>
      </c>
      <c r="D548" s="10" t="s">
        <v>35</v>
      </c>
      <c r="E548" s="20">
        <v>11</v>
      </c>
      <c r="F548" s="49">
        <v>2.847</v>
      </c>
      <c r="G548" s="50">
        <v>2.4824124999999996E-2</v>
      </c>
      <c r="I548" s="50">
        <f>AVERAGE(F546:F548)</f>
        <v>2.3553333333333337</v>
      </c>
      <c r="J548" s="50">
        <f>AVERAGE(G546:G548)</f>
        <v>2.2111958333333331E-2</v>
      </c>
      <c r="L548">
        <f>+J548/I548</f>
        <v>9.3880377865836369E-3</v>
      </c>
      <c r="M548">
        <f>+(L548-$L$913)/$L$914</f>
        <v>-0.3784724256689096</v>
      </c>
      <c r="N548">
        <f>+N545+M548</f>
        <v>-3.2940003942613494</v>
      </c>
      <c r="Z548">
        <f>+(I548-$F$913)/$F$914</f>
        <v>-0.77455897957497721</v>
      </c>
      <c r="AA548">
        <f>+AA545+Z548</f>
        <v>13.103563297010906</v>
      </c>
    </row>
    <row r="549" spans="1:27">
      <c r="A549" s="20">
        <v>1</v>
      </c>
      <c r="B549" s="94">
        <v>41988</v>
      </c>
      <c r="C549" s="20">
        <v>2014</v>
      </c>
      <c r="D549" s="10" t="s">
        <v>36</v>
      </c>
      <c r="E549" s="20">
        <v>12</v>
      </c>
      <c r="F549" s="49">
        <v>2.58</v>
      </c>
      <c r="G549" s="50">
        <v>1.1093875000000001E-2</v>
      </c>
    </row>
    <row r="550" spans="1:27">
      <c r="A550" s="20">
        <v>17</v>
      </c>
      <c r="B550" s="94">
        <v>41988</v>
      </c>
      <c r="C550" s="20">
        <v>2014</v>
      </c>
      <c r="D550" s="10" t="s">
        <v>36</v>
      </c>
      <c r="E550" s="20">
        <v>12</v>
      </c>
      <c r="F550" s="49">
        <v>3.4140000000000001</v>
      </c>
      <c r="G550" s="50">
        <v>1.19825E-2</v>
      </c>
    </row>
    <row r="551" spans="1:27">
      <c r="A551" s="20">
        <v>18</v>
      </c>
      <c r="B551" s="94">
        <v>41988</v>
      </c>
      <c r="C551" s="20">
        <v>2014</v>
      </c>
      <c r="D551" s="10" t="s">
        <v>36</v>
      </c>
      <c r="E551" s="20">
        <v>12</v>
      </c>
      <c r="F551" s="49">
        <v>2.956</v>
      </c>
      <c r="G551" s="50">
        <v>1.0276499999999999E-2</v>
      </c>
      <c r="I551" s="50">
        <f>AVERAGE(F549:F551)</f>
        <v>2.9833333333333329</v>
      </c>
      <c r="J551" s="50">
        <f>AVERAGE(G549:G551)</f>
        <v>1.1117625000000001E-2</v>
      </c>
      <c r="L551">
        <f>+J551/I551</f>
        <v>3.7265782122905037E-3</v>
      </c>
      <c r="M551">
        <f>+(L551-$L$913)/$L$914</f>
        <v>-0.61808081837612328</v>
      </c>
      <c r="N551">
        <f>+N548+M551</f>
        <v>-3.9120812126374727</v>
      </c>
      <c r="Z551">
        <f>+(I551-$F$913)/$F$914</f>
        <v>-0.62993877755914285</v>
      </c>
      <c r="AA551">
        <f>+AA548+Z551</f>
        <v>12.473624519451763</v>
      </c>
    </row>
    <row r="552" spans="1:27">
      <c r="A552" s="120">
        <v>1</v>
      </c>
      <c r="B552" s="95">
        <v>42014</v>
      </c>
      <c r="C552" s="48">
        <v>2015</v>
      </c>
      <c r="D552" s="45" t="s">
        <v>37</v>
      </c>
      <c r="E552" s="9">
        <v>1</v>
      </c>
      <c r="F552" s="41">
        <v>5.6390000000000002</v>
      </c>
      <c r="G552" s="41">
        <v>1.0999999999999999E-2</v>
      </c>
    </row>
    <row r="553" spans="1:27">
      <c r="A553" s="7">
        <v>17</v>
      </c>
      <c r="B553" s="86">
        <v>42009</v>
      </c>
      <c r="C553" s="20">
        <v>2015</v>
      </c>
      <c r="D553" s="10" t="s">
        <v>37</v>
      </c>
      <c r="E553" s="9">
        <v>1</v>
      </c>
      <c r="F553" s="109">
        <v>10.254</v>
      </c>
      <c r="G553" s="109">
        <v>1.7000000000000001E-2</v>
      </c>
    </row>
    <row r="554" spans="1:27">
      <c r="A554" s="7">
        <v>18</v>
      </c>
      <c r="B554" s="86">
        <v>42009</v>
      </c>
      <c r="C554" s="20">
        <v>2015</v>
      </c>
      <c r="D554" s="10" t="s">
        <v>37</v>
      </c>
      <c r="E554" s="9">
        <v>1</v>
      </c>
      <c r="F554" s="37">
        <v>8.5180000000000007</v>
      </c>
      <c r="G554" s="37">
        <v>1.9E-2</v>
      </c>
      <c r="I554" s="50">
        <f>AVERAGE(F552:F554)</f>
        <v>8.1370000000000005</v>
      </c>
      <c r="J554" s="50">
        <f>AVERAGE(G552:G554)</f>
        <v>1.5666666666666666E-2</v>
      </c>
      <c r="L554">
        <f>+J554/I554</f>
        <v>1.9253615173487359E-3</v>
      </c>
      <c r="M554">
        <f>+(L554-$L$913)/$L$914</f>
        <v>-0.69431321596350393</v>
      </c>
      <c r="N554">
        <f>+N551+M554</f>
        <v>-4.6063944286009768</v>
      </c>
      <c r="Z554">
        <f>+(I554-$F$913)/$F$914</f>
        <v>0.55688337921729936</v>
      </c>
      <c r="AA554">
        <f>+AA551+Z554</f>
        <v>13.030507898669061</v>
      </c>
    </row>
    <row r="555" spans="1:27">
      <c r="A555" s="7">
        <v>1</v>
      </c>
      <c r="B555" s="87">
        <v>42036</v>
      </c>
      <c r="C555" s="20">
        <v>2015</v>
      </c>
      <c r="D555" s="10" t="s">
        <v>26</v>
      </c>
      <c r="E555" s="11">
        <v>2</v>
      </c>
    </row>
    <row r="556" spans="1:27">
      <c r="A556" s="7">
        <v>17</v>
      </c>
      <c r="B556" s="87">
        <v>42036</v>
      </c>
      <c r="C556" s="20">
        <v>2015</v>
      </c>
      <c r="D556" s="10" t="s">
        <v>26</v>
      </c>
      <c r="E556" s="11">
        <v>2</v>
      </c>
    </row>
    <row r="557" spans="1:27">
      <c r="A557" s="7">
        <v>18</v>
      </c>
      <c r="B557" s="87">
        <v>42036</v>
      </c>
      <c r="C557" s="20">
        <v>2015</v>
      </c>
      <c r="D557" s="10" t="s">
        <v>26</v>
      </c>
      <c r="E557" s="11">
        <v>2</v>
      </c>
      <c r="I557" s="50"/>
      <c r="J557" s="50"/>
    </row>
    <row r="558" spans="1:27">
      <c r="A558" s="7">
        <v>1</v>
      </c>
      <c r="B558" s="87">
        <v>42064</v>
      </c>
      <c r="C558" s="20">
        <v>2015</v>
      </c>
      <c r="D558" s="10" t="s">
        <v>27</v>
      </c>
      <c r="E558" s="11">
        <v>3</v>
      </c>
      <c r="F558" s="110">
        <v>5.4649999999999999</v>
      </c>
      <c r="G558" s="110">
        <v>2.1999999999999999E-2</v>
      </c>
    </row>
    <row r="559" spans="1:27">
      <c r="A559" s="7">
        <v>17</v>
      </c>
      <c r="B559" s="87">
        <v>42064</v>
      </c>
      <c r="C559" s="20">
        <v>2015</v>
      </c>
      <c r="D559" s="10" t="s">
        <v>27</v>
      </c>
      <c r="E559" s="11">
        <v>3</v>
      </c>
      <c r="F559" s="40">
        <v>8.9429999999999996</v>
      </c>
      <c r="G559" s="40">
        <v>3.4000000000000002E-2</v>
      </c>
    </row>
    <row r="560" spans="1:27">
      <c r="A560" s="7">
        <v>18</v>
      </c>
      <c r="B560" s="87">
        <v>42064</v>
      </c>
      <c r="C560" s="20">
        <v>2015</v>
      </c>
      <c r="D560" s="10" t="s">
        <v>27</v>
      </c>
      <c r="E560" s="11">
        <v>3</v>
      </c>
      <c r="F560" s="40">
        <v>7.508</v>
      </c>
      <c r="G560" s="40">
        <v>4.2999999999999997E-2</v>
      </c>
      <c r="I560" s="50">
        <f>AVERAGE(F558:F560)</f>
        <v>7.3053333333333335</v>
      </c>
      <c r="J560" s="50">
        <f>AVERAGE(G558:G560)</f>
        <v>3.3000000000000002E-2</v>
      </c>
      <c r="L560">
        <f>+J560/I560</f>
        <v>4.5172476729330169E-3</v>
      </c>
      <c r="M560">
        <f>+(L560-$L$913)/$L$914</f>
        <v>-0.5846175327796902</v>
      </c>
      <c r="N560">
        <f>+N554+M560</f>
        <v>-5.1910119613806671</v>
      </c>
      <c r="Z560">
        <f>+(I560-$F$913)/$F$914</f>
        <v>0.36536140255620214</v>
      </c>
      <c r="AA560">
        <f>+AA554+Z560</f>
        <v>13.395869301225263</v>
      </c>
    </row>
    <row r="561" spans="1:27">
      <c r="A561" s="7">
        <v>1</v>
      </c>
      <c r="B561" s="87">
        <v>42095</v>
      </c>
      <c r="C561" s="20">
        <v>2015</v>
      </c>
      <c r="D561" s="10" t="s">
        <v>28</v>
      </c>
      <c r="E561" s="11">
        <v>4</v>
      </c>
      <c r="F561" s="40">
        <v>1.93</v>
      </c>
      <c r="G561" s="40">
        <v>1.2999999999999999E-2</v>
      </c>
    </row>
    <row r="562" spans="1:27">
      <c r="A562" s="7">
        <v>17</v>
      </c>
      <c r="B562" s="87">
        <v>42095</v>
      </c>
      <c r="C562" s="20">
        <v>2015</v>
      </c>
      <c r="D562" s="10" t="s">
        <v>28</v>
      </c>
      <c r="E562" s="11">
        <v>4</v>
      </c>
      <c r="F562" s="40">
        <v>6.766</v>
      </c>
      <c r="G562" s="40">
        <v>1.4E-2</v>
      </c>
    </row>
    <row r="563" spans="1:27">
      <c r="A563" s="7">
        <v>18</v>
      </c>
      <c r="B563" s="87">
        <v>42095</v>
      </c>
      <c r="C563" s="20">
        <v>2015</v>
      </c>
      <c r="D563" s="10" t="s">
        <v>28</v>
      </c>
      <c r="E563" s="11">
        <v>4</v>
      </c>
      <c r="F563" s="40">
        <v>1.29</v>
      </c>
      <c r="G563" s="40">
        <v>1.0999999999999999E-2</v>
      </c>
      <c r="I563" s="50">
        <f>AVERAGE(F561:F563)</f>
        <v>3.3286666666666669</v>
      </c>
      <c r="J563" s="50">
        <f>AVERAGE(G561:G563)</f>
        <v>1.2666666666666666E-2</v>
      </c>
      <c r="L563">
        <f>+J563/I563</f>
        <v>3.8053274584418182E-3</v>
      </c>
      <c r="M563">
        <f>+(L563-$L$913)/$L$914</f>
        <v>-0.61474793574230591</v>
      </c>
      <c r="N563">
        <f>+N560+M563</f>
        <v>-5.8057598971229734</v>
      </c>
      <c r="Z563">
        <f>+(I563-$F$913)/$F$914</f>
        <v>-0.55041301891349281</v>
      </c>
      <c r="AA563">
        <f>+AA560+Z563</f>
        <v>12.845456282311769</v>
      </c>
    </row>
    <row r="564" spans="1:27">
      <c r="A564" s="7">
        <v>1</v>
      </c>
      <c r="B564" s="87">
        <v>42125</v>
      </c>
      <c r="C564" s="20">
        <v>2015</v>
      </c>
      <c r="D564" s="10" t="s">
        <v>29</v>
      </c>
      <c r="E564" s="11">
        <v>5</v>
      </c>
      <c r="F564" s="40">
        <v>4.3570000000000002</v>
      </c>
      <c r="G564" s="40">
        <v>3.5999999999999997E-2</v>
      </c>
    </row>
    <row r="565" spans="1:27">
      <c r="A565" s="7">
        <v>17</v>
      </c>
      <c r="B565" s="87">
        <v>42125</v>
      </c>
      <c r="C565" s="20">
        <v>2015</v>
      </c>
      <c r="D565" s="10" t="s">
        <v>29</v>
      </c>
      <c r="E565" s="11">
        <v>5</v>
      </c>
      <c r="F565" s="40">
        <v>4.9690000000000003</v>
      </c>
      <c r="G565" s="40">
        <v>3.1E-2</v>
      </c>
    </row>
    <row r="566" spans="1:27">
      <c r="A566" s="7">
        <v>18</v>
      </c>
      <c r="B566" s="87">
        <v>42125</v>
      </c>
      <c r="C566" s="20">
        <v>2015</v>
      </c>
      <c r="D566" s="10" t="s">
        <v>29</v>
      </c>
      <c r="E566" s="11">
        <v>5</v>
      </c>
      <c r="F566" s="40">
        <v>3.4609999999999999</v>
      </c>
      <c r="G566" s="40">
        <v>1.7000000000000001E-2</v>
      </c>
      <c r="I566" s="50">
        <f>AVERAGE(F564:F566)</f>
        <v>4.2623333333333333</v>
      </c>
      <c r="J566" s="50">
        <f>AVERAGE(G564:G566)</f>
        <v>2.8000000000000001E-2</v>
      </c>
      <c r="L566">
        <f>+J566/I566</f>
        <v>6.5691718151247363E-3</v>
      </c>
      <c r="M566">
        <f>+(L566-$L$913)/$L$914</f>
        <v>-0.49777451302200287</v>
      </c>
      <c r="N566">
        <f>+N563+M566</f>
        <v>-6.3035344101449766</v>
      </c>
      <c r="Z566">
        <f>+(I566-$F$913)/$F$914</f>
        <v>-0.33540177377211688</v>
      </c>
      <c r="AA566">
        <f>+AA563+Z566</f>
        <v>12.510054508539652</v>
      </c>
    </row>
    <row r="567" spans="1:27">
      <c r="A567" s="7">
        <v>1</v>
      </c>
      <c r="B567" s="87">
        <v>42156</v>
      </c>
      <c r="C567" s="20">
        <v>2015</v>
      </c>
      <c r="D567" s="10" t="s">
        <v>30</v>
      </c>
      <c r="E567" s="11">
        <v>6</v>
      </c>
      <c r="F567" s="40">
        <v>5.9630000000000001</v>
      </c>
      <c r="G567" s="40">
        <v>7.1999999999999995E-2</v>
      </c>
    </row>
    <row r="568" spans="1:27">
      <c r="A568" s="7">
        <v>17</v>
      </c>
      <c r="B568" s="87">
        <v>42156</v>
      </c>
      <c r="C568" s="20">
        <v>2015</v>
      </c>
      <c r="D568" s="10" t="s">
        <v>30</v>
      </c>
      <c r="E568" s="11">
        <v>6</v>
      </c>
      <c r="F568" s="40">
        <v>5.1790000000000003</v>
      </c>
      <c r="G568" s="40">
        <v>7.0999999999999994E-2</v>
      </c>
    </row>
    <row r="569" spans="1:27">
      <c r="A569" s="7">
        <v>18</v>
      </c>
      <c r="B569" s="87">
        <v>42156</v>
      </c>
      <c r="C569" s="20">
        <v>2015</v>
      </c>
      <c r="D569" s="10" t="s">
        <v>30</v>
      </c>
      <c r="E569" s="11">
        <v>6</v>
      </c>
      <c r="F569" s="40">
        <v>6.415</v>
      </c>
      <c r="G569" s="40">
        <v>0.05</v>
      </c>
      <c r="I569" s="50">
        <f>AVERAGE(F567:F569)</f>
        <v>5.8523333333333332</v>
      </c>
      <c r="J569" s="50">
        <f>AVERAGE(G567:G569)</f>
        <v>6.433333333333334E-2</v>
      </c>
      <c r="L569">
        <f>+J569/I569</f>
        <v>1.0992766417952955E-2</v>
      </c>
      <c r="M569">
        <f>+(L569-$L$913)/$L$914</f>
        <v>-0.31055593822465244</v>
      </c>
      <c r="N569">
        <f>+N566+M569</f>
        <v>-6.6140903483696292</v>
      </c>
      <c r="Z569">
        <f>+(I569-$F$913)/$F$914</f>
        <v>3.0754470185171016E-2</v>
      </c>
      <c r="AA569">
        <f>+AA566+Z569</f>
        <v>12.540808978724822</v>
      </c>
    </row>
    <row r="570" spans="1:27">
      <c r="A570" s="7">
        <v>1</v>
      </c>
      <c r="B570" s="87">
        <v>42186</v>
      </c>
      <c r="C570" s="20">
        <v>2015</v>
      </c>
      <c r="D570" s="10" t="s">
        <v>31</v>
      </c>
      <c r="E570" s="11">
        <v>7</v>
      </c>
      <c r="F570" s="40">
        <v>5.8680000000000003</v>
      </c>
      <c r="G570" s="40">
        <v>6.2E-2</v>
      </c>
    </row>
    <row r="571" spans="1:27">
      <c r="A571" s="7">
        <v>17</v>
      </c>
      <c r="B571" s="87">
        <v>42186</v>
      </c>
      <c r="C571" s="20">
        <v>2015</v>
      </c>
      <c r="D571" s="10" t="s">
        <v>31</v>
      </c>
      <c r="E571" s="11">
        <v>7</v>
      </c>
      <c r="F571" s="40">
        <v>4.6139999999999999</v>
      </c>
      <c r="G571" s="40">
        <v>3.5999999999999997E-2</v>
      </c>
    </row>
    <row r="572" spans="1:27">
      <c r="A572" s="7">
        <v>18</v>
      </c>
      <c r="B572" s="87">
        <v>42186</v>
      </c>
      <c r="C572" s="20">
        <v>2015</v>
      </c>
      <c r="D572" s="10" t="s">
        <v>31</v>
      </c>
      <c r="E572" s="11">
        <v>7</v>
      </c>
      <c r="F572" s="40">
        <v>5.9109999999999996</v>
      </c>
      <c r="G572" s="40">
        <v>4.2000000000000003E-2</v>
      </c>
      <c r="I572" s="50">
        <f>AVERAGE(F570:F572)</f>
        <v>5.4643333333333333</v>
      </c>
      <c r="J572" s="50">
        <f>AVERAGE(G570:G572)</f>
        <v>4.6666666666666669E-2</v>
      </c>
      <c r="L572">
        <f>+J572/I572</f>
        <v>8.5402305862258294E-3</v>
      </c>
      <c r="M572">
        <f>+(L572-$L$913)/$L$914</f>
        <v>-0.41435393607052728</v>
      </c>
      <c r="N572">
        <f>+N569+M572</f>
        <v>-7.0284442844401562</v>
      </c>
      <c r="Z572">
        <f>+(I572-$F$913)/$F$914</f>
        <v>-5.8596864818242618E-2</v>
      </c>
      <c r="AA572">
        <f>+AA569+Z572</f>
        <v>12.482212113906579</v>
      </c>
    </row>
    <row r="573" spans="1:27">
      <c r="A573" s="7">
        <v>1</v>
      </c>
      <c r="B573" s="87">
        <v>42217</v>
      </c>
      <c r="C573" s="20">
        <v>2015</v>
      </c>
      <c r="D573" s="10" t="s">
        <v>32</v>
      </c>
      <c r="E573" s="11">
        <v>8</v>
      </c>
      <c r="F573" s="40">
        <v>5.3529999999999998</v>
      </c>
      <c r="G573" s="40">
        <v>5.2999999999999999E-2</v>
      </c>
    </row>
    <row r="574" spans="1:27">
      <c r="A574" s="7">
        <v>17</v>
      </c>
      <c r="B574" s="87">
        <v>42217</v>
      </c>
      <c r="C574" s="20">
        <v>2015</v>
      </c>
      <c r="D574" s="10" t="s">
        <v>32</v>
      </c>
      <c r="E574" s="11">
        <v>8</v>
      </c>
      <c r="F574" s="40">
        <v>10.667999999999999</v>
      </c>
      <c r="G574" s="40">
        <v>6.2E-2</v>
      </c>
    </row>
    <row r="575" spans="1:27">
      <c r="A575" s="7">
        <v>18</v>
      </c>
      <c r="B575" s="87">
        <v>42217</v>
      </c>
      <c r="C575" s="20">
        <v>2015</v>
      </c>
      <c r="D575" s="10" t="s">
        <v>32</v>
      </c>
      <c r="E575" s="11">
        <v>8</v>
      </c>
      <c r="F575" s="40">
        <v>3.5880000000000001</v>
      </c>
      <c r="G575" s="40">
        <v>0.03</v>
      </c>
      <c r="I575" s="50">
        <f>AVERAGE(F573:F575)</f>
        <v>6.5363333333333342</v>
      </c>
      <c r="J575" s="50">
        <f>AVERAGE(G573:G575)</f>
        <v>4.8333333333333332E-2</v>
      </c>
      <c r="L575">
        <f>+J575/I575</f>
        <v>7.3945637207404749E-3</v>
      </c>
      <c r="M575">
        <f>+(L575-$L$913)/$L$914</f>
        <v>-0.46284167895989198</v>
      </c>
      <c r="N575">
        <f>+N572+M575</f>
        <v>-7.4912859634000482</v>
      </c>
      <c r="Z575">
        <f>+(I575-$F$913)/$F$914</f>
        <v>0.1882707411705706</v>
      </c>
      <c r="AA575">
        <f>+AA572+Z575</f>
        <v>12.67048285507715</v>
      </c>
    </row>
    <row r="576" spans="1:27">
      <c r="A576" s="7">
        <v>1</v>
      </c>
      <c r="B576" s="87">
        <v>42248</v>
      </c>
      <c r="C576" s="20">
        <v>2015</v>
      </c>
      <c r="D576" s="10" t="s">
        <v>38</v>
      </c>
      <c r="E576" s="11">
        <v>9</v>
      </c>
      <c r="F576" s="40">
        <v>8.4789999999999992</v>
      </c>
      <c r="G576" s="40">
        <v>0.16300000000000001</v>
      </c>
    </row>
    <row r="577" spans="1:27">
      <c r="A577" s="7">
        <v>17</v>
      </c>
      <c r="B577" s="87">
        <v>42248</v>
      </c>
      <c r="C577" s="20">
        <v>2015</v>
      </c>
      <c r="D577" s="10" t="s">
        <v>38</v>
      </c>
      <c r="E577" s="11">
        <v>9</v>
      </c>
      <c r="F577" s="40">
        <v>9.7989999999999995</v>
      </c>
      <c r="G577" s="40">
        <v>0.156</v>
      </c>
    </row>
    <row r="578" spans="1:27">
      <c r="A578" s="7">
        <v>18</v>
      </c>
      <c r="B578" s="87">
        <v>42248</v>
      </c>
      <c r="C578" s="20">
        <v>2015</v>
      </c>
      <c r="D578" s="10" t="s">
        <v>38</v>
      </c>
      <c r="E578" s="11">
        <v>9</v>
      </c>
      <c r="F578" s="40">
        <v>4.3929999999999998</v>
      </c>
      <c r="G578" s="40">
        <v>0.23200000000000001</v>
      </c>
      <c r="I578" s="50">
        <f>AVERAGE(F576:F578)</f>
        <v>7.5569999999999995</v>
      </c>
      <c r="J578" s="50">
        <f>AVERAGE(G576:G578)</f>
        <v>0.18366666666666667</v>
      </c>
      <c r="L578">
        <f>+J578/I578</f>
        <v>2.4304177142605094E-2</v>
      </c>
      <c r="M578">
        <f>+(L578-$L$913)/$L$914</f>
        <v>0.25281922793957778</v>
      </c>
      <c r="N578">
        <f>+N575+M578</f>
        <v>-7.2384667354604701</v>
      </c>
      <c r="Z578">
        <f>+(I578-$F$913)/$F$914</f>
        <v>0.42331695060394881</v>
      </c>
      <c r="AA578">
        <f>+AA575+Z578</f>
        <v>13.093799805681099</v>
      </c>
    </row>
    <row r="579" spans="1:27">
      <c r="A579" s="7">
        <v>1</v>
      </c>
      <c r="B579" s="87">
        <v>42278</v>
      </c>
      <c r="C579" s="20">
        <v>2015</v>
      </c>
      <c r="D579" s="10" t="s">
        <v>34</v>
      </c>
      <c r="E579" s="11">
        <v>10</v>
      </c>
      <c r="F579" s="40">
        <v>3.4430000000000001</v>
      </c>
      <c r="G579" s="40">
        <v>0.02</v>
      </c>
    </row>
    <row r="580" spans="1:27">
      <c r="A580" s="7">
        <v>17</v>
      </c>
      <c r="B580" s="87">
        <v>42278</v>
      </c>
      <c r="C580" s="20">
        <v>2015</v>
      </c>
      <c r="D580" s="10" t="s">
        <v>34</v>
      </c>
      <c r="E580" s="11">
        <v>10</v>
      </c>
      <c r="F580" s="40">
        <v>6.5339999999999998</v>
      </c>
      <c r="G580" s="40">
        <v>2.7E-2</v>
      </c>
    </row>
    <row r="581" spans="1:27">
      <c r="A581" s="7">
        <v>18</v>
      </c>
      <c r="B581" s="87">
        <v>42278</v>
      </c>
      <c r="C581" s="20">
        <v>2015</v>
      </c>
      <c r="D581" s="10" t="s">
        <v>34</v>
      </c>
      <c r="E581" s="11">
        <v>10</v>
      </c>
      <c r="F581" s="40">
        <v>6.9669999999999996</v>
      </c>
      <c r="G581" s="40">
        <v>2.9000000000000001E-2</v>
      </c>
      <c r="I581" s="50">
        <f>AVERAGE(F579:F581)</f>
        <v>5.6479999999999997</v>
      </c>
      <c r="J581" s="50">
        <f>AVERAGE(G579:G581)</f>
        <v>2.5333333333333333E-2</v>
      </c>
      <c r="L581">
        <f>+J581/I581</f>
        <v>4.4853635505193584E-3</v>
      </c>
      <c r="M581">
        <f>+(L581-$L$913)/$L$914</f>
        <v>-0.58596695570220048</v>
      </c>
      <c r="N581">
        <f>+N578+M581</f>
        <v>-7.8244336911626711</v>
      </c>
      <c r="Z581">
        <f>+(I581-$F$913)/$F$914</f>
        <v>-1.6300829090681739E-2</v>
      </c>
      <c r="AA581">
        <f>+AA578+Z581</f>
        <v>13.077498976590418</v>
      </c>
    </row>
    <row r="582" spans="1:27">
      <c r="A582" s="7">
        <v>1</v>
      </c>
      <c r="B582" s="87">
        <v>42309</v>
      </c>
      <c r="C582" s="20">
        <v>2015</v>
      </c>
      <c r="D582" s="10" t="s">
        <v>35</v>
      </c>
      <c r="E582" s="11">
        <v>11</v>
      </c>
      <c r="F582" s="40">
        <v>2.74</v>
      </c>
      <c r="G582" s="40">
        <v>8.9999999999999993E-3</v>
      </c>
    </row>
    <row r="583" spans="1:27">
      <c r="A583" s="7">
        <v>17</v>
      </c>
      <c r="B583" s="87">
        <v>42309</v>
      </c>
      <c r="C583" s="20">
        <v>2015</v>
      </c>
      <c r="D583" s="10" t="s">
        <v>35</v>
      </c>
      <c r="E583" s="11">
        <v>11</v>
      </c>
      <c r="F583" s="40">
        <v>3.3090000000000002</v>
      </c>
      <c r="G583" s="40">
        <v>8.9999999999999993E-3</v>
      </c>
    </row>
    <row r="584" spans="1:27">
      <c r="A584" s="7">
        <v>18</v>
      </c>
      <c r="B584" s="87">
        <v>42309</v>
      </c>
      <c r="C584" s="20">
        <v>2015</v>
      </c>
      <c r="D584" s="10" t="s">
        <v>35</v>
      </c>
      <c r="E584" s="11">
        <v>11</v>
      </c>
      <c r="F584" s="40">
        <v>2.7410000000000001</v>
      </c>
      <c r="G584" s="40">
        <v>8.0000000000000002E-3</v>
      </c>
      <c r="I584" s="50">
        <f>AVERAGE(F582:F584)</f>
        <v>2.93</v>
      </c>
      <c r="J584" s="50">
        <f>AVERAGE(G582:G584)</f>
        <v>8.6666666666666663E-3</v>
      </c>
      <c r="L584">
        <f>+J584/I584</f>
        <v>2.9579067121729237E-3</v>
      </c>
      <c r="M584">
        <f>+(L584-$L$913)/$L$914</f>
        <v>-0.65061309035406323</v>
      </c>
      <c r="N584">
        <f>+N581+M584</f>
        <v>-8.4750467815167347</v>
      </c>
      <c r="Z584">
        <f>+(I584-$F$913)/$F$914</f>
        <v>-0.64222074800634743</v>
      </c>
      <c r="AA584">
        <f>+AA581+Z584</f>
        <v>12.435278228584071</v>
      </c>
    </row>
    <row r="585" spans="1:27">
      <c r="A585" s="7">
        <v>1</v>
      </c>
      <c r="B585" s="88">
        <v>42339</v>
      </c>
      <c r="C585" s="20">
        <v>2015</v>
      </c>
      <c r="D585" s="10" t="s">
        <v>36</v>
      </c>
      <c r="E585" s="11">
        <v>12</v>
      </c>
      <c r="F585" s="40">
        <v>2.1520000000000001</v>
      </c>
      <c r="G585" s="40">
        <v>1.4E-2</v>
      </c>
    </row>
    <row r="586" spans="1:27">
      <c r="A586" s="7">
        <v>17</v>
      </c>
      <c r="B586" s="87">
        <v>42339</v>
      </c>
      <c r="C586" s="20">
        <v>2015</v>
      </c>
      <c r="D586" s="10" t="s">
        <v>36</v>
      </c>
      <c r="E586" s="11">
        <v>12</v>
      </c>
      <c r="F586" s="40">
        <v>2.6379999999999999</v>
      </c>
      <c r="G586" s="40">
        <v>1.7999999999999999E-2</v>
      </c>
    </row>
    <row r="587" spans="1:27">
      <c r="A587" s="7">
        <v>18</v>
      </c>
      <c r="B587" s="87">
        <v>42339</v>
      </c>
      <c r="C587" s="20">
        <v>2015</v>
      </c>
      <c r="D587" s="10" t="s">
        <v>36</v>
      </c>
      <c r="E587" s="11">
        <v>12</v>
      </c>
      <c r="F587" s="40">
        <v>2.2519999999999998</v>
      </c>
      <c r="G587" s="40">
        <v>1.7999999999999999E-2</v>
      </c>
      <c r="I587" s="50">
        <f>AVERAGE(F585:F587)</f>
        <v>2.3473333333333333</v>
      </c>
      <c r="J587" s="50">
        <f>AVERAGE(G585:G587)</f>
        <v>1.6666666666666666E-2</v>
      </c>
      <c r="L587">
        <f>+J587/I587</f>
        <v>7.1002556092019317E-3</v>
      </c>
      <c r="M587">
        <f>+(L587-$L$913)/$L$914</f>
        <v>-0.47529760002424937</v>
      </c>
      <c r="N587">
        <f>+N584+M587</f>
        <v>-8.9503443815409849</v>
      </c>
      <c r="Z587">
        <f>+(I587-$F$913)/$F$914</f>
        <v>-0.77640127514205803</v>
      </c>
      <c r="AA587">
        <f>+AA584+Z587</f>
        <v>11.658876953442013</v>
      </c>
    </row>
    <row r="588" spans="1:27">
      <c r="A588" s="120">
        <v>1</v>
      </c>
      <c r="B588" s="95">
        <v>42379</v>
      </c>
      <c r="C588" s="43">
        <v>2016</v>
      </c>
      <c r="D588" s="45" t="s">
        <v>37</v>
      </c>
      <c r="E588" s="9">
        <v>1</v>
      </c>
      <c r="F588" s="111">
        <v>3.944</v>
      </c>
      <c r="G588" s="111">
        <v>1.2999999999999999E-2</v>
      </c>
    </row>
    <row r="589" spans="1:27">
      <c r="A589" s="7">
        <v>17</v>
      </c>
      <c r="B589" s="86">
        <v>42374</v>
      </c>
      <c r="C589" s="20">
        <v>2016</v>
      </c>
      <c r="D589" s="10" t="s">
        <v>37</v>
      </c>
      <c r="E589" s="9">
        <v>1</v>
      </c>
      <c r="F589" s="112">
        <v>19.608000000000001</v>
      </c>
      <c r="G589" s="112">
        <v>1.7999999999999999E-2</v>
      </c>
    </row>
    <row r="590" spans="1:27">
      <c r="A590" s="7">
        <v>18</v>
      </c>
      <c r="B590" s="86">
        <v>42374</v>
      </c>
      <c r="C590" s="20">
        <v>2016</v>
      </c>
      <c r="D590" s="10" t="s">
        <v>37</v>
      </c>
      <c r="E590" s="9">
        <v>1</v>
      </c>
      <c r="F590" s="112">
        <v>3.2839999999999998</v>
      </c>
      <c r="G590" s="112">
        <v>1.6E-2</v>
      </c>
      <c r="I590" s="50">
        <f>AVERAGE(F588:F590)</f>
        <v>8.9453333333333322</v>
      </c>
      <c r="J590" s="50">
        <f>AVERAGE(G588:G590)</f>
        <v>1.5666666666666666E-2</v>
      </c>
      <c r="L590">
        <f>+J590/I590</f>
        <v>1.751378744969444E-3</v>
      </c>
      <c r="M590">
        <f>+(L590-$L$913)/$L$914</f>
        <v>-0.70167664087213311</v>
      </c>
      <c r="N590">
        <f>+N587+M590</f>
        <v>-9.652021022413118</v>
      </c>
      <c r="Z590">
        <f>+(I590-$F$913)/$F$914</f>
        <v>0.7430319938077441</v>
      </c>
      <c r="AA590">
        <f>+AA587+Z590</f>
        <v>12.401908947249757</v>
      </c>
    </row>
    <row r="591" spans="1:27">
      <c r="A591" s="7">
        <v>1</v>
      </c>
      <c r="B591" s="87">
        <v>42401</v>
      </c>
      <c r="C591" s="20">
        <v>2016</v>
      </c>
      <c r="D591" s="10" t="s">
        <v>26</v>
      </c>
      <c r="E591" s="11">
        <v>2</v>
      </c>
      <c r="F591" s="112">
        <v>3.3879999999999999</v>
      </c>
      <c r="G591" s="112">
        <v>1.9E-2</v>
      </c>
    </row>
    <row r="592" spans="1:27">
      <c r="A592" s="7">
        <v>17</v>
      </c>
      <c r="B592" s="87">
        <v>42401</v>
      </c>
      <c r="C592" s="20">
        <v>2016</v>
      </c>
      <c r="D592" s="10" t="s">
        <v>26</v>
      </c>
      <c r="E592" s="11">
        <v>2</v>
      </c>
      <c r="F592" s="112">
        <v>4.3040000000000003</v>
      </c>
      <c r="G592" s="112">
        <v>1.7000000000000001E-2</v>
      </c>
    </row>
    <row r="593" spans="1:27">
      <c r="A593" s="7">
        <v>18</v>
      </c>
      <c r="B593" s="87">
        <v>42401</v>
      </c>
      <c r="C593" s="20">
        <v>2016</v>
      </c>
      <c r="D593" s="10" t="s">
        <v>26</v>
      </c>
      <c r="E593" s="11">
        <v>2</v>
      </c>
      <c r="F593" s="112">
        <v>3.4849999999999999</v>
      </c>
      <c r="G593" s="112">
        <v>2.1999999999999999E-2</v>
      </c>
      <c r="I593" s="50">
        <f>AVERAGE(F591:F593)</f>
        <v>3.7256666666666667</v>
      </c>
      <c r="J593" s="50">
        <f>AVERAGE(G591:G593)</f>
        <v>1.9333333333333334E-2</v>
      </c>
      <c r="L593">
        <f>+J593/I593</f>
        <v>5.1892278786794315E-3</v>
      </c>
      <c r="M593">
        <f>+(L593-$L$913)/$L$914</f>
        <v>-0.55617749979578157</v>
      </c>
      <c r="N593">
        <f>+N590+M593</f>
        <v>-10.2081985222089</v>
      </c>
      <c r="Z593">
        <f>+(I593-$F$913)/$F$914</f>
        <v>-0.45898910139711341</v>
      </c>
      <c r="AA593">
        <f>+AA590+Z593</f>
        <v>11.942919845852643</v>
      </c>
    </row>
    <row r="594" spans="1:27">
      <c r="A594" s="7">
        <v>1</v>
      </c>
      <c r="B594" s="87">
        <v>42430</v>
      </c>
      <c r="C594" s="20">
        <v>2016</v>
      </c>
      <c r="D594" s="10" t="s">
        <v>27</v>
      </c>
      <c r="E594" s="11">
        <v>3</v>
      </c>
      <c r="F594" s="112">
        <v>7.0460000000000003</v>
      </c>
      <c r="G594" s="112">
        <v>2.4E-2</v>
      </c>
    </row>
    <row r="595" spans="1:27">
      <c r="A595" s="7">
        <v>17</v>
      </c>
      <c r="B595" s="87">
        <v>42430</v>
      </c>
      <c r="C595" s="20">
        <v>2016</v>
      </c>
      <c r="D595" s="10" t="s">
        <v>27</v>
      </c>
      <c r="E595" s="11">
        <v>3</v>
      </c>
      <c r="F595" s="112">
        <v>8.2720000000000002</v>
      </c>
      <c r="G595" s="112">
        <v>2.5000000000000001E-2</v>
      </c>
    </row>
    <row r="596" spans="1:27">
      <c r="A596" s="7">
        <v>18</v>
      </c>
      <c r="B596" s="87">
        <v>42430</v>
      </c>
      <c r="C596" s="20">
        <v>2016</v>
      </c>
      <c r="D596" s="10" t="s">
        <v>27</v>
      </c>
      <c r="E596" s="11">
        <v>3</v>
      </c>
      <c r="F596" s="112">
        <v>6.73</v>
      </c>
      <c r="G596" s="112">
        <v>1.2999999999999999E-2</v>
      </c>
      <c r="I596" s="50">
        <f>AVERAGE(F594:F596)</f>
        <v>7.3493333333333339</v>
      </c>
      <c r="J596" s="50">
        <f>AVERAGE(G594:G596)</f>
        <v>2.0666666666666667E-2</v>
      </c>
      <c r="L596">
        <f>+J596/I596</f>
        <v>2.8120464441219154E-3</v>
      </c>
      <c r="M596">
        <f>+(L596-$L$913)/$L$914</f>
        <v>-0.65678629426533719</v>
      </c>
      <c r="N596">
        <f>+N593+M596</f>
        <v>-10.864984816474237</v>
      </c>
      <c r="Z596">
        <f>+(I596-$F$913)/$F$914</f>
        <v>0.37549402817514604</v>
      </c>
      <c r="AA596">
        <f>+AA593+Z596</f>
        <v>12.318413874027788</v>
      </c>
    </row>
    <row r="597" spans="1:27">
      <c r="A597" s="7">
        <v>1</v>
      </c>
      <c r="B597" s="87">
        <v>42461</v>
      </c>
      <c r="C597" s="20">
        <v>2016</v>
      </c>
      <c r="D597" s="10" t="s">
        <v>28</v>
      </c>
      <c r="E597" s="11">
        <v>4</v>
      </c>
      <c r="F597" s="112">
        <v>4.5570000000000004</v>
      </c>
      <c r="G597" s="112">
        <v>2.3E-2</v>
      </c>
    </row>
    <row r="598" spans="1:27">
      <c r="A598" s="7">
        <v>17</v>
      </c>
      <c r="B598" s="87">
        <v>42461</v>
      </c>
      <c r="C598" s="20">
        <v>2016</v>
      </c>
      <c r="D598" s="10" t="s">
        <v>28</v>
      </c>
      <c r="E598" s="11">
        <v>4</v>
      </c>
      <c r="F598" s="112">
        <v>2.92</v>
      </c>
      <c r="G598" s="112">
        <v>8.9999999999999993E-3</v>
      </c>
    </row>
    <row r="599" spans="1:27">
      <c r="A599" s="7">
        <v>18</v>
      </c>
      <c r="B599" s="87">
        <v>42461</v>
      </c>
      <c r="C599" s="20">
        <v>2016</v>
      </c>
      <c r="D599" s="10" t="s">
        <v>28</v>
      </c>
      <c r="E599" s="11">
        <v>4</v>
      </c>
      <c r="F599" s="112">
        <v>2.4020000000000001</v>
      </c>
      <c r="G599" s="112">
        <v>1.2E-2</v>
      </c>
      <c r="I599" s="50">
        <f>AVERAGE(F597:F599)</f>
        <v>3.2930000000000006</v>
      </c>
      <c r="J599" s="50">
        <f>AVERAGE(G597:G599)</f>
        <v>1.4666666666666666E-2</v>
      </c>
      <c r="L599">
        <f>+J599/I599</f>
        <v>4.4538920943415321E-3</v>
      </c>
      <c r="M599">
        <f>+(L599-$L$913)/$L$914</f>
        <v>-0.5872989134653831</v>
      </c>
      <c r="N599">
        <f>+N596+M599</f>
        <v>-11.452283729939621</v>
      </c>
      <c r="Z599">
        <f>+(I599-$F$913)/$F$914</f>
        <v>-0.55862658665006082</v>
      </c>
      <c r="AA599">
        <f>+AA596+Z599</f>
        <v>11.759787287377728</v>
      </c>
    </row>
    <row r="600" spans="1:27">
      <c r="A600" s="7">
        <v>1</v>
      </c>
      <c r="B600" s="87">
        <v>42491</v>
      </c>
      <c r="C600" s="20">
        <v>2016</v>
      </c>
      <c r="D600" s="10" t="s">
        <v>29</v>
      </c>
      <c r="E600" s="11">
        <v>5</v>
      </c>
      <c r="F600" s="112">
        <v>4.8899999999999997</v>
      </c>
      <c r="G600" s="112">
        <v>4.5999999999999999E-2</v>
      </c>
    </row>
    <row r="601" spans="1:27">
      <c r="A601" s="7">
        <v>17</v>
      </c>
      <c r="B601" s="87">
        <v>42491</v>
      </c>
      <c r="C601" s="20">
        <v>2016</v>
      </c>
      <c r="D601" s="10" t="s">
        <v>29</v>
      </c>
      <c r="E601" s="11">
        <v>5</v>
      </c>
      <c r="F601" s="112">
        <v>7.2969999999999997</v>
      </c>
      <c r="G601" s="112">
        <v>7.0999999999999994E-2</v>
      </c>
    </row>
    <row r="602" spans="1:27">
      <c r="A602" s="7">
        <v>18</v>
      </c>
      <c r="B602" s="87">
        <v>42491</v>
      </c>
      <c r="C602" s="20">
        <v>2016</v>
      </c>
      <c r="D602" s="10" t="s">
        <v>29</v>
      </c>
      <c r="E602" s="11">
        <v>5</v>
      </c>
      <c r="F602" s="112">
        <v>6.008</v>
      </c>
      <c r="G602" s="112">
        <v>8.1000000000000003E-2</v>
      </c>
      <c r="I602" s="50">
        <f>AVERAGE(F600:F602)</f>
        <v>6.0650000000000004</v>
      </c>
      <c r="J602" s="50">
        <f>AVERAGE(G600:G602)</f>
        <v>6.6000000000000003E-2</v>
      </c>
      <c r="L602">
        <f>+J602/I602</f>
        <v>1.0882110469909315E-2</v>
      </c>
      <c r="M602">
        <f>+(L602-$L$913)/$L$914</f>
        <v>-0.31523919940603073</v>
      </c>
      <c r="N602">
        <f>+N599+M602</f>
        <v>-11.767522929345652</v>
      </c>
      <c r="Z602">
        <f>+(I602-$F$913)/$F$914</f>
        <v>7.9728827343399589E-2</v>
      </c>
      <c r="AA602">
        <f>+AA599+Z602</f>
        <v>11.839516114721128</v>
      </c>
    </row>
    <row r="603" spans="1:27">
      <c r="A603" s="7">
        <v>1</v>
      </c>
      <c r="B603" s="87">
        <v>42522</v>
      </c>
      <c r="C603" s="20">
        <v>2016</v>
      </c>
      <c r="D603" s="10" t="s">
        <v>30</v>
      </c>
      <c r="E603" s="11">
        <v>6</v>
      </c>
      <c r="F603" s="112">
        <v>4.22</v>
      </c>
      <c r="G603" s="112">
        <v>0.06</v>
      </c>
    </row>
    <row r="604" spans="1:27">
      <c r="A604" s="7">
        <v>17</v>
      </c>
      <c r="B604" s="87">
        <v>42522</v>
      </c>
      <c r="C604" s="20">
        <v>2016</v>
      </c>
      <c r="D604" s="10" t="s">
        <v>30</v>
      </c>
      <c r="E604" s="11">
        <v>6</v>
      </c>
      <c r="F604" s="112">
        <v>4.8220000000000001</v>
      </c>
      <c r="G604" s="112">
        <v>3.3000000000000002E-2</v>
      </c>
    </row>
    <row r="605" spans="1:27">
      <c r="A605" s="7">
        <v>18</v>
      </c>
      <c r="B605" s="87">
        <v>42522</v>
      </c>
      <c r="C605" s="20">
        <v>2016</v>
      </c>
      <c r="D605" s="10" t="s">
        <v>30</v>
      </c>
      <c r="E605" s="11">
        <v>6</v>
      </c>
      <c r="F605" s="112">
        <v>11.074999999999999</v>
      </c>
      <c r="G605" s="112">
        <v>0.374</v>
      </c>
      <c r="I605" s="50">
        <f>AVERAGE(F603:F605)</f>
        <v>6.7056666666666658</v>
      </c>
      <c r="J605" s="50">
        <f>AVERAGE(G603:G605)</f>
        <v>0.15566666666666665</v>
      </c>
      <c r="L605">
        <f>+J605/I605</f>
        <v>2.3214196947855047E-2</v>
      </c>
      <c r="M605">
        <f>+(L605-$L$913)/$L$914</f>
        <v>0.20668829666301508</v>
      </c>
      <c r="N605">
        <f>+N602+M605</f>
        <v>-11.560834632682637</v>
      </c>
      <c r="Z605">
        <f>+(I605-$F$913)/$F$914</f>
        <v>0.22726599734044486</v>
      </c>
      <c r="AA605">
        <f>+AA602+Z605</f>
        <v>12.066782112061572</v>
      </c>
    </row>
    <row r="606" spans="1:27">
      <c r="A606" s="7">
        <v>1</v>
      </c>
      <c r="B606" s="87">
        <v>42552</v>
      </c>
      <c r="C606" s="20">
        <v>2016</v>
      </c>
      <c r="D606" s="10" t="s">
        <v>31</v>
      </c>
      <c r="E606" s="11">
        <v>7</v>
      </c>
      <c r="F606" s="112">
        <v>4.2089999999999996</v>
      </c>
      <c r="G606" s="112">
        <v>0.33200000000000002</v>
      </c>
    </row>
    <row r="607" spans="1:27">
      <c r="A607" s="7">
        <v>17</v>
      </c>
      <c r="B607" s="87">
        <v>42552</v>
      </c>
      <c r="C607" s="20">
        <v>2016</v>
      </c>
      <c r="D607" s="10" t="s">
        <v>31</v>
      </c>
      <c r="E607" s="11">
        <v>7</v>
      </c>
      <c r="F607" s="112">
        <v>2.5550000000000002</v>
      </c>
      <c r="G607" s="112">
        <v>7.6999999999999999E-2</v>
      </c>
    </row>
    <row r="608" spans="1:27">
      <c r="A608" s="7">
        <v>18</v>
      </c>
      <c r="B608" s="87">
        <v>42552</v>
      </c>
      <c r="C608" s="20">
        <v>2016</v>
      </c>
      <c r="D608" s="10" t="s">
        <v>31</v>
      </c>
      <c r="E608" s="11">
        <v>7</v>
      </c>
      <c r="F608" s="112">
        <v>6.3220000000000001</v>
      </c>
      <c r="G608" s="112">
        <v>0.59399999999999997</v>
      </c>
      <c r="I608" s="50">
        <f>AVERAGE(F606:F608)</f>
        <v>4.3619999999999992</v>
      </c>
      <c r="J608" s="50">
        <f>AVERAGE(G606:G608)</f>
        <v>0.33433333333333337</v>
      </c>
      <c r="L608">
        <f>+J608/I608</f>
        <v>7.6646798104844899E-2</v>
      </c>
      <c r="M608">
        <f>+(L608-$L$913)/$L$914</f>
        <v>2.4681015441453065</v>
      </c>
      <c r="N608">
        <f>+N605+M608</f>
        <v>-9.0927330885373294</v>
      </c>
      <c r="Z608">
        <f>+(I608-$F$913)/$F$914</f>
        <v>-0.31244984149890342</v>
      </c>
      <c r="AA608">
        <f>+AA605+Z608</f>
        <v>11.754332270562669</v>
      </c>
    </row>
    <row r="609" spans="1:27">
      <c r="A609" s="7">
        <v>1</v>
      </c>
      <c r="B609" s="87">
        <v>42583</v>
      </c>
      <c r="C609" s="20">
        <v>2016</v>
      </c>
      <c r="D609" s="10" t="s">
        <v>32</v>
      </c>
      <c r="E609" s="11">
        <v>8</v>
      </c>
      <c r="F609" s="112">
        <v>5.8470000000000004</v>
      </c>
      <c r="G609" s="112">
        <v>0.307</v>
      </c>
    </row>
    <row r="610" spans="1:27">
      <c r="A610" s="7">
        <v>17</v>
      </c>
      <c r="B610" s="87">
        <v>42583</v>
      </c>
      <c r="C610" s="20">
        <v>2016</v>
      </c>
      <c r="D610" s="10" t="s">
        <v>32</v>
      </c>
      <c r="E610" s="11">
        <v>8</v>
      </c>
      <c r="F610" s="112">
        <v>4.2389999999999999</v>
      </c>
      <c r="G610" s="112">
        <v>4.2999999999999997E-2</v>
      </c>
    </row>
    <row r="611" spans="1:27">
      <c r="A611" s="7">
        <v>18</v>
      </c>
      <c r="B611" s="87">
        <v>42583</v>
      </c>
      <c r="C611" s="20">
        <v>2016</v>
      </c>
      <c r="D611" s="10" t="s">
        <v>32</v>
      </c>
      <c r="E611" s="11">
        <v>8</v>
      </c>
      <c r="F611" s="112">
        <v>5.7009999999999996</v>
      </c>
      <c r="G611" s="112">
        <v>0.63900000000000001</v>
      </c>
      <c r="I611" s="50">
        <f>AVERAGE(F609:F611)</f>
        <v>5.2623333333333333</v>
      </c>
      <c r="J611" s="50">
        <f>AVERAGE(G609:G611)</f>
        <v>0.32966666666666666</v>
      </c>
      <c r="L611">
        <f>+J611/I611</f>
        <v>6.2646481282067526E-2</v>
      </c>
      <c r="M611">
        <f>+(L611-$L$913)/$L$914</f>
        <v>1.8755699951204614</v>
      </c>
      <c r="N611">
        <f>+N608+M611</f>
        <v>-7.2171630934168682</v>
      </c>
      <c r="Z611">
        <f>+(I611-$F$913)/$F$914</f>
        <v>-0.10511482788703012</v>
      </c>
      <c r="AA611">
        <f>+AA608+Z611</f>
        <v>11.649217442675639</v>
      </c>
    </row>
    <row r="612" spans="1:27">
      <c r="A612" s="7">
        <v>1</v>
      </c>
      <c r="B612" s="87">
        <v>42614</v>
      </c>
      <c r="C612" s="20">
        <v>2016</v>
      </c>
      <c r="D612" s="10" t="s">
        <v>38</v>
      </c>
      <c r="E612" s="11">
        <v>9</v>
      </c>
      <c r="F612" s="112">
        <v>5.1619999999999999</v>
      </c>
      <c r="G612" s="112">
        <v>6.4000000000000001E-2</v>
      </c>
    </row>
    <row r="613" spans="1:27">
      <c r="A613" s="7">
        <v>17</v>
      </c>
      <c r="B613" s="87">
        <v>42614</v>
      </c>
      <c r="C613" s="20">
        <v>2016</v>
      </c>
      <c r="D613" s="10" t="s">
        <v>38</v>
      </c>
      <c r="E613" s="11">
        <v>9</v>
      </c>
      <c r="F613" s="112">
        <v>5.4169999999999998</v>
      </c>
      <c r="G613" s="112">
        <v>4.9000000000000002E-2</v>
      </c>
    </row>
    <row r="614" spans="1:27">
      <c r="A614" s="7">
        <v>18</v>
      </c>
      <c r="B614" s="87">
        <v>42614</v>
      </c>
      <c r="C614" s="20">
        <v>2016</v>
      </c>
      <c r="D614" s="10" t="s">
        <v>38</v>
      </c>
      <c r="E614" s="11">
        <v>9</v>
      </c>
      <c r="F614" s="112">
        <v>5.4269999999999996</v>
      </c>
      <c r="G614" s="112">
        <v>6.0999999999999999E-2</v>
      </c>
      <c r="I614" s="50">
        <f>AVERAGE(F612:F614)</f>
        <v>5.3353333333333337</v>
      </c>
      <c r="J614" s="50">
        <f>AVERAGE(G612:G614)</f>
        <v>5.7999999999999996E-2</v>
      </c>
      <c r="L614">
        <f>+J614/I614</f>
        <v>1.0870923403723603E-2</v>
      </c>
      <c r="M614">
        <f>+(L614-$L$913)/$L$914</f>
        <v>-0.31571266652395191</v>
      </c>
      <c r="N614">
        <f>+N611+M614</f>
        <v>-7.5328757599408203</v>
      </c>
      <c r="Z614">
        <f>+(I614-$F$913)/$F$914</f>
        <v>-8.8303880837418705E-2</v>
      </c>
      <c r="AA614">
        <f>+AA611+Z614</f>
        <v>11.56091356183822</v>
      </c>
    </row>
    <row r="615" spans="1:27">
      <c r="A615" s="7">
        <v>1</v>
      </c>
      <c r="B615" s="87">
        <v>42644</v>
      </c>
      <c r="C615" s="20">
        <v>2016</v>
      </c>
      <c r="D615" s="10" t="s">
        <v>34</v>
      </c>
      <c r="E615" s="11">
        <v>10</v>
      </c>
      <c r="F615" s="112">
        <v>2.4830000000000001</v>
      </c>
      <c r="G615" s="112">
        <v>3.5000000000000003E-2</v>
      </c>
    </row>
    <row r="616" spans="1:27">
      <c r="A616" s="7">
        <v>17</v>
      </c>
      <c r="B616" s="87">
        <v>42644</v>
      </c>
      <c r="C616" s="20">
        <v>2016</v>
      </c>
      <c r="D616" s="10" t="s">
        <v>34</v>
      </c>
      <c r="E616" s="11">
        <v>10</v>
      </c>
      <c r="F616" s="112">
        <v>4.5149999999999997</v>
      </c>
      <c r="G616" s="112">
        <v>3.4000000000000002E-2</v>
      </c>
    </row>
    <row r="617" spans="1:27">
      <c r="A617" s="7">
        <v>18</v>
      </c>
      <c r="B617" s="87">
        <v>42644</v>
      </c>
      <c r="C617" s="20">
        <v>2016</v>
      </c>
      <c r="D617" s="10" t="s">
        <v>34</v>
      </c>
      <c r="E617" s="11">
        <v>10</v>
      </c>
      <c r="F617" s="112">
        <v>2.0049999999999999</v>
      </c>
      <c r="G617" s="112">
        <v>0.02</v>
      </c>
      <c r="I617" s="50">
        <f>AVERAGE(F615:F617)</f>
        <v>3.0009999999999999</v>
      </c>
      <c r="J617" s="50">
        <f>AVERAGE(G615:G617)</f>
        <v>2.9666666666666671E-2</v>
      </c>
      <c r="L617">
        <f>+J617/I617</f>
        <v>9.8855936909918937E-3</v>
      </c>
      <c r="M617">
        <f>+(L617-$L$913)/$L$914</f>
        <v>-0.35741450430202754</v>
      </c>
      <c r="N617">
        <f>+N614+M617</f>
        <v>-7.8902902642428474</v>
      </c>
      <c r="Z617">
        <f>+(I617-$F$913)/$F$914</f>
        <v>-0.62587037484850627</v>
      </c>
      <c r="AA617">
        <f>+AA614+Z617</f>
        <v>10.935043186989713</v>
      </c>
    </row>
    <row r="618" spans="1:27">
      <c r="A618" s="7">
        <v>1</v>
      </c>
      <c r="B618" s="87">
        <v>42675</v>
      </c>
      <c r="C618" s="20">
        <v>2016</v>
      </c>
      <c r="D618" s="10" t="s">
        <v>35</v>
      </c>
      <c r="E618" s="11">
        <v>11</v>
      </c>
      <c r="F618" s="112">
        <v>2.766</v>
      </c>
      <c r="G618" s="112">
        <v>0.01</v>
      </c>
    </row>
    <row r="619" spans="1:27">
      <c r="A619" s="7">
        <v>17</v>
      </c>
      <c r="B619" s="87">
        <v>42675</v>
      </c>
      <c r="C619" s="20">
        <v>2016</v>
      </c>
      <c r="D619" s="10" t="s">
        <v>35</v>
      </c>
      <c r="E619" s="11">
        <v>11</v>
      </c>
      <c r="F619" s="112">
        <v>2.71</v>
      </c>
      <c r="G619" s="112">
        <v>8.0000000000000002E-3</v>
      </c>
    </row>
    <row r="620" spans="1:27">
      <c r="A620" s="7">
        <v>18</v>
      </c>
      <c r="B620" s="87">
        <v>42675</v>
      </c>
      <c r="C620" s="20">
        <v>2016</v>
      </c>
      <c r="D620" s="10" t="s">
        <v>35</v>
      </c>
      <c r="E620" s="11">
        <v>11</v>
      </c>
      <c r="F620" s="112">
        <v>3.286</v>
      </c>
      <c r="G620" s="112">
        <v>8.9999999999999993E-3</v>
      </c>
      <c r="I620" s="50">
        <f>AVERAGE(F618:F620)</f>
        <v>2.920666666666667</v>
      </c>
      <c r="J620" s="50">
        <f>AVERAGE(G618:G620)</f>
        <v>9.0000000000000011E-3</v>
      </c>
      <c r="L620">
        <f>+J620/I620</f>
        <v>3.0814882446929927E-3</v>
      </c>
      <c r="M620">
        <f>+(L620-$L$913)/$L$914</f>
        <v>-0.64538278322445264</v>
      </c>
      <c r="N620">
        <f>+N617+M620</f>
        <v>-8.5356730474673004</v>
      </c>
      <c r="Z620">
        <f>+(I620-$F$913)/$F$914</f>
        <v>-0.64437009283460822</v>
      </c>
      <c r="AA620">
        <f>+AA617+Z620</f>
        <v>10.290673094155105</v>
      </c>
    </row>
    <row r="621" spans="1:27">
      <c r="A621" s="7">
        <v>1</v>
      </c>
      <c r="B621" s="88">
        <v>42705</v>
      </c>
      <c r="C621" s="20">
        <v>2016</v>
      </c>
      <c r="D621" s="10" t="s">
        <v>36</v>
      </c>
      <c r="E621" s="11">
        <v>12</v>
      </c>
      <c r="F621" s="112">
        <v>4.58</v>
      </c>
      <c r="G621" s="112">
        <v>1.9E-2</v>
      </c>
    </row>
    <row r="622" spans="1:27">
      <c r="A622" s="7">
        <v>17</v>
      </c>
      <c r="B622" s="87">
        <v>42705</v>
      </c>
      <c r="C622" s="20">
        <v>2016</v>
      </c>
      <c r="D622" s="10" t="s">
        <v>36</v>
      </c>
      <c r="E622" s="11">
        <v>12</v>
      </c>
      <c r="F622" s="112">
        <v>6.3419999999999996</v>
      </c>
      <c r="G622" s="112">
        <v>0.02</v>
      </c>
    </row>
    <row r="623" spans="1:27">
      <c r="A623" s="7">
        <v>18</v>
      </c>
      <c r="B623" s="87">
        <v>42705</v>
      </c>
      <c r="C623" s="20">
        <v>2016</v>
      </c>
      <c r="D623" s="10" t="s">
        <v>36</v>
      </c>
      <c r="E623" s="11">
        <v>12</v>
      </c>
      <c r="F623" s="112">
        <v>7.3029999999999999</v>
      </c>
      <c r="G623" s="112">
        <v>2.4E-2</v>
      </c>
      <c r="I623" s="50">
        <f>AVERAGE(F621:F623)</f>
        <v>6.0750000000000002</v>
      </c>
      <c r="J623" s="50">
        <f>AVERAGE(G621:G623)</f>
        <v>2.1000000000000001E-2</v>
      </c>
      <c r="L623">
        <f>+J623/I623</f>
        <v>3.4567901234567903E-3</v>
      </c>
      <c r="M623">
        <f>+(L623-$L$913)/$L$914</f>
        <v>-0.62949898527967629</v>
      </c>
      <c r="N623">
        <f>+N620+M623</f>
        <v>-9.1651720327469768</v>
      </c>
      <c r="Z623">
        <f>+(I623-$F$913)/$F$914</f>
        <v>8.2031696802250406E-2</v>
      </c>
      <c r="AA623">
        <f>+AA620+Z623</f>
        <v>10.372704790957355</v>
      </c>
    </row>
    <row r="624" spans="1:27">
      <c r="A624" s="120">
        <v>1</v>
      </c>
      <c r="B624" s="95">
        <v>42745</v>
      </c>
      <c r="C624" s="43">
        <v>2017</v>
      </c>
      <c r="D624" s="45" t="s">
        <v>37</v>
      </c>
      <c r="E624" s="9">
        <v>1</v>
      </c>
      <c r="G624" s="112"/>
    </row>
    <row r="625" spans="1:27">
      <c r="A625" s="7">
        <v>17</v>
      </c>
      <c r="B625" s="86">
        <v>42740</v>
      </c>
      <c r="C625" s="20">
        <v>2017</v>
      </c>
      <c r="D625" s="10" t="s">
        <v>37</v>
      </c>
      <c r="E625" s="9">
        <v>1</v>
      </c>
    </row>
    <row r="626" spans="1:27">
      <c r="A626" s="7">
        <v>18</v>
      </c>
      <c r="B626" s="86">
        <v>42740</v>
      </c>
      <c r="C626" s="20">
        <v>2017</v>
      </c>
      <c r="D626" s="10" t="s">
        <v>37</v>
      </c>
      <c r="E626" s="9">
        <v>1</v>
      </c>
    </row>
    <row r="627" spans="1:27">
      <c r="A627" s="7">
        <v>1</v>
      </c>
      <c r="B627" s="87">
        <v>42767</v>
      </c>
      <c r="C627" s="20">
        <v>2017</v>
      </c>
      <c r="D627" s="10" t="s">
        <v>26</v>
      </c>
      <c r="E627" s="11">
        <v>2</v>
      </c>
    </row>
    <row r="628" spans="1:27">
      <c r="A628" s="7">
        <v>17</v>
      </c>
      <c r="B628" s="87">
        <v>42767</v>
      </c>
      <c r="C628" s="20">
        <v>2017</v>
      </c>
      <c r="D628" s="10" t="s">
        <v>26</v>
      </c>
      <c r="E628" s="11">
        <v>2</v>
      </c>
    </row>
    <row r="629" spans="1:27">
      <c r="A629" s="7">
        <v>18</v>
      </c>
      <c r="B629" s="87">
        <v>42767</v>
      </c>
      <c r="C629" s="20">
        <v>2017</v>
      </c>
      <c r="D629" s="10" t="s">
        <v>26</v>
      </c>
      <c r="E629" s="11">
        <v>2</v>
      </c>
    </row>
    <row r="630" spans="1:27">
      <c r="A630" s="7">
        <v>1</v>
      </c>
      <c r="B630" s="87">
        <v>42795</v>
      </c>
      <c r="C630" s="20">
        <v>2017</v>
      </c>
      <c r="D630" s="10" t="s">
        <v>27</v>
      </c>
      <c r="E630" s="11">
        <v>3</v>
      </c>
      <c r="F630" s="111">
        <v>6.641</v>
      </c>
      <c r="G630" s="111">
        <v>3.5000000000000003E-2</v>
      </c>
    </row>
    <row r="631" spans="1:27">
      <c r="A631" s="7">
        <v>17</v>
      </c>
      <c r="B631" s="87">
        <v>42795</v>
      </c>
      <c r="C631" s="20">
        <v>2017</v>
      </c>
      <c r="D631" s="10" t="s">
        <v>27</v>
      </c>
      <c r="E631" s="11">
        <v>3</v>
      </c>
      <c r="F631" s="112">
        <v>17.422999999999998</v>
      </c>
      <c r="G631" s="112">
        <v>3.2000000000000001E-2</v>
      </c>
    </row>
    <row r="632" spans="1:27">
      <c r="A632" s="7">
        <v>18</v>
      </c>
      <c r="B632" s="87">
        <v>42795</v>
      </c>
      <c r="C632" s="20">
        <v>2017</v>
      </c>
      <c r="D632" s="10" t="s">
        <v>27</v>
      </c>
      <c r="E632" s="11">
        <v>3</v>
      </c>
      <c r="F632" s="112">
        <v>11.77</v>
      </c>
      <c r="G632" s="112">
        <v>3.7999999999999999E-2</v>
      </c>
      <c r="I632" s="50">
        <f>AVERAGE(F630:F632)</f>
        <v>11.944666666666668</v>
      </c>
      <c r="J632" s="50">
        <f>AVERAGE(G630:G632)</f>
        <v>3.5000000000000003E-2</v>
      </c>
      <c r="L632">
        <f>+J632/I632</f>
        <v>2.9301780431991963E-3</v>
      </c>
      <c r="M632">
        <f>+(L632-$L$913)/$L$914</f>
        <v>-0.65178664316628743</v>
      </c>
      <c r="N632">
        <f>+N623+M632</f>
        <v>-9.8169586759132645</v>
      </c>
      <c r="Z632">
        <f>+(I632-$F$913)/$F$914</f>
        <v>1.4337393068324149</v>
      </c>
      <c r="AA632">
        <f>+AA623+Z632</f>
        <v>11.80644409778977</v>
      </c>
    </row>
    <row r="633" spans="1:27">
      <c r="A633" s="7">
        <v>1</v>
      </c>
      <c r="B633" s="87">
        <v>42826</v>
      </c>
      <c r="C633" s="20">
        <v>2017</v>
      </c>
      <c r="D633" s="10" t="s">
        <v>28</v>
      </c>
      <c r="E633" s="11">
        <v>4</v>
      </c>
    </row>
    <row r="634" spans="1:27">
      <c r="A634" s="7">
        <v>17</v>
      </c>
      <c r="B634" s="87">
        <v>42826</v>
      </c>
      <c r="C634" s="20">
        <v>2017</v>
      </c>
      <c r="D634" s="10" t="s">
        <v>28</v>
      </c>
      <c r="E634" s="11">
        <v>4</v>
      </c>
    </row>
    <row r="635" spans="1:27">
      <c r="A635" s="7">
        <v>18</v>
      </c>
      <c r="B635" s="87">
        <v>42826</v>
      </c>
      <c r="C635" s="20">
        <v>2017</v>
      </c>
      <c r="D635" s="10" t="s">
        <v>28</v>
      </c>
      <c r="E635" s="11">
        <v>4</v>
      </c>
      <c r="I635" s="50"/>
      <c r="J635" s="50"/>
    </row>
    <row r="636" spans="1:27">
      <c r="A636" s="7">
        <v>1</v>
      </c>
      <c r="B636" s="87">
        <v>42856</v>
      </c>
      <c r="C636" s="20">
        <v>2017</v>
      </c>
      <c r="D636" s="10" t="s">
        <v>29</v>
      </c>
      <c r="E636" s="11">
        <v>5</v>
      </c>
      <c r="F636" s="112">
        <v>5.1689999999999996</v>
      </c>
      <c r="G636" s="112">
        <v>0.106</v>
      </c>
    </row>
    <row r="637" spans="1:27">
      <c r="A637" s="7">
        <v>17</v>
      </c>
      <c r="B637" s="87">
        <v>42856</v>
      </c>
      <c r="C637" s="20">
        <v>2017</v>
      </c>
      <c r="D637" s="10" t="s">
        <v>29</v>
      </c>
      <c r="E637" s="11">
        <v>5</v>
      </c>
      <c r="F637" s="112">
        <v>5.0330000000000004</v>
      </c>
      <c r="G637" s="112">
        <v>8.5000000000000006E-2</v>
      </c>
    </row>
    <row r="638" spans="1:27">
      <c r="A638" s="7">
        <v>18</v>
      </c>
      <c r="B638" s="87">
        <v>42856</v>
      </c>
      <c r="C638" s="20">
        <v>2017</v>
      </c>
      <c r="D638" s="10" t="s">
        <v>29</v>
      </c>
      <c r="E638" s="11">
        <v>5</v>
      </c>
      <c r="F638" s="112">
        <v>4.53</v>
      </c>
      <c r="G638" s="112">
        <v>6.7000000000000004E-2</v>
      </c>
      <c r="I638" s="50">
        <f>AVERAGE(F636:F638)</f>
        <v>4.9106666666666667</v>
      </c>
      <c r="J638" s="50">
        <f>AVERAGE(G636:G638)</f>
        <v>8.6000000000000007E-2</v>
      </c>
      <c r="L638">
        <f>+J638/I638</f>
        <v>1.7512897094759707E-2</v>
      </c>
      <c r="M638">
        <f>+(L638-$L$913)/$L$914</f>
        <v>-3.4606245180041607E-2</v>
      </c>
      <c r="N638">
        <f>+N632+M638</f>
        <v>-9.8515649210933063</v>
      </c>
      <c r="Z638">
        <f>+(I638-$F$913)/$F$914</f>
        <v>-0.18609907052328561</v>
      </c>
      <c r="AA638">
        <f>+AA632+Z638</f>
        <v>11.620345027266485</v>
      </c>
    </row>
    <row r="639" spans="1:27">
      <c r="A639" s="7">
        <v>1</v>
      </c>
      <c r="B639" s="87">
        <v>42887</v>
      </c>
      <c r="C639" s="20">
        <v>2017</v>
      </c>
      <c r="D639" s="10" t="s">
        <v>30</v>
      </c>
      <c r="E639" s="11">
        <v>6</v>
      </c>
      <c r="F639" s="112">
        <v>4.7350000000000003</v>
      </c>
      <c r="G639" s="112">
        <v>0.52800000000000002</v>
      </c>
    </row>
    <row r="640" spans="1:27">
      <c r="A640" s="7">
        <v>17</v>
      </c>
      <c r="B640" s="87">
        <v>42887</v>
      </c>
      <c r="C640" s="20">
        <v>2017</v>
      </c>
      <c r="D640" s="10" t="s">
        <v>30</v>
      </c>
      <c r="E640" s="11">
        <v>6</v>
      </c>
      <c r="F640" s="112">
        <v>8.4489999999999998</v>
      </c>
      <c r="G640" s="112">
        <v>1.5489999999999999</v>
      </c>
    </row>
    <row r="641" spans="1:27">
      <c r="A641" s="7">
        <v>18</v>
      </c>
      <c r="B641" s="87">
        <v>42887</v>
      </c>
      <c r="C641" s="20">
        <v>2017</v>
      </c>
      <c r="D641" s="10" t="s">
        <v>30</v>
      </c>
      <c r="E641" s="11">
        <v>6</v>
      </c>
      <c r="F641" s="112">
        <v>6.4909999999999997</v>
      </c>
      <c r="G641" s="112">
        <v>1.28</v>
      </c>
      <c r="I641" s="50">
        <f>AVERAGE(F639:F641)</f>
        <v>6.5583333333333336</v>
      </c>
      <c r="J641" s="50">
        <f>AVERAGE(G639:G641)</f>
        <v>1.119</v>
      </c>
      <c r="L641">
        <f>+J641/I641</f>
        <v>0.17062261753494282</v>
      </c>
      <c r="M641">
        <f>+(L641-$L$913)/$L$914</f>
        <v>6.4454142408981641</v>
      </c>
      <c r="N641">
        <f>+N638+M641</f>
        <v>-3.4061506801951422</v>
      </c>
      <c r="Z641">
        <f>+(I641-$F$913)/$F$914</f>
        <v>0.19333705398004236</v>
      </c>
      <c r="AA641">
        <f>+AA638+Z641</f>
        <v>11.813682081246528</v>
      </c>
    </row>
    <row r="642" spans="1:27">
      <c r="A642" s="7">
        <v>1</v>
      </c>
      <c r="B642" s="87">
        <v>42917</v>
      </c>
      <c r="C642" s="20">
        <v>2017</v>
      </c>
      <c r="D642" s="10" t="s">
        <v>31</v>
      </c>
      <c r="E642" s="11">
        <v>7</v>
      </c>
      <c r="F642" s="112">
        <v>8.9369999999999994</v>
      </c>
      <c r="G642" s="112">
        <v>0.97699999999999998</v>
      </c>
    </row>
    <row r="643" spans="1:27">
      <c r="A643" s="7">
        <v>17</v>
      </c>
      <c r="B643" s="87">
        <v>42917</v>
      </c>
      <c r="C643" s="20">
        <v>2017</v>
      </c>
      <c r="D643" s="10" t="s">
        <v>31</v>
      </c>
      <c r="E643" s="11">
        <v>7</v>
      </c>
      <c r="F643" s="112">
        <v>17.248000000000001</v>
      </c>
      <c r="G643" s="112">
        <v>1.3839999999999999</v>
      </c>
    </row>
    <row r="644" spans="1:27">
      <c r="A644" s="7">
        <v>18</v>
      </c>
      <c r="B644" s="87">
        <v>42917</v>
      </c>
      <c r="C644" s="20">
        <v>2017</v>
      </c>
      <c r="D644" s="10" t="s">
        <v>31</v>
      </c>
      <c r="E644" s="11">
        <v>7</v>
      </c>
      <c r="F644" s="112">
        <v>24.001000000000001</v>
      </c>
      <c r="G644" s="112">
        <v>1.38</v>
      </c>
      <c r="I644" s="50">
        <f>AVERAGE(F642:F644)</f>
        <v>16.728666666666669</v>
      </c>
      <c r="J644" s="50">
        <f>AVERAGE(G642:G644)</f>
        <v>1.2469999999999999</v>
      </c>
      <c r="L644">
        <f>+J644/I644</f>
        <v>7.4542701151715601E-2</v>
      </c>
      <c r="M644">
        <f>+(L644-$L$913)/$L$914</f>
        <v>2.3790504288942711</v>
      </c>
      <c r="N644">
        <f>+N641+M644</f>
        <v>-1.0271002513008711</v>
      </c>
      <c r="Z644">
        <f>+(I644-$F$913)/$F$914</f>
        <v>2.5354320559466701</v>
      </c>
      <c r="AA644">
        <f>+AA641+Z644</f>
        <v>14.349114137193197</v>
      </c>
    </row>
    <row r="645" spans="1:27">
      <c r="A645" s="7">
        <v>1</v>
      </c>
      <c r="B645" s="87">
        <v>42948</v>
      </c>
      <c r="C645" s="20">
        <v>2017</v>
      </c>
      <c r="D645" s="10" t="s">
        <v>32</v>
      </c>
      <c r="E645" s="11">
        <v>8</v>
      </c>
    </row>
    <row r="646" spans="1:27">
      <c r="A646" s="7">
        <v>17</v>
      </c>
      <c r="B646" s="87">
        <v>42948</v>
      </c>
      <c r="C646" s="20">
        <v>2017</v>
      </c>
      <c r="D646" s="10" t="s">
        <v>32</v>
      </c>
      <c r="E646" s="11">
        <v>8</v>
      </c>
    </row>
    <row r="647" spans="1:27">
      <c r="A647" s="7">
        <v>18</v>
      </c>
      <c r="B647" s="87">
        <v>42948</v>
      </c>
      <c r="C647" s="20">
        <v>2017</v>
      </c>
      <c r="D647" s="10" t="s">
        <v>32</v>
      </c>
      <c r="E647" s="11">
        <v>8</v>
      </c>
      <c r="I647" s="50"/>
      <c r="J647" s="50"/>
    </row>
    <row r="648" spans="1:27">
      <c r="A648" s="7">
        <v>1</v>
      </c>
      <c r="B648" s="87">
        <v>42979</v>
      </c>
      <c r="C648" s="20">
        <v>2017</v>
      </c>
      <c r="D648" s="10" t="s">
        <v>38</v>
      </c>
      <c r="E648" s="11">
        <v>9</v>
      </c>
      <c r="F648" s="112">
        <v>2.262</v>
      </c>
      <c r="G648" s="112">
        <v>3.6999999999999998E-2</v>
      </c>
    </row>
    <row r="649" spans="1:27">
      <c r="A649" s="7">
        <v>17</v>
      </c>
      <c r="B649" s="87">
        <v>42979</v>
      </c>
      <c r="C649" s="20">
        <v>2017</v>
      </c>
      <c r="D649" s="10" t="s">
        <v>38</v>
      </c>
      <c r="E649" s="11">
        <v>9</v>
      </c>
      <c r="F649" s="112">
        <v>1.5029999999999999</v>
      </c>
      <c r="G649" s="112">
        <v>2.1999999999999999E-2</v>
      </c>
    </row>
    <row r="650" spans="1:27">
      <c r="A650" s="7">
        <v>18</v>
      </c>
      <c r="B650" s="87">
        <v>42979</v>
      </c>
      <c r="C650" s="20">
        <v>2017</v>
      </c>
      <c r="D650" s="10" t="s">
        <v>38</v>
      </c>
      <c r="E650" s="11">
        <v>9</v>
      </c>
      <c r="F650" s="112">
        <v>2.94</v>
      </c>
      <c r="G650" s="112">
        <v>0.04</v>
      </c>
      <c r="I650" s="50">
        <f>AVERAGE(F648:F650)</f>
        <v>2.2349999999999999</v>
      </c>
      <c r="J650" s="50">
        <f>AVERAGE(G648:G650)</f>
        <v>3.3000000000000002E-2</v>
      </c>
      <c r="L650">
        <f>+J650/I650</f>
        <v>1.4765100671140941E-2</v>
      </c>
      <c r="M650">
        <f>+(L650-$L$913)/$L$914</f>
        <v>-0.1509004756536606</v>
      </c>
      <c r="N650">
        <f>+N644+M650</f>
        <v>-1.1780007269545316</v>
      </c>
      <c r="Z650">
        <f>+(I650-$F$913)/$F$914</f>
        <v>-0.80227017539648271</v>
      </c>
      <c r="AA650">
        <f>+AA644+Z650</f>
        <v>13.546843961796714</v>
      </c>
    </row>
    <row r="651" spans="1:27">
      <c r="A651" s="7">
        <v>1</v>
      </c>
      <c r="B651" s="87">
        <v>43009</v>
      </c>
      <c r="C651" s="20">
        <v>2017</v>
      </c>
      <c r="D651" s="10" t="s">
        <v>34</v>
      </c>
      <c r="E651" s="11">
        <v>10</v>
      </c>
    </row>
    <row r="652" spans="1:27">
      <c r="A652" s="7">
        <v>17</v>
      </c>
      <c r="B652" s="87">
        <v>43009</v>
      </c>
      <c r="C652" s="20">
        <v>2017</v>
      </c>
      <c r="D652" s="10" t="s">
        <v>34</v>
      </c>
      <c r="E652" s="11">
        <v>10</v>
      </c>
    </row>
    <row r="653" spans="1:27">
      <c r="A653" s="7">
        <v>18</v>
      </c>
      <c r="B653" s="87">
        <v>43009</v>
      </c>
      <c r="C653" s="20">
        <v>2017</v>
      </c>
      <c r="D653" s="10" t="s">
        <v>34</v>
      </c>
      <c r="E653" s="11">
        <v>10</v>
      </c>
      <c r="I653" s="50"/>
      <c r="J653" s="50"/>
    </row>
    <row r="654" spans="1:27">
      <c r="A654" s="7">
        <v>1</v>
      </c>
      <c r="B654" s="87">
        <v>43040</v>
      </c>
      <c r="C654" s="20">
        <v>2017</v>
      </c>
      <c r="D654" s="10" t="s">
        <v>35</v>
      </c>
      <c r="E654" s="11">
        <v>11</v>
      </c>
      <c r="F654" s="112">
        <v>1.7549999999999999</v>
      </c>
      <c r="G654" s="112">
        <v>1.7999999999999999E-2</v>
      </c>
    </row>
    <row r="655" spans="1:27">
      <c r="A655" s="7">
        <v>17</v>
      </c>
      <c r="B655" s="87">
        <v>43040</v>
      </c>
      <c r="C655" s="20">
        <v>2017</v>
      </c>
      <c r="D655" s="10" t="s">
        <v>35</v>
      </c>
      <c r="E655" s="11">
        <v>11</v>
      </c>
      <c r="F655" s="112">
        <v>2.8220000000000001</v>
      </c>
      <c r="G655" s="112">
        <v>2.1000000000000001E-2</v>
      </c>
    </row>
    <row r="656" spans="1:27">
      <c r="A656" s="7">
        <v>18</v>
      </c>
      <c r="B656" s="87">
        <v>43040</v>
      </c>
      <c r="C656" s="20">
        <v>2017</v>
      </c>
      <c r="D656" s="10" t="s">
        <v>35</v>
      </c>
      <c r="E656" s="11">
        <v>11</v>
      </c>
      <c r="F656" s="112">
        <v>1.2250000000000001</v>
      </c>
      <c r="G656" s="112">
        <v>1.2E-2</v>
      </c>
      <c r="I656" s="50">
        <f>AVERAGE(F654:F656)</f>
        <v>1.9339999999999999</v>
      </c>
      <c r="J656" s="50">
        <f>AVERAGE(G654:G656)</f>
        <v>1.7000000000000001E-2</v>
      </c>
      <c r="L656">
        <f>+J656/I656</f>
        <v>8.7900723888314387E-3</v>
      </c>
      <c r="M656">
        <f>+(L656-$L$913)/$L$914</f>
        <v>-0.40377995033984626</v>
      </c>
      <c r="N656">
        <f>+N650+M656</f>
        <v>-1.5817806772943779</v>
      </c>
      <c r="Z656">
        <f>+(I656-$F$913)/$F$914</f>
        <v>-0.87158654610789377</v>
      </c>
      <c r="AA656">
        <f>+AA650+Z656</f>
        <v>12.67525741568882</v>
      </c>
    </row>
    <row r="657" spans="1:27">
      <c r="A657" s="7">
        <v>1</v>
      </c>
      <c r="B657" s="88">
        <v>43070</v>
      </c>
      <c r="C657" s="20">
        <v>2017</v>
      </c>
      <c r="D657" s="10" t="s">
        <v>36</v>
      </c>
      <c r="E657" s="11">
        <v>12</v>
      </c>
      <c r="F657" s="112">
        <v>2.6640000000000001</v>
      </c>
      <c r="G657" s="112">
        <v>8.0000000000000002E-3</v>
      </c>
    </row>
    <row r="658" spans="1:27">
      <c r="A658" s="7">
        <v>17</v>
      </c>
      <c r="B658" s="87">
        <v>43070</v>
      </c>
      <c r="C658" s="20">
        <v>2017</v>
      </c>
      <c r="D658" s="10" t="s">
        <v>36</v>
      </c>
      <c r="E658" s="11">
        <v>12</v>
      </c>
      <c r="F658" s="112">
        <v>6.5140000000000002</v>
      </c>
      <c r="G658" s="112">
        <v>2.1000000000000001E-2</v>
      </c>
    </row>
    <row r="659" spans="1:27">
      <c r="A659" s="7">
        <v>18</v>
      </c>
      <c r="B659" s="87">
        <v>43070</v>
      </c>
      <c r="C659" s="20">
        <v>2017</v>
      </c>
      <c r="D659" s="10" t="s">
        <v>36</v>
      </c>
      <c r="E659" s="11">
        <v>12</v>
      </c>
      <c r="F659" s="112">
        <v>6.5640000000000001</v>
      </c>
      <c r="G659" s="112">
        <v>1.7999999999999999E-2</v>
      </c>
      <c r="I659" s="50">
        <f>AVERAGE(F657:F659)</f>
        <v>5.2473333333333336</v>
      </c>
      <c r="J659" s="50">
        <f>AVERAGE(G657:G659)</f>
        <v>1.5666666666666666E-2</v>
      </c>
      <c r="L659">
        <f>+J659/I659</f>
        <v>2.9856435014610594E-3</v>
      </c>
      <c r="M659">
        <f>+(L659-$L$913)/$L$914</f>
        <v>-0.64943919386801108</v>
      </c>
      <c r="N659">
        <f>+N656+M659</f>
        <v>-2.2312198711623887</v>
      </c>
      <c r="Z659">
        <f>+(I659-$F$913)/$F$914</f>
        <v>-0.10856913207530636</v>
      </c>
      <c r="AA659">
        <f>+AA656+Z659</f>
        <v>12.566688283613514</v>
      </c>
    </row>
    <row r="660" spans="1:27">
      <c r="A660" s="120">
        <v>1</v>
      </c>
      <c r="B660" s="95">
        <v>43110</v>
      </c>
      <c r="C660" s="43">
        <v>2018</v>
      </c>
      <c r="D660" s="45" t="s">
        <v>37</v>
      </c>
      <c r="E660" s="9">
        <v>1</v>
      </c>
      <c r="F660" s="103">
        <v>3.177</v>
      </c>
      <c r="G660" s="104">
        <v>0.01</v>
      </c>
    </row>
    <row r="661" spans="1:27">
      <c r="A661" s="7">
        <v>17</v>
      </c>
      <c r="B661" s="86">
        <v>43105</v>
      </c>
      <c r="C661" s="20">
        <v>2018</v>
      </c>
      <c r="D661" s="10" t="s">
        <v>37</v>
      </c>
      <c r="E661" s="9">
        <v>1</v>
      </c>
      <c r="F661" s="105">
        <v>3.9380000000000002</v>
      </c>
      <c r="G661" s="106">
        <v>8.9999999999999993E-3</v>
      </c>
    </row>
    <row r="662" spans="1:27">
      <c r="A662" s="7">
        <v>18</v>
      </c>
      <c r="B662" s="86">
        <v>43105</v>
      </c>
      <c r="C662" s="20">
        <v>2018</v>
      </c>
      <c r="D662" s="10" t="s">
        <v>37</v>
      </c>
      <c r="E662" s="9">
        <v>1</v>
      </c>
      <c r="F662" s="105">
        <v>3.1120000000000001</v>
      </c>
      <c r="G662" s="106">
        <v>1.0999999999999999E-2</v>
      </c>
      <c r="I662">
        <v>3.4090000000000003</v>
      </c>
      <c r="J662">
        <v>0.01</v>
      </c>
      <c r="L662">
        <v>2.933411557641537E-3</v>
      </c>
      <c r="M662">
        <f>+(L662-$L$913)/$L$914</f>
        <v>-0.65164979202601914</v>
      </c>
      <c r="N662">
        <f>+N659+M662</f>
        <v>-2.8828696631884076</v>
      </c>
      <c r="Z662">
        <f>+(I662-$F$913)/$F$914</f>
        <v>-0.53191330092739086</v>
      </c>
      <c r="AA662">
        <f>+AA659+Z662</f>
        <v>12.034774982686123</v>
      </c>
    </row>
    <row r="663" spans="1:27">
      <c r="A663" s="7">
        <v>1</v>
      </c>
      <c r="B663" s="87">
        <v>43132</v>
      </c>
      <c r="C663" s="20">
        <v>2018</v>
      </c>
      <c r="D663" s="10" t="s">
        <v>26</v>
      </c>
      <c r="E663" s="11">
        <v>2</v>
      </c>
      <c r="F663" s="105">
        <v>7.0629999999999997</v>
      </c>
      <c r="G663" s="106">
        <v>1.4999999999999999E-2</v>
      </c>
    </row>
    <row r="664" spans="1:27">
      <c r="A664" s="7">
        <v>17</v>
      </c>
      <c r="B664" s="87">
        <v>43132</v>
      </c>
      <c r="C664" s="20">
        <v>2018</v>
      </c>
      <c r="D664" s="10" t="s">
        <v>26</v>
      </c>
      <c r="E664" s="11">
        <v>2</v>
      </c>
      <c r="F664" s="105">
        <v>19.202999999999999</v>
      </c>
      <c r="G664" s="106">
        <v>1.9E-2</v>
      </c>
    </row>
    <row r="665" spans="1:27">
      <c r="A665" s="7">
        <v>18</v>
      </c>
      <c r="B665" s="87">
        <v>43132</v>
      </c>
      <c r="C665" s="20">
        <v>2018</v>
      </c>
      <c r="D665" s="10" t="s">
        <v>26</v>
      </c>
      <c r="E665" s="11">
        <v>2</v>
      </c>
      <c r="F665" s="105">
        <v>3.625</v>
      </c>
      <c r="G665" s="106">
        <v>0.03</v>
      </c>
      <c r="I665">
        <v>9.9636666666666667</v>
      </c>
      <c r="J665">
        <v>2.1333333333333333E-2</v>
      </c>
      <c r="L665">
        <v>2.1411127095112242E-3</v>
      </c>
      <c r="M665">
        <f>+(L665-$L$913)/$L$914</f>
        <v>-0.68518203773987885</v>
      </c>
      <c r="N665">
        <f>+N662+M665</f>
        <v>-3.5680517009282866</v>
      </c>
      <c r="Z665">
        <f>+(I665-$F$913)/$F$914</f>
        <v>0.97754086703405774</v>
      </c>
      <c r="AA665">
        <f>+AA662+Z665</f>
        <v>13.012315849720181</v>
      </c>
    </row>
    <row r="666" spans="1:27">
      <c r="A666" s="7">
        <v>1</v>
      </c>
      <c r="B666" s="87">
        <v>43160</v>
      </c>
      <c r="C666" s="20">
        <v>2018</v>
      </c>
      <c r="D666" s="10" t="s">
        <v>27</v>
      </c>
      <c r="E666" s="11">
        <v>3</v>
      </c>
      <c r="F666" s="105">
        <v>11.032</v>
      </c>
      <c r="G666" s="106">
        <v>1.6E-2</v>
      </c>
    </row>
    <row r="667" spans="1:27">
      <c r="A667" s="7">
        <v>17</v>
      </c>
      <c r="B667" s="87">
        <v>43160</v>
      </c>
      <c r="C667" s="20">
        <v>2018</v>
      </c>
      <c r="D667" s="10" t="s">
        <v>27</v>
      </c>
      <c r="E667" s="11">
        <v>3</v>
      </c>
      <c r="F667" s="105">
        <v>15.913</v>
      </c>
      <c r="G667" s="106">
        <v>1.4E-2</v>
      </c>
    </row>
    <row r="668" spans="1:27">
      <c r="A668" s="7">
        <v>18</v>
      </c>
      <c r="B668" s="87">
        <v>43160</v>
      </c>
      <c r="C668" s="20">
        <v>2018</v>
      </c>
      <c r="D668" s="10" t="s">
        <v>27</v>
      </c>
      <c r="E668" s="11">
        <v>3</v>
      </c>
      <c r="F668" s="105">
        <v>13.196999999999999</v>
      </c>
      <c r="G668" s="106">
        <v>8.0000000000000002E-3</v>
      </c>
      <c r="I668">
        <v>13.380666666666665</v>
      </c>
      <c r="J668">
        <v>1.2666666666666666E-2</v>
      </c>
      <c r="L668">
        <v>9.4663943002341704E-4</v>
      </c>
      <c r="M668">
        <f>+(L668-$L$913)/$L$914</f>
        <v>-0.73573540103321688</v>
      </c>
      <c r="N668">
        <f>+N665+M668</f>
        <v>-4.3037871019615039</v>
      </c>
      <c r="Z668">
        <f>+(I668-$F$913)/$F$914</f>
        <v>1.7644313611233986</v>
      </c>
      <c r="AA668">
        <f>+AA665+Z668</f>
        <v>14.776747210843579</v>
      </c>
    </row>
    <row r="669" spans="1:27">
      <c r="A669" s="7">
        <v>1</v>
      </c>
      <c r="B669" s="87">
        <v>43191</v>
      </c>
      <c r="C669" s="20">
        <v>2018</v>
      </c>
      <c r="D669" s="10" t="s">
        <v>28</v>
      </c>
      <c r="E669" s="11">
        <v>4</v>
      </c>
      <c r="F669" s="105">
        <v>1.7310000000000001</v>
      </c>
      <c r="G669" s="106">
        <v>8.9999999999999993E-3</v>
      </c>
    </row>
    <row r="670" spans="1:27">
      <c r="A670" s="7">
        <v>17</v>
      </c>
      <c r="B670" s="87">
        <v>43191</v>
      </c>
      <c r="C670" s="20">
        <v>2018</v>
      </c>
      <c r="D670" s="10" t="s">
        <v>28</v>
      </c>
      <c r="E670" s="11">
        <v>4</v>
      </c>
      <c r="F670" s="107">
        <v>2.2810000000000001</v>
      </c>
      <c r="G670" s="108">
        <v>1.2999999999999999E-2</v>
      </c>
    </row>
    <row r="671" spans="1:27">
      <c r="A671" s="7">
        <v>18</v>
      </c>
      <c r="B671" s="87">
        <v>43191</v>
      </c>
      <c r="C671" s="20">
        <v>2018</v>
      </c>
      <c r="D671" s="10" t="s">
        <v>28</v>
      </c>
      <c r="E671" s="11">
        <v>4</v>
      </c>
      <c r="F671" s="107">
        <v>0.98299999999999998</v>
      </c>
      <c r="G671" s="108">
        <v>1.4999999999999999E-2</v>
      </c>
      <c r="I671">
        <v>1.665</v>
      </c>
      <c r="J671">
        <v>1.2333333333333333E-2</v>
      </c>
      <c r="L671">
        <v>7.4074074074074068E-3</v>
      </c>
      <c r="M671">
        <f>+(L671-$L$913)/$L$914</f>
        <v>-0.46229809915007181</v>
      </c>
      <c r="N671">
        <f>+N668+M671</f>
        <v>-4.7660852011115757</v>
      </c>
      <c r="Z671">
        <f>+(I671-$F$913)/$F$914</f>
        <v>-0.93353373455098221</v>
      </c>
      <c r="AA671">
        <f>+AA668+Z671</f>
        <v>13.843213476292597</v>
      </c>
    </row>
    <row r="672" spans="1:27">
      <c r="A672" s="7">
        <v>1</v>
      </c>
      <c r="B672" s="87">
        <v>43221</v>
      </c>
      <c r="C672" s="20">
        <v>2018</v>
      </c>
      <c r="D672" s="10" t="s">
        <v>29</v>
      </c>
      <c r="E672" s="11">
        <v>5</v>
      </c>
      <c r="F672" s="107">
        <v>7.7859999999999996</v>
      </c>
      <c r="G672" s="108">
        <v>0.11700000000000001</v>
      </c>
    </row>
    <row r="673" spans="1:27">
      <c r="A673" s="7">
        <v>17</v>
      </c>
      <c r="B673" s="87">
        <v>43221</v>
      </c>
      <c r="C673" s="20">
        <v>2018</v>
      </c>
      <c r="D673" s="10" t="s">
        <v>29</v>
      </c>
      <c r="E673" s="11">
        <v>5</v>
      </c>
      <c r="F673" s="107">
        <v>7.8879999999999999</v>
      </c>
      <c r="G673" s="108">
        <v>5.3999999999999999E-2</v>
      </c>
    </row>
    <row r="674" spans="1:27">
      <c r="A674" s="7">
        <v>18</v>
      </c>
      <c r="B674" s="87">
        <v>43221</v>
      </c>
      <c r="C674" s="20">
        <v>2018</v>
      </c>
      <c r="D674" s="10" t="s">
        <v>29</v>
      </c>
      <c r="E674" s="11">
        <v>5</v>
      </c>
      <c r="F674" s="107">
        <v>10.387</v>
      </c>
      <c r="G674" s="108">
        <v>0.13600000000000001</v>
      </c>
      <c r="I674">
        <v>8.6869999999999994</v>
      </c>
      <c r="J674">
        <v>0.10233333333333335</v>
      </c>
      <c r="L674">
        <v>1.1780054487548446E-2</v>
      </c>
      <c r="M674">
        <f>+(L674-$L$913)/$L$914</f>
        <v>-0.27723576230925812</v>
      </c>
      <c r="N674">
        <f>+N671+M674</f>
        <v>-5.0433209634208342</v>
      </c>
      <c r="Z674">
        <f>+(I674-$F$913)/$F$914</f>
        <v>0.68354119945409675</v>
      </c>
      <c r="AA674">
        <f>+AA671+Z674</f>
        <v>14.526754675746695</v>
      </c>
    </row>
    <row r="675" spans="1:27">
      <c r="A675" s="7">
        <v>1</v>
      </c>
      <c r="B675" s="87">
        <v>43252</v>
      </c>
      <c r="C675" s="20">
        <v>2018</v>
      </c>
      <c r="D675" s="10" t="s">
        <v>30</v>
      </c>
      <c r="E675" s="11">
        <v>6</v>
      </c>
      <c r="F675" s="107">
        <v>14.132999999999999</v>
      </c>
      <c r="G675" s="108">
        <v>2.343</v>
      </c>
    </row>
    <row r="676" spans="1:27">
      <c r="A676" s="7">
        <v>17</v>
      </c>
      <c r="B676" s="87">
        <v>43252</v>
      </c>
      <c r="C676" s="20">
        <v>2018</v>
      </c>
      <c r="D676" s="10" t="s">
        <v>30</v>
      </c>
      <c r="E676" s="11">
        <v>6</v>
      </c>
      <c r="F676" s="107">
        <v>7.4669999999999996</v>
      </c>
      <c r="G676" s="108">
        <v>0.71799999999999997</v>
      </c>
    </row>
    <row r="677" spans="1:27">
      <c r="A677" s="7">
        <v>18</v>
      </c>
      <c r="B677" s="87">
        <v>43252</v>
      </c>
      <c r="C677" s="20">
        <v>2018</v>
      </c>
      <c r="D677" s="10" t="s">
        <v>30</v>
      </c>
      <c r="E677" s="11">
        <v>6</v>
      </c>
      <c r="F677" s="107">
        <v>4.8140000000000001</v>
      </c>
      <c r="G677" s="108">
        <v>0.318</v>
      </c>
      <c r="I677">
        <v>8.804666666666666</v>
      </c>
      <c r="J677">
        <v>1.1263333333333334</v>
      </c>
      <c r="L677">
        <v>0.12792458544711141</v>
      </c>
      <c r="M677">
        <f>+(L677-$L$913)/$L$914</f>
        <v>4.6383172006258775</v>
      </c>
      <c r="N677">
        <f>+N674+M677</f>
        <v>-0.40500376279495676</v>
      </c>
      <c r="Z677">
        <f>+(I677-$F$913)/$F$914</f>
        <v>0.71063829675324197</v>
      </c>
      <c r="AA677">
        <f>+AA674+Z677</f>
        <v>15.237392972499936</v>
      </c>
    </row>
    <row r="678" spans="1:27">
      <c r="A678" s="7">
        <v>1</v>
      </c>
      <c r="B678" s="87">
        <v>43282</v>
      </c>
      <c r="C678" s="20">
        <v>2018</v>
      </c>
      <c r="D678" s="10" t="s">
        <v>31</v>
      </c>
      <c r="E678" s="11">
        <v>7</v>
      </c>
      <c r="F678" s="107">
        <v>24.436</v>
      </c>
      <c r="G678" s="108">
        <v>1.198</v>
      </c>
    </row>
    <row r="679" spans="1:27">
      <c r="A679" s="7">
        <v>17</v>
      </c>
      <c r="B679" s="87">
        <v>43282</v>
      </c>
      <c r="C679" s="20">
        <v>2018</v>
      </c>
      <c r="D679" s="10" t="s">
        <v>31</v>
      </c>
      <c r="E679" s="11">
        <v>7</v>
      </c>
      <c r="F679" s="107">
        <v>19.725000000000001</v>
      </c>
      <c r="G679" s="108">
        <v>1.012</v>
      </c>
    </row>
    <row r="680" spans="1:27">
      <c r="A680" s="7">
        <v>18</v>
      </c>
      <c r="B680" s="87">
        <v>43282</v>
      </c>
      <c r="C680" s="20">
        <v>2018</v>
      </c>
      <c r="D680" s="10" t="s">
        <v>31</v>
      </c>
      <c r="E680" s="11">
        <v>7</v>
      </c>
      <c r="F680" s="107">
        <v>17.449000000000002</v>
      </c>
      <c r="G680" s="108">
        <v>1.091</v>
      </c>
      <c r="I680">
        <v>20.536666666666665</v>
      </c>
      <c r="J680">
        <v>1.1003333333333334</v>
      </c>
      <c r="L680">
        <v>5.3578964453822438E-2</v>
      </c>
      <c r="M680">
        <f>+(L680-$L$913)/$L$914</f>
        <v>1.4918079802989237</v>
      </c>
      <c r="N680">
        <f>+N677+M680</f>
        <v>1.0868042175039669</v>
      </c>
      <c r="Z680">
        <f>+(I680-$F$913)/$F$914</f>
        <v>3.4123647458770794</v>
      </c>
      <c r="AA680">
        <f>+AA677+Z680</f>
        <v>18.649757718377018</v>
      </c>
    </row>
    <row r="681" spans="1:27">
      <c r="A681" s="7">
        <v>1</v>
      </c>
      <c r="B681" s="87">
        <v>43313</v>
      </c>
      <c r="C681" s="20">
        <v>2018</v>
      </c>
      <c r="D681" s="10" t="s">
        <v>32</v>
      </c>
      <c r="E681" s="11">
        <v>8</v>
      </c>
      <c r="F681" s="107">
        <v>7.9960000000000004</v>
      </c>
      <c r="G681" s="108">
        <v>0.64700000000000002</v>
      </c>
    </row>
    <row r="682" spans="1:27">
      <c r="A682" s="7">
        <v>17</v>
      </c>
      <c r="B682" s="87">
        <v>43313</v>
      </c>
      <c r="C682" s="20">
        <v>2018</v>
      </c>
      <c r="D682" s="10" t="s">
        <v>32</v>
      </c>
      <c r="E682" s="11">
        <v>8</v>
      </c>
      <c r="F682" s="107">
        <v>6.9889999999999999</v>
      </c>
      <c r="G682" s="108">
        <v>6.7000000000000004E-2</v>
      </c>
    </row>
    <row r="683" spans="1:27">
      <c r="A683" s="7">
        <v>18</v>
      </c>
      <c r="B683" s="87">
        <v>43313</v>
      </c>
      <c r="C683" s="20">
        <v>2018</v>
      </c>
      <c r="D683" s="10" t="s">
        <v>32</v>
      </c>
      <c r="E683" s="11">
        <v>8</v>
      </c>
      <c r="F683" s="107">
        <v>8.8940000000000001</v>
      </c>
      <c r="G683" s="108">
        <v>0.82899999999999996</v>
      </c>
      <c r="I683">
        <v>7.9596666666666662</v>
      </c>
      <c r="J683">
        <v>0.51433333333333331</v>
      </c>
      <c r="L683">
        <v>6.4617446291720754E-2</v>
      </c>
      <c r="M683">
        <f>+(L683-$L$913)/$L$914</f>
        <v>1.9589866038320289</v>
      </c>
      <c r="N683">
        <f>+N680+M683</f>
        <v>3.0457908213359959</v>
      </c>
      <c r="Z683">
        <f>+(I683-$F$913)/$F$914</f>
        <v>0.51604582748034378</v>
      </c>
      <c r="AA683">
        <f>+AA680+Z683</f>
        <v>19.165803545857361</v>
      </c>
    </row>
    <row r="684" spans="1:27">
      <c r="A684" s="7">
        <v>1</v>
      </c>
      <c r="B684" s="87">
        <v>43344</v>
      </c>
      <c r="C684" s="20">
        <v>2018</v>
      </c>
      <c r="D684" s="10" t="s">
        <v>38</v>
      </c>
      <c r="E684" s="11">
        <v>9</v>
      </c>
      <c r="F684" s="107">
        <v>3.6890000000000001</v>
      </c>
      <c r="G684" s="108">
        <v>0.112</v>
      </c>
    </row>
    <row r="685" spans="1:27">
      <c r="A685" s="7">
        <v>17</v>
      </c>
      <c r="B685" s="87">
        <v>43344</v>
      </c>
      <c r="C685" s="20">
        <v>2018</v>
      </c>
      <c r="D685" s="10" t="s">
        <v>38</v>
      </c>
      <c r="E685" s="11">
        <v>9</v>
      </c>
      <c r="F685" s="107">
        <v>5.0949999999999998</v>
      </c>
      <c r="G685" s="108">
        <v>0.109</v>
      </c>
    </row>
    <row r="686" spans="1:27">
      <c r="A686" s="7">
        <v>18</v>
      </c>
      <c r="B686" s="87">
        <v>43344</v>
      </c>
      <c r="C686" s="20">
        <v>2018</v>
      </c>
      <c r="D686" s="10" t="s">
        <v>38</v>
      </c>
      <c r="E686" s="11">
        <v>9</v>
      </c>
      <c r="F686" s="107">
        <v>10.029999999999999</v>
      </c>
      <c r="G686" s="108">
        <v>0.26600000000000001</v>
      </c>
      <c r="I686">
        <v>6.2713333333333336</v>
      </c>
      <c r="J686">
        <v>0.16233333333333333</v>
      </c>
      <c r="L686">
        <v>2.5884979270755819E-2</v>
      </c>
      <c r="M686">
        <f>+(L686-$L$913)/$L$914</f>
        <v>0.31972308058461418</v>
      </c>
      <c r="N686">
        <f>+N683+M686</f>
        <v>3.3655139019206102</v>
      </c>
      <c r="Z686">
        <f>+(I686-$F$913)/$F$914</f>
        <v>0.12724470051102246</v>
      </c>
      <c r="AA686">
        <f>+AA683+Z686</f>
        <v>19.293048246368382</v>
      </c>
    </row>
    <row r="687" spans="1:27">
      <c r="A687" s="7">
        <v>1</v>
      </c>
      <c r="B687" s="87">
        <v>43374</v>
      </c>
      <c r="C687" s="20">
        <v>2018</v>
      </c>
      <c r="D687" s="10" t="s">
        <v>34</v>
      </c>
      <c r="E687" s="11">
        <v>10</v>
      </c>
      <c r="F687" s="107">
        <v>1.6359999999999999</v>
      </c>
      <c r="G687" s="108">
        <v>6.0999999999999999E-2</v>
      </c>
    </row>
    <row r="688" spans="1:27">
      <c r="A688" s="7">
        <v>17</v>
      </c>
      <c r="B688" s="87">
        <v>43374</v>
      </c>
      <c r="C688" s="20">
        <v>2018</v>
      </c>
      <c r="D688" s="10" t="s">
        <v>34</v>
      </c>
      <c r="E688" s="11">
        <v>10</v>
      </c>
      <c r="F688" s="107">
        <v>3.3069999999999999</v>
      </c>
      <c r="G688" s="108">
        <v>8.2000000000000003E-2</v>
      </c>
    </row>
    <row r="689" spans="1:27">
      <c r="A689" s="7">
        <v>18</v>
      </c>
      <c r="B689" s="87">
        <v>43374</v>
      </c>
      <c r="C689" s="20">
        <v>2018</v>
      </c>
      <c r="D689" s="10" t="s">
        <v>34</v>
      </c>
      <c r="E689" s="11">
        <v>10</v>
      </c>
      <c r="F689" s="107">
        <v>2.2839999999999998</v>
      </c>
      <c r="G689" s="108">
        <v>5.2999999999999999E-2</v>
      </c>
      <c r="I689">
        <v>2.4089999999999998</v>
      </c>
      <c r="J689">
        <v>6.533333333333334E-2</v>
      </c>
      <c r="L689">
        <v>2.7120520271205206E-2</v>
      </c>
      <c r="M689">
        <f>+(L689-$L$913)/$L$914</f>
        <v>0.37201454170990245</v>
      </c>
      <c r="N689">
        <f>+N686+M689</f>
        <v>3.7375284436305125</v>
      </c>
      <c r="Z689">
        <f>+(I689-$F$913)/$F$914</f>
        <v>-0.76220024681247767</v>
      </c>
      <c r="AA689">
        <f>+AA686+Z689</f>
        <v>18.530847999555906</v>
      </c>
    </row>
    <row r="690" spans="1:27">
      <c r="A690" s="7">
        <v>1</v>
      </c>
      <c r="B690" s="87">
        <v>43405</v>
      </c>
      <c r="C690" s="20">
        <v>2018</v>
      </c>
      <c r="D690" s="10" t="s">
        <v>35</v>
      </c>
      <c r="E690" s="11">
        <v>11</v>
      </c>
      <c r="F690" s="107">
        <v>3.88</v>
      </c>
      <c r="G690" s="108">
        <v>0.01</v>
      </c>
    </row>
    <row r="691" spans="1:27">
      <c r="A691" s="7">
        <v>17</v>
      </c>
      <c r="B691" s="87">
        <v>43405</v>
      </c>
      <c r="C691" s="20">
        <v>2018</v>
      </c>
      <c r="D691" s="10" t="s">
        <v>35</v>
      </c>
      <c r="E691" s="11">
        <v>11</v>
      </c>
      <c r="F691" s="107">
        <v>7.8689999999999998</v>
      </c>
      <c r="G691" s="108">
        <v>2.4E-2</v>
      </c>
    </row>
    <row r="692" spans="1:27">
      <c r="A692" s="7">
        <v>18</v>
      </c>
      <c r="B692" s="87">
        <v>43405</v>
      </c>
      <c r="C692" s="20">
        <v>2018</v>
      </c>
      <c r="D692" s="10" t="s">
        <v>35</v>
      </c>
      <c r="E692" s="11">
        <v>11</v>
      </c>
      <c r="F692" s="107">
        <v>5.1040000000000001</v>
      </c>
      <c r="G692" s="108">
        <v>1.7999999999999999E-2</v>
      </c>
      <c r="I692">
        <v>5.6176666666666657</v>
      </c>
      <c r="J692">
        <v>1.7333333333333336E-2</v>
      </c>
      <c r="L692">
        <v>3.08550406455824E-3</v>
      </c>
      <c r="M692">
        <f>+(L692-$L$913)/$L$914</f>
        <v>-0.64521282278745096</v>
      </c>
      <c r="N692">
        <f>+N689+M692</f>
        <v>3.0923156208430616</v>
      </c>
      <c r="Z692">
        <f>+(I692-$F$913)/$F$914</f>
        <v>-2.3286199782529521E-2</v>
      </c>
      <c r="AA692">
        <f>+AA689+Z692</f>
        <v>18.507561799773377</v>
      </c>
    </row>
    <row r="693" spans="1:27">
      <c r="A693" s="7">
        <v>1</v>
      </c>
      <c r="B693" s="88">
        <v>43435</v>
      </c>
      <c r="C693" s="20">
        <v>2018</v>
      </c>
      <c r="D693" s="10" t="s">
        <v>36</v>
      </c>
      <c r="E693" s="11">
        <v>12</v>
      </c>
    </row>
    <row r="694" spans="1:27">
      <c r="A694" s="7">
        <v>17</v>
      </c>
      <c r="B694" s="87">
        <v>43435</v>
      </c>
      <c r="C694" s="20">
        <v>2018</v>
      </c>
      <c r="D694" s="10" t="s">
        <v>36</v>
      </c>
      <c r="E694" s="11">
        <v>12</v>
      </c>
    </row>
    <row r="695" spans="1:27">
      <c r="A695" s="7">
        <v>18</v>
      </c>
      <c r="B695" s="87">
        <v>43435</v>
      </c>
      <c r="C695" s="20">
        <v>2018</v>
      </c>
      <c r="D695" s="10" t="s">
        <v>36</v>
      </c>
      <c r="E695" s="11">
        <v>12</v>
      </c>
    </row>
    <row r="696" spans="1:27">
      <c r="A696" s="120">
        <v>1</v>
      </c>
      <c r="B696" s="95">
        <v>43475</v>
      </c>
      <c r="C696" s="48">
        <v>2019</v>
      </c>
      <c r="D696" s="45" t="s">
        <v>37</v>
      </c>
      <c r="E696" s="9">
        <v>1</v>
      </c>
    </row>
    <row r="697" spans="1:27">
      <c r="A697" s="7">
        <v>17</v>
      </c>
      <c r="B697" s="86">
        <v>43470</v>
      </c>
      <c r="C697" s="20">
        <v>2019</v>
      </c>
      <c r="D697" s="10" t="s">
        <v>37</v>
      </c>
      <c r="E697" s="9">
        <v>1</v>
      </c>
    </row>
    <row r="698" spans="1:27">
      <c r="A698" s="7">
        <v>18</v>
      </c>
      <c r="B698" s="86">
        <v>43470</v>
      </c>
      <c r="C698" s="20">
        <v>2019</v>
      </c>
      <c r="D698" s="10" t="s">
        <v>37</v>
      </c>
      <c r="E698" s="9">
        <v>1</v>
      </c>
    </row>
    <row r="699" spans="1:27">
      <c r="A699" s="7">
        <v>1</v>
      </c>
      <c r="B699" s="87">
        <v>43497</v>
      </c>
      <c r="C699" s="20">
        <v>2019</v>
      </c>
      <c r="D699" s="10" t="s">
        <v>26</v>
      </c>
      <c r="E699" s="11">
        <v>2</v>
      </c>
    </row>
    <row r="700" spans="1:27">
      <c r="A700" s="7">
        <v>17</v>
      </c>
      <c r="B700" s="87">
        <v>43497</v>
      </c>
      <c r="C700" s="20">
        <v>2019</v>
      </c>
      <c r="D700" s="10" t="s">
        <v>26</v>
      </c>
      <c r="E700" s="11">
        <v>2</v>
      </c>
    </row>
    <row r="701" spans="1:27">
      <c r="A701" s="7">
        <v>18</v>
      </c>
      <c r="B701" s="87">
        <v>43497</v>
      </c>
      <c r="C701" s="20">
        <v>2019</v>
      </c>
      <c r="D701" s="10" t="s">
        <v>26</v>
      </c>
      <c r="E701" s="11">
        <v>2</v>
      </c>
    </row>
    <row r="702" spans="1:27">
      <c r="A702" s="7">
        <v>1</v>
      </c>
      <c r="B702" s="87">
        <v>43525</v>
      </c>
      <c r="C702" s="20">
        <v>2019</v>
      </c>
      <c r="D702" s="10" t="s">
        <v>27</v>
      </c>
      <c r="E702" s="11">
        <v>3</v>
      </c>
      <c r="F702" s="113">
        <v>3.4420000000000002</v>
      </c>
      <c r="G702" s="114">
        <v>1.2E-2</v>
      </c>
    </row>
    <row r="703" spans="1:27">
      <c r="A703" s="7">
        <v>17</v>
      </c>
      <c r="B703" s="87">
        <v>43525</v>
      </c>
      <c r="C703" s="20">
        <v>2019</v>
      </c>
      <c r="D703" s="10" t="s">
        <v>27</v>
      </c>
      <c r="E703" s="11">
        <v>3</v>
      </c>
      <c r="F703" s="113">
        <v>3.88</v>
      </c>
      <c r="G703" s="114">
        <v>8.9999999999999993E-3</v>
      </c>
    </row>
    <row r="704" spans="1:27">
      <c r="A704" s="7">
        <v>18</v>
      </c>
      <c r="B704" s="87">
        <v>43525</v>
      </c>
      <c r="C704" s="20">
        <v>2019</v>
      </c>
      <c r="D704" s="10" t="s">
        <v>27</v>
      </c>
      <c r="E704" s="11">
        <v>3</v>
      </c>
      <c r="F704" s="113">
        <v>2.6160000000000001</v>
      </c>
      <c r="G704" s="114">
        <v>1.0999999999999999E-2</v>
      </c>
      <c r="I704" s="50">
        <f>AVERAGE(F702:F704)</f>
        <v>3.3126666666666669</v>
      </c>
      <c r="J704" s="50">
        <f>AVERAGE(G702:G704)</f>
        <v>1.0666666666666666E-2</v>
      </c>
      <c r="L704">
        <f>+J704/I704</f>
        <v>3.2199637754075265E-3</v>
      </c>
      <c r="M704">
        <f>+(L704-$L$913)/$L$914</f>
        <v>-0.63952212151550969</v>
      </c>
      <c r="N704">
        <f>+N692+M704</f>
        <v>2.452793499327552</v>
      </c>
      <c r="Z704">
        <f>+(I704-$F$913)/$F$914</f>
        <v>-0.55409761004765423</v>
      </c>
      <c r="AA704">
        <f>+AA692+Z704</f>
        <v>17.953464189725722</v>
      </c>
    </row>
    <row r="705" spans="1:27">
      <c r="A705" s="7">
        <v>1</v>
      </c>
      <c r="B705" s="87">
        <v>43556</v>
      </c>
      <c r="C705" s="20">
        <v>2019</v>
      </c>
      <c r="D705" s="10" t="s">
        <v>28</v>
      </c>
      <c r="E705" s="11">
        <v>4</v>
      </c>
      <c r="F705" s="105">
        <v>3.0710000000000002</v>
      </c>
      <c r="G705" s="115">
        <v>1.2999999999999999E-2</v>
      </c>
    </row>
    <row r="706" spans="1:27">
      <c r="A706" s="7">
        <v>17</v>
      </c>
      <c r="B706" s="87">
        <v>43556</v>
      </c>
      <c r="C706" s="20">
        <v>2019</v>
      </c>
      <c r="D706" s="10" t="s">
        <v>28</v>
      </c>
      <c r="E706" s="11">
        <v>4</v>
      </c>
      <c r="F706" s="105">
        <v>2.8340000000000001</v>
      </c>
      <c r="G706" s="115">
        <v>7.0000000000000001E-3</v>
      </c>
    </row>
    <row r="707" spans="1:27">
      <c r="A707" s="7">
        <v>18</v>
      </c>
      <c r="B707" s="87">
        <v>43556</v>
      </c>
      <c r="C707" s="20">
        <v>2019</v>
      </c>
      <c r="D707" s="10" t="s">
        <v>28</v>
      </c>
      <c r="E707" s="11">
        <v>4</v>
      </c>
      <c r="F707" s="105">
        <v>2.6230000000000002</v>
      </c>
      <c r="G707" s="115">
        <v>8.0000000000000002E-3</v>
      </c>
      <c r="I707" s="50">
        <f>AVERAGE(F705:F707)</f>
        <v>2.8426666666666667</v>
      </c>
      <c r="J707" s="50">
        <f>AVERAGE(G705:G707)</f>
        <v>9.3333333333333341E-3</v>
      </c>
      <c r="L707">
        <f>+J707/I707</f>
        <v>3.2833020637898689E-3</v>
      </c>
      <c r="M707">
        <f>+(L707-$L$913)/$L$914</f>
        <v>-0.63684147259857138</v>
      </c>
      <c r="N707">
        <f>+N704+M707</f>
        <v>1.8159520267289806</v>
      </c>
      <c r="Z707">
        <f>+(I707-$F$913)/$F$914</f>
        <v>-0.66233247461364497</v>
      </c>
      <c r="AA707">
        <f>+AA704+Z707</f>
        <v>17.291131715112076</v>
      </c>
    </row>
    <row r="708" spans="1:27">
      <c r="A708" s="7">
        <v>1</v>
      </c>
      <c r="B708" s="87">
        <v>43586</v>
      </c>
      <c r="C708" s="20">
        <v>2019</v>
      </c>
      <c r="D708" s="10" t="s">
        <v>29</v>
      </c>
      <c r="E708" s="11">
        <v>5</v>
      </c>
      <c r="F708" s="105">
        <v>5.8780000000000001</v>
      </c>
      <c r="G708" s="115">
        <v>1.7000000000000001E-2</v>
      </c>
    </row>
    <row r="709" spans="1:27">
      <c r="A709" s="7">
        <v>17</v>
      </c>
      <c r="B709" s="87">
        <v>43586</v>
      </c>
      <c r="C709" s="20">
        <v>2019</v>
      </c>
      <c r="D709" s="10" t="s">
        <v>29</v>
      </c>
      <c r="E709" s="11">
        <v>5</v>
      </c>
      <c r="F709" s="105">
        <v>6.8109999999999999</v>
      </c>
      <c r="G709" s="115">
        <v>1.0999999999999999E-2</v>
      </c>
    </row>
    <row r="710" spans="1:27">
      <c r="A710" s="7">
        <v>18</v>
      </c>
      <c r="B710" s="87">
        <v>43586</v>
      </c>
      <c r="C710" s="20">
        <v>2019</v>
      </c>
      <c r="D710" s="10" t="s">
        <v>29</v>
      </c>
      <c r="E710" s="11">
        <v>5</v>
      </c>
      <c r="F710" s="105">
        <v>3.9129999999999998</v>
      </c>
      <c r="G710" s="100">
        <v>5.7000000000000002E-2</v>
      </c>
      <c r="I710" s="50">
        <f>AVERAGE(F708:F710)</f>
        <v>5.5339999999999998</v>
      </c>
      <c r="J710" s="50">
        <f>AVERAGE(G708:G710)</f>
        <v>2.8333333333333335E-2</v>
      </c>
      <c r="L710">
        <f>+J710/I710</f>
        <v>5.1198650764968084E-3</v>
      </c>
      <c r="M710">
        <f>+(L710-$L$913)/$L$914</f>
        <v>-0.5591131225493402</v>
      </c>
      <c r="N710">
        <f>+N707+M710</f>
        <v>1.2568389041796404</v>
      </c>
      <c r="Z710">
        <f>+(I710-$F$913)/$F$914</f>
        <v>-4.2553540921581604E-2</v>
      </c>
      <c r="AA710">
        <f>+AA707+Z710</f>
        <v>17.248578174190495</v>
      </c>
    </row>
    <row r="711" spans="1:27">
      <c r="A711" s="7">
        <v>1</v>
      </c>
      <c r="B711" s="87">
        <v>43617</v>
      </c>
      <c r="C711" s="20">
        <v>2019</v>
      </c>
      <c r="D711" s="10" t="s">
        <v>30</v>
      </c>
      <c r="E711" s="11">
        <v>6</v>
      </c>
      <c r="F711" s="105">
        <v>5.2069999999999999</v>
      </c>
      <c r="G711" s="100">
        <v>0.45700000000000002</v>
      </c>
    </row>
    <row r="712" spans="1:27">
      <c r="A712" s="7">
        <v>17</v>
      </c>
      <c r="B712" s="87">
        <v>43617</v>
      </c>
      <c r="C712" s="20">
        <v>2019</v>
      </c>
      <c r="D712" s="10" t="s">
        <v>30</v>
      </c>
      <c r="E712" s="11">
        <v>6</v>
      </c>
      <c r="F712" s="107">
        <v>4.3520000000000003</v>
      </c>
      <c r="G712" s="101">
        <v>0.217</v>
      </c>
    </row>
    <row r="713" spans="1:27">
      <c r="A713" s="7">
        <v>18</v>
      </c>
      <c r="B713" s="87">
        <v>43617</v>
      </c>
      <c r="C713" s="20">
        <v>2019</v>
      </c>
      <c r="D713" s="10" t="s">
        <v>30</v>
      </c>
      <c r="E713" s="11">
        <v>6</v>
      </c>
      <c r="F713" s="107">
        <v>6.5030000000000001</v>
      </c>
      <c r="G713" s="101">
        <v>0.94799999999999995</v>
      </c>
      <c r="I713" s="50">
        <f>AVERAGE(F711:F713)</f>
        <v>5.3540000000000001</v>
      </c>
      <c r="J713" s="50">
        <f>AVERAGE(G711:G713)</f>
        <v>0.54066666666666663</v>
      </c>
      <c r="L713">
        <f>+J713/I713</f>
        <v>0.10098368820819324</v>
      </c>
      <c r="M713">
        <f>+(L713-$L$913)/$L$914</f>
        <v>3.4981050343465894</v>
      </c>
      <c r="N713">
        <f>+N710+M713</f>
        <v>4.75494393852623</v>
      </c>
      <c r="Z713">
        <f>+(I713-$F$913)/$F$914</f>
        <v>-8.4005191180897151E-2</v>
      </c>
      <c r="AA713">
        <f>+AA710+Z713</f>
        <v>17.164572983009599</v>
      </c>
    </row>
    <row r="714" spans="1:27">
      <c r="A714" s="7">
        <v>1</v>
      </c>
      <c r="B714" s="87">
        <v>43647</v>
      </c>
      <c r="C714" s="20">
        <v>2019</v>
      </c>
      <c r="D714" s="10" t="s">
        <v>31</v>
      </c>
      <c r="E714" s="11">
        <v>7</v>
      </c>
      <c r="F714" s="107">
        <v>1.7410000000000001</v>
      </c>
      <c r="G714" s="101">
        <v>4.9000000000000002E-2</v>
      </c>
    </row>
    <row r="715" spans="1:27">
      <c r="A715" s="7">
        <v>17</v>
      </c>
      <c r="B715" s="87">
        <v>43647</v>
      </c>
      <c r="C715" s="20">
        <v>2019</v>
      </c>
      <c r="D715" s="10" t="s">
        <v>31</v>
      </c>
      <c r="E715" s="11">
        <v>7</v>
      </c>
      <c r="F715" s="107">
        <v>3.8460000000000001</v>
      </c>
      <c r="G715" s="101">
        <v>5.7000000000000002E-2</v>
      </c>
    </row>
    <row r="716" spans="1:27">
      <c r="A716" s="7">
        <v>18</v>
      </c>
      <c r="B716" s="87">
        <v>43647</v>
      </c>
      <c r="C716" s="20">
        <v>2019</v>
      </c>
      <c r="D716" s="10" t="s">
        <v>31</v>
      </c>
      <c r="E716" s="11">
        <v>7</v>
      </c>
      <c r="F716" s="107">
        <v>3.38</v>
      </c>
      <c r="G716" s="101">
        <v>7.5999999999999998E-2</v>
      </c>
      <c r="I716" s="50">
        <f>AVERAGE(F714:F716)</f>
        <v>2.9889999999999994</v>
      </c>
      <c r="J716" s="50">
        <f>AVERAGE(G714:G716)</f>
        <v>6.0666666666666667E-2</v>
      </c>
      <c r="L716">
        <f>+J716/I716</f>
        <v>2.0296643247462925E-2</v>
      </c>
      <c r="M716">
        <f>+(L716-$L$913)/$L$914</f>
        <v>8.320947576633432E-2</v>
      </c>
      <c r="N716">
        <f>+N713+M716</f>
        <v>4.838153414292564</v>
      </c>
      <c r="Z716">
        <f>+(I716-$F$913)/$F$914</f>
        <v>-0.62863381819912745</v>
      </c>
      <c r="AA716">
        <f>+AA713+Z716</f>
        <v>16.535939164810472</v>
      </c>
    </row>
    <row r="717" spans="1:27">
      <c r="A717" s="7">
        <v>1</v>
      </c>
      <c r="B717" s="87">
        <v>43678</v>
      </c>
      <c r="C717" s="20">
        <v>2019</v>
      </c>
      <c r="D717" s="10" t="s">
        <v>32</v>
      </c>
      <c r="E717" s="11">
        <v>8</v>
      </c>
    </row>
    <row r="718" spans="1:27">
      <c r="A718" s="7">
        <v>17</v>
      </c>
      <c r="B718" s="87">
        <v>43678</v>
      </c>
      <c r="C718" s="20">
        <v>2019</v>
      </c>
      <c r="D718" s="10" t="s">
        <v>32</v>
      </c>
      <c r="E718" s="11">
        <v>8</v>
      </c>
    </row>
    <row r="719" spans="1:27">
      <c r="A719" s="7">
        <v>18</v>
      </c>
      <c r="B719" s="87">
        <v>43678</v>
      </c>
      <c r="C719" s="20">
        <v>2019</v>
      </c>
      <c r="D719" s="10" t="s">
        <v>32</v>
      </c>
      <c r="E719" s="11">
        <v>8</v>
      </c>
      <c r="I719" s="50"/>
      <c r="J719" s="50"/>
    </row>
    <row r="720" spans="1:27">
      <c r="A720" s="7">
        <v>1</v>
      </c>
      <c r="B720" s="87">
        <v>43709</v>
      </c>
      <c r="C720" s="20">
        <v>2019</v>
      </c>
      <c r="D720" s="10" t="s">
        <v>38</v>
      </c>
      <c r="E720" s="11">
        <v>9</v>
      </c>
      <c r="F720" s="101">
        <v>4.3940000000000001</v>
      </c>
      <c r="G720" s="101">
        <v>4.3999999999999997E-2</v>
      </c>
    </row>
    <row r="721" spans="1:27">
      <c r="A721" s="7">
        <v>17</v>
      </c>
      <c r="B721" s="87">
        <v>43709</v>
      </c>
      <c r="C721" s="20">
        <v>2019</v>
      </c>
      <c r="D721" s="10" t="s">
        <v>38</v>
      </c>
      <c r="E721" s="11">
        <v>9</v>
      </c>
      <c r="F721" s="101">
        <v>7.6769999999999996</v>
      </c>
      <c r="G721" s="101">
        <v>6.9000000000000006E-2</v>
      </c>
    </row>
    <row r="722" spans="1:27">
      <c r="A722" s="7">
        <v>18</v>
      </c>
      <c r="B722" s="87">
        <v>43709</v>
      </c>
      <c r="C722" s="20">
        <v>2019</v>
      </c>
      <c r="D722" s="10" t="s">
        <v>38</v>
      </c>
      <c r="E722" s="11">
        <v>9</v>
      </c>
      <c r="F722" s="101">
        <v>4.37</v>
      </c>
      <c r="G722" s="101">
        <v>0.1</v>
      </c>
      <c r="I722" s="50">
        <f>AVERAGE(F720:F722)</f>
        <v>5.4803333333333333</v>
      </c>
      <c r="J722" s="50">
        <f>AVERAGE(G720:G722)</f>
        <v>7.1000000000000008E-2</v>
      </c>
      <c r="L722">
        <f>+J722/I722</f>
        <v>1.2955416337205768E-2</v>
      </c>
      <c r="M722">
        <f>+(L722-$L$913)/$L$914</f>
        <v>-0.22749124679164423</v>
      </c>
      <c r="N722">
        <f>+N716+M722</f>
        <v>4.6106621675009194</v>
      </c>
      <c r="Z722">
        <f>+(I722-$F$913)/$F$914</f>
        <v>-5.4912273684081227E-2</v>
      </c>
      <c r="AA722">
        <f>+AA716+Z722</f>
        <v>16.48102689112639</v>
      </c>
    </row>
    <row r="723" spans="1:27">
      <c r="A723" s="7">
        <v>1</v>
      </c>
      <c r="B723" s="87">
        <v>43739</v>
      </c>
      <c r="C723" s="20">
        <v>2019</v>
      </c>
      <c r="D723" s="10" t="s">
        <v>34</v>
      </c>
      <c r="E723" s="11">
        <v>10</v>
      </c>
      <c r="F723" s="101">
        <v>1.605</v>
      </c>
      <c r="G723" s="101">
        <v>3.6999999999999998E-2</v>
      </c>
    </row>
    <row r="724" spans="1:27">
      <c r="A724" s="7">
        <v>17</v>
      </c>
      <c r="B724" s="87">
        <v>43739</v>
      </c>
      <c r="C724" s="20">
        <v>2019</v>
      </c>
      <c r="D724" s="10" t="s">
        <v>34</v>
      </c>
      <c r="E724" s="11">
        <v>10</v>
      </c>
      <c r="F724" s="101">
        <v>2.254</v>
      </c>
      <c r="G724" s="101">
        <v>3.2000000000000001E-2</v>
      </c>
    </row>
    <row r="725" spans="1:27">
      <c r="A725" s="7">
        <v>18</v>
      </c>
      <c r="B725" s="87">
        <v>43739</v>
      </c>
      <c r="C725" s="20">
        <v>2019</v>
      </c>
      <c r="D725" s="10" t="s">
        <v>34</v>
      </c>
      <c r="E725" s="11">
        <v>10</v>
      </c>
      <c r="F725" s="101">
        <v>2.4710000000000001</v>
      </c>
      <c r="G725" s="101">
        <v>4.2999999999999997E-2</v>
      </c>
      <c r="I725" s="50">
        <f>AVERAGE(F723:F725)</f>
        <v>2.11</v>
      </c>
      <c r="J725" s="50">
        <f>AVERAGE(G723:G725)</f>
        <v>3.7333333333333336E-2</v>
      </c>
      <c r="L725">
        <f>+J725/I725</f>
        <v>1.769352290679305E-2</v>
      </c>
      <c r="M725">
        <f>+(L725-$L$913)/$L$914</f>
        <v>-2.6961668735609703E-2</v>
      </c>
      <c r="N725">
        <f>+N722+M725</f>
        <v>4.5837004987653094</v>
      </c>
      <c r="Z725">
        <f>+(I725-$F$913)/$F$914</f>
        <v>-0.8310560436321186</v>
      </c>
      <c r="AA725">
        <f>+AA722+Z725</f>
        <v>15.649970847494272</v>
      </c>
    </row>
    <row r="726" spans="1:27">
      <c r="A726" s="7">
        <v>1</v>
      </c>
      <c r="B726" s="87">
        <v>43770</v>
      </c>
      <c r="C726" s="20">
        <v>2019</v>
      </c>
      <c r="D726" s="10" t="s">
        <v>35</v>
      </c>
      <c r="E726" s="11">
        <v>11</v>
      </c>
    </row>
    <row r="727" spans="1:27">
      <c r="A727" s="7">
        <v>17</v>
      </c>
      <c r="B727" s="87">
        <v>43770</v>
      </c>
      <c r="C727" s="20">
        <v>2019</v>
      </c>
      <c r="D727" s="10" t="s">
        <v>35</v>
      </c>
      <c r="E727" s="11">
        <v>11</v>
      </c>
    </row>
    <row r="728" spans="1:27">
      <c r="A728" s="7">
        <v>18</v>
      </c>
      <c r="B728" s="87">
        <v>43770</v>
      </c>
      <c r="C728" s="20">
        <v>2019</v>
      </c>
      <c r="D728" s="10" t="s">
        <v>35</v>
      </c>
      <c r="E728" s="11">
        <v>11</v>
      </c>
      <c r="I728" s="50"/>
      <c r="J728" s="50"/>
    </row>
    <row r="729" spans="1:27">
      <c r="A729" s="7">
        <v>1</v>
      </c>
      <c r="B729" s="88">
        <v>43800</v>
      </c>
      <c r="C729" s="20">
        <v>2019</v>
      </c>
      <c r="D729" s="10" t="s">
        <v>36</v>
      </c>
      <c r="E729" s="11">
        <v>12</v>
      </c>
      <c r="F729" s="101">
        <v>1.0720000000000001</v>
      </c>
      <c r="G729" s="101">
        <v>1.0999999999999999E-2</v>
      </c>
    </row>
    <row r="730" spans="1:27">
      <c r="A730" s="7">
        <v>17</v>
      </c>
      <c r="B730" s="87">
        <v>43800</v>
      </c>
      <c r="C730" s="20">
        <v>2019</v>
      </c>
      <c r="D730" s="10" t="s">
        <v>36</v>
      </c>
      <c r="E730" s="11">
        <v>12</v>
      </c>
      <c r="F730" s="101">
        <v>1.008</v>
      </c>
      <c r="G730" s="101">
        <v>1.2E-2</v>
      </c>
    </row>
    <row r="731" spans="1:27">
      <c r="A731" s="7">
        <v>18</v>
      </c>
      <c r="B731" s="87">
        <v>43800</v>
      </c>
      <c r="C731" s="20">
        <v>2019</v>
      </c>
      <c r="D731" s="10" t="s">
        <v>36</v>
      </c>
      <c r="E731" s="11">
        <v>12</v>
      </c>
      <c r="F731" s="101">
        <v>0.77</v>
      </c>
      <c r="G731" s="101">
        <v>1.2999999999999999E-2</v>
      </c>
      <c r="I731" s="50">
        <f>AVERAGE(F729:F731)</f>
        <v>0.95000000000000007</v>
      </c>
      <c r="J731" s="50">
        <f>AVERAGE(G729:G731)</f>
        <v>1.1999999999999999E-2</v>
      </c>
      <c r="L731">
        <f>+J731/I731</f>
        <v>1.2631578947368419E-2</v>
      </c>
      <c r="M731">
        <f>+(L731-$L$913)/$L$914</f>
        <v>-0.24119692736026588</v>
      </c>
      <c r="N731">
        <f>+N725+M731</f>
        <v>4.3425035714050431</v>
      </c>
      <c r="Z731">
        <f>+(I731-$F$913)/$F$914</f>
        <v>-1.098188900858819</v>
      </c>
      <c r="AA731">
        <f>+AA725+Z731</f>
        <v>14.551781946635453</v>
      </c>
    </row>
    <row r="732" spans="1:27">
      <c r="A732" s="120">
        <v>1</v>
      </c>
      <c r="B732" s="126">
        <v>43840</v>
      </c>
      <c r="C732" s="48">
        <v>2020</v>
      </c>
      <c r="D732" s="45" t="s">
        <v>37</v>
      </c>
      <c r="E732" s="43">
        <v>1</v>
      </c>
    </row>
    <row r="733" spans="1:27">
      <c r="A733" s="7">
        <v>17</v>
      </c>
      <c r="B733" s="89">
        <v>43835</v>
      </c>
      <c r="C733">
        <v>2020</v>
      </c>
      <c r="D733" s="10" t="s">
        <v>37</v>
      </c>
      <c r="E733" s="20">
        <v>1</v>
      </c>
    </row>
    <row r="734" spans="1:27">
      <c r="A734" s="7">
        <v>18</v>
      </c>
      <c r="B734" s="89">
        <v>43835</v>
      </c>
      <c r="C734">
        <v>2020</v>
      </c>
      <c r="D734" s="10" t="s">
        <v>37</v>
      </c>
      <c r="E734" s="20">
        <v>1</v>
      </c>
    </row>
    <row r="735" spans="1:27">
      <c r="A735" s="7">
        <v>1</v>
      </c>
      <c r="B735" s="87">
        <v>43862</v>
      </c>
      <c r="C735">
        <v>2020</v>
      </c>
      <c r="D735" s="10" t="s">
        <v>26</v>
      </c>
      <c r="E735" s="20">
        <v>2</v>
      </c>
      <c r="F735" s="119">
        <v>3.0129999999999999</v>
      </c>
      <c r="G735" s="119">
        <v>9.9989999999999996E-4</v>
      </c>
    </row>
    <row r="736" spans="1:27">
      <c r="A736" s="7">
        <v>17</v>
      </c>
      <c r="B736" s="87">
        <v>43862</v>
      </c>
      <c r="C736">
        <v>2020</v>
      </c>
      <c r="D736" s="10" t="s">
        <v>26</v>
      </c>
      <c r="E736" s="20">
        <v>2</v>
      </c>
      <c r="F736" s="119">
        <v>4.5599999999999996</v>
      </c>
      <c r="G736" s="119">
        <v>9.9989999999999996E-4</v>
      </c>
    </row>
    <row r="737" spans="1:14">
      <c r="A737" s="7">
        <v>18</v>
      </c>
      <c r="B737" s="87">
        <v>43862</v>
      </c>
      <c r="C737">
        <v>2020</v>
      </c>
      <c r="D737" s="10" t="s">
        <v>26</v>
      </c>
      <c r="E737" s="20">
        <v>2</v>
      </c>
      <c r="F737" s="119">
        <v>2.5190000000000001</v>
      </c>
      <c r="G737" s="119">
        <v>9.9989999999999996E-4</v>
      </c>
      <c r="I737" s="50">
        <f>AVERAGE(F735:F737)</f>
        <v>3.3639999999999994</v>
      </c>
      <c r="J737" s="50">
        <f>AVERAGE(G735:G737)</f>
        <v>9.9989999999999996E-4</v>
      </c>
      <c r="L737">
        <f>+J737/I737</f>
        <v>2.972354340071344E-4</v>
      </c>
      <c r="M737">
        <f>+(L737-$L$913)/$L$914</f>
        <v>-0.76321994731694287</v>
      </c>
      <c r="N737">
        <f>+N731+M737</f>
        <v>3.5792836240881001</v>
      </c>
    </row>
    <row r="738" spans="1:14">
      <c r="A738" s="7">
        <v>1</v>
      </c>
      <c r="B738" s="87">
        <v>43891</v>
      </c>
      <c r="C738">
        <v>2020</v>
      </c>
      <c r="D738" s="10" t="s">
        <v>27</v>
      </c>
      <c r="E738" s="20">
        <v>3</v>
      </c>
    </row>
    <row r="739" spans="1:14">
      <c r="A739" s="7">
        <v>17</v>
      </c>
      <c r="B739" s="87">
        <v>43891</v>
      </c>
      <c r="C739">
        <v>2020</v>
      </c>
      <c r="D739" s="10" t="s">
        <v>27</v>
      </c>
      <c r="E739" s="20">
        <v>3</v>
      </c>
    </row>
    <row r="740" spans="1:14">
      <c r="A740" s="7">
        <v>18</v>
      </c>
      <c r="B740" s="87">
        <v>43891</v>
      </c>
      <c r="C740">
        <v>2020</v>
      </c>
      <c r="D740" s="10" t="s">
        <v>27</v>
      </c>
      <c r="E740" s="20">
        <v>3</v>
      </c>
    </row>
    <row r="741" spans="1:14">
      <c r="A741" s="7">
        <v>1</v>
      </c>
      <c r="B741" s="87">
        <v>43922</v>
      </c>
      <c r="C741">
        <v>2020</v>
      </c>
      <c r="D741" s="10" t="s">
        <v>28</v>
      </c>
      <c r="E741" s="20">
        <v>4</v>
      </c>
    </row>
    <row r="742" spans="1:14">
      <c r="A742" s="7">
        <v>17</v>
      </c>
      <c r="B742" s="87">
        <v>43922</v>
      </c>
      <c r="C742">
        <v>2020</v>
      </c>
      <c r="D742" s="10" t="s">
        <v>28</v>
      </c>
      <c r="E742" s="20">
        <v>4</v>
      </c>
    </row>
    <row r="743" spans="1:14">
      <c r="A743" s="7">
        <v>18</v>
      </c>
      <c r="B743" s="87">
        <v>43922</v>
      </c>
      <c r="C743">
        <v>2020</v>
      </c>
      <c r="D743" s="10" t="s">
        <v>28</v>
      </c>
      <c r="E743" s="20">
        <v>4</v>
      </c>
    </row>
    <row r="744" spans="1:14">
      <c r="A744" s="7">
        <v>1</v>
      </c>
      <c r="B744" s="87">
        <v>43952</v>
      </c>
      <c r="C744">
        <v>2020</v>
      </c>
      <c r="D744" s="10" t="s">
        <v>29</v>
      </c>
      <c r="E744" s="20">
        <v>5</v>
      </c>
    </row>
    <row r="745" spans="1:14">
      <c r="A745" s="7">
        <v>17</v>
      </c>
      <c r="B745" s="87">
        <v>43952</v>
      </c>
      <c r="C745">
        <v>2020</v>
      </c>
      <c r="D745" s="10" t="s">
        <v>29</v>
      </c>
      <c r="E745" s="20">
        <v>5</v>
      </c>
    </row>
    <row r="746" spans="1:14">
      <c r="A746" s="7">
        <v>18</v>
      </c>
      <c r="B746" s="87">
        <v>43952</v>
      </c>
      <c r="C746">
        <v>2020</v>
      </c>
      <c r="D746" s="10" t="s">
        <v>29</v>
      </c>
      <c r="E746" s="20">
        <v>5</v>
      </c>
    </row>
    <row r="747" spans="1:14">
      <c r="A747" s="7">
        <v>1</v>
      </c>
      <c r="B747" s="87">
        <v>43983</v>
      </c>
      <c r="C747">
        <v>2020</v>
      </c>
      <c r="D747" s="10" t="s">
        <v>30</v>
      </c>
      <c r="E747" s="20">
        <v>6</v>
      </c>
      <c r="F747" s="119">
        <v>4.1429999999999998</v>
      </c>
      <c r="G747" s="119">
        <v>2.3E-2</v>
      </c>
    </row>
    <row r="748" spans="1:14">
      <c r="A748" s="7">
        <v>17</v>
      </c>
      <c r="B748" s="87">
        <v>43983</v>
      </c>
      <c r="C748">
        <v>2020</v>
      </c>
      <c r="D748" s="10" t="s">
        <v>30</v>
      </c>
      <c r="E748" s="20">
        <v>6</v>
      </c>
      <c r="F748" s="119">
        <v>4.7350000000000003</v>
      </c>
      <c r="G748" s="119">
        <v>4.3999999999999997E-2</v>
      </c>
    </row>
    <row r="749" spans="1:14">
      <c r="A749" s="7">
        <v>18</v>
      </c>
      <c r="B749" s="87">
        <v>43983</v>
      </c>
      <c r="C749">
        <v>2020</v>
      </c>
      <c r="D749" s="10" t="s">
        <v>30</v>
      </c>
      <c r="E749" s="20">
        <v>6</v>
      </c>
      <c r="F749" s="122">
        <v>4.9610000000000003</v>
      </c>
      <c r="G749" s="122">
        <v>7.1499999999999994E-2</v>
      </c>
      <c r="H749" s="121" t="s">
        <v>92</v>
      </c>
      <c r="I749" s="50">
        <f>AVERAGE(F747:F749)</f>
        <v>4.6130000000000004</v>
      </c>
      <c r="J749" s="50">
        <f>AVERAGE(G747:G749)</f>
        <v>4.6166666666666668E-2</v>
      </c>
      <c r="L749">
        <f>+J749/I749</f>
        <v>1.0007948551195895E-2</v>
      </c>
      <c r="M749">
        <f>+(L749-$L$913)/$L$914</f>
        <v>-0.35223611328665816</v>
      </c>
      <c r="N749">
        <f>+N737+M749</f>
        <v>3.2270475108014418</v>
      </c>
    </row>
    <row r="750" spans="1:14">
      <c r="A750" s="7">
        <v>1</v>
      </c>
      <c r="B750" s="87">
        <v>44013</v>
      </c>
      <c r="C750">
        <v>2020</v>
      </c>
      <c r="D750" s="10" t="s">
        <v>31</v>
      </c>
      <c r="E750" s="20">
        <v>7</v>
      </c>
      <c r="F750" s="119">
        <v>3.556</v>
      </c>
      <c r="G750" s="119">
        <v>0.249</v>
      </c>
      <c r="I750" s="50"/>
      <c r="J750" s="50"/>
    </row>
    <row r="751" spans="1:14">
      <c r="A751" s="7">
        <v>17</v>
      </c>
      <c r="B751" s="87">
        <v>44013</v>
      </c>
      <c r="C751">
        <v>2020</v>
      </c>
      <c r="D751" s="10" t="s">
        <v>31</v>
      </c>
      <c r="E751" s="20">
        <v>7</v>
      </c>
      <c r="F751" s="119">
        <v>6.7679999999999998</v>
      </c>
      <c r="G751" s="119">
        <v>0.22600000000000001</v>
      </c>
      <c r="I751" s="50"/>
      <c r="J751" s="50"/>
    </row>
    <row r="752" spans="1:14">
      <c r="A752" s="7">
        <v>18</v>
      </c>
      <c r="B752" s="87">
        <v>44013</v>
      </c>
      <c r="C752">
        <v>2020</v>
      </c>
      <c r="D752" s="10" t="s">
        <v>31</v>
      </c>
      <c r="E752" s="20">
        <v>7</v>
      </c>
      <c r="F752" s="119">
        <v>7.6539999999999999</v>
      </c>
      <c r="G752" s="119">
        <v>0.72</v>
      </c>
      <c r="I752" s="50">
        <f>AVERAGE(F750:F752)</f>
        <v>5.9926666666666675</v>
      </c>
      <c r="J752" s="50">
        <f>AVERAGE(G750:G752)</f>
        <v>0.39833333333333326</v>
      </c>
      <c r="L752">
        <f>+J752/I752</f>
        <v>6.6470130159083304E-2</v>
      </c>
      <c r="M752">
        <f>+(L752-$L$913)/$L$914</f>
        <v>2.0373972323683547</v>
      </c>
      <c r="N752">
        <f>+N749+M752</f>
        <v>5.2644447431697969</v>
      </c>
    </row>
    <row r="753" spans="1:14">
      <c r="A753" s="7">
        <v>1</v>
      </c>
      <c r="B753" s="87">
        <v>44044</v>
      </c>
      <c r="C753">
        <v>2020</v>
      </c>
      <c r="D753" s="10" t="s">
        <v>32</v>
      </c>
      <c r="E753" s="20">
        <v>8</v>
      </c>
      <c r="F753" s="119">
        <v>6.8250000000000002</v>
      </c>
      <c r="G753" s="119">
        <v>0.17599999999999999</v>
      </c>
      <c r="I753" s="50"/>
      <c r="J753" s="50"/>
    </row>
    <row r="754" spans="1:14">
      <c r="A754" s="7">
        <v>17</v>
      </c>
      <c r="B754" s="87">
        <v>44044</v>
      </c>
      <c r="C754">
        <v>2020</v>
      </c>
      <c r="D754" s="10" t="s">
        <v>32</v>
      </c>
      <c r="E754" s="20">
        <v>8</v>
      </c>
      <c r="F754" s="119">
        <v>6.4219999999999997</v>
      </c>
      <c r="G754" s="119">
        <v>0.33900000000000002</v>
      </c>
      <c r="I754" s="50"/>
      <c r="J754" s="50"/>
    </row>
    <row r="755" spans="1:14">
      <c r="A755" s="7">
        <v>18</v>
      </c>
      <c r="B755" s="87">
        <v>44044</v>
      </c>
      <c r="C755">
        <v>2020</v>
      </c>
      <c r="D755" s="10" t="s">
        <v>32</v>
      </c>
      <c r="E755" s="20">
        <v>8</v>
      </c>
      <c r="F755" s="119">
        <v>6.14</v>
      </c>
      <c r="G755" s="119">
        <v>0.55100000000000005</v>
      </c>
      <c r="I755" s="50">
        <f>AVERAGE(F753:F755)</f>
        <v>6.4623333333333335</v>
      </c>
      <c r="J755" s="50">
        <f>AVERAGE(G753:G755)</f>
        <v>0.35533333333333333</v>
      </c>
      <c r="L755">
        <f t="shared" ref="L755" si="0">+J755/I755</f>
        <v>5.4985299427451381E-2</v>
      </c>
      <c r="M755">
        <f t="shared" ref="M755" si="1">+(L755-$L$913)/$L$914</f>
        <v>1.5513279076634576</v>
      </c>
      <c r="N755">
        <f t="shared" ref="N755" si="2">+N752+M755</f>
        <v>6.8157726508332548</v>
      </c>
    </row>
    <row r="756" spans="1:14">
      <c r="A756" s="7">
        <v>1</v>
      </c>
      <c r="B756" s="87">
        <v>44075</v>
      </c>
      <c r="C756">
        <v>2020</v>
      </c>
      <c r="D756" s="10" t="s">
        <v>38</v>
      </c>
      <c r="E756" s="20">
        <v>9</v>
      </c>
      <c r="F756" s="119">
        <v>8.0709999999999997</v>
      </c>
      <c r="G756" s="119">
        <v>7.0000000000000007E-2</v>
      </c>
      <c r="I756" s="50"/>
      <c r="J756" s="50"/>
    </row>
    <row r="757" spans="1:14">
      <c r="A757" s="7">
        <v>17</v>
      </c>
      <c r="B757" s="87">
        <v>44075</v>
      </c>
      <c r="C757">
        <v>2020</v>
      </c>
      <c r="D757" s="10" t="s">
        <v>38</v>
      </c>
      <c r="E757" s="20">
        <v>9</v>
      </c>
      <c r="F757" s="119">
        <v>8.1790000000000003</v>
      </c>
      <c r="G757" s="119">
        <v>0.111</v>
      </c>
      <c r="I757" s="50"/>
      <c r="J757" s="50"/>
    </row>
    <row r="758" spans="1:14">
      <c r="A758" s="7">
        <v>18</v>
      </c>
      <c r="B758" s="87">
        <v>44075</v>
      </c>
      <c r="C758">
        <v>2020</v>
      </c>
      <c r="D758" s="10" t="s">
        <v>38</v>
      </c>
      <c r="E758" s="20">
        <v>9</v>
      </c>
      <c r="F758" s="119">
        <v>7.8460000000000001</v>
      </c>
      <c r="G758" s="119">
        <v>8.8999999999999996E-2</v>
      </c>
      <c r="I758" s="50">
        <f>AVERAGE(F756:F758)</f>
        <v>8.032</v>
      </c>
      <c r="J758" s="50">
        <f>AVERAGE(G756:G758)</f>
        <v>9.0000000000000011E-2</v>
      </c>
      <c r="L758">
        <f t="shared" ref="L758" si="3">+J758/I758</f>
        <v>1.1205179282868526E-2</v>
      </c>
      <c r="M758">
        <f t="shared" ref="M758" si="4">+(L758-$L$913)/$L$914</f>
        <v>-0.30156604710472701</v>
      </c>
      <c r="N758">
        <f t="shared" ref="N758" si="5">+N755+M758</f>
        <v>6.5142066037285282</v>
      </c>
    </row>
    <row r="759" spans="1:14">
      <c r="A759" s="7">
        <v>1</v>
      </c>
      <c r="B759" s="87">
        <v>44105</v>
      </c>
      <c r="C759">
        <v>2020</v>
      </c>
      <c r="D759" s="10" t="s">
        <v>34</v>
      </c>
      <c r="E759" s="20">
        <v>10</v>
      </c>
      <c r="F759" s="119">
        <v>4.915</v>
      </c>
      <c r="G759" s="119">
        <v>4.5999999999999999E-2</v>
      </c>
      <c r="I759" s="50"/>
      <c r="J759" s="50"/>
    </row>
    <row r="760" spans="1:14">
      <c r="A760" s="7">
        <v>17</v>
      </c>
      <c r="B760" s="87">
        <v>44105</v>
      </c>
      <c r="C760">
        <v>2020</v>
      </c>
      <c r="D760" s="10" t="s">
        <v>34</v>
      </c>
      <c r="E760" s="20">
        <v>10</v>
      </c>
      <c r="F760" s="119">
        <v>1.9590000000000001</v>
      </c>
      <c r="G760" s="119">
        <v>3.1E-2</v>
      </c>
      <c r="I760" s="50"/>
      <c r="J760" s="50"/>
    </row>
    <row r="761" spans="1:14">
      <c r="A761" s="7">
        <v>18</v>
      </c>
      <c r="B761" s="87">
        <v>44105</v>
      </c>
      <c r="C761">
        <v>2020</v>
      </c>
      <c r="D761" s="10" t="s">
        <v>34</v>
      </c>
      <c r="E761" s="20">
        <v>10</v>
      </c>
      <c r="F761" s="119">
        <v>1.0349999999999999</v>
      </c>
      <c r="G761" s="119">
        <v>1.4E-2</v>
      </c>
      <c r="I761" s="50">
        <f>AVERAGE(F759:F761)</f>
        <v>2.6363333333333334</v>
      </c>
      <c r="J761" s="50">
        <f>AVERAGE(G759:G761)</f>
        <v>3.0333333333333334E-2</v>
      </c>
      <c r="L761">
        <f t="shared" ref="L761" si="6">+J761/I761</f>
        <v>1.1505879377923883E-2</v>
      </c>
      <c r="M761">
        <f t="shared" ref="M761" si="7">+(L761-$L$913)/$L$914</f>
        <v>-0.28883959988424746</v>
      </c>
      <c r="N761">
        <f t="shared" ref="N761" si="8">+N758+M761</f>
        <v>6.2253670038442808</v>
      </c>
    </row>
    <row r="762" spans="1:14">
      <c r="A762" s="7">
        <v>1</v>
      </c>
      <c r="B762" s="87">
        <v>44136</v>
      </c>
      <c r="C762">
        <v>2020</v>
      </c>
      <c r="D762" s="10" t="s">
        <v>35</v>
      </c>
      <c r="E762" s="20">
        <v>11</v>
      </c>
      <c r="F762" s="122">
        <v>1.3220000000000001</v>
      </c>
      <c r="G762" s="122">
        <v>8.5000000000000006E-3</v>
      </c>
      <c r="H762" s="123" t="s">
        <v>92</v>
      </c>
      <c r="I762" s="50"/>
      <c r="J762" s="50"/>
    </row>
    <row r="763" spans="1:14">
      <c r="A763" s="7">
        <v>17</v>
      </c>
      <c r="B763" s="87">
        <v>44136</v>
      </c>
      <c r="C763">
        <v>2020</v>
      </c>
      <c r="D763" s="10" t="s">
        <v>35</v>
      </c>
      <c r="E763" s="20">
        <v>11</v>
      </c>
      <c r="F763" s="119">
        <v>1.0820000000000001</v>
      </c>
      <c r="G763" s="119">
        <v>9.9989999999999996E-4</v>
      </c>
      <c r="I763" s="50"/>
      <c r="J763" s="50"/>
    </row>
    <row r="764" spans="1:14">
      <c r="A764" s="7">
        <v>18</v>
      </c>
      <c r="B764" s="87">
        <v>44136</v>
      </c>
      <c r="C764">
        <v>2020</v>
      </c>
      <c r="D764" s="10" t="s">
        <v>35</v>
      </c>
      <c r="E764" s="20">
        <v>11</v>
      </c>
      <c r="F764" s="119">
        <v>1.601</v>
      </c>
      <c r="G764" s="119">
        <v>1.2E-2</v>
      </c>
      <c r="I764" s="50">
        <f>AVERAGE(F762:F764)</f>
        <v>1.335</v>
      </c>
      <c r="J764" s="50">
        <f>AVERAGE(G762:G764)</f>
        <v>7.1666333333333344E-3</v>
      </c>
      <c r="L764">
        <f t="shared" ref="L764" si="9">+J764/I764</f>
        <v>5.3682646691635468E-3</v>
      </c>
      <c r="M764">
        <f t="shared" ref="M764" si="10">+(L764-$L$913)/$L$914</f>
        <v>-0.54860017507228698</v>
      </c>
      <c r="N764">
        <f t="shared" ref="N764" si="11">+N761+M764</f>
        <v>5.6767668287719939</v>
      </c>
    </row>
    <row r="765" spans="1:14">
      <c r="A765" s="7">
        <v>1</v>
      </c>
      <c r="B765" s="88">
        <v>44166</v>
      </c>
      <c r="C765">
        <v>2020</v>
      </c>
      <c r="D765" s="10" t="s">
        <v>36</v>
      </c>
      <c r="E765" s="20">
        <v>12</v>
      </c>
    </row>
    <row r="766" spans="1:14">
      <c r="A766" s="7">
        <v>17</v>
      </c>
      <c r="B766" s="87">
        <v>44166</v>
      </c>
      <c r="C766">
        <v>2020</v>
      </c>
      <c r="D766" s="10" t="s">
        <v>36</v>
      </c>
      <c r="E766" s="20">
        <v>12</v>
      </c>
    </row>
    <row r="767" spans="1:14">
      <c r="A767" s="7">
        <v>18</v>
      </c>
      <c r="B767" s="87">
        <v>44166</v>
      </c>
      <c r="C767">
        <v>2020</v>
      </c>
      <c r="D767" s="10" t="s">
        <v>36</v>
      </c>
      <c r="E767" s="20">
        <v>12</v>
      </c>
    </row>
    <row r="768" spans="1:14">
      <c r="A768" s="120">
        <v>1</v>
      </c>
      <c r="B768" s="126">
        <v>44206</v>
      </c>
      <c r="C768" s="48">
        <v>2021</v>
      </c>
      <c r="D768" s="45" t="s">
        <v>37</v>
      </c>
      <c r="E768" s="43">
        <v>1</v>
      </c>
    </row>
    <row r="769" spans="1:14">
      <c r="A769" s="7">
        <v>17</v>
      </c>
      <c r="B769" s="89">
        <v>44201</v>
      </c>
      <c r="C769">
        <v>2021</v>
      </c>
      <c r="D769" s="10" t="s">
        <v>37</v>
      </c>
      <c r="E769" s="20">
        <v>1</v>
      </c>
    </row>
    <row r="770" spans="1:14">
      <c r="A770" s="7">
        <v>18</v>
      </c>
      <c r="B770" s="89">
        <v>44201</v>
      </c>
      <c r="C770">
        <v>2021</v>
      </c>
      <c r="D770" s="10" t="s">
        <v>37</v>
      </c>
      <c r="E770" s="20">
        <v>1</v>
      </c>
    </row>
    <row r="771" spans="1:14">
      <c r="A771" s="7">
        <v>1</v>
      </c>
      <c r="B771" s="87">
        <v>44228</v>
      </c>
      <c r="C771">
        <v>2021</v>
      </c>
      <c r="D771" s="10" t="s">
        <v>26</v>
      </c>
      <c r="E771" s="20">
        <v>2</v>
      </c>
      <c r="F771" s="125">
        <v>6.33</v>
      </c>
      <c r="G771" s="127">
        <v>8.0000000000000002E-3</v>
      </c>
    </row>
    <row r="772" spans="1:14">
      <c r="A772" s="7">
        <v>17</v>
      </c>
      <c r="B772" s="87">
        <v>44228</v>
      </c>
      <c r="C772">
        <v>2021</v>
      </c>
      <c r="D772" s="10" t="s">
        <v>26</v>
      </c>
      <c r="E772" s="20">
        <v>2</v>
      </c>
      <c r="F772" s="127">
        <v>11.077999999999999</v>
      </c>
      <c r="G772" s="127">
        <v>1.2999999999999999E-2</v>
      </c>
    </row>
    <row r="773" spans="1:14">
      <c r="A773" s="7">
        <v>18</v>
      </c>
      <c r="B773" s="87">
        <v>44228</v>
      </c>
      <c r="C773">
        <v>2021</v>
      </c>
      <c r="D773" s="10" t="s">
        <v>26</v>
      </c>
      <c r="E773" s="20">
        <v>2</v>
      </c>
      <c r="F773" s="127">
        <v>7.7409999999999997</v>
      </c>
      <c r="G773" s="127">
        <v>8.0000000000000002E-3</v>
      </c>
      <c r="I773" s="50">
        <f>AVERAGE(F771:F773)</f>
        <v>8.3830000000000009</v>
      </c>
      <c r="J773" s="50">
        <f>AVERAGE(G771:G773)</f>
        <v>9.6666666666666654E-3</v>
      </c>
      <c r="L773">
        <f>+J773/I773</f>
        <v>1.1531273609288637E-3</v>
      </c>
      <c r="M773">
        <f>+(L773-$L$913)/$L$914</f>
        <v>-0.72699626926190697</v>
      </c>
      <c r="N773">
        <f>+N764+M773</f>
        <v>4.9497705595100872</v>
      </c>
    </row>
    <row r="774" spans="1:14">
      <c r="A774" s="7">
        <v>1</v>
      </c>
      <c r="B774" s="87">
        <v>44256</v>
      </c>
      <c r="C774">
        <v>2021</v>
      </c>
      <c r="D774" s="10" t="s">
        <v>27</v>
      </c>
      <c r="E774" s="20">
        <v>3</v>
      </c>
      <c r="F774" s="127">
        <v>4.3760000000000003</v>
      </c>
      <c r="G774" s="127">
        <v>1.7999999999999999E-2</v>
      </c>
    </row>
    <row r="775" spans="1:14">
      <c r="A775" s="7">
        <v>17</v>
      </c>
      <c r="B775" s="87">
        <v>44256</v>
      </c>
      <c r="C775">
        <v>2021</v>
      </c>
      <c r="D775" s="10" t="s">
        <v>27</v>
      </c>
      <c r="E775" s="20">
        <v>3</v>
      </c>
      <c r="F775" s="127">
        <v>10.173</v>
      </c>
      <c r="G775" s="127">
        <v>1.4E-2</v>
      </c>
    </row>
    <row r="776" spans="1:14">
      <c r="A776" s="7">
        <v>18</v>
      </c>
      <c r="B776" s="87">
        <v>44256</v>
      </c>
      <c r="C776">
        <v>2021</v>
      </c>
      <c r="D776" s="10" t="s">
        <v>27</v>
      </c>
      <c r="E776" s="20">
        <v>3</v>
      </c>
      <c r="F776" s="127">
        <v>3.8740000000000001</v>
      </c>
      <c r="G776" s="127">
        <v>8.0000000000000002E-3</v>
      </c>
      <c r="I776" s="50">
        <f t="shared" ref="I776:J776" si="12">AVERAGE(F774:F776)</f>
        <v>6.1409999999999991</v>
      </c>
      <c r="J776" s="50">
        <f t="shared" si="12"/>
        <v>1.3333333333333334E-2</v>
      </c>
      <c r="L776">
        <f t="shared" ref="L776" si="13">+J776/I776</f>
        <v>2.1711990446724207E-3</v>
      </c>
      <c r="M776">
        <f t="shared" ref="M776" si="14">+(L776-$L$913)/$L$914</f>
        <v>-0.68390870207160737</v>
      </c>
      <c r="N776">
        <f>+N773+M776</f>
        <v>4.2658618574384795</v>
      </c>
    </row>
    <row r="777" spans="1:14">
      <c r="A777" s="7">
        <v>1</v>
      </c>
      <c r="B777" s="87">
        <v>44287</v>
      </c>
      <c r="C777">
        <v>2021</v>
      </c>
      <c r="D777" s="10" t="s">
        <v>28</v>
      </c>
      <c r="E777" s="20">
        <v>4</v>
      </c>
      <c r="F777" s="127">
        <v>0.76900000000000002</v>
      </c>
      <c r="G777" s="127">
        <v>1.0999999999999999E-2</v>
      </c>
    </row>
    <row r="778" spans="1:14">
      <c r="A778" s="7">
        <v>17</v>
      </c>
      <c r="B778" s="87">
        <v>44287</v>
      </c>
      <c r="C778">
        <v>2021</v>
      </c>
      <c r="D778" s="10" t="s">
        <v>28</v>
      </c>
      <c r="E778" s="20">
        <v>4</v>
      </c>
      <c r="F778" s="127">
        <v>3.6040000000000001</v>
      </c>
      <c r="G778" s="127">
        <v>1.6E-2</v>
      </c>
    </row>
    <row r="779" spans="1:14">
      <c r="A779" s="7">
        <v>18</v>
      </c>
      <c r="B779" s="87">
        <v>44287</v>
      </c>
      <c r="C779">
        <v>2021</v>
      </c>
      <c r="D779" s="10" t="s">
        <v>28</v>
      </c>
      <c r="E779" s="20">
        <v>4</v>
      </c>
      <c r="F779" s="127">
        <v>0.92900000000000005</v>
      </c>
      <c r="G779" s="127">
        <v>1.7999999999999999E-2</v>
      </c>
      <c r="I779" s="50">
        <f t="shared" ref="I779:J779" si="15">AVERAGE(F777:F779)</f>
        <v>1.7673333333333334</v>
      </c>
      <c r="J779" s="50">
        <f t="shared" si="15"/>
        <v>1.4999999999999999E-2</v>
      </c>
      <c r="L779">
        <f t="shared" ref="L779" si="16">+J779/I779</f>
        <v>8.4873632591474912E-3</v>
      </c>
      <c r="M779">
        <f t="shared" ref="M779" si="17">+(L779-$L$913)/$L$914</f>
        <v>-0.41659142537902399</v>
      </c>
      <c r="N779">
        <f>+N776+M779</f>
        <v>3.8492704320594555</v>
      </c>
    </row>
    <row r="780" spans="1:14">
      <c r="A780" s="7">
        <v>1</v>
      </c>
      <c r="B780" s="87">
        <v>44317</v>
      </c>
      <c r="C780">
        <v>2021</v>
      </c>
      <c r="D780" s="10" t="s">
        <v>29</v>
      </c>
      <c r="E780" s="20">
        <v>5</v>
      </c>
      <c r="F780" s="127">
        <v>2.7440000000000002</v>
      </c>
      <c r="G780" s="127">
        <v>1.7999999999999999E-2</v>
      </c>
    </row>
    <row r="781" spans="1:14">
      <c r="A781" s="7">
        <v>17</v>
      </c>
      <c r="B781" s="87">
        <v>44317</v>
      </c>
      <c r="C781">
        <v>2021</v>
      </c>
      <c r="D781" s="10" t="s">
        <v>29</v>
      </c>
      <c r="E781" s="20">
        <v>5</v>
      </c>
      <c r="F781" s="127">
        <v>3.0289999999999999</v>
      </c>
      <c r="G781" s="127">
        <v>2.5000000000000001E-2</v>
      </c>
    </row>
    <row r="782" spans="1:14">
      <c r="A782" s="7">
        <v>18</v>
      </c>
      <c r="B782" s="87">
        <v>44317</v>
      </c>
      <c r="C782">
        <v>2021</v>
      </c>
      <c r="D782" s="10" t="s">
        <v>29</v>
      </c>
      <c r="E782" s="20">
        <v>5</v>
      </c>
      <c r="F782" s="127">
        <v>4.306</v>
      </c>
      <c r="G782" s="127">
        <v>0.28299999999999997</v>
      </c>
      <c r="I782" s="50">
        <f t="shared" ref="I782:J782" si="18">AVERAGE(F780:F782)</f>
        <v>3.359666666666667</v>
      </c>
      <c r="J782" s="50">
        <f t="shared" si="18"/>
        <v>0.10866666666666665</v>
      </c>
      <c r="L782">
        <f t="shared" ref="L782" si="19">+J782/I782</f>
        <v>3.2344478618910599E-2</v>
      </c>
      <c r="M782">
        <f t="shared" ref="M782" si="20">+(L782-$L$913)/$L$914</f>
        <v>0.59310669062265053</v>
      </c>
      <c r="N782">
        <f>+N779+M782</f>
        <v>4.4423771226821058</v>
      </c>
    </row>
    <row r="783" spans="1:14">
      <c r="A783" s="7">
        <v>1</v>
      </c>
      <c r="B783" s="87">
        <v>44348</v>
      </c>
      <c r="C783">
        <v>2021</v>
      </c>
      <c r="D783" s="10" t="s">
        <v>30</v>
      </c>
      <c r="E783" s="20">
        <v>6</v>
      </c>
      <c r="F783" s="127">
        <v>6.8220000000000001</v>
      </c>
      <c r="G783" s="127">
        <v>0.16200000000000001</v>
      </c>
    </row>
    <row r="784" spans="1:14">
      <c r="A784" s="7">
        <v>17</v>
      </c>
      <c r="B784" s="87">
        <v>44348</v>
      </c>
      <c r="C784">
        <v>2021</v>
      </c>
      <c r="D784" s="10" t="s">
        <v>30</v>
      </c>
      <c r="E784" s="20">
        <v>6</v>
      </c>
      <c r="F784" s="127">
        <v>5.68</v>
      </c>
      <c r="G784" s="127">
        <v>0.32300000000000001</v>
      </c>
    </row>
    <row r="785" spans="1:14">
      <c r="A785" s="7">
        <v>18</v>
      </c>
      <c r="B785" s="87">
        <v>44348</v>
      </c>
      <c r="C785">
        <v>2021</v>
      </c>
      <c r="D785" s="10" t="s">
        <v>30</v>
      </c>
      <c r="E785" s="20">
        <v>6</v>
      </c>
      <c r="F785" s="127">
        <v>6.3579999999999997</v>
      </c>
      <c r="G785" s="127">
        <v>7.0000000000000001E-3</v>
      </c>
      <c r="I785" s="50">
        <f t="shared" ref="I785:J785" si="21">AVERAGE(F783:F785)</f>
        <v>6.2866666666666662</v>
      </c>
      <c r="J785" s="50">
        <f t="shared" si="21"/>
        <v>0.16400000000000001</v>
      </c>
      <c r="L785">
        <f t="shared" ref="L785" si="22">+J785/I785</f>
        <v>2.6086956521739132E-2</v>
      </c>
      <c r="M785">
        <f t="shared" ref="M785" si="23">+(L785-$L$913)/$L$914</f>
        <v>0.32827130809316712</v>
      </c>
      <c r="N785">
        <f>+N782+M785</f>
        <v>4.7706484307752728</v>
      </c>
    </row>
    <row r="786" spans="1:14">
      <c r="A786" s="7">
        <v>1</v>
      </c>
      <c r="B786" s="87">
        <v>44378</v>
      </c>
      <c r="C786">
        <v>2021</v>
      </c>
      <c r="D786" s="10" t="s">
        <v>31</v>
      </c>
      <c r="E786" s="20">
        <v>7</v>
      </c>
      <c r="F786" s="127"/>
      <c r="G786" s="127"/>
      <c r="H786" s="123" t="s">
        <v>93</v>
      </c>
    </row>
    <row r="787" spans="1:14">
      <c r="A787" s="7">
        <v>17</v>
      </c>
      <c r="B787" s="87">
        <v>44378</v>
      </c>
      <c r="C787">
        <v>2021</v>
      </c>
      <c r="D787" s="10" t="s">
        <v>31</v>
      </c>
      <c r="E787" s="20">
        <v>7</v>
      </c>
      <c r="H787" s="123" t="s">
        <v>94</v>
      </c>
    </row>
    <row r="788" spans="1:14">
      <c r="A788" s="7">
        <v>18</v>
      </c>
      <c r="B788" s="87">
        <v>44378</v>
      </c>
      <c r="C788">
        <v>2021</v>
      </c>
      <c r="D788" s="10" t="s">
        <v>31</v>
      </c>
      <c r="E788" s="20">
        <v>7</v>
      </c>
    </row>
    <row r="789" spans="1:14">
      <c r="A789" s="7">
        <v>1</v>
      </c>
      <c r="B789" s="87">
        <v>44409</v>
      </c>
      <c r="C789">
        <v>2021</v>
      </c>
      <c r="D789" s="10" t="s">
        <v>32</v>
      </c>
      <c r="E789" s="20">
        <v>8</v>
      </c>
      <c r="F789" s="127">
        <v>4.8929999999999998</v>
      </c>
      <c r="G789" s="127">
        <v>7.4999999999999997E-2</v>
      </c>
    </row>
    <row r="790" spans="1:14">
      <c r="A790" s="7">
        <v>17</v>
      </c>
      <c r="B790" s="87">
        <v>44409</v>
      </c>
      <c r="C790">
        <v>2021</v>
      </c>
      <c r="D790" s="10" t="s">
        <v>32</v>
      </c>
      <c r="E790" s="20">
        <v>8</v>
      </c>
      <c r="F790" s="127">
        <v>4.8949999999999996</v>
      </c>
      <c r="G790" s="127">
        <v>2.4E-2</v>
      </c>
    </row>
    <row r="791" spans="1:14">
      <c r="A791" s="7">
        <v>18</v>
      </c>
      <c r="B791" s="87">
        <v>44409</v>
      </c>
      <c r="C791">
        <v>2021</v>
      </c>
      <c r="D791" s="10" t="s">
        <v>32</v>
      </c>
      <c r="E791" s="20">
        <v>8</v>
      </c>
      <c r="F791" s="127">
        <v>4.5140000000000002</v>
      </c>
      <c r="G791" s="127">
        <v>0.14099999999999999</v>
      </c>
      <c r="I791" s="50">
        <f>AVERAGE(F789:F791)</f>
        <v>4.7673333333333332</v>
      </c>
      <c r="J791" s="50">
        <f>AVERAGE(G789:G791)</f>
        <v>0.08</v>
      </c>
      <c r="L791">
        <f>+J791/I791</f>
        <v>1.6780869808418405E-2</v>
      </c>
      <c r="M791">
        <f>+(L791-$L$913)/$L$914</f>
        <v>-6.5587634201080783E-2</v>
      </c>
      <c r="N791">
        <f>+N785+M791</f>
        <v>4.705060796574192</v>
      </c>
    </row>
    <row r="792" spans="1:14">
      <c r="A792" s="7">
        <v>1</v>
      </c>
      <c r="B792" s="87">
        <v>44440</v>
      </c>
      <c r="C792">
        <v>2021</v>
      </c>
      <c r="D792" s="10" t="s">
        <v>38</v>
      </c>
      <c r="E792" s="20">
        <v>9</v>
      </c>
      <c r="F792" s="127">
        <v>5.4139999999999997</v>
      </c>
      <c r="G792" s="127">
        <v>3.5000000000000003E-2</v>
      </c>
    </row>
    <row r="793" spans="1:14">
      <c r="A793" s="7">
        <v>17</v>
      </c>
      <c r="B793" s="87">
        <v>44440</v>
      </c>
      <c r="C793">
        <v>2021</v>
      </c>
      <c r="D793" s="10" t="s">
        <v>38</v>
      </c>
      <c r="E793" s="20">
        <v>9</v>
      </c>
      <c r="F793" s="127">
        <v>7.3550000000000004</v>
      </c>
      <c r="G793" s="127">
        <v>3.2000000000000001E-2</v>
      </c>
    </row>
    <row r="794" spans="1:14">
      <c r="A794" s="7">
        <v>18</v>
      </c>
      <c r="B794" s="87">
        <v>44440</v>
      </c>
      <c r="C794">
        <v>2021</v>
      </c>
      <c r="D794" s="10" t="s">
        <v>38</v>
      </c>
      <c r="E794" s="20">
        <v>9</v>
      </c>
      <c r="F794" s="127">
        <v>3.3109999999999999</v>
      </c>
      <c r="G794" s="127">
        <v>6.2E-2</v>
      </c>
      <c r="I794" s="50">
        <f t="shared" ref="I794:J794" si="24">AVERAGE(F792:F794)</f>
        <v>5.3599999999999994</v>
      </c>
      <c r="J794" s="50">
        <f t="shared" si="24"/>
        <v>4.3000000000000003E-2</v>
      </c>
      <c r="L794">
        <f>+J794/I794</f>
        <v>8.0223880597014938E-3</v>
      </c>
      <c r="M794">
        <f>+(L794-$L$913)/$L$914</f>
        <v>-0.43627044255223801</v>
      </c>
      <c r="N794">
        <f>+N791+M794</f>
        <v>4.2687903540219541</v>
      </c>
    </row>
    <row r="795" spans="1:14">
      <c r="A795" s="7">
        <v>1</v>
      </c>
      <c r="B795" s="87">
        <v>44470</v>
      </c>
      <c r="C795">
        <v>2021</v>
      </c>
      <c r="D795" s="10" t="s">
        <v>34</v>
      </c>
      <c r="E795" s="20">
        <v>10</v>
      </c>
      <c r="F795" s="127">
        <v>0.98599999999999999</v>
      </c>
      <c r="G795" s="127">
        <v>5.0000000000000001E-3</v>
      </c>
    </row>
    <row r="796" spans="1:14">
      <c r="A796" s="7">
        <v>17</v>
      </c>
      <c r="B796" s="87">
        <v>44470</v>
      </c>
      <c r="C796">
        <v>2021</v>
      </c>
      <c r="D796" s="10" t="s">
        <v>34</v>
      </c>
      <c r="E796" s="20">
        <v>10</v>
      </c>
      <c r="F796" s="127">
        <v>1.036</v>
      </c>
      <c r="G796" s="127">
        <v>6.0000000000000001E-3</v>
      </c>
    </row>
    <row r="797" spans="1:14">
      <c r="A797" s="7">
        <v>18</v>
      </c>
      <c r="B797" s="87">
        <v>44470</v>
      </c>
      <c r="C797">
        <v>2021</v>
      </c>
      <c r="D797" s="10" t="s">
        <v>34</v>
      </c>
      <c r="E797" s="20">
        <v>10</v>
      </c>
      <c r="F797" s="127">
        <v>1.01</v>
      </c>
      <c r="G797" s="127">
        <v>9.9989999999999996E-4</v>
      </c>
      <c r="I797" s="50">
        <f t="shared" ref="I797:J797" si="25">AVERAGE(F795:F797)</f>
        <v>1.0106666666666666</v>
      </c>
      <c r="J797" s="50">
        <f t="shared" si="25"/>
        <v>3.9999666666666661E-3</v>
      </c>
      <c r="L797">
        <f t="shared" ref="L797" si="26">+J797/I797</f>
        <v>3.9577506596306065E-3</v>
      </c>
      <c r="M797">
        <f t="shared" ref="M797" si="27">+(L797-$L$913)/$L$914</f>
        <v>-0.60829697062123211</v>
      </c>
      <c r="N797">
        <f t="shared" ref="N797" si="28">+N794+M797</f>
        <v>3.6604933834007221</v>
      </c>
    </row>
    <row r="798" spans="1:14">
      <c r="A798" s="7">
        <v>1</v>
      </c>
      <c r="B798" s="87">
        <v>44501</v>
      </c>
      <c r="C798">
        <v>2021</v>
      </c>
      <c r="D798" s="10" t="s">
        <v>35</v>
      </c>
      <c r="E798" s="20">
        <v>11</v>
      </c>
      <c r="F798" s="127">
        <v>0.96499999999999997</v>
      </c>
      <c r="G798" s="127">
        <v>6.0000000000000001E-3</v>
      </c>
    </row>
    <row r="799" spans="1:14">
      <c r="A799" s="7">
        <v>17</v>
      </c>
      <c r="B799" s="87">
        <v>44501</v>
      </c>
      <c r="C799">
        <v>2021</v>
      </c>
      <c r="D799" s="10" t="s">
        <v>35</v>
      </c>
      <c r="E799" s="20">
        <v>11</v>
      </c>
      <c r="F799" s="127">
        <v>1.0660000000000001</v>
      </c>
      <c r="G799" s="127">
        <v>5.0000000000000001E-3</v>
      </c>
    </row>
    <row r="800" spans="1:14">
      <c r="A800" s="7">
        <v>18</v>
      </c>
      <c r="B800" s="87">
        <v>44501</v>
      </c>
      <c r="C800">
        <v>2021</v>
      </c>
      <c r="D800" s="10" t="s">
        <v>35</v>
      </c>
      <c r="E800" s="20">
        <v>11</v>
      </c>
      <c r="F800" s="127">
        <v>0.88800000000000001</v>
      </c>
      <c r="G800" s="127">
        <v>9.9989999999999996E-4</v>
      </c>
      <c r="I800" s="50">
        <f t="shared" ref="I800:J800" si="29">AVERAGE(F798:F800)</f>
        <v>0.97299999999999998</v>
      </c>
      <c r="J800" s="50">
        <f t="shared" si="29"/>
        <v>3.9999666666666661E-3</v>
      </c>
      <c r="L800">
        <f t="shared" ref="L800" si="30">+J800/I800</f>
        <v>4.1109626584446722E-3</v>
      </c>
      <c r="M800">
        <f t="shared" ref="M800" si="31">+(L800-$L$913)/$L$914</f>
        <v>-0.60181262143573411</v>
      </c>
      <c r="N800">
        <f t="shared" ref="N800" si="32">+N797+M800</f>
        <v>3.0586807619649878</v>
      </c>
    </row>
    <row r="801" spans="1:14">
      <c r="A801" s="7">
        <v>1</v>
      </c>
      <c r="B801" s="88">
        <v>44531</v>
      </c>
      <c r="C801">
        <v>2021</v>
      </c>
      <c r="D801" s="10" t="s">
        <v>36</v>
      </c>
      <c r="E801" s="20">
        <v>12</v>
      </c>
      <c r="F801" s="127">
        <v>1.1200000000000001</v>
      </c>
      <c r="G801" s="127">
        <v>5.0000000000000001E-3</v>
      </c>
    </row>
    <row r="802" spans="1:14">
      <c r="A802" s="7">
        <v>17</v>
      </c>
      <c r="B802" s="87">
        <v>44531</v>
      </c>
      <c r="C802">
        <v>2021</v>
      </c>
      <c r="D802" s="10" t="s">
        <v>36</v>
      </c>
      <c r="E802" s="20">
        <v>12</v>
      </c>
      <c r="F802" s="127">
        <v>0.84899999999999998</v>
      </c>
      <c r="G802" s="127">
        <v>9.9989999999999996E-4</v>
      </c>
    </row>
    <row r="803" spans="1:14">
      <c r="A803" s="7">
        <v>18</v>
      </c>
      <c r="B803" s="87">
        <v>44531</v>
      </c>
      <c r="C803">
        <v>2021</v>
      </c>
      <c r="D803" s="10" t="s">
        <v>36</v>
      </c>
      <c r="E803" s="20">
        <v>12</v>
      </c>
      <c r="F803" s="127">
        <v>1.1419999999999999</v>
      </c>
      <c r="G803" s="127">
        <v>9.9989999999999996E-4</v>
      </c>
      <c r="I803" s="50">
        <f t="shared" ref="I803:J803" si="33">AVERAGE(F801:F803)</f>
        <v>1.0369999999999999</v>
      </c>
      <c r="J803" s="50">
        <f t="shared" si="33"/>
        <v>2.3332666666666664E-3</v>
      </c>
      <c r="L803">
        <f t="shared" ref="L803" si="34">+J803/I803</f>
        <v>2.2500160720025715E-3</v>
      </c>
      <c r="M803">
        <f t="shared" ref="M803" si="35">+(L803-$L$913)/$L$914</f>
        <v>-0.68057295075364521</v>
      </c>
      <c r="N803">
        <f t="shared" ref="N803" si="36">+N800+M803</f>
        <v>2.3781078112113425</v>
      </c>
    </row>
    <row r="804" spans="1:14">
      <c r="A804" s="120">
        <v>1</v>
      </c>
      <c r="B804" s="126">
        <v>44571</v>
      </c>
      <c r="C804" s="48">
        <v>2022</v>
      </c>
      <c r="D804" s="45" t="s">
        <v>37</v>
      </c>
      <c r="E804" s="43">
        <v>1</v>
      </c>
      <c r="H804" s="123" t="s">
        <v>99</v>
      </c>
    </row>
    <row r="805" spans="1:14">
      <c r="A805" s="7">
        <v>17</v>
      </c>
      <c r="B805" s="89">
        <v>44566</v>
      </c>
      <c r="C805">
        <v>2022</v>
      </c>
      <c r="D805" s="10" t="s">
        <v>37</v>
      </c>
      <c r="E805" s="20">
        <v>1</v>
      </c>
      <c r="H805" s="123" t="s">
        <v>95</v>
      </c>
    </row>
    <row r="806" spans="1:14">
      <c r="A806" s="7">
        <v>18</v>
      </c>
      <c r="B806" s="89">
        <v>44566</v>
      </c>
      <c r="C806">
        <v>2022</v>
      </c>
      <c r="D806" s="10" t="s">
        <v>37</v>
      </c>
      <c r="E806" s="20">
        <v>1</v>
      </c>
      <c r="H806" s="123" t="s">
        <v>96</v>
      </c>
    </row>
    <row r="807" spans="1:14">
      <c r="A807" s="7">
        <v>1</v>
      </c>
      <c r="B807" s="87">
        <v>44593</v>
      </c>
      <c r="C807">
        <v>2022</v>
      </c>
      <c r="D807" s="10" t="s">
        <v>26</v>
      </c>
      <c r="E807" s="20">
        <v>2</v>
      </c>
    </row>
    <row r="808" spans="1:14">
      <c r="A808" s="7">
        <v>17</v>
      </c>
      <c r="B808" s="87">
        <v>44593</v>
      </c>
      <c r="C808">
        <v>2022</v>
      </c>
      <c r="D808" s="10" t="s">
        <v>26</v>
      </c>
      <c r="E808" s="20">
        <v>2</v>
      </c>
    </row>
    <row r="809" spans="1:14">
      <c r="A809" s="7">
        <v>18</v>
      </c>
      <c r="B809" s="87">
        <v>44593</v>
      </c>
      <c r="C809">
        <v>2022</v>
      </c>
      <c r="D809" s="10" t="s">
        <v>26</v>
      </c>
      <c r="E809" s="20">
        <v>2</v>
      </c>
    </row>
    <row r="810" spans="1:14">
      <c r="A810" s="7">
        <v>1</v>
      </c>
      <c r="B810" s="87">
        <v>44621</v>
      </c>
      <c r="C810">
        <v>2022</v>
      </c>
      <c r="D810" s="10" t="s">
        <v>27</v>
      </c>
      <c r="E810" s="20">
        <v>3</v>
      </c>
    </row>
    <row r="811" spans="1:14">
      <c r="A811" s="7">
        <v>17</v>
      </c>
      <c r="B811" s="87">
        <v>44621</v>
      </c>
      <c r="C811">
        <v>2022</v>
      </c>
      <c r="D811" s="10" t="s">
        <v>27</v>
      </c>
      <c r="E811" s="20">
        <v>3</v>
      </c>
    </row>
    <row r="812" spans="1:14">
      <c r="A812" s="7">
        <v>18</v>
      </c>
      <c r="B812" s="87">
        <v>44621</v>
      </c>
      <c r="C812">
        <v>2022</v>
      </c>
      <c r="D812" s="10" t="s">
        <v>27</v>
      </c>
      <c r="E812" s="20">
        <v>3</v>
      </c>
    </row>
    <row r="813" spans="1:14">
      <c r="A813" s="7">
        <v>1</v>
      </c>
      <c r="B813" s="87">
        <v>44652</v>
      </c>
      <c r="C813">
        <v>2022</v>
      </c>
      <c r="D813" s="10" t="s">
        <v>28</v>
      </c>
      <c r="E813" s="20">
        <v>4</v>
      </c>
    </row>
    <row r="814" spans="1:14">
      <c r="A814" s="7">
        <v>17</v>
      </c>
      <c r="B814" s="87">
        <v>44652</v>
      </c>
      <c r="C814">
        <v>2022</v>
      </c>
      <c r="D814" s="10" t="s">
        <v>28</v>
      </c>
      <c r="E814" s="20">
        <v>4</v>
      </c>
    </row>
    <row r="815" spans="1:14">
      <c r="A815" s="7">
        <v>18</v>
      </c>
      <c r="B815" s="87">
        <v>44652</v>
      </c>
      <c r="C815">
        <v>2022</v>
      </c>
      <c r="D815" s="10" t="s">
        <v>28</v>
      </c>
      <c r="E815" s="20">
        <v>4</v>
      </c>
    </row>
    <row r="816" spans="1:14">
      <c r="A816" s="7">
        <v>1</v>
      </c>
      <c r="B816" s="87">
        <v>44682</v>
      </c>
      <c r="C816">
        <v>2022</v>
      </c>
      <c r="D816" s="10" t="s">
        <v>29</v>
      </c>
      <c r="E816" s="20">
        <v>5</v>
      </c>
    </row>
    <row r="817" spans="1:5">
      <c r="A817" s="7">
        <v>17</v>
      </c>
      <c r="B817" s="87">
        <v>44682</v>
      </c>
      <c r="C817">
        <v>2022</v>
      </c>
      <c r="D817" s="10" t="s">
        <v>29</v>
      </c>
      <c r="E817" s="20">
        <v>5</v>
      </c>
    </row>
    <row r="818" spans="1:5">
      <c r="A818" s="7">
        <v>18</v>
      </c>
      <c r="B818" s="87">
        <v>44682</v>
      </c>
      <c r="C818">
        <v>2022</v>
      </c>
      <c r="D818" s="10" t="s">
        <v>29</v>
      </c>
      <c r="E818" s="20">
        <v>5</v>
      </c>
    </row>
    <row r="819" spans="1:5">
      <c r="A819" s="7">
        <v>1</v>
      </c>
      <c r="B819" s="87">
        <v>44713</v>
      </c>
      <c r="C819">
        <v>2022</v>
      </c>
      <c r="D819" s="10" t="s">
        <v>30</v>
      </c>
      <c r="E819" s="20">
        <v>6</v>
      </c>
    </row>
    <row r="820" spans="1:5">
      <c r="A820" s="7">
        <v>17</v>
      </c>
      <c r="B820" s="87">
        <v>44713</v>
      </c>
      <c r="C820">
        <v>2022</v>
      </c>
      <c r="D820" s="10" t="s">
        <v>30</v>
      </c>
      <c r="E820" s="20">
        <v>6</v>
      </c>
    </row>
    <row r="821" spans="1:5">
      <c r="A821" s="7">
        <v>18</v>
      </c>
      <c r="B821" s="87">
        <v>44713</v>
      </c>
      <c r="C821">
        <v>2022</v>
      </c>
      <c r="D821" s="10" t="s">
        <v>30</v>
      </c>
      <c r="E821" s="20">
        <v>6</v>
      </c>
    </row>
    <row r="822" spans="1:5">
      <c r="A822" s="7">
        <v>1</v>
      </c>
      <c r="B822" s="87">
        <v>44743</v>
      </c>
      <c r="C822">
        <v>2022</v>
      </c>
      <c r="D822" s="10" t="s">
        <v>31</v>
      </c>
      <c r="E822" s="20">
        <v>7</v>
      </c>
    </row>
    <row r="823" spans="1:5">
      <c r="A823" s="7">
        <v>17</v>
      </c>
      <c r="B823" s="87">
        <v>44743</v>
      </c>
      <c r="C823">
        <v>2022</v>
      </c>
      <c r="D823" s="10" t="s">
        <v>31</v>
      </c>
      <c r="E823" s="20">
        <v>7</v>
      </c>
    </row>
    <row r="824" spans="1:5">
      <c r="A824" s="7">
        <v>18</v>
      </c>
      <c r="B824" s="87">
        <v>44743</v>
      </c>
      <c r="C824">
        <v>2022</v>
      </c>
      <c r="D824" s="10" t="s">
        <v>31</v>
      </c>
      <c r="E824" s="20">
        <v>7</v>
      </c>
    </row>
    <row r="825" spans="1:5">
      <c r="A825" s="7">
        <v>1</v>
      </c>
      <c r="B825" s="87">
        <v>44774</v>
      </c>
      <c r="C825">
        <v>2022</v>
      </c>
      <c r="D825" s="10" t="s">
        <v>32</v>
      </c>
      <c r="E825" s="20">
        <v>8</v>
      </c>
    </row>
    <row r="826" spans="1:5">
      <c r="A826" s="7">
        <v>17</v>
      </c>
      <c r="B826" s="87">
        <v>44774</v>
      </c>
      <c r="C826">
        <v>2022</v>
      </c>
      <c r="D826" s="10" t="s">
        <v>32</v>
      </c>
      <c r="E826" s="20">
        <v>8</v>
      </c>
    </row>
    <row r="827" spans="1:5">
      <c r="A827" s="7">
        <v>18</v>
      </c>
      <c r="B827" s="87">
        <v>44774</v>
      </c>
      <c r="C827">
        <v>2022</v>
      </c>
      <c r="D827" s="10" t="s">
        <v>32</v>
      </c>
      <c r="E827" s="20">
        <v>8</v>
      </c>
    </row>
    <row r="828" spans="1:5">
      <c r="A828" s="7">
        <v>1</v>
      </c>
      <c r="B828" s="87">
        <v>44805</v>
      </c>
      <c r="C828">
        <v>2022</v>
      </c>
      <c r="D828" s="10" t="s">
        <v>38</v>
      </c>
      <c r="E828" s="20">
        <v>9</v>
      </c>
    </row>
    <row r="829" spans="1:5">
      <c r="A829" s="7">
        <v>17</v>
      </c>
      <c r="B829" s="87">
        <v>44805</v>
      </c>
      <c r="C829">
        <v>2022</v>
      </c>
      <c r="D829" s="10" t="s">
        <v>38</v>
      </c>
      <c r="E829" s="20">
        <v>9</v>
      </c>
    </row>
    <row r="830" spans="1:5">
      <c r="A830" s="7">
        <v>18</v>
      </c>
      <c r="B830" s="87">
        <v>44805</v>
      </c>
      <c r="C830">
        <v>2022</v>
      </c>
      <c r="D830" s="10" t="s">
        <v>38</v>
      </c>
      <c r="E830" s="20">
        <v>9</v>
      </c>
    </row>
    <row r="831" spans="1:5">
      <c r="A831" s="7">
        <v>1</v>
      </c>
      <c r="B831" s="87">
        <v>44835</v>
      </c>
      <c r="C831">
        <v>2022</v>
      </c>
      <c r="D831" s="10" t="s">
        <v>34</v>
      </c>
      <c r="E831" s="20">
        <v>10</v>
      </c>
    </row>
    <row r="832" spans="1:5">
      <c r="A832" s="7">
        <v>17</v>
      </c>
      <c r="B832" s="87">
        <v>44835</v>
      </c>
      <c r="C832">
        <v>2022</v>
      </c>
      <c r="D832" s="10" t="s">
        <v>34</v>
      </c>
      <c r="E832" s="20">
        <v>10</v>
      </c>
    </row>
    <row r="833" spans="1:14">
      <c r="A833" s="7">
        <v>18</v>
      </c>
      <c r="B833" s="87">
        <v>44835</v>
      </c>
      <c r="C833">
        <v>2022</v>
      </c>
      <c r="D833" s="10" t="s">
        <v>34</v>
      </c>
      <c r="E833" s="20">
        <v>10</v>
      </c>
    </row>
    <row r="834" spans="1:14">
      <c r="A834" s="7">
        <v>1</v>
      </c>
      <c r="B834" s="87">
        <v>44866</v>
      </c>
      <c r="C834">
        <v>2022</v>
      </c>
      <c r="D834" s="10" t="s">
        <v>35</v>
      </c>
      <c r="E834" s="20">
        <v>11</v>
      </c>
    </row>
    <row r="835" spans="1:14">
      <c r="A835" s="7">
        <v>17</v>
      </c>
      <c r="B835" s="87">
        <v>44866</v>
      </c>
      <c r="C835">
        <v>2022</v>
      </c>
      <c r="D835" s="10" t="s">
        <v>35</v>
      </c>
      <c r="E835" s="20">
        <v>11</v>
      </c>
    </row>
    <row r="836" spans="1:14">
      <c r="A836" s="7">
        <v>18</v>
      </c>
      <c r="B836" s="87">
        <v>44866</v>
      </c>
      <c r="C836">
        <v>2022</v>
      </c>
      <c r="D836" s="10" t="s">
        <v>35</v>
      </c>
      <c r="E836" s="20">
        <v>11</v>
      </c>
    </row>
    <row r="837" spans="1:14">
      <c r="A837" s="7">
        <v>1</v>
      </c>
      <c r="B837" s="88">
        <v>44896</v>
      </c>
      <c r="C837">
        <v>2022</v>
      </c>
      <c r="D837" s="10" t="s">
        <v>36</v>
      </c>
      <c r="E837" s="20">
        <v>12</v>
      </c>
    </row>
    <row r="838" spans="1:14">
      <c r="A838" s="7">
        <v>17</v>
      </c>
      <c r="B838" s="87">
        <v>44896</v>
      </c>
      <c r="C838">
        <v>2022</v>
      </c>
      <c r="D838" s="10" t="s">
        <v>36</v>
      </c>
      <c r="E838" s="20">
        <v>12</v>
      </c>
    </row>
    <row r="839" spans="1:14">
      <c r="A839" s="7">
        <v>18</v>
      </c>
      <c r="B839" s="87">
        <v>44896</v>
      </c>
      <c r="C839">
        <v>2022</v>
      </c>
      <c r="D839" s="10" t="s">
        <v>36</v>
      </c>
      <c r="E839" s="20">
        <v>12</v>
      </c>
    </row>
    <row r="840" spans="1:14">
      <c r="A840" s="120">
        <v>1</v>
      </c>
      <c r="B840" s="126">
        <v>44936</v>
      </c>
      <c r="C840" s="48">
        <v>2023</v>
      </c>
      <c r="D840" s="45" t="s">
        <v>37</v>
      </c>
      <c r="E840" s="43">
        <v>1</v>
      </c>
      <c r="F840" s="128">
        <v>3.77</v>
      </c>
      <c r="G840" s="127">
        <v>2.3E-2</v>
      </c>
    </row>
    <row r="841" spans="1:14">
      <c r="A841" s="7">
        <v>17</v>
      </c>
      <c r="B841" s="89">
        <v>44931</v>
      </c>
      <c r="C841">
        <v>2023</v>
      </c>
      <c r="D841" s="10" t="s">
        <v>37</v>
      </c>
      <c r="E841" s="20">
        <v>1</v>
      </c>
      <c r="F841" s="128">
        <v>3.8769999999999998</v>
      </c>
      <c r="G841" s="127">
        <v>1.6E-2</v>
      </c>
    </row>
    <row r="842" spans="1:14">
      <c r="A842" s="7">
        <v>18</v>
      </c>
      <c r="B842" s="89">
        <v>44931</v>
      </c>
      <c r="C842">
        <v>2023</v>
      </c>
      <c r="D842" s="10" t="s">
        <v>37</v>
      </c>
      <c r="E842" s="20">
        <v>1</v>
      </c>
      <c r="F842" s="128">
        <v>3.2709999999999999</v>
      </c>
      <c r="G842" s="127">
        <v>0.01</v>
      </c>
      <c r="I842" s="50">
        <f>AVERAGE(F840:F842)</f>
        <v>3.6393333333333331</v>
      </c>
      <c r="J842" s="50">
        <f>AVERAGE(G840:G842)</f>
        <v>1.6333333333333335E-2</v>
      </c>
      <c r="L842">
        <f>+J842/I842</f>
        <v>4.4880014654698668E-3</v>
      </c>
      <c r="M842">
        <f>+(L842-$L$913)/$L$914</f>
        <v>-0.58585531195501916</v>
      </c>
      <c r="N842">
        <f>+N803+M842</f>
        <v>1.7922524992563234</v>
      </c>
    </row>
    <row r="843" spans="1:14">
      <c r="A843" s="7">
        <v>1</v>
      </c>
      <c r="B843" s="87">
        <v>44958</v>
      </c>
      <c r="C843">
        <v>2023</v>
      </c>
      <c r="D843" s="10" t="s">
        <v>26</v>
      </c>
      <c r="E843" s="20">
        <v>2</v>
      </c>
      <c r="F843" s="129">
        <v>2.9430000000000001</v>
      </c>
      <c r="G843" s="129">
        <v>2.5000000000000001E-2</v>
      </c>
    </row>
    <row r="844" spans="1:14">
      <c r="A844" s="7">
        <v>17</v>
      </c>
      <c r="B844" s="87">
        <v>44958</v>
      </c>
      <c r="C844">
        <v>2023</v>
      </c>
      <c r="D844" s="10" t="s">
        <v>26</v>
      </c>
      <c r="E844" s="20">
        <v>2</v>
      </c>
      <c r="F844" s="129">
        <v>2.625</v>
      </c>
      <c r="G844" s="129">
        <v>2.1999999999999999E-2</v>
      </c>
    </row>
    <row r="845" spans="1:14">
      <c r="A845" s="7">
        <v>18</v>
      </c>
      <c r="B845" s="87">
        <v>44958</v>
      </c>
      <c r="C845">
        <v>2023</v>
      </c>
      <c r="D845" s="10" t="s">
        <v>26</v>
      </c>
      <c r="E845" s="20">
        <v>2</v>
      </c>
      <c r="F845" s="129">
        <v>2.3980000000000001</v>
      </c>
      <c r="G845" s="129">
        <v>3.5000000000000003E-2</v>
      </c>
      <c r="I845" s="50">
        <f t="shared" ref="I845:J845" si="37">AVERAGE(F843:F845)</f>
        <v>2.6553333333333331</v>
      </c>
      <c r="J845" s="50">
        <f t="shared" si="37"/>
        <v>2.7333333333333334E-2</v>
      </c>
      <c r="L845">
        <f>+J845/I845</f>
        <v>1.0293748430831032E-2</v>
      </c>
      <c r="M845">
        <f>+(L845-$L$913)/$L$914</f>
        <v>-0.34014028377544231</v>
      </c>
      <c r="N845">
        <f>+N842+M845</f>
        <v>1.452112215480881</v>
      </c>
    </row>
    <row r="846" spans="1:14">
      <c r="A846" s="7">
        <v>1</v>
      </c>
      <c r="B846" s="87">
        <v>44986</v>
      </c>
      <c r="C846">
        <v>2023</v>
      </c>
      <c r="D846" s="10" t="s">
        <v>27</v>
      </c>
      <c r="E846" s="20">
        <v>3</v>
      </c>
      <c r="F846" s="129">
        <v>1.3979999999999999</v>
      </c>
      <c r="G846" s="129">
        <v>1.7000000000000001E-2</v>
      </c>
    </row>
    <row r="847" spans="1:14">
      <c r="A847" s="7">
        <v>17</v>
      </c>
      <c r="B847" s="87">
        <v>44986</v>
      </c>
      <c r="C847">
        <v>2023</v>
      </c>
      <c r="D847" s="10" t="s">
        <v>27</v>
      </c>
      <c r="E847" s="20">
        <v>3</v>
      </c>
      <c r="F847" s="129">
        <v>1.9</v>
      </c>
      <c r="G847" s="129">
        <v>8.0000000000000002E-3</v>
      </c>
    </row>
    <row r="848" spans="1:14">
      <c r="A848" s="7">
        <v>18</v>
      </c>
      <c r="B848" s="87">
        <v>44986</v>
      </c>
      <c r="C848">
        <v>2023</v>
      </c>
      <c r="D848" s="10" t="s">
        <v>27</v>
      </c>
      <c r="E848" s="20">
        <v>3</v>
      </c>
      <c r="F848" s="129">
        <v>2.2679999999999998</v>
      </c>
      <c r="G848" s="129">
        <v>1.2E-2</v>
      </c>
      <c r="I848" s="50">
        <f t="shared" ref="I848:J848" si="38">AVERAGE(F846:F848)</f>
        <v>1.8553333333333333</v>
      </c>
      <c r="J848" s="50">
        <f t="shared" si="38"/>
        <v>1.2333333333333335E-2</v>
      </c>
      <c r="L848">
        <f t="shared" ref="L848" si="39">+J848/I848</f>
        <v>6.6475026949335261E-3</v>
      </c>
      <c r="M848">
        <f t="shared" ref="M848" si="40">+(L848-$L$913)/$L$914</f>
        <v>-0.49445933679155712</v>
      </c>
      <c r="N848">
        <f t="shared" ref="N848" si="41">+N845+M848</f>
        <v>0.95765287868932392</v>
      </c>
    </row>
    <row r="849" spans="1:14">
      <c r="A849" s="7">
        <v>1</v>
      </c>
      <c r="B849" s="87">
        <v>45017</v>
      </c>
      <c r="C849">
        <v>2023</v>
      </c>
      <c r="D849" s="10" t="s">
        <v>28</v>
      </c>
      <c r="E849" s="20">
        <v>4</v>
      </c>
      <c r="F849" s="129">
        <v>1.302</v>
      </c>
      <c r="G849" s="129">
        <v>1.4999999999999999E-2</v>
      </c>
    </row>
    <row r="850" spans="1:14">
      <c r="A850" s="7">
        <v>17</v>
      </c>
      <c r="B850" s="87">
        <v>45017</v>
      </c>
      <c r="C850">
        <v>2023</v>
      </c>
      <c r="D850" s="10" t="s">
        <v>28</v>
      </c>
      <c r="E850" s="20">
        <v>4</v>
      </c>
      <c r="F850" s="129">
        <v>3.2050000000000001</v>
      </c>
      <c r="G850" s="130">
        <v>0.01</v>
      </c>
    </row>
    <row r="851" spans="1:14">
      <c r="A851" s="7">
        <v>18</v>
      </c>
      <c r="B851" s="87">
        <v>45017</v>
      </c>
      <c r="C851">
        <v>2023</v>
      </c>
      <c r="D851" s="10" t="s">
        <v>28</v>
      </c>
      <c r="E851" s="20">
        <v>4</v>
      </c>
      <c r="F851" s="129">
        <v>2.0609999999999999</v>
      </c>
      <c r="G851" s="130">
        <v>0.1</v>
      </c>
      <c r="I851" s="50">
        <f t="shared" ref="I851:J851" si="42">AVERAGE(F849:F851)</f>
        <v>2.1893333333333334</v>
      </c>
      <c r="J851" s="50">
        <f t="shared" si="42"/>
        <v>4.1666666666666664E-2</v>
      </c>
      <c r="L851">
        <f t="shared" ref="L851" si="43">+J851/I851</f>
        <v>1.9031668696711326E-2</v>
      </c>
      <c r="M851">
        <f t="shared" ref="M851" si="44">+(L851-$L$913)/$L$914</f>
        <v>2.9672306606389545E-2</v>
      </c>
      <c r="N851">
        <f t="shared" ref="N851" si="45">+N848+M851</f>
        <v>0.98732518529571345</v>
      </c>
    </row>
    <row r="852" spans="1:14">
      <c r="A852" s="7">
        <v>1</v>
      </c>
      <c r="B852" s="87">
        <v>45047</v>
      </c>
      <c r="C852">
        <v>2023</v>
      </c>
      <c r="D852" s="10" t="s">
        <v>29</v>
      </c>
      <c r="E852" s="20">
        <v>5</v>
      </c>
      <c r="F852" s="129">
        <v>1.4450000000000001</v>
      </c>
      <c r="G852" s="130">
        <v>1.6E-2</v>
      </c>
    </row>
    <row r="853" spans="1:14">
      <c r="A853" s="7">
        <v>17</v>
      </c>
      <c r="B853" s="87">
        <v>45047</v>
      </c>
      <c r="C853">
        <v>2023</v>
      </c>
      <c r="D853" s="10" t="s">
        <v>29</v>
      </c>
      <c r="E853" s="20">
        <v>5</v>
      </c>
      <c r="F853" s="129">
        <v>3.4039999999999999</v>
      </c>
      <c r="G853" s="130">
        <v>0.187</v>
      </c>
    </row>
    <row r="854" spans="1:14">
      <c r="A854" s="7">
        <v>18</v>
      </c>
      <c r="B854" s="87">
        <v>45047</v>
      </c>
      <c r="C854">
        <v>2023</v>
      </c>
      <c r="D854" s="10" t="s">
        <v>29</v>
      </c>
      <c r="E854" s="20">
        <v>5</v>
      </c>
      <c r="F854" s="129">
        <v>3.3319999999999999</v>
      </c>
      <c r="G854" s="130">
        <v>0.04</v>
      </c>
      <c r="I854" s="50">
        <f t="shared" ref="I854:J854" si="46">AVERAGE(F852:F854)</f>
        <v>2.7270000000000003</v>
      </c>
      <c r="J854" s="50">
        <f t="shared" si="46"/>
        <v>8.1000000000000003E-2</v>
      </c>
      <c r="L854">
        <f t="shared" ref="L854" si="47">+J854/I854</f>
        <v>2.9702970297029702E-2</v>
      </c>
      <c r="M854">
        <f t="shared" ref="M854" si="48">+(L854-$L$913)/$L$914</f>
        <v>0.48131086217541907</v>
      </c>
      <c r="N854">
        <f t="shared" ref="N854" si="49">+N851+M854</f>
        <v>1.4686360474711324</v>
      </c>
    </row>
    <row r="855" spans="1:14">
      <c r="A855" s="7">
        <v>1</v>
      </c>
      <c r="B855" s="87">
        <v>45078</v>
      </c>
      <c r="C855">
        <v>2023</v>
      </c>
      <c r="D855" s="10" t="s">
        <v>30</v>
      </c>
      <c r="E855" s="20">
        <v>6</v>
      </c>
      <c r="F855" s="129">
        <v>3.5129999999999999</v>
      </c>
      <c r="G855" s="130">
        <v>6.7000000000000004E-2</v>
      </c>
    </row>
    <row r="856" spans="1:14">
      <c r="A856" s="7">
        <v>17</v>
      </c>
      <c r="B856" s="87">
        <v>45078</v>
      </c>
      <c r="C856">
        <v>2023</v>
      </c>
      <c r="D856" s="10" t="s">
        <v>30</v>
      </c>
      <c r="E856" s="20">
        <v>6</v>
      </c>
      <c r="F856" s="129">
        <v>2.95</v>
      </c>
      <c r="G856" s="130">
        <v>0.14399999999999999</v>
      </c>
    </row>
    <row r="857" spans="1:14">
      <c r="A857" s="7">
        <v>18</v>
      </c>
      <c r="B857" s="87">
        <v>45078</v>
      </c>
      <c r="C857">
        <v>2023</v>
      </c>
      <c r="D857" s="10" t="s">
        <v>30</v>
      </c>
      <c r="E857" s="20">
        <v>6</v>
      </c>
      <c r="F857" s="129">
        <v>5.883</v>
      </c>
      <c r="G857" s="130">
        <v>0.19700000000000001</v>
      </c>
      <c r="I857" s="50">
        <f t="shared" ref="I857:J857" si="50">AVERAGE(F855:F857)</f>
        <v>4.1153333333333331</v>
      </c>
      <c r="J857" s="50">
        <f t="shared" si="50"/>
        <v>0.13600000000000001</v>
      </c>
      <c r="L857">
        <f t="shared" ref="L857" si="51">+J857/I857</f>
        <v>3.3047140774339873E-2</v>
      </c>
      <c r="M857">
        <f t="shared" ref="M857" si="52">+(L857-$L$913)/$L$914</f>
        <v>0.6228452673040209</v>
      </c>
      <c r="N857">
        <f t="shared" ref="N857" si="53">+N854+M857</f>
        <v>2.0914813147751534</v>
      </c>
    </row>
    <row r="858" spans="1:14">
      <c r="A858" s="7">
        <v>1</v>
      </c>
      <c r="B858" s="87">
        <v>45108</v>
      </c>
      <c r="C858">
        <v>2023</v>
      </c>
      <c r="D858" s="10" t="s">
        <v>31</v>
      </c>
      <c r="E858" s="20">
        <v>7</v>
      </c>
      <c r="F858" s="129">
        <v>7.6829999999999998</v>
      </c>
      <c r="G858" s="130">
        <v>0.28499999999999998</v>
      </c>
    </row>
    <row r="859" spans="1:14">
      <c r="A859" s="7">
        <v>17</v>
      </c>
      <c r="B859" s="87">
        <v>45108</v>
      </c>
      <c r="C859">
        <v>2023</v>
      </c>
      <c r="D859" s="10" t="s">
        <v>31</v>
      </c>
      <c r="E859" s="20">
        <v>7</v>
      </c>
      <c r="F859" s="129">
        <v>3.7709999999999999</v>
      </c>
      <c r="G859" s="130">
        <v>0.22500000000000001</v>
      </c>
    </row>
    <row r="860" spans="1:14">
      <c r="A860" s="7">
        <v>18</v>
      </c>
      <c r="B860" s="87">
        <v>45108</v>
      </c>
      <c r="C860">
        <v>2023</v>
      </c>
      <c r="D860" s="10" t="s">
        <v>31</v>
      </c>
      <c r="E860" s="20">
        <v>7</v>
      </c>
      <c r="F860" s="129">
        <v>6.3120000000000003</v>
      </c>
      <c r="G860" s="130">
        <v>0.22900000000000001</v>
      </c>
      <c r="I860" s="50">
        <f t="shared" ref="I860:J860" si="54">AVERAGE(F858:F860)</f>
        <v>5.9220000000000006</v>
      </c>
      <c r="J860" s="50">
        <f t="shared" si="54"/>
        <v>0.24633333333333332</v>
      </c>
      <c r="L860">
        <f t="shared" ref="L860" si="55">+J860/I860</f>
        <v>4.1596307553754354E-2</v>
      </c>
      <c r="M860">
        <f t="shared" ref="M860" si="56">+(L860-$L$913)/$L$914</f>
        <v>0.98466929591720265</v>
      </c>
      <c r="N860">
        <f t="shared" ref="N860" si="57">+N857+M860</f>
        <v>3.076150610692356</v>
      </c>
    </row>
    <row r="861" spans="1:14">
      <c r="A861" s="7">
        <v>1</v>
      </c>
      <c r="B861" s="87">
        <v>45139</v>
      </c>
      <c r="C861">
        <v>2023</v>
      </c>
      <c r="D861" s="10" t="s">
        <v>32</v>
      </c>
      <c r="E861" s="20">
        <v>8</v>
      </c>
      <c r="F861" s="129">
        <v>5.4450000000000003</v>
      </c>
      <c r="G861" s="130">
        <v>0.09</v>
      </c>
    </row>
    <row r="862" spans="1:14">
      <c r="A862" s="7">
        <v>17</v>
      </c>
      <c r="B862" s="87">
        <v>45139</v>
      </c>
      <c r="C862">
        <v>2023</v>
      </c>
      <c r="D862" s="10" t="s">
        <v>32</v>
      </c>
      <c r="E862" s="20">
        <v>8</v>
      </c>
      <c r="F862" s="129">
        <v>2.98</v>
      </c>
      <c r="G862" s="130">
        <v>9.4E-2</v>
      </c>
    </row>
    <row r="863" spans="1:14">
      <c r="A863" s="7">
        <v>18</v>
      </c>
      <c r="B863" s="87">
        <v>45139</v>
      </c>
      <c r="C863">
        <v>2023</v>
      </c>
      <c r="D863" s="10" t="s">
        <v>32</v>
      </c>
      <c r="E863" s="20">
        <v>8</v>
      </c>
      <c r="F863" s="129">
        <v>2.6909999999999998</v>
      </c>
      <c r="G863" s="130">
        <v>6.6000000000000003E-2</v>
      </c>
      <c r="I863" s="50">
        <f t="shared" ref="I863:J863" si="58">AVERAGE(F861:F863)</f>
        <v>3.7053333333333334</v>
      </c>
      <c r="J863" s="50">
        <f t="shared" si="58"/>
        <v>8.3333333333333329E-2</v>
      </c>
      <c r="L863">
        <f t="shared" ref="L863" si="59">+J863/I863</f>
        <v>2.24901043540842E-2</v>
      </c>
      <c r="M863">
        <f t="shared" ref="M863" si="60">+(L863-$L$913)/$L$914</f>
        <v>0.1760427254480528</v>
      </c>
      <c r="N863">
        <f t="shared" ref="N863" si="61">+N860+M863</f>
        <v>3.252193336140409</v>
      </c>
    </row>
    <row r="864" spans="1:14">
      <c r="A864" s="7">
        <v>1</v>
      </c>
      <c r="B864" s="87">
        <v>45170</v>
      </c>
      <c r="C864">
        <v>2023</v>
      </c>
      <c r="D864" s="10" t="s">
        <v>38</v>
      </c>
      <c r="E864" s="20">
        <v>9</v>
      </c>
      <c r="F864" s="129">
        <v>1.9710000000000001</v>
      </c>
      <c r="G864" s="130">
        <v>2.8000000000000001E-2</v>
      </c>
    </row>
    <row r="865" spans="1:14">
      <c r="A865" s="7">
        <v>17</v>
      </c>
      <c r="B865" s="87">
        <v>45170</v>
      </c>
      <c r="C865">
        <v>2023</v>
      </c>
      <c r="D865" s="10" t="s">
        <v>38</v>
      </c>
      <c r="E865" s="20">
        <v>9</v>
      </c>
      <c r="F865" s="129">
        <v>2.63</v>
      </c>
      <c r="G865" s="130">
        <v>4.8000000000000001E-2</v>
      </c>
    </row>
    <row r="866" spans="1:14">
      <c r="A866" s="7">
        <v>18</v>
      </c>
      <c r="B866" s="87">
        <v>45170</v>
      </c>
      <c r="C866">
        <v>2023</v>
      </c>
      <c r="D866" s="10" t="s">
        <v>38</v>
      </c>
      <c r="E866" s="20">
        <v>9</v>
      </c>
      <c r="F866" s="129">
        <v>1.3939999999999999</v>
      </c>
      <c r="G866" s="130">
        <v>1.7999999999999999E-2</v>
      </c>
      <c r="I866" s="50">
        <f t="shared" ref="I866:J866" si="62">AVERAGE(F864:F866)</f>
        <v>1.9983333333333333</v>
      </c>
      <c r="J866" s="50">
        <f t="shared" si="62"/>
        <v>3.1333333333333331E-2</v>
      </c>
      <c r="L866">
        <f t="shared" ref="L866" si="63">+J866/I866</f>
        <v>1.567973311092577E-2</v>
      </c>
      <c r="M866">
        <f t="shared" ref="M866" si="64">+(L866-$L$913)/$L$914</f>
        <v>-0.11219073906738763</v>
      </c>
      <c r="N866">
        <f t="shared" ref="N866" si="65">+N863+M866</f>
        <v>3.1400025970730212</v>
      </c>
    </row>
    <row r="867" spans="1:14">
      <c r="A867" s="7">
        <v>1</v>
      </c>
      <c r="B867" s="87">
        <v>45200</v>
      </c>
      <c r="C867">
        <v>2023</v>
      </c>
      <c r="D867" s="10" t="s">
        <v>34</v>
      </c>
      <c r="E867" s="20">
        <v>10</v>
      </c>
      <c r="F867" s="130">
        <v>0.83199999999999996</v>
      </c>
      <c r="G867" s="129">
        <v>8.9999999999999993E-3</v>
      </c>
    </row>
    <row r="868" spans="1:14">
      <c r="A868" s="7">
        <v>17</v>
      </c>
      <c r="B868" s="87">
        <v>45200</v>
      </c>
      <c r="C868">
        <v>2023</v>
      </c>
      <c r="D868" s="10" t="s">
        <v>34</v>
      </c>
      <c r="E868" s="20">
        <v>10</v>
      </c>
      <c r="F868" s="129">
        <v>2.8140000000000001</v>
      </c>
      <c r="G868" s="130">
        <v>0.02</v>
      </c>
    </row>
    <row r="869" spans="1:14">
      <c r="A869" s="7">
        <v>18</v>
      </c>
      <c r="B869" s="87">
        <v>45200</v>
      </c>
      <c r="C869">
        <v>2023</v>
      </c>
      <c r="D869" s="10" t="s">
        <v>34</v>
      </c>
      <c r="E869" s="20">
        <v>10</v>
      </c>
      <c r="F869" s="129">
        <v>0.46300000000000002</v>
      </c>
      <c r="G869" s="130">
        <v>9.9989999999999996E-4</v>
      </c>
      <c r="I869" s="50">
        <f t="shared" ref="I869:J869" si="66">AVERAGE(F867:F869)</f>
        <v>1.3696666666666666</v>
      </c>
      <c r="J869" s="50">
        <f t="shared" si="66"/>
        <v>9.9999666666666671E-3</v>
      </c>
      <c r="L869">
        <f t="shared" ref="L869" si="67">+J869/I869</f>
        <v>7.301022146507667E-3</v>
      </c>
      <c r="M869">
        <f t="shared" ref="M869" si="68">+(L869-$L$913)/$L$914</f>
        <v>-0.4668006132168806</v>
      </c>
      <c r="N869">
        <f t="shared" ref="N869" si="69">+N866+M869</f>
        <v>2.6732019838561407</v>
      </c>
    </row>
    <row r="870" spans="1:14">
      <c r="A870" s="7">
        <v>1</v>
      </c>
      <c r="B870" s="87">
        <v>45231</v>
      </c>
      <c r="C870">
        <v>2023</v>
      </c>
      <c r="D870" s="10" t="s">
        <v>35</v>
      </c>
      <c r="E870" s="20">
        <v>11</v>
      </c>
      <c r="F870" s="129">
        <v>2.1419999999999999</v>
      </c>
      <c r="G870" s="130">
        <v>3.1E-2</v>
      </c>
    </row>
    <row r="871" spans="1:14">
      <c r="A871" s="7">
        <v>17</v>
      </c>
      <c r="B871" s="87">
        <v>45231</v>
      </c>
      <c r="C871">
        <v>2023</v>
      </c>
      <c r="D871" s="10" t="s">
        <v>35</v>
      </c>
      <c r="E871" s="20">
        <v>11</v>
      </c>
      <c r="F871" s="129">
        <v>5.0279999999999996</v>
      </c>
      <c r="G871" s="130">
        <v>2.5999999999999999E-2</v>
      </c>
    </row>
    <row r="872" spans="1:14">
      <c r="A872" s="7">
        <v>18</v>
      </c>
      <c r="B872" s="87">
        <v>45231</v>
      </c>
      <c r="C872">
        <v>2023</v>
      </c>
      <c r="D872" s="10" t="s">
        <v>35</v>
      </c>
      <c r="E872" s="20">
        <v>11</v>
      </c>
      <c r="F872" s="129">
        <v>0.878</v>
      </c>
      <c r="G872" s="130">
        <v>9.9989999999999996E-4</v>
      </c>
      <c r="I872" s="50">
        <f t="shared" ref="I872:J872" si="70">AVERAGE(F870:F872)</f>
        <v>2.6826666666666665</v>
      </c>
      <c r="J872" s="50">
        <f t="shared" si="70"/>
        <v>1.9333299999999998E-2</v>
      </c>
      <c r="L872">
        <f t="shared" ref="L872" si="71">+J872/I872</f>
        <v>7.2067470178926434E-3</v>
      </c>
      <c r="M872">
        <f t="shared" ref="M872" si="72">+(L872-$L$913)/$L$914</f>
        <v>-0.47079059349374802</v>
      </c>
      <c r="N872">
        <f t="shared" ref="N872" si="73">+N869+M872</f>
        <v>2.2024113903623928</v>
      </c>
    </row>
    <row r="873" spans="1:14">
      <c r="A873" s="7">
        <v>1</v>
      </c>
      <c r="B873" s="88">
        <v>45261</v>
      </c>
      <c r="C873">
        <v>2023</v>
      </c>
      <c r="D873" s="10" t="s">
        <v>36</v>
      </c>
      <c r="E873" s="20">
        <v>12</v>
      </c>
      <c r="F873" s="129">
        <v>0.93799999999999994</v>
      </c>
      <c r="G873" s="130">
        <v>1.4999999999999999E-2</v>
      </c>
    </row>
    <row r="874" spans="1:14">
      <c r="A874" s="7">
        <v>17</v>
      </c>
      <c r="B874" s="87">
        <v>45261</v>
      </c>
      <c r="C874">
        <v>2023</v>
      </c>
      <c r="D874" s="10" t="s">
        <v>36</v>
      </c>
      <c r="E874" s="20">
        <v>12</v>
      </c>
      <c r="F874" s="129">
        <v>6.0389999999999997</v>
      </c>
      <c r="G874" s="130">
        <v>4.2999999999999997E-2</v>
      </c>
    </row>
    <row r="875" spans="1:14">
      <c r="A875" s="7">
        <v>18</v>
      </c>
      <c r="B875" s="87">
        <v>45261</v>
      </c>
      <c r="C875">
        <v>2023</v>
      </c>
      <c r="D875" s="10" t="s">
        <v>36</v>
      </c>
      <c r="E875" s="20">
        <v>12</v>
      </c>
      <c r="F875" s="129">
        <v>5.2060000000000004</v>
      </c>
      <c r="G875" s="129">
        <v>4.1000000000000002E-2</v>
      </c>
      <c r="I875" s="50">
        <f t="shared" ref="I875:J875" si="74">AVERAGE(F873:F875)</f>
        <v>4.0609999999999999</v>
      </c>
      <c r="J875" s="50">
        <f t="shared" si="74"/>
        <v>3.3000000000000002E-2</v>
      </c>
      <c r="L875">
        <f t="shared" ref="L875" si="75">+J875/I875</f>
        <v>8.1260773208569319E-3</v>
      </c>
      <c r="M875">
        <f t="shared" ref="M875" si="76">+(L875-$L$913)/$L$914</f>
        <v>-0.43188203053932434</v>
      </c>
      <c r="N875">
        <f t="shared" ref="N875" si="77">+N872+M875</f>
        <v>1.7705293598230685</v>
      </c>
    </row>
    <row r="876" spans="1:14">
      <c r="A876" s="120">
        <v>1</v>
      </c>
      <c r="B876" s="126">
        <v>45292</v>
      </c>
      <c r="C876" s="48">
        <v>2024</v>
      </c>
      <c r="D876" s="45" t="s">
        <v>37</v>
      </c>
      <c r="E876" s="43">
        <v>1</v>
      </c>
      <c r="F876" s="129">
        <v>4.8380000000000001</v>
      </c>
      <c r="G876" s="130">
        <v>7.0000000000000001E-3</v>
      </c>
    </row>
    <row r="877" spans="1:14">
      <c r="A877" s="7">
        <v>17</v>
      </c>
      <c r="B877" s="89">
        <v>45292</v>
      </c>
      <c r="C877">
        <v>2024</v>
      </c>
      <c r="D877" s="10" t="s">
        <v>37</v>
      </c>
      <c r="E877" s="20">
        <v>1</v>
      </c>
      <c r="F877" s="129">
        <v>8.4130000000000003</v>
      </c>
      <c r="G877" s="130">
        <v>0.01</v>
      </c>
    </row>
    <row r="878" spans="1:14">
      <c r="A878" s="7">
        <v>18</v>
      </c>
      <c r="B878" s="89">
        <v>45292</v>
      </c>
      <c r="C878">
        <v>2024</v>
      </c>
      <c r="D878" s="10" t="s">
        <v>37</v>
      </c>
      <c r="E878" s="20">
        <v>1</v>
      </c>
      <c r="F878" s="129">
        <v>3.944</v>
      </c>
      <c r="G878" s="130">
        <v>0.01</v>
      </c>
      <c r="I878" s="50">
        <f t="shared" ref="I878:J878" si="78">AVERAGE(F876:F878)</f>
        <v>5.7316666666666665</v>
      </c>
      <c r="J878" s="50">
        <f t="shared" si="78"/>
        <v>9.0000000000000011E-3</v>
      </c>
      <c r="L878">
        <f t="shared" ref="L878" si="79">+J878/I878</f>
        <v>1.5702239022971796E-3</v>
      </c>
      <c r="M878">
        <f t="shared" ref="M878" si="80">+(L878-$L$913)/$L$914</f>
        <v>-0.70934360733444313</v>
      </c>
      <c r="N878">
        <f t="shared" ref="N878" si="81">+N875+M878</f>
        <v>1.0611857524886252</v>
      </c>
    </row>
    <row r="879" spans="1:14">
      <c r="A879" s="7">
        <v>1</v>
      </c>
      <c r="B879" s="87">
        <v>45323</v>
      </c>
      <c r="C879">
        <v>2024</v>
      </c>
      <c r="D879" s="10" t="s">
        <v>26</v>
      </c>
      <c r="E879" s="20">
        <v>2</v>
      </c>
      <c r="F879" s="129">
        <v>2.024</v>
      </c>
      <c r="G879" s="130">
        <v>9.9989999999999996E-4</v>
      </c>
    </row>
    <row r="880" spans="1:14">
      <c r="A880" s="7">
        <v>17</v>
      </c>
      <c r="B880" s="87">
        <v>45323</v>
      </c>
      <c r="C880">
        <v>2024</v>
      </c>
      <c r="D880" s="10" t="s">
        <v>26</v>
      </c>
      <c r="E880" s="20">
        <v>2</v>
      </c>
      <c r="F880" s="129">
        <v>5.1210000000000004</v>
      </c>
      <c r="G880" s="130">
        <v>9.9989999999999996E-4</v>
      </c>
    </row>
    <row r="881" spans="1:14">
      <c r="A881" s="7">
        <v>18</v>
      </c>
      <c r="B881" s="87">
        <v>45323</v>
      </c>
      <c r="C881">
        <v>2024</v>
      </c>
      <c r="D881" s="10" t="s">
        <v>26</v>
      </c>
      <c r="E881" s="20">
        <v>2</v>
      </c>
      <c r="F881" s="129">
        <v>5.274</v>
      </c>
      <c r="G881" s="130">
        <v>9.9989999999999996E-4</v>
      </c>
      <c r="I881" s="50">
        <f t="shared" ref="I881:J881" si="82">AVERAGE(F879:F881)</f>
        <v>4.1396666666666668</v>
      </c>
      <c r="J881" s="50">
        <f t="shared" si="82"/>
        <v>9.9989999999999996E-4</v>
      </c>
      <c r="L881">
        <f t="shared" ref="L881" si="83">+J881/I881</f>
        <v>2.4154118689105402E-4</v>
      </c>
      <c r="M881">
        <f t="shared" ref="M881" si="84">+(L881-$L$913)/$L$914</f>
        <v>-0.76557707958281962</v>
      </c>
      <c r="N881">
        <f t="shared" ref="N881" si="85">+N878+M881</f>
        <v>0.29560867290580561</v>
      </c>
    </row>
    <row r="882" spans="1:14">
      <c r="A882" s="7">
        <v>1</v>
      </c>
      <c r="B882" s="87">
        <v>45352</v>
      </c>
      <c r="C882">
        <v>2024</v>
      </c>
      <c r="D882" s="10" t="s">
        <v>27</v>
      </c>
      <c r="E882" s="20">
        <v>3</v>
      </c>
      <c r="F882" s="129"/>
      <c r="G882" s="130"/>
    </row>
    <row r="883" spans="1:14">
      <c r="A883" s="7">
        <v>17</v>
      </c>
      <c r="B883" s="87">
        <v>45352</v>
      </c>
      <c r="C883">
        <v>2024</v>
      </c>
      <c r="D883" s="10" t="s">
        <v>27</v>
      </c>
      <c r="E883" s="20">
        <v>3</v>
      </c>
      <c r="F883" s="129"/>
      <c r="G883" s="130"/>
    </row>
    <row r="884" spans="1:14">
      <c r="A884" s="7">
        <v>18</v>
      </c>
      <c r="B884" s="87">
        <v>45352</v>
      </c>
      <c r="C884">
        <v>2024</v>
      </c>
      <c r="D884" s="10" t="s">
        <v>27</v>
      </c>
      <c r="E884" s="20">
        <v>3</v>
      </c>
      <c r="F884" s="129"/>
      <c r="G884" s="130"/>
      <c r="I884" s="50"/>
      <c r="J884" s="50"/>
    </row>
    <row r="885" spans="1:14">
      <c r="A885" s="7">
        <v>1</v>
      </c>
      <c r="B885" s="87">
        <v>45383</v>
      </c>
      <c r="C885">
        <v>2024</v>
      </c>
      <c r="D885" s="10" t="s">
        <v>28</v>
      </c>
      <c r="E885" s="20">
        <v>4</v>
      </c>
      <c r="F885" s="129">
        <v>1.026</v>
      </c>
      <c r="G885" s="130">
        <v>1.9E-2</v>
      </c>
    </row>
    <row r="886" spans="1:14">
      <c r="A886" s="7">
        <v>17</v>
      </c>
      <c r="B886" s="87">
        <v>45383</v>
      </c>
      <c r="C886">
        <v>2024</v>
      </c>
      <c r="D886" s="10" t="s">
        <v>28</v>
      </c>
      <c r="E886" s="20">
        <v>4</v>
      </c>
      <c r="F886" s="129">
        <v>1.849</v>
      </c>
      <c r="G886" s="130">
        <v>1.9E-2</v>
      </c>
    </row>
    <row r="887" spans="1:14">
      <c r="A887" s="7">
        <v>18</v>
      </c>
      <c r="B887" s="87">
        <v>45383</v>
      </c>
      <c r="C887">
        <v>2024</v>
      </c>
      <c r="D887" s="10" t="s">
        <v>28</v>
      </c>
      <c r="E887" s="20">
        <v>4</v>
      </c>
      <c r="F887" s="129">
        <v>1.62</v>
      </c>
      <c r="G887" s="130">
        <v>1.2999999999999999E-2</v>
      </c>
      <c r="I887" s="50">
        <f t="shared" ref="I887:J887" si="86">AVERAGE(F885:F887)</f>
        <v>1.4983333333333333</v>
      </c>
      <c r="J887" s="50">
        <f t="shared" si="86"/>
        <v>1.6999999999999998E-2</v>
      </c>
      <c r="L887">
        <f t="shared" ref="L887" si="87">+J887/I887</f>
        <v>1.1345939933259176E-2</v>
      </c>
      <c r="M887">
        <f t="shared" ref="M887" si="88">+(L887-$L$913)/$L$914</f>
        <v>-0.29560867290573584</v>
      </c>
      <c r="N887">
        <f>+N881+M887</f>
        <v>6.9777517097691089E-14</v>
      </c>
    </row>
    <row r="888" spans="1:14">
      <c r="A888" s="7">
        <v>1</v>
      </c>
      <c r="B888" s="87">
        <v>45413</v>
      </c>
      <c r="C888">
        <v>2024</v>
      </c>
      <c r="D888" s="10" t="s">
        <v>29</v>
      </c>
      <c r="E888" s="20">
        <v>5</v>
      </c>
    </row>
    <row r="889" spans="1:14">
      <c r="A889" s="7">
        <v>17</v>
      </c>
      <c r="B889" s="87">
        <v>45413</v>
      </c>
      <c r="C889">
        <v>2024</v>
      </c>
      <c r="D889" s="10" t="s">
        <v>29</v>
      </c>
      <c r="E889" s="20">
        <v>5</v>
      </c>
    </row>
    <row r="890" spans="1:14">
      <c r="A890" s="7">
        <v>18</v>
      </c>
      <c r="B890" s="87">
        <v>45413</v>
      </c>
      <c r="C890">
        <v>2024</v>
      </c>
      <c r="D890" s="10" t="s">
        <v>29</v>
      </c>
      <c r="E890" s="20">
        <v>5</v>
      </c>
    </row>
    <row r="891" spans="1:14">
      <c r="A891" s="7">
        <v>1</v>
      </c>
      <c r="B891" s="87">
        <v>45444</v>
      </c>
      <c r="C891">
        <v>2024</v>
      </c>
      <c r="D891" s="10" t="s">
        <v>30</v>
      </c>
      <c r="E891" s="20">
        <v>6</v>
      </c>
      <c r="H891" s="123" t="s">
        <v>97</v>
      </c>
    </row>
    <row r="892" spans="1:14">
      <c r="A892" s="7">
        <v>17</v>
      </c>
      <c r="B892" s="87">
        <v>45444</v>
      </c>
      <c r="C892">
        <v>2024</v>
      </c>
      <c r="D892" s="10" t="s">
        <v>30</v>
      </c>
      <c r="E892" s="20">
        <v>6</v>
      </c>
      <c r="H892" s="123" t="s">
        <v>98</v>
      </c>
    </row>
    <row r="893" spans="1:14">
      <c r="A893" s="7">
        <v>18</v>
      </c>
      <c r="B893" s="87">
        <v>45444</v>
      </c>
      <c r="C893">
        <v>2024</v>
      </c>
      <c r="D893" s="10" t="s">
        <v>30</v>
      </c>
      <c r="E893" s="20">
        <v>6</v>
      </c>
    </row>
    <row r="894" spans="1:14">
      <c r="A894" s="7">
        <v>1</v>
      </c>
      <c r="B894" s="87">
        <v>45474</v>
      </c>
      <c r="C894">
        <v>2024</v>
      </c>
      <c r="D894" s="10" t="s">
        <v>31</v>
      </c>
      <c r="E894" s="20">
        <v>7</v>
      </c>
    </row>
    <row r="895" spans="1:14">
      <c r="A895" s="7">
        <v>17</v>
      </c>
      <c r="B895" s="87">
        <v>45474</v>
      </c>
      <c r="C895">
        <v>2024</v>
      </c>
      <c r="D895" s="10" t="s">
        <v>31</v>
      </c>
      <c r="E895" s="20">
        <v>7</v>
      </c>
    </row>
    <row r="896" spans="1:14">
      <c r="A896" s="7">
        <v>18</v>
      </c>
      <c r="B896" s="87">
        <v>45474</v>
      </c>
      <c r="C896">
        <v>2024</v>
      </c>
      <c r="D896" s="10" t="s">
        <v>31</v>
      </c>
      <c r="E896" s="20">
        <v>7</v>
      </c>
    </row>
    <row r="897" spans="1:5">
      <c r="A897" s="7">
        <v>1</v>
      </c>
      <c r="B897" s="87">
        <v>45505</v>
      </c>
      <c r="C897">
        <v>2024</v>
      </c>
      <c r="D897" s="10" t="s">
        <v>32</v>
      </c>
      <c r="E897" s="20">
        <v>8</v>
      </c>
    </row>
    <row r="898" spans="1:5">
      <c r="A898" s="7">
        <v>17</v>
      </c>
      <c r="B898" s="87">
        <v>45505</v>
      </c>
      <c r="C898">
        <v>2024</v>
      </c>
      <c r="D898" s="10" t="s">
        <v>32</v>
      </c>
      <c r="E898" s="20">
        <v>8</v>
      </c>
    </row>
    <row r="899" spans="1:5">
      <c r="A899" s="7">
        <v>18</v>
      </c>
      <c r="B899" s="87">
        <v>45505</v>
      </c>
      <c r="C899">
        <v>2024</v>
      </c>
      <c r="D899" s="10" t="s">
        <v>32</v>
      </c>
      <c r="E899" s="20">
        <v>8</v>
      </c>
    </row>
    <row r="900" spans="1:5">
      <c r="A900" s="7">
        <v>1</v>
      </c>
      <c r="B900" s="87">
        <v>45536</v>
      </c>
      <c r="C900">
        <v>2024</v>
      </c>
      <c r="D900" s="10" t="s">
        <v>38</v>
      </c>
      <c r="E900" s="20">
        <v>9</v>
      </c>
    </row>
    <row r="901" spans="1:5">
      <c r="A901" s="7">
        <v>17</v>
      </c>
      <c r="B901" s="87">
        <v>45536</v>
      </c>
      <c r="C901">
        <v>2024</v>
      </c>
      <c r="D901" s="10" t="s">
        <v>38</v>
      </c>
      <c r="E901" s="20">
        <v>9</v>
      </c>
    </row>
    <row r="902" spans="1:5">
      <c r="A902" s="7">
        <v>18</v>
      </c>
      <c r="B902" s="87">
        <v>45536</v>
      </c>
      <c r="C902">
        <v>2024</v>
      </c>
      <c r="D902" s="10" t="s">
        <v>38</v>
      </c>
      <c r="E902" s="20">
        <v>9</v>
      </c>
    </row>
    <row r="903" spans="1:5">
      <c r="A903" s="7">
        <v>1</v>
      </c>
      <c r="B903" s="87">
        <v>45566</v>
      </c>
      <c r="C903">
        <v>2024</v>
      </c>
      <c r="D903" s="10" t="s">
        <v>34</v>
      </c>
      <c r="E903" s="20">
        <v>10</v>
      </c>
    </row>
    <row r="904" spans="1:5">
      <c r="A904" s="7">
        <v>17</v>
      </c>
      <c r="B904" s="87">
        <v>45566</v>
      </c>
      <c r="C904">
        <v>2024</v>
      </c>
      <c r="D904" s="10" t="s">
        <v>34</v>
      </c>
      <c r="E904" s="20">
        <v>10</v>
      </c>
    </row>
    <row r="905" spans="1:5">
      <c r="A905" s="7">
        <v>18</v>
      </c>
      <c r="B905" s="87">
        <v>45566</v>
      </c>
      <c r="C905">
        <v>2024</v>
      </c>
      <c r="D905" s="10" t="s">
        <v>34</v>
      </c>
      <c r="E905" s="20">
        <v>10</v>
      </c>
    </row>
    <row r="906" spans="1:5">
      <c r="A906" s="7">
        <v>1</v>
      </c>
      <c r="B906" s="87">
        <v>45597</v>
      </c>
      <c r="C906">
        <v>2024</v>
      </c>
      <c r="D906" s="10" t="s">
        <v>35</v>
      </c>
      <c r="E906" s="20">
        <v>11</v>
      </c>
    </row>
    <row r="907" spans="1:5">
      <c r="A907" s="7">
        <v>17</v>
      </c>
      <c r="B907" s="87">
        <v>45597</v>
      </c>
      <c r="C907">
        <v>2024</v>
      </c>
      <c r="D907" s="10" t="s">
        <v>35</v>
      </c>
      <c r="E907" s="20">
        <v>11</v>
      </c>
    </row>
    <row r="908" spans="1:5">
      <c r="A908" s="7">
        <v>18</v>
      </c>
      <c r="B908" s="87">
        <v>45597</v>
      </c>
      <c r="C908">
        <v>2024</v>
      </c>
      <c r="D908" s="10" t="s">
        <v>35</v>
      </c>
      <c r="E908" s="20">
        <v>11</v>
      </c>
    </row>
    <row r="909" spans="1:5">
      <c r="A909" s="7">
        <v>1</v>
      </c>
      <c r="B909" s="88">
        <v>45627</v>
      </c>
      <c r="C909">
        <v>2024</v>
      </c>
      <c r="D909" s="10" t="s">
        <v>36</v>
      </c>
      <c r="E909" s="20">
        <v>12</v>
      </c>
    </row>
    <row r="910" spans="1:5">
      <c r="A910" s="7">
        <v>17</v>
      </c>
      <c r="B910" s="87">
        <v>45627</v>
      </c>
      <c r="C910">
        <v>2024</v>
      </c>
      <c r="D910" s="10" t="s">
        <v>36</v>
      </c>
      <c r="E910" s="20">
        <v>12</v>
      </c>
    </row>
    <row r="911" spans="1:5">
      <c r="A911" s="7">
        <v>18</v>
      </c>
      <c r="B911" s="87">
        <v>45627</v>
      </c>
      <c r="C911">
        <v>2024</v>
      </c>
      <c r="D911" s="10" t="s">
        <v>36</v>
      </c>
      <c r="E911" s="20">
        <v>12</v>
      </c>
    </row>
    <row r="913" spans="5:12">
      <c r="E913" s="118" t="s">
        <v>89</v>
      </c>
      <c r="F913" s="54">
        <f>AVERAGE(F3:F911)</f>
        <v>5.7187848594197597</v>
      </c>
      <c r="K913" s="118" t="s">
        <v>89</v>
      </c>
      <c r="L913" s="118">
        <f>AVERAGE(L5:L911)</f>
        <v>1.8330572368531466E-2</v>
      </c>
    </row>
    <row r="914" spans="5:12">
      <c r="E914" s="118" t="s">
        <v>90</v>
      </c>
      <c r="F914" s="118">
        <f>+STDEV(F3:F911)</f>
        <v>4.342408537994161</v>
      </c>
      <c r="K914" s="118" t="s">
        <v>90</v>
      </c>
      <c r="L914" s="118">
        <f>+STDEV(L5:L911)</f>
        <v>2.3627968579594281E-2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4508-3DC4-5649-BB54-FC66D3E92288}">
  <sheetPr>
    <tabColor theme="9" tint="0.39997558519241921"/>
  </sheetPr>
  <dimension ref="A1:Q914"/>
  <sheetViews>
    <sheetView workbookViewId="0">
      <pane ySplit="2" topLeftCell="A724" activePane="bottomLeft" state="frozen"/>
      <selection pane="bottomLeft" activeCell="O732" sqref="O732"/>
    </sheetView>
  </sheetViews>
  <sheetFormatPr defaultColWidth="11.42578125" defaultRowHeight="15"/>
  <cols>
    <col min="2" max="2" width="10.85546875" style="86"/>
    <col min="14" max="14" width="12.28515625" bestFit="1" customWidth="1"/>
  </cols>
  <sheetData>
    <row r="1" spans="1:17" ht="18">
      <c r="F1" s="61" t="s">
        <v>40</v>
      </c>
      <c r="G1" s="61" t="s">
        <v>41</v>
      </c>
      <c r="I1" s="99" t="s">
        <v>81</v>
      </c>
    </row>
    <row r="2" spans="1:17">
      <c r="A2" s="1" t="s">
        <v>0</v>
      </c>
      <c r="B2" s="89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8</v>
      </c>
      <c r="I2" s="5" t="s">
        <v>5</v>
      </c>
      <c r="J2" s="5" t="s">
        <v>8</v>
      </c>
      <c r="L2" s="98" t="s">
        <v>87</v>
      </c>
      <c r="M2" s="98" t="s">
        <v>84</v>
      </c>
      <c r="N2" s="98" t="s">
        <v>85</v>
      </c>
    </row>
    <row r="3" spans="1:17">
      <c r="A3" s="7">
        <v>1</v>
      </c>
      <c r="B3" s="90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1.1568978946666666</v>
      </c>
    </row>
    <row r="4" spans="1:17">
      <c r="A4" s="7">
        <v>17</v>
      </c>
      <c r="B4" s="90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0.4691034825</v>
      </c>
    </row>
    <row r="5" spans="1:17">
      <c r="A5" s="7">
        <v>18</v>
      </c>
      <c r="B5" s="90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0.44464733350000002</v>
      </c>
      <c r="I5" s="50">
        <f>AVERAGE(F3:F5)</f>
        <v>2.4047998537540289</v>
      </c>
      <c r="J5" s="50">
        <f>AVERAGE(G3:G5)</f>
        <v>0.69021623688888889</v>
      </c>
      <c r="L5">
        <f>+J5/I5</f>
        <v>0.28701608402521406</v>
      </c>
      <c r="M5">
        <f>+(L5-$L$913)/$L$914</f>
        <v>-0.26592174945062663</v>
      </c>
      <c r="N5">
        <f>+M5</f>
        <v>-0.26592174945062663</v>
      </c>
      <c r="Q5" t="s">
        <v>101</v>
      </c>
    </row>
    <row r="6" spans="1:17">
      <c r="A6" s="7">
        <v>1</v>
      </c>
      <c r="B6" s="90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2.4758319551666665</v>
      </c>
    </row>
    <row r="7" spans="1:17">
      <c r="A7" s="7">
        <v>17</v>
      </c>
      <c r="B7" s="90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2.6896251763333332</v>
      </c>
    </row>
    <row r="8" spans="1:17">
      <c r="A8" s="7">
        <v>18</v>
      </c>
      <c r="B8" s="90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0.83411878699999997</v>
      </c>
      <c r="I8" s="50">
        <f>AVERAGE(F6:F8)</f>
        <v>5.4429090875200323</v>
      </c>
      <c r="J8" s="50">
        <f>AVERAGE(G6:G8)</f>
        <v>1.9998586395</v>
      </c>
      <c r="L8">
        <f>+J8/I8</f>
        <v>0.36742458992847171</v>
      </c>
      <c r="M8">
        <f>+(L8-$L$913)/$L$914</f>
        <v>0.60219329755817008</v>
      </c>
      <c r="N8">
        <f>+N5+M8</f>
        <v>0.33627154810754345</v>
      </c>
    </row>
    <row r="9" spans="1:17">
      <c r="A9" s="7">
        <v>1</v>
      </c>
      <c r="B9" s="90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1.0874235866666668</v>
      </c>
    </row>
    <row r="10" spans="1:17">
      <c r="A10" s="7">
        <v>17</v>
      </c>
      <c r="B10" s="90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2.6562816303333334</v>
      </c>
    </row>
    <row r="11" spans="1:17">
      <c r="A11" s="7">
        <v>18</v>
      </c>
      <c r="B11" s="90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0.81558897116666673</v>
      </c>
      <c r="I11" s="50">
        <f>AVERAGE(F9:F11)</f>
        <v>4.1139008600141054</v>
      </c>
      <c r="J11" s="50">
        <f>AVERAGE(G9:G11)</f>
        <v>1.5197647293888892</v>
      </c>
      <c r="L11">
        <f>+J11/I11</f>
        <v>0.36942181668998175</v>
      </c>
      <c r="M11">
        <f>+(L11-$L$913)/$L$914</f>
        <v>0.62375597409939998</v>
      </c>
      <c r="N11">
        <f>+N8+M11</f>
        <v>0.96002752220694343</v>
      </c>
    </row>
    <row r="12" spans="1:17">
      <c r="A12" s="15">
        <v>1</v>
      </c>
      <c r="B12" s="91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2.4044992666666665</v>
      </c>
    </row>
    <row r="13" spans="1:17">
      <c r="A13" s="7">
        <v>17</v>
      </c>
      <c r="B13" s="90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3.7408711100000001</v>
      </c>
    </row>
    <row r="14" spans="1:17">
      <c r="A14" s="7">
        <v>18</v>
      </c>
      <c r="B14" s="90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1.292444669</v>
      </c>
      <c r="I14" s="50">
        <f>AVERAGE(F12:F14)</f>
        <v>7.0388907344091178</v>
      </c>
      <c r="J14" s="50">
        <f>AVERAGE(G12:G14)</f>
        <v>2.4792716818888887</v>
      </c>
      <c r="L14">
        <f>+J14/I14</f>
        <v>0.3522247716915316</v>
      </c>
      <c r="M14">
        <f>+(L14-$L$913)/$L$914</f>
        <v>0.43809136860102671</v>
      </c>
      <c r="N14">
        <f>+N11+M14</f>
        <v>1.3981188908079702</v>
      </c>
    </row>
    <row r="15" spans="1:17">
      <c r="A15" s="7">
        <v>1</v>
      </c>
      <c r="B15" s="90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1.1431695503333335</v>
      </c>
    </row>
    <row r="16" spans="1:17">
      <c r="A16" s="7">
        <v>17</v>
      </c>
      <c r="B16" s="90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1.9322673478333332</v>
      </c>
    </row>
    <row r="17" spans="1:14">
      <c r="A17" s="7">
        <v>18</v>
      </c>
      <c r="B17" s="90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1.6192548279999999</v>
      </c>
      <c r="I17" s="50">
        <f>AVERAGE(F15:F17)</f>
        <v>3.9193902872792474</v>
      </c>
      <c r="J17" s="50">
        <f>AVERAGE(G15:G17)</f>
        <v>1.5648972420555556</v>
      </c>
      <c r="L17">
        <f>+J17/I17</f>
        <v>0.39927058224708517</v>
      </c>
      <c r="M17">
        <f>+(L17-$L$913)/$L$914</f>
        <v>0.94601245957539215</v>
      </c>
      <c r="N17">
        <f>+N14+M17</f>
        <v>2.3441313503833623</v>
      </c>
    </row>
    <row r="18" spans="1:14">
      <c r="A18" s="7">
        <v>1</v>
      </c>
      <c r="B18" s="90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0.24491488316666668</v>
      </c>
    </row>
    <row r="19" spans="1:14">
      <c r="A19" s="7">
        <v>17</v>
      </c>
      <c r="B19" s="90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0.30906449650000006</v>
      </c>
    </row>
    <row r="20" spans="1:14">
      <c r="A20" s="7">
        <v>18</v>
      </c>
      <c r="B20" s="90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0.36477051866666665</v>
      </c>
      <c r="I20" s="50">
        <f>AVERAGE(F18:F20)</f>
        <v>1.3296348168536298</v>
      </c>
      <c r="J20" s="50">
        <f>AVERAGE(G18:G20)</f>
        <v>0.30624996611111116</v>
      </c>
      <c r="L20">
        <f>+J20/I20</f>
        <v>0.23032637400079758</v>
      </c>
      <c r="M20">
        <f>+(L20-$L$913)/$L$914</f>
        <v>-0.8779613555834842</v>
      </c>
      <c r="N20">
        <f>+N17+M20</f>
        <v>1.4661699947998781</v>
      </c>
    </row>
    <row r="21" spans="1:14">
      <c r="A21" s="7">
        <v>1</v>
      </c>
      <c r="B21" s="90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1.1490816261666668</v>
      </c>
    </row>
    <row r="22" spans="1:14">
      <c r="A22" s="7">
        <v>17</v>
      </c>
      <c r="B22" s="90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2.3740648773333333</v>
      </c>
    </row>
    <row r="23" spans="1:14">
      <c r="A23" s="7">
        <v>18</v>
      </c>
      <c r="B23" s="90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0.46551587616666668</v>
      </c>
      <c r="I23" s="50">
        <f>AVERAGE(F21:F23)</f>
        <v>3.8290803956000334</v>
      </c>
      <c r="J23" s="50">
        <f>AVERAGE(G21:G23)</f>
        <v>1.3295541265555555</v>
      </c>
      <c r="L23">
        <f>+J23/I23</f>
        <v>0.34722544036509023</v>
      </c>
      <c r="M23">
        <f>+(L23-$L$913)/$L$914</f>
        <v>0.38411704460739599</v>
      </c>
      <c r="N23">
        <f>+N20+M23</f>
        <v>1.8502870394072741</v>
      </c>
    </row>
    <row r="24" spans="1:14">
      <c r="A24" s="7">
        <v>1</v>
      </c>
      <c r="B24" s="90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0.38746976583333337</v>
      </c>
    </row>
    <row r="25" spans="1:14">
      <c r="A25" s="7">
        <v>17</v>
      </c>
      <c r="B25" s="90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0.22699519733333337</v>
      </c>
    </row>
    <row r="26" spans="1:14">
      <c r="A26" s="7">
        <v>18</v>
      </c>
      <c r="B26" s="90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0.23555903233333336</v>
      </c>
      <c r="I26" s="50">
        <f>AVERAGE(F24:F26)</f>
        <v>1.3544511534259354</v>
      </c>
      <c r="J26" s="50">
        <f>AVERAGE(G24:G26)</f>
        <v>0.28334133183333338</v>
      </c>
      <c r="L26">
        <f>+J26/I26</f>
        <v>0.20919272807782888</v>
      </c>
      <c r="M26">
        <f>+(L26-$L$913)/$L$914</f>
        <v>-1.1061267196552715</v>
      </c>
      <c r="N26">
        <f>+N23+M26</f>
        <v>0.74416031975200259</v>
      </c>
    </row>
    <row r="27" spans="1:14">
      <c r="A27" s="7">
        <v>1</v>
      </c>
      <c r="B27" s="90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1.2477857738333331</v>
      </c>
    </row>
    <row r="28" spans="1:14">
      <c r="A28" s="7">
        <v>17</v>
      </c>
      <c r="B28" s="90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1.7163875239999999</v>
      </c>
    </row>
    <row r="29" spans="1:14">
      <c r="A29" s="7">
        <v>18</v>
      </c>
      <c r="B29" s="90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0.93326554099999992</v>
      </c>
      <c r="I29" s="50">
        <f>AVERAGE(F27:F29)</f>
        <v>3.5401566035817513</v>
      </c>
      <c r="J29" s="50">
        <f>AVERAGE(G27:G29)</f>
        <v>1.2991462796111108</v>
      </c>
      <c r="L29">
        <f>+J29/I29</f>
        <v>0.36697424014991326</v>
      </c>
      <c r="M29">
        <f>+(L29-$L$913)/$L$914</f>
        <v>0.59733118235291993</v>
      </c>
      <c r="N29">
        <f>+N26+M29</f>
        <v>1.3414915021049225</v>
      </c>
    </row>
    <row r="30" spans="1:14">
      <c r="A30" s="7">
        <v>1</v>
      </c>
      <c r="B30" s="90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1.2147724991666666</v>
      </c>
    </row>
    <row r="31" spans="1:14">
      <c r="A31" s="7">
        <v>17</v>
      </c>
      <c r="B31" s="90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1.1845732656666668</v>
      </c>
    </row>
    <row r="32" spans="1:14">
      <c r="A32" s="7">
        <v>18</v>
      </c>
      <c r="B32" s="90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0.90408308599999987</v>
      </c>
      <c r="I32" s="50">
        <f>AVERAGE(F30:F32)</f>
        <v>4.2444942657119205</v>
      </c>
      <c r="J32" s="50">
        <f>AVERAGE(G30:G32)</f>
        <v>1.1011429502777779</v>
      </c>
      <c r="L32">
        <f>+J32/I32</f>
        <v>0.25942853997308568</v>
      </c>
      <c r="M32">
        <f>+(L32-$L$913)/$L$914</f>
        <v>-0.56376538965561651</v>
      </c>
      <c r="N32">
        <f>+N29+M32</f>
        <v>0.77772611244930601</v>
      </c>
    </row>
    <row r="33" spans="1:14">
      <c r="A33" s="7">
        <v>1</v>
      </c>
      <c r="B33" s="90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0.82375286700000006</v>
      </c>
    </row>
    <row r="34" spans="1:14">
      <c r="A34" s="7">
        <v>17</v>
      </c>
      <c r="B34" s="90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1.2595760643333334</v>
      </c>
    </row>
    <row r="35" spans="1:14">
      <c r="A35" s="7">
        <v>18</v>
      </c>
      <c r="B35" s="90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1.240844654</v>
      </c>
      <c r="I35" s="50">
        <f>AVERAGE(F33:F35)</f>
        <v>4.1070022989117891</v>
      </c>
      <c r="J35" s="50">
        <f>AVERAGE(G33:G35)</f>
        <v>1.1080578617777779</v>
      </c>
      <c r="L35">
        <f>+J35/I35</f>
        <v>0.26979723436516562</v>
      </c>
      <c r="M35">
        <f>+(L35-$L$913)/$L$914</f>
        <v>-0.45182176480540465</v>
      </c>
      <c r="N35">
        <f>+N32+M35</f>
        <v>0.32590434764390136</v>
      </c>
    </row>
    <row r="36" spans="1:14">
      <c r="A36" s="7">
        <v>1</v>
      </c>
      <c r="B36" s="90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1.0862118181666667</v>
      </c>
    </row>
    <row r="37" spans="1:14">
      <c r="A37" s="7">
        <v>17</v>
      </c>
      <c r="B37" s="90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6.3669349818333343</v>
      </c>
    </row>
    <row r="38" spans="1:14">
      <c r="A38" s="7">
        <v>18</v>
      </c>
      <c r="B38" s="90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0.40892631866666668</v>
      </c>
      <c r="I38" s="50">
        <f>AVERAGE(F36:F38)</f>
        <v>7.6030394312351826</v>
      </c>
      <c r="J38" s="50">
        <f>AVERAGE(G36:G38)</f>
        <v>2.6206910395555556</v>
      </c>
      <c r="L38">
        <f>+J38/I38</f>
        <v>0.34468991819102018</v>
      </c>
      <c r="M38">
        <f>+(L38-$L$913)/$L$914</f>
        <v>0.35674276465269916</v>
      </c>
      <c r="N38">
        <f>+N35+M38</f>
        <v>0.68264711229660047</v>
      </c>
    </row>
    <row r="39" spans="1:14">
      <c r="A39" s="7">
        <v>1</v>
      </c>
      <c r="B39" s="90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0.4486195733333333</v>
      </c>
    </row>
    <row r="40" spans="1:14">
      <c r="A40" s="7">
        <v>17</v>
      </c>
      <c r="B40" s="90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0.94293526283333318</v>
      </c>
    </row>
    <row r="41" spans="1:14">
      <c r="A41" s="7">
        <v>18</v>
      </c>
      <c r="B41" s="90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0.7824163498333333</v>
      </c>
      <c r="I41" s="50">
        <f>AVERAGE(F39:F41)</f>
        <v>2.3778280640964042</v>
      </c>
      <c r="J41" s="50">
        <f>AVERAGE(G39:G41)</f>
        <v>0.72465706199999991</v>
      </c>
      <c r="L41">
        <f>+J41/I41</f>
        <v>0.30475587067956322</v>
      </c>
      <c r="M41">
        <f>+(L41-$L$913)/$L$914</f>
        <v>-7.4397537523410245E-2</v>
      </c>
      <c r="N41">
        <f>+N38+M41</f>
        <v>0.60824957477319019</v>
      </c>
    </row>
    <row r="42" spans="1:14">
      <c r="A42" s="7">
        <v>1</v>
      </c>
      <c r="B42" s="90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0.77882947733333341</v>
      </c>
    </row>
    <row r="43" spans="1:14">
      <c r="A43" s="7">
        <v>17</v>
      </c>
      <c r="B43" s="90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2.2248801396666664</v>
      </c>
    </row>
    <row r="44" spans="1:14">
      <c r="A44" s="7">
        <v>18</v>
      </c>
      <c r="B44" s="90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2.0446618901666667</v>
      </c>
      <c r="I44" s="50">
        <f>AVERAGE(F42:F44)</f>
        <v>4.2575794196516297</v>
      </c>
      <c r="J44" s="50">
        <f>AVERAGE(G42:G44)</f>
        <v>1.6827905023888887</v>
      </c>
      <c r="L44">
        <f>+J44/I44</f>
        <v>0.39524582785741214</v>
      </c>
      <c r="M44">
        <f>+(L44-$L$913)/$L$914</f>
        <v>0.9025599689844892</v>
      </c>
      <c r="N44">
        <f>+N41+M44</f>
        <v>1.5108095437576794</v>
      </c>
    </row>
    <row r="45" spans="1:14">
      <c r="A45" s="7">
        <v>1</v>
      </c>
      <c r="B45" s="90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0.94188776816666675</v>
      </c>
    </row>
    <row r="46" spans="1:14">
      <c r="A46" s="7">
        <v>17</v>
      </c>
      <c r="B46" s="90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14">
      <c r="A47" s="7">
        <v>18</v>
      </c>
      <c r="B47" s="90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0.56399609983333332</v>
      </c>
      <c r="I47" s="50">
        <f>AVERAGE(F45:F47)</f>
        <v>2.3546882166015268</v>
      </c>
      <c r="J47" s="50">
        <f>AVERAGE(G45:G47)</f>
        <v>0.75294193400000009</v>
      </c>
      <c r="L47">
        <f>+J47/I47</f>
        <v>0.31976290053666034</v>
      </c>
      <c r="M47">
        <f>+(L47-$L$913)/$L$914</f>
        <v>8.7622988582752317E-2</v>
      </c>
      <c r="N47">
        <f>+N44+M47</f>
        <v>1.5984325323404318</v>
      </c>
    </row>
    <row r="48" spans="1:14">
      <c r="A48" s="15">
        <v>1</v>
      </c>
      <c r="B48" s="91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0.89162028966666673</v>
      </c>
    </row>
    <row r="49" spans="1:14">
      <c r="A49" s="7">
        <v>17</v>
      </c>
      <c r="B49" s="90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1.268746465</v>
      </c>
    </row>
    <row r="50" spans="1:14">
      <c r="A50" s="7">
        <v>18</v>
      </c>
      <c r="B50" s="90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0.88599755383333334</v>
      </c>
      <c r="I50" s="50">
        <f>AVERAGE(F48:F50)</f>
        <v>3.1305775427290095</v>
      </c>
      <c r="J50" s="50">
        <f>AVERAGE(G48:G50)</f>
        <v>1.0154547695</v>
      </c>
      <c r="L50">
        <f>+J50/I50</f>
        <v>0.32436659231088733</v>
      </c>
      <c r="M50">
        <f>+(L50-$L$913)/$L$914</f>
        <v>0.13732586586050499</v>
      </c>
      <c r="N50">
        <f>+N47+M50</f>
        <v>1.7357583982009368</v>
      </c>
    </row>
    <row r="51" spans="1:14">
      <c r="A51" s="11">
        <v>1</v>
      </c>
      <c r="B51" s="90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2.5528479731666662</v>
      </c>
    </row>
    <row r="52" spans="1:14">
      <c r="A52" s="11">
        <v>17</v>
      </c>
      <c r="B52" s="90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2.668438569333333</v>
      </c>
    </row>
    <row r="53" spans="1:14">
      <c r="A53" s="11">
        <v>18</v>
      </c>
      <c r="B53" s="90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2.439197317833333</v>
      </c>
      <c r="I53" s="50">
        <f>AVERAGE(F51:F53)</f>
        <v>6.2624215106362255</v>
      </c>
      <c r="J53" s="50">
        <f>AVERAGE(G51:G53)</f>
        <v>2.5534946201111111</v>
      </c>
      <c r="L53">
        <f>+J53/I53</f>
        <v>0.40774876232367996</v>
      </c>
      <c r="M53">
        <f>+(L53-$L$913)/$L$914</f>
        <v>1.037545508387383</v>
      </c>
      <c r="N53">
        <f>+N50+M53</f>
        <v>2.7733039065883198</v>
      </c>
    </row>
    <row r="54" spans="1:14">
      <c r="A54" s="7">
        <v>1</v>
      </c>
      <c r="B54" s="90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1.4099300228333334</v>
      </c>
    </row>
    <row r="55" spans="1:14">
      <c r="A55" s="7">
        <v>17</v>
      </c>
      <c r="B55" s="90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3.1661668126666664</v>
      </c>
    </row>
    <row r="56" spans="1:14">
      <c r="A56" s="7">
        <v>18</v>
      </c>
      <c r="B56" s="90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1.1463316381666666</v>
      </c>
      <c r="I56" s="50">
        <f>AVERAGE(F54:F56)</f>
        <v>4.8361604254490045</v>
      </c>
      <c r="J56" s="50">
        <f>AVERAGE(G54:G56)</f>
        <v>1.9074761578888886</v>
      </c>
      <c r="L56">
        <f>+J56/I56</f>
        <v>0.39441953741883828</v>
      </c>
      <c r="M56">
        <f>+(L56-$L$913)/$L$914</f>
        <v>0.89363908238340639</v>
      </c>
      <c r="N56">
        <f>+N53+M56</f>
        <v>3.6669429889717264</v>
      </c>
    </row>
    <row r="57" spans="1:14">
      <c r="A57" s="7">
        <v>1</v>
      </c>
      <c r="B57" s="90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0.53010369283333325</v>
      </c>
    </row>
    <row r="58" spans="1:14">
      <c r="A58" s="7">
        <v>17</v>
      </c>
      <c r="B58" s="90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0.1751295346666667</v>
      </c>
    </row>
    <row r="59" spans="1:14">
      <c r="A59" s="7">
        <v>18</v>
      </c>
      <c r="B59" s="90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4.8456692333333329E-2</v>
      </c>
      <c r="I59" s="50">
        <f>AVERAGE(F57:F59)</f>
        <v>0.83021194009765209</v>
      </c>
      <c r="J59" s="50">
        <f>AVERAGE(G57:G59)</f>
        <v>0.2512299732777778</v>
      </c>
      <c r="L59">
        <f>+J59/I59</f>
        <v>0.30260944361776748</v>
      </c>
      <c r="M59">
        <f>+(L59-$L$913)/$L$914</f>
        <v>-9.7571026555697715E-2</v>
      </c>
      <c r="N59">
        <f>+N56+M59</f>
        <v>3.5693719624160289</v>
      </c>
    </row>
    <row r="60" spans="1:14">
      <c r="A60" s="7">
        <v>1</v>
      </c>
      <c r="B60" s="90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0.90488631899999983</v>
      </c>
    </row>
    <row r="61" spans="1:14">
      <c r="A61" s="7">
        <v>17</v>
      </c>
      <c r="B61" s="90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0.2221281001666667</v>
      </c>
    </row>
    <row r="62" spans="1:14">
      <c r="A62" s="7">
        <v>18</v>
      </c>
      <c r="B62" s="90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0.111656306</v>
      </c>
      <c r="I62" s="50">
        <f>AVERAGE(F60:F62)</f>
        <v>1.8843840091707824</v>
      </c>
      <c r="J62" s="50">
        <f>AVERAGE(G60:G62)</f>
        <v>0.41289024172222216</v>
      </c>
      <c r="L62">
        <f>+J62/I62</f>
        <v>0.21911151851894206</v>
      </c>
      <c r="M62">
        <f>+(L62-$L$913)/$L$914</f>
        <v>-0.99904039671802958</v>
      </c>
      <c r="N62">
        <f>+N59+M62</f>
        <v>2.5703315656979995</v>
      </c>
    </row>
    <row r="63" spans="1:14">
      <c r="A63" s="7">
        <v>1</v>
      </c>
      <c r="B63" s="90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2.7677656366666668</v>
      </c>
    </row>
    <row r="64" spans="1:14">
      <c r="A64" s="7">
        <v>17</v>
      </c>
      <c r="B64" s="90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0.44414088366666671</v>
      </c>
    </row>
    <row r="65" spans="1:14">
      <c r="A65" s="7">
        <v>18</v>
      </c>
      <c r="B65" s="90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9.0555100426666684</v>
      </c>
      <c r="I65" s="50">
        <f>AVERAGE(F63:F65)</f>
        <v>12.253997377971961</v>
      </c>
      <c r="J65" s="50">
        <f>AVERAGE(G63:G65)</f>
        <v>4.089138854333334</v>
      </c>
      <c r="L65">
        <f>+J65/I65</f>
        <v>0.33369836211031467</v>
      </c>
      <c r="M65">
        <f>+(L65-$L$913)/$L$914</f>
        <v>0.23807453277208526</v>
      </c>
      <c r="N65">
        <f>+N62+M65</f>
        <v>2.8084060984700847</v>
      </c>
    </row>
    <row r="66" spans="1:14">
      <c r="A66" s="7">
        <v>1</v>
      </c>
      <c r="B66" s="90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1.6051353505000001</v>
      </c>
    </row>
    <row r="67" spans="1:14">
      <c r="A67" s="7">
        <v>17</v>
      </c>
      <c r="B67" s="90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2.3529446445</v>
      </c>
    </row>
    <row r="68" spans="1:14">
      <c r="A68" s="7">
        <v>18</v>
      </c>
      <c r="B68" s="90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1.506902848</v>
      </c>
      <c r="I68" s="50">
        <f>AVERAGE(F66:F68)</f>
        <v>10.896221748079236</v>
      </c>
      <c r="J68" s="50">
        <f>AVERAGE(G66:G68)</f>
        <v>1.8216609476666668</v>
      </c>
      <c r="L68">
        <f>+J68/I68</f>
        <v>0.16718280792952708</v>
      </c>
      <c r="M68">
        <f>+(L68-$L$913)/$L$914</f>
        <v>-1.5596787835159842</v>
      </c>
      <c r="N68">
        <f>+N65+M68</f>
        <v>1.2487273149541005</v>
      </c>
    </row>
    <row r="69" spans="1:14">
      <c r="A69" s="7">
        <v>1</v>
      </c>
      <c r="B69" s="90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1.3101216656666665</v>
      </c>
    </row>
    <row r="70" spans="1:14">
      <c r="A70" s="7">
        <v>17</v>
      </c>
      <c r="B70" s="90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1.1914174146666667</v>
      </c>
    </row>
    <row r="71" spans="1:14">
      <c r="A71" s="7">
        <v>18</v>
      </c>
      <c r="B71" s="90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0.383847879</v>
      </c>
      <c r="I71" s="50">
        <f>AVERAGE(F69:F71)</f>
        <v>5.3010215382113168</v>
      </c>
      <c r="J71" s="50">
        <f>AVERAGE(G69:G71)</f>
        <v>0.96179565311111104</v>
      </c>
      <c r="L71">
        <f>+J71/I71</f>
        <v>0.18143590743372878</v>
      </c>
      <c r="M71">
        <f>+(L71-$L$913)/$L$914</f>
        <v>-1.4057979221927068</v>
      </c>
      <c r="N71">
        <f>+N68+M71</f>
        <v>-0.15707060723860633</v>
      </c>
    </row>
    <row r="72" spans="1:14">
      <c r="A72" s="7">
        <v>1</v>
      </c>
      <c r="B72" s="90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1.4716511720000001</v>
      </c>
    </row>
    <row r="73" spans="1:14">
      <c r="A73" s="7">
        <v>17</v>
      </c>
      <c r="B73" s="90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2.2884607176666667</v>
      </c>
    </row>
    <row r="74" spans="1:14">
      <c r="A74" s="7">
        <v>18</v>
      </c>
      <c r="B74" s="90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0.4057778591666667</v>
      </c>
      <c r="I74" s="50">
        <f>AVERAGE(F72:F74)</f>
        <v>4.4773063431794577</v>
      </c>
      <c r="J74" s="50">
        <f>AVERAGE(G72:G74)</f>
        <v>1.3886299162777778</v>
      </c>
      <c r="L74">
        <f>+J74/I74</f>
        <v>0.31014851561210655</v>
      </c>
      <c r="M74">
        <f>+(L74-$L$913)/$L$914</f>
        <v>-1.6176878446011161E-2</v>
      </c>
      <c r="N74">
        <f>+N71+M74</f>
        <v>-0.17324748568461748</v>
      </c>
    </row>
    <row r="75" spans="1:14">
      <c r="A75" s="7">
        <v>1</v>
      </c>
      <c r="B75" s="90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13">
        <v>0.82569903811506462</v>
      </c>
    </row>
    <row r="76" spans="1:14">
      <c r="A76" s="7">
        <v>17</v>
      </c>
      <c r="B76" s="90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13">
        <v>1.181810602287344</v>
      </c>
    </row>
    <row r="77" spans="1:14">
      <c r="A77" s="7">
        <v>18</v>
      </c>
      <c r="B77" s="90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13">
        <v>0.74997303219837153</v>
      </c>
      <c r="I77" s="50">
        <f>AVERAGE(F75:F77)</f>
        <v>3.2566932007718798</v>
      </c>
      <c r="J77" s="50">
        <f>AVERAGE(G75:G77)</f>
        <v>0.91916089086692665</v>
      </c>
      <c r="L77">
        <f>+J77/I77</f>
        <v>0.28223748268614102</v>
      </c>
      <c r="M77">
        <f>+(L77-$L$913)/$L$914</f>
        <v>-0.31751300437453672</v>
      </c>
      <c r="N77">
        <f>+N74+M77</f>
        <v>-0.49076049005915423</v>
      </c>
    </row>
    <row r="78" spans="1:14">
      <c r="A78" s="7">
        <v>1</v>
      </c>
      <c r="B78" s="90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13">
        <v>1.5262381322783052</v>
      </c>
    </row>
    <row r="79" spans="1:14">
      <c r="A79" s="7">
        <v>17</v>
      </c>
      <c r="B79" s="90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13">
        <v>2.1356888294449785</v>
      </c>
    </row>
    <row r="80" spans="1:14">
      <c r="A80" s="7">
        <v>18</v>
      </c>
      <c r="B80" s="90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13">
        <v>2.2645899101524396</v>
      </c>
      <c r="I80" s="50">
        <f>AVERAGE(F78:F80)</f>
        <v>5.3516280588786396</v>
      </c>
      <c r="J80" s="50">
        <f>AVERAGE(G78:G80)</f>
        <v>1.9755056239585744</v>
      </c>
      <c r="L80">
        <f>+J80/I80</f>
        <v>0.36914105431544408</v>
      </c>
      <c r="M80">
        <f>+(L80-$L$913)/$L$914</f>
        <v>0.62072477684940608</v>
      </c>
      <c r="N80">
        <f>+N77+M80</f>
        <v>0.12996428679025185</v>
      </c>
    </row>
    <row r="81" spans="1:14">
      <c r="A81" s="7">
        <v>1</v>
      </c>
      <c r="B81" s="90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13">
        <v>3.0810266013421472</v>
      </c>
    </row>
    <row r="82" spans="1:14">
      <c r="A82" s="7">
        <v>17</v>
      </c>
      <c r="B82" s="90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13">
        <v>3.8650756561175412</v>
      </c>
    </row>
    <row r="83" spans="1:14">
      <c r="A83" s="7">
        <v>18</v>
      </c>
      <c r="B83" s="90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13">
        <v>3.790612637443425</v>
      </c>
      <c r="I83" s="50">
        <f>AVERAGE(F81:F83)</f>
        <v>6.9162922164340896</v>
      </c>
      <c r="J83" s="50">
        <f>AVERAGE(G81:G83)</f>
        <v>3.5789049649677049</v>
      </c>
      <c r="L83">
        <f>+J83/I83</f>
        <v>0.51746005706116927</v>
      </c>
      <c r="M83">
        <f>+(L83-$L$913)/$L$914</f>
        <v>2.2220225076618201</v>
      </c>
      <c r="N83">
        <f>+N80+M83</f>
        <v>2.3519867944520718</v>
      </c>
    </row>
    <row r="84" spans="1:14">
      <c r="A84" s="15">
        <v>1</v>
      </c>
      <c r="B84" s="91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13">
        <v>0.70797627888853154</v>
      </c>
    </row>
    <row r="85" spans="1:14">
      <c r="A85" s="7">
        <v>17</v>
      </c>
      <c r="B85" s="90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13">
        <v>0.58175198134096318</v>
      </c>
    </row>
    <row r="86" spans="1:14">
      <c r="A86" s="7">
        <v>18</v>
      </c>
      <c r="B86" s="90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13">
        <v>0.62292521440927617</v>
      </c>
      <c r="I86" s="50">
        <f>AVERAGE(F84:F86)</f>
        <v>2.8921371672349765</v>
      </c>
      <c r="J86" s="50">
        <f>AVERAGE(G84:G86)</f>
        <v>0.63755115821292352</v>
      </c>
      <c r="L86">
        <f>+J86/I86</f>
        <v>0.22044291862631585</v>
      </c>
      <c r="M86">
        <f>+(L86-$L$913)/$L$914</f>
        <v>-0.98466619023555979</v>
      </c>
      <c r="N86">
        <f>+N83+M86</f>
        <v>1.367320604216512</v>
      </c>
    </row>
    <row r="87" spans="1:14">
      <c r="A87" s="7">
        <v>1</v>
      </c>
      <c r="B87" s="90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13">
        <v>1.2095619652277292</v>
      </c>
    </row>
    <row r="88" spans="1:14">
      <c r="A88" s="7">
        <v>17</v>
      </c>
      <c r="B88" s="90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13">
        <v>1.6934650357351597</v>
      </c>
    </row>
    <row r="89" spans="1:14">
      <c r="A89" s="7">
        <v>18</v>
      </c>
      <c r="B89" s="90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13">
        <v>1.898618446273276</v>
      </c>
      <c r="I89" s="50">
        <f>AVERAGE(F87:F89)</f>
        <v>3.8102926952233851</v>
      </c>
      <c r="J89" s="50">
        <f>AVERAGE(G87:G89)</f>
        <v>1.6005484824120551</v>
      </c>
      <c r="L89">
        <f>+J89/I89</f>
        <v>0.4200591950373041</v>
      </c>
      <c r="M89">
        <f>+(L89-$L$913)/$L$914</f>
        <v>1.1704527394550042</v>
      </c>
      <c r="N89">
        <f>+N86+M89</f>
        <v>2.5377733436715162</v>
      </c>
    </row>
    <row r="90" spans="1:14">
      <c r="A90" s="7">
        <v>1</v>
      </c>
      <c r="B90" s="86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13">
        <v>0.79773325346699064</v>
      </c>
    </row>
    <row r="91" spans="1:14">
      <c r="A91" s="7">
        <v>17</v>
      </c>
      <c r="B91" s="86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13">
        <v>1.1592846420851777</v>
      </c>
    </row>
    <row r="92" spans="1:14">
      <c r="A92" s="7">
        <v>18</v>
      </c>
      <c r="B92" s="86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13">
        <v>1.1168437637369917</v>
      </c>
      <c r="I92" s="50">
        <f>AVERAGE(F90:F92)</f>
        <v>3.0087810350962401</v>
      </c>
      <c r="J92" s="50">
        <f>AVERAGE(G90:G92)</f>
        <v>1.0246205530963868</v>
      </c>
      <c r="L92">
        <f>+J92/I92</f>
        <v>0.34054340982098513</v>
      </c>
      <c r="M92">
        <f>+(L92-$L$913)/$L$914</f>
        <v>0.31197578051166547</v>
      </c>
      <c r="N92">
        <f>+N89+M92</f>
        <v>2.8497491241831816</v>
      </c>
    </row>
    <row r="93" spans="1:14">
      <c r="A93" s="7">
        <v>1</v>
      </c>
      <c r="B93" s="86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13">
        <v>0.47947363384260738</v>
      </c>
    </row>
    <row r="94" spans="1:14">
      <c r="A94" s="7">
        <v>17</v>
      </c>
      <c r="B94" s="86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13">
        <v>1.3825127619310027</v>
      </c>
    </row>
    <row r="95" spans="1:14">
      <c r="A95" s="7">
        <v>18</v>
      </c>
      <c r="B95" s="86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13">
        <v>0.66444882137443573</v>
      </c>
      <c r="I95" s="50">
        <f>AVERAGE(F93:F95)</f>
        <v>2.5730582982118841</v>
      </c>
      <c r="J95" s="50">
        <f>AVERAGE(G93:G95)</f>
        <v>0.84214507238268188</v>
      </c>
      <c r="L95">
        <f>+J95/I95</f>
        <v>0.32729342858959726</v>
      </c>
      <c r="M95">
        <f>+(L95-$L$913)/$L$914</f>
        <v>0.16892489366405961</v>
      </c>
      <c r="N95">
        <f>+N92+M95</f>
        <v>3.0186740178472413</v>
      </c>
    </row>
    <row r="96" spans="1:14">
      <c r="A96" s="7">
        <v>1</v>
      </c>
      <c r="B96" s="86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26"/>
    </row>
    <row r="97" spans="1:13">
      <c r="A97" s="7">
        <v>17</v>
      </c>
      <c r="B97" s="86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26"/>
    </row>
    <row r="98" spans="1:13">
      <c r="A98" s="7">
        <v>18</v>
      </c>
      <c r="B98" s="86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26"/>
      <c r="I98" s="50">
        <f>AVERAGE(F96:F98)</f>
        <v>4.6564320563864543</v>
      </c>
      <c r="J98" s="50" t="e">
        <f>AVERAGE(G96:G98)</f>
        <v>#DIV/0!</v>
      </c>
      <c r="M98">
        <f>+(L98-$L$913)/$L$914</f>
        <v>-3.3646359772166088</v>
      </c>
    </row>
    <row r="99" spans="1:13">
      <c r="A99" s="7">
        <v>1</v>
      </c>
      <c r="B99" s="86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26"/>
    </row>
    <row r="100" spans="1:13">
      <c r="A100" s="7">
        <v>17</v>
      </c>
      <c r="B100" s="86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26"/>
    </row>
    <row r="101" spans="1:13">
      <c r="A101" s="7">
        <v>18</v>
      </c>
      <c r="B101" s="86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26"/>
      <c r="I101" s="50">
        <f>AVERAGE(F99:F101)</f>
        <v>8.6267009313882834</v>
      </c>
      <c r="J101" s="50" t="e">
        <f>AVERAGE(G99:G101)</f>
        <v>#DIV/0!</v>
      </c>
      <c r="M101">
        <f>+(L101-$L$913)/$L$914</f>
        <v>-3.3646359772166088</v>
      </c>
    </row>
    <row r="102" spans="1:13">
      <c r="A102" s="7">
        <v>1</v>
      </c>
      <c r="B102" s="86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26"/>
    </row>
    <row r="103" spans="1:13">
      <c r="A103" s="7">
        <v>17</v>
      </c>
      <c r="B103" s="86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26"/>
    </row>
    <row r="104" spans="1:13">
      <c r="A104" s="7">
        <v>18</v>
      </c>
      <c r="B104" s="86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26"/>
      <c r="I104" s="50">
        <f>AVERAGE(F102:F104)</f>
        <v>5.80724571678671</v>
      </c>
      <c r="J104" s="50" t="e">
        <f>AVERAGE(G102:G104)</f>
        <v>#DIV/0!</v>
      </c>
      <c r="M104">
        <f>+(L104-$L$913)/$L$914</f>
        <v>-3.3646359772166088</v>
      </c>
    </row>
    <row r="105" spans="1:13">
      <c r="A105" s="7">
        <v>1</v>
      </c>
      <c r="B105" s="86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26"/>
    </row>
    <row r="106" spans="1:13">
      <c r="A106" s="7">
        <v>17</v>
      </c>
      <c r="B106" s="86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26"/>
    </row>
    <row r="107" spans="1:13">
      <c r="A107" s="7">
        <v>18</v>
      </c>
      <c r="B107" s="86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26"/>
      <c r="I107" s="50">
        <f>AVERAGE(F105:F107)</f>
        <v>10.532906639870701</v>
      </c>
      <c r="J107" s="50" t="e">
        <f>AVERAGE(G105:G107)</f>
        <v>#DIV/0!</v>
      </c>
      <c r="M107">
        <f>+(L107-$L$913)/$L$914</f>
        <v>-3.3646359772166088</v>
      </c>
    </row>
    <row r="108" spans="1:13">
      <c r="A108" s="7">
        <v>1</v>
      </c>
      <c r="B108" s="86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26"/>
    </row>
    <row r="109" spans="1:13">
      <c r="A109" s="7">
        <v>17</v>
      </c>
      <c r="B109" s="86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26"/>
    </row>
    <row r="110" spans="1:13">
      <c r="A110" s="7">
        <v>18</v>
      </c>
      <c r="B110" s="86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26"/>
      <c r="I110" s="50">
        <f>AVERAGE(F108:F110)</f>
        <v>4.6599635827797288</v>
      </c>
      <c r="J110" s="50" t="e">
        <f>AVERAGE(G108:G110)</f>
        <v>#DIV/0!</v>
      </c>
      <c r="M110">
        <f>+(L110-$L$913)/$L$914</f>
        <v>-3.3646359772166088</v>
      </c>
    </row>
    <row r="111" spans="1:13">
      <c r="A111" s="7">
        <v>1</v>
      </c>
      <c r="B111" s="86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1.0808035892027348</v>
      </c>
    </row>
    <row r="112" spans="1:13">
      <c r="A112" s="7">
        <v>17</v>
      </c>
      <c r="B112" s="86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1.4701115154884159</v>
      </c>
    </row>
    <row r="113" spans="1:14">
      <c r="A113" s="7">
        <v>18</v>
      </c>
      <c r="B113" s="86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0.99808327800798946</v>
      </c>
      <c r="I113" s="50">
        <f>AVERAGE(F111:F113)</f>
        <v>3.6195663869928301</v>
      </c>
      <c r="J113" s="50">
        <f>AVERAGE(G111:G113)</f>
        <v>1.1829994608997134</v>
      </c>
      <c r="L113">
        <f>+J113/I113</f>
        <v>0.32683458028312629</v>
      </c>
      <c r="M113">
        <f>+(L113-$L$913)/$L$914</f>
        <v>0.16397102572848071</v>
      </c>
      <c r="N113">
        <f>+N95+M113</f>
        <v>3.1826450435757221</v>
      </c>
    </row>
    <row r="114" spans="1:14">
      <c r="A114" s="7">
        <v>1</v>
      </c>
      <c r="B114" s="86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0.81381941661818868</v>
      </c>
    </row>
    <row r="115" spans="1:14">
      <c r="A115" s="7">
        <v>17</v>
      </c>
      <c r="B115" s="86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0.19721288429029568</v>
      </c>
    </row>
    <row r="116" spans="1:14">
      <c r="A116" s="7">
        <v>18</v>
      </c>
      <c r="B116" s="86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0.13005761294376023</v>
      </c>
      <c r="I116" s="50">
        <f>AVERAGE(F114:F116)</f>
        <v>1.3662578893211534</v>
      </c>
      <c r="J116" s="50">
        <f>AVERAGE(G114:G116)</f>
        <v>0.38036330461741485</v>
      </c>
      <c r="L116">
        <f>+J116/I116</f>
        <v>0.27839788343795352</v>
      </c>
      <c r="M116">
        <f>+(L116-$L$913)/$L$914</f>
        <v>-0.35896650291168825</v>
      </c>
      <c r="N116">
        <f>+N113+M116</f>
        <v>2.8236785406640337</v>
      </c>
    </row>
    <row r="117" spans="1:14">
      <c r="A117" s="7">
        <v>1</v>
      </c>
      <c r="B117" s="86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1.0924131535775445</v>
      </c>
    </row>
    <row r="118" spans="1:14">
      <c r="A118" s="7">
        <v>17</v>
      </c>
      <c r="B118" s="86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1.0703397406973014</v>
      </c>
    </row>
    <row r="119" spans="1:14">
      <c r="A119" s="7">
        <v>18</v>
      </c>
      <c r="B119" s="86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0.79155505156003214</v>
      </c>
      <c r="I119" s="50">
        <f>AVERAGE(F117:F119)</f>
        <v>3.3937939526405896</v>
      </c>
      <c r="J119" s="50">
        <f>AVERAGE(G117:G119)</f>
        <v>0.9847693152782927</v>
      </c>
      <c r="L119">
        <f>+J119/I119</f>
        <v>0.29016767930536236</v>
      </c>
      <c r="M119">
        <f>+(L119-$L$913)/$L$914</f>
        <v>-0.23189615409793649</v>
      </c>
      <c r="N119">
        <f>+N116+M119</f>
        <v>2.5917823865660972</v>
      </c>
    </row>
    <row r="120" spans="1:14">
      <c r="A120" s="15">
        <v>1</v>
      </c>
      <c r="B120" s="92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3.6681125457786239</v>
      </c>
    </row>
    <row r="121" spans="1:14">
      <c r="A121" s="7">
        <v>17</v>
      </c>
      <c r="B121" s="86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5.0276073641592349</v>
      </c>
    </row>
    <row r="122" spans="1:14">
      <c r="A122" s="7">
        <v>18</v>
      </c>
      <c r="B122" s="86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1.6377250996486694</v>
      </c>
      <c r="I122" s="50">
        <f>AVERAGE(F120:F122)</f>
        <v>11.371850966102457</v>
      </c>
      <c r="J122" s="50">
        <f>AVERAGE(G120:G122)</f>
        <v>3.4444816698621761</v>
      </c>
      <c r="L122">
        <f>+J122/I122</f>
        <v>0.30289542838097216</v>
      </c>
      <c r="M122">
        <f>+(L122-$L$913)/$L$914</f>
        <v>-9.4483446785816994E-2</v>
      </c>
      <c r="N122">
        <f>+N119+M122</f>
        <v>2.4972989397802801</v>
      </c>
    </row>
    <row r="123" spans="1:14">
      <c r="A123" s="7">
        <v>1</v>
      </c>
      <c r="B123" s="86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2.991642475638244</v>
      </c>
    </row>
    <row r="124" spans="1:14">
      <c r="A124" s="7">
        <v>17</v>
      </c>
      <c r="B124" s="86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2.3869621598480975</v>
      </c>
    </row>
    <row r="125" spans="1:14">
      <c r="A125" s="7">
        <v>18</v>
      </c>
      <c r="B125" s="86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2.8203222851129932</v>
      </c>
      <c r="I125" s="50">
        <f>AVERAGE(F123:F125)</f>
        <v>7.3097050707579028</v>
      </c>
      <c r="J125" s="50">
        <f>AVERAGE(G123:G125)</f>
        <v>2.7329756401997787</v>
      </c>
      <c r="L125">
        <f>+J125/I125</f>
        <v>0.37388316132382776</v>
      </c>
      <c r="M125">
        <f>+(L125-$L$913)/$L$914</f>
        <v>0.6719220277155854</v>
      </c>
      <c r="N125">
        <f>+N122+M125</f>
        <v>3.1692209674958653</v>
      </c>
    </row>
    <row r="126" spans="1:14">
      <c r="A126" s="7">
        <v>1</v>
      </c>
      <c r="B126" s="86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1.7159641088972755</v>
      </c>
    </row>
    <row r="127" spans="1:14">
      <c r="A127" s="7">
        <v>17</v>
      </c>
      <c r="B127" s="86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2.2360741720950688</v>
      </c>
    </row>
    <row r="128" spans="1:14">
      <c r="A128" s="7">
        <v>18</v>
      </c>
      <c r="B128" s="86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3.0773441517920643</v>
      </c>
      <c r="I128" s="50">
        <f>AVERAGE(F126:F128)</f>
        <v>7.0365946722071486</v>
      </c>
      <c r="J128" s="50">
        <f>AVERAGE(G126:G128)</f>
        <v>2.3431274775948028</v>
      </c>
      <c r="L128">
        <f>+J128/I128</f>
        <v>0.33299167946245234</v>
      </c>
      <c r="M128">
        <f>+(L128-$L$913)/$L$914</f>
        <v>0.23044496879526655</v>
      </c>
      <c r="N128">
        <f>+N125+M128</f>
        <v>3.3996659362911319</v>
      </c>
    </row>
    <row r="129" spans="1:14">
      <c r="A129" s="7">
        <v>1</v>
      </c>
      <c r="B129" s="86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3.5622354921758275</v>
      </c>
    </row>
    <row r="130" spans="1:14">
      <c r="A130" s="7">
        <v>17</v>
      </c>
      <c r="B130" s="86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3.8256534094928196</v>
      </c>
    </row>
    <row r="131" spans="1:14">
      <c r="A131" s="7">
        <v>18</v>
      </c>
      <c r="B131" s="86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3.285540422813868</v>
      </c>
      <c r="I131" s="50">
        <f>AVERAGE(F129:F131)</f>
        <v>10.135393671482817</v>
      </c>
      <c r="J131" s="50">
        <f>AVERAGE(G129:G131)</f>
        <v>3.5578097748275055</v>
      </c>
      <c r="L131">
        <f>+J131/I131</f>
        <v>0.35102827676421128</v>
      </c>
      <c r="M131">
        <f>+(L131-$L$913)/$L$914</f>
        <v>0.42517364007954217</v>
      </c>
      <c r="N131">
        <f>+N128+M131</f>
        <v>3.8248395763706742</v>
      </c>
    </row>
    <row r="132" spans="1:14">
      <c r="A132" s="7">
        <v>1</v>
      </c>
      <c r="B132" s="86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1.2345106151857184</v>
      </c>
    </row>
    <row r="133" spans="1:14">
      <c r="A133" s="7">
        <v>17</v>
      </c>
      <c r="B133" s="86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0.28745902855080696</v>
      </c>
    </row>
    <row r="134" spans="1:14">
      <c r="A134" s="7">
        <v>18</v>
      </c>
      <c r="B134" s="86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0.13144228894855209</v>
      </c>
      <c r="I134" s="50">
        <f>AVERAGE(F132:F134)</f>
        <v>1.8926299759064262</v>
      </c>
      <c r="J134" s="50">
        <f>AVERAGE(G132:G134)</f>
        <v>0.55113731089502582</v>
      </c>
      <c r="L134">
        <f>+J134/I134</f>
        <v>0.29120182915367432</v>
      </c>
      <c r="M134">
        <f>+(L134-$L$913)/$L$914</f>
        <v>-0.22073115315560327</v>
      </c>
      <c r="N134">
        <f>+N131+M134</f>
        <v>3.6041084232150711</v>
      </c>
    </row>
    <row r="135" spans="1:14">
      <c r="A135" s="7">
        <v>1</v>
      </c>
      <c r="B135" s="86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1.1029110793370536</v>
      </c>
    </row>
    <row r="136" spans="1:14">
      <c r="A136" s="7">
        <v>17</v>
      </c>
      <c r="B136" s="86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1.7161706868354145</v>
      </c>
    </row>
    <row r="137" spans="1:14">
      <c r="A137" s="7">
        <v>18</v>
      </c>
      <c r="B137" s="86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1.6146090919034441</v>
      </c>
      <c r="I137" s="50">
        <f>AVERAGE(F135:F137)</f>
        <v>4.2917729765473558</v>
      </c>
      <c r="J137" s="50">
        <f>AVERAGE(G135:G137)</f>
        <v>1.477896952691971</v>
      </c>
      <c r="L137">
        <f>+J137/I137</f>
        <v>0.34435580837290908</v>
      </c>
      <c r="M137">
        <f>+(L137-$L$913)/$L$914</f>
        <v>0.35313561193673415</v>
      </c>
      <c r="N137">
        <f>+N134+M137</f>
        <v>3.9572440351518052</v>
      </c>
    </row>
    <row r="138" spans="1:14">
      <c r="A138" s="7">
        <v>1</v>
      </c>
      <c r="B138" s="86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2.0073807880158876</v>
      </c>
    </row>
    <row r="139" spans="1:14">
      <c r="A139" s="7">
        <v>17</v>
      </c>
      <c r="B139" s="86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1.2283792152213608</v>
      </c>
    </row>
    <row r="140" spans="1:14">
      <c r="A140" s="7">
        <v>18</v>
      </c>
      <c r="B140" s="86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1.8453596024720285</v>
      </c>
      <c r="I140" s="50">
        <f>AVERAGE(F138:F140)</f>
        <v>9.6287058091933027</v>
      </c>
      <c r="J140" s="50">
        <f>AVERAGE(G138:G140)</f>
        <v>1.6937065352364258</v>
      </c>
      <c r="L140">
        <f>+J140/I140</f>
        <v>0.17590178460113584</v>
      </c>
      <c r="M140">
        <f>+(L140-$L$913)/$L$914</f>
        <v>-1.4655460203447737</v>
      </c>
      <c r="N140">
        <f>+N137+M140</f>
        <v>2.4916980148070316</v>
      </c>
    </row>
    <row r="141" spans="1:14">
      <c r="A141" s="7">
        <v>1</v>
      </c>
      <c r="B141" s="86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2.2105005871700221</v>
      </c>
    </row>
    <row r="142" spans="1:14">
      <c r="A142" s="7">
        <v>17</v>
      </c>
      <c r="B142" s="86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3.3210499328355594</v>
      </c>
    </row>
    <row r="143" spans="1:14">
      <c r="A143" s="7">
        <v>18</v>
      </c>
      <c r="B143" s="86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2.2076417240526185</v>
      </c>
      <c r="I143" s="50">
        <f>AVERAGE(F141:F143)</f>
        <v>15.816355382808114</v>
      </c>
      <c r="J143" s="50">
        <f>AVERAGE(G141:G143)</f>
        <v>2.5797307480193998</v>
      </c>
      <c r="L143">
        <f>+J143/I143</f>
        <v>0.16310525943438822</v>
      </c>
      <c r="M143">
        <f>+(L143-$L$913)/$L$914</f>
        <v>-1.6037012555638663</v>
      </c>
      <c r="N143">
        <f>+N140+M143</f>
        <v>0.88799675924316523</v>
      </c>
    </row>
    <row r="144" spans="1:14">
      <c r="A144" s="7">
        <v>1</v>
      </c>
      <c r="B144" s="86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0.86202656168784342</v>
      </c>
    </row>
    <row r="145" spans="1:14">
      <c r="A145" s="7">
        <v>17</v>
      </c>
      <c r="B145" s="86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0.78818302994497058</v>
      </c>
    </row>
    <row r="146" spans="1:14">
      <c r="A146" s="7">
        <v>18</v>
      </c>
      <c r="B146" s="86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0.59783652231287976</v>
      </c>
      <c r="I146" s="50">
        <f>AVERAGE(F144:F146)</f>
        <v>3.5867332762892858</v>
      </c>
      <c r="J146" s="50">
        <f>AVERAGE(G144:G146)</f>
        <v>0.74934870464856462</v>
      </c>
      <c r="L146">
        <f>+J146/I146</f>
        <v>0.20892233877613997</v>
      </c>
      <c r="M146">
        <f>+(L146-$L$913)/$L$914</f>
        <v>-1.1090459260092453</v>
      </c>
      <c r="N146">
        <f>+N143+M146</f>
        <v>-0.22104916676608011</v>
      </c>
    </row>
    <row r="147" spans="1:14">
      <c r="A147" s="7">
        <v>1</v>
      </c>
      <c r="B147" s="86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1.0691742447871821</v>
      </c>
    </row>
    <row r="148" spans="1:14">
      <c r="A148" s="7">
        <v>17</v>
      </c>
      <c r="B148" s="86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1.15792251487951</v>
      </c>
    </row>
    <row r="149" spans="1:14">
      <c r="A149" s="7">
        <v>18</v>
      </c>
      <c r="B149" s="86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1.2496985641201162</v>
      </c>
      <c r="I149" s="50">
        <f>AVERAGE(F147:F149)</f>
        <v>5.1791666666666671</v>
      </c>
      <c r="J149" s="50">
        <f>AVERAGE(G147:G149)</f>
        <v>1.1589317745956027</v>
      </c>
      <c r="L149">
        <f>+J149/I149</f>
        <v>0.22376800153092891</v>
      </c>
      <c r="M149">
        <f>+(L149-$L$913)/$L$914</f>
        <v>-0.94876756894393643</v>
      </c>
      <c r="N149">
        <f>+N146+M149</f>
        <v>-1.1698167357100164</v>
      </c>
    </row>
    <row r="150" spans="1:14">
      <c r="A150" s="7">
        <v>1</v>
      </c>
      <c r="B150" s="86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0.82309091360233</v>
      </c>
    </row>
    <row r="151" spans="1:14">
      <c r="A151" s="7">
        <v>17</v>
      </c>
      <c r="B151" s="86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1.167623900256844</v>
      </c>
    </row>
    <row r="152" spans="1:14">
      <c r="A152" s="7">
        <v>18</v>
      </c>
      <c r="B152" s="86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0.97499896595778923</v>
      </c>
      <c r="I152" s="50">
        <f>AVERAGE(F150:F152)</f>
        <v>3.7247000000000003</v>
      </c>
      <c r="J152" s="50">
        <f>AVERAGE(G150:G152)</f>
        <v>0.98857125993898765</v>
      </c>
      <c r="L152">
        <f>+J152/I152</f>
        <v>0.2654096329741959</v>
      </c>
      <c r="M152">
        <f>+(L152-$L$913)/$L$914</f>
        <v>-0.49919166361138689</v>
      </c>
      <c r="N152">
        <f>+N149+M152</f>
        <v>-1.6690083993214033</v>
      </c>
    </row>
    <row r="153" spans="1:14">
      <c r="A153" s="7">
        <v>1</v>
      </c>
      <c r="B153" s="86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0.77949021890261738</v>
      </c>
    </row>
    <row r="154" spans="1:14">
      <c r="A154" s="7">
        <v>17</v>
      </c>
      <c r="B154" s="86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0.9769440370609912</v>
      </c>
    </row>
    <row r="155" spans="1:14">
      <c r="A155" s="7">
        <v>18</v>
      </c>
      <c r="B155" s="86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1.7911745218354929</v>
      </c>
      <c r="I155" s="50">
        <f>AVERAGE(F153:F155)</f>
        <v>4.0904999999999996</v>
      </c>
      <c r="J155" s="50">
        <f>AVERAGE(G153:G155)</f>
        <v>1.1825362592663671</v>
      </c>
      <c r="L155">
        <f>+J155/I155</f>
        <v>0.2890933282646051</v>
      </c>
      <c r="M155">
        <f>+(L155-$L$913)/$L$914</f>
        <v>-0.24349517952160318</v>
      </c>
      <c r="N155">
        <f>+N152+M155</f>
        <v>-1.9125035788430065</v>
      </c>
    </row>
    <row r="156" spans="1:14">
      <c r="A156" s="15">
        <v>1</v>
      </c>
      <c r="B156" s="92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1.0869788141957915</v>
      </c>
    </row>
    <row r="157" spans="1:14">
      <c r="A157" s="7">
        <v>17</v>
      </c>
      <c r="B157" s="86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1.3484814433056989</v>
      </c>
    </row>
    <row r="158" spans="1:14">
      <c r="A158" s="7">
        <v>18</v>
      </c>
      <c r="B158" s="86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1.4418633647349492</v>
      </c>
      <c r="I158" s="50">
        <f>AVERAGE(F156:F158)</f>
        <v>4.5131666666666668</v>
      </c>
      <c r="J158" s="50">
        <f>AVERAGE(G156:G158)</f>
        <v>1.2924412074121465</v>
      </c>
      <c r="L158">
        <f>+J158/I158</f>
        <v>0.28637125611997782</v>
      </c>
      <c r="M158">
        <f>+(L158-$L$913)/$L$914</f>
        <v>-0.27288351053520937</v>
      </c>
      <c r="N158">
        <f>+N155+M158</f>
        <v>-2.1853870893782159</v>
      </c>
    </row>
    <row r="159" spans="1:14">
      <c r="A159" s="7">
        <v>1</v>
      </c>
      <c r="B159" s="86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1.4663460503525523</v>
      </c>
    </row>
    <row r="160" spans="1:14">
      <c r="A160" s="7">
        <v>17</v>
      </c>
      <c r="B160" s="86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2.6299191793291179</v>
      </c>
    </row>
    <row r="161" spans="1:14">
      <c r="A161" s="7">
        <v>18</v>
      </c>
      <c r="B161" s="86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3.9458469817959436</v>
      </c>
      <c r="I161" s="50">
        <f>AVERAGE(F159:F161)</f>
        <v>8.2728333333333328</v>
      </c>
      <c r="J161" s="50">
        <f>AVERAGE(G159:G161)</f>
        <v>2.680704070492538</v>
      </c>
      <c r="L161">
        <f>+J161/I161</f>
        <v>0.3240369970577438</v>
      </c>
      <c r="M161">
        <f>+(L161-$L$913)/$L$914</f>
        <v>0.13376745378130514</v>
      </c>
      <c r="N161">
        <f>+N158+M161</f>
        <v>-2.0516196355969107</v>
      </c>
    </row>
    <row r="162" spans="1:14">
      <c r="A162" s="7">
        <v>1</v>
      </c>
      <c r="B162" s="86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2.3611276894887103</v>
      </c>
    </row>
    <row r="163" spans="1:14">
      <c r="A163" s="7">
        <v>17</v>
      </c>
      <c r="B163" s="86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2.54471829537226</v>
      </c>
    </row>
    <row r="164" spans="1:14">
      <c r="A164" s="7">
        <v>18</v>
      </c>
      <c r="B164" s="86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2.2310141375255119</v>
      </c>
      <c r="I164" s="50">
        <f>AVERAGE(F162:F164)</f>
        <v>6.9575666666666676</v>
      </c>
      <c r="J164" s="50">
        <f>AVERAGE(G162:G164)</f>
        <v>2.3789533741288276</v>
      </c>
      <c r="L164">
        <f>+J164/I164</f>
        <v>0.34192318781884862</v>
      </c>
      <c r="M164">
        <f>+(L164-$L$913)/$L$914</f>
        <v>0.32687228963121168</v>
      </c>
      <c r="N164">
        <f>+N161+M164</f>
        <v>-1.724747345965699</v>
      </c>
    </row>
    <row r="165" spans="1:14">
      <c r="A165" s="7">
        <v>1</v>
      </c>
      <c r="B165" s="86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2.5373220945061892</v>
      </c>
    </row>
    <row r="166" spans="1:14">
      <c r="A166" s="7">
        <v>17</v>
      </c>
      <c r="B166" s="86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1.2385680410483269</v>
      </c>
    </row>
    <row r="167" spans="1:14">
      <c r="A167" s="7">
        <v>18</v>
      </c>
      <c r="B167" s="86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1.3133153077520763</v>
      </c>
      <c r="I167" s="50">
        <f>AVERAGE(F165:F167)</f>
        <v>5.1312333333333333</v>
      </c>
      <c r="J167" s="50">
        <f>AVERAGE(G165:G167)</f>
        <v>1.6964018144355306</v>
      </c>
      <c r="L167">
        <f>+J167/I167</f>
        <v>0.33060313266508973</v>
      </c>
      <c r="M167">
        <f>+(L167-$L$913)/$L$914</f>
        <v>0.20465748036997611</v>
      </c>
      <c r="N167">
        <f>+N164+M167</f>
        <v>-1.5200898655957229</v>
      </c>
    </row>
    <row r="168" spans="1:14">
      <c r="A168" s="7">
        <v>1</v>
      </c>
      <c r="B168" s="86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0.21795530180189979</v>
      </c>
    </row>
    <row r="169" spans="1:14">
      <c r="A169" s="7">
        <v>17</v>
      </c>
      <c r="B169" s="86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0.37185885889893977</v>
      </c>
    </row>
    <row r="170" spans="1:14">
      <c r="A170" s="7">
        <v>18</v>
      </c>
      <c r="B170" s="86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0.51089149012309787</v>
      </c>
      <c r="I170" s="50">
        <f>AVERAGE(F168:F170)</f>
        <v>1.6521999999999999</v>
      </c>
      <c r="J170" s="50">
        <f>AVERAGE(G168:G170)</f>
        <v>0.36690188360797915</v>
      </c>
      <c r="L170">
        <f>+J170/I170</f>
        <v>0.22206868636241325</v>
      </c>
      <c r="M170">
        <f>+(L170-$L$913)/$L$914</f>
        <v>-0.9671138999797797</v>
      </c>
      <c r="N170">
        <f>+N167+M170</f>
        <v>-2.4872037655755026</v>
      </c>
    </row>
    <row r="171" spans="1:14">
      <c r="A171" s="7">
        <v>1</v>
      </c>
      <c r="B171" s="86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4.0517504625167104</v>
      </c>
    </row>
    <row r="172" spans="1:14">
      <c r="A172" s="7">
        <v>17</v>
      </c>
      <c r="B172" s="86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4.5875752136068284</v>
      </c>
    </row>
    <row r="173" spans="1:14">
      <c r="A173" s="7">
        <v>18</v>
      </c>
      <c r="B173" s="86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1.267956800518488</v>
      </c>
      <c r="I173" s="50">
        <f>AVERAGE(F171:F173)</f>
        <v>14.197066666666666</v>
      </c>
      <c r="J173" s="50">
        <f>AVERAGE(G171:G173)</f>
        <v>3.3024274922140093</v>
      </c>
      <c r="L173">
        <f>+J173/I173</f>
        <v>0.23261336794084289</v>
      </c>
      <c r="M173">
        <f>+(L173-$L$913)/$L$914</f>
        <v>-0.85327026314906018</v>
      </c>
      <c r="N173">
        <f>+N170+M173</f>
        <v>-3.3404740287245627</v>
      </c>
    </row>
    <row r="174" spans="1:14">
      <c r="A174" s="7">
        <v>1</v>
      </c>
      <c r="B174" s="86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2.1282170851293927</v>
      </c>
    </row>
    <row r="175" spans="1:14">
      <c r="A175" s="7">
        <v>17</v>
      </c>
      <c r="B175" s="86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2.1637376391497267</v>
      </c>
    </row>
    <row r="176" spans="1:14">
      <c r="A176" s="7">
        <v>18</v>
      </c>
      <c r="B176" s="86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2.6685921533960988</v>
      </c>
      <c r="I176" s="50">
        <f>AVERAGE(F174:F176)</f>
        <v>19.763133333333332</v>
      </c>
      <c r="J176" s="50">
        <f>AVERAGE(G174:G176)</f>
        <v>2.3201822925584059</v>
      </c>
      <c r="L176">
        <f>+J176/I176</f>
        <v>0.11739951623182589</v>
      </c>
      <c r="M176">
        <f>+(L176-$L$913)/$L$914</f>
        <v>-2.0971545657970179</v>
      </c>
      <c r="N176">
        <f>+N173+M176</f>
        <v>-5.4376285945215805</v>
      </c>
    </row>
    <row r="177" spans="1:14">
      <c r="A177" s="7">
        <v>1</v>
      </c>
      <c r="B177" s="86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</row>
    <row r="178" spans="1:14">
      <c r="A178" s="7">
        <v>17</v>
      </c>
      <c r="B178" s="86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</row>
    <row r="179" spans="1:14">
      <c r="A179" s="7">
        <v>18</v>
      </c>
      <c r="B179" s="86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I179" s="50">
        <f>AVERAGE(F177:F179)</f>
        <v>8.697633333333334</v>
      </c>
      <c r="J179" s="50" t="e">
        <f>AVERAGE(G177:G179)</f>
        <v>#DIV/0!</v>
      </c>
    </row>
    <row r="180" spans="1:14">
      <c r="A180" s="7">
        <v>1</v>
      </c>
      <c r="B180" s="86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4.2466678666492745</v>
      </c>
    </row>
    <row r="181" spans="1:14">
      <c r="A181" s="7">
        <v>17</v>
      </c>
      <c r="B181" s="86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2.8443523089570117</v>
      </c>
    </row>
    <row r="182" spans="1:14">
      <c r="A182" s="7">
        <v>18</v>
      </c>
      <c r="B182" s="86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2.6264797441076335</v>
      </c>
      <c r="I182" s="50">
        <f>AVERAGE(F180:F182)</f>
        <v>9.2700999999999993</v>
      </c>
      <c r="J182" s="50">
        <f>AVERAGE(G180:G182)</f>
        <v>3.2391666399046399</v>
      </c>
      <c r="L182">
        <f>+J182/I182</f>
        <v>0.34942089512568797</v>
      </c>
      <c r="M182">
        <f>+(L182-$L$913)/$L$914</f>
        <v>0.40781985180785629</v>
      </c>
      <c r="N182">
        <f>+N176+M182</f>
        <v>-5.0298087427137244</v>
      </c>
    </row>
    <row r="183" spans="1:14">
      <c r="A183" s="7">
        <v>1</v>
      </c>
      <c r="B183" s="86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2.2102603639539948</v>
      </c>
    </row>
    <row r="184" spans="1:14">
      <c r="A184" s="7">
        <v>17</v>
      </c>
      <c r="B184" s="86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3.6649733788077179</v>
      </c>
    </row>
    <row r="185" spans="1:14">
      <c r="A185" s="7">
        <v>18</v>
      </c>
      <c r="B185" s="86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2.2137942013240961</v>
      </c>
      <c r="I185" s="50">
        <f>AVERAGE(F183:F185)</f>
        <v>9.2226800000000004</v>
      </c>
      <c r="J185" s="50">
        <f>AVERAGE(G183:G185)</f>
        <v>2.6963426480286032</v>
      </c>
      <c r="L185">
        <f>+J185/I185</f>
        <v>0.2923599916758039</v>
      </c>
      <c r="M185">
        <f>+(L185-$L$913)/$L$914</f>
        <v>-0.2082272731114696</v>
      </c>
      <c r="N185">
        <f>+N182+M185</f>
        <v>-5.2380360158251937</v>
      </c>
    </row>
    <row r="186" spans="1:14">
      <c r="A186" s="7">
        <v>1</v>
      </c>
      <c r="B186" s="86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1.9589990740219922</v>
      </c>
    </row>
    <row r="187" spans="1:14">
      <c r="A187" s="7">
        <v>17</v>
      </c>
      <c r="B187" s="86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2.1777082707999416</v>
      </c>
    </row>
    <row r="188" spans="1:14">
      <c r="A188" s="7">
        <v>18</v>
      </c>
      <c r="B188" s="86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4.1689127704022901</v>
      </c>
      <c r="I188" s="50">
        <f>AVERAGE(F186:F188)</f>
        <v>7.9690699999999994</v>
      </c>
      <c r="J188" s="50">
        <f>AVERAGE(G186:G188)</f>
        <v>2.7685400384080747</v>
      </c>
      <c r="L188">
        <f>+J188/I188</f>
        <v>0.3474106813477702</v>
      </c>
      <c r="M188">
        <f>+(L188-$L$913)/$L$914</f>
        <v>0.38611696342917651</v>
      </c>
      <c r="N188">
        <f>+N185+M188</f>
        <v>-4.851919052396017</v>
      </c>
    </row>
    <row r="189" spans="1:14">
      <c r="A189" s="7">
        <v>1</v>
      </c>
      <c r="B189" s="86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1.3037250280622812</v>
      </c>
    </row>
    <row r="190" spans="1:14">
      <c r="A190" s="7">
        <v>17</v>
      </c>
      <c r="B190" s="86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2.6484010026724731</v>
      </c>
    </row>
    <row r="191" spans="1:14">
      <c r="A191" s="7">
        <v>18</v>
      </c>
      <c r="B191" s="86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1.3082743839531161</v>
      </c>
      <c r="I191" s="50">
        <f>AVERAGE(F189:F191)</f>
        <v>5.2382099999999996</v>
      </c>
      <c r="J191" s="50">
        <f>AVERAGE(G189:G191)</f>
        <v>1.7534668048959567</v>
      </c>
      <c r="L191">
        <f>+J191/I191</f>
        <v>0.33474541969412391</v>
      </c>
      <c r="M191">
        <f>+(L191-$L$913)/$L$914</f>
        <v>0.24937888961068996</v>
      </c>
      <c r="N191">
        <f>+N188+M191</f>
        <v>-4.6025401627853268</v>
      </c>
    </row>
    <row r="192" spans="1:14">
      <c r="A192" s="15">
        <v>1</v>
      </c>
      <c r="B192" s="93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3.9331440400833095</v>
      </c>
    </row>
    <row r="193" spans="1:14">
      <c r="A193" s="7">
        <v>17</v>
      </c>
      <c r="B193" s="94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7.1476368224923235</v>
      </c>
    </row>
    <row r="194" spans="1:14">
      <c r="A194" s="7">
        <v>18</v>
      </c>
      <c r="B194" s="94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4.8347613662764255</v>
      </c>
      <c r="I194" s="50">
        <f>AVERAGE(F192:F194)</f>
        <v>14.576873333333333</v>
      </c>
      <c r="J194" s="50">
        <f>AVERAGE(G192:G194)</f>
        <v>5.3051807429506859</v>
      </c>
      <c r="L194">
        <f>+J194/I194</f>
        <v>0.36394503962788677</v>
      </c>
      <c r="M194">
        <f>+(L194-$L$913)/$L$914</f>
        <v>0.5646269985848249</v>
      </c>
      <c r="N194">
        <f>+N191+M194</f>
        <v>-4.0379131642005017</v>
      </c>
    </row>
    <row r="195" spans="1:14">
      <c r="A195" s="7">
        <v>1</v>
      </c>
      <c r="B195" s="94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1.1240888012582275</v>
      </c>
    </row>
    <row r="196" spans="1:14">
      <c r="A196" s="7">
        <v>17</v>
      </c>
      <c r="B196" s="94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0.98782078404224183</v>
      </c>
    </row>
    <row r="197" spans="1:14">
      <c r="A197" s="7">
        <v>18</v>
      </c>
      <c r="B197" s="94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0.74414334487293265</v>
      </c>
      <c r="I197" s="50">
        <f>AVERAGE(F195:F197)</f>
        <v>3.2704333333333335</v>
      </c>
      <c r="J197" s="50">
        <f>AVERAGE(G195:G197)</f>
        <v>0.95201764339113393</v>
      </c>
      <c r="L197">
        <f>+J197/I197</f>
        <v>0.29109831828334692</v>
      </c>
      <c r="M197">
        <f>+(L197-$L$913)/$L$914</f>
        <v>-0.22184868845924766</v>
      </c>
      <c r="N197">
        <f>+N194+M197</f>
        <v>-4.2597618526597492</v>
      </c>
    </row>
    <row r="198" spans="1:14">
      <c r="A198" s="7">
        <v>1</v>
      </c>
      <c r="B198" s="94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0.31271094940345462</v>
      </c>
    </row>
    <row r="199" spans="1:14">
      <c r="A199" s="7">
        <v>17</v>
      </c>
      <c r="B199" s="94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0.47636551102085034</v>
      </c>
    </row>
    <row r="200" spans="1:14">
      <c r="A200" s="7">
        <v>18</v>
      </c>
      <c r="B200" s="94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0.19095549593552683</v>
      </c>
      <c r="I200" s="50">
        <f>AVERAGE(F198:F200)</f>
        <v>1.4222666666666666</v>
      </c>
      <c r="J200" s="50">
        <f>AVERAGE(G198:G200)</f>
        <v>0.3266773187866106</v>
      </c>
      <c r="L200">
        <f>+J200/I200</f>
        <v>0.22968781202770974</v>
      </c>
      <c r="M200">
        <f>+(L200-$L$913)/$L$914</f>
        <v>-0.8848554677306758</v>
      </c>
      <c r="N200">
        <f>+N197+M200</f>
        <v>-5.1446173203904246</v>
      </c>
    </row>
    <row r="201" spans="1:14">
      <c r="A201" s="7">
        <v>1</v>
      </c>
      <c r="B201" s="94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0.78926696478881142</v>
      </c>
    </row>
    <row r="202" spans="1:14">
      <c r="A202" s="7">
        <v>17</v>
      </c>
      <c r="B202" s="94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1.0714390296885241</v>
      </c>
    </row>
    <row r="203" spans="1:14">
      <c r="A203" s="7">
        <v>18</v>
      </c>
      <c r="B203" s="94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1.2478810965676568</v>
      </c>
      <c r="I203" s="50">
        <f>AVERAGE(F201:F203)</f>
        <v>2.6232500000000001</v>
      </c>
      <c r="J203" s="50">
        <f>AVERAGE(G201:G203)</f>
        <v>1.0361956970149973</v>
      </c>
      <c r="L203">
        <f>+J203/I203</f>
        <v>0.39500455427999515</v>
      </c>
      <c r="M203">
        <f>+(L203-$L$913)/$L$914</f>
        <v>0.8999551049760306</v>
      </c>
      <c r="N203">
        <f>+N200+M203</f>
        <v>-4.2446622154143938</v>
      </c>
    </row>
    <row r="204" spans="1:14">
      <c r="A204" s="7">
        <v>1</v>
      </c>
      <c r="B204" s="94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0.22252003392008535</v>
      </c>
    </row>
    <row r="205" spans="1:14">
      <c r="A205" s="7">
        <v>17</v>
      </c>
      <c r="B205" s="94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0.24022387043009072</v>
      </c>
    </row>
    <row r="206" spans="1:14">
      <c r="A206" s="7">
        <v>18</v>
      </c>
      <c r="B206" s="94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0.67969422069058072</v>
      </c>
      <c r="I206" s="50">
        <f>AVERAGE(F204:F206)</f>
        <v>1.16177</v>
      </c>
      <c r="J206" s="50">
        <f>AVERAGE(G204:G206)</f>
        <v>0.38081270834691888</v>
      </c>
      <c r="L206">
        <f>+J206/I206</f>
        <v>0.3277866603087693</v>
      </c>
      <c r="M206">
        <f>+(L206-$L$913)/$L$914</f>
        <v>0.17424997553525398</v>
      </c>
      <c r="N206">
        <f>+N203+M206</f>
        <v>-4.0704122398791398</v>
      </c>
    </row>
    <row r="207" spans="1:14">
      <c r="A207" s="7">
        <v>1</v>
      </c>
      <c r="B207" s="94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7.7061745198636675</v>
      </c>
    </row>
    <row r="208" spans="1:14">
      <c r="A208" s="7">
        <v>17</v>
      </c>
      <c r="B208" s="94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0.62317432742282886</v>
      </c>
    </row>
    <row r="209" spans="1:14">
      <c r="A209" s="7">
        <v>18</v>
      </c>
      <c r="B209" s="94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11.767582959550102</v>
      </c>
      <c r="I209" s="50">
        <f>AVERAGE(F207:F209)</f>
        <v>21.869380000000003</v>
      </c>
      <c r="J209" s="50">
        <f>AVERAGE(G207:G209)</f>
        <v>6.6989772689455336</v>
      </c>
      <c r="L209">
        <f>+J209/I209</f>
        <v>0.30631765824845208</v>
      </c>
      <c r="M209">
        <f>+(L209-$L$913)/$L$914</f>
        <v>-5.7535996899649201E-2</v>
      </c>
      <c r="N209">
        <f>+N206+M209</f>
        <v>-4.1279482367787894</v>
      </c>
    </row>
    <row r="210" spans="1:14">
      <c r="A210" s="7">
        <v>1</v>
      </c>
      <c r="B210" s="94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1.5048791884227728</v>
      </c>
    </row>
    <row r="211" spans="1:14">
      <c r="A211" s="7">
        <v>17</v>
      </c>
      <c r="B211" s="94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0.77672065141323354</v>
      </c>
    </row>
    <row r="212" spans="1:14">
      <c r="A212" s="7">
        <v>18</v>
      </c>
      <c r="B212" s="94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1.7295755124923482</v>
      </c>
      <c r="I212" s="50">
        <f>AVERAGE(F210:F212)</f>
        <v>8.4403866666666669</v>
      </c>
      <c r="J212" s="50">
        <f>AVERAGE(G210:G212)</f>
        <v>1.3370584507761183</v>
      </c>
      <c r="L212">
        <f>+J212/I212</f>
        <v>0.15841199030093228</v>
      </c>
      <c r="M212">
        <f>+(L212-$L$913)/$L$914</f>
        <v>-1.6543712376590065</v>
      </c>
      <c r="N212">
        <f>+N209+M212</f>
        <v>-5.7823194744377959</v>
      </c>
    </row>
    <row r="213" spans="1:14">
      <c r="A213" s="7">
        <v>1</v>
      </c>
      <c r="B213" s="94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1.8376152714099325</v>
      </c>
    </row>
    <row r="214" spans="1:14">
      <c r="A214" s="7">
        <v>17</v>
      </c>
      <c r="B214" s="94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1.7262347368241708</v>
      </c>
    </row>
    <row r="215" spans="1:14">
      <c r="A215" s="7">
        <v>18</v>
      </c>
      <c r="B215" s="94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3.0671446934322777</v>
      </c>
      <c r="I215" s="50">
        <f>AVERAGE(F213:F215)</f>
        <v>8.1725666666666665</v>
      </c>
      <c r="J215" s="50">
        <f>AVERAGE(G213:G215)</f>
        <v>2.2103315672221271</v>
      </c>
      <c r="L215">
        <f>+J215/I215</f>
        <v>0.27045745325484777</v>
      </c>
      <c r="M215">
        <f>+(L215-$L$913)/$L$914</f>
        <v>-0.44469383790247119</v>
      </c>
      <c r="N215">
        <f>+N212+M215</f>
        <v>-6.2270133123402669</v>
      </c>
    </row>
    <row r="216" spans="1:14">
      <c r="A216" s="7">
        <v>1</v>
      </c>
      <c r="B216" s="94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1.7095599870543905</v>
      </c>
    </row>
    <row r="217" spans="1:14">
      <c r="A217" s="7">
        <v>17</v>
      </c>
      <c r="B217" s="94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2.3565382160043651</v>
      </c>
    </row>
    <row r="218" spans="1:14">
      <c r="A218" s="7">
        <v>18</v>
      </c>
      <c r="B218" s="94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3.1767480408853555</v>
      </c>
      <c r="I218" s="50">
        <f>AVERAGE(F216:F218)</f>
        <v>11.291676666666667</v>
      </c>
      <c r="J218" s="50">
        <f>AVERAGE(G216:G218)</f>
        <v>2.4142820813147039</v>
      </c>
      <c r="L218">
        <f>+J218/I218</f>
        <v>0.21381076987811115</v>
      </c>
      <c r="M218">
        <f>+(L218-$L$913)/$L$914</f>
        <v>-1.0562689150672346</v>
      </c>
      <c r="N218">
        <f>+N215+M218</f>
        <v>-7.2832822274075015</v>
      </c>
    </row>
    <row r="219" spans="1:14">
      <c r="A219" s="7">
        <v>1</v>
      </c>
      <c r="B219" s="94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0.63290000000000002</v>
      </c>
    </row>
    <row r="220" spans="1:14">
      <c r="A220" s="7">
        <v>17</v>
      </c>
      <c r="B220" s="94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0.84279999999999999</v>
      </c>
    </row>
    <row r="221" spans="1:14">
      <c r="A221" s="7">
        <v>18</v>
      </c>
      <c r="B221" s="94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0.9345</v>
      </c>
      <c r="I221" s="50">
        <f>AVERAGE(F219:F221)</f>
        <v>2.6018666666666665</v>
      </c>
      <c r="J221" s="50">
        <f>AVERAGE(G219:G221)</f>
        <v>0.8034</v>
      </c>
      <c r="L221">
        <f>+J221/I221</f>
        <v>0.30877831300604697</v>
      </c>
      <c r="M221">
        <f>+(L221-$L$913)/$L$914</f>
        <v>-3.0970008680293946E-2</v>
      </c>
      <c r="N221">
        <f>+N218+M221</f>
        <v>-7.3142522360877953</v>
      </c>
    </row>
    <row r="222" spans="1:14">
      <c r="A222" s="7">
        <v>1</v>
      </c>
      <c r="B222" s="94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0.49640000000000001</v>
      </c>
    </row>
    <row r="223" spans="1:14">
      <c r="A223" s="7">
        <v>17</v>
      </c>
      <c r="B223" s="94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1.1418999999999999</v>
      </c>
    </row>
    <row r="224" spans="1:14">
      <c r="A224" s="7">
        <v>18</v>
      </c>
      <c r="B224" s="94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1.0449999999999999</v>
      </c>
      <c r="I224" s="50">
        <f>AVERAGE(F222:F224)</f>
        <v>4.0828333333333333</v>
      </c>
      <c r="J224" s="50">
        <f>AVERAGE(G222:G224)</f>
        <v>0.8944333333333333</v>
      </c>
      <c r="L224">
        <f>+J224/I224</f>
        <v>0.21907172306813077</v>
      </c>
      <c r="M224">
        <f>+(L224-$L$913)/$L$914</f>
        <v>-0.99947004068745415</v>
      </c>
      <c r="N224">
        <f>+N221+M224</f>
        <v>-8.3137222767752501</v>
      </c>
    </row>
    <row r="225" spans="1:14">
      <c r="A225" s="7">
        <v>1</v>
      </c>
      <c r="B225" s="94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2.7671000000000001</v>
      </c>
    </row>
    <row r="226" spans="1:14">
      <c r="A226" s="7">
        <v>17</v>
      </c>
      <c r="B226" s="94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3.8075000000000001</v>
      </c>
    </row>
    <row r="227" spans="1:14">
      <c r="A227" s="7">
        <v>18</v>
      </c>
      <c r="B227" s="94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3.5575999999999999</v>
      </c>
      <c r="I227" s="50">
        <f>AVERAGE(F225:F227)</f>
        <v>9.5709</v>
      </c>
      <c r="J227" s="50">
        <f>AVERAGE(G225:G227)</f>
        <v>3.3774000000000002</v>
      </c>
      <c r="L227">
        <f>+J227/I227</f>
        <v>0.352882174090211</v>
      </c>
      <c r="M227">
        <f>+(L227-$L$913)/$L$914</f>
        <v>0.44518888779781285</v>
      </c>
      <c r="N227">
        <f>+N224+M227</f>
        <v>-7.8685333889774371</v>
      </c>
    </row>
    <row r="228" spans="1:14">
      <c r="A228" s="17">
        <v>1</v>
      </c>
      <c r="B228" s="93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3.8887</v>
      </c>
    </row>
    <row r="229" spans="1:14">
      <c r="A229" s="11">
        <v>17</v>
      </c>
      <c r="B229" s="94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9.0748999999999995</v>
      </c>
    </row>
    <row r="230" spans="1:14">
      <c r="A230" s="11">
        <v>18</v>
      </c>
      <c r="B230" s="94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5.0305</v>
      </c>
      <c r="I230" s="50">
        <f>AVERAGE(F228:F230)</f>
        <v>15.905066666666665</v>
      </c>
      <c r="J230" s="50">
        <f>AVERAGE(G228:G230)</f>
        <v>5.9980333333333329</v>
      </c>
      <c r="L230">
        <f>+J230/I230</f>
        <v>0.37711463013882368</v>
      </c>
      <c r="M230">
        <f>+(L230-$L$913)/$L$914</f>
        <v>0.70680996240265426</v>
      </c>
      <c r="N230">
        <f>+N227+M230</f>
        <v>-7.1617234265747829</v>
      </c>
    </row>
    <row r="231" spans="1:14">
      <c r="A231" s="11">
        <v>1</v>
      </c>
      <c r="B231" s="94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2.9098999999999999</v>
      </c>
    </row>
    <row r="232" spans="1:14">
      <c r="A232" s="11">
        <v>17</v>
      </c>
      <c r="B232" s="94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4.0843999999999996</v>
      </c>
    </row>
    <row r="233" spans="1:14">
      <c r="A233" s="11">
        <v>18</v>
      </c>
      <c r="B233" s="94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3.1713</v>
      </c>
      <c r="I233" s="50">
        <f>AVERAGE(F231:F233)</f>
        <v>9.8544999999999998</v>
      </c>
      <c r="J233" s="50">
        <f>AVERAGE(G231:G233)</f>
        <v>3.3885333333333332</v>
      </c>
      <c r="L233">
        <f>+J233/I233</f>
        <v>0.34385644460229675</v>
      </c>
      <c r="M233">
        <f>+(L233-$L$913)/$L$914</f>
        <v>0.3477443265455944</v>
      </c>
      <c r="N233">
        <f>+N230+M233</f>
        <v>-6.8139791000291883</v>
      </c>
    </row>
    <row r="234" spans="1:14">
      <c r="A234" s="11">
        <v>1</v>
      </c>
      <c r="B234" s="94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2.6951000000000001</v>
      </c>
    </row>
    <row r="235" spans="1:14">
      <c r="A235" s="11">
        <v>17</v>
      </c>
      <c r="B235" s="94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3.7907999999999999</v>
      </c>
    </row>
    <row r="236" spans="1:14">
      <c r="A236" s="11">
        <v>18</v>
      </c>
      <c r="B236" s="94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2.9695</v>
      </c>
      <c r="I236" s="50">
        <f>AVERAGE(F234:F236)</f>
        <v>8.1606666666666658</v>
      </c>
      <c r="J236" s="50">
        <f>AVERAGE(G234:G236)</f>
        <v>3.1518000000000002</v>
      </c>
      <c r="L236">
        <f>+J236/I236</f>
        <v>0.38621844620537543</v>
      </c>
      <c r="M236">
        <f>+(L236-$L$913)/$L$914</f>
        <v>0.80509757045848085</v>
      </c>
      <c r="N236">
        <f>+N233+M236</f>
        <v>-6.0088815295707079</v>
      </c>
    </row>
    <row r="237" spans="1:14">
      <c r="A237" s="11">
        <v>1</v>
      </c>
      <c r="B237" s="90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1.1950000000000001</v>
      </c>
    </row>
    <row r="238" spans="1:14">
      <c r="A238" s="11">
        <v>17</v>
      </c>
      <c r="B238" s="90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1.4914000000000001</v>
      </c>
    </row>
    <row r="239" spans="1:14">
      <c r="A239" s="11">
        <v>18</v>
      </c>
      <c r="B239" s="90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1.3039000000000001</v>
      </c>
      <c r="I239" s="50">
        <f>AVERAGE(F237:F239)</f>
        <v>3.392466666666667</v>
      </c>
      <c r="J239" s="50">
        <f>AVERAGE(G237:G239)</f>
        <v>1.3301000000000001</v>
      </c>
      <c r="L239">
        <f>+J239/I239</f>
        <v>0.39207459665533434</v>
      </c>
      <c r="M239">
        <f>+(L239-$L$913)/$L$914</f>
        <v>0.86832237815821822</v>
      </c>
      <c r="N239">
        <f>+N236+M239</f>
        <v>-5.1405591514124893</v>
      </c>
    </row>
    <row r="240" spans="1:14">
      <c r="A240" s="11">
        <v>1</v>
      </c>
      <c r="B240" s="90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0.2316</v>
      </c>
    </row>
    <row r="241" spans="1:14">
      <c r="A241" s="11">
        <v>17</v>
      </c>
      <c r="B241" s="90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0.80420000000000003</v>
      </c>
    </row>
    <row r="242" spans="1:14">
      <c r="A242" s="11">
        <v>18</v>
      </c>
      <c r="B242" s="90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0.64019999999999999</v>
      </c>
      <c r="I242" s="50">
        <f>AVERAGE(F240:F242)</f>
        <v>2.2359000000000004</v>
      </c>
      <c r="J242" s="50">
        <f>AVERAGE(G240:G242)</f>
        <v>0.55866666666666676</v>
      </c>
      <c r="L242">
        <f>+J242/I242</f>
        <v>0.24986209878199681</v>
      </c>
      <c r="M242">
        <f>+(L242-$L$913)/$L$914</f>
        <v>-0.66704764134054118</v>
      </c>
      <c r="N242">
        <f>+N239+M242</f>
        <v>-5.8076067927530302</v>
      </c>
    </row>
    <row r="243" spans="1:14">
      <c r="A243" s="11">
        <v>1</v>
      </c>
      <c r="B243" s="90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0.82899999999999996</v>
      </c>
    </row>
    <row r="244" spans="1:14">
      <c r="A244" s="11">
        <v>17</v>
      </c>
      <c r="B244" s="90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0.34399999999999997</v>
      </c>
    </row>
    <row r="245" spans="1:14">
      <c r="A245" s="11">
        <v>18</v>
      </c>
      <c r="B245" s="90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1.3217000000000001</v>
      </c>
      <c r="I245" s="50">
        <f>AVERAGE(F243:F245)</f>
        <v>3.0684333333333336</v>
      </c>
      <c r="J245" s="50">
        <f>AVERAGE(G243:G245)</f>
        <v>0.83156666666666668</v>
      </c>
      <c r="L245">
        <f>+J245/I245</f>
        <v>0.271006919926564</v>
      </c>
      <c r="M245">
        <f>+(L245-$L$913)/$L$914</f>
        <v>-0.43876162612725672</v>
      </c>
      <c r="N245">
        <f>+N242+M245</f>
        <v>-6.2463684188802873</v>
      </c>
    </row>
    <row r="246" spans="1:14">
      <c r="A246" s="11">
        <v>1</v>
      </c>
      <c r="B246" s="90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1.3371</v>
      </c>
    </row>
    <row r="247" spans="1:14">
      <c r="A247" s="11">
        <v>17</v>
      </c>
      <c r="B247" s="90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2.1821000000000002</v>
      </c>
    </row>
    <row r="248" spans="1:14">
      <c r="A248" s="11">
        <v>18</v>
      </c>
      <c r="B248" s="90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2.0392000000000001</v>
      </c>
      <c r="I248" s="50">
        <f>AVERAGE(F246:F248)</f>
        <v>7.4259666666666666</v>
      </c>
      <c r="J248" s="50">
        <f>AVERAGE(G246:G248)</f>
        <v>1.8528000000000002</v>
      </c>
      <c r="L248">
        <f>+J248/I248</f>
        <v>0.24950287055781742</v>
      </c>
      <c r="M248">
        <f>+(L248-$L$913)/$L$914</f>
        <v>-0.67092598012096294</v>
      </c>
      <c r="N248">
        <f>+N245+M248</f>
        <v>-6.9172943990012499</v>
      </c>
    </row>
    <row r="249" spans="1:14">
      <c r="A249" s="11">
        <v>1</v>
      </c>
      <c r="B249" s="90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2.823</v>
      </c>
    </row>
    <row r="250" spans="1:14">
      <c r="A250" s="11">
        <v>17</v>
      </c>
      <c r="B250" s="90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3.8163</v>
      </c>
    </row>
    <row r="251" spans="1:14">
      <c r="A251" s="11">
        <v>18</v>
      </c>
      <c r="B251" s="90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2.7448000000000001</v>
      </c>
      <c r="I251" s="50">
        <f>AVERAGE(F249:F251)</f>
        <v>12.061999999999999</v>
      </c>
      <c r="J251" s="50">
        <f>AVERAGE(G249:G251)</f>
        <v>3.1280333333333332</v>
      </c>
      <c r="L251">
        <f>+J251/I251</f>
        <v>0.25932957497374676</v>
      </c>
      <c r="M251">
        <f>+(L251-$L$913)/$L$914</f>
        <v>-0.56483384633303202</v>
      </c>
      <c r="N251">
        <f>+N248+M251</f>
        <v>-7.4821282453342821</v>
      </c>
    </row>
    <row r="252" spans="1:14">
      <c r="A252" s="11">
        <v>1</v>
      </c>
      <c r="B252" s="90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1.3063</v>
      </c>
    </row>
    <row r="253" spans="1:14">
      <c r="A253" s="11">
        <v>17</v>
      </c>
      <c r="B253" s="90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1.7504</v>
      </c>
    </row>
    <row r="254" spans="1:14">
      <c r="A254" s="11">
        <v>18</v>
      </c>
      <c r="B254" s="90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1.8442000000000001</v>
      </c>
      <c r="I254" s="50">
        <f>AVERAGE(F252:F254)</f>
        <v>4.9474333333333336</v>
      </c>
      <c r="J254" s="50">
        <f>AVERAGE(G252:G254)</f>
        <v>1.6336333333333333</v>
      </c>
      <c r="L254">
        <f>+J254/I254</f>
        <v>0.33019814988243057</v>
      </c>
      <c r="M254">
        <f>+(L254-$L$913)/$L$914</f>
        <v>0.20028516125452211</v>
      </c>
      <c r="N254">
        <f>+N251+M254</f>
        <v>-7.2818430840797603</v>
      </c>
    </row>
    <row r="255" spans="1:14">
      <c r="A255" s="11">
        <v>1</v>
      </c>
      <c r="B255" s="90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0.32300000000000001</v>
      </c>
    </row>
    <row r="256" spans="1:14">
      <c r="A256" s="11">
        <v>17</v>
      </c>
      <c r="B256" s="90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0.72</v>
      </c>
    </row>
    <row r="257" spans="1:14">
      <c r="A257" s="11">
        <v>18</v>
      </c>
      <c r="B257" s="90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0.42</v>
      </c>
      <c r="I257" s="50">
        <f>AVERAGE(F255:F257)</f>
        <v>2.2113333333333332</v>
      </c>
      <c r="J257" s="50">
        <f>AVERAGE(G255:G257)</f>
        <v>0.48766666666666664</v>
      </c>
      <c r="L257">
        <f>+J257/I257</f>
        <v>0.22053059993970456</v>
      </c>
      <c r="M257">
        <f>+(L257-$L$913)/$L$914</f>
        <v>-0.98371955571425918</v>
      </c>
      <c r="N257">
        <f>+N254+M257</f>
        <v>-8.2655626397940196</v>
      </c>
    </row>
    <row r="258" spans="1:14">
      <c r="A258" s="11">
        <v>1</v>
      </c>
      <c r="B258" s="90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0.86799999999999999</v>
      </c>
    </row>
    <row r="259" spans="1:14">
      <c r="A259" s="11">
        <v>17</v>
      </c>
      <c r="B259" s="90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0.70099999999999996</v>
      </c>
    </row>
    <row r="260" spans="1:14">
      <c r="A260" s="11">
        <v>18</v>
      </c>
      <c r="B260" s="90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0.44700000000000001</v>
      </c>
      <c r="I260" s="50">
        <f>AVERAGE(F258:F260)</f>
        <v>2.6623333333333332</v>
      </c>
      <c r="J260" s="50">
        <f>AVERAGE(G258:G260)</f>
        <v>0.67200000000000004</v>
      </c>
      <c r="L260">
        <f>+J260/I260</f>
        <v>0.252410166520596</v>
      </c>
      <c r="M260">
        <f>+(L260-$L$913)/$L$914</f>
        <v>-0.63953791559912532</v>
      </c>
      <c r="N260">
        <f>+N257+M260</f>
        <v>-8.9051005553931457</v>
      </c>
    </row>
    <row r="261" spans="1:14">
      <c r="A261" s="11">
        <v>1</v>
      </c>
      <c r="B261" s="94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1.921</v>
      </c>
    </row>
    <row r="262" spans="1:14">
      <c r="A262" s="11">
        <v>17</v>
      </c>
      <c r="B262" s="94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2.9279999999999999</v>
      </c>
    </row>
    <row r="263" spans="1:14">
      <c r="A263" s="11">
        <v>18</v>
      </c>
      <c r="B263" s="94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3.1230000000000002</v>
      </c>
      <c r="I263" s="50">
        <f>AVERAGE(F261:F263)</f>
        <v>7.8270000000000008</v>
      </c>
      <c r="J263" s="50">
        <f>AVERAGE(G261:G263)</f>
        <v>2.6573333333333333</v>
      </c>
      <c r="L263">
        <f>+J263/I263</f>
        <v>0.33950853881861925</v>
      </c>
      <c r="M263">
        <f>+(L263-$L$913)/$L$914</f>
        <v>0.30080299376758923</v>
      </c>
      <c r="N263">
        <f>+N260+M263</f>
        <v>-8.6042975616255557</v>
      </c>
    </row>
    <row r="264" spans="1:14">
      <c r="A264" s="23">
        <v>1</v>
      </c>
      <c r="B264" s="93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3.4620000000000002</v>
      </c>
    </row>
    <row r="265" spans="1:14">
      <c r="A265" s="20">
        <v>17</v>
      </c>
      <c r="B265" s="94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3.3410000000000002</v>
      </c>
    </row>
    <row r="266" spans="1:14">
      <c r="A266" s="20">
        <v>18</v>
      </c>
      <c r="B266" s="94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4.8120000000000003</v>
      </c>
      <c r="I266" s="50">
        <f>AVERAGE(F264:F266)</f>
        <v>10.572333333333333</v>
      </c>
      <c r="J266" s="50">
        <f>AVERAGE(G264:G266)</f>
        <v>3.8716666666666675</v>
      </c>
      <c r="L266">
        <f>+J266/I266</f>
        <v>0.36620739666424956</v>
      </c>
      <c r="M266">
        <f>+(L266-$L$913)/$L$914</f>
        <v>0.58905210340315972</v>
      </c>
      <c r="N266">
        <f>+N263+M266</f>
        <v>-8.0152454582223953</v>
      </c>
    </row>
    <row r="267" spans="1:14">
      <c r="A267" s="20">
        <v>1</v>
      </c>
      <c r="B267" s="94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2.4209999999999998</v>
      </c>
    </row>
    <row r="268" spans="1:14">
      <c r="A268" s="20">
        <v>17</v>
      </c>
      <c r="B268" s="94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4.6379999999999999</v>
      </c>
    </row>
    <row r="269" spans="1:14">
      <c r="A269" s="20">
        <v>18</v>
      </c>
      <c r="B269" s="94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2.3820000000000001</v>
      </c>
      <c r="I269" s="50">
        <f>AVERAGE(F267:F269)</f>
        <v>8.397333333333334</v>
      </c>
      <c r="J269" s="50">
        <f>AVERAGE(G267:G269)</f>
        <v>3.1469999999999998</v>
      </c>
      <c r="L269">
        <f>+J269/I269</f>
        <v>0.3747618291521117</v>
      </c>
      <c r="M269">
        <f>+(L269-$L$913)/$L$914</f>
        <v>0.68140839678173326</v>
      </c>
      <c r="N269">
        <f>+N266+M269</f>
        <v>-7.3338370614406623</v>
      </c>
    </row>
    <row r="270" spans="1:14">
      <c r="A270" s="20">
        <v>1</v>
      </c>
      <c r="B270" s="94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2.1219999999999999</v>
      </c>
    </row>
    <row r="271" spans="1:14">
      <c r="A271" s="20">
        <v>17</v>
      </c>
      <c r="B271" s="94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1.7569999999999999</v>
      </c>
    </row>
    <row r="272" spans="1:14">
      <c r="A272" s="20">
        <v>18</v>
      </c>
      <c r="B272" s="94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1.2669999999999999</v>
      </c>
      <c r="I272" s="50">
        <f>AVERAGE(F270:F272)</f>
        <v>4.7093333333333325</v>
      </c>
      <c r="J272" s="50">
        <f>AVERAGE(G270:G272)</f>
        <v>1.7153333333333329</v>
      </c>
      <c r="L272">
        <f>+J272/I272</f>
        <v>0.36424122310305773</v>
      </c>
      <c r="M272">
        <f>+(L272-$L$913)/$L$914</f>
        <v>0.56782468679682352</v>
      </c>
      <c r="N272">
        <f>+N269+M272</f>
        <v>-6.7660123746438385</v>
      </c>
    </row>
    <row r="273" spans="1:14">
      <c r="A273" s="20">
        <v>1</v>
      </c>
      <c r="B273" s="94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1.772</v>
      </c>
    </row>
    <row r="274" spans="1:14">
      <c r="A274" s="20">
        <v>17</v>
      </c>
      <c r="B274" s="94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3.5470000000000002</v>
      </c>
    </row>
    <row r="275" spans="1:14">
      <c r="A275" s="20">
        <v>18</v>
      </c>
      <c r="B275" s="94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3.8740000000000001</v>
      </c>
      <c r="I275" s="50">
        <f>AVERAGE(F273:F275)</f>
        <v>7.203666666666666</v>
      </c>
      <c r="J275" s="50">
        <f>AVERAGE(G273:G275)</f>
        <v>3.0643333333333334</v>
      </c>
      <c r="L275">
        <f>+J275/I275</f>
        <v>0.42538522048956556</v>
      </c>
      <c r="M275">
        <f>+(L275-$L$913)/$L$914</f>
        <v>1.2279541540618473</v>
      </c>
      <c r="N275">
        <f>+N272+M275</f>
        <v>-5.5380582205819913</v>
      </c>
    </row>
    <row r="276" spans="1:14">
      <c r="A276" s="20">
        <v>1</v>
      </c>
      <c r="B276" s="94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0.60299999999999998</v>
      </c>
    </row>
    <row r="277" spans="1:14">
      <c r="A277" s="20">
        <v>17</v>
      </c>
      <c r="B277" s="94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1.5880000000000001</v>
      </c>
    </row>
    <row r="278" spans="1:14">
      <c r="A278" s="20">
        <v>18</v>
      </c>
      <c r="B278" s="94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1.52</v>
      </c>
      <c r="I278" s="50">
        <f>AVERAGE(F276:F278)</f>
        <v>3.4689999999999999</v>
      </c>
      <c r="J278" s="50">
        <f>AVERAGE(G276:G278)</f>
        <v>1.2369999999999999</v>
      </c>
      <c r="L278">
        <f>+J278/I278</f>
        <v>0.35658691265494374</v>
      </c>
      <c r="M278">
        <f>+(L278-$L$913)/$L$914</f>
        <v>0.48518638877299225</v>
      </c>
      <c r="N278">
        <f>+N275+M278</f>
        <v>-5.0528718318089991</v>
      </c>
    </row>
    <row r="279" spans="1:14">
      <c r="A279" s="20">
        <v>1</v>
      </c>
      <c r="B279" s="94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3.0049999999999999</v>
      </c>
    </row>
    <row r="280" spans="1:14">
      <c r="A280" s="20">
        <v>17</v>
      </c>
      <c r="B280" s="94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0.44400000000000001</v>
      </c>
    </row>
    <row r="281" spans="1:14">
      <c r="A281" s="20">
        <v>18</v>
      </c>
      <c r="B281" s="94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1.5289999999999999</v>
      </c>
      <c r="I281" s="50">
        <f>AVERAGE(F279:F281)</f>
        <v>4.7636666666666665</v>
      </c>
      <c r="J281" s="50">
        <f>AVERAGE(G279:G281)</f>
        <v>1.6593333333333333</v>
      </c>
      <c r="L281">
        <f>+J281/I281</f>
        <v>0.34833111748653001</v>
      </c>
      <c r="M281">
        <f>+(L281-$L$913)/$L$914</f>
        <v>0.39605427606659105</v>
      </c>
      <c r="N281">
        <f>+N278+M281</f>
        <v>-4.6568175557424079</v>
      </c>
    </row>
    <row r="282" spans="1:14">
      <c r="A282" s="20">
        <v>1</v>
      </c>
      <c r="B282" s="94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1.1100000000000001</v>
      </c>
    </row>
    <row r="283" spans="1:14">
      <c r="A283" s="20">
        <v>17</v>
      </c>
      <c r="B283" s="94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1.339</v>
      </c>
    </row>
    <row r="284" spans="1:14">
      <c r="A284" s="20">
        <v>18</v>
      </c>
      <c r="B284" s="94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1.5169999999999999</v>
      </c>
      <c r="I284" s="50">
        <f>AVERAGE(F282:F284)</f>
        <v>7.7403333333333348</v>
      </c>
      <c r="J284" s="50">
        <f>AVERAGE(G282:G284)</f>
        <v>1.3219999999999998</v>
      </c>
      <c r="L284">
        <f>+J284/I284</f>
        <v>0.1707936781361698</v>
      </c>
      <c r="M284">
        <f>+(L284-$L$913)/$L$914</f>
        <v>-1.5206947143062701</v>
      </c>
      <c r="N284">
        <f>+N281+M284</f>
        <v>-6.1775122700486778</v>
      </c>
    </row>
    <row r="285" spans="1:14">
      <c r="A285" s="20">
        <v>1</v>
      </c>
      <c r="B285" s="94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3.7</v>
      </c>
    </row>
    <row r="286" spans="1:14">
      <c r="A286" s="20">
        <v>17</v>
      </c>
      <c r="B286" s="94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2.94</v>
      </c>
    </row>
    <row r="287" spans="1:14">
      <c r="A287" s="20">
        <v>18</v>
      </c>
      <c r="B287" s="94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3.2269999999999999</v>
      </c>
      <c r="I287" s="50">
        <f>AVERAGE(F285:F287)</f>
        <v>9.8699999999999992</v>
      </c>
      <c r="J287" s="50">
        <f>AVERAGE(G285:G287)</f>
        <v>3.2890000000000001</v>
      </c>
      <c r="L287">
        <f>+J287/I287</f>
        <v>0.33323201621073967</v>
      </c>
      <c r="M287">
        <f>+(L287-$L$913)/$L$914</f>
        <v>0.23303971850729846</v>
      </c>
      <c r="N287">
        <f>+N284+M287</f>
        <v>-5.944472551541379</v>
      </c>
    </row>
    <row r="288" spans="1:14">
      <c r="A288" s="20">
        <v>1</v>
      </c>
      <c r="B288" s="94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2.109</v>
      </c>
    </row>
    <row r="289" spans="1:14">
      <c r="A289" s="20">
        <v>17</v>
      </c>
      <c r="B289" s="94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3.839</v>
      </c>
    </row>
    <row r="290" spans="1:14">
      <c r="A290" s="20">
        <v>18</v>
      </c>
      <c r="B290" s="94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2.085</v>
      </c>
      <c r="I290" s="50">
        <f>AVERAGE(F288:F290)</f>
        <v>8.7673333333333332</v>
      </c>
      <c r="J290" s="50">
        <f>AVERAGE(G288:G290)</f>
        <v>2.6776666666666671</v>
      </c>
      <c r="L290">
        <f>+J290/I290</f>
        <v>0.30541403695536468</v>
      </c>
      <c r="M290">
        <f>+(L290-$L$913)/$L$914</f>
        <v>-6.7291771273451428E-2</v>
      </c>
      <c r="N290">
        <f>+N287+M290</f>
        <v>-6.0117643228148303</v>
      </c>
    </row>
    <row r="291" spans="1:14">
      <c r="A291" s="20">
        <v>1</v>
      </c>
      <c r="B291" s="94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1.1499999999999999</v>
      </c>
    </row>
    <row r="292" spans="1:14">
      <c r="A292" s="20">
        <v>17</v>
      </c>
      <c r="B292" s="94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1.972</v>
      </c>
    </row>
    <row r="293" spans="1:14">
      <c r="A293" s="20">
        <v>18</v>
      </c>
      <c r="B293" s="94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0.34</v>
      </c>
      <c r="I293" s="50">
        <f>AVERAGE(F291:F293)</f>
        <v>4.2443333333333335</v>
      </c>
      <c r="J293" s="50">
        <f>AVERAGE(G291:G293)</f>
        <v>1.1539999999999999</v>
      </c>
      <c r="L293">
        <f>+J293/I293</f>
        <v>0.27189193434383097</v>
      </c>
      <c r="M293">
        <f>+(L293-$L$913)/$L$914</f>
        <v>-0.42920673732763726</v>
      </c>
      <c r="N293">
        <f>+N290+M293</f>
        <v>-6.4409710601424672</v>
      </c>
    </row>
    <row r="294" spans="1:14">
      <c r="A294" s="20">
        <v>1</v>
      </c>
      <c r="B294" s="94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0.47799999999999998</v>
      </c>
    </row>
    <row r="295" spans="1:14">
      <c r="A295" s="20">
        <v>17</v>
      </c>
      <c r="B295" s="94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0.76400000000000001</v>
      </c>
    </row>
    <row r="296" spans="1:14">
      <c r="A296" s="20">
        <v>18</v>
      </c>
      <c r="B296" s="94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0.751</v>
      </c>
      <c r="I296" s="50">
        <f>AVERAGE(F294:F296)</f>
        <v>2.345333333333333</v>
      </c>
      <c r="J296" s="50">
        <f>AVERAGE(G294:G296)</f>
        <v>0.66433333333333333</v>
      </c>
      <c r="L296">
        <f>+J296/I296</f>
        <v>0.28325753268902787</v>
      </c>
      <c r="M296">
        <f>+(L296-$L$913)/$L$914</f>
        <v>-0.30650022971518853</v>
      </c>
      <c r="N296">
        <f>+N293+M296</f>
        <v>-6.7474712898576561</v>
      </c>
    </row>
    <row r="297" spans="1:14">
      <c r="A297" s="20">
        <v>1</v>
      </c>
      <c r="B297" s="94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1.5329999999999999</v>
      </c>
    </row>
    <row r="298" spans="1:14">
      <c r="A298" s="20">
        <v>17</v>
      </c>
      <c r="B298" s="94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1.835</v>
      </c>
    </row>
    <row r="299" spans="1:14">
      <c r="A299" s="20">
        <v>18</v>
      </c>
      <c r="B299" s="94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1.8640000000000001</v>
      </c>
      <c r="I299" s="50">
        <f>AVERAGE(F297:F299)</f>
        <v>6.34</v>
      </c>
      <c r="J299" s="50">
        <f>AVERAGE(G297:G299)</f>
        <v>1.744</v>
      </c>
      <c r="L299">
        <f>+J299/I299</f>
        <v>0.2750788643533123</v>
      </c>
      <c r="M299">
        <f>+(L299-$L$913)/$L$914</f>
        <v>-0.39479965733135852</v>
      </c>
      <c r="N299">
        <f>+N296+M299</f>
        <v>-7.1422709471890142</v>
      </c>
    </row>
    <row r="300" spans="1:14">
      <c r="A300" s="23">
        <v>1</v>
      </c>
      <c r="B300" s="93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3.3919999999999999</v>
      </c>
    </row>
    <row r="301" spans="1:14">
      <c r="A301" s="20">
        <v>17</v>
      </c>
      <c r="B301" s="94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4.0199999999999996</v>
      </c>
    </row>
    <row r="302" spans="1:14">
      <c r="A302" s="20">
        <v>18</v>
      </c>
      <c r="B302" s="94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3.4489999999999998</v>
      </c>
      <c r="I302" s="50">
        <f>AVERAGE(F300:F302)</f>
        <v>10.600666666666667</v>
      </c>
      <c r="J302" s="50">
        <f>AVERAGE(G300:G302)</f>
        <v>3.620333333333333</v>
      </c>
      <c r="L302">
        <f>+J302/I302</f>
        <v>0.34151940129551595</v>
      </c>
      <c r="M302">
        <f>+(L302-$L$913)/$L$914</f>
        <v>0.32251288570065989</v>
      </c>
      <c r="N302">
        <f>+N299+M302</f>
        <v>-6.8197580614883542</v>
      </c>
    </row>
    <row r="303" spans="1:14">
      <c r="A303" s="20">
        <v>1</v>
      </c>
      <c r="B303" s="94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1.024</v>
      </c>
    </row>
    <row r="304" spans="1:14">
      <c r="A304" s="20">
        <v>17</v>
      </c>
      <c r="B304" s="94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2.0670000000000002</v>
      </c>
    </row>
    <row r="305" spans="1:14">
      <c r="A305" s="20">
        <v>18</v>
      </c>
      <c r="B305" s="94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1.1619999999999999</v>
      </c>
      <c r="I305" s="50">
        <f>AVERAGE(F303:F305)</f>
        <v>5.8329999999999993</v>
      </c>
      <c r="J305" s="50">
        <f>AVERAGE(G303:G305)</f>
        <v>1.4176666666666666</v>
      </c>
      <c r="L305">
        <f>+J305/I305</f>
        <v>0.24304245956911827</v>
      </c>
      <c r="M305">
        <f>+(L305-$L$913)/$L$914</f>
        <v>-0.74067457109588231</v>
      </c>
      <c r="N305">
        <f>+N302+M305</f>
        <v>-7.5604326325842361</v>
      </c>
    </row>
    <row r="306" spans="1:14">
      <c r="A306" s="20">
        <v>1</v>
      </c>
      <c r="B306" s="94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0.872</v>
      </c>
    </row>
    <row r="307" spans="1:14">
      <c r="A307" s="20">
        <v>17</v>
      </c>
      <c r="B307" s="94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0.73599999999999999</v>
      </c>
    </row>
    <row r="308" spans="1:14">
      <c r="A308" s="20">
        <v>18</v>
      </c>
      <c r="B308" s="94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0.42399999999999999</v>
      </c>
      <c r="I308" s="50">
        <f>AVERAGE(F306:F308)</f>
        <v>2.0316666666666667</v>
      </c>
      <c r="J308" s="50">
        <f>AVERAGE(G306:G308)</f>
        <v>0.67733333333333334</v>
      </c>
      <c r="L308">
        <f>+J308/I308</f>
        <v>0.33338802296964726</v>
      </c>
      <c r="M308">
        <f>+(L308-$L$913)/$L$914</f>
        <v>0.23472401562638304</v>
      </c>
      <c r="N308">
        <f>+N305+M308</f>
        <v>-7.3257086169578534</v>
      </c>
    </row>
    <row r="309" spans="1:14">
      <c r="A309" s="20">
        <v>1</v>
      </c>
      <c r="B309" s="94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0.996</v>
      </c>
    </row>
    <row r="310" spans="1:14">
      <c r="A310" s="20">
        <v>17</v>
      </c>
      <c r="B310" s="94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0.74199999999999999</v>
      </c>
    </row>
    <row r="311" spans="1:14">
      <c r="A311" s="20">
        <v>18</v>
      </c>
      <c r="B311" s="94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0.318</v>
      </c>
      <c r="I311" s="50">
        <f>AVERAGE(F309:F311)</f>
        <v>2.1359999999999997</v>
      </c>
      <c r="J311" s="50">
        <f>AVERAGE(G309:G311)</f>
        <v>0.68533333333333335</v>
      </c>
      <c r="L311">
        <f>+J311/I311</f>
        <v>0.32084893882646698</v>
      </c>
      <c r="M311">
        <f>+(L311-$L$913)/$L$914</f>
        <v>9.9348193154308012E-2</v>
      </c>
      <c r="N311">
        <f>+N308+M311</f>
        <v>-7.2263604238035457</v>
      </c>
    </row>
    <row r="312" spans="1:14">
      <c r="A312" s="20">
        <v>1</v>
      </c>
      <c r="B312" s="94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0.20699999999999999</v>
      </c>
    </row>
    <row r="313" spans="1:14">
      <c r="A313" s="20">
        <v>17</v>
      </c>
      <c r="B313" s="94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0.16400000000000001</v>
      </c>
    </row>
    <row r="314" spans="1:14">
      <c r="A314" s="20">
        <v>18</v>
      </c>
      <c r="B314" s="94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0.14499999999999999</v>
      </c>
      <c r="I314" s="50">
        <f>AVERAGE(F312:F314)</f>
        <v>1.1343333333333334</v>
      </c>
      <c r="J314" s="50">
        <f>AVERAGE(G312:G314)</f>
        <v>0.17200000000000001</v>
      </c>
      <c r="L314">
        <f>+J314/I314</f>
        <v>0.15163091389950045</v>
      </c>
      <c r="M314">
        <f>+(L314-$L$913)/$L$914</f>
        <v>-1.7275818313999447</v>
      </c>
      <c r="N314">
        <f>+N311+M314</f>
        <v>-8.95394225520349</v>
      </c>
    </row>
    <row r="315" spans="1:14">
      <c r="A315" s="20">
        <v>1</v>
      </c>
      <c r="B315" s="94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0.24199999999999999</v>
      </c>
    </row>
    <row r="316" spans="1:14">
      <c r="A316" s="20">
        <v>17</v>
      </c>
      <c r="B316" s="94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0.53400000000000003</v>
      </c>
    </row>
    <row r="317" spans="1:14">
      <c r="A317" s="20">
        <v>18</v>
      </c>
      <c r="B317" s="94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0.95499999999999996</v>
      </c>
      <c r="I317" s="50">
        <f>AVERAGE(F315:F317)</f>
        <v>5.08</v>
      </c>
      <c r="J317" s="50">
        <f>AVERAGE(G315:G317)</f>
        <v>0.57699999999999996</v>
      </c>
      <c r="L317">
        <f>+J317/I317</f>
        <v>0.11358267716535432</v>
      </c>
      <c r="M317">
        <f>+(L317-$L$913)/$L$914</f>
        <v>-2.1383623383876631</v>
      </c>
      <c r="N317">
        <f>+N314+M317</f>
        <v>-11.092304593591154</v>
      </c>
    </row>
    <row r="318" spans="1:14">
      <c r="A318" s="20">
        <v>1</v>
      </c>
      <c r="B318" s="94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0.93200000000000005</v>
      </c>
    </row>
    <row r="319" spans="1:14">
      <c r="A319" s="20">
        <v>17</v>
      </c>
      <c r="B319" s="94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0.48599999999999999</v>
      </c>
    </row>
    <row r="320" spans="1:14">
      <c r="A320" s="20">
        <v>18</v>
      </c>
      <c r="B320" s="94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0.71599999999999997</v>
      </c>
      <c r="I320" s="50">
        <f>AVERAGE(F318:F320)</f>
        <v>4.0049999999999999</v>
      </c>
      <c r="J320" s="50">
        <f>AVERAGE(G318:G320)</f>
        <v>0.71133333333333348</v>
      </c>
      <c r="L320">
        <f>+J320/I320</f>
        <v>0.17761131918435294</v>
      </c>
      <c r="M320">
        <f>+(L320-$L$913)/$L$914</f>
        <v>-1.4470893573536938</v>
      </c>
      <c r="N320">
        <f>+N317+M320</f>
        <v>-12.539393950944847</v>
      </c>
    </row>
    <row r="321" spans="1:14">
      <c r="A321" s="20">
        <v>1</v>
      </c>
      <c r="B321" s="94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4.3109999999999999</v>
      </c>
    </row>
    <row r="322" spans="1:14">
      <c r="A322" s="20">
        <v>17</v>
      </c>
      <c r="B322" s="94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1.6850000000000001</v>
      </c>
    </row>
    <row r="323" spans="1:14">
      <c r="A323" s="20">
        <v>18</v>
      </c>
      <c r="B323" s="94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0.875</v>
      </c>
      <c r="I323" s="50">
        <f>AVERAGE(F321:F323)</f>
        <v>8.202</v>
      </c>
      <c r="J323" s="50">
        <f>AVERAGE(G321:G323)</f>
        <v>2.2903333333333333</v>
      </c>
      <c r="L323">
        <f>+J323/I323</f>
        <v>0.2792408355685605</v>
      </c>
      <c r="M323">
        <f>+(L323-$L$913)/$L$914</f>
        <v>-0.34986573154095202</v>
      </c>
      <c r="N323">
        <f>+N320+M323</f>
        <v>-12.889259682485799</v>
      </c>
    </row>
    <row r="324" spans="1:14">
      <c r="A324" s="20">
        <v>1</v>
      </c>
      <c r="B324" s="94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6.4340000000000002</v>
      </c>
    </row>
    <row r="325" spans="1:14">
      <c r="A325" s="20">
        <v>17</v>
      </c>
      <c r="B325" s="94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5.0359999999999996</v>
      </c>
    </row>
    <row r="326" spans="1:14">
      <c r="A326" s="20">
        <v>18</v>
      </c>
      <c r="B326" s="94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2.7589999999999999</v>
      </c>
      <c r="I326" s="50">
        <f>AVERAGE(F324:F326)</f>
        <v>11.773333333333333</v>
      </c>
      <c r="J326" s="50">
        <f>AVERAGE(G324:G326)</f>
        <v>4.7429999999999994</v>
      </c>
      <c r="L326">
        <f>+J326/I326</f>
        <v>0.40285956964892405</v>
      </c>
      <c r="M326">
        <f>+(L326-$L$913)/$L$914</f>
        <v>0.98476027527053633</v>
      </c>
      <c r="N326">
        <f>+N323+M326</f>
        <v>-11.904499407215262</v>
      </c>
    </row>
    <row r="327" spans="1:14">
      <c r="A327" s="20">
        <v>1</v>
      </c>
      <c r="B327" s="94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1.399</v>
      </c>
    </row>
    <row r="328" spans="1:14">
      <c r="A328" s="20">
        <v>17</v>
      </c>
      <c r="B328" s="94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2.0089999999999999</v>
      </c>
    </row>
    <row r="329" spans="1:14">
      <c r="A329" s="20">
        <v>18</v>
      </c>
      <c r="B329" s="94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1.8109999999999999</v>
      </c>
      <c r="I329" s="50">
        <f>AVERAGE(F327:F329)</f>
        <v>6.4503333333333339</v>
      </c>
      <c r="J329" s="50">
        <f>AVERAGE(G327:G329)</f>
        <v>1.7396666666666665</v>
      </c>
      <c r="L329">
        <f>+J329/I329</f>
        <v>0.269701824195132</v>
      </c>
      <c r="M329">
        <f>+(L329-$L$913)/$L$914</f>
        <v>-0.4528518424484777</v>
      </c>
      <c r="N329">
        <f>+N326+M329</f>
        <v>-12.35735124966374</v>
      </c>
    </row>
    <row r="330" spans="1:14">
      <c r="A330" s="20">
        <v>1</v>
      </c>
      <c r="B330" s="94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0.55500000000000005</v>
      </c>
    </row>
    <row r="331" spans="1:14">
      <c r="A331" s="20">
        <v>17</v>
      </c>
      <c r="B331" s="94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0.65200000000000002</v>
      </c>
    </row>
    <row r="332" spans="1:14">
      <c r="A332" s="20">
        <v>18</v>
      </c>
      <c r="B332" s="94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0.109</v>
      </c>
      <c r="I332" s="50">
        <f>AVERAGE(F330:F332)</f>
        <v>1.6453333333333333</v>
      </c>
      <c r="J332" s="50">
        <f>AVERAGE(G330:G332)</f>
        <v>0.4386666666666667</v>
      </c>
      <c r="L332">
        <f>+J332/I332</f>
        <v>0.26661264181523503</v>
      </c>
      <c r="M332">
        <f>+(L332-$L$913)/$L$914</f>
        <v>-0.48620360886694008</v>
      </c>
      <c r="N332">
        <f>+N329+M332</f>
        <v>-12.84355485853068</v>
      </c>
    </row>
    <row r="333" spans="1:14">
      <c r="A333" s="20">
        <v>1</v>
      </c>
      <c r="B333" s="94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2.1619999999999999</v>
      </c>
    </row>
    <row r="334" spans="1:14">
      <c r="A334" s="20">
        <v>17</v>
      </c>
      <c r="B334" s="94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4.12</v>
      </c>
    </row>
    <row r="335" spans="1:14">
      <c r="A335" s="20">
        <v>18</v>
      </c>
      <c r="B335" s="94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3.7090000000000001</v>
      </c>
      <c r="I335" s="50">
        <f>AVERAGE(F333:F335)</f>
        <v>8.9216666666666669</v>
      </c>
      <c r="J335" s="50">
        <f>AVERAGE(G333:G335)</f>
        <v>3.3303333333333334</v>
      </c>
      <c r="L335">
        <f>+J335/I335</f>
        <v>0.37328600784606764</v>
      </c>
      <c r="M335">
        <f>+(L335-$L$913)/$L$914</f>
        <v>0.66547497446426762</v>
      </c>
      <c r="N335">
        <f>+N332+M335</f>
        <v>-12.178079884066413</v>
      </c>
    </row>
    <row r="336" spans="1:14">
      <c r="A336" s="23">
        <v>1</v>
      </c>
      <c r="B336" s="93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3.4260000000000002</v>
      </c>
    </row>
    <row r="337" spans="1:14">
      <c r="A337" s="20">
        <v>17</v>
      </c>
      <c r="B337" s="94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6.4569999999999999</v>
      </c>
    </row>
    <row r="338" spans="1:14">
      <c r="A338" s="20">
        <v>18</v>
      </c>
      <c r="B338" s="94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5.8940000000000001</v>
      </c>
      <c r="I338" s="50">
        <f>AVERAGE(F336:F338)</f>
        <v>12.879333333333335</v>
      </c>
      <c r="J338" s="50">
        <f>AVERAGE(G336:G338)</f>
        <v>5.2589999999999995</v>
      </c>
      <c r="L338">
        <f>+J338/I338</f>
        <v>0.40832858843625436</v>
      </c>
      <c r="M338">
        <f>+(L338-$L$913)/$L$914</f>
        <v>1.0438054900562383</v>
      </c>
      <c r="N338">
        <f>+N335+M338</f>
        <v>-11.134274394010175</v>
      </c>
    </row>
    <row r="339" spans="1:14">
      <c r="A339" s="11">
        <v>1</v>
      </c>
      <c r="B339" s="94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3.7229999999999999</v>
      </c>
    </row>
    <row r="340" spans="1:14">
      <c r="A340" s="11">
        <v>17</v>
      </c>
      <c r="B340" s="94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4.3250000000000002</v>
      </c>
    </row>
    <row r="341" spans="1:14">
      <c r="A341" s="11">
        <v>18</v>
      </c>
      <c r="B341" s="94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3.5409999999999999</v>
      </c>
      <c r="I341" s="50">
        <f>AVERAGE(F339:F341)</f>
        <v>9.4990000000000006</v>
      </c>
      <c r="J341" s="50">
        <f>AVERAGE(G339:G341)</f>
        <v>3.863</v>
      </c>
      <c r="L341">
        <f>+J341/I341</f>
        <v>0.40667438677755552</v>
      </c>
      <c r="M341">
        <f>+(L341-$L$913)/$L$914</f>
        <v>1.0259462183962089</v>
      </c>
      <c r="N341">
        <f>+N338+M341</f>
        <v>-10.108328175613966</v>
      </c>
    </row>
    <row r="342" spans="1:14">
      <c r="A342" s="11">
        <v>1</v>
      </c>
      <c r="B342" s="94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1.546</v>
      </c>
    </row>
    <row r="343" spans="1:14">
      <c r="A343" s="11">
        <v>17</v>
      </c>
      <c r="B343" s="94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2.8130000000000002</v>
      </c>
    </row>
    <row r="344" spans="1:14">
      <c r="A344" s="11">
        <v>18</v>
      </c>
      <c r="B344" s="94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1.9259999999999999</v>
      </c>
      <c r="I344" s="50">
        <f>AVERAGE(F342:F344)</f>
        <v>5.2756666666666661</v>
      </c>
      <c r="J344" s="50">
        <f>AVERAGE(G342:G344)</f>
        <v>2.0950000000000002</v>
      </c>
      <c r="L344">
        <f>+J344/I344</f>
        <v>0.39710621090541487</v>
      </c>
      <c r="M344">
        <f>+(L344-$L$913)/$L$914</f>
        <v>0.92264523855925729</v>
      </c>
      <c r="N344">
        <f>+N341+M344</f>
        <v>-9.1856829370547093</v>
      </c>
    </row>
    <row r="345" spans="1:14">
      <c r="A345" s="11">
        <v>1</v>
      </c>
      <c r="B345" s="94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0.77600000000000002</v>
      </c>
    </row>
    <row r="346" spans="1:14">
      <c r="A346" s="11">
        <v>17</v>
      </c>
      <c r="B346" s="94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2.2450000000000001</v>
      </c>
    </row>
    <row r="347" spans="1:14">
      <c r="A347" s="11">
        <v>18</v>
      </c>
      <c r="B347" s="94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1.0529999999999999</v>
      </c>
      <c r="I347" s="50">
        <f>AVERAGE(F345:F347)</f>
        <v>3.3593333333333333</v>
      </c>
      <c r="J347" s="50">
        <f>AVERAGE(G345:G347)</f>
        <v>1.3579999999999999</v>
      </c>
      <c r="L347">
        <f>+J347/I347</f>
        <v>0.40424687437983725</v>
      </c>
      <c r="M347">
        <f>+(L347-$L$913)/$L$914</f>
        <v>0.99973804532313781</v>
      </c>
      <c r="N347">
        <f>+N344+M347</f>
        <v>-8.1859448917315714</v>
      </c>
    </row>
    <row r="348" spans="1:14">
      <c r="A348" s="11">
        <v>1</v>
      </c>
      <c r="B348" s="94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0.34100000000000003</v>
      </c>
    </row>
    <row r="349" spans="1:14">
      <c r="A349" s="11">
        <v>17</v>
      </c>
      <c r="B349" s="94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0.88500000000000001</v>
      </c>
    </row>
    <row r="350" spans="1:14">
      <c r="A350" s="11">
        <v>18</v>
      </c>
      <c r="B350" s="94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9.4E-2</v>
      </c>
      <c r="I350" s="50">
        <f>AVERAGE(F348:F350)</f>
        <v>1.4989999999999999</v>
      </c>
      <c r="J350" s="50">
        <f>AVERAGE(G348:G350)</f>
        <v>0.44</v>
      </c>
      <c r="L350">
        <f>+J350/I350</f>
        <v>0.29352901934623082</v>
      </c>
      <c r="M350">
        <f>+(L350-$L$913)/$L$914</f>
        <v>-0.19560608957289899</v>
      </c>
      <c r="N350">
        <f>+N347+M350</f>
        <v>-8.3815509813044695</v>
      </c>
    </row>
    <row r="351" spans="1:14">
      <c r="A351" s="20">
        <v>1</v>
      </c>
      <c r="B351" s="94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0.80900000000000005</v>
      </c>
    </row>
    <row r="352" spans="1:14">
      <c r="A352" s="20">
        <v>17</v>
      </c>
      <c r="B352" s="94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0.65</v>
      </c>
    </row>
    <row r="353" spans="1:14">
      <c r="A353" s="20">
        <v>18</v>
      </c>
      <c r="B353" s="94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0.29599999999999999</v>
      </c>
      <c r="I353" s="50">
        <f>AVERAGE(F351:F353)</f>
        <v>2.621</v>
      </c>
      <c r="J353" s="50">
        <f>AVERAGE(G351:G353)</f>
        <v>0.58500000000000008</v>
      </c>
      <c r="L353">
        <f>+J353/I353</f>
        <v>0.22319725295688672</v>
      </c>
      <c r="M353">
        <f>+(L353-$L$913)/$L$914</f>
        <v>-0.9549295467051071</v>
      </c>
      <c r="N353">
        <f>+N350+M353</f>
        <v>-9.3364805280095773</v>
      </c>
    </row>
    <row r="354" spans="1:14">
      <c r="A354" s="20">
        <v>1</v>
      </c>
      <c r="B354" s="94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0.89400000000000002</v>
      </c>
    </row>
    <row r="355" spans="1:14">
      <c r="A355" s="20">
        <v>17</v>
      </c>
      <c r="B355" s="94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1.3879999999999999</v>
      </c>
    </row>
    <row r="356" spans="1:14">
      <c r="A356" s="20">
        <v>18</v>
      </c>
      <c r="B356" s="94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0.97599999999999998</v>
      </c>
      <c r="I356" s="50">
        <f>AVERAGE(F354:F356)</f>
        <v>7.3820000000000006</v>
      </c>
      <c r="J356" s="50">
        <f>AVERAGE(G354:G356)</f>
        <v>1.0860000000000001</v>
      </c>
      <c r="L356">
        <f>+J356/I356</f>
        <v>0.14711460308859386</v>
      </c>
      <c r="M356">
        <f>+(L356-$L$913)/$L$914</f>
        <v>-1.7763413168284343</v>
      </c>
      <c r="N356">
        <f>+N353+M356</f>
        <v>-11.112821844838011</v>
      </c>
    </row>
    <row r="357" spans="1:14">
      <c r="A357" s="20">
        <v>1</v>
      </c>
      <c r="B357" s="94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2.202</v>
      </c>
    </row>
    <row r="358" spans="1:14">
      <c r="A358" s="20">
        <v>17</v>
      </c>
      <c r="B358" s="94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3.2229999999999999</v>
      </c>
    </row>
    <row r="359" spans="1:14">
      <c r="A359" s="20">
        <v>18</v>
      </c>
      <c r="B359" s="94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1.397</v>
      </c>
      <c r="I359" s="50">
        <f>AVERAGE(F357:F359)</f>
        <v>10.837666666666669</v>
      </c>
      <c r="J359" s="50">
        <f>AVERAGE(G357:G359)</f>
        <v>2.274</v>
      </c>
      <c r="L359">
        <f>+J359/I359</f>
        <v>0.20982376280257123</v>
      </c>
      <c r="M359">
        <f>+(L359-$L$913)/$L$914</f>
        <v>-1.0993138740044273</v>
      </c>
      <c r="N359">
        <f>+N356+M359</f>
        <v>-12.212135718842438</v>
      </c>
    </row>
    <row r="360" spans="1:14">
      <c r="A360" s="20">
        <v>1</v>
      </c>
      <c r="B360" s="94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1.298</v>
      </c>
    </row>
    <row r="361" spans="1:14">
      <c r="A361" s="20">
        <v>17</v>
      </c>
      <c r="B361" s="94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1.9259999999999999</v>
      </c>
    </row>
    <row r="362" spans="1:14">
      <c r="A362" s="20">
        <v>18</v>
      </c>
      <c r="B362" s="94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1.55</v>
      </c>
      <c r="I362" s="50">
        <f>AVERAGE(F360:F362)</f>
        <v>6.5323333333333338</v>
      </c>
      <c r="J362" s="50">
        <f>AVERAGE(G360:G362)</f>
        <v>1.5913333333333333</v>
      </c>
      <c r="L362">
        <f>+J362/I362</f>
        <v>0.24360871561973768</v>
      </c>
      <c r="M362">
        <f>+(L362-$L$913)/$L$914</f>
        <v>-0.73456109600415609</v>
      </c>
      <c r="N362">
        <f>+N359+M362</f>
        <v>-12.946696814846595</v>
      </c>
    </row>
    <row r="363" spans="1:14">
      <c r="A363" s="20">
        <v>1</v>
      </c>
      <c r="B363" s="94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0.66700000000000004</v>
      </c>
    </row>
    <row r="364" spans="1:14">
      <c r="A364" s="20">
        <v>17</v>
      </c>
      <c r="B364" s="94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0.71199999999999997</v>
      </c>
    </row>
    <row r="365" spans="1:14">
      <c r="A365" s="20">
        <v>18</v>
      </c>
      <c r="B365" s="94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0.312</v>
      </c>
      <c r="I365" s="50">
        <f>AVERAGE(F363:F365)</f>
        <v>2.5559999999999996</v>
      </c>
      <c r="J365" s="50">
        <f>AVERAGE(G363:G365)</f>
        <v>0.56366666666666665</v>
      </c>
      <c r="L365">
        <f>+J365/I365</f>
        <v>0.22052686489306211</v>
      </c>
      <c r="M365">
        <f>+(L365-$L$913)/$L$914</f>
        <v>-0.98375988043059559</v>
      </c>
      <c r="N365">
        <f>+N362+M365</f>
        <v>-13.93045669527719</v>
      </c>
    </row>
    <row r="366" spans="1:14">
      <c r="A366" s="20">
        <v>1</v>
      </c>
      <c r="B366" s="94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0.83599999999999997</v>
      </c>
    </row>
    <row r="367" spans="1:14">
      <c r="A367" s="20">
        <v>17</v>
      </c>
      <c r="B367" s="94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0.497</v>
      </c>
    </row>
    <row r="368" spans="1:14">
      <c r="A368" s="20">
        <v>18</v>
      </c>
      <c r="B368" s="94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0.47399999999999998</v>
      </c>
      <c r="I368" s="50">
        <f>AVERAGE(F366:F368)</f>
        <v>4.2463333333333333</v>
      </c>
      <c r="J368" s="50">
        <f>AVERAGE(G366:G368)</f>
        <v>0.60233333333333328</v>
      </c>
      <c r="L368">
        <f>+J368/I368</f>
        <v>0.14184786874950936</v>
      </c>
      <c r="M368">
        <f>+(L368-$L$913)/$L$914</f>
        <v>-1.8332026062778128</v>
      </c>
      <c r="N368">
        <f>+N365+M368</f>
        <v>-15.763659301555002</v>
      </c>
    </row>
    <row r="369" spans="1:14">
      <c r="A369" s="20">
        <v>1</v>
      </c>
      <c r="B369" s="94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1.4330000000000001</v>
      </c>
    </row>
    <row r="370" spans="1:14">
      <c r="A370" s="20">
        <v>17</v>
      </c>
      <c r="B370" s="94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1.643</v>
      </c>
    </row>
    <row r="371" spans="1:14">
      <c r="A371" s="20">
        <v>18</v>
      </c>
      <c r="B371" s="94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1.7130000000000001</v>
      </c>
      <c r="I371" s="50">
        <f>AVERAGE(F369:F371)</f>
        <v>5.323666666666667</v>
      </c>
      <c r="J371" s="50">
        <f>AVERAGE(G369:G371)</f>
        <v>1.5963333333333332</v>
      </c>
      <c r="L371">
        <f>+J371/I371</f>
        <v>0.29985598898002624</v>
      </c>
      <c r="M371">
        <f>+(L371-$L$913)/$L$914</f>
        <v>-0.12729817265085333</v>
      </c>
      <c r="N371">
        <f>+N368+M371</f>
        <v>-15.890957474205855</v>
      </c>
    </row>
    <row r="372" spans="1:14">
      <c r="A372" s="43">
        <v>1</v>
      </c>
      <c r="B372" s="95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1.6018285000000001</v>
      </c>
    </row>
    <row r="373" spans="1:14">
      <c r="A373" s="20">
        <v>17</v>
      </c>
      <c r="B373" s="86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4.0140238749999995</v>
      </c>
    </row>
    <row r="374" spans="1:14">
      <c r="A374" s="20">
        <v>18</v>
      </c>
      <c r="B374" s="86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3.1431434999999994</v>
      </c>
      <c r="I374" s="50">
        <f>AVERAGE(F372:F374)</f>
        <v>6.6040000000000001</v>
      </c>
      <c r="J374" s="50">
        <f>AVERAGE(G372:G374)</f>
        <v>2.9196652916666661</v>
      </c>
      <c r="L374">
        <f>+J374/I374</f>
        <v>0.44210558626085189</v>
      </c>
      <c r="M374">
        <f>+(L374-$L$913)/$L$914</f>
        <v>1.4084723835015069</v>
      </c>
      <c r="N374">
        <f>+N371+M374</f>
        <v>-14.482485090704348</v>
      </c>
    </row>
    <row r="375" spans="1:14">
      <c r="A375" s="20">
        <v>1</v>
      </c>
      <c r="B375" s="86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1.2419696250000001</v>
      </c>
    </row>
    <row r="376" spans="1:14">
      <c r="A376" s="20">
        <v>17</v>
      </c>
      <c r="B376" s="86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3.119885</v>
      </c>
    </row>
    <row r="377" spans="1:14">
      <c r="A377" s="20">
        <v>18</v>
      </c>
      <c r="B377" s="86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1.3952260000000003</v>
      </c>
      <c r="I377" s="50">
        <f>AVERAGE(F375:F377)</f>
        <v>10.268666666666666</v>
      </c>
      <c r="J377" s="50">
        <f>AVERAGE(G375:G377)</f>
        <v>1.9190268750000001</v>
      </c>
      <c r="L377">
        <f>+J377/I377</f>
        <v>0.18688179656560411</v>
      </c>
      <c r="M377">
        <f>+(L377-$L$913)/$L$914</f>
        <v>-1.3470024223060324</v>
      </c>
      <c r="N377">
        <f>+N374+M377</f>
        <v>-15.829487513010379</v>
      </c>
    </row>
    <row r="378" spans="1:14">
      <c r="A378" s="20">
        <v>1</v>
      </c>
      <c r="B378" s="86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0.33486050000000001</v>
      </c>
    </row>
    <row r="379" spans="1:14">
      <c r="A379" s="20">
        <v>17</v>
      </c>
      <c r="B379" s="86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1.041084125</v>
      </c>
    </row>
    <row r="380" spans="1:14">
      <c r="A380" s="20">
        <v>18</v>
      </c>
      <c r="B380" s="86">
        <v>40254</v>
      </c>
      <c r="C380" s="20">
        <v>2010</v>
      </c>
      <c r="D380" s="10" t="s">
        <v>27</v>
      </c>
      <c r="E380" s="20">
        <v>3</v>
      </c>
      <c r="F380" s="49">
        <v>3.1829999999999998</v>
      </c>
      <c r="G380" s="50">
        <v>1.448157125</v>
      </c>
      <c r="I380" s="50">
        <f>AVERAGE(F378:F380)</f>
        <v>2.5406666666666666</v>
      </c>
      <c r="J380" s="50">
        <f>AVERAGE(G378:G380)</f>
        <v>0.94136724999999999</v>
      </c>
      <c r="L380">
        <f>+J380/I380</f>
        <v>0.37051977827341903</v>
      </c>
      <c r="M380">
        <f>+(L380-$L$913)/$L$914</f>
        <v>0.63560990622899682</v>
      </c>
      <c r="N380">
        <f>+N377+M380</f>
        <v>-15.193877606781383</v>
      </c>
    </row>
    <row r="381" spans="1:14">
      <c r="A381" s="20">
        <v>1</v>
      </c>
      <c r="B381" s="86">
        <v>40282</v>
      </c>
      <c r="C381" s="20">
        <v>2010</v>
      </c>
      <c r="D381" s="10" t="s">
        <v>28</v>
      </c>
      <c r="E381" s="20">
        <v>4</v>
      </c>
      <c r="F381" s="49">
        <v>3.3370000000000002</v>
      </c>
      <c r="G381" s="50">
        <v>1.3341902499999998</v>
      </c>
    </row>
    <row r="382" spans="1:14">
      <c r="A382" s="20">
        <v>17</v>
      </c>
      <c r="B382" s="86">
        <v>40282</v>
      </c>
      <c r="C382" s="20">
        <v>2010</v>
      </c>
      <c r="D382" s="10" t="s">
        <v>28</v>
      </c>
      <c r="E382" s="20">
        <v>4</v>
      </c>
      <c r="F382" s="49">
        <v>4.6260000000000003</v>
      </c>
      <c r="G382" s="50">
        <v>2.403057</v>
      </c>
    </row>
    <row r="383" spans="1:14">
      <c r="A383" s="20">
        <v>18</v>
      </c>
      <c r="B383" s="86">
        <v>40282</v>
      </c>
      <c r="C383" s="20">
        <v>2010</v>
      </c>
      <c r="D383" s="10" t="s">
        <v>28</v>
      </c>
      <c r="E383" s="20">
        <v>4</v>
      </c>
      <c r="F383" s="51">
        <v>3.17</v>
      </c>
      <c r="G383" s="50">
        <v>1.5308736249999999</v>
      </c>
      <c r="I383" s="50">
        <f>AVERAGE(F381:F383)</f>
        <v>3.7110000000000003</v>
      </c>
      <c r="J383" s="50">
        <f>AVERAGE(G381:G383)</f>
        <v>1.7560402916666664</v>
      </c>
      <c r="L383">
        <f>+J383/I383</f>
        <v>0.47319867735560933</v>
      </c>
      <c r="M383">
        <f>+(L383-$L$913)/$L$914</f>
        <v>1.7441629915305836</v>
      </c>
      <c r="N383">
        <f>+N380+M383</f>
        <v>-13.4497146152508</v>
      </c>
    </row>
    <row r="384" spans="1:14">
      <c r="A384" s="20">
        <v>1</v>
      </c>
      <c r="B384" s="94">
        <v>40315</v>
      </c>
      <c r="C384" s="20">
        <v>2010</v>
      </c>
      <c r="D384" s="10" t="s">
        <v>29</v>
      </c>
      <c r="E384" s="20">
        <v>5</v>
      </c>
      <c r="F384" s="52">
        <v>0.67200000000000004</v>
      </c>
      <c r="G384" s="50">
        <v>0.20917487500000001</v>
      </c>
    </row>
    <row r="385" spans="1:14">
      <c r="A385" s="20">
        <v>17</v>
      </c>
      <c r="B385" s="94">
        <v>40315</v>
      </c>
      <c r="C385" s="20">
        <v>2010</v>
      </c>
      <c r="D385" s="10" t="s">
        <v>29</v>
      </c>
      <c r="E385" s="20">
        <v>5</v>
      </c>
      <c r="F385" s="52">
        <v>1.71</v>
      </c>
      <c r="G385" s="50">
        <v>0.72932387499999995</v>
      </c>
    </row>
    <row r="386" spans="1:14">
      <c r="A386" s="20">
        <v>18</v>
      </c>
      <c r="B386" s="94">
        <v>40315</v>
      </c>
      <c r="C386" s="20">
        <v>2010</v>
      </c>
      <c r="D386" s="10" t="s">
        <v>29</v>
      </c>
      <c r="E386" s="20">
        <v>5</v>
      </c>
      <c r="F386" s="52">
        <v>0.433</v>
      </c>
      <c r="G386" s="50">
        <v>0.13274887499999999</v>
      </c>
      <c r="I386" s="50">
        <f>AVERAGE(F384:F386)</f>
        <v>0.93833333333333335</v>
      </c>
      <c r="J386" s="50">
        <f>AVERAGE(G384:G386)</f>
        <v>0.35708254166666659</v>
      </c>
      <c r="L386">
        <f>+J386/I386</f>
        <v>0.38054977797513312</v>
      </c>
      <c r="M386">
        <f>+(L386-$L$913)/$L$914</f>
        <v>0.74389687866730669</v>
      </c>
      <c r="N386">
        <f>+N383+M386</f>
        <v>-12.705817736583493</v>
      </c>
    </row>
    <row r="387" spans="1:14">
      <c r="A387" s="20">
        <v>1</v>
      </c>
      <c r="B387" s="94">
        <v>40344</v>
      </c>
      <c r="C387" s="20">
        <v>2010</v>
      </c>
      <c r="D387" s="10" t="s">
        <v>30</v>
      </c>
      <c r="E387" s="20">
        <v>6</v>
      </c>
      <c r="F387" s="52">
        <v>2.6179999999999999</v>
      </c>
      <c r="G387" s="50">
        <v>0.68824137500000004</v>
      </c>
    </row>
    <row r="388" spans="1:14">
      <c r="A388" s="20">
        <v>17</v>
      </c>
      <c r="B388" s="94">
        <v>40344</v>
      </c>
      <c r="C388" s="20">
        <v>2010</v>
      </c>
      <c r="D388" s="10" t="s">
        <v>30</v>
      </c>
      <c r="E388" s="20">
        <v>6</v>
      </c>
      <c r="F388" s="52">
        <v>2.0750000000000002</v>
      </c>
      <c r="G388" s="50">
        <v>0.49353124999999992</v>
      </c>
    </row>
    <row r="389" spans="1:14">
      <c r="A389" s="20">
        <v>18</v>
      </c>
      <c r="B389" s="94">
        <v>40344</v>
      </c>
      <c r="C389" s="20">
        <v>2010</v>
      </c>
      <c r="D389" s="10" t="s">
        <v>30</v>
      </c>
      <c r="E389" s="20">
        <v>6</v>
      </c>
      <c r="F389" s="52">
        <v>3.0760000000000001</v>
      </c>
      <c r="G389" s="50">
        <v>1.0960773749999997</v>
      </c>
      <c r="I389" s="50">
        <f>AVERAGE(F387:F389)</f>
        <v>2.5896666666666666</v>
      </c>
      <c r="J389" s="50">
        <f>AVERAGE(G387:G389)</f>
        <v>0.75928333333333331</v>
      </c>
      <c r="L389">
        <f>+J389/I389</f>
        <v>0.29319732269275323</v>
      </c>
      <c r="M389">
        <f>+(L389-$L$913)/$L$914</f>
        <v>-0.19918718901868163</v>
      </c>
      <c r="N389">
        <f>+N386+M389</f>
        <v>-12.905004925602174</v>
      </c>
    </row>
    <row r="390" spans="1:14">
      <c r="A390" s="20">
        <v>1</v>
      </c>
      <c r="B390" s="94">
        <v>40371</v>
      </c>
      <c r="C390" s="20">
        <v>2010</v>
      </c>
      <c r="D390" s="10" t="s">
        <v>31</v>
      </c>
      <c r="E390" s="20">
        <v>7</v>
      </c>
      <c r="F390" s="52">
        <v>7.69</v>
      </c>
      <c r="G390" s="50">
        <v>2.5592174999999995</v>
      </c>
    </row>
    <row r="391" spans="1:14">
      <c r="A391" s="20">
        <v>17</v>
      </c>
      <c r="B391" s="94">
        <v>40371</v>
      </c>
      <c r="C391" s="20">
        <v>2010</v>
      </c>
      <c r="D391" s="10" t="s">
        <v>31</v>
      </c>
      <c r="E391" s="20">
        <v>7</v>
      </c>
      <c r="F391" s="52">
        <v>5.4009999999999998</v>
      </c>
      <c r="G391" s="50">
        <v>2.7198604999999998</v>
      </c>
    </row>
    <row r="392" spans="1:14">
      <c r="A392" s="20">
        <v>18</v>
      </c>
      <c r="B392" s="94">
        <v>40371</v>
      </c>
      <c r="C392" s="20">
        <v>2010</v>
      </c>
      <c r="D392" s="10" t="s">
        <v>31</v>
      </c>
      <c r="E392" s="20">
        <v>7</v>
      </c>
      <c r="F392" s="52">
        <v>4.92</v>
      </c>
      <c r="G392" s="50">
        <v>1.8677595</v>
      </c>
      <c r="I392" s="50">
        <f>AVERAGE(F390:F392)</f>
        <v>6.0036666666666676</v>
      </c>
      <c r="J392" s="50">
        <f>AVERAGE(G390:G392)</f>
        <v>2.3822791666666663</v>
      </c>
      <c r="L392">
        <f>+J392/I392</f>
        <v>0.39680403642218631</v>
      </c>
      <c r="M392">
        <f>+(L392-$L$913)/$L$914</f>
        <v>0.91938286957520443</v>
      </c>
      <c r="N392">
        <f>+N389+M392</f>
        <v>-11.985622056026969</v>
      </c>
    </row>
    <row r="393" spans="1:14">
      <c r="A393" s="20">
        <v>1</v>
      </c>
      <c r="B393" s="94">
        <v>40407</v>
      </c>
      <c r="C393" s="20">
        <v>2010</v>
      </c>
      <c r="D393" s="10" t="s">
        <v>32</v>
      </c>
      <c r="E393" s="20">
        <v>8</v>
      </c>
      <c r="F393" s="52">
        <v>11.997</v>
      </c>
      <c r="G393" s="50">
        <v>4.3482081250000002</v>
      </c>
    </row>
    <row r="394" spans="1:14">
      <c r="A394" s="20">
        <v>17</v>
      </c>
      <c r="B394" s="94">
        <v>40407</v>
      </c>
      <c r="C394" s="20">
        <v>2010</v>
      </c>
      <c r="D394" s="10" t="s">
        <v>32</v>
      </c>
      <c r="E394" s="20">
        <v>8</v>
      </c>
      <c r="F394" s="52">
        <v>12.503</v>
      </c>
      <c r="G394" s="50">
        <v>4.9808801249999997</v>
      </c>
    </row>
    <row r="395" spans="1:14">
      <c r="A395" s="20">
        <v>18</v>
      </c>
      <c r="B395" s="94">
        <v>40407</v>
      </c>
      <c r="C395" s="20">
        <v>2010</v>
      </c>
      <c r="D395" s="10" t="s">
        <v>32</v>
      </c>
      <c r="E395" s="20">
        <v>8</v>
      </c>
      <c r="F395" s="52">
        <v>8.4649999999999999</v>
      </c>
      <c r="G395" s="50">
        <v>3.2072715000000001</v>
      </c>
      <c r="I395" s="50">
        <f>AVERAGE(F393:F395)</f>
        <v>10.988333333333335</v>
      </c>
      <c r="J395" s="50">
        <f>AVERAGE(G393:G395)</f>
        <v>4.1787865833333333</v>
      </c>
      <c r="L395">
        <f>+J395/I395</f>
        <v>0.38029303048687996</v>
      </c>
      <c r="M395">
        <f>+(L395-$L$913)/$L$914</f>
        <v>0.74112495354159369</v>
      </c>
      <c r="N395">
        <f>+N392+M395</f>
        <v>-11.244497102485376</v>
      </c>
    </row>
    <row r="396" spans="1:14">
      <c r="A396" s="20">
        <v>1</v>
      </c>
      <c r="B396" s="94">
        <v>40436</v>
      </c>
      <c r="C396" s="20">
        <v>2010</v>
      </c>
      <c r="D396" s="10" t="s">
        <v>38</v>
      </c>
      <c r="E396" s="20">
        <v>9</v>
      </c>
      <c r="F396" s="52">
        <v>9.1959999999999997</v>
      </c>
      <c r="G396" s="50">
        <v>4.0326351249999997</v>
      </c>
    </row>
    <row r="397" spans="1:14">
      <c r="A397" s="20">
        <v>17</v>
      </c>
      <c r="B397" s="94">
        <v>40436</v>
      </c>
      <c r="C397" s="20">
        <v>2010</v>
      </c>
      <c r="D397" s="10" t="s">
        <v>38</v>
      </c>
      <c r="E397" s="20">
        <v>9</v>
      </c>
      <c r="F397" s="52">
        <v>6.9210000000000003</v>
      </c>
      <c r="G397" s="50">
        <v>3.4665370000000002</v>
      </c>
    </row>
    <row r="398" spans="1:14">
      <c r="A398" s="20">
        <v>18</v>
      </c>
      <c r="B398" s="94">
        <v>40436</v>
      </c>
      <c r="C398" s="20">
        <v>2010</v>
      </c>
      <c r="D398" s="10" t="s">
        <v>38</v>
      </c>
      <c r="E398" s="20">
        <v>9</v>
      </c>
      <c r="F398" s="52">
        <v>7.9589999999999996</v>
      </c>
      <c r="G398" s="50">
        <v>3.5391910000000006</v>
      </c>
      <c r="I398" s="50">
        <f>AVERAGE(F396:F398)</f>
        <v>8.0253333333333341</v>
      </c>
      <c r="J398" s="50">
        <f>AVERAGE(G396:G398)</f>
        <v>3.6794543750000002</v>
      </c>
      <c r="L398">
        <f>+J398/I398</f>
        <v>0.45847994371988698</v>
      </c>
      <c r="M398">
        <f>+(L398-$L$913)/$L$914</f>
        <v>1.5852550004101145</v>
      </c>
      <c r="N398">
        <f>+N395+M398</f>
        <v>-9.659242102075261</v>
      </c>
    </row>
    <row r="399" spans="1:14">
      <c r="A399" s="20">
        <v>1</v>
      </c>
      <c r="B399" s="94">
        <v>40464</v>
      </c>
      <c r="C399" s="20">
        <v>2010</v>
      </c>
      <c r="D399" s="10" t="s">
        <v>34</v>
      </c>
      <c r="E399" s="20">
        <v>10</v>
      </c>
      <c r="F399" s="49">
        <v>4.5039999999999996</v>
      </c>
      <c r="G399" s="50">
        <v>1.0632567500000001</v>
      </c>
    </row>
    <row r="400" spans="1:14">
      <c r="A400" s="20">
        <v>17</v>
      </c>
      <c r="B400" s="94">
        <v>40464</v>
      </c>
      <c r="C400" s="20">
        <v>2010</v>
      </c>
      <c r="D400" s="10" t="s">
        <v>34</v>
      </c>
      <c r="E400" s="20">
        <v>10</v>
      </c>
      <c r="F400" s="49">
        <v>6.1580000000000004</v>
      </c>
      <c r="G400" s="50">
        <v>1.8059571249999995</v>
      </c>
    </row>
    <row r="401" spans="1:14">
      <c r="A401" s="20">
        <v>18</v>
      </c>
      <c r="B401" s="94">
        <v>40464</v>
      </c>
      <c r="C401" s="20">
        <v>2010</v>
      </c>
      <c r="D401" s="10" t="s">
        <v>34</v>
      </c>
      <c r="E401" s="20">
        <v>10</v>
      </c>
      <c r="F401" s="49">
        <v>4.7140000000000004</v>
      </c>
      <c r="G401" s="50">
        <v>1.3676026249999997</v>
      </c>
      <c r="I401" s="50">
        <f>AVERAGE(F399:F401)</f>
        <v>5.1253333333333329</v>
      </c>
      <c r="J401" s="50">
        <f>AVERAGE(G399:G401)</f>
        <v>1.4122721666666667</v>
      </c>
      <c r="L401">
        <f>+J401/I401</f>
        <v>0.27554737903225807</v>
      </c>
      <c r="M401">
        <f>+(L401-$L$913)/$L$914</f>
        <v>-0.3897414282551131</v>
      </c>
      <c r="N401">
        <f>+N398+M401</f>
        <v>-10.048983530330375</v>
      </c>
    </row>
    <row r="402" spans="1:14">
      <c r="A402" s="20">
        <v>1</v>
      </c>
      <c r="B402" s="94">
        <v>40498</v>
      </c>
      <c r="C402" s="20">
        <v>2010</v>
      </c>
      <c r="D402" s="10" t="s">
        <v>35</v>
      </c>
      <c r="E402" s="20">
        <v>11</v>
      </c>
      <c r="F402" s="49">
        <v>1.141</v>
      </c>
      <c r="G402" s="50">
        <v>0.20565662499999998</v>
      </c>
    </row>
    <row r="403" spans="1:14">
      <c r="A403" s="20">
        <v>17</v>
      </c>
      <c r="B403" s="94">
        <v>40498</v>
      </c>
      <c r="C403" s="20">
        <v>2010</v>
      </c>
      <c r="D403" s="10" t="s">
        <v>35</v>
      </c>
      <c r="E403" s="20">
        <v>11</v>
      </c>
      <c r="F403" s="49">
        <v>1.087</v>
      </c>
      <c r="G403" s="50">
        <v>0.33632387499999994</v>
      </c>
    </row>
    <row r="404" spans="1:14">
      <c r="A404" s="20">
        <v>18</v>
      </c>
      <c r="B404" s="94">
        <v>40498</v>
      </c>
      <c r="C404" s="20">
        <v>2010</v>
      </c>
      <c r="D404" s="10" t="s">
        <v>35</v>
      </c>
      <c r="E404" s="20">
        <v>11</v>
      </c>
      <c r="F404" s="49">
        <v>0.95199999999999996</v>
      </c>
      <c r="G404" s="50">
        <v>0.18444037499999996</v>
      </c>
      <c r="I404" s="50">
        <f>AVERAGE(F402:F404)</f>
        <v>1.0599999999999998</v>
      </c>
      <c r="J404" s="50">
        <f>AVERAGE(G402:G404)</f>
        <v>0.24214029166666665</v>
      </c>
      <c r="L404">
        <f>+J404/I404</f>
        <v>0.22843423742138366</v>
      </c>
      <c r="M404">
        <f>+(L404-$L$913)/$L$914</f>
        <v>-0.8983894460837758</v>
      </c>
      <c r="N404">
        <f>+N401+M404</f>
        <v>-10.947372976414151</v>
      </c>
    </row>
    <row r="405" spans="1:14">
      <c r="A405" s="20">
        <v>1</v>
      </c>
      <c r="B405" s="94">
        <v>40520</v>
      </c>
      <c r="C405" s="20">
        <v>2010</v>
      </c>
      <c r="D405" s="10" t="s">
        <v>36</v>
      </c>
      <c r="E405" s="20">
        <v>12</v>
      </c>
      <c r="F405" s="49">
        <v>2.4660000000000002</v>
      </c>
      <c r="G405" s="50">
        <v>0.64702512499999998</v>
      </c>
    </row>
    <row r="406" spans="1:14">
      <c r="A406" s="20">
        <v>17</v>
      </c>
      <c r="B406" s="94">
        <v>40520</v>
      </c>
      <c r="C406" s="20">
        <v>2010</v>
      </c>
      <c r="D406" s="10" t="s">
        <v>36</v>
      </c>
      <c r="E406" s="20">
        <v>12</v>
      </c>
      <c r="F406" s="49">
        <v>7.1849999999999996</v>
      </c>
      <c r="G406" s="50">
        <v>3.11772625</v>
      </c>
    </row>
    <row r="407" spans="1:14">
      <c r="A407" s="20">
        <v>18</v>
      </c>
      <c r="B407" s="94">
        <v>40520</v>
      </c>
      <c r="C407" s="20">
        <v>2010</v>
      </c>
      <c r="D407" s="10" t="s">
        <v>36</v>
      </c>
      <c r="E407" s="20">
        <v>12</v>
      </c>
      <c r="F407" s="49">
        <v>8.9269999999999996</v>
      </c>
      <c r="G407" s="50">
        <v>3.88593075</v>
      </c>
      <c r="I407" s="50">
        <f>AVERAGE(F405:F407)</f>
        <v>6.1926666666666668</v>
      </c>
      <c r="J407" s="50">
        <f>AVERAGE(G405:G407)</f>
        <v>2.550227375</v>
      </c>
      <c r="L407">
        <f>+J407/I407</f>
        <v>0.41181408789966628</v>
      </c>
      <c r="M407">
        <f>+(L407-$L$913)/$L$914</f>
        <v>1.081436018027613</v>
      </c>
      <c r="N407">
        <f>+N404+M407</f>
        <v>-9.8659369583865377</v>
      </c>
    </row>
    <row r="408" spans="1:14">
      <c r="A408" s="43">
        <v>1</v>
      </c>
      <c r="B408" s="96">
        <v>40562</v>
      </c>
      <c r="C408" s="43">
        <v>2011</v>
      </c>
      <c r="D408" s="45" t="s">
        <v>37</v>
      </c>
      <c r="E408" s="43">
        <v>1</v>
      </c>
      <c r="F408" s="46">
        <v>6.3860000000000001</v>
      </c>
      <c r="G408" s="47">
        <v>2.6281466249999998</v>
      </c>
    </row>
    <row r="409" spans="1:14">
      <c r="A409" s="20">
        <v>17</v>
      </c>
      <c r="B409" s="94">
        <v>40562</v>
      </c>
      <c r="C409" s="20">
        <v>2011</v>
      </c>
      <c r="D409" s="10" t="s">
        <v>37</v>
      </c>
      <c r="E409" s="20">
        <v>1</v>
      </c>
      <c r="F409" s="49">
        <v>13.541</v>
      </c>
      <c r="G409" s="50">
        <v>6.4535622500000001</v>
      </c>
    </row>
    <row r="410" spans="1:14">
      <c r="A410" s="20">
        <v>18</v>
      </c>
      <c r="B410" s="94">
        <v>40562</v>
      </c>
      <c r="C410" s="20">
        <v>2011</v>
      </c>
      <c r="D410" s="10" t="s">
        <v>37</v>
      </c>
      <c r="E410" s="20">
        <v>1</v>
      </c>
      <c r="F410" s="49">
        <v>15.566000000000001</v>
      </c>
      <c r="G410" s="50">
        <v>7.3969151249999996</v>
      </c>
      <c r="I410" s="50">
        <f>AVERAGE(F408:F410)</f>
        <v>11.831000000000001</v>
      </c>
      <c r="J410" s="50">
        <f>AVERAGE(G408:G410)</f>
        <v>5.4928746666666664</v>
      </c>
      <c r="L410">
        <f>+J410/I410</f>
        <v>0.46427813935142132</v>
      </c>
      <c r="M410">
        <f>+(L410-$L$913)/$L$914</f>
        <v>1.6478541100029678</v>
      </c>
      <c r="N410">
        <f>+N407+M410</f>
        <v>-8.2180828483835704</v>
      </c>
    </row>
    <row r="411" spans="1:14">
      <c r="A411" s="20">
        <v>1</v>
      </c>
      <c r="B411" s="94">
        <v>40591</v>
      </c>
      <c r="C411" s="20">
        <v>2011</v>
      </c>
      <c r="D411" s="10" t="s">
        <v>26</v>
      </c>
      <c r="E411" s="20">
        <v>2</v>
      </c>
      <c r="F411" s="49">
        <v>4.093</v>
      </c>
      <c r="G411" s="50">
        <v>0.89400599999999986</v>
      </c>
    </row>
    <row r="412" spans="1:14">
      <c r="A412" s="20">
        <v>17</v>
      </c>
      <c r="B412" s="94">
        <v>40591</v>
      </c>
      <c r="C412" s="20">
        <v>2011</v>
      </c>
      <c r="D412" s="10" t="s">
        <v>26</v>
      </c>
      <c r="E412" s="20">
        <v>2</v>
      </c>
      <c r="F412" s="49">
        <v>3.5270000000000001</v>
      </c>
      <c r="G412" s="50">
        <v>1.4924513749999995</v>
      </c>
    </row>
    <row r="413" spans="1:14">
      <c r="A413" s="20">
        <v>18</v>
      </c>
      <c r="B413" s="94">
        <v>40591</v>
      </c>
      <c r="C413" s="20">
        <v>2011</v>
      </c>
      <c r="D413" s="10" t="s">
        <v>26</v>
      </c>
      <c r="E413" s="20">
        <v>2</v>
      </c>
      <c r="F413" s="49">
        <v>3.7469999999999999</v>
      </c>
      <c r="G413" s="50">
        <v>1.5328010000000001</v>
      </c>
      <c r="I413" s="50">
        <f>AVERAGE(F411:F413)</f>
        <v>3.7890000000000001</v>
      </c>
      <c r="J413" s="50">
        <f>AVERAGE(G411:G413)</f>
        <v>1.3064194583333331</v>
      </c>
      <c r="L413">
        <f>+J413/I413</f>
        <v>0.34479267836720323</v>
      </c>
      <c r="M413">
        <f>+(L413-$L$913)/$L$914</f>
        <v>0.35785219523066697</v>
      </c>
      <c r="N413">
        <f>+N410+M413</f>
        <v>-7.8602306531529038</v>
      </c>
    </row>
    <row r="414" spans="1:14">
      <c r="A414" s="20">
        <v>1</v>
      </c>
      <c r="B414" s="94">
        <v>40619</v>
      </c>
      <c r="C414" s="20">
        <v>2011</v>
      </c>
      <c r="D414" s="10" t="s">
        <v>27</v>
      </c>
      <c r="E414" s="20">
        <v>3</v>
      </c>
      <c r="F414" s="49">
        <v>7.6820000000000004</v>
      </c>
      <c r="G414" s="50">
        <v>3.6667293749999996</v>
      </c>
    </row>
    <row r="415" spans="1:14">
      <c r="A415" s="20">
        <v>17</v>
      </c>
      <c r="B415" s="94">
        <v>40619</v>
      </c>
      <c r="C415" s="20">
        <v>2011</v>
      </c>
      <c r="D415" s="10" t="s">
        <v>27</v>
      </c>
      <c r="E415" s="20">
        <v>3</v>
      </c>
      <c r="F415" s="49">
        <v>8.2309999999999999</v>
      </c>
      <c r="G415" s="50">
        <v>4.1253609999999989</v>
      </c>
    </row>
    <row r="416" spans="1:14">
      <c r="A416" s="20">
        <v>18</v>
      </c>
      <c r="B416" s="94">
        <v>40619</v>
      </c>
      <c r="C416" s="20">
        <v>2011</v>
      </c>
      <c r="D416" s="10" t="s">
        <v>27</v>
      </c>
      <c r="E416" s="20">
        <v>3</v>
      </c>
      <c r="F416" s="49">
        <v>7.8819999999999997</v>
      </c>
      <c r="G416" s="50">
        <v>3.8264543750000004</v>
      </c>
      <c r="I416" s="50">
        <f>AVERAGE(F414:F416)</f>
        <v>7.9316666666666675</v>
      </c>
      <c r="J416" s="50">
        <f>AVERAGE(G414:G416)</f>
        <v>3.8728482500000001</v>
      </c>
      <c r="L416">
        <f>+J416/I416</f>
        <v>0.48827672830426555</v>
      </c>
      <c r="M416">
        <f>+(L416-$L$913)/$L$914</f>
        <v>1.9069502832611644</v>
      </c>
      <c r="N416">
        <f>+N413+M416</f>
        <v>-5.9532803698917398</v>
      </c>
    </row>
    <row r="417" spans="1:14">
      <c r="A417" s="20">
        <v>1</v>
      </c>
      <c r="B417" s="94">
        <v>40646</v>
      </c>
      <c r="C417" s="20">
        <v>2011</v>
      </c>
      <c r="D417" s="10" t="s">
        <v>28</v>
      </c>
      <c r="E417" s="20">
        <v>4</v>
      </c>
      <c r="F417" s="49">
        <v>4.5759999999999996</v>
      </c>
      <c r="G417" s="50">
        <v>1.5868854999999999</v>
      </c>
    </row>
    <row r="418" spans="1:14">
      <c r="A418" s="20">
        <v>17</v>
      </c>
      <c r="B418" s="94">
        <v>40646</v>
      </c>
      <c r="C418" s="20">
        <v>2011</v>
      </c>
      <c r="D418" s="10" t="s">
        <v>28</v>
      </c>
      <c r="E418" s="20">
        <v>4</v>
      </c>
      <c r="F418" s="49">
        <v>3.1059999999999999</v>
      </c>
      <c r="G418" s="50">
        <v>1.3206114999999998</v>
      </c>
    </row>
    <row r="419" spans="1:14">
      <c r="A419" s="20">
        <v>18</v>
      </c>
      <c r="B419" s="94">
        <v>40646</v>
      </c>
      <c r="C419" s="20">
        <v>2011</v>
      </c>
      <c r="D419" s="10" t="s">
        <v>28</v>
      </c>
      <c r="E419" s="20">
        <v>4</v>
      </c>
      <c r="F419" s="49">
        <v>2.5750000000000002</v>
      </c>
      <c r="G419" s="50">
        <v>0.9442895</v>
      </c>
      <c r="I419" s="50">
        <f>AVERAGE(F417:F419)</f>
        <v>3.419</v>
      </c>
      <c r="J419" s="50">
        <f>AVERAGE(G417:G419)</f>
        <v>1.2839288333333332</v>
      </c>
      <c r="L419">
        <f>+J419/I419</f>
        <v>0.37552759091352245</v>
      </c>
      <c r="M419">
        <f>+(L419-$L$913)/$L$914</f>
        <v>0.68967579710259519</v>
      </c>
      <c r="N419">
        <f>+N416+M419</f>
        <v>-5.263604572789145</v>
      </c>
    </row>
    <row r="420" spans="1:14">
      <c r="A420" s="20">
        <v>1</v>
      </c>
      <c r="B420" s="94">
        <v>40681</v>
      </c>
      <c r="C420" s="20">
        <v>2011</v>
      </c>
      <c r="D420" s="10" t="s">
        <v>29</v>
      </c>
      <c r="E420" s="20">
        <v>5</v>
      </c>
      <c r="F420" s="49">
        <v>1.44</v>
      </c>
      <c r="G420" s="50">
        <v>0.202071375</v>
      </c>
    </row>
    <row r="421" spans="1:14">
      <c r="A421" s="20">
        <v>17</v>
      </c>
      <c r="B421" s="94">
        <v>40681</v>
      </c>
      <c r="C421" s="20">
        <v>2011</v>
      </c>
      <c r="D421" s="10" t="s">
        <v>29</v>
      </c>
      <c r="E421" s="20">
        <v>5</v>
      </c>
      <c r="F421" s="49">
        <v>1.978</v>
      </c>
      <c r="G421" s="50">
        <v>0.43863787500000001</v>
      </c>
    </row>
    <row r="422" spans="1:14">
      <c r="A422" s="20">
        <v>18</v>
      </c>
      <c r="B422" s="94">
        <v>40681</v>
      </c>
      <c r="C422" s="20">
        <v>2011</v>
      </c>
      <c r="D422" s="10" t="s">
        <v>29</v>
      </c>
      <c r="E422" s="20">
        <v>5</v>
      </c>
      <c r="F422" s="49">
        <v>1.7989999999999999</v>
      </c>
      <c r="G422" s="50">
        <v>0.39948137499999997</v>
      </c>
      <c r="I422" s="50">
        <f>AVERAGE(F420:F422)</f>
        <v>1.7390000000000001</v>
      </c>
      <c r="J422" s="50">
        <f>AVERAGE(G420:G422)</f>
        <v>0.34673020833333329</v>
      </c>
      <c r="L422">
        <f>+J422/I422</f>
        <v>0.19938482365344065</v>
      </c>
      <c r="M422">
        <f>+(L422-$L$913)/$L$914</f>
        <v>-1.2120158829320962</v>
      </c>
      <c r="N422">
        <f>+N419+M422</f>
        <v>-6.4756204557212413</v>
      </c>
    </row>
    <row r="423" spans="1:14">
      <c r="A423" s="20">
        <v>1</v>
      </c>
      <c r="B423" s="94">
        <v>40708</v>
      </c>
      <c r="C423" s="20">
        <v>2011</v>
      </c>
      <c r="D423" s="10" t="s">
        <v>30</v>
      </c>
      <c r="E423" s="20">
        <v>6</v>
      </c>
      <c r="F423" s="49">
        <v>3.72</v>
      </c>
      <c r="G423" s="50">
        <v>0.63096912500000002</v>
      </c>
    </row>
    <row r="424" spans="1:14">
      <c r="A424" s="20">
        <v>17</v>
      </c>
      <c r="B424" s="94">
        <v>40708</v>
      </c>
      <c r="C424" s="20">
        <v>2011</v>
      </c>
      <c r="D424" s="10" t="s">
        <v>30</v>
      </c>
      <c r="E424" s="20">
        <v>6</v>
      </c>
      <c r="F424" s="49">
        <v>2.9140000000000001</v>
      </c>
      <c r="G424" s="50">
        <v>0.77571975000000004</v>
      </c>
    </row>
    <row r="425" spans="1:14">
      <c r="A425" s="20">
        <v>18</v>
      </c>
      <c r="B425" s="94">
        <v>40708</v>
      </c>
      <c r="C425" s="20">
        <v>2011</v>
      </c>
      <c r="D425" s="10" t="s">
        <v>30</v>
      </c>
      <c r="E425" s="20">
        <v>6</v>
      </c>
      <c r="F425" s="49">
        <v>3.8250000000000002</v>
      </c>
      <c r="G425" s="50">
        <v>1.0586201249999998</v>
      </c>
      <c r="I425" s="50">
        <f>AVERAGE(F423:F425)</f>
        <v>3.4863333333333331</v>
      </c>
      <c r="J425" s="50">
        <f>AVERAGE(G423:G425)</f>
        <v>0.82176966666666651</v>
      </c>
      <c r="L425">
        <f>+J425/I425</f>
        <v>0.23571173152309013</v>
      </c>
      <c r="M425">
        <f>+(L425-$L$913)/$L$914</f>
        <v>-0.81981937363633839</v>
      </c>
      <c r="N425">
        <f>+N422+M425</f>
        <v>-7.29543982935758</v>
      </c>
    </row>
    <row r="426" spans="1:14">
      <c r="A426" s="20">
        <v>1</v>
      </c>
      <c r="B426" s="94">
        <v>40735</v>
      </c>
      <c r="C426" s="20">
        <v>2011</v>
      </c>
      <c r="D426" s="10" t="s">
        <v>31</v>
      </c>
      <c r="E426" s="20">
        <v>7</v>
      </c>
      <c r="F426" s="49">
        <v>13.347</v>
      </c>
      <c r="G426" s="50">
        <v>2.4587737500000006</v>
      </c>
    </row>
    <row r="427" spans="1:14">
      <c r="A427" s="20">
        <v>17</v>
      </c>
      <c r="B427" s="94">
        <v>40735</v>
      </c>
      <c r="C427" s="20">
        <v>2011</v>
      </c>
      <c r="D427" s="10" t="s">
        <v>31</v>
      </c>
      <c r="E427" s="20">
        <v>7</v>
      </c>
      <c r="F427" s="49">
        <v>8.2550000000000008</v>
      </c>
      <c r="G427" s="50">
        <v>2.0910592499999998</v>
      </c>
    </row>
    <row r="428" spans="1:14">
      <c r="A428" s="20">
        <v>18</v>
      </c>
      <c r="B428" s="94">
        <v>40735</v>
      </c>
      <c r="C428" s="20">
        <v>2011</v>
      </c>
      <c r="D428" s="10" t="s">
        <v>31</v>
      </c>
      <c r="E428" s="20">
        <v>7</v>
      </c>
      <c r="F428" s="49">
        <v>5.2439999999999998</v>
      </c>
      <c r="G428" s="50">
        <v>0.96602524999999984</v>
      </c>
      <c r="I428" s="50">
        <f>AVERAGE(F426:F428)</f>
        <v>8.9486666666666661</v>
      </c>
      <c r="J428" s="50">
        <f>AVERAGE(G426:G428)</f>
        <v>1.8386194166666667</v>
      </c>
      <c r="L428">
        <f>+J428/I428</f>
        <v>0.20546294606272816</v>
      </c>
      <c r="M428">
        <f>+(L428-$L$913)/$L$914</f>
        <v>-1.1463945974500327</v>
      </c>
      <c r="N428">
        <f>+N425+M428</f>
        <v>-8.4418344268076133</v>
      </c>
    </row>
    <row r="429" spans="1:14">
      <c r="A429" s="20">
        <v>1</v>
      </c>
      <c r="B429" s="94">
        <v>40771</v>
      </c>
      <c r="C429" s="20">
        <v>2011</v>
      </c>
      <c r="D429" s="10" t="s">
        <v>32</v>
      </c>
      <c r="E429" s="20">
        <v>8</v>
      </c>
      <c r="F429" s="49">
        <v>12.743</v>
      </c>
      <c r="G429" s="50">
        <v>1.6918343749999998</v>
      </c>
    </row>
    <row r="430" spans="1:14">
      <c r="A430" s="20">
        <v>17</v>
      </c>
      <c r="B430" s="94">
        <v>40771</v>
      </c>
      <c r="C430" s="20">
        <v>2011</v>
      </c>
      <c r="D430" s="10" t="s">
        <v>32</v>
      </c>
      <c r="E430" s="20">
        <v>8</v>
      </c>
      <c r="F430" s="49">
        <v>6.6539999999999999</v>
      </c>
      <c r="G430" s="50">
        <v>1.4597007499999999</v>
      </c>
    </row>
    <row r="431" spans="1:14">
      <c r="A431" s="20">
        <v>18</v>
      </c>
      <c r="B431" s="94">
        <v>40771</v>
      </c>
      <c r="C431" s="20">
        <v>2011</v>
      </c>
      <c r="D431" s="10" t="s">
        <v>32</v>
      </c>
      <c r="E431" s="20">
        <v>8</v>
      </c>
      <c r="F431" s="49">
        <v>8.76</v>
      </c>
      <c r="G431" s="50">
        <v>1.9488198750000003</v>
      </c>
      <c r="I431" s="50">
        <f>AVERAGE(F429:F431)</f>
        <v>9.3856666666666655</v>
      </c>
      <c r="J431" s="50">
        <f>AVERAGE(G429:G431)</f>
        <v>1.7001183333333334</v>
      </c>
      <c r="L431">
        <f>+J431/I431</f>
        <v>0.18113985864971413</v>
      </c>
      <c r="M431">
        <f>+(L431-$L$913)/$L$914</f>
        <v>-1.4089941562374109</v>
      </c>
      <c r="N431">
        <f>+N428+M431</f>
        <v>-9.8508285830450237</v>
      </c>
    </row>
    <row r="432" spans="1:14">
      <c r="A432" s="20">
        <v>1</v>
      </c>
      <c r="B432" s="94">
        <v>40799</v>
      </c>
      <c r="C432" s="20">
        <v>2011</v>
      </c>
      <c r="D432" s="10" t="s">
        <v>38</v>
      </c>
      <c r="E432" s="20">
        <v>9</v>
      </c>
      <c r="F432" s="49">
        <v>9.2149999999999999</v>
      </c>
      <c r="G432" s="50">
        <v>1.7171538749999999</v>
      </c>
    </row>
    <row r="433" spans="1:14">
      <c r="A433" s="20">
        <v>17</v>
      </c>
      <c r="B433" s="94">
        <v>40799</v>
      </c>
      <c r="C433" s="20">
        <v>2011</v>
      </c>
      <c r="D433" s="10" t="s">
        <v>38</v>
      </c>
      <c r="E433" s="20">
        <v>9</v>
      </c>
      <c r="F433" s="49">
        <v>5.7110000000000003</v>
      </c>
      <c r="G433" s="50">
        <v>1.3902466249999998</v>
      </c>
    </row>
    <row r="434" spans="1:14">
      <c r="A434" s="20">
        <v>18</v>
      </c>
      <c r="B434" s="94">
        <v>40799</v>
      </c>
      <c r="C434" s="20">
        <v>2011</v>
      </c>
      <c r="D434" s="10" t="s">
        <v>38</v>
      </c>
      <c r="E434" s="20">
        <v>9</v>
      </c>
      <c r="F434" s="49">
        <v>5.6609999999999996</v>
      </c>
      <c r="G434" s="50">
        <v>1.5611623750000001</v>
      </c>
      <c r="I434" s="50">
        <f>AVERAGE(F432:F434)</f>
        <v>6.862333333333333</v>
      </c>
      <c r="J434" s="50">
        <f>AVERAGE(G432:G434)</f>
        <v>1.556187625</v>
      </c>
      <c r="L434">
        <f>+J434/I434</f>
        <v>0.22677237455675914</v>
      </c>
      <c r="M434">
        <f>+(L434-$L$913)/$L$914</f>
        <v>-0.91633143048753329</v>
      </c>
      <c r="N434">
        <f>+N431+M434</f>
        <v>-10.767160013532557</v>
      </c>
    </row>
    <row r="435" spans="1:14">
      <c r="A435" s="20">
        <v>1</v>
      </c>
      <c r="B435" s="94">
        <v>40827</v>
      </c>
      <c r="C435" s="20">
        <v>2011</v>
      </c>
      <c r="D435" s="10" t="s">
        <v>34</v>
      </c>
      <c r="E435" s="20">
        <v>10</v>
      </c>
      <c r="F435" s="52">
        <v>19.387</v>
      </c>
      <c r="G435" s="54">
        <v>7.6462517500000002</v>
      </c>
    </row>
    <row r="436" spans="1:14">
      <c r="A436" s="20">
        <v>17</v>
      </c>
      <c r="B436" s="94">
        <v>40827</v>
      </c>
      <c r="C436" s="20">
        <v>2011</v>
      </c>
      <c r="D436" s="10" t="s">
        <v>34</v>
      </c>
      <c r="E436" s="20">
        <v>10</v>
      </c>
      <c r="F436" s="52">
        <v>30.335999999999999</v>
      </c>
      <c r="G436" s="50">
        <v>15.150415499999998</v>
      </c>
    </row>
    <row r="437" spans="1:14">
      <c r="A437" s="20">
        <v>18</v>
      </c>
      <c r="B437" s="94">
        <v>40827</v>
      </c>
      <c r="C437" s="20">
        <v>2011</v>
      </c>
      <c r="D437" s="10" t="s">
        <v>34</v>
      </c>
      <c r="E437" s="20">
        <v>10</v>
      </c>
      <c r="F437" s="52">
        <v>9.0340000000000007</v>
      </c>
      <c r="G437" s="50">
        <v>3.5095037499999995</v>
      </c>
      <c r="I437" s="50">
        <f>AVERAGE(F435:F437)</f>
        <v>19.585666666666665</v>
      </c>
      <c r="J437" s="50">
        <f>AVERAGE(G435:G437)</f>
        <v>8.7687236666666664</v>
      </c>
      <c r="L437">
        <f>+J437/I437</f>
        <v>0.4477112684446109</v>
      </c>
      <c r="M437">
        <f>+(L437-$L$913)/$L$914</f>
        <v>1.4689930584948372</v>
      </c>
      <c r="N437">
        <f>+N434+M437</f>
        <v>-9.2981669550377202</v>
      </c>
    </row>
    <row r="438" spans="1:14">
      <c r="A438" s="20">
        <v>1</v>
      </c>
      <c r="B438" s="97">
        <v>40862</v>
      </c>
      <c r="C438" s="20">
        <v>2011</v>
      </c>
      <c r="D438" s="10" t="s">
        <v>35</v>
      </c>
      <c r="E438" s="20">
        <v>11</v>
      </c>
      <c r="F438" s="52">
        <v>2.7909999999999999</v>
      </c>
      <c r="G438" s="50">
        <v>0.82970712499999988</v>
      </c>
    </row>
    <row r="439" spans="1:14">
      <c r="A439" s="20">
        <v>17</v>
      </c>
      <c r="B439" s="97">
        <v>40862</v>
      </c>
      <c r="C439" s="20">
        <v>2011</v>
      </c>
      <c r="D439" s="10" t="s">
        <v>35</v>
      </c>
      <c r="E439" s="20">
        <v>11</v>
      </c>
      <c r="F439" s="52">
        <v>5.7450000000000001</v>
      </c>
      <c r="G439" s="50">
        <v>2.5973988749999997</v>
      </c>
    </row>
    <row r="440" spans="1:14">
      <c r="A440" s="20">
        <v>18</v>
      </c>
      <c r="B440" s="97">
        <v>40862</v>
      </c>
      <c r="C440" s="20">
        <v>2011</v>
      </c>
      <c r="D440" s="10" t="s">
        <v>35</v>
      </c>
      <c r="E440" s="20">
        <v>11</v>
      </c>
      <c r="F440" s="52">
        <v>5.6529999999999996</v>
      </c>
      <c r="G440" s="50">
        <v>2.4395321249999999</v>
      </c>
      <c r="I440" s="50">
        <f>AVERAGE(F438:F440)</f>
        <v>4.7296666666666667</v>
      </c>
      <c r="J440" s="50">
        <f>AVERAGE(G438:G440)</f>
        <v>1.9555460416666666</v>
      </c>
      <c r="L440">
        <f>+J440/I440</f>
        <v>0.4134638188032983</v>
      </c>
      <c r="M440">
        <f>+(L440-$L$913)/$L$914</f>
        <v>1.0992470220360877</v>
      </c>
      <c r="N440">
        <f>+N437+M440</f>
        <v>-8.1989199330016334</v>
      </c>
    </row>
    <row r="441" spans="1:14">
      <c r="A441" s="20">
        <v>1</v>
      </c>
      <c r="B441" s="97">
        <v>40890</v>
      </c>
      <c r="C441" s="20">
        <v>2011</v>
      </c>
      <c r="D441" s="10" t="s">
        <v>36</v>
      </c>
      <c r="E441" s="20">
        <v>12</v>
      </c>
      <c r="F441" s="52">
        <v>2.3290000000000002</v>
      </c>
      <c r="G441" s="50">
        <v>0.557828875</v>
      </c>
    </row>
    <row r="442" spans="1:14">
      <c r="A442" s="20">
        <v>17</v>
      </c>
      <c r="B442" s="97">
        <v>40890</v>
      </c>
      <c r="C442" s="20">
        <v>2011</v>
      </c>
      <c r="D442" s="10" t="s">
        <v>36</v>
      </c>
      <c r="E442" s="20">
        <v>12</v>
      </c>
      <c r="F442" s="52">
        <v>4.0019999999999998</v>
      </c>
      <c r="G442" s="50">
        <v>1.6900222499999999</v>
      </c>
    </row>
    <row r="443" spans="1:14">
      <c r="A443" s="20">
        <v>18</v>
      </c>
      <c r="B443" s="97">
        <v>40890</v>
      </c>
      <c r="C443" s="20">
        <v>2011</v>
      </c>
      <c r="D443" s="10" t="s">
        <v>36</v>
      </c>
      <c r="E443" s="20">
        <v>12</v>
      </c>
      <c r="F443" s="52">
        <v>1.9750000000000001</v>
      </c>
      <c r="G443" s="50">
        <v>0.65601837499999993</v>
      </c>
      <c r="I443" s="50">
        <f>AVERAGE(F441:F443)</f>
        <v>2.7686666666666664</v>
      </c>
      <c r="J443" s="50">
        <f>AVERAGE(G441:G443)</f>
        <v>0.9679565</v>
      </c>
      <c r="L443">
        <f>+J443/I443</f>
        <v>0.34961106429087407</v>
      </c>
      <c r="M443">
        <f>+(L443-$L$913)/$L$914</f>
        <v>0.40987297680900708</v>
      </c>
      <c r="N443">
        <f>+N440+M443</f>
        <v>-7.7890469561926263</v>
      </c>
    </row>
    <row r="444" spans="1:14">
      <c r="A444" s="43">
        <v>1</v>
      </c>
      <c r="B444" s="96">
        <v>40917</v>
      </c>
      <c r="C444" s="43">
        <v>2012</v>
      </c>
      <c r="D444" s="45" t="s">
        <v>37</v>
      </c>
      <c r="E444" s="43">
        <v>1</v>
      </c>
      <c r="F444" s="56">
        <v>4.7460000000000004</v>
      </c>
      <c r="G444" s="47">
        <v>1.3407332499999998</v>
      </c>
    </row>
    <row r="445" spans="1:14">
      <c r="A445" s="20">
        <v>17</v>
      </c>
      <c r="B445" s="94">
        <v>40917</v>
      </c>
      <c r="C445" s="20">
        <v>2012</v>
      </c>
      <c r="D445" s="10" t="s">
        <v>37</v>
      </c>
      <c r="E445" s="20">
        <v>1</v>
      </c>
      <c r="F445" s="57">
        <v>10.285</v>
      </c>
      <c r="G445" s="50">
        <v>5.1590927499999992</v>
      </c>
    </row>
    <row r="446" spans="1:14">
      <c r="A446" s="20">
        <v>18</v>
      </c>
      <c r="B446" s="94">
        <v>40917</v>
      </c>
      <c r="C446" s="20">
        <v>2012</v>
      </c>
      <c r="D446" s="10" t="s">
        <v>37</v>
      </c>
      <c r="E446" s="20">
        <v>1</v>
      </c>
      <c r="F446" s="57">
        <v>3.9940000000000002</v>
      </c>
      <c r="G446" s="50">
        <v>1.8027686249999997</v>
      </c>
      <c r="I446" s="50">
        <f>AVERAGE(F444:F446)</f>
        <v>6.3416666666666677</v>
      </c>
      <c r="J446" s="50">
        <f>AVERAGE(G444:G446)</f>
        <v>2.7675315416666657</v>
      </c>
      <c r="L446">
        <f>+J446/I446</f>
        <v>0.43640444809461215</v>
      </c>
      <c r="M446">
        <f>+(L446-$L$913)/$L$914</f>
        <v>1.3469211362597853</v>
      </c>
      <c r="N446">
        <f>+N443+M446</f>
        <v>-6.4421258199328406</v>
      </c>
    </row>
    <row r="447" spans="1:14">
      <c r="A447" s="20">
        <v>1</v>
      </c>
      <c r="B447" s="94">
        <v>40962</v>
      </c>
      <c r="C447" s="20">
        <v>2012</v>
      </c>
      <c r="D447" s="10" t="s">
        <v>26</v>
      </c>
      <c r="E447" s="20">
        <v>2</v>
      </c>
      <c r="F447" s="57">
        <v>11.262</v>
      </c>
      <c r="G447" s="50">
        <v>7.1280816250000001</v>
      </c>
    </row>
    <row r="448" spans="1:14">
      <c r="A448" s="20">
        <v>17</v>
      </c>
      <c r="B448" s="94">
        <v>40962</v>
      </c>
      <c r="C448" s="20">
        <v>2012</v>
      </c>
      <c r="D448" s="10" t="s">
        <v>26</v>
      </c>
      <c r="E448" s="20">
        <v>2</v>
      </c>
      <c r="F448" s="57">
        <v>22.803999999999998</v>
      </c>
      <c r="G448" s="50">
        <v>14.744191166666667</v>
      </c>
    </row>
    <row r="449" spans="1:14">
      <c r="A449" s="20">
        <v>18</v>
      </c>
      <c r="B449" s="94">
        <v>40962</v>
      </c>
      <c r="C449" s="20">
        <v>2012</v>
      </c>
      <c r="D449" s="10" t="s">
        <v>26</v>
      </c>
      <c r="E449" s="20">
        <v>2</v>
      </c>
      <c r="F449" s="57">
        <v>16.109000000000002</v>
      </c>
      <c r="G449" s="50">
        <v>10.292261999999997</v>
      </c>
      <c r="I449" s="50">
        <f>AVERAGE(F447:F449)</f>
        <v>16.725000000000001</v>
      </c>
      <c r="J449" s="50">
        <f>AVERAGE(G447:G449)</f>
        <v>10.721511597222223</v>
      </c>
      <c r="L449">
        <f>+J449/I449</f>
        <v>0.64104703122404916</v>
      </c>
      <c r="M449">
        <f>+(L449-$L$913)/$L$914</f>
        <v>3.5563056246017752</v>
      </c>
      <c r="N449">
        <f>+N446+M449</f>
        <v>-2.8858201953310654</v>
      </c>
    </row>
    <row r="450" spans="1:14">
      <c r="A450" s="20">
        <v>1</v>
      </c>
      <c r="B450" s="94">
        <v>40980</v>
      </c>
      <c r="C450" s="20">
        <v>2012</v>
      </c>
      <c r="D450" s="10" t="s">
        <v>27</v>
      </c>
      <c r="E450" s="20">
        <v>3</v>
      </c>
      <c r="F450" s="57">
        <v>5.2960000000000003</v>
      </c>
      <c r="G450" s="50">
        <v>3.1396644999999999</v>
      </c>
    </row>
    <row r="451" spans="1:14">
      <c r="A451" s="20">
        <v>17</v>
      </c>
      <c r="B451" s="94">
        <v>40980</v>
      </c>
      <c r="C451" s="20">
        <v>2012</v>
      </c>
      <c r="D451" s="10" t="s">
        <v>27</v>
      </c>
      <c r="E451" s="20">
        <v>3</v>
      </c>
      <c r="F451" s="57">
        <v>12.057</v>
      </c>
      <c r="G451" s="50">
        <v>8.6592324999999999</v>
      </c>
    </row>
    <row r="452" spans="1:14">
      <c r="A452" s="20">
        <v>18</v>
      </c>
      <c r="B452" s="94">
        <v>40980</v>
      </c>
      <c r="C452" s="20">
        <v>2012</v>
      </c>
      <c r="D452" s="10" t="s">
        <v>27</v>
      </c>
      <c r="E452" s="20">
        <v>3</v>
      </c>
      <c r="F452" s="57">
        <v>3.456</v>
      </c>
      <c r="G452" s="50">
        <v>1.4487775000000001</v>
      </c>
      <c r="I452" s="50">
        <f>AVERAGE(F450:F452)</f>
        <v>6.9363333333333337</v>
      </c>
      <c r="J452" s="50">
        <f>AVERAGE(G450:G452)</f>
        <v>4.4158914999999999</v>
      </c>
      <c r="L452">
        <f>+J452/I452</f>
        <v>0.63663196213176987</v>
      </c>
      <c r="M452">
        <f>+(L452-$L$913)/$L$914</f>
        <v>3.508639176014825</v>
      </c>
      <c r="N452">
        <f>+N449+M452</f>
        <v>0.62281898068375963</v>
      </c>
    </row>
    <row r="453" spans="1:14">
      <c r="A453" s="20">
        <v>1</v>
      </c>
      <c r="B453" s="94">
        <v>41015</v>
      </c>
      <c r="C453" s="20">
        <v>2012</v>
      </c>
      <c r="D453" s="10" t="s">
        <v>28</v>
      </c>
      <c r="E453" s="20">
        <v>4</v>
      </c>
      <c r="F453" s="49">
        <v>1.6080000000000001</v>
      </c>
      <c r="G453" s="50">
        <v>0.6772062499999999</v>
      </c>
    </row>
    <row r="454" spans="1:14">
      <c r="A454" s="20">
        <v>17</v>
      </c>
      <c r="B454" s="94">
        <v>41015</v>
      </c>
      <c r="C454" s="20">
        <v>2012</v>
      </c>
      <c r="D454" s="10" t="s">
        <v>28</v>
      </c>
      <c r="E454" s="20">
        <v>4</v>
      </c>
      <c r="F454" s="49">
        <v>1.4930000000000001</v>
      </c>
      <c r="G454" s="50">
        <v>0.64273950000000002</v>
      </c>
    </row>
    <row r="455" spans="1:14">
      <c r="A455" s="20">
        <v>18</v>
      </c>
      <c r="B455" s="94">
        <v>41015</v>
      </c>
      <c r="C455" s="20">
        <v>2012</v>
      </c>
      <c r="D455" s="10" t="s">
        <v>28</v>
      </c>
      <c r="E455" s="20">
        <v>4</v>
      </c>
      <c r="F455" s="49">
        <v>1.5089999999999999</v>
      </c>
      <c r="G455" s="50">
        <v>0.47751887499999995</v>
      </c>
      <c r="I455" s="50">
        <f>AVERAGE(F453:F455)</f>
        <v>1.5366666666666664</v>
      </c>
      <c r="J455" s="50">
        <f>AVERAGE(G453:G455)</f>
        <v>0.59915487499999998</v>
      </c>
      <c r="L455">
        <f>+J455/I455</f>
        <v>0.38990555856832976</v>
      </c>
      <c r="M455">
        <f>+(L455-$L$913)/$L$914</f>
        <v>0.84490477351911042</v>
      </c>
      <c r="N455">
        <f>+N452+M455</f>
        <v>1.46772375420287</v>
      </c>
    </row>
    <row r="456" spans="1:14">
      <c r="A456" s="20">
        <v>1</v>
      </c>
      <c r="B456" s="94">
        <v>41045</v>
      </c>
      <c r="C456" s="20">
        <v>2012</v>
      </c>
      <c r="D456" s="10" t="s">
        <v>29</v>
      </c>
      <c r="E456" s="20">
        <v>5</v>
      </c>
      <c r="F456" s="49">
        <v>4.4130000000000003</v>
      </c>
      <c r="G456" s="50">
        <v>2.1236721250000001</v>
      </c>
    </row>
    <row r="457" spans="1:14">
      <c r="A457" s="20">
        <v>17</v>
      </c>
      <c r="B457" s="94">
        <v>41045</v>
      </c>
      <c r="C457" s="20">
        <v>2012</v>
      </c>
      <c r="D457" s="10" t="s">
        <v>29</v>
      </c>
      <c r="E457" s="20">
        <v>5</v>
      </c>
      <c r="F457" s="49">
        <v>4.45</v>
      </c>
      <c r="G457" s="50">
        <v>2.2567783749999997</v>
      </c>
    </row>
    <row r="458" spans="1:14">
      <c r="A458" s="20">
        <v>18</v>
      </c>
      <c r="B458" s="94">
        <v>41045</v>
      </c>
      <c r="C458" s="20">
        <v>2012</v>
      </c>
      <c r="D458" s="10" t="s">
        <v>29</v>
      </c>
      <c r="E458" s="20">
        <v>5</v>
      </c>
      <c r="F458" s="49">
        <v>5.343</v>
      </c>
      <c r="G458" s="50">
        <v>2.5379732499999998</v>
      </c>
      <c r="I458" s="50">
        <f>AVERAGE(F456:F458)</f>
        <v>4.7353333333333332</v>
      </c>
      <c r="J458" s="50">
        <f>AVERAGE(G456:G458)</f>
        <v>2.30614125</v>
      </c>
      <c r="L458">
        <f>+J458/I458</f>
        <v>0.48700716246656345</v>
      </c>
      <c r="M458">
        <f>+(L458-$L$913)/$L$914</f>
        <v>1.8932436586385959</v>
      </c>
      <c r="N458">
        <f>+N455+M458</f>
        <v>3.3609674128414659</v>
      </c>
    </row>
    <row r="459" spans="1:14">
      <c r="A459" s="20">
        <v>1</v>
      </c>
      <c r="B459" s="94">
        <v>41073</v>
      </c>
      <c r="C459" s="20">
        <v>2012</v>
      </c>
      <c r="D459" s="10" t="s">
        <v>30</v>
      </c>
      <c r="E459" s="20">
        <v>6</v>
      </c>
      <c r="F459" s="49">
        <v>5.7510000000000003</v>
      </c>
      <c r="G459" s="50">
        <v>1.8353336250000003</v>
      </c>
    </row>
    <row r="460" spans="1:14">
      <c r="A460" s="20">
        <v>17</v>
      </c>
      <c r="B460" s="94">
        <v>41073</v>
      </c>
      <c r="C460" s="20">
        <v>2012</v>
      </c>
      <c r="D460" s="10" t="s">
        <v>30</v>
      </c>
      <c r="E460" s="20">
        <v>6</v>
      </c>
      <c r="F460" s="49">
        <v>5.8970000000000002</v>
      </c>
      <c r="G460" s="50">
        <v>2.8512401249999995</v>
      </c>
    </row>
    <row r="461" spans="1:14">
      <c r="A461" s="20">
        <v>18</v>
      </c>
      <c r="B461" s="94">
        <v>41073</v>
      </c>
      <c r="C461" s="20">
        <v>2012</v>
      </c>
      <c r="D461" s="10" t="s">
        <v>30</v>
      </c>
      <c r="E461" s="20">
        <v>6</v>
      </c>
      <c r="F461" s="49">
        <v>8.2430000000000003</v>
      </c>
      <c r="G461" s="50">
        <v>3.0141598749999998</v>
      </c>
      <c r="I461" s="50">
        <f>AVERAGE(F459:F461)</f>
        <v>6.6303333333333327</v>
      </c>
      <c r="J461" s="50">
        <f>AVERAGE(G459:G461)</f>
        <v>2.5669112083333334</v>
      </c>
      <c r="L461">
        <f>+J461/I461</f>
        <v>0.3871466303856016</v>
      </c>
      <c r="M461">
        <f>+(L461-$L$913)/$L$914</f>
        <v>0.81511853334292139</v>
      </c>
      <c r="N461">
        <f>+N458+M461</f>
        <v>4.1760859461843873</v>
      </c>
    </row>
    <row r="462" spans="1:14">
      <c r="A462" s="20">
        <v>1</v>
      </c>
      <c r="B462" s="94">
        <v>41107</v>
      </c>
      <c r="C462" s="20">
        <v>2012</v>
      </c>
      <c r="D462" s="10" t="s">
        <v>31</v>
      </c>
      <c r="E462" s="20">
        <v>7</v>
      </c>
      <c r="F462" s="49">
        <v>8.2539999999999996</v>
      </c>
      <c r="G462" s="50">
        <v>2.9198668749999999</v>
      </c>
    </row>
    <row r="463" spans="1:14">
      <c r="A463" s="20">
        <v>17</v>
      </c>
      <c r="B463" s="94">
        <v>41107</v>
      </c>
      <c r="C463" s="20">
        <v>2012</v>
      </c>
      <c r="D463" s="10" t="s">
        <v>31</v>
      </c>
      <c r="E463" s="20">
        <v>7</v>
      </c>
      <c r="F463" s="49">
        <v>8.0850000000000009</v>
      </c>
      <c r="G463" s="50">
        <v>2.9509516250000001</v>
      </c>
    </row>
    <row r="464" spans="1:14">
      <c r="A464" s="20">
        <v>18</v>
      </c>
      <c r="B464" s="94">
        <v>41107</v>
      </c>
      <c r="C464" s="20">
        <v>2012</v>
      </c>
      <c r="D464" s="10" t="s">
        <v>31</v>
      </c>
      <c r="E464" s="20">
        <v>7</v>
      </c>
      <c r="F464" s="49">
        <v>5.4820000000000002</v>
      </c>
      <c r="G464" s="50">
        <v>1.9052411250000001</v>
      </c>
      <c r="I464" s="50">
        <f>AVERAGE(F462:F464)</f>
        <v>7.2736666666666663</v>
      </c>
      <c r="J464" s="50">
        <f>AVERAGE(G462:G464)</f>
        <v>2.5920198750000001</v>
      </c>
      <c r="L464">
        <f>+J464/I464</f>
        <v>0.35635670340497688</v>
      </c>
      <c r="M464">
        <f>+(L464-$L$913)/$L$914</f>
        <v>0.48270097865857869</v>
      </c>
      <c r="N464">
        <f>+N461+M464</f>
        <v>4.6587869248429659</v>
      </c>
    </row>
    <row r="465" spans="1:14">
      <c r="A465" s="20">
        <v>1</v>
      </c>
      <c r="B465" s="94">
        <v>41135</v>
      </c>
      <c r="C465" s="20">
        <v>2012</v>
      </c>
      <c r="D465" s="10" t="s">
        <v>32</v>
      </c>
      <c r="E465" s="20">
        <v>8</v>
      </c>
      <c r="F465" s="49">
        <v>11.004</v>
      </c>
      <c r="G465" s="50">
        <v>3.7693638749999994</v>
      </c>
    </row>
    <row r="466" spans="1:14">
      <c r="A466" s="20">
        <v>17</v>
      </c>
      <c r="B466" s="94">
        <v>41135</v>
      </c>
      <c r="C466" s="20">
        <v>2012</v>
      </c>
      <c r="D466" s="10" t="s">
        <v>32</v>
      </c>
      <c r="E466" s="20">
        <v>8</v>
      </c>
      <c r="F466" s="49">
        <v>11.523999999999999</v>
      </c>
      <c r="G466" s="50">
        <v>4.9662823749999987</v>
      </c>
    </row>
    <row r="467" spans="1:14">
      <c r="A467" s="20">
        <v>18</v>
      </c>
      <c r="B467" s="94">
        <v>41135</v>
      </c>
      <c r="C467" s="20">
        <v>2012</v>
      </c>
      <c r="D467" s="10" t="s">
        <v>32</v>
      </c>
      <c r="E467" s="20">
        <v>8</v>
      </c>
      <c r="F467" s="49">
        <v>12.27</v>
      </c>
      <c r="G467" s="50">
        <v>4.1902286249999996</v>
      </c>
      <c r="I467" s="50">
        <f>AVERAGE(F465:F467)</f>
        <v>11.599333333333334</v>
      </c>
      <c r="J467" s="50">
        <f>AVERAGE(G465:G467)</f>
        <v>4.3086249583333327</v>
      </c>
      <c r="L467">
        <f>+J467/I467</f>
        <v>0.37145453402494388</v>
      </c>
      <c r="M467">
        <f>+(L467-$L$913)/$L$914</f>
        <v>0.64570181782542735</v>
      </c>
      <c r="N467">
        <f>+N464+M467</f>
        <v>5.3044887426683935</v>
      </c>
    </row>
    <row r="468" spans="1:14">
      <c r="A468" s="20">
        <v>1</v>
      </c>
      <c r="B468" s="94">
        <v>41164</v>
      </c>
      <c r="C468" s="20">
        <v>2012</v>
      </c>
      <c r="D468" s="10" t="s">
        <v>38</v>
      </c>
      <c r="E468" s="20">
        <v>9</v>
      </c>
      <c r="F468" s="49">
        <v>9.9719999999999995</v>
      </c>
      <c r="G468" s="50">
        <v>4.575053875</v>
      </c>
    </row>
    <row r="469" spans="1:14">
      <c r="A469" s="20">
        <v>17</v>
      </c>
      <c r="B469" s="94">
        <v>41164</v>
      </c>
      <c r="C469" s="20">
        <v>2012</v>
      </c>
      <c r="D469" s="10" t="s">
        <v>38</v>
      </c>
      <c r="E469" s="20">
        <v>9</v>
      </c>
      <c r="F469" s="49">
        <v>12.736000000000001</v>
      </c>
      <c r="G469" s="50">
        <v>6.8171262499999985</v>
      </c>
    </row>
    <row r="470" spans="1:14">
      <c r="A470" s="20">
        <v>18</v>
      </c>
      <c r="B470" s="94">
        <v>41164</v>
      </c>
      <c r="C470" s="20">
        <v>2012</v>
      </c>
      <c r="D470" s="10" t="s">
        <v>38</v>
      </c>
      <c r="E470" s="20">
        <v>9</v>
      </c>
      <c r="F470" s="49">
        <v>9.218</v>
      </c>
      <c r="G470" s="50">
        <v>4.5910902499999997</v>
      </c>
      <c r="I470" s="50">
        <f>AVERAGE(F468:F470)</f>
        <v>10.641999999999999</v>
      </c>
      <c r="J470" s="50">
        <f>AVERAGE(G468:G470)</f>
        <v>5.3277567916666664</v>
      </c>
      <c r="L470">
        <f>+J470/I470</f>
        <v>0.50063491746538868</v>
      </c>
      <c r="M470">
        <f>+(L470-$L$913)/$L$914</f>
        <v>2.0403731076755323</v>
      </c>
      <c r="N470">
        <f>+N467+M470</f>
        <v>7.3448618503439258</v>
      </c>
    </row>
    <row r="471" spans="1:14">
      <c r="A471" s="20">
        <v>1</v>
      </c>
      <c r="B471" s="94">
        <v>41200</v>
      </c>
      <c r="C471" s="20">
        <v>2012</v>
      </c>
      <c r="D471" s="10" t="s">
        <v>34</v>
      </c>
      <c r="E471" s="20">
        <v>10</v>
      </c>
      <c r="F471" s="49">
        <v>3.069</v>
      </c>
      <c r="G471" s="50">
        <v>1.0714341249999997</v>
      </c>
    </row>
    <row r="472" spans="1:14">
      <c r="A472" s="20">
        <v>17</v>
      </c>
      <c r="B472" s="94">
        <v>41200</v>
      </c>
      <c r="C472" s="20">
        <v>2012</v>
      </c>
      <c r="D472" s="10" t="s">
        <v>34</v>
      </c>
      <c r="E472" s="20">
        <v>10</v>
      </c>
      <c r="F472" s="49">
        <v>7.125</v>
      </c>
      <c r="G472" s="50">
        <v>3.0422444999999994</v>
      </c>
    </row>
    <row r="473" spans="1:14">
      <c r="A473" s="20">
        <v>18</v>
      </c>
      <c r="B473" s="94">
        <v>41200</v>
      </c>
      <c r="C473" s="20">
        <v>2012</v>
      </c>
      <c r="D473" s="10" t="s">
        <v>34</v>
      </c>
      <c r="E473" s="20">
        <v>10</v>
      </c>
      <c r="F473" s="49">
        <v>2.956</v>
      </c>
      <c r="G473" s="50">
        <v>1.1764652499999999</v>
      </c>
      <c r="I473" s="50">
        <f>AVERAGE(F471:F473)</f>
        <v>4.3833333333333329</v>
      </c>
      <c r="J473" s="50">
        <f>AVERAGE(G471:G473)</f>
        <v>1.763381291666666</v>
      </c>
      <c r="L473">
        <f>+J473/I473</f>
        <v>0.40229230988593145</v>
      </c>
      <c r="M473">
        <f>+(L473-$L$913)/$L$914</f>
        <v>0.97863596379024342</v>
      </c>
      <c r="N473">
        <f>+N470+M473</f>
        <v>8.3234978141341696</v>
      </c>
    </row>
    <row r="474" spans="1:14">
      <c r="A474" s="20">
        <v>1</v>
      </c>
      <c r="B474" s="94">
        <v>41226</v>
      </c>
      <c r="C474" s="20">
        <v>2012</v>
      </c>
      <c r="D474" s="10" t="s">
        <v>35</v>
      </c>
      <c r="E474" s="20">
        <v>11</v>
      </c>
      <c r="F474" s="49">
        <v>1.71</v>
      </c>
      <c r="G474" s="50">
        <v>0.40672887499999999</v>
      </c>
    </row>
    <row r="475" spans="1:14">
      <c r="A475" s="20">
        <v>17</v>
      </c>
      <c r="B475" s="94">
        <v>41226</v>
      </c>
      <c r="C475" s="20">
        <v>2012</v>
      </c>
      <c r="D475" s="10" t="s">
        <v>35</v>
      </c>
      <c r="E475" s="20">
        <v>11</v>
      </c>
      <c r="F475" s="49">
        <v>2.6160000000000001</v>
      </c>
      <c r="G475" s="50">
        <v>1.0638682500000003</v>
      </c>
    </row>
    <row r="476" spans="1:14">
      <c r="A476" s="20">
        <v>18</v>
      </c>
      <c r="B476" s="94">
        <v>41226</v>
      </c>
      <c r="C476" s="20">
        <v>2012</v>
      </c>
      <c r="D476" s="10" t="s">
        <v>35</v>
      </c>
      <c r="E476" s="20">
        <v>11</v>
      </c>
      <c r="F476" s="49">
        <v>3.024</v>
      </c>
      <c r="G476" s="50">
        <v>1.29346575</v>
      </c>
      <c r="I476" s="50">
        <f>AVERAGE(F474:F476)</f>
        <v>2.4500000000000002</v>
      </c>
      <c r="J476" s="50">
        <f>AVERAGE(G474:G476)</f>
        <v>0.92135429166666682</v>
      </c>
      <c r="L476">
        <f>+J476/I476</f>
        <v>0.37606297619047624</v>
      </c>
      <c r="M476">
        <f>+(L476-$L$913)/$L$914</f>
        <v>0.69545598179387336</v>
      </c>
      <c r="N476">
        <f>+N473+M476</f>
        <v>9.0189537959280432</v>
      </c>
    </row>
    <row r="477" spans="1:14">
      <c r="A477" s="20">
        <v>1</v>
      </c>
      <c r="B477" s="94">
        <v>41254</v>
      </c>
      <c r="C477" s="20">
        <v>2012</v>
      </c>
      <c r="D477" s="10" t="s">
        <v>36</v>
      </c>
      <c r="E477" s="20">
        <v>12</v>
      </c>
      <c r="F477" s="49">
        <v>7.4009999999999998</v>
      </c>
      <c r="G477" s="50">
        <v>3.1005207499999994</v>
      </c>
    </row>
    <row r="478" spans="1:14">
      <c r="A478" s="20">
        <v>17</v>
      </c>
      <c r="B478" s="94">
        <v>41254</v>
      </c>
      <c r="C478" s="20">
        <v>2012</v>
      </c>
      <c r="D478" s="10" t="s">
        <v>36</v>
      </c>
      <c r="E478" s="20">
        <v>12</v>
      </c>
      <c r="F478" s="49">
        <v>8.8949999999999996</v>
      </c>
      <c r="G478" s="50">
        <v>4.1434813749999995</v>
      </c>
    </row>
    <row r="479" spans="1:14">
      <c r="A479" s="20">
        <v>18</v>
      </c>
      <c r="B479" s="94">
        <v>41254</v>
      </c>
      <c r="C479" s="20">
        <v>2012</v>
      </c>
      <c r="D479" s="10" t="s">
        <v>36</v>
      </c>
      <c r="E479" s="20">
        <v>12</v>
      </c>
      <c r="F479" s="49">
        <v>2.5960000000000001</v>
      </c>
      <c r="G479" s="50">
        <v>1.1786571249999998</v>
      </c>
      <c r="I479" s="50">
        <f>AVERAGE(F477:F479)</f>
        <v>6.2973333333333334</v>
      </c>
      <c r="J479" s="50">
        <f>AVERAGE(G477:G479)</f>
        <v>2.8075530833333331</v>
      </c>
      <c r="L479">
        <f>+J479/I479</f>
        <v>0.44583205854329871</v>
      </c>
      <c r="M479">
        <f>+(L479-$L$913)/$L$914</f>
        <v>1.4487045284010212</v>
      </c>
      <c r="N479">
        <f>+N476+M479</f>
        <v>10.467658324329065</v>
      </c>
    </row>
    <row r="480" spans="1:14">
      <c r="A480" s="43">
        <v>1</v>
      </c>
      <c r="B480" s="96">
        <v>41288</v>
      </c>
      <c r="C480" s="43">
        <v>2013</v>
      </c>
      <c r="D480" s="45" t="s">
        <v>37</v>
      </c>
      <c r="E480" s="43">
        <v>1</v>
      </c>
      <c r="F480" s="46">
        <v>3.7519999999999998</v>
      </c>
      <c r="G480" s="47">
        <v>1.4045683750000002</v>
      </c>
    </row>
    <row r="481" spans="1:14">
      <c r="A481" s="20">
        <v>17</v>
      </c>
      <c r="B481" s="94">
        <v>41288</v>
      </c>
      <c r="C481" s="20">
        <v>2013</v>
      </c>
      <c r="D481" s="10" t="s">
        <v>37</v>
      </c>
      <c r="E481" s="20">
        <v>1</v>
      </c>
      <c r="F481" s="49">
        <v>8.4710000000000001</v>
      </c>
      <c r="G481" s="50">
        <v>3.7026131250000001</v>
      </c>
    </row>
    <row r="482" spans="1:14">
      <c r="A482" s="20">
        <v>18</v>
      </c>
      <c r="B482" s="94">
        <v>41288</v>
      </c>
      <c r="C482" s="20">
        <v>2013</v>
      </c>
      <c r="D482" s="10" t="s">
        <v>37</v>
      </c>
      <c r="E482" s="20">
        <v>1</v>
      </c>
      <c r="F482" s="51">
        <v>5.609</v>
      </c>
      <c r="G482" s="50">
        <v>2.4509699999999999</v>
      </c>
      <c r="I482" s="50">
        <f>AVERAGE(F480:F482)</f>
        <v>5.944</v>
      </c>
      <c r="J482" s="50">
        <f>AVERAGE(G480:G482)</f>
        <v>2.5193838333333334</v>
      </c>
      <c r="L482">
        <f>+J482/I482</f>
        <v>0.42385326940331991</v>
      </c>
      <c r="M482">
        <f>+(L482-$L$913)/$L$914</f>
        <v>1.2114147373134327</v>
      </c>
      <c r="N482">
        <f>+N479+M482</f>
        <v>11.679073061642498</v>
      </c>
    </row>
    <row r="483" spans="1:14">
      <c r="A483" s="20">
        <v>1</v>
      </c>
      <c r="B483" s="94">
        <v>41318</v>
      </c>
      <c r="C483" s="20">
        <v>2013</v>
      </c>
      <c r="D483" s="10" t="s">
        <v>26</v>
      </c>
      <c r="E483" s="20">
        <v>2</v>
      </c>
      <c r="F483" s="58">
        <v>6.1440000000000001</v>
      </c>
      <c r="G483" s="50">
        <v>2.8635459999999999</v>
      </c>
    </row>
    <row r="484" spans="1:14">
      <c r="A484" s="20">
        <v>17</v>
      </c>
      <c r="B484" s="94">
        <v>41318</v>
      </c>
      <c r="C484" s="20">
        <v>2013</v>
      </c>
      <c r="D484" s="10" t="s">
        <v>26</v>
      </c>
      <c r="E484" s="20">
        <v>2</v>
      </c>
      <c r="F484" s="58">
        <v>7.3550000000000004</v>
      </c>
      <c r="G484" s="50">
        <v>3.0407433749999995</v>
      </c>
    </row>
    <row r="485" spans="1:14">
      <c r="A485" s="20">
        <v>18</v>
      </c>
      <c r="B485" s="94">
        <v>41318</v>
      </c>
      <c r="C485" s="20">
        <v>2013</v>
      </c>
      <c r="D485" s="10" t="s">
        <v>26</v>
      </c>
      <c r="E485" s="20">
        <v>2</v>
      </c>
      <c r="F485" s="58">
        <v>7.8769999999999998</v>
      </c>
      <c r="G485" s="50">
        <v>3.3651889999999995</v>
      </c>
      <c r="I485" s="50">
        <f>AVERAGE(F483:F485)</f>
        <v>7.1253333333333337</v>
      </c>
      <c r="J485" s="50">
        <f>AVERAGE(G483:G485)</f>
        <v>3.0898261249999996</v>
      </c>
      <c r="L485">
        <f>+J485/I485</f>
        <v>0.43363951978854781</v>
      </c>
      <c r="M485">
        <f>+(L485-$L$913)/$L$914</f>
        <v>1.3170701169001811</v>
      </c>
      <c r="N485">
        <f>+N482+M485</f>
        <v>12.996143178542679</v>
      </c>
    </row>
    <row r="486" spans="1:14">
      <c r="A486" s="20">
        <v>1</v>
      </c>
      <c r="B486" s="94">
        <v>41344</v>
      </c>
      <c r="C486" s="20">
        <v>2013</v>
      </c>
      <c r="D486" s="10" t="s">
        <v>27</v>
      </c>
      <c r="E486" s="20">
        <v>3</v>
      </c>
      <c r="F486" s="58">
        <v>6.5209999999999999</v>
      </c>
      <c r="G486" s="50">
        <v>2.9342406249999997</v>
      </c>
    </row>
    <row r="487" spans="1:14">
      <c r="A487" s="20">
        <v>17</v>
      </c>
      <c r="B487" s="94">
        <v>41344</v>
      </c>
      <c r="C487" s="20">
        <v>2013</v>
      </c>
      <c r="D487" s="10" t="s">
        <v>27</v>
      </c>
      <c r="E487" s="20">
        <v>3</v>
      </c>
      <c r="F487" s="58">
        <v>8.843</v>
      </c>
      <c r="G487" s="50">
        <v>3.8189104999999999</v>
      </c>
    </row>
    <row r="488" spans="1:14">
      <c r="A488" s="20">
        <v>18</v>
      </c>
      <c r="B488" s="94">
        <v>41344</v>
      </c>
      <c r="C488" s="20">
        <v>2013</v>
      </c>
      <c r="D488" s="10" t="s">
        <v>27</v>
      </c>
      <c r="E488" s="20">
        <v>3</v>
      </c>
      <c r="F488" s="58">
        <v>8.5359999999999996</v>
      </c>
      <c r="G488" s="50">
        <v>3.8739868750000004</v>
      </c>
      <c r="I488" s="50">
        <f>AVERAGE(F486:F488)</f>
        <v>7.9666666666666659</v>
      </c>
      <c r="J488" s="50">
        <f>AVERAGE(G486:G488)</f>
        <v>3.5423793333333333</v>
      </c>
      <c r="L488">
        <f>+J488/I488</f>
        <v>0.44465012552301258</v>
      </c>
      <c r="M488">
        <f>+(L488-$L$913)/$L$914</f>
        <v>1.4359440147222642</v>
      </c>
      <c r="N488">
        <f>+N485+M488</f>
        <v>14.432087193264943</v>
      </c>
    </row>
    <row r="489" spans="1:14">
      <c r="A489" s="20">
        <v>1</v>
      </c>
      <c r="B489" s="94">
        <v>41381</v>
      </c>
      <c r="C489" s="20">
        <v>2013</v>
      </c>
      <c r="D489" s="10" t="s">
        <v>28</v>
      </c>
      <c r="E489" s="20">
        <v>4</v>
      </c>
      <c r="F489" s="59">
        <v>0.47099999999999997</v>
      </c>
      <c r="G489" s="50">
        <v>0.27236074999999998</v>
      </c>
    </row>
    <row r="490" spans="1:14">
      <c r="A490" s="20">
        <v>17</v>
      </c>
      <c r="B490" s="94">
        <v>41381</v>
      </c>
      <c r="C490" s="20">
        <v>2013</v>
      </c>
      <c r="D490" s="10" t="s">
        <v>28</v>
      </c>
      <c r="E490" s="20">
        <v>4</v>
      </c>
      <c r="F490" s="59">
        <v>0.59899999999999998</v>
      </c>
      <c r="G490" s="50">
        <v>0.345777375</v>
      </c>
    </row>
    <row r="491" spans="1:14">
      <c r="A491" s="20">
        <v>18</v>
      </c>
      <c r="B491" s="94">
        <v>41381</v>
      </c>
      <c r="C491" s="20">
        <v>2013</v>
      </c>
      <c r="D491" s="10" t="s">
        <v>28</v>
      </c>
      <c r="E491" s="20">
        <v>4</v>
      </c>
      <c r="F491" s="59">
        <v>0.45400000000000001</v>
      </c>
      <c r="G491" s="50">
        <v>0.27816337500000005</v>
      </c>
      <c r="I491" s="50">
        <f>AVERAGE(F489:F491)</f>
        <v>0.5079999999999999</v>
      </c>
      <c r="J491" s="50">
        <f>AVERAGE(G489:G491)</f>
        <v>0.29876716666666669</v>
      </c>
      <c r="L491">
        <f>+J491/I491</f>
        <v>0.58812434383202117</v>
      </c>
      <c r="M491">
        <f>+(L491-$L$913)/$L$914</f>
        <v>2.9849359574618601</v>
      </c>
      <c r="N491">
        <f>+N488+M491</f>
        <v>17.417023150726802</v>
      </c>
    </row>
    <row r="492" spans="1:14">
      <c r="A492" s="20">
        <v>1</v>
      </c>
      <c r="B492" s="94">
        <v>41408</v>
      </c>
      <c r="C492" s="20">
        <v>2013</v>
      </c>
      <c r="D492" s="10" t="s">
        <v>29</v>
      </c>
      <c r="E492" s="20">
        <v>5</v>
      </c>
      <c r="F492" s="59">
        <v>0.88300000000000001</v>
      </c>
      <c r="G492" s="50">
        <v>0.307779625</v>
      </c>
    </row>
    <row r="493" spans="1:14">
      <c r="A493" s="20">
        <v>17</v>
      </c>
      <c r="B493" s="94">
        <v>41408</v>
      </c>
      <c r="C493" s="20">
        <v>2013</v>
      </c>
      <c r="D493" s="10" t="s">
        <v>29</v>
      </c>
      <c r="E493" s="20">
        <v>5</v>
      </c>
      <c r="F493" s="59">
        <v>2.5680000000000001</v>
      </c>
      <c r="G493" s="50">
        <v>1.3019626249999998</v>
      </c>
    </row>
    <row r="494" spans="1:14">
      <c r="A494" s="20">
        <v>18</v>
      </c>
      <c r="B494" s="94">
        <v>41408</v>
      </c>
      <c r="C494" s="20">
        <v>2013</v>
      </c>
      <c r="D494" s="10" t="s">
        <v>29</v>
      </c>
      <c r="E494" s="20">
        <v>5</v>
      </c>
      <c r="F494" s="59">
        <v>0.84699999999999998</v>
      </c>
      <c r="G494" s="50">
        <v>0.30319237500000001</v>
      </c>
      <c r="I494" s="50">
        <f>AVERAGE(F492:F494)</f>
        <v>1.4326666666666668</v>
      </c>
      <c r="J494" s="50">
        <f>AVERAGE(G492:G494)</f>
        <v>0.637644875</v>
      </c>
      <c r="L494">
        <f>+J494/I494</f>
        <v>0.44507552931596089</v>
      </c>
      <c r="M494">
        <f>+(L494-$L$913)/$L$914</f>
        <v>1.4405368053675394</v>
      </c>
      <c r="N494">
        <f>+N491+M494</f>
        <v>18.857559956094342</v>
      </c>
    </row>
    <row r="495" spans="1:14">
      <c r="A495" s="20">
        <v>1</v>
      </c>
      <c r="B495" s="94">
        <v>41436</v>
      </c>
      <c r="C495" s="20">
        <v>2013</v>
      </c>
      <c r="D495" s="10" t="s">
        <v>30</v>
      </c>
      <c r="E495" s="20">
        <v>6</v>
      </c>
      <c r="F495" s="59">
        <v>3.645</v>
      </c>
      <c r="G495" s="50">
        <v>0.78359250000000003</v>
      </c>
    </row>
    <row r="496" spans="1:14">
      <c r="A496" s="20">
        <v>17</v>
      </c>
      <c r="B496" s="94">
        <v>41436</v>
      </c>
      <c r="C496" s="20">
        <v>2013</v>
      </c>
      <c r="D496" s="10" t="s">
        <v>30</v>
      </c>
      <c r="E496" s="20">
        <v>6</v>
      </c>
      <c r="F496" s="59">
        <v>4.2629999999999999</v>
      </c>
      <c r="G496" s="50">
        <v>1.7517778749999997</v>
      </c>
    </row>
    <row r="497" spans="1:14">
      <c r="A497" s="20">
        <v>18</v>
      </c>
      <c r="B497" s="94">
        <v>41436</v>
      </c>
      <c r="C497" s="20">
        <v>2013</v>
      </c>
      <c r="D497" s="10" t="s">
        <v>30</v>
      </c>
      <c r="E497" s="20">
        <v>6</v>
      </c>
      <c r="F497" s="59">
        <v>5.8090000000000002</v>
      </c>
      <c r="G497" s="50">
        <v>1.7458698749999999</v>
      </c>
      <c r="I497" s="50">
        <f>AVERAGE(F495:F497)</f>
        <v>4.5723333333333329</v>
      </c>
      <c r="J497" s="50">
        <f>AVERAGE(G495:G497)</f>
        <v>1.4270800833333332</v>
      </c>
      <c r="L497">
        <f>+J497/I497</f>
        <v>0.31211199606327916</v>
      </c>
      <c r="M497">
        <f>+(L497-$L$913)/$L$914</f>
        <v>5.021462513356334E-3</v>
      </c>
      <c r="N497">
        <f>+N494+M497</f>
        <v>18.862581418607697</v>
      </c>
    </row>
    <row r="498" spans="1:14">
      <c r="A498" s="20">
        <v>1</v>
      </c>
      <c r="B498" s="94">
        <v>41471</v>
      </c>
      <c r="C498" s="20">
        <v>2013</v>
      </c>
      <c r="D498" s="10" t="s">
        <v>31</v>
      </c>
      <c r="E498" s="20">
        <v>7</v>
      </c>
      <c r="F498" s="59">
        <v>5.0659999999999998</v>
      </c>
      <c r="G498" s="50">
        <v>1.6308466249999998</v>
      </c>
    </row>
    <row r="499" spans="1:14">
      <c r="A499" s="20">
        <v>17</v>
      </c>
      <c r="B499" s="94">
        <v>41471</v>
      </c>
      <c r="C499" s="20">
        <v>2013</v>
      </c>
      <c r="D499" s="10" t="s">
        <v>31</v>
      </c>
      <c r="E499" s="20">
        <v>7</v>
      </c>
      <c r="F499" s="59">
        <v>15.305</v>
      </c>
      <c r="G499" s="50">
        <v>7.1338674999999983</v>
      </c>
    </row>
    <row r="500" spans="1:14">
      <c r="A500" s="20">
        <v>18</v>
      </c>
      <c r="B500" s="94">
        <v>41471</v>
      </c>
      <c r="C500" s="20">
        <v>2013</v>
      </c>
      <c r="D500" s="10" t="s">
        <v>31</v>
      </c>
      <c r="E500" s="20">
        <v>7</v>
      </c>
      <c r="F500" s="59">
        <v>11.465999999999999</v>
      </c>
      <c r="G500" s="50">
        <v>4.1815727499999999</v>
      </c>
      <c r="I500" s="50">
        <f>AVERAGE(F498:F500)</f>
        <v>10.612333333333332</v>
      </c>
      <c r="J500" s="50">
        <f>AVERAGE(G498:G500)</f>
        <v>4.3154289583333325</v>
      </c>
      <c r="L500">
        <f>+J500/I500</f>
        <v>0.40664280161447369</v>
      </c>
      <c r="M500">
        <f>+(L500-$L$913)/$L$914</f>
        <v>1.0256052152271342</v>
      </c>
      <c r="N500">
        <f>+N497+M500</f>
        <v>19.888186633834831</v>
      </c>
    </row>
    <row r="501" spans="1:14">
      <c r="A501" s="20">
        <v>1</v>
      </c>
      <c r="B501" s="94">
        <v>41499</v>
      </c>
      <c r="C501" s="20">
        <v>2013</v>
      </c>
      <c r="D501" s="10" t="s">
        <v>32</v>
      </c>
      <c r="E501" s="20">
        <v>8</v>
      </c>
      <c r="F501" s="59">
        <v>5.7140000000000004</v>
      </c>
      <c r="G501" s="50">
        <v>1.5962015000000001</v>
      </c>
    </row>
    <row r="502" spans="1:14">
      <c r="A502" s="20">
        <v>17</v>
      </c>
      <c r="B502" s="94">
        <v>41499</v>
      </c>
      <c r="C502" s="20">
        <v>2013</v>
      </c>
      <c r="D502" s="10" t="s">
        <v>32</v>
      </c>
      <c r="E502" s="20">
        <v>8</v>
      </c>
      <c r="F502" s="59">
        <v>6.3680000000000003</v>
      </c>
      <c r="G502" s="50">
        <v>2.7716478749999998</v>
      </c>
    </row>
    <row r="503" spans="1:14">
      <c r="A503" s="20">
        <v>18</v>
      </c>
      <c r="B503" s="94">
        <v>41499</v>
      </c>
      <c r="C503" s="20">
        <v>2013</v>
      </c>
      <c r="D503" s="10" t="s">
        <v>32</v>
      </c>
      <c r="E503" s="20">
        <v>8</v>
      </c>
      <c r="F503" s="59">
        <v>8.7149999999999999</v>
      </c>
      <c r="G503" s="50">
        <v>3.0767417500000001</v>
      </c>
      <c r="I503" s="50">
        <f>AVERAGE(F501:F503)</f>
        <v>6.9323333333333332</v>
      </c>
      <c r="J503" s="50">
        <f>AVERAGE(G501:G503)</f>
        <v>2.4815303749999997</v>
      </c>
      <c r="L503">
        <f>+J503/I503</f>
        <v>0.35796466437466939</v>
      </c>
      <c r="M503">
        <f>+(L503-$L$913)/$L$914</f>
        <v>0.50006102156837207</v>
      </c>
      <c r="N503">
        <f>+N500+M503</f>
        <v>20.388247655403202</v>
      </c>
    </row>
    <row r="504" spans="1:14">
      <c r="A504" s="20">
        <v>1</v>
      </c>
      <c r="B504" s="94">
        <v>41533</v>
      </c>
      <c r="C504" s="20">
        <v>2013</v>
      </c>
      <c r="D504" s="10" t="s">
        <v>38</v>
      </c>
      <c r="E504" s="20">
        <v>9</v>
      </c>
      <c r="F504" s="59">
        <v>3.1379999999999999</v>
      </c>
      <c r="G504" s="50">
        <v>0.76333024999999999</v>
      </c>
    </row>
    <row r="505" spans="1:14">
      <c r="A505" s="20">
        <v>17</v>
      </c>
      <c r="B505" s="94">
        <v>41533</v>
      </c>
      <c r="C505" s="20">
        <v>2013</v>
      </c>
      <c r="D505" s="10" t="s">
        <v>38</v>
      </c>
      <c r="E505" s="20">
        <v>9</v>
      </c>
      <c r="F505" s="59">
        <v>3.1459999999999999</v>
      </c>
      <c r="G505" s="50">
        <v>1.2813613749999997</v>
      </c>
    </row>
    <row r="506" spans="1:14">
      <c r="A506" s="20">
        <v>18</v>
      </c>
      <c r="B506" s="94">
        <v>41533</v>
      </c>
      <c r="C506" s="20">
        <v>2013</v>
      </c>
      <c r="D506" s="10" t="s">
        <v>38</v>
      </c>
      <c r="E506" s="20">
        <v>9</v>
      </c>
      <c r="F506" s="59">
        <v>3.032</v>
      </c>
      <c r="G506" s="50">
        <v>1.064082</v>
      </c>
      <c r="I506" s="50">
        <f>AVERAGE(F504:F506)</f>
        <v>3.1053333333333328</v>
      </c>
      <c r="J506" s="50">
        <f>AVERAGE(G504:G506)</f>
        <v>1.0362578749999998</v>
      </c>
      <c r="L506">
        <f>+J506/I506</f>
        <v>0.33370262183340488</v>
      </c>
      <c r="M506">
        <f>+(L506-$L$913)/$L$914</f>
        <v>0.23812052205728784</v>
      </c>
      <c r="N506">
        <f>+N503+M506</f>
        <v>20.626368177460488</v>
      </c>
    </row>
    <row r="507" spans="1:14">
      <c r="A507" s="20">
        <v>1</v>
      </c>
      <c r="B507" s="94">
        <v>41569</v>
      </c>
      <c r="C507" s="20">
        <v>2013</v>
      </c>
      <c r="D507" s="10" t="s">
        <v>34</v>
      </c>
      <c r="E507" s="20">
        <v>10</v>
      </c>
      <c r="F507" s="49">
        <v>1.3</v>
      </c>
      <c r="G507" s="54">
        <v>0.33221499999999998</v>
      </c>
    </row>
    <row r="508" spans="1:14">
      <c r="A508" s="20">
        <v>17</v>
      </c>
      <c r="B508" s="94">
        <v>41569</v>
      </c>
      <c r="C508" s="20">
        <v>2013</v>
      </c>
      <c r="D508" s="10" t="s">
        <v>34</v>
      </c>
      <c r="E508" s="20">
        <v>10</v>
      </c>
      <c r="F508" s="49">
        <v>3.7040000000000002</v>
      </c>
      <c r="G508" s="50">
        <v>1.4726443749999998</v>
      </c>
    </row>
    <row r="509" spans="1:14">
      <c r="A509" s="20">
        <v>18</v>
      </c>
      <c r="B509" s="94">
        <v>41569</v>
      </c>
      <c r="C509" s="20">
        <v>2013</v>
      </c>
      <c r="D509" s="10" t="s">
        <v>34</v>
      </c>
      <c r="E509" s="20">
        <v>10</v>
      </c>
      <c r="F509" s="49">
        <v>3.7650000000000001</v>
      </c>
      <c r="G509" s="50">
        <v>1.4408166249999999</v>
      </c>
      <c r="I509" s="50">
        <f>AVERAGE(F507:F509)</f>
        <v>2.923</v>
      </c>
      <c r="J509" s="50">
        <f>AVERAGE(G507:G509)</f>
        <v>1.0818919999999999</v>
      </c>
      <c r="L509">
        <f>+J509/I509</f>
        <v>0.37013068764967494</v>
      </c>
      <c r="M509">
        <f>+(L509-$L$913)/$L$914</f>
        <v>0.63140916376614498</v>
      </c>
      <c r="N509">
        <f>+N506+M509</f>
        <v>21.257777341226632</v>
      </c>
    </row>
    <row r="510" spans="1:14">
      <c r="A510" s="20">
        <v>1</v>
      </c>
      <c r="B510" s="94">
        <v>41598</v>
      </c>
      <c r="C510" s="20">
        <v>2013</v>
      </c>
      <c r="D510" s="10" t="s">
        <v>35</v>
      </c>
      <c r="E510" s="20">
        <v>11</v>
      </c>
      <c r="F510" s="49">
        <v>2.0910000000000002</v>
      </c>
      <c r="G510" s="50">
        <v>0.78841649999999985</v>
      </c>
    </row>
    <row r="511" spans="1:14">
      <c r="A511" s="20">
        <v>17</v>
      </c>
      <c r="B511" s="94">
        <v>41598</v>
      </c>
      <c r="C511" s="20">
        <v>2013</v>
      </c>
      <c r="D511" s="10" t="s">
        <v>35</v>
      </c>
      <c r="E511" s="20">
        <v>11</v>
      </c>
      <c r="F511" s="49">
        <v>6.4530000000000003</v>
      </c>
      <c r="G511" s="50">
        <v>3.3456804999999989</v>
      </c>
    </row>
    <row r="512" spans="1:14">
      <c r="A512" s="20">
        <v>18</v>
      </c>
      <c r="B512" s="94">
        <v>41598</v>
      </c>
      <c r="C512" s="20">
        <v>2013</v>
      </c>
      <c r="D512" s="10" t="s">
        <v>35</v>
      </c>
      <c r="E512" s="20">
        <v>11</v>
      </c>
      <c r="F512" s="49">
        <v>6.6760000000000002</v>
      </c>
      <c r="G512" s="50">
        <v>3.3863778750000004</v>
      </c>
      <c r="I512" s="50">
        <f>AVERAGE(F510:F512)</f>
        <v>5.0733333333333333</v>
      </c>
      <c r="J512" s="50">
        <f>AVERAGE(G510:G512)</f>
        <v>2.5068249583333331</v>
      </c>
      <c r="L512">
        <f>+J512/I512</f>
        <v>0.49411792871222071</v>
      </c>
      <c r="M512">
        <f>+(L512-$L$913)/$L$914</f>
        <v>1.9700136856932491</v>
      </c>
      <c r="N512">
        <f>+N509+M512</f>
        <v>23.227791026919881</v>
      </c>
    </row>
    <row r="513" spans="1:14">
      <c r="A513" s="20">
        <v>1</v>
      </c>
      <c r="B513" s="94">
        <v>41624</v>
      </c>
      <c r="C513" s="20">
        <v>2013</v>
      </c>
      <c r="D513" s="10" t="s">
        <v>36</v>
      </c>
      <c r="E513" s="20">
        <v>12</v>
      </c>
      <c r="F513" s="49">
        <v>2.355</v>
      </c>
      <c r="G513" s="50">
        <v>1.089415</v>
      </c>
    </row>
    <row r="514" spans="1:14">
      <c r="A514" s="20">
        <v>17</v>
      </c>
      <c r="B514" s="94">
        <v>41624</v>
      </c>
      <c r="C514" s="20">
        <v>2013</v>
      </c>
      <c r="D514" s="10" t="s">
        <v>36</v>
      </c>
      <c r="E514" s="20">
        <v>12</v>
      </c>
      <c r="F514" s="49">
        <v>11.252000000000001</v>
      </c>
      <c r="G514" s="50">
        <v>6.1435919999999991</v>
      </c>
    </row>
    <row r="515" spans="1:14">
      <c r="A515" s="20">
        <v>18</v>
      </c>
      <c r="B515" s="94">
        <v>41624</v>
      </c>
      <c r="C515" s="20">
        <v>2013</v>
      </c>
      <c r="D515" s="10" t="s">
        <v>36</v>
      </c>
      <c r="E515" s="20">
        <v>12</v>
      </c>
      <c r="F515" s="49">
        <v>2.573</v>
      </c>
      <c r="G515" s="50">
        <v>1.1612604999999998</v>
      </c>
      <c r="I515" s="50">
        <f>AVERAGE(F513:F515)</f>
        <v>5.3933333333333335</v>
      </c>
      <c r="J515" s="50">
        <f>AVERAGE(G513:G515)</f>
        <v>2.7980891666666659</v>
      </c>
      <c r="L515">
        <f>+J515/I515</f>
        <v>0.51880516069221239</v>
      </c>
      <c r="M515">
        <f>+(L515-$L$913)/$L$914</f>
        <v>2.2365446616152789</v>
      </c>
      <c r="N515">
        <f>+N512+M515</f>
        <v>25.464335688535161</v>
      </c>
    </row>
    <row r="516" spans="1:14">
      <c r="A516" s="43">
        <v>1</v>
      </c>
      <c r="B516" s="96">
        <v>41654</v>
      </c>
      <c r="C516" s="43">
        <v>2014</v>
      </c>
      <c r="D516" s="45" t="s">
        <v>37</v>
      </c>
      <c r="E516" s="43">
        <v>1</v>
      </c>
      <c r="F516" s="46">
        <v>2.0259999999999998</v>
      </c>
      <c r="G516" s="47">
        <v>0.85740625000000004</v>
      </c>
    </row>
    <row r="517" spans="1:14">
      <c r="A517" s="20">
        <v>17</v>
      </c>
      <c r="B517" s="94">
        <v>41654</v>
      </c>
      <c r="C517" s="20">
        <v>2014</v>
      </c>
      <c r="D517" s="10" t="s">
        <v>37</v>
      </c>
      <c r="E517" s="20">
        <v>1</v>
      </c>
      <c r="F517" s="49">
        <v>6.6669999999999998</v>
      </c>
      <c r="G517" s="50">
        <v>3.4234799999999992</v>
      </c>
    </row>
    <row r="518" spans="1:14">
      <c r="A518" s="20">
        <v>18</v>
      </c>
      <c r="B518" s="94">
        <v>41654</v>
      </c>
      <c r="C518" s="20">
        <v>2014</v>
      </c>
      <c r="D518" s="10" t="s">
        <v>37</v>
      </c>
      <c r="E518" s="20">
        <v>1</v>
      </c>
      <c r="F518" s="49">
        <v>3.919</v>
      </c>
      <c r="G518" s="50">
        <v>1.8140702499999997</v>
      </c>
      <c r="I518" s="50">
        <f>AVERAGE(F516:F518)</f>
        <v>4.2039999999999997</v>
      </c>
      <c r="J518" s="50">
        <f>AVERAGE(G516:G518)</f>
        <v>2.031652166666666</v>
      </c>
      <c r="L518">
        <f>+J518/I518</f>
        <v>0.48326645258483969</v>
      </c>
      <c r="M518">
        <f>+(L518-$L$913)/$L$914</f>
        <v>1.8528578002229961</v>
      </c>
      <c r="N518">
        <f>+N515+M518</f>
        <v>27.317193488758157</v>
      </c>
    </row>
    <row r="519" spans="1:14">
      <c r="A519" s="20">
        <v>1</v>
      </c>
      <c r="B519" s="94">
        <v>41688</v>
      </c>
      <c r="C519" s="20">
        <v>2014</v>
      </c>
      <c r="D519" s="10" t="s">
        <v>26</v>
      </c>
      <c r="E519" s="20">
        <v>2</v>
      </c>
      <c r="F519" s="49">
        <v>6.2839999999999998</v>
      </c>
      <c r="G519" s="50">
        <v>2.5800456249999995</v>
      </c>
    </row>
    <row r="520" spans="1:14">
      <c r="A520" s="20">
        <v>17</v>
      </c>
      <c r="B520" s="94">
        <v>41688</v>
      </c>
      <c r="C520" s="20">
        <v>2014</v>
      </c>
      <c r="D520" s="10" t="s">
        <v>26</v>
      </c>
      <c r="E520" s="20">
        <v>2</v>
      </c>
      <c r="F520" s="49">
        <v>12.17</v>
      </c>
      <c r="G520" s="50">
        <v>4.810481124999999</v>
      </c>
    </row>
    <row r="521" spans="1:14">
      <c r="A521" s="20">
        <v>18</v>
      </c>
      <c r="B521" s="94">
        <v>41688</v>
      </c>
      <c r="C521" s="20">
        <v>2014</v>
      </c>
      <c r="D521" s="10" t="s">
        <v>26</v>
      </c>
      <c r="E521" s="20">
        <v>2</v>
      </c>
      <c r="F521" s="49">
        <v>8.2899999999999991</v>
      </c>
      <c r="G521" s="50">
        <v>3.5166008750000004</v>
      </c>
      <c r="I521" s="50">
        <f>AVERAGE(F519:F521)</f>
        <v>8.9146666666666672</v>
      </c>
      <c r="J521" s="50">
        <f>AVERAGE(G519:G521)</f>
        <v>3.6357092083333331</v>
      </c>
      <c r="L521">
        <f>+J521/I521</f>
        <v>0.40783456569697873</v>
      </c>
      <c r="M521">
        <f>+(L521-$L$913)/$L$914</f>
        <v>1.0384718680878653</v>
      </c>
      <c r="N521">
        <f>+N518+M521</f>
        <v>28.355665356846021</v>
      </c>
    </row>
    <row r="522" spans="1:14">
      <c r="A522" s="20">
        <v>1</v>
      </c>
      <c r="B522" s="94">
        <v>41719</v>
      </c>
      <c r="C522" s="20">
        <v>2014</v>
      </c>
      <c r="D522" s="10" t="s">
        <v>27</v>
      </c>
      <c r="E522" s="20">
        <v>3</v>
      </c>
      <c r="F522" s="49">
        <v>2.2229999999999999</v>
      </c>
      <c r="G522" s="50">
        <v>0.73633824999999997</v>
      </c>
    </row>
    <row r="523" spans="1:14">
      <c r="A523" s="20">
        <v>17</v>
      </c>
      <c r="B523" s="94">
        <v>41719</v>
      </c>
      <c r="C523" s="20">
        <v>2014</v>
      </c>
      <c r="D523" s="10" t="s">
        <v>27</v>
      </c>
      <c r="E523" s="20">
        <v>3</v>
      </c>
      <c r="F523" s="49">
        <v>3.36</v>
      </c>
      <c r="G523" s="50">
        <v>1.3272784999999998</v>
      </c>
    </row>
    <row r="524" spans="1:14">
      <c r="A524" s="20">
        <v>18</v>
      </c>
      <c r="B524" s="94">
        <v>41719</v>
      </c>
      <c r="C524" s="20">
        <v>2014</v>
      </c>
      <c r="D524" s="10" t="s">
        <v>27</v>
      </c>
      <c r="E524" s="20">
        <v>3</v>
      </c>
      <c r="F524" s="49">
        <v>1.478</v>
      </c>
      <c r="G524" s="50">
        <v>0.61183112500000003</v>
      </c>
      <c r="I524" s="50">
        <f>AVERAGE(F522:F524)</f>
        <v>2.3536666666666668</v>
      </c>
      <c r="J524" s="50">
        <f>AVERAGE(G522:G524)</f>
        <v>0.89181595833333327</v>
      </c>
      <c r="L524">
        <f>+J524/I524</f>
        <v>0.37890495326441009</v>
      </c>
      <c r="M524">
        <f>+(L524-$L$913)/$L$914</f>
        <v>0.72613884343172475</v>
      </c>
      <c r="N524">
        <f>+N521+M524</f>
        <v>29.081804200277745</v>
      </c>
    </row>
    <row r="525" spans="1:14">
      <c r="A525" s="20">
        <v>1</v>
      </c>
      <c r="B525" s="94">
        <v>41747</v>
      </c>
      <c r="C525" s="20">
        <v>2014</v>
      </c>
      <c r="D525" s="10" t="s">
        <v>28</v>
      </c>
      <c r="E525" s="20">
        <v>4</v>
      </c>
      <c r="F525" s="60">
        <v>1.7649999999999999</v>
      </c>
      <c r="G525" s="50">
        <v>0.81133599999999995</v>
      </c>
    </row>
    <row r="526" spans="1:14">
      <c r="A526" s="20">
        <v>17</v>
      </c>
      <c r="B526" s="94">
        <v>41747</v>
      </c>
      <c r="C526" s="20">
        <v>2014</v>
      </c>
      <c r="D526" s="10" t="s">
        <v>28</v>
      </c>
      <c r="E526" s="20">
        <v>4</v>
      </c>
      <c r="F526" s="60">
        <v>10.795999999999999</v>
      </c>
      <c r="G526" s="50">
        <v>6.2337277499999981</v>
      </c>
    </row>
    <row r="527" spans="1:14">
      <c r="A527" s="20">
        <v>18</v>
      </c>
      <c r="B527" s="94">
        <v>41747</v>
      </c>
      <c r="C527" s="20">
        <v>2014</v>
      </c>
      <c r="D527" s="10" t="s">
        <v>28</v>
      </c>
      <c r="E527" s="20">
        <v>4</v>
      </c>
      <c r="F527" s="60">
        <v>7.5709999999999997</v>
      </c>
      <c r="G527" s="50">
        <v>4.0594927500000004</v>
      </c>
      <c r="I527" s="50">
        <f>AVERAGE(F525:F527)</f>
        <v>6.7106666666666657</v>
      </c>
      <c r="J527" s="50">
        <f>AVERAGE(G525:G527)</f>
        <v>3.7015188333333326</v>
      </c>
      <c r="L527">
        <f>+J527/I527</f>
        <v>0.55158734849990065</v>
      </c>
      <c r="M527">
        <f>+(L527-$L$913)/$L$914</f>
        <v>2.5904712790798814</v>
      </c>
      <c r="N527">
        <f>+N524+M527</f>
        <v>31.672275479357626</v>
      </c>
    </row>
    <row r="528" spans="1:14">
      <c r="A528" s="20">
        <v>1</v>
      </c>
      <c r="B528" s="94">
        <v>41772</v>
      </c>
      <c r="C528" s="20">
        <v>2014</v>
      </c>
      <c r="D528" s="10" t="s">
        <v>29</v>
      </c>
      <c r="E528" s="20">
        <v>5</v>
      </c>
      <c r="F528" s="60">
        <v>0.57799999999999996</v>
      </c>
      <c r="G528" s="50">
        <v>0.17857087499999999</v>
      </c>
    </row>
    <row r="529" spans="1:14">
      <c r="A529" s="20">
        <v>17</v>
      </c>
      <c r="B529" s="94">
        <v>41772</v>
      </c>
      <c r="C529" s="20">
        <v>2014</v>
      </c>
      <c r="D529" s="10" t="s">
        <v>29</v>
      </c>
      <c r="E529" s="20">
        <v>5</v>
      </c>
      <c r="F529" s="60">
        <v>2.113</v>
      </c>
      <c r="G529" s="50">
        <v>1.2076974999999999</v>
      </c>
    </row>
    <row r="530" spans="1:14">
      <c r="A530" s="20">
        <v>18</v>
      </c>
      <c r="B530" s="94">
        <v>41772</v>
      </c>
      <c r="C530" s="20">
        <v>2014</v>
      </c>
      <c r="D530" s="10" t="s">
        <v>29</v>
      </c>
      <c r="E530" s="20">
        <v>5</v>
      </c>
      <c r="F530" s="60">
        <v>2.5150000000000001</v>
      </c>
      <c r="G530" s="50">
        <v>0.49580012499999992</v>
      </c>
      <c r="I530" s="50">
        <f>AVERAGE(F528:F530)</f>
        <v>1.7353333333333332</v>
      </c>
      <c r="J530" s="50">
        <f>AVERAGE(G528:G530)</f>
        <v>0.6273561666666666</v>
      </c>
      <c r="L530">
        <f>+J530/I530</f>
        <v>0.36151911256242797</v>
      </c>
      <c r="M530">
        <f>+(L530-$L$913)/$L$914</f>
        <v>0.53843594124812388</v>
      </c>
      <c r="N530">
        <f>+N527+M530</f>
        <v>32.210711420605747</v>
      </c>
    </row>
    <row r="531" spans="1:14">
      <c r="A531" s="20">
        <v>1</v>
      </c>
      <c r="B531" s="94">
        <v>41808</v>
      </c>
      <c r="C531" s="20">
        <v>2014</v>
      </c>
      <c r="D531" s="10" t="s">
        <v>30</v>
      </c>
      <c r="E531" s="20">
        <v>6</v>
      </c>
      <c r="F531" s="60">
        <v>5.7789999999999999</v>
      </c>
      <c r="G531" s="50">
        <v>1.0847207499999998</v>
      </c>
    </row>
    <row r="532" spans="1:14">
      <c r="A532" s="20">
        <v>17</v>
      </c>
      <c r="B532" s="94">
        <v>41808</v>
      </c>
      <c r="C532" s="20">
        <v>2014</v>
      </c>
      <c r="D532" s="10" t="s">
        <v>30</v>
      </c>
      <c r="E532" s="20">
        <v>6</v>
      </c>
      <c r="F532" s="60">
        <v>3.677</v>
      </c>
      <c r="G532" s="50">
        <v>1.1807458749999997</v>
      </c>
    </row>
    <row r="533" spans="1:14">
      <c r="A533" s="20">
        <v>18</v>
      </c>
      <c r="B533" s="94">
        <v>41808</v>
      </c>
      <c r="C533" s="20">
        <v>2014</v>
      </c>
      <c r="D533" s="10" t="s">
        <v>30</v>
      </c>
      <c r="E533" s="20">
        <v>6</v>
      </c>
      <c r="F533" s="60">
        <v>5.6159999999999997</v>
      </c>
      <c r="G533" s="50">
        <v>1.35758775</v>
      </c>
      <c r="I533" s="50">
        <f>AVERAGE(F531:F533)</f>
        <v>5.024</v>
      </c>
      <c r="J533" s="50">
        <f>AVERAGE(G531:G533)</f>
        <v>1.2076847916666664</v>
      </c>
      <c r="L533">
        <f>+J533/I533</f>
        <v>0.24038311936040335</v>
      </c>
      <c r="M533">
        <f>+(L533-$L$913)/$L$914</f>
        <v>-0.76938562876779715</v>
      </c>
      <c r="N533">
        <f>+N530+M533</f>
        <v>31.441325791837951</v>
      </c>
    </row>
    <row r="534" spans="1:14">
      <c r="A534" s="20">
        <v>1</v>
      </c>
      <c r="B534" s="94">
        <v>41834</v>
      </c>
      <c r="C534" s="20">
        <v>2014</v>
      </c>
      <c r="D534" s="10" t="s">
        <v>31</v>
      </c>
      <c r="E534" s="20">
        <v>7</v>
      </c>
      <c r="F534" s="60">
        <v>5.8869999999999996</v>
      </c>
      <c r="G534" s="50">
        <v>1.6630996250000003</v>
      </c>
    </row>
    <row r="535" spans="1:14">
      <c r="A535" s="20">
        <v>17</v>
      </c>
      <c r="B535" s="94">
        <v>41834</v>
      </c>
      <c r="C535" s="20">
        <v>2014</v>
      </c>
      <c r="D535" s="10" t="s">
        <v>31</v>
      </c>
      <c r="E535" s="20">
        <v>7</v>
      </c>
      <c r="F535" s="60">
        <v>5.673</v>
      </c>
      <c r="G535" s="50">
        <v>2.5622486249999996</v>
      </c>
    </row>
    <row r="536" spans="1:14">
      <c r="A536" s="20">
        <v>18</v>
      </c>
      <c r="B536" s="94">
        <v>41834</v>
      </c>
      <c r="C536" s="20">
        <v>2014</v>
      </c>
      <c r="D536" s="10" t="s">
        <v>31</v>
      </c>
      <c r="E536" s="20">
        <v>7</v>
      </c>
      <c r="F536" s="60">
        <v>10.291</v>
      </c>
      <c r="G536" s="50">
        <v>3.286181875</v>
      </c>
      <c r="I536" s="50">
        <f>AVERAGE(F534:F536)</f>
        <v>7.2836666666666661</v>
      </c>
      <c r="J536" s="50">
        <f>AVERAGE(G534:G536)</f>
        <v>2.5038433750000002</v>
      </c>
      <c r="L536">
        <f>+J536/I536</f>
        <v>0.34376138963891817</v>
      </c>
      <c r="M536">
        <f>+(L536-$L$913)/$L$914</f>
        <v>0.34671808382320007</v>
      </c>
      <c r="N536">
        <f>+N533+M536</f>
        <v>31.788043875661153</v>
      </c>
    </row>
    <row r="537" spans="1:14">
      <c r="A537" s="20">
        <v>1</v>
      </c>
      <c r="B537" s="94">
        <v>41864</v>
      </c>
      <c r="C537" s="20">
        <v>2014</v>
      </c>
      <c r="D537" s="10" t="s">
        <v>32</v>
      </c>
      <c r="E537" s="20">
        <v>8</v>
      </c>
      <c r="F537" s="60">
        <v>3.1840000000000002</v>
      </c>
      <c r="G537" s="50">
        <v>0.88406862500000005</v>
      </c>
    </row>
    <row r="538" spans="1:14">
      <c r="A538" s="20">
        <v>17</v>
      </c>
      <c r="B538" s="94">
        <v>41864</v>
      </c>
      <c r="C538" s="20">
        <v>2014</v>
      </c>
      <c r="D538" s="10" t="s">
        <v>32</v>
      </c>
      <c r="E538" s="20">
        <v>8</v>
      </c>
      <c r="F538" s="60">
        <v>3.0710000000000002</v>
      </c>
      <c r="G538" s="50">
        <v>1.4077078750000001</v>
      </c>
    </row>
    <row r="539" spans="1:14">
      <c r="A539" s="20">
        <v>18</v>
      </c>
      <c r="B539" s="94">
        <v>41864</v>
      </c>
      <c r="C539" s="20">
        <v>2014</v>
      </c>
      <c r="D539" s="10" t="s">
        <v>32</v>
      </c>
      <c r="E539" s="20">
        <v>8</v>
      </c>
      <c r="F539" s="60">
        <v>4.3239999999999998</v>
      </c>
      <c r="G539" s="50">
        <v>1.8860201249999997</v>
      </c>
      <c r="I539" s="50">
        <f>AVERAGE(F537:F539)</f>
        <v>3.5263333333333335</v>
      </c>
      <c r="J539" s="50">
        <f>AVERAGE(G537:G539)</f>
        <v>1.392598875</v>
      </c>
      <c r="L539">
        <f>+J539/I539</f>
        <v>0.394914134133661</v>
      </c>
      <c r="M539">
        <f>+(L539-$L$913)/$L$914</f>
        <v>0.89897890116893775</v>
      </c>
      <c r="N539">
        <f>+N536+M539</f>
        <v>32.687022776830091</v>
      </c>
    </row>
    <row r="540" spans="1:14">
      <c r="A540" s="20">
        <v>1</v>
      </c>
      <c r="B540" s="94">
        <v>41898</v>
      </c>
      <c r="C540" s="20">
        <v>2014</v>
      </c>
      <c r="D540" s="10" t="s">
        <v>38</v>
      </c>
      <c r="E540" s="20">
        <v>9</v>
      </c>
      <c r="F540" s="60">
        <v>5.444</v>
      </c>
      <c r="G540" s="50">
        <v>1.916975125</v>
      </c>
    </row>
    <row r="541" spans="1:14">
      <c r="A541" s="20">
        <v>17</v>
      </c>
      <c r="B541" s="94">
        <v>41898</v>
      </c>
      <c r="C541" s="20">
        <v>2014</v>
      </c>
      <c r="D541" s="10" t="s">
        <v>38</v>
      </c>
      <c r="E541" s="20">
        <v>9</v>
      </c>
      <c r="F541" s="60">
        <v>6.3810000000000002</v>
      </c>
      <c r="G541" s="50">
        <v>2.6762051249999996</v>
      </c>
    </row>
    <row r="542" spans="1:14">
      <c r="A542" s="20">
        <v>18</v>
      </c>
      <c r="B542" s="94">
        <v>41898</v>
      </c>
      <c r="C542" s="20">
        <v>2014</v>
      </c>
      <c r="D542" s="10" t="s">
        <v>38</v>
      </c>
      <c r="E542" s="20">
        <v>9</v>
      </c>
      <c r="F542" s="60">
        <v>4.1369999999999996</v>
      </c>
      <c r="G542" s="50">
        <v>1.5670120000000003</v>
      </c>
      <c r="I542" s="50">
        <f>AVERAGE(F540:F542)</f>
        <v>5.3206666666666669</v>
      </c>
      <c r="J542" s="50">
        <f>AVERAGE(G540:G542)</f>
        <v>2.0533974166666664</v>
      </c>
      <c r="L542">
        <f>+J542/I542</f>
        <v>0.38592859604059637</v>
      </c>
      <c r="M542">
        <f>+(L542-$L$913)/$L$914</f>
        <v>0.80196825862018584</v>
      </c>
      <c r="N542">
        <f>+N539+M542</f>
        <v>33.488991035450276</v>
      </c>
    </row>
    <row r="543" spans="1:14">
      <c r="A543" s="20">
        <v>1</v>
      </c>
      <c r="B543" s="94">
        <v>41929</v>
      </c>
      <c r="C543" s="20">
        <v>2014</v>
      </c>
      <c r="D543" s="10" t="s">
        <v>34</v>
      </c>
      <c r="E543" s="20">
        <v>10</v>
      </c>
      <c r="F543" s="49">
        <v>5.1669999999999998</v>
      </c>
      <c r="G543" s="50">
        <v>1.051970625</v>
      </c>
    </row>
    <row r="544" spans="1:14">
      <c r="A544" s="20">
        <v>17</v>
      </c>
      <c r="B544" s="94">
        <v>41929</v>
      </c>
      <c r="C544" s="20">
        <v>2014</v>
      </c>
      <c r="D544" s="10" t="s">
        <v>34</v>
      </c>
      <c r="E544" s="20">
        <v>10</v>
      </c>
      <c r="F544" s="49">
        <v>5.8529999999999998</v>
      </c>
      <c r="G544" s="50">
        <v>2.8919573750000001</v>
      </c>
    </row>
    <row r="545" spans="1:14">
      <c r="A545" s="20">
        <v>18</v>
      </c>
      <c r="B545" s="94">
        <v>41929</v>
      </c>
      <c r="C545" s="20">
        <v>2014</v>
      </c>
      <c r="D545" s="10" t="s">
        <v>34</v>
      </c>
      <c r="E545" s="20">
        <v>10</v>
      </c>
      <c r="F545" s="49">
        <v>1.976</v>
      </c>
      <c r="G545" s="50">
        <v>0.36464024999999994</v>
      </c>
      <c r="I545" s="50">
        <f>AVERAGE(F543:F545)</f>
        <v>4.3319999999999999</v>
      </c>
      <c r="J545" s="50">
        <f>AVERAGE(G543:G545)</f>
        <v>1.4361894166666669</v>
      </c>
      <c r="L545">
        <f>+J545/I545</f>
        <v>0.33153033625730999</v>
      </c>
      <c r="M545">
        <f>+(L545-$L$913)/$L$914</f>
        <v>0.21466785652365619</v>
      </c>
      <c r="N545">
        <f>+N542+M545</f>
        <v>33.70365889197393</v>
      </c>
    </row>
    <row r="546" spans="1:14">
      <c r="A546" s="20">
        <v>1</v>
      </c>
      <c r="B546" s="94">
        <v>41953</v>
      </c>
      <c r="C546" s="20">
        <v>2014</v>
      </c>
      <c r="D546" s="10" t="s">
        <v>35</v>
      </c>
      <c r="E546" s="20">
        <v>11</v>
      </c>
      <c r="F546" s="49">
        <v>1.482</v>
      </c>
      <c r="G546" s="50">
        <v>0.451974125</v>
      </c>
    </row>
    <row r="547" spans="1:14">
      <c r="A547" s="20">
        <v>17</v>
      </c>
      <c r="B547" s="94">
        <v>41953</v>
      </c>
      <c r="C547" s="20">
        <v>2014</v>
      </c>
      <c r="D547" s="10" t="s">
        <v>35</v>
      </c>
      <c r="E547" s="20">
        <v>11</v>
      </c>
      <c r="F547" s="49">
        <v>2.7370000000000001</v>
      </c>
      <c r="G547" s="50">
        <v>0.99353762499999976</v>
      </c>
    </row>
    <row r="548" spans="1:14">
      <c r="A548" s="20">
        <v>18</v>
      </c>
      <c r="B548" s="94">
        <v>41953</v>
      </c>
      <c r="C548" s="20">
        <v>2014</v>
      </c>
      <c r="D548" s="10" t="s">
        <v>35</v>
      </c>
      <c r="E548" s="20">
        <v>11</v>
      </c>
      <c r="F548" s="49">
        <v>2.847</v>
      </c>
      <c r="G548" s="50">
        <v>1.1359189999999997</v>
      </c>
      <c r="I548" s="50">
        <f>AVERAGE(F546:F548)</f>
        <v>2.3553333333333337</v>
      </c>
      <c r="J548" s="50">
        <f>AVERAGE(G546:G548)</f>
        <v>0.86047691666666637</v>
      </c>
      <c r="L548">
        <f>+J548/I548</f>
        <v>0.36533126945938277</v>
      </c>
      <c r="M548">
        <f>+(L548-$L$913)/$L$914</f>
        <v>0.57959316369156133</v>
      </c>
      <c r="N548">
        <f>+N545+M548</f>
        <v>34.283252055665493</v>
      </c>
    </row>
    <row r="549" spans="1:14">
      <c r="A549" s="20">
        <v>1</v>
      </c>
      <c r="B549" s="94">
        <v>41988</v>
      </c>
      <c r="C549" s="20">
        <v>2014</v>
      </c>
      <c r="D549" s="10" t="s">
        <v>36</v>
      </c>
      <c r="E549" s="20">
        <v>12</v>
      </c>
      <c r="F549" s="49">
        <v>2.58</v>
      </c>
      <c r="G549" s="50">
        <v>0.92408599999999996</v>
      </c>
    </row>
    <row r="550" spans="1:14">
      <c r="A550" s="20">
        <v>17</v>
      </c>
      <c r="B550" s="94">
        <v>41988</v>
      </c>
      <c r="C550" s="20">
        <v>2014</v>
      </c>
      <c r="D550" s="10" t="s">
        <v>36</v>
      </c>
      <c r="E550" s="20">
        <v>12</v>
      </c>
      <c r="F550" s="49">
        <v>3.4140000000000001</v>
      </c>
      <c r="G550" s="50">
        <v>1.5273686250000003</v>
      </c>
    </row>
    <row r="551" spans="1:14">
      <c r="A551" s="20">
        <v>18</v>
      </c>
      <c r="B551" s="94">
        <v>41988</v>
      </c>
      <c r="C551" s="20">
        <v>2014</v>
      </c>
      <c r="D551" s="10" t="s">
        <v>36</v>
      </c>
      <c r="E551" s="20">
        <v>12</v>
      </c>
      <c r="F551" s="49">
        <v>2.956</v>
      </c>
      <c r="G551" s="50">
        <v>1.3082948750000001</v>
      </c>
      <c r="I551" s="50">
        <f>AVERAGE(F549:F551)</f>
        <v>2.9833333333333329</v>
      </c>
      <c r="J551" s="50">
        <f>AVERAGE(G549:G551)</f>
        <v>1.2532498333333335</v>
      </c>
      <c r="L551">
        <f>+J551/I551</f>
        <v>0.42008374301675988</v>
      </c>
      <c r="M551">
        <f>+(L551-$L$913)/$L$914</f>
        <v>1.1707177670176958</v>
      </c>
      <c r="N551">
        <f>+N548+M551</f>
        <v>35.453969822683192</v>
      </c>
    </row>
    <row r="552" spans="1:14">
      <c r="A552" s="7">
        <v>1</v>
      </c>
      <c r="B552" s="86">
        <v>42014</v>
      </c>
      <c r="C552" s="48">
        <v>2015</v>
      </c>
      <c r="D552" s="45" t="s">
        <v>37</v>
      </c>
      <c r="E552" s="9">
        <v>1</v>
      </c>
      <c r="F552" s="41">
        <v>5.6390000000000002</v>
      </c>
      <c r="G552" s="41">
        <v>1.748</v>
      </c>
    </row>
    <row r="553" spans="1:14">
      <c r="A553" s="7">
        <v>17</v>
      </c>
      <c r="B553" s="86">
        <v>42009</v>
      </c>
      <c r="C553" s="20">
        <v>2015</v>
      </c>
      <c r="D553" s="10" t="s">
        <v>37</v>
      </c>
      <c r="E553" s="9">
        <v>1</v>
      </c>
      <c r="F553" s="109">
        <v>10.254</v>
      </c>
      <c r="G553" s="109">
        <v>3.5289999999999999</v>
      </c>
    </row>
    <row r="554" spans="1:14">
      <c r="A554" s="7">
        <v>18</v>
      </c>
      <c r="B554" s="86">
        <v>42009</v>
      </c>
      <c r="C554" s="20">
        <v>2015</v>
      </c>
      <c r="D554" s="10" t="s">
        <v>37</v>
      </c>
      <c r="E554" s="9">
        <v>1</v>
      </c>
      <c r="F554" s="37">
        <v>8.5180000000000007</v>
      </c>
      <c r="G554" s="37">
        <v>2.8410000000000002</v>
      </c>
      <c r="I554" s="50">
        <f>AVERAGE(F552:F554)</f>
        <v>8.1370000000000005</v>
      </c>
      <c r="J554" s="50">
        <f>AVERAGE(G552:G554)</f>
        <v>2.706</v>
      </c>
      <c r="L554">
        <f>+J554/I554</f>
        <v>0.33255499569866043</v>
      </c>
      <c r="M554">
        <f>+(L554-$L$913)/$L$914</f>
        <v>0.22573039610331411</v>
      </c>
      <c r="N554">
        <f>+N551+M554</f>
        <v>35.679700218786508</v>
      </c>
    </row>
    <row r="555" spans="1:14">
      <c r="A555" s="7">
        <v>1</v>
      </c>
      <c r="B555" s="87">
        <v>42036</v>
      </c>
      <c r="C555" s="20">
        <v>2015</v>
      </c>
      <c r="D555" s="10" t="s">
        <v>26</v>
      </c>
      <c r="E555" s="11">
        <v>2</v>
      </c>
    </row>
    <row r="556" spans="1:14">
      <c r="A556" s="7">
        <v>17</v>
      </c>
      <c r="B556" s="87">
        <v>42036</v>
      </c>
      <c r="C556" s="20">
        <v>2015</v>
      </c>
      <c r="D556" s="10" t="s">
        <v>26</v>
      </c>
      <c r="E556" s="11">
        <v>2</v>
      </c>
    </row>
    <row r="557" spans="1:14">
      <c r="A557" s="7">
        <v>18</v>
      </c>
      <c r="B557" s="87">
        <v>42036</v>
      </c>
      <c r="C557" s="20">
        <v>2015</v>
      </c>
      <c r="D557" s="10" t="s">
        <v>26</v>
      </c>
      <c r="E557" s="11">
        <v>2</v>
      </c>
      <c r="I557" s="50"/>
      <c r="J557" s="50"/>
    </row>
    <row r="558" spans="1:14">
      <c r="A558" s="7">
        <v>1</v>
      </c>
      <c r="B558" s="87">
        <v>42064</v>
      </c>
      <c r="C558" s="20">
        <v>2015</v>
      </c>
      <c r="D558" s="10" t="s">
        <v>27</v>
      </c>
      <c r="E558" s="11">
        <v>3</v>
      </c>
      <c r="F558" s="110">
        <v>5.4649999999999999</v>
      </c>
      <c r="G558" s="110">
        <v>1.5820000000000001</v>
      </c>
    </row>
    <row r="559" spans="1:14">
      <c r="A559" s="7">
        <v>17</v>
      </c>
      <c r="B559" s="87">
        <v>42064</v>
      </c>
      <c r="C559" s="20">
        <v>2015</v>
      </c>
      <c r="D559" s="10" t="s">
        <v>27</v>
      </c>
      <c r="E559" s="11">
        <v>3</v>
      </c>
      <c r="F559" s="40">
        <v>8.9429999999999996</v>
      </c>
      <c r="G559" s="40">
        <v>2.8130000000000002</v>
      </c>
    </row>
    <row r="560" spans="1:14">
      <c r="A560" s="7">
        <v>18</v>
      </c>
      <c r="B560" s="87">
        <v>42064</v>
      </c>
      <c r="C560" s="20">
        <v>2015</v>
      </c>
      <c r="D560" s="10" t="s">
        <v>27</v>
      </c>
      <c r="E560" s="11">
        <v>3</v>
      </c>
      <c r="F560" s="40">
        <v>7.508</v>
      </c>
      <c r="G560" s="40">
        <v>2.4159999999999999</v>
      </c>
      <c r="I560" s="50">
        <f>AVERAGE(F558:F560)</f>
        <v>7.3053333333333335</v>
      </c>
      <c r="J560" s="50">
        <f>AVERAGE(G558:G560)</f>
        <v>2.2703333333333333</v>
      </c>
      <c r="L560">
        <f>+J560/I560</f>
        <v>0.31077751414491694</v>
      </c>
      <c r="M560">
        <f>+(L560-$L$913)/$L$914</f>
        <v>-9.3860161517144922E-3</v>
      </c>
      <c r="N560">
        <f>+N554+M560</f>
        <v>35.670314202634792</v>
      </c>
    </row>
    <row r="561" spans="1:14">
      <c r="A561" s="7">
        <v>1</v>
      </c>
      <c r="B561" s="87">
        <v>42095</v>
      </c>
      <c r="C561" s="20">
        <v>2015</v>
      </c>
      <c r="D561" s="10" t="s">
        <v>28</v>
      </c>
      <c r="E561" s="11">
        <v>4</v>
      </c>
      <c r="F561" s="40">
        <v>1.93</v>
      </c>
      <c r="G561" s="40">
        <v>0.51800000000000002</v>
      </c>
    </row>
    <row r="562" spans="1:14">
      <c r="A562" s="7">
        <v>17</v>
      </c>
      <c r="B562" s="87">
        <v>42095</v>
      </c>
      <c r="C562" s="20">
        <v>2015</v>
      </c>
      <c r="D562" s="10" t="s">
        <v>28</v>
      </c>
      <c r="E562" s="11">
        <v>4</v>
      </c>
      <c r="F562" s="40">
        <v>6.766</v>
      </c>
      <c r="G562" s="40">
        <v>2.4329999999999998</v>
      </c>
    </row>
    <row r="563" spans="1:14">
      <c r="A563" s="7">
        <v>18</v>
      </c>
      <c r="B563" s="87">
        <v>42095</v>
      </c>
      <c r="C563" s="20">
        <v>2015</v>
      </c>
      <c r="D563" s="10" t="s">
        <v>28</v>
      </c>
      <c r="E563" s="11">
        <v>4</v>
      </c>
      <c r="F563" s="40">
        <v>1.29</v>
      </c>
      <c r="G563" s="40">
        <v>0.27100000000000002</v>
      </c>
      <c r="I563" s="50">
        <f>AVERAGE(F561:F563)</f>
        <v>3.3286666666666669</v>
      </c>
      <c r="J563" s="50">
        <f>AVERAGE(G561:G563)</f>
        <v>1.0739999999999998</v>
      </c>
      <c r="L563">
        <f>+J563/I563</f>
        <v>0.32265171239735624</v>
      </c>
      <c r="M563">
        <f>+(L563-$L$913)/$L$914</f>
        <v>0.11881149303357291</v>
      </c>
      <c r="N563">
        <f>+N560+M563</f>
        <v>35.789125695668368</v>
      </c>
    </row>
    <row r="564" spans="1:14">
      <c r="A564" s="7">
        <v>1</v>
      </c>
      <c r="B564" s="87">
        <v>42125</v>
      </c>
      <c r="C564" s="20">
        <v>2015</v>
      </c>
      <c r="D564" s="10" t="s">
        <v>29</v>
      </c>
      <c r="E564" s="11">
        <v>5</v>
      </c>
      <c r="F564" s="40">
        <v>4.3570000000000002</v>
      </c>
      <c r="G564" s="40">
        <v>0.87</v>
      </c>
    </row>
    <row r="565" spans="1:14">
      <c r="A565" s="7">
        <v>17</v>
      </c>
      <c r="B565" s="87">
        <v>42125</v>
      </c>
      <c r="C565" s="20">
        <v>2015</v>
      </c>
      <c r="D565" s="10" t="s">
        <v>29</v>
      </c>
      <c r="E565" s="11">
        <v>5</v>
      </c>
      <c r="F565" s="40">
        <v>4.9690000000000003</v>
      </c>
      <c r="G565" s="40">
        <v>0.93899999999999995</v>
      </c>
    </row>
    <row r="566" spans="1:14">
      <c r="A566" s="7">
        <v>18</v>
      </c>
      <c r="B566" s="87">
        <v>42125</v>
      </c>
      <c r="C566" s="20">
        <v>2015</v>
      </c>
      <c r="D566" s="10" t="s">
        <v>29</v>
      </c>
      <c r="E566" s="11">
        <v>5</v>
      </c>
      <c r="F566" s="40">
        <v>3.4609999999999999</v>
      </c>
      <c r="G566" s="40">
        <v>0.63900000000000001</v>
      </c>
      <c r="I566" s="50">
        <f>AVERAGE(F564:F566)</f>
        <v>4.2623333333333333</v>
      </c>
      <c r="J566" s="50">
        <f>AVERAGE(G564:G566)</f>
        <v>0.81599999999999995</v>
      </c>
      <c r="L566">
        <f>+J566/I566</f>
        <v>0.19144443575506373</v>
      </c>
      <c r="M566">
        <f>+(L566-$L$913)/$L$914</f>
        <v>-1.2977427614038959</v>
      </c>
      <c r="N566">
        <f>+N563+M566</f>
        <v>34.491382934264472</v>
      </c>
    </row>
    <row r="567" spans="1:14">
      <c r="A567" s="7">
        <v>1</v>
      </c>
      <c r="B567" s="87">
        <v>42156</v>
      </c>
      <c r="C567" s="20">
        <v>2015</v>
      </c>
      <c r="D567" s="10" t="s">
        <v>30</v>
      </c>
      <c r="E567" s="11">
        <v>6</v>
      </c>
      <c r="F567" s="40">
        <v>5.9630000000000001</v>
      </c>
      <c r="G567" s="40">
        <v>1.524</v>
      </c>
    </row>
    <row r="568" spans="1:14">
      <c r="A568" s="7">
        <v>17</v>
      </c>
      <c r="B568" s="87">
        <v>42156</v>
      </c>
      <c r="C568" s="20">
        <v>2015</v>
      </c>
      <c r="D568" s="10" t="s">
        <v>30</v>
      </c>
      <c r="E568" s="11">
        <v>6</v>
      </c>
      <c r="F568" s="40">
        <v>5.1790000000000003</v>
      </c>
      <c r="G568" s="40">
        <v>1.4910000000000001</v>
      </c>
    </row>
    <row r="569" spans="1:14">
      <c r="A569" s="7">
        <v>18</v>
      </c>
      <c r="B569" s="87">
        <v>42156</v>
      </c>
      <c r="C569" s="20">
        <v>2015</v>
      </c>
      <c r="D569" s="10" t="s">
        <v>30</v>
      </c>
      <c r="E569" s="11">
        <v>6</v>
      </c>
      <c r="F569" s="40">
        <v>6.415</v>
      </c>
      <c r="G569" s="40">
        <v>2.133</v>
      </c>
      <c r="I569" s="50">
        <f>AVERAGE(F567:F569)</f>
        <v>5.8523333333333332</v>
      </c>
      <c r="J569" s="50">
        <f>AVERAGE(G567:G569)</f>
        <v>1.716</v>
      </c>
      <c r="L569">
        <f>+J569/I569</f>
        <v>0.29321638093068292</v>
      </c>
      <c r="M569">
        <f>+(L569-$L$913)/$L$914</f>
        <v>-0.19898143039985908</v>
      </c>
      <c r="N569">
        <f>+N566+M569</f>
        <v>34.29240150386461</v>
      </c>
    </row>
    <row r="570" spans="1:14">
      <c r="A570" s="7">
        <v>1</v>
      </c>
      <c r="B570" s="87">
        <v>42186</v>
      </c>
      <c r="C570" s="20">
        <v>2015</v>
      </c>
      <c r="D570" s="10" t="s">
        <v>31</v>
      </c>
      <c r="E570" s="11">
        <v>7</v>
      </c>
      <c r="F570" s="40">
        <v>5.8680000000000003</v>
      </c>
      <c r="G570" s="40">
        <v>1.6160000000000001</v>
      </c>
    </row>
    <row r="571" spans="1:14">
      <c r="A571" s="7">
        <v>17</v>
      </c>
      <c r="B571" s="87">
        <v>42186</v>
      </c>
      <c r="C571" s="20">
        <v>2015</v>
      </c>
      <c r="D571" s="10" t="s">
        <v>31</v>
      </c>
      <c r="E571" s="11">
        <v>7</v>
      </c>
      <c r="F571" s="40">
        <v>4.6139999999999999</v>
      </c>
      <c r="G571" s="40">
        <v>1.5840000000000001</v>
      </c>
    </row>
    <row r="572" spans="1:14">
      <c r="A572" s="7">
        <v>18</v>
      </c>
      <c r="B572" s="87">
        <v>42186</v>
      </c>
      <c r="C572" s="20">
        <v>2015</v>
      </c>
      <c r="D572" s="10" t="s">
        <v>31</v>
      </c>
      <c r="E572" s="11">
        <v>7</v>
      </c>
      <c r="F572" s="40">
        <v>5.9109999999999996</v>
      </c>
      <c r="G572" s="40">
        <v>2.0609999999999999</v>
      </c>
      <c r="I572" s="50">
        <f>AVERAGE(F570:F572)</f>
        <v>5.4643333333333333</v>
      </c>
      <c r="J572" s="50">
        <f>AVERAGE(G570:G572)</f>
        <v>1.7536666666666667</v>
      </c>
      <c r="L572">
        <f>+J572/I572</f>
        <v>0.32092966510095772</v>
      </c>
      <c r="M572">
        <f>+(L572-$L$913)/$L$914</f>
        <v>0.10021973892906333</v>
      </c>
      <c r="N572">
        <f>+N569+M572</f>
        <v>34.392621242793673</v>
      </c>
    </row>
    <row r="573" spans="1:14">
      <c r="A573" s="7">
        <v>1</v>
      </c>
      <c r="B573" s="87">
        <v>42217</v>
      </c>
      <c r="C573" s="20">
        <v>2015</v>
      </c>
      <c r="D573" s="10" t="s">
        <v>32</v>
      </c>
      <c r="E573" s="11">
        <v>8</v>
      </c>
      <c r="F573" s="40">
        <v>5.3529999999999998</v>
      </c>
      <c r="G573" s="40">
        <v>1.1319999999999999</v>
      </c>
    </row>
    <row r="574" spans="1:14">
      <c r="A574" s="7">
        <v>17</v>
      </c>
      <c r="B574" s="87">
        <v>42217</v>
      </c>
      <c r="C574" s="20">
        <v>2015</v>
      </c>
      <c r="D574" s="10" t="s">
        <v>32</v>
      </c>
      <c r="E574" s="11">
        <v>8</v>
      </c>
      <c r="F574" s="40">
        <v>10.667999999999999</v>
      </c>
      <c r="G574" s="40">
        <v>2.1120000000000001</v>
      </c>
    </row>
    <row r="575" spans="1:14">
      <c r="A575" s="7">
        <v>18</v>
      </c>
      <c r="B575" s="87">
        <v>42217</v>
      </c>
      <c r="C575" s="20">
        <v>2015</v>
      </c>
      <c r="D575" s="10" t="s">
        <v>32</v>
      </c>
      <c r="E575" s="11">
        <v>8</v>
      </c>
      <c r="F575" s="40">
        <v>3.5880000000000001</v>
      </c>
      <c r="G575" s="40">
        <v>1.1839999999999999</v>
      </c>
      <c r="I575" s="50">
        <f>AVERAGE(F573:F575)</f>
        <v>6.5363333333333342</v>
      </c>
      <c r="J575" s="50">
        <f>AVERAGE(G573:G575)</f>
        <v>1.476</v>
      </c>
      <c r="L575">
        <f>+J575/I575</f>
        <v>0.22581467693406085</v>
      </c>
      <c r="M575">
        <f>+(L575-$L$913)/$L$914</f>
        <v>-0.92667102960593029</v>
      </c>
      <c r="N575">
        <f>+N572+M575</f>
        <v>33.465950213187746</v>
      </c>
    </row>
    <row r="576" spans="1:14">
      <c r="A576" s="7">
        <v>1</v>
      </c>
      <c r="B576" s="87">
        <v>42248</v>
      </c>
      <c r="C576" s="20">
        <v>2015</v>
      </c>
      <c r="D576" s="10" t="s">
        <v>38</v>
      </c>
      <c r="E576" s="11">
        <v>9</v>
      </c>
      <c r="F576" s="40">
        <v>8.4789999999999992</v>
      </c>
      <c r="G576" s="40">
        <v>3.012</v>
      </c>
    </row>
    <row r="577" spans="1:14">
      <c r="A577" s="7">
        <v>17</v>
      </c>
      <c r="B577" s="87">
        <v>42248</v>
      </c>
      <c r="C577" s="20">
        <v>2015</v>
      </c>
      <c r="D577" s="10" t="s">
        <v>38</v>
      </c>
      <c r="E577" s="11">
        <v>9</v>
      </c>
      <c r="F577" s="40">
        <v>9.7989999999999995</v>
      </c>
      <c r="G577" s="40">
        <v>5.3650000000000002</v>
      </c>
    </row>
    <row r="578" spans="1:14">
      <c r="A578" s="7">
        <v>18</v>
      </c>
      <c r="B578" s="87">
        <v>42248</v>
      </c>
      <c r="C578" s="20">
        <v>2015</v>
      </c>
      <c r="D578" s="10" t="s">
        <v>38</v>
      </c>
      <c r="E578" s="11">
        <v>9</v>
      </c>
      <c r="F578" s="40">
        <v>4.3929999999999998</v>
      </c>
      <c r="G578" s="40">
        <v>1.2749999999999999</v>
      </c>
      <c r="I578" s="50">
        <f>AVERAGE(F576:F578)</f>
        <v>7.5569999999999995</v>
      </c>
      <c r="J578" s="50">
        <f>AVERAGE(G576:G578)</f>
        <v>3.2173333333333338</v>
      </c>
      <c r="L578">
        <f>+J578/I578</f>
        <v>0.42574213753253065</v>
      </c>
      <c r="M578">
        <f>+(L578-$L$913)/$L$914</f>
        <v>1.2318075406165565</v>
      </c>
      <c r="N578">
        <f>+N575+M578</f>
        <v>34.697757753804304</v>
      </c>
    </row>
    <row r="579" spans="1:14">
      <c r="A579" s="7">
        <v>1</v>
      </c>
      <c r="B579" s="87">
        <v>42278</v>
      </c>
      <c r="C579" s="20">
        <v>2015</v>
      </c>
      <c r="D579" s="10" t="s">
        <v>34</v>
      </c>
      <c r="E579" s="11">
        <v>10</v>
      </c>
      <c r="F579" s="40">
        <v>3.4430000000000001</v>
      </c>
      <c r="G579" s="40">
        <v>0.88</v>
      </c>
    </row>
    <row r="580" spans="1:14">
      <c r="A580" s="7">
        <v>17</v>
      </c>
      <c r="B580" s="87">
        <v>42278</v>
      </c>
      <c r="C580" s="20">
        <v>2015</v>
      </c>
      <c r="D580" s="10" t="s">
        <v>34</v>
      </c>
      <c r="E580" s="11">
        <v>10</v>
      </c>
      <c r="F580" s="40">
        <v>6.5339999999999998</v>
      </c>
      <c r="G580" s="40">
        <v>1.8080000000000001</v>
      </c>
    </row>
    <row r="581" spans="1:14">
      <c r="A581" s="7">
        <v>18</v>
      </c>
      <c r="B581" s="87">
        <v>42278</v>
      </c>
      <c r="C581" s="20">
        <v>2015</v>
      </c>
      <c r="D581" s="10" t="s">
        <v>34</v>
      </c>
      <c r="E581" s="11">
        <v>10</v>
      </c>
      <c r="F581" s="40">
        <v>6.9669999999999996</v>
      </c>
      <c r="G581" s="40">
        <v>2.1150000000000002</v>
      </c>
      <c r="I581" s="50">
        <f>AVERAGE(F579:F581)</f>
        <v>5.6479999999999997</v>
      </c>
      <c r="J581" s="50">
        <f>AVERAGE(G579:G581)</f>
        <v>1.6010000000000002</v>
      </c>
      <c r="L581">
        <f>+J581/I581</f>
        <v>0.28346317280453265</v>
      </c>
      <c r="M581">
        <f>+(L581-$L$913)/$L$914</f>
        <v>-0.30428007555944403</v>
      </c>
      <c r="N581">
        <f>+N578+M581</f>
        <v>34.393477678244857</v>
      </c>
    </row>
    <row r="582" spans="1:14">
      <c r="A582" s="7">
        <v>1</v>
      </c>
      <c r="B582" s="87">
        <v>42309</v>
      </c>
      <c r="C582" s="20">
        <v>2015</v>
      </c>
      <c r="D582" s="10" t="s">
        <v>35</v>
      </c>
      <c r="E582" s="11">
        <v>11</v>
      </c>
      <c r="F582" s="40">
        <v>2.74</v>
      </c>
      <c r="G582" s="40">
        <v>0.57899999999999996</v>
      </c>
    </row>
    <row r="583" spans="1:14">
      <c r="A583" s="7">
        <v>17</v>
      </c>
      <c r="B583" s="87">
        <v>42309</v>
      </c>
      <c r="C583" s="20">
        <v>2015</v>
      </c>
      <c r="D583" s="10" t="s">
        <v>35</v>
      </c>
      <c r="E583" s="11">
        <v>11</v>
      </c>
      <c r="F583" s="40">
        <v>3.3090000000000002</v>
      </c>
      <c r="G583" s="40">
        <v>1.119</v>
      </c>
    </row>
    <row r="584" spans="1:14">
      <c r="A584" s="7">
        <v>18</v>
      </c>
      <c r="B584" s="87">
        <v>42309</v>
      </c>
      <c r="C584" s="20">
        <v>2015</v>
      </c>
      <c r="D584" s="10" t="s">
        <v>35</v>
      </c>
      <c r="E584" s="11">
        <v>11</v>
      </c>
      <c r="F584" s="40">
        <v>2.7410000000000001</v>
      </c>
      <c r="G584" s="40">
        <v>0.89700000000000002</v>
      </c>
      <c r="I584" s="50">
        <f>AVERAGE(F582:F584)</f>
        <v>2.93</v>
      </c>
      <c r="J584" s="50">
        <f>AVERAGE(G582:G584)</f>
        <v>0.86499999999999988</v>
      </c>
      <c r="L584">
        <f>+J584/I584</f>
        <v>0.29522184300341292</v>
      </c>
      <c r="M584">
        <f>+(L584-$L$913)/$L$914</f>
        <v>-0.17732984289695247</v>
      </c>
      <c r="N584">
        <f>+N581+M584</f>
        <v>34.216147835347904</v>
      </c>
    </row>
    <row r="585" spans="1:14">
      <c r="A585" s="7">
        <v>1</v>
      </c>
      <c r="B585" s="88">
        <v>42339</v>
      </c>
      <c r="C585" s="20">
        <v>2015</v>
      </c>
      <c r="D585" s="10" t="s">
        <v>36</v>
      </c>
      <c r="E585" s="11">
        <v>12</v>
      </c>
      <c r="F585" s="40">
        <v>2.1520000000000001</v>
      </c>
      <c r="G585" s="40">
        <v>0.442</v>
      </c>
    </row>
    <row r="586" spans="1:14">
      <c r="A586" s="7">
        <v>17</v>
      </c>
      <c r="B586" s="87">
        <v>42339</v>
      </c>
      <c r="C586" s="20">
        <v>2015</v>
      </c>
      <c r="D586" s="10" t="s">
        <v>36</v>
      </c>
      <c r="E586" s="11">
        <v>12</v>
      </c>
      <c r="F586" s="40">
        <v>2.6379999999999999</v>
      </c>
      <c r="G586" s="40">
        <v>0.96799999999999997</v>
      </c>
    </row>
    <row r="587" spans="1:14">
      <c r="A587" s="7">
        <v>18</v>
      </c>
      <c r="B587" s="87">
        <v>42339</v>
      </c>
      <c r="C587" s="20">
        <v>2015</v>
      </c>
      <c r="D587" s="10" t="s">
        <v>36</v>
      </c>
      <c r="E587" s="11">
        <v>12</v>
      </c>
      <c r="F587" s="40">
        <v>2.2519999999999998</v>
      </c>
      <c r="G587" s="40">
        <v>0.72899999999999998</v>
      </c>
      <c r="I587" s="50">
        <f>AVERAGE(F585:F587)</f>
        <v>2.3473333333333333</v>
      </c>
      <c r="J587" s="50">
        <f>AVERAGE(G585:G587)</f>
        <v>0.71299999999999997</v>
      </c>
      <c r="L587">
        <f>+J587/I587</f>
        <v>0.30374893496165861</v>
      </c>
      <c r="M587">
        <f>+(L587-$L$913)/$L$914</f>
        <v>-8.5268726314497875E-2</v>
      </c>
      <c r="N587">
        <f>+N584+M587</f>
        <v>34.130879109033408</v>
      </c>
    </row>
    <row r="588" spans="1:14">
      <c r="A588" s="7">
        <v>1</v>
      </c>
      <c r="B588" s="86">
        <v>42379</v>
      </c>
      <c r="C588" s="43">
        <v>2016</v>
      </c>
      <c r="D588" s="45" t="s">
        <v>37</v>
      </c>
      <c r="E588" s="9">
        <v>1</v>
      </c>
      <c r="F588" s="111">
        <v>3.944</v>
      </c>
      <c r="G588" s="111">
        <v>1.254</v>
      </c>
    </row>
    <row r="589" spans="1:14">
      <c r="A589" s="7">
        <v>17</v>
      </c>
      <c r="B589" s="86">
        <v>42374</v>
      </c>
      <c r="C589" s="20">
        <v>2016</v>
      </c>
      <c r="D589" s="10" t="s">
        <v>37</v>
      </c>
      <c r="E589" s="9">
        <v>1</v>
      </c>
      <c r="F589" s="112">
        <v>19.608000000000001</v>
      </c>
      <c r="G589" s="112">
        <v>8.0449999999999999</v>
      </c>
    </row>
    <row r="590" spans="1:14">
      <c r="A590" s="7">
        <v>18</v>
      </c>
      <c r="B590" s="86">
        <v>42374</v>
      </c>
      <c r="C590" s="20">
        <v>2016</v>
      </c>
      <c r="D590" s="10" t="s">
        <v>37</v>
      </c>
      <c r="E590" s="9">
        <v>1</v>
      </c>
      <c r="F590" s="112">
        <v>3.2839999999999998</v>
      </c>
      <c r="G590" s="112">
        <v>0.82099999999999995</v>
      </c>
      <c r="I590" s="50">
        <f>AVERAGE(F588:F590)</f>
        <v>8.9453333333333322</v>
      </c>
      <c r="J590" s="50">
        <f>AVERAGE(G588:G590)</f>
        <v>3.3733333333333331</v>
      </c>
      <c r="L590">
        <f>+J590/I590</f>
        <v>0.37710538083171863</v>
      </c>
      <c r="M590">
        <f>+(L590-$L$913)/$L$914</f>
        <v>0.70671010402844237</v>
      </c>
      <c r="N590">
        <f>+N587+M590</f>
        <v>34.837589213061854</v>
      </c>
    </row>
    <row r="591" spans="1:14">
      <c r="A591" s="7">
        <v>1</v>
      </c>
      <c r="B591" s="87">
        <v>42401</v>
      </c>
      <c r="C591" s="20">
        <v>2016</v>
      </c>
      <c r="D591" s="10" t="s">
        <v>26</v>
      </c>
      <c r="E591" s="11">
        <v>2</v>
      </c>
      <c r="F591" s="112">
        <v>3.3879999999999999</v>
      </c>
      <c r="G591" s="112">
        <v>0.88600000000000001</v>
      </c>
    </row>
    <row r="592" spans="1:14">
      <c r="A592" s="7">
        <v>17</v>
      </c>
      <c r="B592" s="87">
        <v>42401</v>
      </c>
      <c r="C592" s="20">
        <v>2016</v>
      </c>
      <c r="D592" s="10" t="s">
        <v>26</v>
      </c>
      <c r="E592" s="11">
        <v>2</v>
      </c>
      <c r="F592" s="112">
        <v>4.3040000000000003</v>
      </c>
      <c r="G592" s="112">
        <v>1.2450000000000001</v>
      </c>
    </row>
    <row r="593" spans="1:14">
      <c r="A593" s="7">
        <v>18</v>
      </c>
      <c r="B593" s="87">
        <v>42401</v>
      </c>
      <c r="C593" s="20">
        <v>2016</v>
      </c>
      <c r="D593" s="10" t="s">
        <v>26</v>
      </c>
      <c r="E593" s="11">
        <v>2</v>
      </c>
      <c r="F593" s="112">
        <v>3.4849999999999999</v>
      </c>
      <c r="G593" s="112">
        <v>1.02</v>
      </c>
      <c r="I593" s="50">
        <f>AVERAGE(F591:F593)</f>
        <v>3.7256666666666667</v>
      </c>
      <c r="J593" s="50">
        <f>AVERAGE(G591:G593)</f>
        <v>1.0503333333333333</v>
      </c>
      <c r="L593">
        <f>+J593/I593</f>
        <v>0.28191822492618773</v>
      </c>
      <c r="M593">
        <f>+(L593-$L$913)/$L$914</f>
        <v>-0.32095980968669136</v>
      </c>
      <c r="N593">
        <f>+N590+M593</f>
        <v>34.516629403375163</v>
      </c>
    </row>
    <row r="594" spans="1:14">
      <c r="A594" s="7">
        <v>1</v>
      </c>
      <c r="B594" s="87">
        <v>42430</v>
      </c>
      <c r="C594" s="20">
        <v>2016</v>
      </c>
      <c r="D594" s="10" t="s">
        <v>27</v>
      </c>
      <c r="E594" s="11">
        <v>3</v>
      </c>
      <c r="F594" s="112">
        <v>7.0460000000000003</v>
      </c>
      <c r="G594" s="112">
        <v>2.6269999999999998</v>
      </c>
    </row>
    <row r="595" spans="1:14">
      <c r="A595" s="7">
        <v>17</v>
      </c>
      <c r="B595" s="87">
        <v>42430</v>
      </c>
      <c r="C595" s="20">
        <v>2016</v>
      </c>
      <c r="D595" s="10" t="s">
        <v>27</v>
      </c>
      <c r="E595" s="11">
        <v>3</v>
      </c>
      <c r="F595" s="112">
        <v>8.2720000000000002</v>
      </c>
      <c r="G595" s="112">
        <v>3.3780000000000001</v>
      </c>
    </row>
    <row r="596" spans="1:14">
      <c r="A596" s="7">
        <v>18</v>
      </c>
      <c r="B596" s="87">
        <v>42430</v>
      </c>
      <c r="C596" s="20">
        <v>2016</v>
      </c>
      <c r="D596" s="10" t="s">
        <v>27</v>
      </c>
      <c r="E596" s="11">
        <v>3</v>
      </c>
      <c r="F596" s="112">
        <v>6.73</v>
      </c>
      <c r="G596" s="112">
        <v>2.6920000000000002</v>
      </c>
      <c r="I596" s="50">
        <f>AVERAGE(F594:F596)</f>
        <v>7.3493333333333339</v>
      </c>
      <c r="J596" s="50">
        <f>AVERAGE(G594:G596)</f>
        <v>2.8989999999999996</v>
      </c>
      <c r="L596">
        <f>+J596/I596</f>
        <v>0.39445754716981124</v>
      </c>
      <c r="M596">
        <f>+(L596-$L$913)/$L$914</f>
        <v>0.89404944738623804</v>
      </c>
      <c r="N596">
        <f>+N593+M596</f>
        <v>35.4106788507614</v>
      </c>
    </row>
    <row r="597" spans="1:14">
      <c r="A597" s="7">
        <v>1</v>
      </c>
      <c r="B597" s="87">
        <v>42461</v>
      </c>
      <c r="C597" s="20">
        <v>2016</v>
      </c>
      <c r="D597" s="10" t="s">
        <v>28</v>
      </c>
      <c r="E597" s="11">
        <v>4</v>
      </c>
      <c r="F597" s="112">
        <v>4.5570000000000004</v>
      </c>
      <c r="G597" s="112">
        <v>1.478</v>
      </c>
    </row>
    <row r="598" spans="1:14">
      <c r="A598" s="7">
        <v>17</v>
      </c>
      <c r="B598" s="87">
        <v>42461</v>
      </c>
      <c r="C598" s="20">
        <v>2016</v>
      </c>
      <c r="D598" s="10" t="s">
        <v>28</v>
      </c>
      <c r="E598" s="11">
        <v>4</v>
      </c>
      <c r="F598" s="112">
        <v>2.92</v>
      </c>
      <c r="G598" s="112">
        <v>1.012</v>
      </c>
    </row>
    <row r="599" spans="1:14">
      <c r="A599" s="7">
        <v>18</v>
      </c>
      <c r="B599" s="87">
        <v>42461</v>
      </c>
      <c r="C599" s="20">
        <v>2016</v>
      </c>
      <c r="D599" s="10" t="s">
        <v>28</v>
      </c>
      <c r="E599" s="11">
        <v>4</v>
      </c>
      <c r="F599" s="112">
        <v>2.4020000000000001</v>
      </c>
      <c r="G599" s="112">
        <v>0.78100000000000003</v>
      </c>
      <c r="I599" s="50">
        <f>AVERAGE(F597:F599)</f>
        <v>3.2930000000000006</v>
      </c>
      <c r="J599" s="50">
        <f>AVERAGE(G597:G599)</f>
        <v>1.0903333333333334</v>
      </c>
      <c r="L599">
        <f>+J599/I599</f>
        <v>0.33110638728616254</v>
      </c>
      <c r="M599">
        <f>+(L599-$L$913)/$L$914</f>
        <v>0.21009077258355918</v>
      </c>
      <c r="N599">
        <f>+N596+M599</f>
        <v>35.620769623344962</v>
      </c>
    </row>
    <row r="600" spans="1:14">
      <c r="A600" s="7">
        <v>1</v>
      </c>
      <c r="B600" s="87">
        <v>42491</v>
      </c>
      <c r="C600" s="20">
        <v>2016</v>
      </c>
      <c r="D600" s="10" t="s">
        <v>29</v>
      </c>
      <c r="E600" s="11">
        <v>5</v>
      </c>
      <c r="F600" s="112">
        <v>4.8899999999999997</v>
      </c>
      <c r="G600" s="112">
        <v>1.821</v>
      </c>
    </row>
    <row r="601" spans="1:14">
      <c r="A601" s="7">
        <v>17</v>
      </c>
      <c r="B601" s="87">
        <v>42491</v>
      </c>
      <c r="C601" s="20">
        <v>2016</v>
      </c>
      <c r="D601" s="10" t="s">
        <v>29</v>
      </c>
      <c r="E601" s="11">
        <v>5</v>
      </c>
      <c r="F601" s="112">
        <v>7.2969999999999997</v>
      </c>
      <c r="G601" s="112">
        <v>3.1589999999999998</v>
      </c>
    </row>
    <row r="602" spans="1:14">
      <c r="A602" s="7">
        <v>18</v>
      </c>
      <c r="B602" s="87">
        <v>42491</v>
      </c>
      <c r="C602" s="20">
        <v>2016</v>
      </c>
      <c r="D602" s="10" t="s">
        <v>29</v>
      </c>
      <c r="E602" s="11">
        <v>5</v>
      </c>
      <c r="F602" s="112">
        <v>6.008</v>
      </c>
      <c r="G602" s="112">
        <v>2.379</v>
      </c>
      <c r="I602" s="50">
        <f>AVERAGE(F600:F602)</f>
        <v>6.0650000000000004</v>
      </c>
      <c r="J602" s="50">
        <f>AVERAGE(G600:G602)</f>
        <v>2.4529999999999998</v>
      </c>
      <c r="L602">
        <f>+J602/I602</f>
        <v>0.40445177246496283</v>
      </c>
      <c r="M602">
        <f>+(L602-$L$913)/$L$914</f>
        <v>1.0019501882898882</v>
      </c>
      <c r="N602">
        <f>+N599+M602</f>
        <v>36.622719811634852</v>
      </c>
    </row>
    <row r="603" spans="1:14">
      <c r="A603" s="7">
        <v>1</v>
      </c>
      <c r="B603" s="87">
        <v>42522</v>
      </c>
      <c r="C603" s="20">
        <v>2016</v>
      </c>
      <c r="D603" s="10" t="s">
        <v>30</v>
      </c>
      <c r="E603" s="11">
        <v>6</v>
      </c>
      <c r="F603" s="112">
        <v>4.22</v>
      </c>
      <c r="G603" s="112">
        <v>1.2609999999999999</v>
      </c>
    </row>
    <row r="604" spans="1:14">
      <c r="A604" s="7">
        <v>17</v>
      </c>
      <c r="B604" s="87">
        <v>42522</v>
      </c>
      <c r="C604" s="20">
        <v>2016</v>
      </c>
      <c r="D604" s="10" t="s">
        <v>30</v>
      </c>
      <c r="E604" s="11">
        <v>6</v>
      </c>
      <c r="F604" s="112">
        <v>4.8220000000000001</v>
      </c>
      <c r="G604" s="112">
        <v>1.032</v>
      </c>
    </row>
    <row r="605" spans="1:14">
      <c r="A605" s="7">
        <v>18</v>
      </c>
      <c r="B605" s="87">
        <v>42522</v>
      </c>
      <c r="C605" s="20">
        <v>2016</v>
      </c>
      <c r="D605" s="10" t="s">
        <v>30</v>
      </c>
      <c r="E605" s="11">
        <v>6</v>
      </c>
      <c r="F605" s="112">
        <v>11.074999999999999</v>
      </c>
      <c r="G605" s="112">
        <v>4.1710000000000003</v>
      </c>
      <c r="I605" s="50">
        <f>AVERAGE(F603:F605)</f>
        <v>6.7056666666666658</v>
      </c>
      <c r="J605" s="50">
        <f>AVERAGE(G603:G605)</f>
        <v>2.154666666666667</v>
      </c>
      <c r="L605">
        <f>+J605/I605</f>
        <v>0.32132027638315863</v>
      </c>
      <c r="M605">
        <f>+(L605-$L$913)/$L$914</f>
        <v>0.10443689888995095</v>
      </c>
      <c r="N605">
        <f>+N602+M605</f>
        <v>36.727156710524802</v>
      </c>
    </row>
    <row r="606" spans="1:14">
      <c r="A606" s="7">
        <v>1</v>
      </c>
      <c r="B606" s="87">
        <v>42552</v>
      </c>
      <c r="C606" s="20">
        <v>2016</v>
      </c>
      <c r="D606" s="10" t="s">
        <v>31</v>
      </c>
      <c r="E606" s="11">
        <v>7</v>
      </c>
      <c r="F606" s="112">
        <v>4.2089999999999996</v>
      </c>
      <c r="G606" s="112">
        <v>0.73199999999999998</v>
      </c>
    </row>
    <row r="607" spans="1:14">
      <c r="A607" s="7">
        <v>17</v>
      </c>
      <c r="B607" s="87">
        <v>42552</v>
      </c>
      <c r="C607" s="20">
        <v>2016</v>
      </c>
      <c r="D607" s="10" t="s">
        <v>31</v>
      </c>
      <c r="E607" s="11">
        <v>7</v>
      </c>
      <c r="F607" s="112">
        <v>2.5550000000000002</v>
      </c>
      <c r="G607" s="112">
        <v>0.47199999999999998</v>
      </c>
    </row>
    <row r="608" spans="1:14">
      <c r="A608" s="7">
        <v>18</v>
      </c>
      <c r="B608" s="87">
        <v>42552</v>
      </c>
      <c r="C608" s="20">
        <v>2016</v>
      </c>
      <c r="D608" s="10" t="s">
        <v>31</v>
      </c>
      <c r="E608" s="11">
        <v>7</v>
      </c>
      <c r="F608" s="112">
        <v>6.3220000000000001</v>
      </c>
      <c r="G608" s="112">
        <v>1.3859999999999999</v>
      </c>
      <c r="I608" s="50">
        <f>AVERAGE(F606:F608)</f>
        <v>4.3619999999999992</v>
      </c>
      <c r="J608" s="50">
        <f>AVERAGE(G606:G608)</f>
        <v>0.86333333333333329</v>
      </c>
      <c r="L608">
        <f>+J608/I608</f>
        <v>0.19792144276325846</v>
      </c>
      <c r="M608">
        <f>+(L608-$L$913)/$L$914</f>
        <v>-1.2278149946803076</v>
      </c>
      <c r="N608">
        <f>+N605+M608</f>
        <v>35.499341715844494</v>
      </c>
    </row>
    <row r="609" spans="1:14">
      <c r="A609" s="7">
        <v>1</v>
      </c>
      <c r="B609" s="87">
        <v>42583</v>
      </c>
      <c r="C609" s="20">
        <v>2016</v>
      </c>
      <c r="D609" s="10" t="s">
        <v>32</v>
      </c>
      <c r="E609" s="11">
        <v>8</v>
      </c>
      <c r="F609" s="112">
        <v>5.8470000000000004</v>
      </c>
      <c r="G609" s="112">
        <v>1.2929999999999999</v>
      </c>
    </row>
    <row r="610" spans="1:14">
      <c r="A610" s="7">
        <v>17</v>
      </c>
      <c r="B610" s="87">
        <v>42583</v>
      </c>
      <c r="C610" s="20">
        <v>2016</v>
      </c>
      <c r="D610" s="10" t="s">
        <v>32</v>
      </c>
      <c r="E610" s="11">
        <v>8</v>
      </c>
      <c r="F610" s="112">
        <v>4.2389999999999999</v>
      </c>
      <c r="G610" s="112">
        <v>0.98799999999999999</v>
      </c>
    </row>
    <row r="611" spans="1:14">
      <c r="A611" s="7">
        <v>18</v>
      </c>
      <c r="B611" s="87">
        <v>42583</v>
      </c>
      <c r="C611" s="20">
        <v>2016</v>
      </c>
      <c r="D611" s="10" t="s">
        <v>32</v>
      </c>
      <c r="E611" s="11">
        <v>8</v>
      </c>
      <c r="F611" s="112">
        <v>5.7009999999999996</v>
      </c>
      <c r="G611" s="112">
        <v>1.3580000000000001</v>
      </c>
      <c r="I611" s="50">
        <f>AVERAGE(F609:F611)</f>
        <v>5.2623333333333333</v>
      </c>
      <c r="J611" s="50">
        <f>AVERAGE(G609:G611)</f>
        <v>1.2129999999999999</v>
      </c>
      <c r="L611">
        <f>+J611/I611</f>
        <v>0.23050611262431112</v>
      </c>
      <c r="M611">
        <f>+(L611-$L$913)/$L$914</f>
        <v>-0.87602084192951235</v>
      </c>
      <c r="N611">
        <f>+N608+M611</f>
        <v>34.623320873914984</v>
      </c>
    </row>
    <row r="612" spans="1:14">
      <c r="A612" s="7">
        <v>1</v>
      </c>
      <c r="B612" s="87">
        <v>42614</v>
      </c>
      <c r="C612" s="20">
        <v>2016</v>
      </c>
      <c r="D612" s="10" t="s">
        <v>38</v>
      </c>
      <c r="E612" s="11">
        <v>9</v>
      </c>
      <c r="F612" s="112">
        <v>5.1619999999999999</v>
      </c>
      <c r="G612" s="112">
        <v>1.597</v>
      </c>
    </row>
    <row r="613" spans="1:14">
      <c r="A613" s="7">
        <v>17</v>
      </c>
      <c r="B613" s="87">
        <v>42614</v>
      </c>
      <c r="C613" s="20">
        <v>2016</v>
      </c>
      <c r="D613" s="10" t="s">
        <v>38</v>
      </c>
      <c r="E613" s="11">
        <v>9</v>
      </c>
      <c r="F613" s="112">
        <v>5.4169999999999998</v>
      </c>
      <c r="G613" s="112">
        <v>1.9179999999999999</v>
      </c>
    </row>
    <row r="614" spans="1:14">
      <c r="A614" s="7">
        <v>18</v>
      </c>
      <c r="B614" s="87">
        <v>42614</v>
      </c>
      <c r="C614" s="20">
        <v>2016</v>
      </c>
      <c r="D614" s="10" t="s">
        <v>38</v>
      </c>
      <c r="E614" s="11">
        <v>9</v>
      </c>
      <c r="F614" s="112">
        <v>5.4269999999999996</v>
      </c>
      <c r="G614" s="112">
        <v>2.0990000000000002</v>
      </c>
      <c r="I614" s="50">
        <f>AVERAGE(F612:F614)</f>
        <v>5.3353333333333337</v>
      </c>
      <c r="J614" s="50">
        <f>AVERAGE(G612:G614)</f>
        <v>1.8713333333333333</v>
      </c>
      <c r="L614">
        <f>+J614/I614</f>
        <v>0.35074347119830063</v>
      </c>
      <c r="M614">
        <f>+(L614-$L$913)/$L$914</f>
        <v>0.4220987912875952</v>
      </c>
      <c r="N614">
        <f>+N611+M614</f>
        <v>35.04541966520258</v>
      </c>
    </row>
    <row r="615" spans="1:14">
      <c r="A615" s="7">
        <v>1</v>
      </c>
      <c r="B615" s="87">
        <v>42644</v>
      </c>
      <c r="C615" s="20">
        <v>2016</v>
      </c>
      <c r="D615" s="10" t="s">
        <v>34</v>
      </c>
      <c r="E615" s="11">
        <v>10</v>
      </c>
      <c r="F615" s="112">
        <v>2.4830000000000001</v>
      </c>
      <c r="G615" s="112">
        <v>0.48499999999999999</v>
      </c>
    </row>
    <row r="616" spans="1:14">
      <c r="A616" s="7">
        <v>17</v>
      </c>
      <c r="B616" s="87">
        <v>42644</v>
      </c>
      <c r="C616" s="20">
        <v>2016</v>
      </c>
      <c r="D616" s="10" t="s">
        <v>34</v>
      </c>
      <c r="E616" s="11">
        <v>10</v>
      </c>
      <c r="F616" s="112">
        <v>4.5149999999999997</v>
      </c>
      <c r="G616" s="112">
        <v>1.0049999999999999</v>
      </c>
    </row>
    <row r="617" spans="1:14">
      <c r="A617" s="7">
        <v>18</v>
      </c>
      <c r="B617" s="87">
        <v>42644</v>
      </c>
      <c r="C617" s="20">
        <v>2016</v>
      </c>
      <c r="D617" s="10" t="s">
        <v>34</v>
      </c>
      <c r="E617" s="11">
        <v>10</v>
      </c>
      <c r="F617" s="112">
        <v>2.0049999999999999</v>
      </c>
      <c r="G617" s="112">
        <v>0.52</v>
      </c>
      <c r="I617" s="50">
        <f>AVERAGE(F615:F617)</f>
        <v>3.0009999999999999</v>
      </c>
      <c r="J617" s="50">
        <f>AVERAGE(G615:G617)</f>
        <v>0.66999999999999993</v>
      </c>
      <c r="L617">
        <f>+J617/I617</f>
        <v>0.22325891369543485</v>
      </c>
      <c r="M617">
        <f>+(L617-$L$913)/$L$914</f>
        <v>-0.95426383834077422</v>
      </c>
      <c r="N617">
        <f>+N614+M617</f>
        <v>34.091155826861808</v>
      </c>
    </row>
    <row r="618" spans="1:14">
      <c r="A618" s="7">
        <v>1</v>
      </c>
      <c r="B618" s="87">
        <v>42675</v>
      </c>
      <c r="C618" s="20">
        <v>2016</v>
      </c>
      <c r="D618" s="10" t="s">
        <v>35</v>
      </c>
      <c r="E618" s="11">
        <v>11</v>
      </c>
      <c r="F618" s="112">
        <v>2.766</v>
      </c>
      <c r="G618" s="112">
        <v>1.125</v>
      </c>
    </row>
    <row r="619" spans="1:14">
      <c r="A619" s="7">
        <v>17</v>
      </c>
      <c r="B619" s="87">
        <v>42675</v>
      </c>
      <c r="C619" s="20">
        <v>2016</v>
      </c>
      <c r="D619" s="10" t="s">
        <v>35</v>
      </c>
      <c r="E619" s="11">
        <v>11</v>
      </c>
      <c r="F619" s="112">
        <v>2.71</v>
      </c>
      <c r="G619" s="112">
        <v>1.1220000000000001</v>
      </c>
    </row>
    <row r="620" spans="1:14">
      <c r="A620" s="7">
        <v>18</v>
      </c>
      <c r="B620" s="87">
        <v>42675</v>
      </c>
      <c r="C620" s="20">
        <v>2016</v>
      </c>
      <c r="D620" s="10" t="s">
        <v>35</v>
      </c>
      <c r="E620" s="11">
        <v>11</v>
      </c>
      <c r="F620" s="112">
        <v>3.286</v>
      </c>
      <c r="G620" s="112">
        <v>1.2969999999999999</v>
      </c>
      <c r="I620" s="50">
        <f>AVERAGE(F618:F620)</f>
        <v>2.920666666666667</v>
      </c>
      <c r="J620" s="50">
        <f>AVERAGE(G618:G620)</f>
        <v>1.1813333333333331</v>
      </c>
      <c r="L620">
        <f>+J620/I620</f>
        <v>0.4044738644145171</v>
      </c>
      <c r="M620">
        <f>+(L620-$L$913)/$L$914</f>
        <v>1.0021886997957343</v>
      </c>
      <c r="N620">
        <f>+N617+M620</f>
        <v>35.093344526657539</v>
      </c>
    </row>
    <row r="621" spans="1:14">
      <c r="A621" s="7">
        <v>1</v>
      </c>
      <c r="B621" s="88">
        <v>42705</v>
      </c>
      <c r="C621" s="20">
        <v>2016</v>
      </c>
      <c r="D621" s="10" t="s">
        <v>36</v>
      </c>
      <c r="E621" s="11">
        <v>12</v>
      </c>
      <c r="F621" s="112">
        <v>4.58</v>
      </c>
      <c r="G621" s="112">
        <v>1.1459999999999999</v>
      </c>
    </row>
    <row r="622" spans="1:14">
      <c r="A622" s="7">
        <v>17</v>
      </c>
      <c r="B622" s="87">
        <v>42705</v>
      </c>
      <c r="C622" s="20">
        <v>2016</v>
      </c>
      <c r="D622" s="10" t="s">
        <v>36</v>
      </c>
      <c r="E622" s="11">
        <v>12</v>
      </c>
      <c r="F622" s="112">
        <v>6.3419999999999996</v>
      </c>
      <c r="G622" s="112">
        <v>1.75</v>
      </c>
    </row>
    <row r="623" spans="1:14">
      <c r="A623" s="7">
        <v>18</v>
      </c>
      <c r="B623" s="87">
        <v>42705</v>
      </c>
      <c r="C623" s="20">
        <v>2016</v>
      </c>
      <c r="D623" s="10" t="s">
        <v>36</v>
      </c>
      <c r="E623" s="11">
        <v>12</v>
      </c>
      <c r="F623" s="112">
        <v>7.3029999999999999</v>
      </c>
      <c r="G623" s="112">
        <v>2.09</v>
      </c>
      <c r="I623" s="50">
        <f>AVERAGE(F621:F623)</f>
        <v>6.0750000000000002</v>
      </c>
      <c r="J623" s="50">
        <f>AVERAGE(G621:G623)</f>
        <v>1.6619999999999999</v>
      </c>
      <c r="L623">
        <f>+J623/I623</f>
        <v>0.27358024691358024</v>
      </c>
      <c r="M623">
        <f>+(L623-$L$913)/$L$914</f>
        <v>-0.41097919374391728</v>
      </c>
      <c r="N623">
        <f>+N620+M623</f>
        <v>34.682365332913619</v>
      </c>
    </row>
    <row r="624" spans="1:14">
      <c r="A624" s="7">
        <v>1</v>
      </c>
      <c r="B624" s="86">
        <v>42745</v>
      </c>
      <c r="C624" s="43">
        <v>2017</v>
      </c>
      <c r="D624" s="45" t="s">
        <v>37</v>
      </c>
      <c r="E624" s="9">
        <v>1</v>
      </c>
    </row>
    <row r="625" spans="1:14">
      <c r="A625" s="7">
        <v>17</v>
      </c>
      <c r="B625" s="86">
        <v>42740</v>
      </c>
      <c r="C625" s="20">
        <v>2017</v>
      </c>
      <c r="D625" s="10" t="s">
        <v>37</v>
      </c>
      <c r="E625" s="9">
        <v>1</v>
      </c>
    </row>
    <row r="626" spans="1:14">
      <c r="A626" s="7">
        <v>18</v>
      </c>
      <c r="B626" s="86">
        <v>42740</v>
      </c>
      <c r="C626" s="20">
        <v>2017</v>
      </c>
      <c r="D626" s="10" t="s">
        <v>37</v>
      </c>
      <c r="E626" s="9">
        <v>1</v>
      </c>
    </row>
    <row r="627" spans="1:14">
      <c r="A627" s="7">
        <v>1</v>
      </c>
      <c r="B627" s="87">
        <v>42767</v>
      </c>
      <c r="C627" s="20">
        <v>2017</v>
      </c>
      <c r="D627" s="10" t="s">
        <v>26</v>
      </c>
      <c r="E627" s="11">
        <v>2</v>
      </c>
    </row>
    <row r="628" spans="1:14">
      <c r="A628" s="7">
        <v>17</v>
      </c>
      <c r="B628" s="87">
        <v>42767</v>
      </c>
      <c r="C628" s="20">
        <v>2017</v>
      </c>
      <c r="D628" s="10" t="s">
        <v>26</v>
      </c>
      <c r="E628" s="11">
        <v>2</v>
      </c>
    </row>
    <row r="629" spans="1:14">
      <c r="A629" s="7">
        <v>18</v>
      </c>
      <c r="B629" s="87">
        <v>42767</v>
      </c>
      <c r="C629" s="20">
        <v>2017</v>
      </c>
      <c r="D629" s="10" t="s">
        <v>26</v>
      </c>
      <c r="E629" s="11">
        <v>2</v>
      </c>
    </row>
    <row r="630" spans="1:14">
      <c r="A630" s="7">
        <v>1</v>
      </c>
      <c r="B630" s="87">
        <v>42795</v>
      </c>
      <c r="C630" s="20">
        <v>2017</v>
      </c>
      <c r="D630" s="10" t="s">
        <v>27</v>
      </c>
      <c r="E630" s="11">
        <v>3</v>
      </c>
      <c r="F630" s="111">
        <v>6.641</v>
      </c>
      <c r="G630" s="111">
        <v>2.8879999999999999</v>
      </c>
    </row>
    <row r="631" spans="1:14">
      <c r="A631" s="7">
        <v>17</v>
      </c>
      <c r="B631" s="87">
        <v>42795</v>
      </c>
      <c r="C631" s="20">
        <v>2017</v>
      </c>
      <c r="D631" s="10" t="s">
        <v>27</v>
      </c>
      <c r="E631" s="11">
        <v>3</v>
      </c>
      <c r="F631" s="112">
        <v>17.422999999999998</v>
      </c>
      <c r="G631" s="112">
        <v>8.0619999999999994</v>
      </c>
    </row>
    <row r="632" spans="1:14">
      <c r="A632" s="7">
        <v>18</v>
      </c>
      <c r="B632" s="87">
        <v>42795</v>
      </c>
      <c r="C632" s="20">
        <v>2017</v>
      </c>
      <c r="D632" s="10" t="s">
        <v>27</v>
      </c>
      <c r="E632" s="11">
        <v>3</v>
      </c>
      <c r="F632" s="112">
        <v>11.77</v>
      </c>
      <c r="G632" s="112">
        <v>5.24</v>
      </c>
      <c r="I632" s="50">
        <f>AVERAGE(F630:F632)</f>
        <v>11.944666666666668</v>
      </c>
      <c r="J632" s="50">
        <f>AVERAGE(G630:G632)</f>
        <v>5.3966666666666656</v>
      </c>
      <c r="L632">
        <f>+J632/I632</f>
        <v>0.45180554780376164</v>
      </c>
      <c r="M632">
        <f>+(L632-$L$913)/$L$914</f>
        <v>1.5131961621144046</v>
      </c>
      <c r="N632">
        <f>+N623+M632</f>
        <v>36.195561495028024</v>
      </c>
    </row>
    <row r="633" spans="1:14">
      <c r="A633" s="7">
        <v>1</v>
      </c>
      <c r="B633" s="87">
        <v>42826</v>
      </c>
      <c r="C633" s="20">
        <v>2017</v>
      </c>
      <c r="D633" s="10" t="s">
        <v>28</v>
      </c>
      <c r="E633" s="11">
        <v>4</v>
      </c>
    </row>
    <row r="634" spans="1:14">
      <c r="A634" s="7">
        <v>17</v>
      </c>
      <c r="B634" s="87">
        <v>42826</v>
      </c>
      <c r="C634" s="20">
        <v>2017</v>
      </c>
      <c r="D634" s="10" t="s">
        <v>28</v>
      </c>
      <c r="E634" s="11">
        <v>4</v>
      </c>
    </row>
    <row r="635" spans="1:14">
      <c r="A635" s="7">
        <v>18</v>
      </c>
      <c r="B635" s="87">
        <v>42826</v>
      </c>
      <c r="C635" s="20">
        <v>2017</v>
      </c>
      <c r="D635" s="10" t="s">
        <v>28</v>
      </c>
      <c r="E635" s="11">
        <v>4</v>
      </c>
      <c r="I635" s="50"/>
      <c r="J635" s="50"/>
    </row>
    <row r="636" spans="1:14">
      <c r="A636" s="7">
        <v>1</v>
      </c>
      <c r="B636" s="87">
        <v>42856</v>
      </c>
      <c r="C636" s="20">
        <v>2017</v>
      </c>
      <c r="D636" s="10" t="s">
        <v>29</v>
      </c>
      <c r="E636" s="11">
        <v>5</v>
      </c>
      <c r="F636" s="112">
        <v>5.1689999999999996</v>
      </c>
      <c r="G636" s="112">
        <v>1.4079999999999999</v>
      </c>
    </row>
    <row r="637" spans="1:14">
      <c r="A637" s="7">
        <v>17</v>
      </c>
      <c r="B637" s="87">
        <v>42856</v>
      </c>
      <c r="C637" s="20">
        <v>2017</v>
      </c>
      <c r="D637" s="10" t="s">
        <v>29</v>
      </c>
      <c r="E637" s="11">
        <v>5</v>
      </c>
      <c r="F637" s="112">
        <v>5.0330000000000004</v>
      </c>
      <c r="G637" s="112">
        <v>0.71099999999999997</v>
      </c>
    </row>
    <row r="638" spans="1:14">
      <c r="A638" s="7">
        <v>18</v>
      </c>
      <c r="B638" s="87">
        <v>42856</v>
      </c>
      <c r="C638" s="20">
        <v>2017</v>
      </c>
      <c r="D638" s="10" t="s">
        <v>29</v>
      </c>
      <c r="E638" s="11">
        <v>5</v>
      </c>
      <c r="F638" s="112">
        <v>4.53</v>
      </c>
      <c r="G638" s="112">
        <v>0.67600000000000005</v>
      </c>
      <c r="I638" s="50">
        <f>AVERAGE(F636:F638)</f>
        <v>4.9106666666666667</v>
      </c>
      <c r="J638" s="50">
        <f>AVERAGE(G636:G638)</f>
        <v>0.93166666666666664</v>
      </c>
      <c r="L638">
        <f>+J638/I638</f>
        <v>0.18972305185989682</v>
      </c>
      <c r="M638">
        <f>+(L638-$L$913)/$L$914</f>
        <v>-1.3163273532239568</v>
      </c>
      <c r="N638">
        <f>+N632+M638</f>
        <v>34.879234141804069</v>
      </c>
    </row>
    <row r="639" spans="1:14">
      <c r="A639" s="7">
        <v>1</v>
      </c>
      <c r="B639" s="87">
        <v>42887</v>
      </c>
      <c r="C639" s="20">
        <v>2017</v>
      </c>
      <c r="D639" s="10" t="s">
        <v>30</v>
      </c>
      <c r="E639" s="11">
        <v>6</v>
      </c>
      <c r="F639" s="112">
        <v>4.7350000000000003</v>
      </c>
      <c r="G639" s="112">
        <v>0.97299999999999998</v>
      </c>
    </row>
    <row r="640" spans="1:14">
      <c r="A640" s="7">
        <v>17</v>
      </c>
      <c r="B640" s="87">
        <v>42887</v>
      </c>
      <c r="C640" s="20">
        <v>2017</v>
      </c>
      <c r="D640" s="10" t="s">
        <v>30</v>
      </c>
      <c r="E640" s="11">
        <v>6</v>
      </c>
      <c r="F640" s="112">
        <v>8.4489999999999998</v>
      </c>
      <c r="G640" s="112">
        <v>1.1839999999999999</v>
      </c>
    </row>
    <row r="641" spans="1:14">
      <c r="A641" s="7">
        <v>18</v>
      </c>
      <c r="B641" s="87">
        <v>42887</v>
      </c>
      <c r="C641" s="20">
        <v>2017</v>
      </c>
      <c r="D641" s="10" t="s">
        <v>30</v>
      </c>
      <c r="E641" s="11">
        <v>6</v>
      </c>
      <c r="F641" s="112">
        <v>6.4909999999999997</v>
      </c>
      <c r="G641" s="112">
        <v>0.97199999999999998</v>
      </c>
      <c r="I641" s="50">
        <f>AVERAGE(F639:F641)</f>
        <v>6.5583333333333336</v>
      </c>
      <c r="J641" s="50">
        <f>AVERAGE(G639:G641)</f>
        <v>1.0429999999999999</v>
      </c>
      <c r="L641">
        <f>+J641/I641</f>
        <v>0.15903430749682337</v>
      </c>
      <c r="M641">
        <f>+(L641-$L$913)/$L$914</f>
        <v>-1.6476525091402181</v>
      </c>
      <c r="N641">
        <f>+N638+M641</f>
        <v>33.231581632663854</v>
      </c>
    </row>
    <row r="642" spans="1:14">
      <c r="A642" s="7">
        <v>1</v>
      </c>
      <c r="B642" s="87">
        <v>42917</v>
      </c>
      <c r="C642" s="20">
        <v>2017</v>
      </c>
      <c r="D642" s="10" t="s">
        <v>31</v>
      </c>
      <c r="E642" s="11">
        <v>7</v>
      </c>
      <c r="F642" s="112">
        <v>8.9369999999999994</v>
      </c>
      <c r="G642" s="112">
        <v>1.359</v>
      </c>
    </row>
    <row r="643" spans="1:14">
      <c r="A643" s="7">
        <v>17</v>
      </c>
      <c r="B643" s="87">
        <v>42917</v>
      </c>
      <c r="C643" s="20">
        <v>2017</v>
      </c>
      <c r="D643" s="10" t="s">
        <v>31</v>
      </c>
      <c r="E643" s="11">
        <v>7</v>
      </c>
      <c r="F643" s="112">
        <v>17.248000000000001</v>
      </c>
      <c r="G643" s="112">
        <v>3.2170000000000001</v>
      </c>
    </row>
    <row r="644" spans="1:14">
      <c r="A644" s="7">
        <v>18</v>
      </c>
      <c r="B644" s="87">
        <v>42917</v>
      </c>
      <c r="C644" s="20">
        <v>2017</v>
      </c>
      <c r="D644" s="10" t="s">
        <v>31</v>
      </c>
      <c r="E644" s="11">
        <v>7</v>
      </c>
      <c r="F644" s="112">
        <v>24.001000000000001</v>
      </c>
      <c r="G644" s="112">
        <v>5.0369999999999999</v>
      </c>
      <c r="I644" s="50">
        <f>AVERAGE(F642:F644)</f>
        <v>16.728666666666669</v>
      </c>
      <c r="J644" s="50">
        <f>AVERAGE(G642:G644)</f>
        <v>3.204333333333333</v>
      </c>
      <c r="L644">
        <f>+J644/I644</f>
        <v>0.19154744351014222</v>
      </c>
      <c r="M644">
        <f>+(L644-$L$913)/$L$914</f>
        <v>-1.2966306578877602</v>
      </c>
      <c r="N644">
        <f>+N641+M644</f>
        <v>31.934950974776093</v>
      </c>
    </row>
    <row r="645" spans="1:14">
      <c r="A645" s="7">
        <v>1</v>
      </c>
      <c r="B645" s="87">
        <v>42948</v>
      </c>
      <c r="C645" s="20">
        <v>2017</v>
      </c>
      <c r="D645" s="10" t="s">
        <v>32</v>
      </c>
      <c r="E645" s="11">
        <v>8</v>
      </c>
    </row>
    <row r="646" spans="1:14">
      <c r="A646" s="7">
        <v>17</v>
      </c>
      <c r="B646" s="87">
        <v>42948</v>
      </c>
      <c r="C646" s="20">
        <v>2017</v>
      </c>
      <c r="D646" s="10" t="s">
        <v>32</v>
      </c>
      <c r="E646" s="11">
        <v>8</v>
      </c>
    </row>
    <row r="647" spans="1:14">
      <c r="A647" s="7">
        <v>18</v>
      </c>
      <c r="B647" s="87">
        <v>42948</v>
      </c>
      <c r="C647" s="20">
        <v>2017</v>
      </c>
      <c r="D647" s="10" t="s">
        <v>32</v>
      </c>
      <c r="E647" s="11">
        <v>8</v>
      </c>
      <c r="I647" s="50"/>
      <c r="J647" s="50"/>
    </row>
    <row r="648" spans="1:14">
      <c r="A648" s="7">
        <v>1</v>
      </c>
      <c r="B648" s="87">
        <v>42979</v>
      </c>
      <c r="C648" s="20">
        <v>2017</v>
      </c>
      <c r="D648" s="10" t="s">
        <v>38</v>
      </c>
      <c r="E648" s="11">
        <v>9</v>
      </c>
      <c r="F648" s="112">
        <v>2.262</v>
      </c>
      <c r="G648" s="112">
        <v>0.498</v>
      </c>
    </row>
    <row r="649" spans="1:14">
      <c r="A649" s="7">
        <v>17</v>
      </c>
      <c r="B649" s="87">
        <v>42979</v>
      </c>
      <c r="C649" s="20">
        <v>2017</v>
      </c>
      <c r="D649" s="10" t="s">
        <v>38</v>
      </c>
      <c r="E649" s="11">
        <v>9</v>
      </c>
      <c r="F649" s="112">
        <v>1.5029999999999999</v>
      </c>
      <c r="G649" s="112">
        <v>0.39800000000000002</v>
      </c>
    </row>
    <row r="650" spans="1:14">
      <c r="A650" s="7">
        <v>18</v>
      </c>
      <c r="B650" s="87">
        <v>42979</v>
      </c>
      <c r="C650" s="20">
        <v>2017</v>
      </c>
      <c r="D650" s="10" t="s">
        <v>38</v>
      </c>
      <c r="E650" s="11">
        <v>9</v>
      </c>
      <c r="F650" s="112">
        <v>2.94</v>
      </c>
      <c r="G650" s="112">
        <v>0.93100000000000005</v>
      </c>
      <c r="I650" s="50">
        <f>AVERAGE(F648:F650)</f>
        <v>2.2349999999999999</v>
      </c>
      <c r="J650" s="50">
        <f>AVERAGE(G648:G650)</f>
        <v>0.60899999999999999</v>
      </c>
      <c r="L650">
        <f>+J650/I650</f>
        <v>0.27248322147651005</v>
      </c>
      <c r="M650">
        <f>+(L650-$L$913)/$L$914</f>
        <v>-0.42282301894840291</v>
      </c>
      <c r="N650">
        <f>+N644+M650</f>
        <v>31.51212795582769</v>
      </c>
    </row>
    <row r="651" spans="1:14">
      <c r="A651" s="7">
        <v>1</v>
      </c>
      <c r="B651" s="87">
        <v>43009</v>
      </c>
      <c r="C651" s="20">
        <v>2017</v>
      </c>
      <c r="D651" s="10" t="s">
        <v>34</v>
      </c>
      <c r="E651" s="11">
        <v>10</v>
      </c>
    </row>
    <row r="652" spans="1:14">
      <c r="A652" s="7">
        <v>17</v>
      </c>
      <c r="B652" s="87">
        <v>43009</v>
      </c>
      <c r="C652" s="20">
        <v>2017</v>
      </c>
      <c r="D652" s="10" t="s">
        <v>34</v>
      </c>
      <c r="E652" s="11">
        <v>10</v>
      </c>
    </row>
    <row r="653" spans="1:14">
      <c r="A653" s="7">
        <v>18</v>
      </c>
      <c r="B653" s="87">
        <v>43009</v>
      </c>
      <c r="C653" s="20">
        <v>2017</v>
      </c>
      <c r="D653" s="10" t="s">
        <v>34</v>
      </c>
      <c r="E653" s="11">
        <v>10</v>
      </c>
      <c r="I653" s="50"/>
      <c r="J653" s="50"/>
    </row>
    <row r="654" spans="1:14">
      <c r="A654" s="7">
        <v>1</v>
      </c>
      <c r="B654" s="87">
        <v>43040</v>
      </c>
      <c r="C654" s="20">
        <v>2017</v>
      </c>
      <c r="D654" s="10" t="s">
        <v>35</v>
      </c>
      <c r="E654" s="11">
        <v>11</v>
      </c>
      <c r="F654" s="112">
        <v>1.7549999999999999</v>
      </c>
      <c r="G654" s="112">
        <v>0.46700000000000003</v>
      </c>
    </row>
    <row r="655" spans="1:14">
      <c r="A655" s="7">
        <v>17</v>
      </c>
      <c r="B655" s="87">
        <v>43040</v>
      </c>
      <c r="C655" s="20">
        <v>2017</v>
      </c>
      <c r="D655" s="10" t="s">
        <v>35</v>
      </c>
      <c r="E655" s="11">
        <v>11</v>
      </c>
      <c r="F655" s="112">
        <v>2.8220000000000001</v>
      </c>
      <c r="G655" s="112">
        <v>0.85799999999999998</v>
      </c>
    </row>
    <row r="656" spans="1:14">
      <c r="A656" s="7">
        <v>18</v>
      </c>
      <c r="B656" s="87">
        <v>43040</v>
      </c>
      <c r="C656" s="20">
        <v>2017</v>
      </c>
      <c r="D656" s="10" t="s">
        <v>35</v>
      </c>
      <c r="E656" s="11">
        <v>11</v>
      </c>
      <c r="F656" s="112">
        <v>1.2250000000000001</v>
      </c>
      <c r="G656" s="112">
        <v>0.28399999999999997</v>
      </c>
      <c r="I656" s="50">
        <f>AVERAGE(F654:F656)</f>
        <v>1.9339999999999999</v>
      </c>
      <c r="J656" s="50">
        <f>AVERAGE(G654:G656)</f>
        <v>0.53633333333333333</v>
      </c>
      <c r="L656">
        <f>+J656/I656</f>
        <v>0.27731816614960358</v>
      </c>
      <c r="M656">
        <f>+(L656-$L$913)/$L$914</f>
        <v>-0.37062346400060381</v>
      </c>
      <c r="N656">
        <f>+N650+M656</f>
        <v>31.141504491827085</v>
      </c>
    </row>
    <row r="657" spans="1:14">
      <c r="A657" s="7">
        <v>1</v>
      </c>
      <c r="B657" s="88">
        <v>43070</v>
      </c>
      <c r="C657" s="20">
        <v>2017</v>
      </c>
      <c r="D657" s="10" t="s">
        <v>36</v>
      </c>
      <c r="E657" s="11">
        <v>12</v>
      </c>
      <c r="F657" s="112">
        <v>2.6640000000000001</v>
      </c>
      <c r="G657" s="112">
        <v>0.68</v>
      </c>
    </row>
    <row r="658" spans="1:14">
      <c r="A658" s="7">
        <v>17</v>
      </c>
      <c r="B658" s="87">
        <v>43070</v>
      </c>
      <c r="C658" s="20">
        <v>2017</v>
      </c>
      <c r="D658" s="10" t="s">
        <v>36</v>
      </c>
      <c r="E658" s="11">
        <v>12</v>
      </c>
      <c r="F658" s="112">
        <v>6.5140000000000002</v>
      </c>
      <c r="G658" s="112">
        <v>2.25</v>
      </c>
    </row>
    <row r="659" spans="1:14">
      <c r="A659" s="7">
        <v>18</v>
      </c>
      <c r="B659" s="87">
        <v>43070</v>
      </c>
      <c r="C659" s="20">
        <v>2017</v>
      </c>
      <c r="D659" s="10" t="s">
        <v>36</v>
      </c>
      <c r="E659" s="11">
        <v>12</v>
      </c>
      <c r="F659" s="112">
        <v>6.5640000000000001</v>
      </c>
      <c r="G659" s="112">
        <v>2.331</v>
      </c>
      <c r="I659" s="50">
        <f>AVERAGE(F657:F659)</f>
        <v>5.2473333333333336</v>
      </c>
      <c r="J659" s="50">
        <f>AVERAGE(G657:G659)</f>
        <v>1.7536666666666667</v>
      </c>
      <c r="L659">
        <f>+J659/I659</f>
        <v>0.33420149917418368</v>
      </c>
      <c r="M659">
        <f>+(L659-$L$913)/$L$914</f>
        <v>0.24350655580181321</v>
      </c>
      <c r="N659">
        <f>+N656+M659</f>
        <v>31.385011047628897</v>
      </c>
    </row>
    <row r="660" spans="1:14">
      <c r="A660" s="7">
        <v>1</v>
      </c>
      <c r="B660" s="86">
        <v>43110</v>
      </c>
      <c r="C660" s="43">
        <v>2018</v>
      </c>
      <c r="D660" s="45" t="s">
        <v>37</v>
      </c>
      <c r="E660" s="9">
        <v>1</v>
      </c>
      <c r="F660" s="100">
        <v>3.177</v>
      </c>
      <c r="G660" s="100">
        <v>1.0149999999999999</v>
      </c>
    </row>
    <row r="661" spans="1:14">
      <c r="A661" s="7">
        <v>17</v>
      </c>
      <c r="B661" s="86">
        <v>43105</v>
      </c>
      <c r="C661" s="20">
        <v>2018</v>
      </c>
      <c r="D661" s="10" t="s">
        <v>37</v>
      </c>
      <c r="E661" s="9">
        <v>1</v>
      </c>
      <c r="F661" s="100">
        <v>3.9380000000000002</v>
      </c>
      <c r="G661" s="100">
        <v>1.06</v>
      </c>
    </row>
    <row r="662" spans="1:14">
      <c r="A662" s="7">
        <v>18</v>
      </c>
      <c r="B662" s="86">
        <v>43105</v>
      </c>
      <c r="C662" s="20">
        <v>2018</v>
      </c>
      <c r="D662" s="10" t="s">
        <v>37</v>
      </c>
      <c r="E662" s="9">
        <v>1</v>
      </c>
      <c r="F662" s="100">
        <v>3.1120000000000001</v>
      </c>
      <c r="G662" s="100">
        <v>0.78900000000000003</v>
      </c>
      <c r="I662">
        <v>3.4090000000000003</v>
      </c>
      <c r="J662">
        <v>0.95466666666666677</v>
      </c>
      <c r="L662">
        <v>0.28004302336951209</v>
      </c>
      <c r="M662">
        <f>+(L662-$L$913)/$L$914</f>
        <v>-0.34120506445467597</v>
      </c>
      <c r="N662">
        <f>+N659+M662</f>
        <v>31.04380598317422</v>
      </c>
    </row>
    <row r="663" spans="1:14">
      <c r="A663" s="7">
        <v>1</v>
      </c>
      <c r="B663" s="87">
        <v>43132</v>
      </c>
      <c r="C663" s="20">
        <v>2018</v>
      </c>
      <c r="D663" s="10" t="s">
        <v>26</v>
      </c>
      <c r="E663" s="11">
        <v>2</v>
      </c>
      <c r="F663" s="100">
        <v>7.0629999999999997</v>
      </c>
      <c r="G663" s="100">
        <v>2.5979999999999999</v>
      </c>
    </row>
    <row r="664" spans="1:14">
      <c r="A664" s="7">
        <v>17</v>
      </c>
      <c r="B664" s="87">
        <v>43132</v>
      </c>
      <c r="C664" s="20">
        <v>2018</v>
      </c>
      <c r="D664" s="10" t="s">
        <v>26</v>
      </c>
      <c r="E664" s="11">
        <v>2</v>
      </c>
      <c r="F664" s="100">
        <v>19.202999999999999</v>
      </c>
      <c r="G664" s="100">
        <v>7.3490000000000002</v>
      </c>
    </row>
    <row r="665" spans="1:14">
      <c r="A665" s="7">
        <v>18</v>
      </c>
      <c r="B665" s="87">
        <v>43132</v>
      </c>
      <c r="C665" s="20">
        <v>2018</v>
      </c>
      <c r="D665" s="10" t="s">
        <v>26</v>
      </c>
      <c r="E665" s="11">
        <v>2</v>
      </c>
      <c r="F665" s="100">
        <v>3.625</v>
      </c>
      <c r="G665" s="100">
        <v>1.0840000000000001</v>
      </c>
      <c r="I665">
        <v>9.9636666666666667</v>
      </c>
      <c r="J665">
        <v>3.6769999999999996</v>
      </c>
      <c r="L665">
        <v>0.36904084841591112</v>
      </c>
      <c r="M665">
        <f>+(L665-$L$913)/$L$914</f>
        <v>0.61964292303050439</v>
      </c>
      <c r="N665">
        <f>+N662+M665</f>
        <v>31.663448906204724</v>
      </c>
    </row>
    <row r="666" spans="1:14">
      <c r="A666" s="7">
        <v>1</v>
      </c>
      <c r="B666" s="87">
        <v>43160</v>
      </c>
      <c r="C666" s="20">
        <v>2018</v>
      </c>
      <c r="D666" s="10" t="s">
        <v>27</v>
      </c>
      <c r="E666" s="11">
        <v>3</v>
      </c>
      <c r="F666" s="100">
        <v>11.032</v>
      </c>
      <c r="G666" s="100">
        <v>3.6459999999999999</v>
      </c>
    </row>
    <row r="667" spans="1:14">
      <c r="A667" s="7">
        <v>17</v>
      </c>
      <c r="B667" s="87">
        <v>43160</v>
      </c>
      <c r="C667" s="20">
        <v>2018</v>
      </c>
      <c r="D667" s="10" t="s">
        <v>27</v>
      </c>
      <c r="E667" s="11">
        <v>3</v>
      </c>
      <c r="F667" s="100">
        <v>15.913</v>
      </c>
      <c r="G667" s="100">
        <v>5.6269999999999998</v>
      </c>
    </row>
    <row r="668" spans="1:14">
      <c r="A668" s="7">
        <v>18</v>
      </c>
      <c r="B668" s="87">
        <v>43160</v>
      </c>
      <c r="C668" s="20">
        <v>2018</v>
      </c>
      <c r="D668" s="10" t="s">
        <v>27</v>
      </c>
      <c r="E668" s="11">
        <v>3</v>
      </c>
      <c r="F668" s="100">
        <v>13.196999999999999</v>
      </c>
      <c r="G668" s="100">
        <v>4.6029999999999998</v>
      </c>
      <c r="I668">
        <v>13.380666666666665</v>
      </c>
      <c r="J668">
        <v>4.6253333333333329</v>
      </c>
      <c r="L668">
        <v>0.34567286134223507</v>
      </c>
      <c r="M668">
        <f>+(L668-$L$913)/$L$914</f>
        <v>0.36735492228873995</v>
      </c>
      <c r="N668">
        <f>+N665+M668</f>
        <v>32.030803828493461</v>
      </c>
    </row>
    <row r="669" spans="1:14">
      <c r="A669" s="7">
        <v>1</v>
      </c>
      <c r="B669" s="87">
        <v>43191</v>
      </c>
      <c r="C669" s="20">
        <v>2018</v>
      </c>
      <c r="D669" s="10" t="s">
        <v>28</v>
      </c>
      <c r="E669" s="11">
        <v>4</v>
      </c>
      <c r="F669" s="100">
        <v>1.7310000000000001</v>
      </c>
      <c r="G669" s="100">
        <v>0.38900000000000001</v>
      </c>
    </row>
    <row r="670" spans="1:14">
      <c r="A670" s="7">
        <v>17</v>
      </c>
      <c r="B670" s="87">
        <v>43191</v>
      </c>
      <c r="C670" s="20">
        <v>2018</v>
      </c>
      <c r="D670" s="10" t="s">
        <v>28</v>
      </c>
      <c r="E670" s="11">
        <v>4</v>
      </c>
      <c r="F670" s="101">
        <v>2.2810000000000001</v>
      </c>
      <c r="G670" s="101">
        <v>0.755</v>
      </c>
    </row>
    <row r="671" spans="1:14">
      <c r="A671" s="7">
        <v>18</v>
      </c>
      <c r="B671" s="87">
        <v>43191</v>
      </c>
      <c r="C671" s="20">
        <v>2018</v>
      </c>
      <c r="D671" s="10" t="s">
        <v>28</v>
      </c>
      <c r="E671" s="11">
        <v>4</v>
      </c>
      <c r="F671" s="101">
        <v>0.98299999999999998</v>
      </c>
      <c r="G671" s="101">
        <v>0.23599999999999999</v>
      </c>
      <c r="I671">
        <v>1.665</v>
      </c>
      <c r="J671">
        <v>0.46</v>
      </c>
      <c r="L671">
        <v>0.27627627627627627</v>
      </c>
      <c r="M671">
        <f>+(L671-$L$913)/$L$914</f>
        <v>-0.38187202864188374</v>
      </c>
      <c r="N671">
        <f>+N668+M671</f>
        <v>31.648931799851578</v>
      </c>
    </row>
    <row r="672" spans="1:14">
      <c r="A672" s="7">
        <v>1</v>
      </c>
      <c r="B672" s="87">
        <v>43221</v>
      </c>
      <c r="C672" s="20">
        <v>2018</v>
      </c>
      <c r="D672" s="10" t="s">
        <v>29</v>
      </c>
      <c r="E672" s="11">
        <v>5</v>
      </c>
      <c r="F672" s="101">
        <v>7.7859999999999996</v>
      </c>
      <c r="G672" s="101">
        <v>1.8660000000000001</v>
      </c>
    </row>
    <row r="673" spans="1:14">
      <c r="A673" s="7">
        <v>17</v>
      </c>
      <c r="B673" s="87">
        <v>43221</v>
      </c>
      <c r="C673" s="20">
        <v>2018</v>
      </c>
      <c r="D673" s="10" t="s">
        <v>29</v>
      </c>
      <c r="E673" s="11">
        <v>5</v>
      </c>
      <c r="F673" s="101">
        <v>7.8879999999999999</v>
      </c>
      <c r="G673" s="101">
        <v>1.1879999999999999</v>
      </c>
    </row>
    <row r="674" spans="1:14">
      <c r="A674" s="7">
        <v>18</v>
      </c>
      <c r="B674" s="87">
        <v>43221</v>
      </c>
      <c r="C674" s="20">
        <v>2018</v>
      </c>
      <c r="D674" s="10" t="s">
        <v>29</v>
      </c>
      <c r="E674" s="11">
        <v>5</v>
      </c>
      <c r="F674" s="101">
        <v>10.387</v>
      </c>
      <c r="G674" s="101">
        <v>2.6360000000000001</v>
      </c>
      <c r="I674">
        <v>8.6869999999999994</v>
      </c>
      <c r="J674">
        <v>1.8966666666666667</v>
      </c>
      <c r="L674">
        <v>0.21833390890602819</v>
      </c>
      <c r="M674">
        <f>+(L674-$L$913)/$L$914</f>
        <v>-1.0074357101004396</v>
      </c>
      <c r="N674">
        <f>+N671+M674</f>
        <v>30.64149608975114</v>
      </c>
    </row>
    <row r="675" spans="1:14">
      <c r="A675" s="7">
        <v>1</v>
      </c>
      <c r="B675" s="87">
        <v>43252</v>
      </c>
      <c r="C675" s="20">
        <v>2018</v>
      </c>
      <c r="D675" s="10" t="s">
        <v>30</v>
      </c>
      <c r="E675" s="11">
        <v>6</v>
      </c>
      <c r="F675" s="101">
        <v>14.132999999999999</v>
      </c>
      <c r="G675" s="101">
        <v>1.6</v>
      </c>
    </row>
    <row r="676" spans="1:14">
      <c r="A676" s="7">
        <v>17</v>
      </c>
      <c r="B676" s="87">
        <v>43252</v>
      </c>
      <c r="C676" s="20">
        <v>2018</v>
      </c>
      <c r="D676" s="10" t="s">
        <v>30</v>
      </c>
      <c r="E676" s="11">
        <v>6</v>
      </c>
      <c r="F676" s="101">
        <v>7.4669999999999996</v>
      </c>
      <c r="G676" s="101">
        <v>1.3520000000000001</v>
      </c>
    </row>
    <row r="677" spans="1:14">
      <c r="A677" s="7">
        <v>18</v>
      </c>
      <c r="B677" s="87">
        <v>43252</v>
      </c>
      <c r="C677" s="20">
        <v>2018</v>
      </c>
      <c r="D677" s="10" t="s">
        <v>30</v>
      </c>
      <c r="E677" s="11">
        <v>6</v>
      </c>
      <c r="F677" s="101">
        <v>4.8140000000000001</v>
      </c>
      <c r="G677" s="101">
        <v>0.76800000000000002</v>
      </c>
      <c r="I677">
        <v>8.804666666666666</v>
      </c>
      <c r="J677">
        <v>1.24</v>
      </c>
      <c r="L677">
        <v>0.14083440599681987</v>
      </c>
      <c r="M677">
        <f>+(L677-$L$913)/$L$914</f>
        <v>-1.8441442629509417</v>
      </c>
      <c r="N677">
        <f>+N674+M677</f>
        <v>28.797351826800199</v>
      </c>
    </row>
    <row r="678" spans="1:14">
      <c r="A678" s="7">
        <v>1</v>
      </c>
      <c r="B678" s="87">
        <v>43282</v>
      </c>
      <c r="C678" s="20">
        <v>2018</v>
      </c>
      <c r="D678" s="10" t="s">
        <v>31</v>
      </c>
      <c r="E678" s="11">
        <v>7</v>
      </c>
      <c r="F678" s="101">
        <v>24.436</v>
      </c>
      <c r="G678" s="101">
        <v>1.742</v>
      </c>
    </row>
    <row r="679" spans="1:14">
      <c r="A679" s="7">
        <v>17</v>
      </c>
      <c r="B679" s="87">
        <v>43282</v>
      </c>
      <c r="C679" s="20">
        <v>2018</v>
      </c>
      <c r="D679" s="10" t="s">
        <v>31</v>
      </c>
      <c r="E679" s="11">
        <v>7</v>
      </c>
      <c r="F679" s="101">
        <v>19.725000000000001</v>
      </c>
      <c r="G679" s="101">
        <v>1.5760000000000001</v>
      </c>
    </row>
    <row r="680" spans="1:14">
      <c r="A680" s="7">
        <v>18</v>
      </c>
      <c r="B680" s="87">
        <v>43282</v>
      </c>
      <c r="C680" s="20">
        <v>2018</v>
      </c>
      <c r="D680" s="10" t="s">
        <v>31</v>
      </c>
      <c r="E680" s="11">
        <v>7</v>
      </c>
      <c r="F680" s="101">
        <v>17.449000000000002</v>
      </c>
      <c r="G680" s="101">
        <v>1.3089999999999999</v>
      </c>
      <c r="I680">
        <v>20.536666666666665</v>
      </c>
      <c r="J680">
        <v>1.5423333333333333</v>
      </c>
      <c r="L680">
        <v>7.5101444570686585E-2</v>
      </c>
      <c r="M680">
        <f>+(L680-$L$913)/$L$914</f>
        <v>-2.5538176023253927</v>
      </c>
      <c r="N680">
        <f>+N677+M680</f>
        <v>26.243534224474807</v>
      </c>
    </row>
    <row r="681" spans="1:14">
      <c r="A681" s="7">
        <v>1</v>
      </c>
      <c r="B681" s="87">
        <v>43313</v>
      </c>
      <c r="C681" s="20">
        <v>2018</v>
      </c>
      <c r="D681" s="10" t="s">
        <v>32</v>
      </c>
      <c r="E681" s="11">
        <v>8</v>
      </c>
      <c r="F681" s="101">
        <v>7.9960000000000004</v>
      </c>
      <c r="G681" s="101">
        <v>1.2370000000000001</v>
      </c>
    </row>
    <row r="682" spans="1:14">
      <c r="A682" s="7">
        <v>17</v>
      </c>
      <c r="B682" s="87">
        <v>43313</v>
      </c>
      <c r="C682" s="20">
        <v>2018</v>
      </c>
      <c r="D682" s="10" t="s">
        <v>32</v>
      </c>
      <c r="E682" s="11">
        <v>8</v>
      </c>
      <c r="F682" s="101">
        <v>6.9889999999999999</v>
      </c>
      <c r="G682" s="101">
        <v>2.2589999999999999</v>
      </c>
    </row>
    <row r="683" spans="1:14">
      <c r="A683" s="7">
        <v>18</v>
      </c>
      <c r="B683" s="87">
        <v>43313</v>
      </c>
      <c r="C683" s="20">
        <v>2018</v>
      </c>
      <c r="D683" s="10" t="s">
        <v>32</v>
      </c>
      <c r="E683" s="11">
        <v>8</v>
      </c>
      <c r="F683" s="101">
        <v>8.8940000000000001</v>
      </c>
      <c r="G683" s="101">
        <v>1.7330000000000001</v>
      </c>
      <c r="I683">
        <v>7.9596666666666662</v>
      </c>
      <c r="J683">
        <v>1.7430000000000001</v>
      </c>
      <c r="L683">
        <v>0.21897901922191049</v>
      </c>
      <c r="M683">
        <f>+(L683-$L$913)/$L$914</f>
        <v>-1.0004709000233589</v>
      </c>
      <c r="N683">
        <f>+N680+M683</f>
        <v>25.243063324451448</v>
      </c>
    </row>
    <row r="684" spans="1:14">
      <c r="A684" s="7">
        <v>1</v>
      </c>
      <c r="B684" s="87">
        <v>43344</v>
      </c>
      <c r="C684" s="20">
        <v>2018</v>
      </c>
      <c r="D684" s="10" t="s">
        <v>38</v>
      </c>
      <c r="E684" s="11">
        <v>9</v>
      </c>
      <c r="F684" s="101">
        <v>3.6890000000000001</v>
      </c>
      <c r="G684" s="101">
        <v>0.64400000000000002</v>
      </c>
    </row>
    <row r="685" spans="1:14">
      <c r="A685" s="7">
        <v>17</v>
      </c>
      <c r="B685" s="87">
        <v>43344</v>
      </c>
      <c r="C685" s="20">
        <v>2018</v>
      </c>
      <c r="D685" s="10" t="s">
        <v>38</v>
      </c>
      <c r="E685" s="11">
        <v>9</v>
      </c>
      <c r="F685" s="101">
        <v>5.0949999999999998</v>
      </c>
      <c r="G685" s="101">
        <v>1.4370000000000001</v>
      </c>
    </row>
    <row r="686" spans="1:14">
      <c r="A686" s="7">
        <v>18</v>
      </c>
      <c r="B686" s="87">
        <v>43344</v>
      </c>
      <c r="C686" s="20">
        <v>2018</v>
      </c>
      <c r="D686" s="10" t="s">
        <v>38</v>
      </c>
      <c r="E686" s="11">
        <v>9</v>
      </c>
      <c r="F686" s="101">
        <v>10.029999999999999</v>
      </c>
      <c r="G686" s="101">
        <v>2.9060000000000001</v>
      </c>
      <c r="I686">
        <v>6.2713333333333336</v>
      </c>
      <c r="J686">
        <v>1.6623333333333334</v>
      </c>
      <c r="L686">
        <v>0.26506856596151801</v>
      </c>
      <c r="M686">
        <f>+(L686-$L$913)/$L$914</f>
        <v>-0.50287392834716305</v>
      </c>
      <c r="N686">
        <f>+N683+M686</f>
        <v>24.740189396104284</v>
      </c>
    </row>
    <row r="687" spans="1:14">
      <c r="A687" s="7">
        <v>1</v>
      </c>
      <c r="B687" s="87">
        <v>43374</v>
      </c>
      <c r="C687" s="20">
        <v>2018</v>
      </c>
      <c r="D687" s="10" t="s">
        <v>34</v>
      </c>
      <c r="E687" s="11">
        <v>10</v>
      </c>
      <c r="F687" s="101">
        <v>1.6359999999999999</v>
      </c>
      <c r="G687" s="101">
        <v>0.23200000000000001</v>
      </c>
    </row>
    <row r="688" spans="1:14">
      <c r="A688" s="7">
        <v>17</v>
      </c>
      <c r="B688" s="87">
        <v>43374</v>
      </c>
      <c r="C688" s="20">
        <v>2018</v>
      </c>
      <c r="D688" s="10" t="s">
        <v>34</v>
      </c>
      <c r="E688" s="11">
        <v>10</v>
      </c>
      <c r="F688" s="101">
        <v>3.3069999999999999</v>
      </c>
      <c r="G688" s="101">
        <v>0.88200000000000001</v>
      </c>
    </row>
    <row r="689" spans="1:14">
      <c r="A689" s="7">
        <v>18</v>
      </c>
      <c r="B689" s="87">
        <v>43374</v>
      </c>
      <c r="C689" s="20">
        <v>2018</v>
      </c>
      <c r="D689" s="10" t="s">
        <v>34</v>
      </c>
      <c r="E689" s="11">
        <v>10</v>
      </c>
      <c r="F689" s="101">
        <v>2.2839999999999998</v>
      </c>
      <c r="G689" s="101">
        <v>0.51900000000000002</v>
      </c>
      <c r="I689">
        <v>2.4089999999999998</v>
      </c>
      <c r="J689">
        <v>0.54433333333333334</v>
      </c>
      <c r="L689">
        <v>0.22595821225958215</v>
      </c>
      <c r="M689">
        <f>+(L689-$L$913)/$L$914</f>
        <v>-0.92512137793086657</v>
      </c>
      <c r="N689">
        <f>+N686+M689</f>
        <v>23.815068018173417</v>
      </c>
    </row>
    <row r="690" spans="1:14">
      <c r="A690" s="7">
        <v>1</v>
      </c>
      <c r="B690" s="87">
        <v>43405</v>
      </c>
      <c r="C690" s="20">
        <v>2018</v>
      </c>
      <c r="D690" s="10" t="s">
        <v>35</v>
      </c>
      <c r="E690" s="11">
        <v>11</v>
      </c>
      <c r="F690" s="101">
        <v>3.88</v>
      </c>
      <c r="G690" s="101">
        <v>1.0469999999999999</v>
      </c>
    </row>
    <row r="691" spans="1:14">
      <c r="A691" s="7">
        <v>17</v>
      </c>
      <c r="B691" s="87">
        <v>43405</v>
      </c>
      <c r="C691" s="20">
        <v>2018</v>
      </c>
      <c r="D691" s="10" t="s">
        <v>35</v>
      </c>
      <c r="E691" s="11">
        <v>11</v>
      </c>
      <c r="F691" s="101">
        <v>7.8689999999999998</v>
      </c>
      <c r="G691" s="101">
        <v>2.56</v>
      </c>
    </row>
    <row r="692" spans="1:14">
      <c r="A692" s="7">
        <v>18</v>
      </c>
      <c r="B692" s="87">
        <v>43405</v>
      </c>
      <c r="C692" s="20">
        <v>2018</v>
      </c>
      <c r="D692" s="10" t="s">
        <v>35</v>
      </c>
      <c r="E692" s="11">
        <v>11</v>
      </c>
      <c r="F692" s="101">
        <v>5.1040000000000001</v>
      </c>
      <c r="G692" s="101">
        <v>1.542</v>
      </c>
      <c r="I692">
        <v>5.6176666666666657</v>
      </c>
      <c r="J692">
        <v>1.7163333333333333</v>
      </c>
      <c r="L692">
        <v>0.30552423900789183</v>
      </c>
      <c r="M692">
        <f>+(L692-$L$913)/$L$914</f>
        <v>-6.6101995901612323E-2</v>
      </c>
      <c r="N692">
        <f>+N689+M692</f>
        <v>23.748966022271805</v>
      </c>
    </row>
    <row r="693" spans="1:14">
      <c r="A693" s="7">
        <v>1</v>
      </c>
      <c r="B693" s="88">
        <v>43435</v>
      </c>
      <c r="C693" s="20">
        <v>2018</v>
      </c>
      <c r="D693" s="10" t="s">
        <v>36</v>
      </c>
      <c r="E693" s="11">
        <v>12</v>
      </c>
      <c r="F693" s="101"/>
      <c r="G693" s="101"/>
    </row>
    <row r="694" spans="1:14">
      <c r="A694" s="7">
        <v>17</v>
      </c>
      <c r="B694" s="87">
        <v>43435</v>
      </c>
      <c r="C694" s="20">
        <v>2018</v>
      </c>
      <c r="D694" s="10" t="s">
        <v>36</v>
      </c>
      <c r="E694" s="11">
        <v>12</v>
      </c>
    </row>
    <row r="695" spans="1:14">
      <c r="A695" s="7">
        <v>18</v>
      </c>
      <c r="B695" s="87">
        <v>43435</v>
      </c>
      <c r="C695" s="20">
        <v>2018</v>
      </c>
      <c r="D695" s="10" t="s">
        <v>36</v>
      </c>
      <c r="E695" s="11">
        <v>12</v>
      </c>
    </row>
    <row r="696" spans="1:14">
      <c r="A696" s="7">
        <v>1</v>
      </c>
      <c r="B696" s="86">
        <v>43475</v>
      </c>
      <c r="C696" s="48">
        <v>2019</v>
      </c>
      <c r="D696" s="45" t="s">
        <v>37</v>
      </c>
      <c r="E696" s="9">
        <v>1</v>
      </c>
    </row>
    <row r="697" spans="1:14">
      <c r="A697" s="7">
        <v>17</v>
      </c>
      <c r="B697" s="86">
        <v>43470</v>
      </c>
      <c r="C697" s="20">
        <v>2019</v>
      </c>
      <c r="D697" s="10" t="s">
        <v>37</v>
      </c>
      <c r="E697" s="9">
        <v>1</v>
      </c>
    </row>
    <row r="698" spans="1:14">
      <c r="A698" s="7">
        <v>18</v>
      </c>
      <c r="B698" s="86">
        <v>43470</v>
      </c>
      <c r="C698" s="20">
        <v>2019</v>
      </c>
      <c r="D698" s="10" t="s">
        <v>37</v>
      </c>
      <c r="E698" s="9">
        <v>1</v>
      </c>
    </row>
    <row r="699" spans="1:14">
      <c r="A699" s="7">
        <v>1</v>
      </c>
      <c r="B699" s="87">
        <v>43497</v>
      </c>
      <c r="C699" s="20">
        <v>2019</v>
      </c>
      <c r="D699" s="10" t="s">
        <v>26</v>
      </c>
      <c r="E699" s="11">
        <v>2</v>
      </c>
    </row>
    <row r="700" spans="1:14">
      <c r="A700" s="7">
        <v>17</v>
      </c>
      <c r="B700" s="87">
        <v>43497</v>
      </c>
      <c r="C700" s="20">
        <v>2019</v>
      </c>
      <c r="D700" s="10" t="s">
        <v>26</v>
      </c>
      <c r="E700" s="11">
        <v>2</v>
      </c>
    </row>
    <row r="701" spans="1:14">
      <c r="A701" s="7">
        <v>18</v>
      </c>
      <c r="B701" s="87">
        <v>43497</v>
      </c>
      <c r="C701" s="20">
        <v>2019</v>
      </c>
      <c r="D701" s="10" t="s">
        <v>26</v>
      </c>
      <c r="E701" s="11">
        <v>2</v>
      </c>
    </row>
    <row r="702" spans="1:14">
      <c r="A702" s="7">
        <v>1</v>
      </c>
      <c r="B702" s="87">
        <v>43525</v>
      </c>
      <c r="C702" s="20">
        <v>2019</v>
      </c>
      <c r="D702" s="10" t="s">
        <v>27</v>
      </c>
      <c r="E702" s="11">
        <v>3</v>
      </c>
      <c r="F702" s="113">
        <v>3.4420000000000002</v>
      </c>
      <c r="G702" s="114">
        <v>0.90800000000000003</v>
      </c>
    </row>
    <row r="703" spans="1:14">
      <c r="A703" s="7">
        <v>17</v>
      </c>
      <c r="B703" s="87">
        <v>43525</v>
      </c>
      <c r="C703" s="20">
        <v>2019</v>
      </c>
      <c r="D703" s="10" t="s">
        <v>27</v>
      </c>
      <c r="E703" s="11">
        <v>3</v>
      </c>
      <c r="F703" s="113">
        <v>3.88</v>
      </c>
      <c r="G703" s="114">
        <v>1.1830000000000001</v>
      </c>
    </row>
    <row r="704" spans="1:14">
      <c r="A704" s="7">
        <v>18</v>
      </c>
      <c r="B704" s="87">
        <v>43525</v>
      </c>
      <c r="C704" s="20">
        <v>2019</v>
      </c>
      <c r="D704" s="10" t="s">
        <v>27</v>
      </c>
      <c r="E704" s="11">
        <v>3</v>
      </c>
      <c r="F704" s="113">
        <v>2.6160000000000001</v>
      </c>
      <c r="G704" s="114">
        <v>0.74199999999999999</v>
      </c>
      <c r="I704" s="50">
        <f>AVERAGE(F702:F704)</f>
        <v>3.3126666666666669</v>
      </c>
      <c r="J704" s="50">
        <f>AVERAGE(G702:G704)</f>
        <v>0.94433333333333336</v>
      </c>
      <c r="L704">
        <f>+J704/I704</f>
        <v>0.28506741799154761</v>
      </c>
      <c r="M704">
        <f>+(L704-$L$913)/$L$914</f>
        <v>-0.28696014938627645</v>
      </c>
      <c r="N704">
        <f>+N692+M704</f>
        <v>23.462005872885527</v>
      </c>
    </row>
    <row r="705" spans="1:14">
      <c r="A705" s="7">
        <v>1</v>
      </c>
      <c r="B705" s="87">
        <v>43556</v>
      </c>
      <c r="C705" s="20">
        <v>2019</v>
      </c>
      <c r="D705" s="10" t="s">
        <v>28</v>
      </c>
      <c r="E705" s="11">
        <v>4</v>
      </c>
      <c r="F705" s="105">
        <v>3.0710000000000002</v>
      </c>
      <c r="G705" s="114">
        <v>0.90500000000000003</v>
      </c>
    </row>
    <row r="706" spans="1:14">
      <c r="A706" s="7">
        <v>17</v>
      </c>
      <c r="B706" s="87">
        <v>43556</v>
      </c>
      <c r="C706" s="20">
        <v>2019</v>
      </c>
      <c r="D706" s="10" t="s">
        <v>28</v>
      </c>
      <c r="E706" s="11">
        <v>4</v>
      </c>
      <c r="F706" s="105">
        <v>2.8340000000000001</v>
      </c>
      <c r="G706" s="114">
        <v>0.95199999999999996</v>
      </c>
    </row>
    <row r="707" spans="1:14">
      <c r="A707" s="7">
        <v>18</v>
      </c>
      <c r="B707" s="87">
        <v>43556</v>
      </c>
      <c r="C707" s="20">
        <v>2019</v>
      </c>
      <c r="D707" s="10" t="s">
        <v>28</v>
      </c>
      <c r="E707" s="11">
        <v>4</v>
      </c>
      <c r="F707" s="105">
        <v>2.6230000000000002</v>
      </c>
      <c r="G707" s="114">
        <v>0.80800000000000005</v>
      </c>
      <c r="I707" s="50">
        <f>AVERAGE(F705:F707)</f>
        <v>2.8426666666666667</v>
      </c>
      <c r="J707" s="50">
        <f>AVERAGE(G705:G707)</f>
        <v>0.88833333333333331</v>
      </c>
      <c r="L707">
        <f>+J707/I707</f>
        <v>0.3125</v>
      </c>
      <c r="M707">
        <f>+(L707-$L$913)/$L$914</f>
        <v>9.210472767710056E-3</v>
      </c>
      <c r="N707">
        <f>+N704+M707</f>
        <v>23.471216345653236</v>
      </c>
    </row>
    <row r="708" spans="1:14">
      <c r="A708" s="7">
        <v>1</v>
      </c>
      <c r="B708" s="87">
        <v>43586</v>
      </c>
      <c r="C708" s="20">
        <v>2019</v>
      </c>
      <c r="D708" s="10" t="s">
        <v>29</v>
      </c>
      <c r="E708" s="11">
        <v>5</v>
      </c>
      <c r="F708" s="105">
        <v>5.8780000000000001</v>
      </c>
      <c r="G708" s="114">
        <v>0.80100000000000005</v>
      </c>
    </row>
    <row r="709" spans="1:14">
      <c r="A709" s="7">
        <v>17</v>
      </c>
      <c r="B709" s="87">
        <v>43586</v>
      </c>
      <c r="C709" s="20">
        <v>2019</v>
      </c>
      <c r="D709" s="10" t="s">
        <v>29</v>
      </c>
      <c r="E709" s="11">
        <v>5</v>
      </c>
      <c r="F709" s="105">
        <v>6.8109999999999999</v>
      </c>
      <c r="G709" s="114">
        <v>1.26</v>
      </c>
    </row>
    <row r="710" spans="1:14">
      <c r="A710" s="7">
        <v>18</v>
      </c>
      <c r="B710" s="87">
        <v>43586</v>
      </c>
      <c r="C710" s="20">
        <v>2019</v>
      </c>
      <c r="D710" s="10" t="s">
        <v>29</v>
      </c>
      <c r="E710" s="11">
        <v>5</v>
      </c>
      <c r="F710" s="105">
        <v>3.9129999999999998</v>
      </c>
      <c r="G710" s="116">
        <v>0.95799999999999996</v>
      </c>
      <c r="I710" s="50">
        <f>AVERAGE(F708:F710)</f>
        <v>5.5339999999999998</v>
      </c>
      <c r="J710" s="50">
        <f>AVERAGE(G708:G710)</f>
        <v>1.0063333333333333</v>
      </c>
      <c r="L710">
        <f>+J710/I710</f>
        <v>0.18184556077581016</v>
      </c>
      <c r="M710">
        <f>+(L710-$L$913)/$L$914</f>
        <v>-1.4013751782762094</v>
      </c>
      <c r="N710">
        <f>+N707+M710</f>
        <v>22.069841167377028</v>
      </c>
    </row>
    <row r="711" spans="1:14">
      <c r="A711" s="7">
        <v>1</v>
      </c>
      <c r="B711" s="87">
        <v>43617</v>
      </c>
      <c r="C711" s="20">
        <v>2019</v>
      </c>
      <c r="D711" s="10" t="s">
        <v>30</v>
      </c>
      <c r="E711" s="11">
        <v>6</v>
      </c>
      <c r="F711" s="105">
        <v>5.2069999999999999</v>
      </c>
      <c r="G711" s="116">
        <v>0.495</v>
      </c>
    </row>
    <row r="712" spans="1:14">
      <c r="A712" s="7">
        <v>17</v>
      </c>
      <c r="B712" s="87">
        <v>43617</v>
      </c>
      <c r="C712" s="20">
        <v>2019</v>
      </c>
      <c r="D712" s="10" t="s">
        <v>30</v>
      </c>
      <c r="E712" s="11">
        <v>6</v>
      </c>
      <c r="F712" s="107">
        <v>4.3520000000000003</v>
      </c>
      <c r="G712" s="101">
        <v>0.76200000000000001</v>
      </c>
    </row>
    <row r="713" spans="1:14">
      <c r="A713" s="7">
        <v>18</v>
      </c>
      <c r="B713" s="87">
        <v>43617</v>
      </c>
      <c r="C713" s="20">
        <v>2019</v>
      </c>
      <c r="D713" s="10" t="s">
        <v>30</v>
      </c>
      <c r="E713" s="11">
        <v>6</v>
      </c>
      <c r="F713" s="107">
        <v>6.5030000000000001</v>
      </c>
      <c r="G713" s="101">
        <v>0.77200000000000002</v>
      </c>
      <c r="I713" s="50">
        <f>AVERAGE(F711:F713)</f>
        <v>5.3540000000000001</v>
      </c>
      <c r="J713" s="50">
        <f>AVERAGE(G711:G713)</f>
        <v>0.67633333333333334</v>
      </c>
      <c r="L713">
        <f>+J713/I713</f>
        <v>0.12632299838127256</v>
      </c>
      <c r="M713">
        <f>+(L713-$L$913)/$L$914</f>
        <v>-2.0008138983685089</v>
      </c>
      <c r="N713">
        <f>+N710+M713</f>
        <v>20.069027269008519</v>
      </c>
    </row>
    <row r="714" spans="1:14">
      <c r="A714" s="7">
        <v>1</v>
      </c>
      <c r="B714" s="87">
        <v>43647</v>
      </c>
      <c r="C714" s="20">
        <v>2019</v>
      </c>
      <c r="D714" s="10" t="s">
        <v>31</v>
      </c>
      <c r="E714" s="11">
        <v>7</v>
      </c>
      <c r="F714" s="107">
        <v>1.7410000000000001</v>
      </c>
      <c r="G714" s="101">
        <v>0.28699999999999998</v>
      </c>
    </row>
    <row r="715" spans="1:14">
      <c r="A715" s="7">
        <v>17</v>
      </c>
      <c r="B715" s="87">
        <v>43647</v>
      </c>
      <c r="C715" s="20">
        <v>2019</v>
      </c>
      <c r="D715" s="10" t="s">
        <v>31</v>
      </c>
      <c r="E715" s="11">
        <v>7</v>
      </c>
      <c r="F715" s="107">
        <v>3.8460000000000001</v>
      </c>
      <c r="G715" s="101">
        <v>0.84299999999999997</v>
      </c>
    </row>
    <row r="716" spans="1:14">
      <c r="A716" s="7">
        <v>18</v>
      </c>
      <c r="B716" s="87">
        <v>43647</v>
      </c>
      <c r="C716" s="20">
        <v>2019</v>
      </c>
      <c r="D716" s="10" t="s">
        <v>31</v>
      </c>
      <c r="E716" s="11">
        <v>7</v>
      </c>
      <c r="F716" s="107">
        <v>3.38</v>
      </c>
      <c r="G716" s="101">
        <v>0.70899999999999996</v>
      </c>
      <c r="I716" s="50">
        <f>AVERAGE(F714:F716)</f>
        <v>2.9889999999999994</v>
      </c>
      <c r="J716" s="50">
        <f>AVERAGE(G714:G716)</f>
        <v>0.61299999999999999</v>
      </c>
      <c r="L716">
        <f>+J716/I716</f>
        <v>0.20508531281365008</v>
      </c>
      <c r="M716">
        <f>+(L716-$L$913)/$L$914</f>
        <v>-1.1504716425597867</v>
      </c>
      <c r="N716">
        <f>+N713+M716</f>
        <v>18.918555626448732</v>
      </c>
    </row>
    <row r="717" spans="1:14">
      <c r="A717" s="7">
        <v>1</v>
      </c>
      <c r="B717" s="87">
        <v>43678</v>
      </c>
      <c r="C717" s="20">
        <v>2019</v>
      </c>
      <c r="D717" s="10" t="s">
        <v>32</v>
      </c>
      <c r="E717" s="11">
        <v>8</v>
      </c>
    </row>
    <row r="718" spans="1:14">
      <c r="A718" s="7">
        <v>17</v>
      </c>
      <c r="B718" s="87">
        <v>43678</v>
      </c>
      <c r="C718" s="20">
        <v>2019</v>
      </c>
      <c r="D718" s="10" t="s">
        <v>32</v>
      </c>
      <c r="E718" s="11">
        <v>8</v>
      </c>
    </row>
    <row r="719" spans="1:14">
      <c r="A719" s="7">
        <v>18</v>
      </c>
      <c r="B719" s="87">
        <v>43678</v>
      </c>
      <c r="C719" s="20">
        <v>2019</v>
      </c>
      <c r="D719" s="10" t="s">
        <v>32</v>
      </c>
      <c r="E719" s="11">
        <v>8</v>
      </c>
      <c r="I719" s="50"/>
      <c r="J719" s="50"/>
    </row>
    <row r="720" spans="1:14">
      <c r="A720" s="7">
        <v>1</v>
      </c>
      <c r="B720" s="87">
        <v>43709</v>
      </c>
      <c r="C720" s="20">
        <v>2019</v>
      </c>
      <c r="D720" s="10" t="s">
        <v>38</v>
      </c>
      <c r="E720" s="11">
        <v>9</v>
      </c>
      <c r="F720" s="101">
        <v>4.3940000000000001</v>
      </c>
      <c r="G720" s="101">
        <v>0.88400000000000001</v>
      </c>
    </row>
    <row r="721" spans="1:14">
      <c r="A721" s="7">
        <v>17</v>
      </c>
      <c r="B721" s="87">
        <v>43709</v>
      </c>
      <c r="C721" s="20">
        <v>2019</v>
      </c>
      <c r="D721" s="10" t="s">
        <v>38</v>
      </c>
      <c r="E721" s="11">
        <v>9</v>
      </c>
      <c r="F721" s="101">
        <v>7.6769999999999996</v>
      </c>
      <c r="G721" s="101">
        <v>2.3039999999999998</v>
      </c>
    </row>
    <row r="722" spans="1:14">
      <c r="A722" s="7">
        <v>18</v>
      </c>
      <c r="B722" s="87">
        <v>43709</v>
      </c>
      <c r="C722" s="20">
        <v>2019</v>
      </c>
      <c r="D722" s="10" t="s">
        <v>38</v>
      </c>
      <c r="E722" s="11">
        <v>9</v>
      </c>
      <c r="F722" s="101">
        <v>4.37</v>
      </c>
      <c r="G722" s="101">
        <v>1.0580000000000001</v>
      </c>
      <c r="I722" s="50">
        <f>AVERAGE(F720:F722)</f>
        <v>5.4803333333333333</v>
      </c>
      <c r="J722" s="50">
        <f>AVERAGE(G720:G722)</f>
        <v>1.4153333333333331</v>
      </c>
      <c r="L722">
        <f>+J722/I722</f>
        <v>0.2582567970318107</v>
      </c>
      <c r="M722">
        <f>+(L722-$L$913)/$L$914</f>
        <v>-0.57641588809630373</v>
      </c>
      <c r="N722">
        <f>+N716+M722</f>
        <v>18.342139738352429</v>
      </c>
    </row>
    <row r="723" spans="1:14">
      <c r="A723" s="7">
        <v>1</v>
      </c>
      <c r="B723" s="87">
        <v>43739</v>
      </c>
      <c r="C723" s="20">
        <v>2019</v>
      </c>
      <c r="D723" s="10" t="s">
        <v>34</v>
      </c>
      <c r="E723" s="11">
        <v>10</v>
      </c>
      <c r="F723" s="101">
        <v>1.605</v>
      </c>
      <c r="G723" s="101">
        <v>0.29399999999999998</v>
      </c>
    </row>
    <row r="724" spans="1:14">
      <c r="A724" s="7">
        <v>17</v>
      </c>
      <c r="B724" s="87">
        <v>43739</v>
      </c>
      <c r="C724" s="20">
        <v>2019</v>
      </c>
      <c r="D724" s="10" t="s">
        <v>34</v>
      </c>
      <c r="E724" s="11">
        <v>10</v>
      </c>
      <c r="F724" s="101">
        <v>2.254</v>
      </c>
      <c r="G724" s="101">
        <v>0.61</v>
      </c>
    </row>
    <row r="725" spans="1:14">
      <c r="A725" s="7">
        <v>18</v>
      </c>
      <c r="B725" s="87">
        <v>43739</v>
      </c>
      <c r="C725" s="20">
        <v>2019</v>
      </c>
      <c r="D725" s="10" t="s">
        <v>34</v>
      </c>
      <c r="E725" s="11">
        <v>10</v>
      </c>
      <c r="F725" s="101">
        <v>2.4710000000000001</v>
      </c>
      <c r="G725" s="101">
        <v>0.72599999999999998</v>
      </c>
      <c r="I725" s="50">
        <f>AVERAGE(F723:F725)</f>
        <v>2.11</v>
      </c>
      <c r="J725" s="50">
        <f>AVERAGE(G723:G725)</f>
        <v>0.54333333333333333</v>
      </c>
      <c r="L725">
        <f>+J725/I725</f>
        <v>0.25750394944707744</v>
      </c>
      <c r="M725">
        <f>+(L725-$L$913)/$L$914</f>
        <v>-0.58454386297992489</v>
      </c>
      <c r="N725">
        <f>+N722+M725</f>
        <v>17.757595875372505</v>
      </c>
    </row>
    <row r="726" spans="1:14">
      <c r="A726" s="7">
        <v>1</v>
      </c>
      <c r="B726" s="87">
        <v>43770</v>
      </c>
      <c r="C726" s="20">
        <v>2019</v>
      </c>
      <c r="D726" s="10" t="s">
        <v>35</v>
      </c>
      <c r="E726" s="11">
        <v>11</v>
      </c>
    </row>
    <row r="727" spans="1:14">
      <c r="A727" s="7">
        <v>17</v>
      </c>
      <c r="B727" s="87">
        <v>43770</v>
      </c>
      <c r="C727" s="20">
        <v>2019</v>
      </c>
      <c r="D727" s="10" t="s">
        <v>35</v>
      </c>
      <c r="E727" s="11">
        <v>11</v>
      </c>
    </row>
    <row r="728" spans="1:14">
      <c r="A728" s="7">
        <v>18</v>
      </c>
      <c r="B728" s="87">
        <v>43770</v>
      </c>
      <c r="C728" s="20">
        <v>2019</v>
      </c>
      <c r="D728" s="10" t="s">
        <v>35</v>
      </c>
      <c r="E728" s="11">
        <v>11</v>
      </c>
      <c r="I728" s="50"/>
      <c r="J728" s="50"/>
    </row>
    <row r="729" spans="1:14">
      <c r="A729" s="7">
        <v>1</v>
      </c>
      <c r="B729" s="88">
        <v>43800</v>
      </c>
      <c r="C729" s="20">
        <v>2019</v>
      </c>
      <c r="D729" s="10" t="s">
        <v>36</v>
      </c>
      <c r="E729" s="11">
        <v>12</v>
      </c>
      <c r="F729" s="101">
        <v>1.0720000000000001</v>
      </c>
      <c r="G729" s="101">
        <v>0.29399999999999998</v>
      </c>
    </row>
    <row r="730" spans="1:14">
      <c r="A730" s="7">
        <v>17</v>
      </c>
      <c r="B730" s="87">
        <v>43800</v>
      </c>
      <c r="C730" s="20">
        <v>2019</v>
      </c>
      <c r="D730" s="10" t="s">
        <v>36</v>
      </c>
      <c r="E730" s="11">
        <v>12</v>
      </c>
      <c r="F730" s="101">
        <v>1.008</v>
      </c>
      <c r="G730" s="101">
        <v>0.27500000000000002</v>
      </c>
    </row>
    <row r="731" spans="1:14">
      <c r="A731" s="7">
        <v>18</v>
      </c>
      <c r="B731" s="87">
        <v>43800</v>
      </c>
      <c r="C731" s="20">
        <v>2019</v>
      </c>
      <c r="D731" s="10" t="s">
        <v>36</v>
      </c>
      <c r="E731" s="11">
        <v>12</v>
      </c>
      <c r="F731" s="101">
        <v>0.77</v>
      </c>
      <c r="G731" s="101">
        <v>0.20100000000000001</v>
      </c>
      <c r="I731" s="50">
        <f>AVERAGE(F729:F731)</f>
        <v>0.95000000000000007</v>
      </c>
      <c r="J731" s="50">
        <f>AVERAGE(G729:G731)</f>
        <v>0.25666666666666665</v>
      </c>
      <c r="L731">
        <f>+J731/I731</f>
        <v>0.27017543859649118</v>
      </c>
      <c r="M731">
        <f>+(L731-$L$913)/$L$914</f>
        <v>-0.44773855519507894</v>
      </c>
      <c r="N731">
        <f>+N725+M731</f>
        <v>17.309857320177425</v>
      </c>
    </row>
    <row r="732" spans="1:14">
      <c r="A732" s="120">
        <v>1</v>
      </c>
      <c r="B732" s="126">
        <v>43840</v>
      </c>
      <c r="C732" s="48">
        <v>2020</v>
      </c>
      <c r="D732" s="45" t="s">
        <v>37</v>
      </c>
      <c r="E732" s="43">
        <v>1</v>
      </c>
    </row>
    <row r="733" spans="1:14">
      <c r="A733" s="7">
        <v>17</v>
      </c>
      <c r="B733" s="89">
        <v>43835</v>
      </c>
      <c r="C733">
        <v>2020</v>
      </c>
      <c r="D733" s="10" t="s">
        <v>37</v>
      </c>
      <c r="E733" s="20">
        <v>1</v>
      </c>
    </row>
    <row r="734" spans="1:14">
      <c r="A734" s="7">
        <v>18</v>
      </c>
      <c r="B734" s="89">
        <v>43835</v>
      </c>
      <c r="C734">
        <v>2020</v>
      </c>
      <c r="D734" s="10" t="s">
        <v>37</v>
      </c>
      <c r="E734" s="20">
        <v>1</v>
      </c>
    </row>
    <row r="735" spans="1:14">
      <c r="A735" s="7">
        <v>1</v>
      </c>
      <c r="B735" s="87">
        <v>43862</v>
      </c>
      <c r="C735">
        <v>2020</v>
      </c>
      <c r="D735" s="10" t="s">
        <v>26</v>
      </c>
      <c r="E735" s="20">
        <v>2</v>
      </c>
      <c r="F735" s="119">
        <v>3.0129999999999999</v>
      </c>
      <c r="G735" s="119">
        <v>0.52300000000000002</v>
      </c>
    </row>
    <row r="736" spans="1:14">
      <c r="A736" s="7">
        <v>17</v>
      </c>
      <c r="B736" s="87">
        <v>43862</v>
      </c>
      <c r="C736">
        <v>2020</v>
      </c>
      <c r="D736" s="10" t="s">
        <v>26</v>
      </c>
      <c r="E736" s="20">
        <v>2</v>
      </c>
      <c r="F736" s="119">
        <v>4.5599999999999996</v>
      </c>
      <c r="G736" s="119">
        <v>0.98799999999999999</v>
      </c>
    </row>
    <row r="737" spans="1:14">
      <c r="A737" s="7">
        <v>18</v>
      </c>
      <c r="B737" s="87">
        <v>43862</v>
      </c>
      <c r="C737">
        <v>2020</v>
      </c>
      <c r="D737" s="10" t="s">
        <v>26</v>
      </c>
      <c r="E737" s="20">
        <v>2</v>
      </c>
      <c r="F737" s="119">
        <v>2.5190000000000001</v>
      </c>
      <c r="G737" s="119">
        <v>0.57599999999999996</v>
      </c>
      <c r="I737" s="50">
        <f>AVERAGE(F735:F737)</f>
        <v>3.3639999999999994</v>
      </c>
      <c r="J737" s="50">
        <f>AVERAGE(G735:G737)</f>
        <v>0.69566666666666677</v>
      </c>
      <c r="L737">
        <f>+J737/I737</f>
        <v>0.20679746333729693</v>
      </c>
      <c r="M737">
        <f>+(L737-$L$913)/$L$914</f>
        <v>-1.1319867370684438</v>
      </c>
      <c r="N737">
        <f>+N731+M737</f>
        <v>16.17787058310898</v>
      </c>
    </row>
    <row r="738" spans="1:14">
      <c r="A738" s="7">
        <v>1</v>
      </c>
      <c r="B738" s="87">
        <v>43891</v>
      </c>
      <c r="C738">
        <v>2020</v>
      </c>
      <c r="D738" s="10" t="s">
        <v>27</v>
      </c>
      <c r="E738" s="20">
        <v>3</v>
      </c>
    </row>
    <row r="739" spans="1:14">
      <c r="A739" s="7">
        <v>17</v>
      </c>
      <c r="B739" s="87">
        <v>43891</v>
      </c>
      <c r="C739">
        <v>2020</v>
      </c>
      <c r="D739" s="10" t="s">
        <v>27</v>
      </c>
      <c r="E739" s="20">
        <v>3</v>
      </c>
    </row>
    <row r="740" spans="1:14">
      <c r="A740" s="7">
        <v>18</v>
      </c>
      <c r="B740" s="87">
        <v>43891</v>
      </c>
      <c r="C740">
        <v>2020</v>
      </c>
      <c r="D740" s="10" t="s">
        <v>27</v>
      </c>
      <c r="E740" s="20">
        <v>3</v>
      </c>
    </row>
    <row r="741" spans="1:14">
      <c r="A741" s="7">
        <v>1</v>
      </c>
      <c r="B741" s="87">
        <v>43922</v>
      </c>
      <c r="C741">
        <v>2020</v>
      </c>
      <c r="D741" s="10" t="s">
        <v>28</v>
      </c>
      <c r="E741" s="20">
        <v>4</v>
      </c>
    </row>
    <row r="742" spans="1:14">
      <c r="A742" s="7">
        <v>17</v>
      </c>
      <c r="B742" s="87">
        <v>43922</v>
      </c>
      <c r="C742">
        <v>2020</v>
      </c>
      <c r="D742" s="10" t="s">
        <v>28</v>
      </c>
      <c r="E742" s="20">
        <v>4</v>
      </c>
    </row>
    <row r="743" spans="1:14">
      <c r="A743" s="7">
        <v>18</v>
      </c>
      <c r="B743" s="87">
        <v>43922</v>
      </c>
      <c r="C743">
        <v>2020</v>
      </c>
      <c r="D743" s="10" t="s">
        <v>28</v>
      </c>
      <c r="E743" s="20">
        <v>4</v>
      </c>
    </row>
    <row r="744" spans="1:14">
      <c r="A744" s="7">
        <v>1</v>
      </c>
      <c r="B744" s="87">
        <v>43952</v>
      </c>
      <c r="C744">
        <v>2020</v>
      </c>
      <c r="D744" s="10" t="s">
        <v>29</v>
      </c>
      <c r="E744" s="20">
        <v>5</v>
      </c>
    </row>
    <row r="745" spans="1:14">
      <c r="A745" s="7">
        <v>17</v>
      </c>
      <c r="B745" s="87">
        <v>43952</v>
      </c>
      <c r="C745">
        <v>2020</v>
      </c>
      <c r="D745" s="10" t="s">
        <v>29</v>
      </c>
      <c r="E745" s="20">
        <v>5</v>
      </c>
    </row>
    <row r="746" spans="1:14">
      <c r="A746" s="7">
        <v>18</v>
      </c>
      <c r="B746" s="87">
        <v>43952</v>
      </c>
      <c r="C746">
        <v>2020</v>
      </c>
      <c r="D746" s="10" t="s">
        <v>29</v>
      </c>
      <c r="E746" s="20">
        <v>5</v>
      </c>
    </row>
    <row r="747" spans="1:14">
      <c r="A747" s="7">
        <v>1</v>
      </c>
      <c r="B747" s="87">
        <v>43983</v>
      </c>
      <c r="C747">
        <v>2020</v>
      </c>
      <c r="D747" s="10" t="s">
        <v>30</v>
      </c>
      <c r="E747" s="20">
        <v>6</v>
      </c>
      <c r="F747" s="119">
        <v>4.1429999999999998</v>
      </c>
      <c r="G747" s="119">
        <v>1.024</v>
      </c>
    </row>
    <row r="748" spans="1:14">
      <c r="A748" s="7">
        <v>17</v>
      </c>
      <c r="B748" s="87">
        <v>43983</v>
      </c>
      <c r="C748">
        <v>2020</v>
      </c>
      <c r="D748" s="10" t="s">
        <v>30</v>
      </c>
      <c r="E748" s="20">
        <v>6</v>
      </c>
      <c r="F748" s="119">
        <v>4.7350000000000003</v>
      </c>
      <c r="G748" s="119">
        <v>1.2569999999999999</v>
      </c>
    </row>
    <row r="749" spans="1:14">
      <c r="A749" s="7">
        <v>18</v>
      </c>
      <c r="B749" s="87">
        <v>43983</v>
      </c>
      <c r="C749">
        <v>2020</v>
      </c>
      <c r="D749" s="10" t="s">
        <v>30</v>
      </c>
      <c r="E749" s="20">
        <v>6</v>
      </c>
      <c r="F749" s="122">
        <v>4.9610000000000003</v>
      </c>
      <c r="G749" s="122">
        <v>1.1830000000000001</v>
      </c>
      <c r="H749" s="121" t="s">
        <v>92</v>
      </c>
      <c r="I749" s="50">
        <f>AVERAGE(F747:F749)</f>
        <v>4.6130000000000004</v>
      </c>
      <c r="J749" s="50">
        <f>AVERAGE(G747:G749)</f>
        <v>1.1546666666666665</v>
      </c>
      <c r="L749">
        <f>+J749/I749</f>
        <v>0.25030710311438681</v>
      </c>
      <c r="M749">
        <f>+(L749-$L$913)/$L$914</f>
        <v>-0.66224323722194389</v>
      </c>
      <c r="N749">
        <f>+N737+M749</f>
        <v>15.515627345887037</v>
      </c>
    </row>
    <row r="750" spans="1:14">
      <c r="A750" s="7">
        <v>1</v>
      </c>
      <c r="B750" s="87">
        <v>44013</v>
      </c>
      <c r="C750">
        <v>2020</v>
      </c>
      <c r="D750" s="10" t="s">
        <v>31</v>
      </c>
      <c r="E750" s="20">
        <v>7</v>
      </c>
      <c r="F750" s="119">
        <v>3.556</v>
      </c>
      <c r="G750" s="119">
        <v>0.54400000000000004</v>
      </c>
    </row>
    <row r="751" spans="1:14">
      <c r="A751" s="7">
        <v>17</v>
      </c>
      <c r="B751" s="87">
        <v>44013</v>
      </c>
      <c r="C751">
        <v>2020</v>
      </c>
      <c r="D751" s="10" t="s">
        <v>31</v>
      </c>
      <c r="E751" s="20">
        <v>7</v>
      </c>
      <c r="F751" s="119">
        <v>6.7679999999999998</v>
      </c>
      <c r="G751" s="119">
        <v>1.821</v>
      </c>
    </row>
    <row r="752" spans="1:14">
      <c r="A752" s="7">
        <v>18</v>
      </c>
      <c r="B752" s="87">
        <v>44013</v>
      </c>
      <c r="C752">
        <v>2020</v>
      </c>
      <c r="D752" s="10" t="s">
        <v>31</v>
      </c>
      <c r="E752" s="20">
        <v>7</v>
      </c>
      <c r="F752" s="119">
        <v>7.6539999999999999</v>
      </c>
      <c r="G752" s="119">
        <v>1.395</v>
      </c>
      <c r="I752" s="50">
        <f t="shared" ref="I752:J752" si="0">AVERAGE(F750:F752)</f>
        <v>5.9926666666666675</v>
      </c>
      <c r="J752" s="50">
        <f t="shared" si="0"/>
        <v>1.2533333333333334</v>
      </c>
      <c r="L752">
        <f t="shared" ref="L752" si="1">+J752/I752</f>
        <v>0.20914450995661363</v>
      </c>
      <c r="M752">
        <f t="shared" ref="M752" si="2">+(L752-$L$913)/$L$914</f>
        <v>-1.1066472973739498</v>
      </c>
      <c r="N752">
        <f>+N749+M752</f>
        <v>14.408980048513087</v>
      </c>
    </row>
    <row r="753" spans="1:14">
      <c r="A753" s="7">
        <v>1</v>
      </c>
      <c r="B753" s="87">
        <v>44044</v>
      </c>
      <c r="C753">
        <v>2020</v>
      </c>
      <c r="D753" s="10" t="s">
        <v>32</v>
      </c>
      <c r="E753" s="20">
        <v>8</v>
      </c>
      <c r="F753" s="119">
        <v>6.8250000000000002</v>
      </c>
      <c r="G753" s="119">
        <v>1.92</v>
      </c>
    </row>
    <row r="754" spans="1:14">
      <c r="A754" s="7">
        <v>17</v>
      </c>
      <c r="B754" s="87">
        <v>44044</v>
      </c>
      <c r="C754">
        <v>2020</v>
      </c>
      <c r="D754" s="10" t="s">
        <v>32</v>
      </c>
      <c r="E754" s="20">
        <v>8</v>
      </c>
      <c r="F754" s="119">
        <v>6.4219999999999997</v>
      </c>
      <c r="G754" s="119">
        <v>1.9650000000000001</v>
      </c>
    </row>
    <row r="755" spans="1:14">
      <c r="A755" s="7">
        <v>18</v>
      </c>
      <c r="B755" s="87">
        <v>44044</v>
      </c>
      <c r="C755">
        <v>2020</v>
      </c>
      <c r="D755" s="10" t="s">
        <v>32</v>
      </c>
      <c r="E755" s="20">
        <v>8</v>
      </c>
      <c r="F755" s="119">
        <v>6.14</v>
      </c>
      <c r="G755" s="119">
        <v>1.478</v>
      </c>
      <c r="I755" s="50">
        <f t="shared" ref="I755:J755" si="3">AVERAGE(F753:F755)</f>
        <v>6.4623333333333335</v>
      </c>
      <c r="J755" s="50">
        <f t="shared" si="3"/>
        <v>1.7876666666666665</v>
      </c>
      <c r="L755">
        <f t="shared" ref="L755" si="4">+J755/I755</f>
        <v>0.27662866869551761</v>
      </c>
      <c r="M755">
        <f t="shared" ref="M755" si="5">+(L755-$L$913)/$L$914</f>
        <v>-0.37806749132137563</v>
      </c>
      <c r="N755">
        <f>+N752+M755</f>
        <v>14.03091255719171</v>
      </c>
    </row>
    <row r="756" spans="1:14">
      <c r="A756" s="7">
        <v>1</v>
      </c>
      <c r="B756" s="87">
        <v>44075</v>
      </c>
      <c r="C756">
        <v>2020</v>
      </c>
      <c r="D756" s="10" t="s">
        <v>38</v>
      </c>
      <c r="E756" s="20">
        <v>9</v>
      </c>
      <c r="F756" s="119">
        <v>8.0709999999999997</v>
      </c>
      <c r="G756" s="119">
        <v>1.7729999999999999</v>
      </c>
    </row>
    <row r="757" spans="1:14">
      <c r="A757" s="7">
        <v>17</v>
      </c>
      <c r="B757" s="87">
        <v>44075</v>
      </c>
      <c r="C757">
        <v>2020</v>
      </c>
      <c r="D757" s="10" t="s">
        <v>38</v>
      </c>
      <c r="E757" s="20">
        <v>9</v>
      </c>
      <c r="F757" s="119">
        <v>8.1790000000000003</v>
      </c>
      <c r="G757" s="119">
        <v>2.59</v>
      </c>
    </row>
    <row r="758" spans="1:14">
      <c r="A758" s="7">
        <v>18</v>
      </c>
      <c r="B758" s="87">
        <v>44075</v>
      </c>
      <c r="C758">
        <v>2020</v>
      </c>
      <c r="D758" s="10" t="s">
        <v>38</v>
      </c>
      <c r="E758" s="20">
        <v>9</v>
      </c>
      <c r="F758" s="119">
        <v>7.8460000000000001</v>
      </c>
      <c r="G758" s="119">
        <v>2.573</v>
      </c>
      <c r="I758" s="50">
        <f t="shared" ref="I758:J758" si="6">AVERAGE(F756:F758)</f>
        <v>8.032</v>
      </c>
      <c r="J758" s="50">
        <f t="shared" si="6"/>
        <v>2.3119999999999998</v>
      </c>
      <c r="L758">
        <f t="shared" ref="L758" si="7">+J758/I758</f>
        <v>0.28784860557768921</v>
      </c>
      <c r="M758">
        <f t="shared" ref="M758" si="8">+(L758-$L$913)/$L$914</f>
        <v>-0.25693358982069475</v>
      </c>
      <c r="N758">
        <f>+N755+M758</f>
        <v>13.773978967371015</v>
      </c>
    </row>
    <row r="759" spans="1:14">
      <c r="A759" s="7">
        <v>1</v>
      </c>
      <c r="B759" s="87">
        <v>44105</v>
      </c>
      <c r="C759">
        <v>2020</v>
      </c>
      <c r="D759" s="10" t="s">
        <v>34</v>
      </c>
      <c r="E759" s="20">
        <v>10</v>
      </c>
      <c r="F759" s="119">
        <v>4.915</v>
      </c>
      <c r="G759" s="119">
        <v>1.0469999999999999</v>
      </c>
    </row>
    <row r="760" spans="1:14">
      <c r="A760" s="7">
        <v>17</v>
      </c>
      <c r="B760" s="87">
        <v>44105</v>
      </c>
      <c r="C760">
        <v>2020</v>
      </c>
      <c r="D760" s="10" t="s">
        <v>34</v>
      </c>
      <c r="E760" s="20">
        <v>10</v>
      </c>
      <c r="F760" s="119">
        <v>1.9590000000000001</v>
      </c>
      <c r="G760" s="119">
        <v>0.41399999999999998</v>
      </c>
    </row>
    <row r="761" spans="1:14">
      <c r="A761" s="7">
        <v>18</v>
      </c>
      <c r="B761" s="87">
        <v>44105</v>
      </c>
      <c r="C761">
        <v>2020</v>
      </c>
      <c r="D761" s="10" t="s">
        <v>34</v>
      </c>
      <c r="E761" s="20">
        <v>10</v>
      </c>
      <c r="F761" s="119">
        <v>1.0349999999999999</v>
      </c>
      <c r="G761" s="119">
        <v>0.217</v>
      </c>
      <c r="I761" s="50">
        <f t="shared" ref="I761:J761" si="9">AVERAGE(F759:F761)</f>
        <v>2.6363333333333334</v>
      </c>
      <c r="J761" s="50">
        <f t="shared" si="9"/>
        <v>0.55933333333333335</v>
      </c>
      <c r="L761">
        <f t="shared" ref="L761" si="10">+J761/I761</f>
        <v>0.21216335819951954</v>
      </c>
      <c r="M761">
        <f t="shared" ref="M761" si="11">+(L761-$L$913)/$L$914</f>
        <v>-1.0740548800063674</v>
      </c>
      <c r="N761">
        <f>+N758+M761</f>
        <v>12.699924087364648</v>
      </c>
    </row>
    <row r="762" spans="1:14">
      <c r="A762" s="7">
        <v>1</v>
      </c>
      <c r="B762" s="87">
        <v>44136</v>
      </c>
      <c r="C762">
        <v>2020</v>
      </c>
      <c r="D762" s="10" t="s">
        <v>35</v>
      </c>
      <c r="E762" s="20">
        <v>11</v>
      </c>
      <c r="F762" s="124">
        <v>1.3220000000000001</v>
      </c>
      <c r="G762" s="124">
        <v>0.17199999999999999</v>
      </c>
      <c r="H762" s="123" t="s">
        <v>92</v>
      </c>
    </row>
    <row r="763" spans="1:14">
      <c r="A763" s="7">
        <v>17</v>
      </c>
      <c r="B763" s="87">
        <v>44136</v>
      </c>
      <c r="C763">
        <v>2020</v>
      </c>
      <c r="D763" s="10" t="s">
        <v>35</v>
      </c>
      <c r="E763" s="20">
        <v>11</v>
      </c>
      <c r="F763" s="119">
        <v>1.0820000000000001</v>
      </c>
      <c r="G763" s="119">
        <v>0.17299999999999999</v>
      </c>
    </row>
    <row r="764" spans="1:14">
      <c r="A764" s="7">
        <v>18</v>
      </c>
      <c r="B764" s="87">
        <v>44136</v>
      </c>
      <c r="C764">
        <v>2020</v>
      </c>
      <c r="D764" s="10" t="s">
        <v>35</v>
      </c>
      <c r="E764" s="20">
        <v>11</v>
      </c>
      <c r="F764" s="119">
        <v>1.601</v>
      </c>
      <c r="G764" s="119">
        <v>0.24099999999999999</v>
      </c>
      <c r="I764" s="50">
        <f t="shared" ref="I764:J764" si="12">AVERAGE(F762:F764)</f>
        <v>1.335</v>
      </c>
      <c r="J764" s="50">
        <f t="shared" si="12"/>
        <v>0.19533333333333333</v>
      </c>
      <c r="L764">
        <f t="shared" ref="L764" si="13">+J764/I764</f>
        <v>0.1463171036204744</v>
      </c>
      <c r="M764">
        <f t="shared" ref="M764" si="14">+(L764-$L$913)/$L$914</f>
        <v>-1.7849513672264479</v>
      </c>
      <c r="N764">
        <f>+N761+M764</f>
        <v>10.9149727201382</v>
      </c>
    </row>
    <row r="765" spans="1:14">
      <c r="A765" s="7">
        <v>1</v>
      </c>
      <c r="B765" s="88">
        <v>44166</v>
      </c>
      <c r="C765">
        <v>2020</v>
      </c>
      <c r="D765" s="10" t="s">
        <v>36</v>
      </c>
      <c r="E765" s="20">
        <v>12</v>
      </c>
    </row>
    <row r="766" spans="1:14">
      <c r="A766" s="7">
        <v>17</v>
      </c>
      <c r="B766" s="87">
        <v>44166</v>
      </c>
      <c r="C766">
        <v>2020</v>
      </c>
      <c r="D766" s="10" t="s">
        <v>36</v>
      </c>
      <c r="E766" s="20">
        <v>12</v>
      </c>
    </row>
    <row r="767" spans="1:14">
      <c r="A767" s="7">
        <v>18</v>
      </c>
      <c r="B767" s="87">
        <v>44166</v>
      </c>
      <c r="C767">
        <v>2020</v>
      </c>
      <c r="D767" s="10" t="s">
        <v>36</v>
      </c>
      <c r="E767" s="20">
        <v>12</v>
      </c>
    </row>
    <row r="768" spans="1:14">
      <c r="A768" s="120">
        <v>1</v>
      </c>
      <c r="B768" s="126">
        <v>44206</v>
      </c>
      <c r="C768" s="48">
        <v>2021</v>
      </c>
      <c r="D768" s="45" t="s">
        <v>37</v>
      </c>
      <c r="E768" s="43">
        <v>1</v>
      </c>
    </row>
    <row r="769" spans="1:14">
      <c r="A769" s="7">
        <v>17</v>
      </c>
      <c r="B769" s="89">
        <v>44201</v>
      </c>
      <c r="C769">
        <v>2021</v>
      </c>
      <c r="D769" s="10" t="s">
        <v>37</v>
      </c>
      <c r="E769" s="20">
        <v>1</v>
      </c>
    </row>
    <row r="770" spans="1:14">
      <c r="A770" s="7">
        <v>18</v>
      </c>
      <c r="B770" s="89">
        <v>44201</v>
      </c>
      <c r="C770">
        <v>2021</v>
      </c>
      <c r="D770" s="10" t="s">
        <v>37</v>
      </c>
      <c r="E770" s="20">
        <v>1</v>
      </c>
    </row>
    <row r="771" spans="1:14">
      <c r="A771" s="7">
        <v>1</v>
      </c>
      <c r="B771" s="87">
        <v>44228</v>
      </c>
      <c r="C771">
        <v>2021</v>
      </c>
      <c r="D771" s="10" t="s">
        <v>26</v>
      </c>
      <c r="E771" s="20">
        <v>2</v>
      </c>
      <c r="F771" s="127">
        <v>6.33</v>
      </c>
      <c r="G771" s="127">
        <v>1.901</v>
      </c>
    </row>
    <row r="772" spans="1:14">
      <c r="A772" s="7">
        <v>17</v>
      </c>
      <c r="B772" s="87">
        <v>44228</v>
      </c>
      <c r="C772">
        <v>2021</v>
      </c>
      <c r="D772" s="10" t="s">
        <v>26</v>
      </c>
      <c r="E772" s="20">
        <v>2</v>
      </c>
      <c r="F772" s="127">
        <v>11.077999999999999</v>
      </c>
      <c r="G772" s="127">
        <v>3.653</v>
      </c>
    </row>
    <row r="773" spans="1:14">
      <c r="A773" s="7">
        <v>18</v>
      </c>
      <c r="B773" s="87">
        <v>44228</v>
      </c>
      <c r="C773">
        <v>2021</v>
      </c>
      <c r="D773" s="10" t="s">
        <v>26</v>
      </c>
      <c r="E773" s="20">
        <v>2</v>
      </c>
      <c r="F773" s="127">
        <v>7.7409999999999997</v>
      </c>
      <c r="G773" s="127">
        <v>2.2949999999999999</v>
      </c>
      <c r="I773" s="50">
        <f>AVERAGE(F771:F773)</f>
        <v>8.3830000000000009</v>
      </c>
      <c r="J773" s="50">
        <f>AVERAGE(G771:G773)</f>
        <v>2.6163333333333334</v>
      </c>
      <c r="L773">
        <f>+J773/I773</f>
        <v>0.31209988468726391</v>
      </c>
      <c r="M773">
        <f>+(L773-$L$913)/$L$914</f>
        <v>4.8907043598411465E-3</v>
      </c>
      <c r="N773">
        <f>+N764+M773</f>
        <v>10.919863424498041</v>
      </c>
    </row>
    <row r="774" spans="1:14">
      <c r="A774" s="7">
        <v>1</v>
      </c>
      <c r="B774" s="87">
        <v>44256</v>
      </c>
      <c r="C774">
        <v>2021</v>
      </c>
      <c r="D774" s="10" t="s">
        <v>27</v>
      </c>
      <c r="E774" s="20">
        <v>3</v>
      </c>
      <c r="F774" s="127">
        <v>4.3760000000000003</v>
      </c>
      <c r="G774" s="127">
        <v>1.5640000000000001</v>
      </c>
    </row>
    <row r="775" spans="1:14">
      <c r="A775" s="7">
        <v>17</v>
      </c>
      <c r="B775" s="87">
        <v>44256</v>
      </c>
      <c r="C775">
        <v>2021</v>
      </c>
      <c r="D775" s="10" t="s">
        <v>27</v>
      </c>
      <c r="E775" s="20">
        <v>3</v>
      </c>
      <c r="F775" s="127">
        <v>10.173</v>
      </c>
      <c r="G775" s="127">
        <v>3.6970000000000001</v>
      </c>
    </row>
    <row r="776" spans="1:14">
      <c r="A776" s="7">
        <v>18</v>
      </c>
      <c r="B776" s="87">
        <v>44256</v>
      </c>
      <c r="C776">
        <v>2021</v>
      </c>
      <c r="D776" s="10" t="s">
        <v>27</v>
      </c>
      <c r="E776" s="20">
        <v>3</v>
      </c>
      <c r="F776" s="127">
        <v>3.8740000000000001</v>
      </c>
      <c r="G776" s="127">
        <v>1.43</v>
      </c>
      <c r="I776" s="50">
        <f>AVERAGE(F774:F776)</f>
        <v>6.1409999999999991</v>
      </c>
      <c r="J776" s="50">
        <f>AVERAGE(G774:G776)</f>
        <v>2.2303333333333333</v>
      </c>
      <c r="L776">
        <f>+J776/I776</f>
        <v>0.36318732019757916</v>
      </c>
      <c r="M776">
        <f>+(L776-$L$913)/$L$914</f>
        <v>0.55644642575273695</v>
      </c>
      <c r="N776">
        <f>+N773+M776</f>
        <v>11.476309850250779</v>
      </c>
    </row>
    <row r="777" spans="1:14">
      <c r="A777" s="7">
        <v>1</v>
      </c>
      <c r="B777" s="87">
        <v>44287</v>
      </c>
      <c r="C777">
        <v>2021</v>
      </c>
      <c r="D777" s="10" t="s">
        <v>28</v>
      </c>
      <c r="E777" s="20">
        <v>4</v>
      </c>
      <c r="F777" s="127">
        <v>0.76900000000000002</v>
      </c>
      <c r="G777" s="127">
        <v>0.218</v>
      </c>
    </row>
    <row r="778" spans="1:14">
      <c r="A778" s="7">
        <v>17</v>
      </c>
      <c r="B778" s="87">
        <v>44287</v>
      </c>
      <c r="C778">
        <v>2021</v>
      </c>
      <c r="D778" s="10" t="s">
        <v>28</v>
      </c>
      <c r="E778" s="20">
        <v>4</v>
      </c>
      <c r="F778" s="127">
        <v>3.6040000000000001</v>
      </c>
      <c r="G778" s="127">
        <v>1.278</v>
      </c>
    </row>
    <row r="779" spans="1:14">
      <c r="A779" s="7">
        <v>18</v>
      </c>
      <c r="B779" s="87">
        <v>44287</v>
      </c>
      <c r="C779">
        <v>2021</v>
      </c>
      <c r="D779" s="10" t="s">
        <v>28</v>
      </c>
      <c r="E779" s="20">
        <v>4</v>
      </c>
      <c r="F779" s="127">
        <v>0.92900000000000005</v>
      </c>
      <c r="G779" s="127">
        <v>0.125</v>
      </c>
      <c r="I779" s="50">
        <f t="shared" ref="I779:J779" si="15">AVERAGE(F777:F779)</f>
        <v>1.7673333333333334</v>
      </c>
      <c r="J779" s="50">
        <f t="shared" si="15"/>
        <v>0.54033333333333333</v>
      </c>
      <c r="L779">
        <f t="shared" ref="L779" si="16">+J779/I779</f>
        <v>0.30573368540173518</v>
      </c>
      <c r="M779">
        <f t="shared" ref="M779" si="17">+(L779-$L$913)/$L$914</f>
        <v>-6.3840747990155045E-2</v>
      </c>
      <c r="N779">
        <f t="shared" ref="N779" si="18">+N776+M779</f>
        <v>11.412469102260623</v>
      </c>
    </row>
    <row r="780" spans="1:14">
      <c r="A780" s="7">
        <v>1</v>
      </c>
      <c r="B780" s="87">
        <v>44317</v>
      </c>
      <c r="C780">
        <v>2021</v>
      </c>
      <c r="D780" s="10" t="s">
        <v>29</v>
      </c>
      <c r="E780" s="20">
        <v>5</v>
      </c>
      <c r="F780" s="127">
        <v>2.7440000000000002</v>
      </c>
      <c r="G780" s="127">
        <v>0.309</v>
      </c>
    </row>
    <row r="781" spans="1:14">
      <c r="A781" s="7">
        <v>17</v>
      </c>
      <c r="B781" s="87">
        <v>44317</v>
      </c>
      <c r="C781">
        <v>2021</v>
      </c>
      <c r="D781" s="10" t="s">
        <v>29</v>
      </c>
      <c r="E781" s="20">
        <v>5</v>
      </c>
      <c r="F781" s="127">
        <v>3.0289999999999999</v>
      </c>
      <c r="G781" s="127">
        <v>0.621</v>
      </c>
    </row>
    <row r="782" spans="1:14">
      <c r="A782" s="7">
        <v>18</v>
      </c>
      <c r="B782" s="87">
        <v>44317</v>
      </c>
      <c r="C782">
        <v>2021</v>
      </c>
      <c r="D782" s="10" t="s">
        <v>29</v>
      </c>
      <c r="E782" s="20">
        <v>5</v>
      </c>
      <c r="F782" s="127">
        <v>4.306</v>
      </c>
      <c r="G782" s="127">
        <v>0.88900000000000001</v>
      </c>
      <c r="I782" s="50">
        <f t="shared" ref="I782:J782" si="19">AVERAGE(F780:F782)</f>
        <v>3.359666666666667</v>
      </c>
      <c r="J782" s="50">
        <f t="shared" si="19"/>
        <v>0.60633333333333328</v>
      </c>
      <c r="L782">
        <f t="shared" ref="L782" si="20">+J782/I782</f>
        <v>0.18047425339815454</v>
      </c>
      <c r="M782">
        <f t="shared" ref="M782" si="21">+(L782-$L$913)/$L$914</f>
        <v>-1.4161802359656197</v>
      </c>
      <c r="N782">
        <f t="shared" ref="N782" si="22">+N779+M782</f>
        <v>9.9962888662950036</v>
      </c>
    </row>
    <row r="783" spans="1:14">
      <c r="A783" s="7">
        <v>1</v>
      </c>
      <c r="B783" s="87">
        <v>44348</v>
      </c>
      <c r="C783">
        <v>2021</v>
      </c>
      <c r="D783" s="10" t="s">
        <v>30</v>
      </c>
      <c r="E783" s="20">
        <v>6</v>
      </c>
      <c r="F783" s="127">
        <v>6.8220000000000001</v>
      </c>
      <c r="G783" s="127">
        <v>1.663</v>
      </c>
    </row>
    <row r="784" spans="1:14">
      <c r="A784" s="7">
        <v>17</v>
      </c>
      <c r="B784" s="87">
        <v>44348</v>
      </c>
      <c r="C784">
        <v>2021</v>
      </c>
      <c r="D784" s="10" t="s">
        <v>30</v>
      </c>
      <c r="E784" s="20">
        <v>6</v>
      </c>
      <c r="F784" s="127">
        <v>5.68</v>
      </c>
      <c r="G784" s="127">
        <v>1.3460000000000001</v>
      </c>
    </row>
    <row r="785" spans="1:14">
      <c r="A785" s="7">
        <v>18</v>
      </c>
      <c r="B785" s="87">
        <v>44348</v>
      </c>
      <c r="C785">
        <v>2021</v>
      </c>
      <c r="D785" s="10" t="s">
        <v>30</v>
      </c>
      <c r="E785" s="20">
        <v>6</v>
      </c>
      <c r="F785" s="127">
        <v>6.3579999999999997</v>
      </c>
      <c r="G785" s="127">
        <v>1.766</v>
      </c>
      <c r="I785" s="50">
        <f t="shared" ref="I785:J785" si="23">AVERAGE(F783:F785)</f>
        <v>6.2866666666666662</v>
      </c>
      <c r="J785" s="50">
        <f t="shared" si="23"/>
        <v>1.5916666666666668</v>
      </c>
      <c r="L785">
        <f t="shared" ref="L785" si="24">+J785/I785</f>
        <v>0.25318133616118776</v>
      </c>
      <c r="M785">
        <f t="shared" ref="M785" si="25">+(L785-$L$913)/$L$914</f>
        <v>-0.63121213014553745</v>
      </c>
      <c r="N785">
        <f t="shared" ref="N785" si="26">+N782+M785</f>
        <v>9.3650767361494669</v>
      </c>
    </row>
    <row r="786" spans="1:14">
      <c r="A786" s="7">
        <v>1</v>
      </c>
      <c r="B786" s="87">
        <v>44378</v>
      </c>
      <c r="C786">
        <v>2021</v>
      </c>
      <c r="D786" s="10" t="s">
        <v>31</v>
      </c>
      <c r="E786" s="20">
        <v>7</v>
      </c>
      <c r="H786" s="123" t="s">
        <v>93</v>
      </c>
    </row>
    <row r="787" spans="1:14">
      <c r="A787" s="7">
        <v>17</v>
      </c>
      <c r="B787" s="87">
        <v>44378</v>
      </c>
      <c r="C787">
        <v>2021</v>
      </c>
      <c r="D787" s="10" t="s">
        <v>31</v>
      </c>
      <c r="E787" s="20">
        <v>7</v>
      </c>
      <c r="H787" s="123" t="s">
        <v>94</v>
      </c>
    </row>
    <row r="788" spans="1:14">
      <c r="A788" s="7">
        <v>18</v>
      </c>
      <c r="B788" s="87">
        <v>44378</v>
      </c>
      <c r="C788">
        <v>2021</v>
      </c>
      <c r="D788" s="10" t="s">
        <v>31</v>
      </c>
      <c r="E788" s="20">
        <v>7</v>
      </c>
    </row>
    <row r="789" spans="1:14">
      <c r="A789" s="7">
        <v>1</v>
      </c>
      <c r="B789" s="87">
        <v>44409</v>
      </c>
      <c r="C789">
        <v>2021</v>
      </c>
      <c r="D789" s="10" t="s">
        <v>32</v>
      </c>
      <c r="E789" s="20">
        <v>8</v>
      </c>
      <c r="F789" s="127">
        <v>4.8929999999999998</v>
      </c>
      <c r="G789" s="127">
        <v>1.0660000000000001</v>
      </c>
    </row>
    <row r="790" spans="1:14">
      <c r="A790" s="7">
        <v>17</v>
      </c>
      <c r="B790" s="87">
        <v>44409</v>
      </c>
      <c r="C790">
        <v>2021</v>
      </c>
      <c r="D790" s="10" t="s">
        <v>32</v>
      </c>
      <c r="E790" s="20">
        <v>8</v>
      </c>
      <c r="F790" s="127">
        <v>4.8949999999999996</v>
      </c>
      <c r="G790" s="127">
        <v>1.964</v>
      </c>
    </row>
    <row r="791" spans="1:14">
      <c r="A791" s="7">
        <v>18</v>
      </c>
      <c r="B791" s="87">
        <v>44409</v>
      </c>
      <c r="C791">
        <v>2021</v>
      </c>
      <c r="D791" s="10" t="s">
        <v>32</v>
      </c>
      <c r="E791" s="20">
        <v>8</v>
      </c>
      <c r="F791" s="127">
        <v>4.5140000000000002</v>
      </c>
      <c r="G791" s="127">
        <v>1.321</v>
      </c>
      <c r="I791" s="50">
        <f>AVERAGE(F789:F791)</f>
        <v>4.7673333333333332</v>
      </c>
      <c r="J791" s="50">
        <f>AVERAGE(G789:G791)</f>
        <v>1.4503333333333333</v>
      </c>
      <c r="L791">
        <f>+J791/I791</f>
        <v>0.30422318556845196</v>
      </c>
      <c r="M791">
        <f>+(L791-$L$913)/$L$914</f>
        <v>-8.0148570390873419E-2</v>
      </c>
      <c r="N791">
        <f>+N785+M791</f>
        <v>9.2849281657585934</v>
      </c>
    </row>
    <row r="792" spans="1:14">
      <c r="A792" s="7">
        <v>1</v>
      </c>
      <c r="B792" s="87">
        <v>44440</v>
      </c>
      <c r="C792">
        <v>2021</v>
      </c>
      <c r="D792" s="10" t="s">
        <v>38</v>
      </c>
      <c r="E792" s="20">
        <v>9</v>
      </c>
      <c r="F792" s="127">
        <v>5.4139999999999997</v>
      </c>
      <c r="G792" s="127">
        <v>1.1459999999999999</v>
      </c>
    </row>
    <row r="793" spans="1:14">
      <c r="A793" s="7">
        <v>17</v>
      </c>
      <c r="B793" s="87">
        <v>44440</v>
      </c>
      <c r="C793">
        <v>2021</v>
      </c>
      <c r="D793" s="10" t="s">
        <v>38</v>
      </c>
      <c r="E793" s="20">
        <v>9</v>
      </c>
      <c r="F793" s="127">
        <v>7.3550000000000004</v>
      </c>
      <c r="G793" s="127">
        <v>2.581</v>
      </c>
    </row>
    <row r="794" spans="1:14">
      <c r="A794" s="7">
        <v>18</v>
      </c>
      <c r="B794" s="87">
        <v>44440</v>
      </c>
      <c r="C794">
        <v>2021</v>
      </c>
      <c r="D794" s="10" t="s">
        <v>38</v>
      </c>
      <c r="E794" s="20">
        <v>9</v>
      </c>
      <c r="F794" s="127">
        <v>3.3109999999999999</v>
      </c>
      <c r="G794" s="127">
        <v>0.75</v>
      </c>
      <c r="I794" s="50">
        <f t="shared" ref="I794:J794" si="27">AVERAGE(F792:F794)</f>
        <v>5.3599999999999994</v>
      </c>
      <c r="J794" s="50">
        <f t="shared" si="27"/>
        <v>1.4923333333333335</v>
      </c>
      <c r="L794">
        <f t="shared" ref="L794" si="28">+J794/I794</f>
        <v>0.27842039800995033</v>
      </c>
      <c r="M794">
        <f t="shared" ref="M794" si="29">+(L794-$L$913)/$L$914</f>
        <v>-0.35872342864351425</v>
      </c>
      <c r="N794">
        <f>+N791+M794</f>
        <v>8.9262047371150786</v>
      </c>
    </row>
    <row r="795" spans="1:14">
      <c r="A795" s="7">
        <v>1</v>
      </c>
      <c r="B795" s="87">
        <v>44470</v>
      </c>
      <c r="C795">
        <v>2021</v>
      </c>
      <c r="D795" s="10" t="s">
        <v>34</v>
      </c>
      <c r="E795" s="20">
        <v>10</v>
      </c>
      <c r="F795" s="127">
        <v>0.98599999999999999</v>
      </c>
      <c r="G795" s="127">
        <v>0.183</v>
      </c>
    </row>
    <row r="796" spans="1:14">
      <c r="A796" s="7">
        <v>17</v>
      </c>
      <c r="B796" s="87">
        <v>44470</v>
      </c>
      <c r="C796">
        <v>2021</v>
      </c>
      <c r="D796" s="10" t="s">
        <v>34</v>
      </c>
      <c r="E796" s="20">
        <v>10</v>
      </c>
      <c r="F796" s="127">
        <v>1.036</v>
      </c>
      <c r="G796" s="127">
        <v>0.187</v>
      </c>
    </row>
    <row r="797" spans="1:14">
      <c r="A797" s="7">
        <v>18</v>
      </c>
      <c r="B797" s="87">
        <v>44470</v>
      </c>
      <c r="C797">
        <v>2021</v>
      </c>
      <c r="D797" s="10" t="s">
        <v>34</v>
      </c>
      <c r="E797" s="20">
        <v>10</v>
      </c>
      <c r="F797" s="127">
        <v>1.01</v>
      </c>
      <c r="G797" s="127">
        <v>0.186</v>
      </c>
      <c r="I797" s="50">
        <f t="shared" ref="I797:J797" si="30">AVERAGE(F795:F797)</f>
        <v>1.0106666666666666</v>
      </c>
      <c r="J797" s="50">
        <f t="shared" si="30"/>
        <v>0.18533333333333335</v>
      </c>
      <c r="L797">
        <f t="shared" ref="L797" si="31">+J797/I797</f>
        <v>0.18337730870712404</v>
      </c>
      <c r="M797">
        <f t="shared" ref="M797" si="32">+(L797-$L$913)/$L$914</f>
        <v>-1.38483795485114</v>
      </c>
      <c r="N797">
        <f t="shared" ref="N797" si="33">+N794+M797</f>
        <v>7.541366782263939</v>
      </c>
    </row>
    <row r="798" spans="1:14">
      <c r="A798" s="7">
        <v>1</v>
      </c>
      <c r="B798" s="87">
        <v>44501</v>
      </c>
      <c r="C798">
        <v>2021</v>
      </c>
      <c r="D798" s="10" t="s">
        <v>35</v>
      </c>
      <c r="E798" s="20">
        <v>11</v>
      </c>
      <c r="F798" s="127">
        <v>0.96499999999999997</v>
      </c>
      <c r="G798" s="127">
        <v>0.255</v>
      </c>
    </row>
    <row r="799" spans="1:14">
      <c r="A799" s="7">
        <v>17</v>
      </c>
      <c r="B799" s="87">
        <v>44501</v>
      </c>
      <c r="C799">
        <v>2021</v>
      </c>
      <c r="D799" s="10" t="s">
        <v>35</v>
      </c>
      <c r="E799" s="20">
        <v>11</v>
      </c>
      <c r="F799" s="127">
        <v>1.0660000000000001</v>
      </c>
      <c r="G799" s="127">
        <v>0.31</v>
      </c>
    </row>
    <row r="800" spans="1:14">
      <c r="A800" s="7">
        <v>18</v>
      </c>
      <c r="B800" s="87">
        <v>44501</v>
      </c>
      <c r="C800">
        <v>2021</v>
      </c>
      <c r="D800" s="10" t="s">
        <v>35</v>
      </c>
      <c r="E800" s="20">
        <v>11</v>
      </c>
      <c r="F800" s="127">
        <v>0.88800000000000001</v>
      </c>
      <c r="G800" s="127">
        <v>0.253</v>
      </c>
      <c r="I800" s="50">
        <f t="shared" ref="I800:J800" si="34">AVERAGE(F798:F800)</f>
        <v>0.97299999999999998</v>
      </c>
      <c r="J800" s="50">
        <f t="shared" si="34"/>
        <v>0.27266666666666667</v>
      </c>
      <c r="L800">
        <f t="shared" ref="L800" si="35">+J800/I800</f>
        <v>0.28023295649194929</v>
      </c>
      <c r="M800">
        <f t="shared" ref="M800" si="36">+(L800-$L$913)/$L$914</f>
        <v>-0.33915448784389457</v>
      </c>
      <c r="N800">
        <f t="shared" ref="N800" si="37">+N797+M800</f>
        <v>7.2022122944200442</v>
      </c>
    </row>
    <row r="801" spans="1:14">
      <c r="A801" s="7">
        <v>1</v>
      </c>
      <c r="B801" s="88">
        <v>44531</v>
      </c>
      <c r="C801">
        <v>2021</v>
      </c>
      <c r="D801" s="10" t="s">
        <v>36</v>
      </c>
      <c r="E801" s="20">
        <v>12</v>
      </c>
      <c r="F801" s="127">
        <v>1.1200000000000001</v>
      </c>
      <c r="G801" s="127">
        <v>0.35599999999999998</v>
      </c>
    </row>
    <row r="802" spans="1:14">
      <c r="A802" s="7">
        <v>17</v>
      </c>
      <c r="B802" s="87">
        <v>44531</v>
      </c>
      <c r="C802">
        <v>2021</v>
      </c>
      <c r="D802" s="10" t="s">
        <v>36</v>
      </c>
      <c r="E802" s="20">
        <v>12</v>
      </c>
      <c r="F802" s="127">
        <v>0.84899999999999998</v>
      </c>
      <c r="G802" s="127">
        <v>0.246</v>
      </c>
    </row>
    <row r="803" spans="1:14">
      <c r="A803" s="7">
        <v>18</v>
      </c>
      <c r="B803" s="87">
        <v>44531</v>
      </c>
      <c r="C803">
        <v>2021</v>
      </c>
      <c r="D803" s="10" t="s">
        <v>36</v>
      </c>
      <c r="E803" s="20">
        <v>12</v>
      </c>
      <c r="F803" s="127">
        <v>1.1419999999999999</v>
      </c>
      <c r="G803" s="127">
        <v>0.36699999999999999</v>
      </c>
      <c r="I803" s="50">
        <f t="shared" ref="I803:J803" si="38">AVERAGE(F801:F803)</f>
        <v>1.0369999999999999</v>
      </c>
      <c r="J803" s="50">
        <f t="shared" si="38"/>
        <v>0.32300000000000001</v>
      </c>
      <c r="L803">
        <f t="shared" ref="L803" si="39">+J803/I803</f>
        <v>0.31147540983606559</v>
      </c>
      <c r="M803">
        <f t="shared" ref="M803" si="40">+(L803-$L$913)/$L$914</f>
        <v>-1.8513188715826544E-3</v>
      </c>
      <c r="N803">
        <f t="shared" ref="N803" si="41">+N800+M803</f>
        <v>7.2003609755484614</v>
      </c>
    </row>
    <row r="804" spans="1:14">
      <c r="A804" s="120">
        <v>1</v>
      </c>
      <c r="B804" s="126">
        <v>44571</v>
      </c>
      <c r="C804" s="48">
        <v>2022</v>
      </c>
      <c r="D804" s="45" t="s">
        <v>37</v>
      </c>
      <c r="E804" s="43">
        <v>1</v>
      </c>
      <c r="H804" s="123" t="s">
        <v>99</v>
      </c>
    </row>
    <row r="805" spans="1:14">
      <c r="A805" s="7">
        <v>17</v>
      </c>
      <c r="B805" s="89">
        <v>44566</v>
      </c>
      <c r="C805">
        <v>2022</v>
      </c>
      <c r="D805" s="10" t="s">
        <v>37</v>
      </c>
      <c r="E805" s="20">
        <v>1</v>
      </c>
      <c r="H805" s="123" t="s">
        <v>95</v>
      </c>
    </row>
    <row r="806" spans="1:14">
      <c r="A806" s="7">
        <v>18</v>
      </c>
      <c r="B806" s="89">
        <v>44566</v>
      </c>
      <c r="C806">
        <v>2022</v>
      </c>
      <c r="D806" s="10" t="s">
        <v>37</v>
      </c>
      <c r="E806" s="20">
        <v>1</v>
      </c>
      <c r="H806" s="123" t="s">
        <v>96</v>
      </c>
    </row>
    <row r="807" spans="1:14">
      <c r="A807" s="7">
        <v>1</v>
      </c>
      <c r="B807" s="87">
        <v>44593</v>
      </c>
      <c r="C807">
        <v>2022</v>
      </c>
      <c r="D807" s="10" t="s">
        <v>26</v>
      </c>
      <c r="E807" s="20">
        <v>2</v>
      </c>
    </row>
    <row r="808" spans="1:14">
      <c r="A808" s="7">
        <v>17</v>
      </c>
      <c r="B808" s="87">
        <v>44593</v>
      </c>
      <c r="C808">
        <v>2022</v>
      </c>
      <c r="D808" s="10" t="s">
        <v>26</v>
      </c>
      <c r="E808" s="20">
        <v>2</v>
      </c>
    </row>
    <row r="809" spans="1:14">
      <c r="A809" s="7">
        <v>18</v>
      </c>
      <c r="B809" s="87">
        <v>44593</v>
      </c>
      <c r="C809">
        <v>2022</v>
      </c>
      <c r="D809" s="10" t="s">
        <v>26</v>
      </c>
      <c r="E809" s="20">
        <v>2</v>
      </c>
    </row>
    <row r="810" spans="1:14">
      <c r="A810" s="7">
        <v>1</v>
      </c>
      <c r="B810" s="87">
        <v>44621</v>
      </c>
      <c r="C810">
        <v>2022</v>
      </c>
      <c r="D810" s="10" t="s">
        <v>27</v>
      </c>
      <c r="E810" s="20">
        <v>3</v>
      </c>
    </row>
    <row r="811" spans="1:14">
      <c r="A811" s="7">
        <v>17</v>
      </c>
      <c r="B811" s="87">
        <v>44621</v>
      </c>
      <c r="C811">
        <v>2022</v>
      </c>
      <c r="D811" s="10" t="s">
        <v>27</v>
      </c>
      <c r="E811" s="20">
        <v>3</v>
      </c>
    </row>
    <row r="812" spans="1:14">
      <c r="A812" s="7">
        <v>18</v>
      </c>
      <c r="B812" s="87">
        <v>44621</v>
      </c>
      <c r="C812">
        <v>2022</v>
      </c>
      <c r="D812" s="10" t="s">
        <v>27</v>
      </c>
      <c r="E812" s="20">
        <v>3</v>
      </c>
    </row>
    <row r="813" spans="1:14">
      <c r="A813" s="7">
        <v>1</v>
      </c>
      <c r="B813" s="87">
        <v>44652</v>
      </c>
      <c r="C813">
        <v>2022</v>
      </c>
      <c r="D813" s="10" t="s">
        <v>28</v>
      </c>
      <c r="E813" s="20">
        <v>4</v>
      </c>
    </row>
    <row r="814" spans="1:14">
      <c r="A814" s="7">
        <v>17</v>
      </c>
      <c r="B814" s="87">
        <v>44652</v>
      </c>
      <c r="C814">
        <v>2022</v>
      </c>
      <c r="D814" s="10" t="s">
        <v>28</v>
      </c>
      <c r="E814" s="20">
        <v>4</v>
      </c>
    </row>
    <row r="815" spans="1:14">
      <c r="A815" s="7">
        <v>18</v>
      </c>
      <c r="B815" s="87">
        <v>44652</v>
      </c>
      <c r="C815">
        <v>2022</v>
      </c>
      <c r="D815" s="10" t="s">
        <v>28</v>
      </c>
      <c r="E815" s="20">
        <v>4</v>
      </c>
    </row>
    <row r="816" spans="1:14">
      <c r="A816" s="7">
        <v>1</v>
      </c>
      <c r="B816" s="87">
        <v>44682</v>
      </c>
      <c r="C816">
        <v>2022</v>
      </c>
      <c r="D816" s="10" t="s">
        <v>29</v>
      </c>
      <c r="E816" s="20">
        <v>5</v>
      </c>
    </row>
    <row r="817" spans="1:5">
      <c r="A817" s="7">
        <v>17</v>
      </c>
      <c r="B817" s="87">
        <v>44682</v>
      </c>
      <c r="C817">
        <v>2022</v>
      </c>
      <c r="D817" s="10" t="s">
        <v>29</v>
      </c>
      <c r="E817" s="20">
        <v>5</v>
      </c>
    </row>
    <row r="818" spans="1:5">
      <c r="A818" s="7">
        <v>18</v>
      </c>
      <c r="B818" s="87">
        <v>44682</v>
      </c>
      <c r="C818">
        <v>2022</v>
      </c>
      <c r="D818" s="10" t="s">
        <v>29</v>
      </c>
      <c r="E818" s="20">
        <v>5</v>
      </c>
    </row>
    <row r="819" spans="1:5">
      <c r="A819" s="7">
        <v>1</v>
      </c>
      <c r="B819" s="87">
        <v>44713</v>
      </c>
      <c r="C819">
        <v>2022</v>
      </c>
      <c r="D819" s="10" t="s">
        <v>30</v>
      </c>
      <c r="E819" s="20">
        <v>6</v>
      </c>
    </row>
    <row r="820" spans="1:5">
      <c r="A820" s="7">
        <v>17</v>
      </c>
      <c r="B820" s="87">
        <v>44713</v>
      </c>
      <c r="C820">
        <v>2022</v>
      </c>
      <c r="D820" s="10" t="s">
        <v>30</v>
      </c>
      <c r="E820" s="20">
        <v>6</v>
      </c>
    </row>
    <row r="821" spans="1:5">
      <c r="A821" s="7">
        <v>18</v>
      </c>
      <c r="B821" s="87">
        <v>44713</v>
      </c>
      <c r="C821">
        <v>2022</v>
      </c>
      <c r="D821" s="10" t="s">
        <v>30</v>
      </c>
      <c r="E821" s="20">
        <v>6</v>
      </c>
    </row>
    <row r="822" spans="1:5">
      <c r="A822" s="7">
        <v>1</v>
      </c>
      <c r="B822" s="87">
        <v>44743</v>
      </c>
      <c r="C822">
        <v>2022</v>
      </c>
      <c r="D822" s="10" t="s">
        <v>31</v>
      </c>
      <c r="E822" s="20">
        <v>7</v>
      </c>
    </row>
    <row r="823" spans="1:5">
      <c r="A823" s="7">
        <v>17</v>
      </c>
      <c r="B823" s="87">
        <v>44743</v>
      </c>
      <c r="C823">
        <v>2022</v>
      </c>
      <c r="D823" s="10" t="s">
        <v>31</v>
      </c>
      <c r="E823" s="20">
        <v>7</v>
      </c>
    </row>
    <row r="824" spans="1:5">
      <c r="A824" s="7">
        <v>18</v>
      </c>
      <c r="B824" s="87">
        <v>44743</v>
      </c>
      <c r="C824">
        <v>2022</v>
      </c>
      <c r="D824" s="10" t="s">
        <v>31</v>
      </c>
      <c r="E824" s="20">
        <v>7</v>
      </c>
    </row>
    <row r="825" spans="1:5">
      <c r="A825" s="7">
        <v>1</v>
      </c>
      <c r="B825" s="87">
        <v>44774</v>
      </c>
      <c r="C825">
        <v>2022</v>
      </c>
      <c r="D825" s="10" t="s">
        <v>32</v>
      </c>
      <c r="E825" s="20">
        <v>8</v>
      </c>
    </row>
    <row r="826" spans="1:5">
      <c r="A826" s="7">
        <v>17</v>
      </c>
      <c r="B826" s="87">
        <v>44774</v>
      </c>
      <c r="C826">
        <v>2022</v>
      </c>
      <c r="D826" s="10" t="s">
        <v>32</v>
      </c>
      <c r="E826" s="20">
        <v>8</v>
      </c>
    </row>
    <row r="827" spans="1:5">
      <c r="A827" s="7">
        <v>18</v>
      </c>
      <c r="B827" s="87">
        <v>44774</v>
      </c>
      <c r="C827">
        <v>2022</v>
      </c>
      <c r="D827" s="10" t="s">
        <v>32</v>
      </c>
      <c r="E827" s="20">
        <v>8</v>
      </c>
    </row>
    <row r="828" spans="1:5">
      <c r="A828" s="7">
        <v>1</v>
      </c>
      <c r="B828" s="87">
        <v>44805</v>
      </c>
      <c r="C828">
        <v>2022</v>
      </c>
      <c r="D828" s="10" t="s">
        <v>38</v>
      </c>
      <c r="E828" s="20">
        <v>9</v>
      </c>
    </row>
    <row r="829" spans="1:5">
      <c r="A829" s="7">
        <v>17</v>
      </c>
      <c r="B829" s="87">
        <v>44805</v>
      </c>
      <c r="C829">
        <v>2022</v>
      </c>
      <c r="D829" s="10" t="s">
        <v>38</v>
      </c>
      <c r="E829" s="20">
        <v>9</v>
      </c>
    </row>
    <row r="830" spans="1:5">
      <c r="A830" s="7">
        <v>18</v>
      </c>
      <c r="B830" s="87">
        <v>44805</v>
      </c>
      <c r="C830">
        <v>2022</v>
      </c>
      <c r="D830" s="10" t="s">
        <v>38</v>
      </c>
      <c r="E830" s="20">
        <v>9</v>
      </c>
    </row>
    <row r="831" spans="1:5">
      <c r="A831" s="7">
        <v>1</v>
      </c>
      <c r="B831" s="87">
        <v>44835</v>
      </c>
      <c r="C831">
        <v>2022</v>
      </c>
      <c r="D831" s="10" t="s">
        <v>34</v>
      </c>
      <c r="E831" s="20">
        <v>10</v>
      </c>
    </row>
    <row r="832" spans="1:5">
      <c r="A832" s="7">
        <v>17</v>
      </c>
      <c r="B832" s="87">
        <v>44835</v>
      </c>
      <c r="C832">
        <v>2022</v>
      </c>
      <c r="D832" s="10" t="s">
        <v>34</v>
      </c>
      <c r="E832" s="20">
        <v>10</v>
      </c>
    </row>
    <row r="833" spans="1:14">
      <c r="A833" s="7">
        <v>18</v>
      </c>
      <c r="B833" s="87">
        <v>44835</v>
      </c>
      <c r="C833">
        <v>2022</v>
      </c>
      <c r="D833" s="10" t="s">
        <v>34</v>
      </c>
      <c r="E833" s="20">
        <v>10</v>
      </c>
    </row>
    <row r="834" spans="1:14">
      <c r="A834" s="7">
        <v>1</v>
      </c>
      <c r="B834" s="87">
        <v>44866</v>
      </c>
      <c r="C834">
        <v>2022</v>
      </c>
      <c r="D834" s="10" t="s">
        <v>35</v>
      </c>
      <c r="E834" s="20">
        <v>11</v>
      </c>
    </row>
    <row r="835" spans="1:14">
      <c r="A835" s="7">
        <v>17</v>
      </c>
      <c r="B835" s="87">
        <v>44866</v>
      </c>
      <c r="C835">
        <v>2022</v>
      </c>
      <c r="D835" s="10" t="s">
        <v>35</v>
      </c>
      <c r="E835" s="20">
        <v>11</v>
      </c>
    </row>
    <row r="836" spans="1:14">
      <c r="A836" s="7">
        <v>18</v>
      </c>
      <c r="B836" s="87">
        <v>44866</v>
      </c>
      <c r="C836">
        <v>2022</v>
      </c>
      <c r="D836" s="10" t="s">
        <v>35</v>
      </c>
      <c r="E836" s="20">
        <v>11</v>
      </c>
    </row>
    <row r="837" spans="1:14">
      <c r="A837" s="7">
        <v>1</v>
      </c>
      <c r="B837" s="88">
        <v>44896</v>
      </c>
      <c r="C837">
        <v>2022</v>
      </c>
      <c r="D837" s="10" t="s">
        <v>36</v>
      </c>
      <c r="E837" s="20">
        <v>12</v>
      </c>
    </row>
    <row r="838" spans="1:14">
      <c r="A838" s="7">
        <v>17</v>
      </c>
      <c r="B838" s="87">
        <v>44896</v>
      </c>
      <c r="C838">
        <v>2022</v>
      </c>
      <c r="D838" s="10" t="s">
        <v>36</v>
      </c>
      <c r="E838" s="20">
        <v>12</v>
      </c>
    </row>
    <row r="839" spans="1:14">
      <c r="A839" s="7">
        <v>18</v>
      </c>
      <c r="B839" s="87">
        <v>44896</v>
      </c>
      <c r="C839">
        <v>2022</v>
      </c>
      <c r="D839" s="10" t="s">
        <v>36</v>
      </c>
      <c r="E839" s="20">
        <v>12</v>
      </c>
    </row>
    <row r="840" spans="1:14">
      <c r="A840" s="120">
        <v>1</v>
      </c>
      <c r="B840" s="126">
        <v>44936</v>
      </c>
      <c r="C840" s="48">
        <v>2023</v>
      </c>
      <c r="D840" s="45" t="s">
        <v>37</v>
      </c>
      <c r="E840" s="43">
        <v>1</v>
      </c>
      <c r="F840" s="128">
        <v>3.77</v>
      </c>
      <c r="G840" s="127">
        <v>1.1679999999999999</v>
      </c>
    </row>
    <row r="841" spans="1:14">
      <c r="A841" s="7">
        <v>17</v>
      </c>
      <c r="B841" s="89">
        <v>44931</v>
      </c>
      <c r="C841">
        <v>2023</v>
      </c>
      <c r="D841" s="10" t="s">
        <v>37</v>
      </c>
      <c r="E841" s="20">
        <v>1</v>
      </c>
      <c r="F841" s="128">
        <v>3.8769999999999998</v>
      </c>
      <c r="G841" s="127">
        <v>1.1839999999999999</v>
      </c>
    </row>
    <row r="842" spans="1:14">
      <c r="A842" s="7">
        <v>18</v>
      </c>
      <c r="B842" s="89">
        <v>44931</v>
      </c>
      <c r="C842">
        <v>2023</v>
      </c>
      <c r="D842" s="10" t="s">
        <v>37</v>
      </c>
      <c r="E842" s="20">
        <v>1</v>
      </c>
      <c r="F842" s="128">
        <v>3.2709999999999999</v>
      </c>
      <c r="G842" s="127">
        <v>0.88800000000000001</v>
      </c>
      <c r="I842" s="50">
        <f>AVERAGE(F840:F842)</f>
        <v>3.6393333333333331</v>
      </c>
      <c r="J842" s="50">
        <f>AVERAGE(G840:G842)</f>
        <v>1.0799999999999998</v>
      </c>
      <c r="L842">
        <f>+J842/I842</f>
        <v>0.29675764792086462</v>
      </c>
      <c r="M842">
        <f>+(L842-$L$913)/$L$914</f>
        <v>-0.16074881899739127</v>
      </c>
      <c r="N842">
        <f>+N803+M842</f>
        <v>7.0396121565510699</v>
      </c>
    </row>
    <row r="843" spans="1:14">
      <c r="A843" s="7">
        <v>1</v>
      </c>
      <c r="B843" s="87">
        <v>44958</v>
      </c>
      <c r="C843">
        <v>2023</v>
      </c>
      <c r="D843" s="10" t="s">
        <v>26</v>
      </c>
      <c r="E843" s="20">
        <v>2</v>
      </c>
      <c r="F843" s="129">
        <v>2.9430000000000001</v>
      </c>
      <c r="G843" s="129">
        <v>0.754</v>
      </c>
    </row>
    <row r="844" spans="1:14">
      <c r="A844" s="7">
        <v>17</v>
      </c>
      <c r="B844" s="87">
        <v>44958</v>
      </c>
      <c r="C844">
        <v>2023</v>
      </c>
      <c r="D844" s="10" t="s">
        <v>26</v>
      </c>
      <c r="E844" s="20">
        <v>2</v>
      </c>
      <c r="F844" s="129">
        <v>2.625</v>
      </c>
      <c r="G844" s="129">
        <v>0.71</v>
      </c>
    </row>
    <row r="845" spans="1:14">
      <c r="A845" s="7">
        <v>18</v>
      </c>
      <c r="B845" s="87">
        <v>44958</v>
      </c>
      <c r="C845">
        <v>2023</v>
      </c>
      <c r="D845" s="10" t="s">
        <v>26</v>
      </c>
      <c r="E845" s="20">
        <v>2</v>
      </c>
      <c r="F845" s="129">
        <v>2.3980000000000001</v>
      </c>
      <c r="G845" s="129">
        <v>0.6</v>
      </c>
      <c r="I845">
        <f>AVERAGE(F843:F845)</f>
        <v>2.6553333333333331</v>
      </c>
      <c r="J845">
        <f>AVERAGE(G843:G845)</f>
        <v>0.68800000000000006</v>
      </c>
      <c r="L845">
        <f>+J845/I845</f>
        <v>0.25910118001506405</v>
      </c>
      <c r="M845">
        <f>+(L845-$L$913)/$L$914</f>
        <v>-0.56729966879877913</v>
      </c>
      <c r="N845">
        <f>+N842+M845</f>
        <v>6.4723124877522906</v>
      </c>
    </row>
    <row r="846" spans="1:14">
      <c r="A846" s="7">
        <v>1</v>
      </c>
      <c r="B846" s="87">
        <v>44986</v>
      </c>
      <c r="C846">
        <v>2023</v>
      </c>
      <c r="D846" s="10" t="s">
        <v>27</v>
      </c>
      <c r="E846" s="20">
        <v>3</v>
      </c>
      <c r="F846" s="129">
        <v>1.3979999999999999</v>
      </c>
      <c r="G846" s="129">
        <v>0.22</v>
      </c>
    </row>
    <row r="847" spans="1:14">
      <c r="A847" s="7">
        <v>17</v>
      </c>
      <c r="B847" s="87">
        <v>44986</v>
      </c>
      <c r="C847">
        <v>2023</v>
      </c>
      <c r="D847" s="10" t="s">
        <v>27</v>
      </c>
      <c r="E847" s="20">
        <v>3</v>
      </c>
      <c r="F847" s="129">
        <v>1.9</v>
      </c>
      <c r="G847" s="129">
        <v>0.78900000000000003</v>
      </c>
    </row>
    <row r="848" spans="1:14">
      <c r="A848" s="7">
        <v>18</v>
      </c>
      <c r="B848" s="87">
        <v>44986</v>
      </c>
      <c r="C848">
        <v>2023</v>
      </c>
      <c r="D848" s="10" t="s">
        <v>27</v>
      </c>
      <c r="E848" s="20">
        <v>3</v>
      </c>
      <c r="F848" s="129">
        <v>2.2679999999999998</v>
      </c>
      <c r="G848" s="129">
        <v>0.95499999999999996</v>
      </c>
      <c r="I848">
        <f t="shared" ref="I848:J848" si="42">AVERAGE(F846:F848)</f>
        <v>1.8553333333333333</v>
      </c>
      <c r="J848">
        <f t="shared" si="42"/>
        <v>0.65466666666666662</v>
      </c>
      <c r="L848">
        <f t="shared" ref="L848" si="43">+J848/I848</f>
        <v>0.3528566295364714</v>
      </c>
      <c r="M848">
        <f t="shared" ref="M848" si="44">+(L848-$L$913)/$L$914</f>
        <v>0.44491310091157033</v>
      </c>
      <c r="N848">
        <f t="shared" ref="N848" si="45">+N845+M848</f>
        <v>6.9172255886638609</v>
      </c>
    </row>
    <row r="849" spans="1:14">
      <c r="A849" s="7">
        <v>1</v>
      </c>
      <c r="B849" s="87">
        <v>45017</v>
      </c>
      <c r="C849">
        <v>2023</v>
      </c>
      <c r="D849" s="10" t="s">
        <v>28</v>
      </c>
      <c r="E849" s="20">
        <v>4</v>
      </c>
      <c r="F849" s="129">
        <v>1.302</v>
      </c>
      <c r="G849" s="129">
        <v>0.22700000000000001</v>
      </c>
    </row>
    <row r="850" spans="1:14">
      <c r="A850" s="7">
        <v>17</v>
      </c>
      <c r="B850" s="87">
        <v>45017</v>
      </c>
      <c r="C850">
        <v>2023</v>
      </c>
      <c r="D850" s="10" t="s">
        <v>28</v>
      </c>
      <c r="E850" s="20">
        <v>4</v>
      </c>
      <c r="F850" s="129">
        <v>3.2050000000000001</v>
      </c>
      <c r="G850" s="129">
        <v>1.413</v>
      </c>
    </row>
    <row r="851" spans="1:14">
      <c r="A851" s="7">
        <v>18</v>
      </c>
      <c r="B851" s="87">
        <v>45017</v>
      </c>
      <c r="C851">
        <v>2023</v>
      </c>
      <c r="D851" s="10" t="s">
        <v>28</v>
      </c>
      <c r="E851" s="20">
        <v>4</v>
      </c>
      <c r="F851" s="129">
        <v>2.0609999999999999</v>
      </c>
      <c r="G851" s="129">
        <v>0.84899999999999998</v>
      </c>
      <c r="I851">
        <f t="shared" ref="I851:J851" si="46">AVERAGE(F849:F851)</f>
        <v>2.1893333333333334</v>
      </c>
      <c r="J851">
        <f t="shared" si="46"/>
        <v>0.82966666666666666</v>
      </c>
      <c r="L851">
        <f t="shared" ref="L851" si="47">+J851/I851</f>
        <v>0.37895858708891594</v>
      </c>
      <c r="M851">
        <f t="shared" ref="M851" si="48">+(L851-$L$913)/$L$914</f>
        <v>0.72671789075463078</v>
      </c>
      <c r="N851">
        <f t="shared" ref="N851" si="49">+N848+M851</f>
        <v>7.6439434794184917</v>
      </c>
    </row>
    <row r="852" spans="1:14">
      <c r="A852" s="7">
        <v>1</v>
      </c>
      <c r="B852" s="87">
        <v>45047</v>
      </c>
      <c r="C852">
        <v>2023</v>
      </c>
      <c r="D852" s="10" t="s">
        <v>29</v>
      </c>
      <c r="E852" s="20">
        <v>5</v>
      </c>
      <c r="F852" s="129">
        <v>1.4450000000000001</v>
      </c>
      <c r="G852" s="129">
        <v>0.27900000000000003</v>
      </c>
    </row>
    <row r="853" spans="1:14">
      <c r="A853" s="7">
        <v>17</v>
      </c>
      <c r="B853" s="87">
        <v>45047</v>
      </c>
      <c r="C853">
        <v>2023</v>
      </c>
      <c r="D853" s="10" t="s">
        <v>29</v>
      </c>
      <c r="E853" s="20">
        <v>5</v>
      </c>
      <c r="F853" s="129">
        <v>3.4039999999999999</v>
      </c>
      <c r="G853" s="129">
        <v>0.55100000000000005</v>
      </c>
    </row>
    <row r="854" spans="1:14">
      <c r="A854" s="7">
        <v>18</v>
      </c>
      <c r="B854" s="87">
        <v>45047</v>
      </c>
      <c r="C854">
        <v>2023</v>
      </c>
      <c r="D854" s="10" t="s">
        <v>29</v>
      </c>
      <c r="E854" s="20">
        <v>5</v>
      </c>
      <c r="F854" s="129">
        <v>3.3319999999999999</v>
      </c>
      <c r="G854" s="129">
        <v>0.99299999999999999</v>
      </c>
      <c r="I854">
        <f t="shared" ref="I854:J854" si="50">AVERAGE(F852:F854)</f>
        <v>2.7270000000000003</v>
      </c>
      <c r="J854">
        <f t="shared" si="50"/>
        <v>0.60766666666666669</v>
      </c>
      <c r="L854">
        <f t="shared" ref="L854" si="51">+J854/I854</f>
        <v>0.22283339445055614</v>
      </c>
      <c r="M854">
        <f t="shared" ref="M854" si="52">+(L854-$L$913)/$L$914</f>
        <v>-0.95885787544072321</v>
      </c>
      <c r="N854">
        <f t="shared" ref="N854" si="53">+N851+M854</f>
        <v>6.6850856039777682</v>
      </c>
    </row>
    <row r="855" spans="1:14">
      <c r="A855" s="7">
        <v>1</v>
      </c>
      <c r="B855" s="87">
        <v>45078</v>
      </c>
      <c r="C855">
        <v>2023</v>
      </c>
      <c r="D855" s="10" t="s">
        <v>30</v>
      </c>
      <c r="E855" s="20">
        <v>6</v>
      </c>
      <c r="F855" s="129">
        <v>3.5129999999999999</v>
      </c>
      <c r="G855" s="129">
        <v>0.51200000000000001</v>
      </c>
    </row>
    <row r="856" spans="1:14">
      <c r="A856" s="7">
        <v>17</v>
      </c>
      <c r="B856" s="87">
        <v>45078</v>
      </c>
      <c r="C856">
        <v>2023</v>
      </c>
      <c r="D856" s="10" t="s">
        <v>30</v>
      </c>
      <c r="E856" s="20">
        <v>6</v>
      </c>
      <c r="F856" s="129">
        <v>2.95</v>
      </c>
      <c r="G856" s="129">
        <v>0.82699999999999996</v>
      </c>
    </row>
    <row r="857" spans="1:14">
      <c r="A857" s="7">
        <v>18</v>
      </c>
      <c r="B857" s="87">
        <v>45078</v>
      </c>
      <c r="C857">
        <v>2023</v>
      </c>
      <c r="D857" s="10" t="s">
        <v>30</v>
      </c>
      <c r="E857" s="20">
        <v>6</v>
      </c>
      <c r="F857" s="129">
        <v>5.883</v>
      </c>
      <c r="G857" s="129">
        <v>1.036</v>
      </c>
      <c r="I857">
        <f t="shared" ref="I857:J857" si="54">AVERAGE(F855:F857)</f>
        <v>4.1153333333333331</v>
      </c>
      <c r="J857">
        <f t="shared" si="54"/>
        <v>0.79166666666666663</v>
      </c>
      <c r="L857">
        <f t="shared" ref="L857" si="55">+J857/I857</f>
        <v>0.19236999838004212</v>
      </c>
      <c r="M857">
        <f t="shared" ref="M857" si="56">+(L857-$L$913)/$L$914</f>
        <v>-1.2877501016390271</v>
      </c>
      <c r="N857">
        <f t="shared" ref="N857" si="57">+N854+M857</f>
        <v>5.3973355023387413</v>
      </c>
    </row>
    <row r="858" spans="1:14">
      <c r="A858" s="7">
        <v>1</v>
      </c>
      <c r="B858" s="87">
        <v>45108</v>
      </c>
      <c r="C858">
        <v>2023</v>
      </c>
      <c r="D858" s="10" t="s">
        <v>31</v>
      </c>
      <c r="E858" s="20">
        <v>7</v>
      </c>
      <c r="F858" s="129">
        <v>7.6829999999999998</v>
      </c>
      <c r="G858" s="129">
        <v>1.7230000000000001</v>
      </c>
    </row>
    <row r="859" spans="1:14">
      <c r="A859" s="7">
        <v>17</v>
      </c>
      <c r="B859" s="87">
        <v>45108</v>
      </c>
      <c r="C859">
        <v>2023</v>
      </c>
      <c r="D859" s="10" t="s">
        <v>31</v>
      </c>
      <c r="E859" s="20">
        <v>7</v>
      </c>
      <c r="F859" s="129">
        <v>3.7709999999999999</v>
      </c>
      <c r="G859" s="129">
        <v>1.125</v>
      </c>
    </row>
    <row r="860" spans="1:14">
      <c r="A860" s="7">
        <v>18</v>
      </c>
      <c r="B860" s="87">
        <v>45108</v>
      </c>
      <c r="C860">
        <v>2023</v>
      </c>
      <c r="D860" s="10" t="s">
        <v>31</v>
      </c>
      <c r="E860" s="20">
        <v>7</v>
      </c>
      <c r="F860" s="129">
        <v>6.3120000000000003</v>
      </c>
      <c r="G860" s="129">
        <v>1.851</v>
      </c>
      <c r="I860">
        <f t="shared" ref="I860:J860" si="58">AVERAGE(F858:F860)</f>
        <v>5.9220000000000006</v>
      </c>
      <c r="J860">
        <f t="shared" si="58"/>
        <v>1.5663333333333334</v>
      </c>
      <c r="L860">
        <f t="shared" ref="L860" si="59">+J860/I860</f>
        <v>0.26449397725993468</v>
      </c>
      <c r="M860">
        <f t="shared" ref="M860" si="60">+(L860-$L$913)/$L$914</f>
        <v>-0.50907736531048475</v>
      </c>
      <c r="N860">
        <f t="shared" ref="N860" si="61">+N857+M860</f>
        <v>4.8882581370282567</v>
      </c>
    </row>
    <row r="861" spans="1:14">
      <c r="A861" s="7">
        <v>1</v>
      </c>
      <c r="B861" s="87">
        <v>45139</v>
      </c>
      <c r="C861">
        <v>2023</v>
      </c>
      <c r="D861" s="10" t="s">
        <v>32</v>
      </c>
      <c r="E861" s="20">
        <v>8</v>
      </c>
      <c r="F861" s="129">
        <v>5.4450000000000003</v>
      </c>
      <c r="G861" s="129">
        <v>1.1499999999999999</v>
      </c>
    </row>
    <row r="862" spans="1:14">
      <c r="A862" s="7">
        <v>17</v>
      </c>
      <c r="B862" s="87">
        <v>45139</v>
      </c>
      <c r="C862">
        <v>2023</v>
      </c>
      <c r="D862" s="10" t="s">
        <v>32</v>
      </c>
      <c r="E862" s="20">
        <v>8</v>
      </c>
      <c r="F862" s="129">
        <v>2.98</v>
      </c>
      <c r="G862" s="129">
        <v>0.89200000000000002</v>
      </c>
    </row>
    <row r="863" spans="1:14">
      <c r="A863" s="7">
        <v>18</v>
      </c>
      <c r="B863" s="87">
        <v>45139</v>
      </c>
      <c r="C863">
        <v>2023</v>
      </c>
      <c r="D863" s="10" t="s">
        <v>32</v>
      </c>
      <c r="E863" s="20">
        <v>8</v>
      </c>
      <c r="F863" s="129">
        <v>2.6909999999999998</v>
      </c>
      <c r="G863" s="129">
        <v>0.65</v>
      </c>
      <c r="I863">
        <f t="shared" ref="I863:J863" si="62">AVERAGE(F861:F863)</f>
        <v>3.7053333333333334</v>
      </c>
      <c r="J863">
        <f t="shared" si="62"/>
        <v>0.89733333333333321</v>
      </c>
      <c r="L863">
        <f t="shared" ref="L863" si="63">+J863/I863</f>
        <v>0.24217344368477867</v>
      </c>
      <c r="M863">
        <f t="shared" ref="M863" si="64">+(L863-$L$913)/$L$914</f>
        <v>-0.75005673479623158</v>
      </c>
      <c r="N863">
        <f t="shared" ref="N863" si="65">+N860+M863</f>
        <v>4.138201402232025</v>
      </c>
    </row>
    <row r="864" spans="1:14">
      <c r="A864" s="7">
        <v>1</v>
      </c>
      <c r="B864" s="87">
        <v>45170</v>
      </c>
      <c r="C864">
        <v>2023</v>
      </c>
      <c r="D864" s="10" t="s">
        <v>38</v>
      </c>
      <c r="E864" s="20">
        <v>9</v>
      </c>
      <c r="F864" s="129">
        <v>1.9710000000000001</v>
      </c>
      <c r="G864" s="129">
        <v>0.34499999999999997</v>
      </c>
    </row>
    <row r="865" spans="1:14">
      <c r="A865" s="7">
        <v>17</v>
      </c>
      <c r="B865" s="87">
        <v>45170</v>
      </c>
      <c r="C865">
        <v>2023</v>
      </c>
      <c r="D865" s="10" t="s">
        <v>38</v>
      </c>
      <c r="E865" s="20">
        <v>9</v>
      </c>
      <c r="F865" s="129">
        <v>2.63</v>
      </c>
      <c r="G865" s="129">
        <v>0.54400000000000004</v>
      </c>
    </row>
    <row r="866" spans="1:14">
      <c r="A866" s="7">
        <v>18</v>
      </c>
      <c r="B866" s="87">
        <v>45170</v>
      </c>
      <c r="C866">
        <v>2023</v>
      </c>
      <c r="D866" s="10" t="s">
        <v>38</v>
      </c>
      <c r="E866" s="20">
        <v>9</v>
      </c>
      <c r="F866" s="129">
        <v>1.3939999999999999</v>
      </c>
      <c r="G866" s="129">
        <v>0.24199999999999999</v>
      </c>
      <c r="I866">
        <f t="shared" ref="I866:J866" si="66">AVERAGE(F864:F866)</f>
        <v>1.9983333333333333</v>
      </c>
      <c r="J866">
        <f t="shared" si="66"/>
        <v>0.377</v>
      </c>
      <c r="L866">
        <f t="shared" ref="L866" si="67">+J866/I866</f>
        <v>0.18865721434528773</v>
      </c>
      <c r="M866">
        <f t="shared" ref="M866" si="68">+(L866-$L$913)/$L$914</f>
        <v>-1.3278344639917137</v>
      </c>
      <c r="N866">
        <f t="shared" ref="N866" si="69">+N863+M866</f>
        <v>2.8103669382403114</v>
      </c>
    </row>
    <row r="867" spans="1:14">
      <c r="A867" s="7">
        <v>1</v>
      </c>
      <c r="B867" s="87">
        <v>45200</v>
      </c>
      <c r="C867">
        <v>2023</v>
      </c>
      <c r="D867" s="10" t="s">
        <v>34</v>
      </c>
      <c r="E867" s="20">
        <v>10</v>
      </c>
      <c r="F867" s="130">
        <v>0.83199999999999996</v>
      </c>
      <c r="G867" s="129">
        <v>0.14699999999999999</v>
      </c>
    </row>
    <row r="868" spans="1:14">
      <c r="A868" s="7">
        <v>17</v>
      </c>
      <c r="B868" s="87">
        <v>45200</v>
      </c>
      <c r="C868">
        <v>2023</v>
      </c>
      <c r="D868" s="10" t="s">
        <v>34</v>
      </c>
      <c r="E868" s="20">
        <v>10</v>
      </c>
      <c r="F868" s="129">
        <v>2.8140000000000001</v>
      </c>
      <c r="G868" s="129">
        <v>0.622</v>
      </c>
    </row>
    <row r="869" spans="1:14">
      <c r="A869" s="7">
        <v>18</v>
      </c>
      <c r="B869" s="87">
        <v>45200</v>
      </c>
      <c r="C869">
        <v>2023</v>
      </c>
      <c r="D869" s="10" t="s">
        <v>34</v>
      </c>
      <c r="E869" s="20">
        <v>10</v>
      </c>
      <c r="F869" s="129">
        <v>0.46300000000000002</v>
      </c>
      <c r="G869" s="129">
        <v>9.4E-2</v>
      </c>
      <c r="I869">
        <f t="shared" ref="I869:J869" si="70">AVERAGE(F867:F869)</f>
        <v>1.3696666666666666</v>
      </c>
      <c r="J869">
        <f t="shared" si="70"/>
        <v>0.28766666666666668</v>
      </c>
      <c r="L869">
        <f t="shared" ref="L869" si="71">+J869/I869</f>
        <v>0.21002677050377222</v>
      </c>
      <c r="M869">
        <f t="shared" ref="M869" si="72">+(L869-$L$913)/$L$914</f>
        <v>-1.0971221402059748</v>
      </c>
      <c r="N869">
        <f t="shared" ref="N869" si="73">+N866+M869</f>
        <v>1.7132447980343366</v>
      </c>
    </row>
    <row r="870" spans="1:14">
      <c r="A870" s="7">
        <v>1</v>
      </c>
      <c r="B870" s="87">
        <v>45231</v>
      </c>
      <c r="C870">
        <v>2023</v>
      </c>
      <c r="D870" s="10" t="s">
        <v>35</v>
      </c>
      <c r="E870" s="20">
        <v>11</v>
      </c>
      <c r="F870" s="129">
        <v>2.1419999999999999</v>
      </c>
      <c r="G870" s="129">
        <v>0.38900000000000001</v>
      </c>
    </row>
    <row r="871" spans="1:14">
      <c r="A871" s="7">
        <v>17</v>
      </c>
      <c r="B871" s="87">
        <v>45231</v>
      </c>
      <c r="C871">
        <v>2023</v>
      </c>
      <c r="D871" s="10" t="s">
        <v>35</v>
      </c>
      <c r="E871" s="20">
        <v>11</v>
      </c>
      <c r="F871" s="129">
        <v>5.0279999999999996</v>
      </c>
      <c r="G871" s="129">
        <v>1.603</v>
      </c>
    </row>
    <row r="872" spans="1:14">
      <c r="A872" s="7">
        <v>18</v>
      </c>
      <c r="B872" s="87">
        <v>45231</v>
      </c>
      <c r="C872">
        <v>2023</v>
      </c>
      <c r="D872" s="10" t="s">
        <v>35</v>
      </c>
      <c r="E872" s="20">
        <v>11</v>
      </c>
      <c r="F872" s="129">
        <v>0.878</v>
      </c>
      <c r="G872" s="129">
        <v>0.155</v>
      </c>
      <c r="I872">
        <f t="shared" ref="I872:J872" si="74">AVERAGE(F870:F872)</f>
        <v>2.6826666666666665</v>
      </c>
      <c r="J872">
        <f t="shared" si="74"/>
        <v>0.71566666666666656</v>
      </c>
      <c r="L872">
        <f t="shared" ref="L872" si="75">+J872/I872</f>
        <v>0.26677435387673953</v>
      </c>
      <c r="M872">
        <f t="shared" ref="M872" si="76">+(L872-$L$913)/$L$914</f>
        <v>-0.48445771554013489</v>
      </c>
      <c r="N872">
        <f t="shared" ref="N872" si="77">+N869+M872</f>
        <v>1.2287870824942018</v>
      </c>
    </row>
    <row r="873" spans="1:14">
      <c r="A873" s="7">
        <v>1</v>
      </c>
      <c r="B873" s="88">
        <v>45261</v>
      </c>
      <c r="C873">
        <v>2023</v>
      </c>
      <c r="D873" s="10" t="s">
        <v>36</v>
      </c>
      <c r="E873" s="20">
        <v>12</v>
      </c>
      <c r="F873" s="129">
        <v>0.93799999999999994</v>
      </c>
      <c r="G873" s="129">
        <v>0.19900000000000001</v>
      </c>
    </row>
    <row r="874" spans="1:14">
      <c r="A874" s="7">
        <v>17</v>
      </c>
      <c r="B874" s="87">
        <v>45261</v>
      </c>
      <c r="C874">
        <v>2023</v>
      </c>
      <c r="D874" s="10" t="s">
        <v>36</v>
      </c>
      <c r="E874" s="20">
        <v>12</v>
      </c>
      <c r="F874" s="129">
        <v>6.0389999999999997</v>
      </c>
      <c r="G874" s="129">
        <v>1.8260000000000001</v>
      </c>
    </row>
    <row r="875" spans="1:14">
      <c r="A875" s="7">
        <v>18</v>
      </c>
      <c r="B875" s="87">
        <v>45261</v>
      </c>
      <c r="C875">
        <v>2023</v>
      </c>
      <c r="D875" s="10" t="s">
        <v>36</v>
      </c>
      <c r="E875" s="20">
        <v>12</v>
      </c>
      <c r="F875" s="129">
        <v>5.2060000000000004</v>
      </c>
      <c r="G875" s="129">
        <v>1.556</v>
      </c>
      <c r="I875">
        <f t="shared" ref="I875:J875" si="78">AVERAGE(F873:F875)</f>
        <v>4.0609999999999999</v>
      </c>
      <c r="J875">
        <f t="shared" si="78"/>
        <v>1.1936666666666667</v>
      </c>
      <c r="L875">
        <f t="shared" ref="L875" si="79">+J875/I875</f>
        <v>0.29393417056554216</v>
      </c>
      <c r="M875">
        <f t="shared" ref="M875" si="80">+(L875-$L$913)/$L$914</f>
        <v>-0.19123195196336176</v>
      </c>
      <c r="N875">
        <f t="shared" ref="N875" si="81">+N872+M875</f>
        <v>1.0375551305308399</v>
      </c>
    </row>
    <row r="876" spans="1:14">
      <c r="A876" s="120">
        <v>1</v>
      </c>
      <c r="B876" s="126">
        <v>45292</v>
      </c>
      <c r="C876" s="48">
        <v>2024</v>
      </c>
      <c r="D876" s="45" t="s">
        <v>37</v>
      </c>
      <c r="E876" s="43">
        <v>1</v>
      </c>
      <c r="F876" s="129">
        <v>4.8380000000000001</v>
      </c>
      <c r="G876" s="129">
        <v>1.3660000000000001</v>
      </c>
    </row>
    <row r="877" spans="1:14">
      <c r="A877" s="7">
        <v>17</v>
      </c>
      <c r="B877" s="89">
        <v>45292</v>
      </c>
      <c r="C877">
        <v>2024</v>
      </c>
      <c r="D877" s="10" t="s">
        <v>37</v>
      </c>
      <c r="E877" s="20">
        <v>1</v>
      </c>
      <c r="F877" s="129">
        <v>8.4130000000000003</v>
      </c>
      <c r="G877" s="129">
        <v>2.7879999999999998</v>
      </c>
    </row>
    <row r="878" spans="1:14">
      <c r="A878" s="7">
        <v>18</v>
      </c>
      <c r="B878" s="89">
        <v>45292</v>
      </c>
      <c r="C878">
        <v>2024</v>
      </c>
      <c r="D878" s="10" t="s">
        <v>37</v>
      </c>
      <c r="E878" s="20">
        <v>1</v>
      </c>
      <c r="F878" s="129">
        <v>3.944</v>
      </c>
      <c r="G878" s="129">
        <v>1.139</v>
      </c>
      <c r="I878">
        <f t="shared" ref="I878:J878" si="82">AVERAGE(F876:F878)</f>
        <v>5.7316666666666665</v>
      </c>
      <c r="J878">
        <f t="shared" si="82"/>
        <v>1.7643333333333333</v>
      </c>
      <c r="L878">
        <f t="shared" ref="L878" si="83">+J878/I878</f>
        <v>0.30782204129107299</v>
      </c>
      <c r="M878">
        <f t="shared" ref="M878" si="84">+(L878-$L$913)/$L$914</f>
        <v>-4.1294213258807132E-2</v>
      </c>
      <c r="N878">
        <f t="shared" ref="N878" si="85">+N875+M878</f>
        <v>0.99626091727203281</v>
      </c>
    </row>
    <row r="879" spans="1:14">
      <c r="A879" s="7">
        <v>1</v>
      </c>
      <c r="B879" s="87">
        <v>45323</v>
      </c>
      <c r="C879">
        <v>2024</v>
      </c>
      <c r="D879" s="10" t="s">
        <v>26</v>
      </c>
      <c r="E879" s="20">
        <v>2</v>
      </c>
      <c r="F879" s="129">
        <v>2.024</v>
      </c>
      <c r="G879" s="129">
        <v>0.47899999999999998</v>
      </c>
    </row>
    <row r="880" spans="1:14">
      <c r="A880" s="7">
        <v>17</v>
      </c>
      <c r="B880" s="87">
        <v>45323</v>
      </c>
      <c r="C880">
        <v>2024</v>
      </c>
      <c r="D880" s="10" t="s">
        <v>26</v>
      </c>
      <c r="E880" s="20">
        <v>2</v>
      </c>
      <c r="F880" s="129">
        <v>5.1210000000000004</v>
      </c>
      <c r="G880" s="129">
        <v>1.405</v>
      </c>
    </row>
    <row r="881" spans="1:14">
      <c r="A881" s="7">
        <v>18</v>
      </c>
      <c r="B881" s="87">
        <v>45323</v>
      </c>
      <c r="C881">
        <v>2024</v>
      </c>
      <c r="D881" s="10" t="s">
        <v>26</v>
      </c>
      <c r="E881" s="20">
        <v>2</v>
      </c>
      <c r="F881" s="129">
        <v>5.274</v>
      </c>
      <c r="G881" s="129">
        <v>1.4450000000000001</v>
      </c>
      <c r="I881">
        <f t="shared" ref="I881:J881" si="86">AVERAGE(F879:F881)</f>
        <v>4.1396666666666668</v>
      </c>
      <c r="J881">
        <f t="shared" si="86"/>
        <v>1.1096666666666666</v>
      </c>
      <c r="L881">
        <f t="shared" ref="L881" si="87">+J881/I881</f>
        <v>0.26805700942104838</v>
      </c>
      <c r="M881">
        <f t="shared" ref="M881" si="88">+(L881-$L$913)/$L$914</f>
        <v>-0.47060977040503382</v>
      </c>
      <c r="N881">
        <f t="shared" ref="N881" si="89">+N878+M881</f>
        <v>0.52565114686699899</v>
      </c>
    </row>
    <row r="882" spans="1:14">
      <c r="A882" s="7">
        <v>1</v>
      </c>
      <c r="B882" s="87">
        <v>45352</v>
      </c>
      <c r="C882">
        <v>2024</v>
      </c>
      <c r="D882" s="10" t="s">
        <v>27</v>
      </c>
      <c r="E882" s="20">
        <v>3</v>
      </c>
    </row>
    <row r="883" spans="1:14">
      <c r="A883" s="7">
        <v>17</v>
      </c>
      <c r="B883" s="87">
        <v>45352</v>
      </c>
      <c r="C883">
        <v>2024</v>
      </c>
      <c r="D883" s="10" t="s">
        <v>27</v>
      </c>
      <c r="E883" s="20">
        <v>3</v>
      </c>
    </row>
    <row r="884" spans="1:14">
      <c r="A884" s="7">
        <v>18</v>
      </c>
      <c r="B884" s="87">
        <v>45352</v>
      </c>
      <c r="C884">
        <v>2024</v>
      </c>
      <c r="D884" s="10" t="s">
        <v>27</v>
      </c>
      <c r="E884" s="20">
        <v>3</v>
      </c>
    </row>
    <row r="885" spans="1:14">
      <c r="A885" s="7">
        <v>1</v>
      </c>
      <c r="B885" s="87">
        <v>45383</v>
      </c>
      <c r="C885">
        <v>2024</v>
      </c>
      <c r="D885" s="10" t="s">
        <v>28</v>
      </c>
      <c r="E885" s="20">
        <v>4</v>
      </c>
      <c r="F885" s="129">
        <v>1.026</v>
      </c>
      <c r="G885" s="129">
        <v>0.27100000000000002</v>
      </c>
    </row>
    <row r="886" spans="1:14">
      <c r="A886" s="7">
        <v>17</v>
      </c>
      <c r="B886" s="87">
        <v>45383</v>
      </c>
      <c r="C886">
        <v>2024</v>
      </c>
      <c r="D886" s="10" t="s">
        <v>28</v>
      </c>
      <c r="E886" s="20">
        <v>4</v>
      </c>
      <c r="F886" s="129">
        <v>1.849</v>
      </c>
      <c r="G886" s="129">
        <v>0.51500000000000001</v>
      </c>
    </row>
    <row r="887" spans="1:14">
      <c r="A887" s="7">
        <v>18</v>
      </c>
      <c r="B887" s="87">
        <v>45383</v>
      </c>
      <c r="C887">
        <v>2024</v>
      </c>
      <c r="D887" s="10" t="s">
        <v>28</v>
      </c>
      <c r="E887" s="20">
        <v>4</v>
      </c>
      <c r="F887" s="129">
        <v>1.62</v>
      </c>
      <c r="G887" s="129">
        <v>0.39600000000000002</v>
      </c>
      <c r="I887">
        <f t="shared" ref="I887:J887" si="90">AVERAGE(F885:F887)</f>
        <v>1.4983333333333333</v>
      </c>
      <c r="J887">
        <f t="shared" si="90"/>
        <v>0.39399999999999996</v>
      </c>
      <c r="L887">
        <f t="shared" ref="L887" si="91">+J887/I887</f>
        <v>0.26295884315906559</v>
      </c>
      <c r="M887">
        <f t="shared" ref="M887" si="92">+(L887-$L$913)/$L$914</f>
        <v>-0.52565114686717929</v>
      </c>
      <c r="N887">
        <f>+N881+M887</f>
        <v>-1.8030021919912542E-13</v>
      </c>
    </row>
    <row r="888" spans="1:14">
      <c r="A888" s="7">
        <v>1</v>
      </c>
      <c r="B888" s="87">
        <v>45413</v>
      </c>
      <c r="C888">
        <v>2024</v>
      </c>
      <c r="D888" s="10" t="s">
        <v>29</v>
      </c>
      <c r="E888" s="20">
        <v>5</v>
      </c>
    </row>
    <row r="889" spans="1:14">
      <c r="A889" s="7">
        <v>17</v>
      </c>
      <c r="B889" s="87">
        <v>45413</v>
      </c>
      <c r="C889">
        <v>2024</v>
      </c>
      <c r="D889" s="10" t="s">
        <v>29</v>
      </c>
      <c r="E889" s="20">
        <v>5</v>
      </c>
    </row>
    <row r="890" spans="1:14">
      <c r="A890" s="7">
        <v>18</v>
      </c>
      <c r="B890" s="87">
        <v>45413</v>
      </c>
      <c r="C890">
        <v>2024</v>
      </c>
      <c r="D890" s="10" t="s">
        <v>29</v>
      </c>
      <c r="E890" s="20">
        <v>5</v>
      </c>
    </row>
    <row r="891" spans="1:14">
      <c r="A891" s="7">
        <v>1</v>
      </c>
      <c r="B891" s="87">
        <v>45444</v>
      </c>
      <c r="C891">
        <v>2024</v>
      </c>
      <c r="D891" s="10" t="s">
        <v>30</v>
      </c>
      <c r="E891" s="20">
        <v>6</v>
      </c>
      <c r="H891" s="123" t="s">
        <v>97</v>
      </c>
    </row>
    <row r="892" spans="1:14">
      <c r="A892" s="7">
        <v>17</v>
      </c>
      <c r="B892" s="87">
        <v>45444</v>
      </c>
      <c r="C892">
        <v>2024</v>
      </c>
      <c r="D892" s="10" t="s">
        <v>30</v>
      </c>
      <c r="E892" s="20">
        <v>6</v>
      </c>
      <c r="H892" s="123" t="s">
        <v>98</v>
      </c>
    </row>
    <row r="893" spans="1:14">
      <c r="A893" s="7">
        <v>18</v>
      </c>
      <c r="B893" s="87">
        <v>45444</v>
      </c>
      <c r="C893">
        <v>2024</v>
      </c>
      <c r="D893" s="10" t="s">
        <v>30</v>
      </c>
      <c r="E893" s="20">
        <v>6</v>
      </c>
    </row>
    <row r="894" spans="1:14">
      <c r="A894" s="7">
        <v>1</v>
      </c>
      <c r="B894" s="87">
        <v>45474</v>
      </c>
      <c r="C894">
        <v>2024</v>
      </c>
      <c r="D894" s="10" t="s">
        <v>31</v>
      </c>
      <c r="E894" s="20">
        <v>7</v>
      </c>
    </row>
    <row r="895" spans="1:14">
      <c r="A895" s="7">
        <v>17</v>
      </c>
      <c r="B895" s="87">
        <v>45474</v>
      </c>
      <c r="C895">
        <v>2024</v>
      </c>
      <c r="D895" s="10" t="s">
        <v>31</v>
      </c>
      <c r="E895" s="20">
        <v>7</v>
      </c>
    </row>
    <row r="896" spans="1:14">
      <c r="A896" s="7">
        <v>18</v>
      </c>
      <c r="B896" s="87">
        <v>45474</v>
      </c>
      <c r="C896">
        <v>2024</v>
      </c>
      <c r="D896" s="10" t="s">
        <v>31</v>
      </c>
      <c r="E896" s="20">
        <v>7</v>
      </c>
    </row>
    <row r="897" spans="1:5">
      <c r="A897" s="7">
        <v>1</v>
      </c>
      <c r="B897" s="87">
        <v>45505</v>
      </c>
      <c r="C897">
        <v>2024</v>
      </c>
      <c r="D897" s="10" t="s">
        <v>32</v>
      </c>
      <c r="E897" s="20">
        <v>8</v>
      </c>
    </row>
    <row r="898" spans="1:5">
      <c r="A898" s="7">
        <v>17</v>
      </c>
      <c r="B898" s="87">
        <v>45505</v>
      </c>
      <c r="C898">
        <v>2024</v>
      </c>
      <c r="D898" s="10" t="s">
        <v>32</v>
      </c>
      <c r="E898" s="20">
        <v>8</v>
      </c>
    </row>
    <row r="899" spans="1:5">
      <c r="A899" s="7">
        <v>18</v>
      </c>
      <c r="B899" s="87">
        <v>45505</v>
      </c>
      <c r="C899">
        <v>2024</v>
      </c>
      <c r="D899" s="10" t="s">
        <v>32</v>
      </c>
      <c r="E899" s="20">
        <v>8</v>
      </c>
    </row>
    <row r="900" spans="1:5">
      <c r="A900" s="7">
        <v>1</v>
      </c>
      <c r="B900" s="87">
        <v>45536</v>
      </c>
      <c r="C900">
        <v>2024</v>
      </c>
      <c r="D900" s="10" t="s">
        <v>38</v>
      </c>
      <c r="E900" s="20">
        <v>9</v>
      </c>
    </row>
    <row r="901" spans="1:5">
      <c r="A901" s="7">
        <v>17</v>
      </c>
      <c r="B901" s="87">
        <v>45536</v>
      </c>
      <c r="C901">
        <v>2024</v>
      </c>
      <c r="D901" s="10" t="s">
        <v>38</v>
      </c>
      <c r="E901" s="20">
        <v>9</v>
      </c>
    </row>
    <row r="902" spans="1:5">
      <c r="A902" s="7">
        <v>18</v>
      </c>
      <c r="B902" s="87">
        <v>45536</v>
      </c>
      <c r="C902">
        <v>2024</v>
      </c>
      <c r="D902" s="10" t="s">
        <v>38</v>
      </c>
      <c r="E902" s="20">
        <v>9</v>
      </c>
    </row>
    <row r="903" spans="1:5">
      <c r="A903" s="7">
        <v>1</v>
      </c>
      <c r="B903" s="87">
        <v>45566</v>
      </c>
      <c r="C903">
        <v>2024</v>
      </c>
      <c r="D903" s="10" t="s">
        <v>34</v>
      </c>
      <c r="E903" s="20">
        <v>10</v>
      </c>
    </row>
    <row r="904" spans="1:5">
      <c r="A904" s="7">
        <v>17</v>
      </c>
      <c r="B904" s="87">
        <v>45566</v>
      </c>
      <c r="C904">
        <v>2024</v>
      </c>
      <c r="D904" s="10" t="s">
        <v>34</v>
      </c>
      <c r="E904" s="20">
        <v>10</v>
      </c>
    </row>
    <row r="905" spans="1:5">
      <c r="A905" s="7">
        <v>18</v>
      </c>
      <c r="B905" s="87">
        <v>45566</v>
      </c>
      <c r="C905">
        <v>2024</v>
      </c>
      <c r="D905" s="10" t="s">
        <v>34</v>
      </c>
      <c r="E905" s="20">
        <v>10</v>
      </c>
    </row>
    <row r="906" spans="1:5">
      <c r="A906" s="7">
        <v>1</v>
      </c>
      <c r="B906" s="87">
        <v>45597</v>
      </c>
      <c r="C906">
        <v>2024</v>
      </c>
      <c r="D906" s="10" t="s">
        <v>35</v>
      </c>
      <c r="E906" s="20">
        <v>11</v>
      </c>
    </row>
    <row r="907" spans="1:5">
      <c r="A907" s="7">
        <v>17</v>
      </c>
      <c r="B907" s="87">
        <v>45597</v>
      </c>
      <c r="C907">
        <v>2024</v>
      </c>
      <c r="D907" s="10" t="s">
        <v>35</v>
      </c>
      <c r="E907" s="20">
        <v>11</v>
      </c>
    </row>
    <row r="908" spans="1:5">
      <c r="A908" s="7">
        <v>18</v>
      </c>
      <c r="B908" s="87">
        <v>45597</v>
      </c>
      <c r="C908">
        <v>2024</v>
      </c>
      <c r="D908" s="10" t="s">
        <v>35</v>
      </c>
      <c r="E908" s="20">
        <v>11</v>
      </c>
    </row>
    <row r="909" spans="1:5">
      <c r="A909" s="7">
        <v>1</v>
      </c>
      <c r="B909" s="88">
        <v>45627</v>
      </c>
      <c r="C909">
        <v>2024</v>
      </c>
      <c r="D909" s="10" t="s">
        <v>36</v>
      </c>
      <c r="E909" s="20">
        <v>12</v>
      </c>
    </row>
    <row r="910" spans="1:5">
      <c r="A910" s="7">
        <v>17</v>
      </c>
      <c r="B910" s="87">
        <v>45627</v>
      </c>
      <c r="C910">
        <v>2024</v>
      </c>
      <c r="D910" s="10" t="s">
        <v>36</v>
      </c>
      <c r="E910" s="20">
        <v>12</v>
      </c>
    </row>
    <row r="911" spans="1:5">
      <c r="A911" s="7">
        <v>18</v>
      </c>
      <c r="B911" s="87">
        <v>45627</v>
      </c>
      <c r="C911">
        <v>2024</v>
      </c>
      <c r="D911" s="10" t="s">
        <v>36</v>
      </c>
      <c r="E911" s="20">
        <v>12</v>
      </c>
    </row>
    <row r="913" spans="11:12">
      <c r="K913" s="118" t="s">
        <v>89</v>
      </c>
      <c r="L913" s="118">
        <f>AVERAGE(L5:L911)</f>
        <v>0.31164688685967828</v>
      </c>
    </row>
    <row r="914" spans="11:12">
      <c r="K914" s="118" t="s">
        <v>90</v>
      </c>
      <c r="L914" s="118">
        <f>+STDEV(L5:L911)</f>
        <v>9.2624250875866759E-2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1F64-C894-2A4C-8724-5B8A1B37F83B}">
  <sheetPr>
    <tabColor theme="9" tint="0.39997558519241921"/>
  </sheetPr>
  <dimension ref="A1:Q914"/>
  <sheetViews>
    <sheetView workbookViewId="0">
      <pane ySplit="2" topLeftCell="A725" activePane="bottomLeft" state="frozen"/>
      <selection pane="bottomLeft" activeCell="O732" sqref="O732"/>
    </sheetView>
  </sheetViews>
  <sheetFormatPr defaultColWidth="11.42578125" defaultRowHeight="15"/>
  <cols>
    <col min="2" max="2" width="10.85546875" style="86"/>
    <col min="14" max="14" width="12.28515625" bestFit="1" customWidth="1"/>
  </cols>
  <sheetData>
    <row r="1" spans="1:17" ht="18">
      <c r="F1" s="61" t="s">
        <v>40</v>
      </c>
      <c r="G1" s="61" t="s">
        <v>41</v>
      </c>
      <c r="I1" s="99" t="s">
        <v>81</v>
      </c>
    </row>
    <row r="2" spans="1:17">
      <c r="A2" s="1" t="s">
        <v>0</v>
      </c>
      <c r="B2" s="89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7</v>
      </c>
      <c r="I2" s="5" t="s">
        <v>5</v>
      </c>
      <c r="J2" s="5" t="s">
        <v>7</v>
      </c>
      <c r="L2" s="85" t="s">
        <v>86</v>
      </c>
      <c r="M2" s="98" t="s">
        <v>84</v>
      </c>
      <c r="N2" s="98" t="s">
        <v>85</v>
      </c>
    </row>
    <row r="3" spans="1:17">
      <c r="A3" s="7">
        <v>1</v>
      </c>
      <c r="B3" s="90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0</v>
      </c>
    </row>
    <row r="4" spans="1:17">
      <c r="A4" s="7">
        <v>17</v>
      </c>
      <c r="B4" s="90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0</v>
      </c>
    </row>
    <row r="5" spans="1:17">
      <c r="A5" s="7">
        <v>18</v>
      </c>
      <c r="B5" s="90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0</v>
      </c>
      <c r="I5" s="50">
        <f>AVERAGE(F3:F5)</f>
        <v>2.4047998537540289</v>
      </c>
      <c r="J5" s="50">
        <f>AVERAGE(G3:G5)</f>
        <v>0</v>
      </c>
      <c r="L5">
        <f>+J5/I5</f>
        <v>0</v>
      </c>
      <c r="M5">
        <f>+(L5-$L$913)/$L$914</f>
        <v>-0.44434743109797642</v>
      </c>
      <c r="N5">
        <f>+M5</f>
        <v>-0.44434743109797642</v>
      </c>
      <c r="Q5" t="s">
        <v>101</v>
      </c>
    </row>
    <row r="6" spans="1:17">
      <c r="A6" s="7">
        <v>1</v>
      </c>
      <c r="B6" s="90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4.2626281666666668E-2</v>
      </c>
    </row>
    <row r="7" spans="1:17">
      <c r="A7" s="7">
        <v>17</v>
      </c>
      <c r="B7" s="90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1.7341949333333332E-2</v>
      </c>
    </row>
    <row r="8" spans="1:17">
      <c r="A8" s="7">
        <v>18</v>
      </c>
      <c r="B8" s="90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0</v>
      </c>
      <c r="I8" s="50">
        <f>AVERAGE(F6:F8)</f>
        <v>5.4429090875200323</v>
      </c>
      <c r="J8" s="50">
        <f>AVERAGE(G6:G8)</f>
        <v>1.9989410333333332E-2</v>
      </c>
      <c r="L8">
        <f>+J8/I8</f>
        <v>3.6725600247791688E-3</v>
      </c>
      <c r="M8">
        <f>+(L8-$L$913)/$L$914</f>
        <v>-0.21491409662039143</v>
      </c>
      <c r="N8">
        <f>+N5+M8</f>
        <v>-0.65926152771836788</v>
      </c>
    </row>
    <row r="9" spans="1:17">
      <c r="A9" s="7">
        <v>1</v>
      </c>
      <c r="B9" s="90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1.5577709166666669E-2</v>
      </c>
    </row>
    <row r="10" spans="1:17">
      <c r="A10" s="7">
        <v>17</v>
      </c>
      <c r="B10" s="90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5.4440271666666665E-2</v>
      </c>
    </row>
    <row r="11" spans="1:17">
      <c r="A11" s="7">
        <v>18</v>
      </c>
      <c r="B11" s="90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1.0104675333333334E-2</v>
      </c>
      <c r="I11" s="50">
        <f>AVERAGE(F9:F11)</f>
        <v>4.1139008600141054</v>
      </c>
      <c r="J11" s="50">
        <f>AVERAGE(G9:G11)</f>
        <v>2.6707552055555556E-2</v>
      </c>
      <c r="L11">
        <f>+J11/I11</f>
        <v>6.4920261728096153E-3</v>
      </c>
      <c r="M11">
        <f>+(L11-$L$913)/$L$914</f>
        <v>-3.8775513336597608E-2</v>
      </c>
      <c r="N11">
        <f>+N8+M11</f>
        <v>-0.69803704105496545</v>
      </c>
    </row>
    <row r="12" spans="1:17">
      <c r="A12" s="15">
        <v>1</v>
      </c>
      <c r="B12" s="91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2.7557643166666666E-2</v>
      </c>
    </row>
    <row r="13" spans="1:17">
      <c r="A13" s="7">
        <v>17</v>
      </c>
      <c r="B13" s="90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3.4628692666666669E-2</v>
      </c>
    </row>
    <row r="14" spans="1:17">
      <c r="A14" s="7">
        <v>18</v>
      </c>
      <c r="B14" s="90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2.6812907166666667E-2</v>
      </c>
      <c r="I14" s="50">
        <f>AVERAGE(F12:F14)</f>
        <v>7.0388907344091178</v>
      </c>
      <c r="J14" s="50">
        <f>AVERAGE(G12:G14)</f>
        <v>2.9666414333333335E-2</v>
      </c>
      <c r="L14">
        <f>+J14/I14</f>
        <v>4.2146433937823718E-3</v>
      </c>
      <c r="M14">
        <f>+(L14-$L$913)/$L$914</f>
        <v>-0.18104889249136527</v>
      </c>
      <c r="N14">
        <f>+N11+M14</f>
        <v>-0.87908593354633069</v>
      </c>
    </row>
    <row r="15" spans="1:17">
      <c r="A15" s="7">
        <v>1</v>
      </c>
      <c r="B15" s="90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0</v>
      </c>
    </row>
    <row r="16" spans="1:17">
      <c r="A16" s="7">
        <v>17</v>
      </c>
      <c r="B16" s="90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0</v>
      </c>
    </row>
    <row r="17" spans="1:14">
      <c r="A17" s="7">
        <v>18</v>
      </c>
      <c r="B17" s="90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0</v>
      </c>
      <c r="I17" s="50">
        <f>AVERAGE(F15:F17)</f>
        <v>3.9193902872792474</v>
      </c>
      <c r="J17" s="50">
        <f>AVERAGE(G15:G17)</f>
        <v>0</v>
      </c>
      <c r="L17">
        <f>+J17/I17</f>
        <v>0</v>
      </c>
      <c r="M17">
        <f>+(L17-$L$913)/$L$914</f>
        <v>-0.44434743109797642</v>
      </c>
      <c r="N17">
        <f>+N14+M17</f>
        <v>-1.3234333646443071</v>
      </c>
    </row>
    <row r="18" spans="1:14">
      <c r="A18" s="7">
        <v>1</v>
      </c>
      <c r="B18" s="90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0</v>
      </c>
    </row>
    <row r="19" spans="1:14">
      <c r="A19" s="7">
        <v>17</v>
      </c>
      <c r="B19" s="90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0</v>
      </c>
    </row>
    <row r="20" spans="1:14">
      <c r="A20" s="7">
        <v>18</v>
      </c>
      <c r="B20" s="90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0</v>
      </c>
      <c r="I20" s="50">
        <f>AVERAGE(F18:F20)</f>
        <v>1.3296348168536298</v>
      </c>
      <c r="J20" s="50">
        <f>AVERAGE(G18:G20)</f>
        <v>0</v>
      </c>
      <c r="L20">
        <f>+J20/I20</f>
        <v>0</v>
      </c>
      <c r="M20">
        <f>+(L20-$L$913)/$L$914</f>
        <v>-0.44434743109797642</v>
      </c>
      <c r="N20">
        <f>+N17+M20</f>
        <v>-1.7677807957422835</v>
      </c>
    </row>
    <row r="21" spans="1:14">
      <c r="A21" s="7">
        <v>1</v>
      </c>
      <c r="B21" s="90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4.896377116666667E-2</v>
      </c>
    </row>
    <row r="22" spans="1:14">
      <c r="A22" s="7">
        <v>17</v>
      </c>
      <c r="B22" s="90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9.6336135000000003E-2</v>
      </c>
    </row>
    <row r="23" spans="1:14">
      <c r="A23" s="7">
        <v>18</v>
      </c>
      <c r="B23" s="90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2.6262637000000005E-2</v>
      </c>
      <c r="I23" s="50">
        <f>AVERAGE(F21:F23)</f>
        <v>3.8290803956000334</v>
      </c>
      <c r="J23" s="50">
        <f>AVERAGE(G21:G23)</f>
        <v>5.7187514388888888E-2</v>
      </c>
      <c r="L23">
        <f>+J23/I23</f>
        <v>1.4935051887289339E-2</v>
      </c>
      <c r="M23">
        <f>+(L23-$L$913)/$L$914</f>
        <v>0.48867986647562361</v>
      </c>
      <c r="N23">
        <f>+N20+M23</f>
        <v>-1.27910092926666</v>
      </c>
    </row>
    <row r="24" spans="1:14">
      <c r="A24" s="7">
        <v>1</v>
      </c>
      <c r="B24" s="90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2.2302452999999996E-2</v>
      </c>
    </row>
    <row r="25" spans="1:14">
      <c r="A25" s="7">
        <v>17</v>
      </c>
      <c r="B25" s="90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1.6117915333333333E-2</v>
      </c>
    </row>
    <row r="26" spans="1:14">
      <c r="A26" s="7">
        <v>18</v>
      </c>
      <c r="B26" s="90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0</v>
      </c>
      <c r="I26" s="50">
        <f>AVERAGE(F24:F26)</f>
        <v>1.3544511534259354</v>
      </c>
      <c r="J26" s="50">
        <f>AVERAGE(G24:G26)</f>
        <v>1.2806789444444444E-2</v>
      </c>
      <c r="L26">
        <f>+J26/I26</f>
        <v>9.455335035191987E-3</v>
      </c>
      <c r="M26">
        <f>+(L26-$L$913)/$L$914</f>
        <v>0.14634925761231229</v>
      </c>
      <c r="N26">
        <f>+N23+M26</f>
        <v>-1.1327516716543478</v>
      </c>
    </row>
    <row r="27" spans="1:14">
      <c r="A27" s="7">
        <v>1</v>
      </c>
      <c r="B27" s="90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2.8967022499999998E-2</v>
      </c>
    </row>
    <row r="28" spans="1:14">
      <c r="A28" s="7">
        <v>17</v>
      </c>
      <c r="B28" s="90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0</v>
      </c>
    </row>
    <row r="29" spans="1:14">
      <c r="A29" s="7">
        <v>18</v>
      </c>
      <c r="B29" s="90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0</v>
      </c>
      <c r="I29" s="50">
        <f>AVERAGE(F27:F29)</f>
        <v>3.5401566035817513</v>
      </c>
      <c r="J29" s="50">
        <f>AVERAGE(G27:G29)</f>
        <v>9.6556741666666661E-3</v>
      </c>
      <c r="L29">
        <f>+J29/I29</f>
        <v>2.7274709138283724E-3</v>
      </c>
      <c r="M29">
        <f>+(L29-$L$913)/$L$914</f>
        <v>-0.27395600325796526</v>
      </c>
      <c r="N29">
        <f>+N26+M29</f>
        <v>-1.4067076749123131</v>
      </c>
    </row>
    <row r="30" spans="1:14">
      <c r="A30" s="7">
        <v>1</v>
      </c>
      <c r="B30" s="90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2.86066055E-2</v>
      </c>
    </row>
    <row r="31" spans="1:14">
      <c r="A31" s="7">
        <v>17</v>
      </c>
      <c r="B31" s="90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1.5377163000000001E-2</v>
      </c>
    </row>
    <row r="32" spans="1:14">
      <c r="A32" s="7">
        <v>18</v>
      </c>
      <c r="B32" s="90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2.1171825499999998E-2</v>
      </c>
      <c r="I32" s="50">
        <f>AVERAGE(F30:F32)</f>
        <v>4.2444942657119205</v>
      </c>
      <c r="J32" s="50">
        <f>AVERAGE(G30:G32)</f>
        <v>2.1718531333333332E-2</v>
      </c>
      <c r="L32">
        <f>+J32/I32</f>
        <v>5.1168714041578585E-3</v>
      </c>
      <c r="M32">
        <f>+(L32-$L$913)/$L$914</f>
        <v>-0.12468461812066331</v>
      </c>
      <c r="N32">
        <f>+N29+M32</f>
        <v>-1.5313922930329764</v>
      </c>
    </row>
    <row r="33" spans="1:14">
      <c r="A33" s="7">
        <v>1</v>
      </c>
      <c r="B33" s="90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0</v>
      </c>
    </row>
    <row r="34" spans="1:14">
      <c r="A34" s="7">
        <v>17</v>
      </c>
      <c r="B34" s="90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0</v>
      </c>
    </row>
    <row r="35" spans="1:14">
      <c r="A35" s="7">
        <v>18</v>
      </c>
      <c r="B35" s="90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0</v>
      </c>
      <c r="I35" s="50">
        <f>AVERAGE(F33:F35)</f>
        <v>4.1070022989117891</v>
      </c>
      <c r="J35" s="50">
        <f>AVERAGE(G33:G35)</f>
        <v>0</v>
      </c>
      <c r="L35">
        <f>+J35/I35</f>
        <v>0</v>
      </c>
      <c r="M35">
        <f>+(L35-$L$913)/$L$914</f>
        <v>-0.44434743109797642</v>
      </c>
      <c r="N35">
        <f>+N32+M35</f>
        <v>-1.9757397241309529</v>
      </c>
    </row>
    <row r="36" spans="1:14">
      <c r="A36" s="7">
        <v>1</v>
      </c>
      <c r="B36" s="90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0</v>
      </c>
    </row>
    <row r="37" spans="1:14">
      <c r="A37" s="7">
        <v>17</v>
      </c>
      <c r="B37" s="90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1.6065708333333331E-2</v>
      </c>
    </row>
    <row r="38" spans="1:14">
      <c r="A38" s="7">
        <v>18</v>
      </c>
      <c r="B38" s="90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0</v>
      </c>
      <c r="I38" s="50">
        <f>AVERAGE(F36:F38)</f>
        <v>7.6030394312351826</v>
      </c>
      <c r="J38" s="50">
        <f>AVERAGE(G36:G38)</f>
        <v>5.3552361111111101E-3</v>
      </c>
      <c r="L38">
        <f>+J38/I38</f>
        <v>7.043546412649742E-4</v>
      </c>
      <c r="M38">
        <f>+(L38-$L$913)/$L$914</f>
        <v>-0.40034476459018986</v>
      </c>
      <c r="N38">
        <f>+N35+M38</f>
        <v>-2.3760844887211428</v>
      </c>
    </row>
    <row r="39" spans="1:14">
      <c r="A39" s="7">
        <v>1</v>
      </c>
      <c r="B39" s="90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0</v>
      </c>
    </row>
    <row r="40" spans="1:14">
      <c r="A40" s="7">
        <v>17</v>
      </c>
      <c r="B40" s="90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2.6778836333333333E-2</v>
      </c>
    </row>
    <row r="41" spans="1:14">
      <c r="A41" s="7">
        <v>18</v>
      </c>
      <c r="B41" s="90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2.1627011833333334E-2</v>
      </c>
      <c r="I41" s="50">
        <f>AVERAGE(F39:F41)</f>
        <v>2.3778280640964042</v>
      </c>
      <c r="J41" s="50">
        <f>AVERAGE(G39:G41)</f>
        <v>1.6135282722222224E-2</v>
      </c>
      <c r="L41">
        <f>+J41/I41</f>
        <v>6.7857230578838232E-3</v>
      </c>
      <c r="M41">
        <f>+(L41-$L$913)/$L$914</f>
        <v>-2.0427588397696886E-2</v>
      </c>
      <c r="N41">
        <f>+N38+M41</f>
        <v>-2.3965120771188397</v>
      </c>
    </row>
    <row r="42" spans="1:14">
      <c r="A42" s="7">
        <v>1</v>
      </c>
      <c r="B42" s="90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</v>
      </c>
    </row>
    <row r="43" spans="1:14">
      <c r="A43" s="7">
        <v>17</v>
      </c>
      <c r="B43" s="90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2.0661811333333332E-2</v>
      </c>
    </row>
    <row r="44" spans="1:14">
      <c r="A44" s="7">
        <v>18</v>
      </c>
      <c r="B44" s="90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0</v>
      </c>
      <c r="I44" s="50">
        <f>AVERAGE(F42:F44)</f>
        <v>4.2575794196516297</v>
      </c>
      <c r="J44" s="50">
        <f>AVERAGE(G42:G44)</f>
        <v>6.8872704444444439E-3</v>
      </c>
      <c r="L44">
        <f>+J44/I44</f>
        <v>1.6176493179798359E-3</v>
      </c>
      <c r="M44">
        <f>+(L44-$L$913)/$L$914</f>
        <v>-0.34328912993057165</v>
      </c>
      <c r="N44">
        <f>+N41+M44</f>
        <v>-2.7398012070494113</v>
      </c>
    </row>
    <row r="45" spans="1:14">
      <c r="A45" s="7">
        <v>1</v>
      </c>
      <c r="B45" s="90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1.5363953999999999E-2</v>
      </c>
    </row>
    <row r="46" spans="1:14">
      <c r="A46" s="7">
        <v>17</v>
      </c>
      <c r="B46" s="90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14">
      <c r="A47" s="7">
        <v>18</v>
      </c>
      <c r="B47" s="90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0</v>
      </c>
      <c r="I47" s="50">
        <f>AVERAGE(F45:F47)</f>
        <v>2.3546882166015268</v>
      </c>
      <c r="J47" s="50">
        <f>AVERAGE(G45:G47)</f>
        <v>7.6819769999999996E-3</v>
      </c>
      <c r="L47">
        <f>+J47/I47</f>
        <v>3.262417905622868E-3</v>
      </c>
      <c r="M47">
        <f>+(L47-$L$913)/$L$914</f>
        <v>-0.24053662514894594</v>
      </c>
      <c r="N47">
        <f>+N44+M47</f>
        <v>-2.9803378321983574</v>
      </c>
    </row>
    <row r="48" spans="1:14">
      <c r="A48" s="15">
        <v>1</v>
      </c>
      <c r="B48" s="91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0</v>
      </c>
    </row>
    <row r="49" spans="1:14">
      <c r="A49" s="7">
        <v>17</v>
      </c>
      <c r="B49" s="90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0</v>
      </c>
    </row>
    <row r="50" spans="1:14">
      <c r="A50" s="7">
        <v>18</v>
      </c>
      <c r="B50" s="90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0</v>
      </c>
      <c r="I50" s="50">
        <f>AVERAGE(F48:F50)</f>
        <v>3.1305775427290095</v>
      </c>
      <c r="J50" s="50">
        <f>AVERAGE(G48:G50)</f>
        <v>0</v>
      </c>
      <c r="L50">
        <f>+J50/I50</f>
        <v>0</v>
      </c>
      <c r="M50">
        <f>+(L50-$L$913)/$L$914</f>
        <v>-0.44434743109797642</v>
      </c>
      <c r="N50">
        <f>+N47+M50</f>
        <v>-3.4246852632963338</v>
      </c>
    </row>
    <row r="51" spans="1:14">
      <c r="A51" s="11">
        <v>1</v>
      </c>
      <c r="B51" s="90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0</v>
      </c>
    </row>
    <row r="52" spans="1:14">
      <c r="A52" s="11">
        <v>17</v>
      </c>
      <c r="B52" s="90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9.934635666666667E-3</v>
      </c>
    </row>
    <row r="53" spans="1:14">
      <c r="A53" s="11">
        <v>18</v>
      </c>
      <c r="B53" s="90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0</v>
      </c>
      <c r="I53" s="50">
        <f>AVERAGE(F51:F53)</f>
        <v>6.2624215106362255</v>
      </c>
      <c r="J53" s="50">
        <f>AVERAGE(G51:G53)</f>
        <v>3.3115452222222223E-3</v>
      </c>
      <c r="L53">
        <f>+J53/I53</f>
        <v>5.2879628376943742E-4</v>
      </c>
      <c r="M53">
        <f>+(L53-$L$913)/$L$914</f>
        <v>-0.41131230197115637</v>
      </c>
      <c r="N53">
        <f>+N50+M53</f>
        <v>-3.83599756526749</v>
      </c>
    </row>
    <row r="54" spans="1:14">
      <c r="A54" s="7">
        <v>1</v>
      </c>
      <c r="B54" s="90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0</v>
      </c>
    </row>
    <row r="55" spans="1:14">
      <c r="A55" s="7">
        <v>17</v>
      </c>
      <c r="B55" s="90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9.1552474999999994E-2</v>
      </c>
    </row>
    <row r="56" spans="1:14">
      <c r="A56" s="7">
        <v>18</v>
      </c>
      <c r="B56" s="90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0</v>
      </c>
      <c r="I56" s="50">
        <f>AVERAGE(F54:F56)</f>
        <v>4.8361604254490045</v>
      </c>
      <c r="J56" s="50">
        <f>AVERAGE(G54:G56)</f>
        <v>3.0517491666666664E-2</v>
      </c>
      <c r="L56">
        <f>+J56/I56</f>
        <v>6.3102728160291171E-3</v>
      </c>
      <c r="M56">
        <f>+(L56-$L$913)/$L$914</f>
        <v>-5.0130066677397347E-2</v>
      </c>
      <c r="N56">
        <f>+N53+M56</f>
        <v>-3.8861276319448872</v>
      </c>
    </row>
    <row r="57" spans="1:14">
      <c r="A57" s="7">
        <v>1</v>
      </c>
      <c r="B57" s="90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7.0551051166666656E-2</v>
      </c>
    </row>
    <row r="58" spans="1:14">
      <c r="A58" s="7">
        <v>17</v>
      </c>
      <c r="B58" s="90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2.1250345666666667E-2</v>
      </c>
    </row>
    <row r="59" spans="1:14">
      <c r="A59" s="7">
        <v>18</v>
      </c>
      <c r="B59" s="90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0</v>
      </c>
      <c r="I59" s="50">
        <f>AVERAGE(F57:F59)</f>
        <v>0.83021194009765209</v>
      </c>
      <c r="J59" s="50">
        <f>AVERAGE(G57:G59)</f>
        <v>3.060046561111111E-2</v>
      </c>
      <c r="L59">
        <f>+J59/I59</f>
        <v>3.6858619026259476E-2</v>
      </c>
      <c r="M59">
        <f>+(L59-$L$913)/$L$914</f>
        <v>1.8582959049880454</v>
      </c>
      <c r="N59">
        <f>+N56+M59</f>
        <v>-2.0278317269568418</v>
      </c>
    </row>
    <row r="60" spans="1:14">
      <c r="A60" s="7">
        <v>1</v>
      </c>
      <c r="B60" s="90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1.9410311000000003E-2</v>
      </c>
    </row>
    <row r="61" spans="1:14">
      <c r="A61" s="7">
        <v>17</v>
      </c>
      <c r="B61" s="90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0</v>
      </c>
    </row>
    <row r="62" spans="1:14">
      <c r="A62" s="7">
        <v>18</v>
      </c>
      <c r="B62" s="90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0</v>
      </c>
      <c r="I62" s="50">
        <f>AVERAGE(F60:F62)</f>
        <v>1.8843840091707824</v>
      </c>
      <c r="J62" s="50">
        <f>AVERAGE(G60:G62)</f>
        <v>6.4701036666666677E-3</v>
      </c>
      <c r="L62">
        <f>+J62/I62</f>
        <v>3.4335377689358646E-3</v>
      </c>
      <c r="M62">
        <f>+(L62-$L$913)/$L$914</f>
        <v>-0.22984637078404688</v>
      </c>
      <c r="N62">
        <f>+N59+M62</f>
        <v>-2.2576780977408886</v>
      </c>
    </row>
    <row r="63" spans="1:14">
      <c r="A63" s="7">
        <v>1</v>
      </c>
      <c r="B63" s="90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0.69461727999999989</v>
      </c>
    </row>
    <row r="64" spans="1:14">
      <c r="A64" s="7">
        <v>17</v>
      </c>
      <c r="B64" s="90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8.5789624500000009E-2</v>
      </c>
    </row>
    <row r="65" spans="1:14">
      <c r="A65" s="7">
        <v>18</v>
      </c>
      <c r="B65" s="90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4.4599097184999996</v>
      </c>
      <c r="I65" s="50">
        <f>AVERAGE(F63:F65)</f>
        <v>12.253997377971961</v>
      </c>
      <c r="J65" s="50">
        <f>AVERAGE(G63:G65)</f>
        <v>1.7467722076666667</v>
      </c>
      <c r="L65">
        <f>+J65/I65</f>
        <v>0.14254713411369752</v>
      </c>
      <c r="M65">
        <f>+(L65-$L$913)/$L$914</f>
        <v>8.4609023345326566</v>
      </c>
      <c r="N65">
        <f>+N62+M65</f>
        <v>6.203224236791768</v>
      </c>
    </row>
    <row r="66" spans="1:14">
      <c r="A66" s="7">
        <v>1</v>
      </c>
      <c r="B66" s="90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6.2093097833333333E-2</v>
      </c>
    </row>
    <row r="67" spans="1:14">
      <c r="A67" s="7">
        <v>17</v>
      </c>
      <c r="B67" s="90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2.0420275333333331E-2</v>
      </c>
    </row>
    <row r="68" spans="1:14">
      <c r="A68" s="7">
        <v>18</v>
      </c>
      <c r="B68" s="90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0</v>
      </c>
      <c r="I68" s="50">
        <f>AVERAGE(F66:F68)</f>
        <v>10.896221748079236</v>
      </c>
      <c r="J68" s="50">
        <f>AVERAGE(G66:G68)</f>
        <v>2.7504457722222223E-2</v>
      </c>
      <c r="L68">
        <f>+J68/I68</f>
        <v>2.524219711944707E-3</v>
      </c>
      <c r="M68">
        <f>+(L68-$L$913)/$L$914</f>
        <v>-0.2866535767952556</v>
      </c>
      <c r="N68">
        <f>+N65+M68</f>
        <v>5.9165706599965127</v>
      </c>
    </row>
    <row r="69" spans="1:14">
      <c r="A69" s="7">
        <v>1</v>
      </c>
      <c r="B69" s="90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0</v>
      </c>
    </row>
    <row r="70" spans="1:14">
      <c r="A70" s="7">
        <v>17</v>
      </c>
      <c r="B70" s="90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0</v>
      </c>
    </row>
    <row r="71" spans="1:14">
      <c r="A71" s="7">
        <v>18</v>
      </c>
      <c r="B71" s="90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0</v>
      </c>
      <c r="I71" s="50">
        <f>AVERAGE(F69:F71)</f>
        <v>5.3010215382113168</v>
      </c>
      <c r="J71" s="50">
        <f>AVERAGE(G69:G71)</f>
        <v>0</v>
      </c>
      <c r="L71">
        <f>+J71/I71</f>
        <v>0</v>
      </c>
      <c r="M71">
        <f>+(L71-$L$913)/$L$914</f>
        <v>-0.44434743109797642</v>
      </c>
      <c r="N71">
        <f>+N68+M71</f>
        <v>5.4722232288985362</v>
      </c>
    </row>
    <row r="72" spans="1:14">
      <c r="A72" s="7">
        <v>1</v>
      </c>
      <c r="B72" s="90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0</v>
      </c>
    </row>
    <row r="73" spans="1:14">
      <c r="A73" s="7">
        <v>17</v>
      </c>
      <c r="B73" s="90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4.6307609E-2</v>
      </c>
    </row>
    <row r="74" spans="1:14">
      <c r="A74" s="7">
        <v>18</v>
      </c>
      <c r="B74" s="90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0</v>
      </c>
      <c r="I74" s="50">
        <f>AVERAGE(F72:F74)</f>
        <v>4.4773063431794577</v>
      </c>
      <c r="J74" s="50">
        <f>AVERAGE(G72:G74)</f>
        <v>1.5435869666666666E-2</v>
      </c>
      <c r="L74">
        <f>+J74/I74</f>
        <v>3.4475795229381673E-3</v>
      </c>
      <c r="M74">
        <f>+(L74-$L$913)/$L$914</f>
        <v>-0.22896914987521882</v>
      </c>
      <c r="N74">
        <f>+N71+M74</f>
        <v>5.2432540790233171</v>
      </c>
    </row>
    <row r="75" spans="1:14">
      <c r="A75" s="7">
        <v>1</v>
      </c>
      <c r="B75" s="90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24">
        <v>1.6636572853277739E-2</v>
      </c>
    </row>
    <row r="76" spans="1:14">
      <c r="A76" s="7">
        <v>17</v>
      </c>
      <c r="B76" s="90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24">
        <v>3.5328058678657667E-2</v>
      </c>
    </row>
    <row r="77" spans="1:14">
      <c r="A77" s="7">
        <v>18</v>
      </c>
      <c r="B77" s="90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24">
        <v>3.310642420076302E-2</v>
      </c>
      <c r="I77" s="50">
        <f>AVERAGE(F75:F77)</f>
        <v>3.2566932007718798</v>
      </c>
      <c r="J77" s="50">
        <f>AVERAGE(G75:G77)</f>
        <v>2.8357018577566145E-2</v>
      </c>
      <c r="L77">
        <f>+J77/I77</f>
        <v>8.7073042590702591E-3</v>
      </c>
      <c r="M77">
        <f>+(L77-$L$913)/$L$914</f>
        <v>9.9618041757567055E-2</v>
      </c>
      <c r="N77">
        <f>+N74+M77</f>
        <v>5.3428721207808838</v>
      </c>
    </row>
    <row r="78" spans="1:14">
      <c r="A78" s="7">
        <v>1</v>
      </c>
      <c r="B78" s="90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24">
        <v>1.5416244251338534E-2</v>
      </c>
    </row>
    <row r="79" spans="1:14">
      <c r="A79" s="7">
        <v>17</v>
      </c>
      <c r="B79" s="90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24">
        <v>2.6160391787787392E-2</v>
      </c>
    </row>
    <row r="80" spans="1:14">
      <c r="A80" s="7">
        <v>18</v>
      </c>
      <c r="B80" s="90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24">
        <v>3.1313205704229685E-2</v>
      </c>
      <c r="I80" s="50">
        <f>AVERAGE(F78:F80)</f>
        <v>5.3516280588786396</v>
      </c>
      <c r="J80" s="50">
        <f>AVERAGE(G78:G80)</f>
        <v>2.429661391445187E-2</v>
      </c>
      <c r="L80">
        <f>+J80/I80</f>
        <v>4.5400415812048966E-3</v>
      </c>
      <c r="M80">
        <f>+(L80-$L$913)/$L$914</f>
        <v>-0.16072051373932536</v>
      </c>
      <c r="N80">
        <f>+N77+M80</f>
        <v>5.1821516070415585</v>
      </c>
    </row>
    <row r="81" spans="1:14">
      <c r="A81" s="7">
        <v>1</v>
      </c>
      <c r="B81" s="90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24">
        <v>4.8309744266764765E-2</v>
      </c>
    </row>
    <row r="82" spans="1:14">
      <c r="A82" s="7">
        <v>17</v>
      </c>
      <c r="B82" s="90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24">
        <v>7.8682622421913886E-2</v>
      </c>
    </row>
    <row r="83" spans="1:14">
      <c r="A83" s="7">
        <v>18</v>
      </c>
      <c r="B83" s="90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24">
        <v>5.3101919303999691E-2</v>
      </c>
      <c r="I83" s="50">
        <f>AVERAGE(F81:F83)</f>
        <v>6.9162922164340896</v>
      </c>
      <c r="J83" s="50">
        <f>AVERAGE(G81:G83)</f>
        <v>6.0031428664226109E-2</v>
      </c>
      <c r="L83">
        <f>+J83/I83</f>
        <v>8.6797125953676363E-3</v>
      </c>
      <c r="M83">
        <f>+(L83-$L$913)/$L$914</f>
        <v>9.7894326593113742E-2</v>
      </c>
      <c r="N83">
        <f>+N80+M83</f>
        <v>5.2800459336346721</v>
      </c>
    </row>
    <row r="84" spans="1:14">
      <c r="A84" s="15">
        <v>1</v>
      </c>
      <c r="B84" s="91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24">
        <v>1.0671651698058029E-2</v>
      </c>
    </row>
    <row r="85" spans="1:14">
      <c r="A85" s="7">
        <v>17</v>
      </c>
      <c r="B85" s="90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24">
        <v>1.3942938343304323E-2</v>
      </c>
    </row>
    <row r="86" spans="1:14">
      <c r="A86" s="7">
        <v>18</v>
      </c>
      <c r="B86" s="90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24">
        <v>2.245341532265608E-2</v>
      </c>
      <c r="I86" s="50">
        <f>AVERAGE(F84:F86)</f>
        <v>2.8921371672349765</v>
      </c>
      <c r="J86" s="50">
        <f>AVERAGE(G84:G86)</f>
        <v>1.5689335121339475E-2</v>
      </c>
      <c r="L86">
        <f>+J86/I86</f>
        <v>5.4248240018087528E-3</v>
      </c>
      <c r="M86">
        <f>+(L86-$L$913)/$L$914</f>
        <v>-0.10544610578502701</v>
      </c>
      <c r="N86">
        <f>+N83+M86</f>
        <v>5.1745998278496455</v>
      </c>
    </row>
    <row r="87" spans="1:14">
      <c r="A87" s="7">
        <v>1</v>
      </c>
      <c r="B87" s="90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24">
        <v>2.3401141668673815E-2</v>
      </c>
    </row>
    <row r="88" spans="1:14">
      <c r="A88" s="7">
        <v>17</v>
      </c>
      <c r="B88" s="90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24">
        <v>4.5284374133266948E-2</v>
      </c>
    </row>
    <row r="89" spans="1:14">
      <c r="A89" s="7">
        <v>18</v>
      </c>
      <c r="B89" s="90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24">
        <v>6.5386664810612241E-2</v>
      </c>
      <c r="I89" s="50">
        <f>AVERAGE(F87:F89)</f>
        <v>3.8102926952233851</v>
      </c>
      <c r="J89" s="50">
        <f>AVERAGE(G87:G89)</f>
        <v>4.4690726870850996E-2</v>
      </c>
      <c r="L89">
        <f>+J89/I89</f>
        <v>1.1728948520641384E-2</v>
      </c>
      <c r="M89">
        <f>+(L89-$L$913)/$L$914</f>
        <v>0.28838716026339983</v>
      </c>
      <c r="N89">
        <f>+N86+M89</f>
        <v>5.4629869881130455</v>
      </c>
    </row>
    <row r="90" spans="1:14">
      <c r="A90" s="7">
        <v>1</v>
      </c>
      <c r="B90" s="86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24">
        <v>2.3124230645309968E-2</v>
      </c>
    </row>
    <row r="91" spans="1:14">
      <c r="A91" s="7">
        <v>17</v>
      </c>
      <c r="B91" s="86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24">
        <v>5.6486841036476623E-2</v>
      </c>
    </row>
    <row r="92" spans="1:14">
      <c r="A92" s="7">
        <v>18</v>
      </c>
      <c r="B92" s="86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24">
        <v>5.1578296273171904E-2</v>
      </c>
      <c r="I92" s="50">
        <f>AVERAGE(F90:F92)</f>
        <v>3.0087810350962401</v>
      </c>
      <c r="J92" s="50">
        <f>AVERAGE(G90:G92)</f>
        <v>4.3729789318319501E-2</v>
      </c>
      <c r="L92">
        <f>+J92/I92</f>
        <v>1.4534055090160704E-2</v>
      </c>
      <c r="M92">
        <f>+(L92-$L$913)/$L$914</f>
        <v>0.46362866740486475</v>
      </c>
      <c r="N92">
        <f>+N89+M92</f>
        <v>5.9266156555179101</v>
      </c>
    </row>
    <row r="93" spans="1:14">
      <c r="A93" s="7">
        <v>1</v>
      </c>
      <c r="B93" s="86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24">
        <v>2.7582169021093471E-2</v>
      </c>
    </row>
    <row r="94" spans="1:14">
      <c r="A94" s="7">
        <v>17</v>
      </c>
      <c r="B94" s="86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24">
        <v>6.5803622651776777E-2</v>
      </c>
    </row>
    <row r="95" spans="1:14">
      <c r="A95" s="7">
        <v>18</v>
      </c>
      <c r="B95" s="86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24">
        <v>5.55368569967159E-2</v>
      </c>
      <c r="I95" s="50">
        <f>AVERAGE(F93:F95)</f>
        <v>2.5730582982118841</v>
      </c>
      <c r="J95" s="50">
        <f>AVERAGE(G93:G95)</f>
        <v>4.9640882889862049E-2</v>
      </c>
      <c r="L95">
        <f>+J95/I95</f>
        <v>1.9292560500614921E-2</v>
      </c>
      <c r="M95">
        <f>+(L95-$L$913)/$L$914</f>
        <v>0.76090352638168646</v>
      </c>
      <c r="N95">
        <f>+N92+M95</f>
        <v>6.6875191818995967</v>
      </c>
    </row>
    <row r="96" spans="1:14">
      <c r="A96" s="7">
        <v>1</v>
      </c>
      <c r="B96" s="86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13">
        <v>0.17066009204609991</v>
      </c>
    </row>
    <row r="97" spans="1:14">
      <c r="A97" s="7">
        <v>17</v>
      </c>
      <c r="B97" s="86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13">
        <v>8.7581782461342655E-2</v>
      </c>
    </row>
    <row r="98" spans="1:14">
      <c r="A98" s="7">
        <v>18</v>
      </c>
      <c r="B98" s="86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13">
        <v>0.11894565526673036</v>
      </c>
      <c r="I98" s="50">
        <f>AVERAGE(F96:F98)</f>
        <v>4.6564320563864543</v>
      </c>
      <c r="J98" s="50">
        <f>AVERAGE(G96:G98)</f>
        <v>0.12572917659139096</v>
      </c>
      <c r="L98">
        <f>+J98/I98</f>
        <v>2.7001183539003677E-2</v>
      </c>
      <c r="M98">
        <f>+(L98-$L$913)/$L$914</f>
        <v>1.242479069325906</v>
      </c>
      <c r="N98">
        <f>+N95+M98</f>
        <v>7.9299982512255029</v>
      </c>
    </row>
    <row r="99" spans="1:14">
      <c r="A99" s="7">
        <v>1</v>
      </c>
      <c r="B99" s="86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13">
        <v>0.70446526003579824</v>
      </c>
    </row>
    <row r="100" spans="1:14">
      <c r="A100" s="7">
        <v>17</v>
      </c>
      <c r="B100" s="86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13">
        <v>0.5149388184673388</v>
      </c>
    </row>
    <row r="101" spans="1:14">
      <c r="A101" s="7">
        <v>18</v>
      </c>
      <c r="B101" s="86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13">
        <v>1.0873586941967854</v>
      </c>
      <c r="I101" s="50">
        <f>AVERAGE(F99:F101)</f>
        <v>8.6267009313882834</v>
      </c>
      <c r="J101" s="50">
        <f>AVERAGE(G99:G101)</f>
        <v>0.7689209242333076</v>
      </c>
      <c r="L101">
        <f>+J101/I101</f>
        <v>8.9132674280568369E-2</v>
      </c>
      <c r="M101">
        <f>+(L101-$L$913)/$L$914</f>
        <v>5.1239772615188421</v>
      </c>
      <c r="N101">
        <f>+N98+M101</f>
        <v>13.053975512744344</v>
      </c>
    </row>
    <row r="102" spans="1:14">
      <c r="A102" s="7">
        <v>1</v>
      </c>
      <c r="B102" s="86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13">
        <v>5.0371645276625639E-2</v>
      </c>
    </row>
    <row r="103" spans="1:14">
      <c r="A103" s="7">
        <v>17</v>
      </c>
      <c r="B103" s="86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13">
        <v>0</v>
      </c>
    </row>
    <row r="104" spans="1:14">
      <c r="A104" s="7">
        <v>18</v>
      </c>
      <c r="B104" s="86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13">
        <v>0</v>
      </c>
      <c r="I104" s="50">
        <f>AVERAGE(F102:F104)</f>
        <v>5.80724571678671</v>
      </c>
      <c r="J104" s="50">
        <f>AVERAGE(G102:G104)</f>
        <v>1.6790548425541878E-2</v>
      </c>
      <c r="L104">
        <f>+J104/I104</f>
        <v>2.8913101398493081E-3</v>
      </c>
      <c r="M104">
        <f>+(L104-$L$913)/$L$914</f>
        <v>-0.26372058717474678</v>
      </c>
      <c r="N104">
        <f>+N101+M104</f>
        <v>12.790254925569597</v>
      </c>
    </row>
    <row r="105" spans="1:14">
      <c r="A105" s="7">
        <v>1</v>
      </c>
      <c r="B105" s="86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13">
        <v>2.1818651282363044E-2</v>
      </c>
    </row>
    <row r="106" spans="1:14">
      <c r="A106" s="7">
        <v>17</v>
      </c>
      <c r="B106" s="86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13">
        <v>0</v>
      </c>
    </row>
    <row r="107" spans="1:14">
      <c r="A107" s="7">
        <v>18</v>
      </c>
      <c r="B107" s="86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13">
        <v>2.7283835169759151E-2</v>
      </c>
      <c r="I107" s="50">
        <f>AVERAGE(F105:F107)</f>
        <v>10.532906639870701</v>
      </c>
      <c r="J107" s="50">
        <f>AVERAGE(G105:G107)</f>
        <v>1.636749548404073E-2</v>
      </c>
      <c r="L107">
        <f>+J107/I107</f>
        <v>1.553939101869952E-3</v>
      </c>
      <c r="M107">
        <f>+(L107-$L$913)/$L$914</f>
        <v>-0.34726925475460557</v>
      </c>
      <c r="N107">
        <f>+N104+M107</f>
        <v>12.442985670814991</v>
      </c>
    </row>
    <row r="108" spans="1:14">
      <c r="A108" s="7">
        <v>1</v>
      </c>
      <c r="B108" s="86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13">
        <v>1.2857572114177247E-2</v>
      </c>
    </row>
    <row r="109" spans="1:14">
      <c r="A109" s="7">
        <v>17</v>
      </c>
      <c r="B109" s="86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13">
        <v>0</v>
      </c>
    </row>
    <row r="110" spans="1:14">
      <c r="A110" s="7">
        <v>18</v>
      </c>
      <c r="B110" s="86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13">
        <v>0</v>
      </c>
      <c r="I110" s="50">
        <f>AVERAGE(F108:F110)</f>
        <v>4.6599635827797288</v>
      </c>
      <c r="J110" s="50">
        <f>AVERAGE(G108:G110)</f>
        <v>4.2858573713924156E-3</v>
      </c>
      <c r="L110">
        <f>+J110/I110</f>
        <v>9.1971906974342625E-4</v>
      </c>
      <c r="M110">
        <f>+(L110-$L$913)/$L$914</f>
        <v>-0.38689044971983128</v>
      </c>
      <c r="N110">
        <f>+N107+M110</f>
        <v>12.056095221095161</v>
      </c>
    </row>
    <row r="111" spans="1:14">
      <c r="A111" s="7">
        <v>1</v>
      </c>
      <c r="B111" s="86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0</v>
      </c>
    </row>
    <row r="112" spans="1:14">
      <c r="A112" s="7">
        <v>17</v>
      </c>
      <c r="B112" s="86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0</v>
      </c>
    </row>
    <row r="113" spans="1:14">
      <c r="A113" s="7">
        <v>18</v>
      </c>
      <c r="B113" s="86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2.0906942703693018E-2</v>
      </c>
      <c r="I113" s="50">
        <f>AVERAGE(F111:F113)</f>
        <v>3.6195663869928301</v>
      </c>
      <c r="J113" s="50">
        <f>AVERAGE(G111:G113)</f>
        <v>6.9689809012310061E-3</v>
      </c>
      <c r="L113">
        <f>+J113/I113</f>
        <v>1.925363470683819E-3</v>
      </c>
      <c r="M113">
        <f>+(L113-$L$913)/$L$914</f>
        <v>-0.32406551380327231</v>
      </c>
      <c r="N113">
        <f>+N110+M113</f>
        <v>11.732029707291888</v>
      </c>
    </row>
    <row r="114" spans="1:14">
      <c r="A114" s="7">
        <v>1</v>
      </c>
      <c r="B114" s="86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0</v>
      </c>
    </row>
    <row r="115" spans="1:14">
      <c r="A115" s="7">
        <v>17</v>
      </c>
      <c r="B115" s="86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0</v>
      </c>
    </row>
    <row r="116" spans="1:14">
      <c r="A116" s="7">
        <v>18</v>
      </c>
      <c r="B116" s="86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0</v>
      </c>
      <c r="I116" s="50">
        <f>AVERAGE(F114:F116)</f>
        <v>1.3662578893211534</v>
      </c>
      <c r="J116" s="50">
        <f>AVERAGE(G114:G116)</f>
        <v>0</v>
      </c>
      <c r="L116">
        <f>+J116/I116</f>
        <v>0</v>
      </c>
      <c r="M116">
        <f>+(L116-$L$913)/$L$914</f>
        <v>-0.44434743109797642</v>
      </c>
      <c r="N116">
        <f>+N113+M116</f>
        <v>11.287682276193912</v>
      </c>
    </row>
    <row r="117" spans="1:14">
      <c r="A117" s="7">
        <v>1</v>
      </c>
      <c r="B117" s="86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0</v>
      </c>
    </row>
    <row r="118" spans="1:14">
      <c r="A118" s="7">
        <v>17</v>
      </c>
      <c r="B118" s="86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0</v>
      </c>
    </row>
    <row r="119" spans="1:14">
      <c r="A119" s="7">
        <v>18</v>
      </c>
      <c r="B119" s="86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0</v>
      </c>
      <c r="I119" s="50">
        <f>AVERAGE(F117:F119)</f>
        <v>3.3937939526405896</v>
      </c>
      <c r="J119" s="50">
        <f>AVERAGE(G117:G119)</f>
        <v>0</v>
      </c>
      <c r="L119">
        <f>+J119/I119</f>
        <v>0</v>
      </c>
      <c r="M119">
        <f>+(L119-$L$913)/$L$914</f>
        <v>-0.44434743109797642</v>
      </c>
      <c r="N119">
        <f>+N116+M119</f>
        <v>10.843334845095937</v>
      </c>
    </row>
    <row r="120" spans="1:14">
      <c r="A120" s="15">
        <v>1</v>
      </c>
      <c r="B120" s="92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0</v>
      </c>
    </row>
    <row r="121" spans="1:14">
      <c r="A121" s="7">
        <v>17</v>
      </c>
      <c r="B121" s="86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0</v>
      </c>
    </row>
    <row r="122" spans="1:14">
      <c r="A122" s="7">
        <v>18</v>
      </c>
      <c r="B122" s="86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0</v>
      </c>
      <c r="I122" s="50">
        <f>AVERAGE(F120:F122)</f>
        <v>11.371850966102457</v>
      </c>
      <c r="J122" s="50">
        <f>AVERAGE(G120:G122)</f>
        <v>0</v>
      </c>
      <c r="L122">
        <f>+J122/I122</f>
        <v>0</v>
      </c>
      <c r="M122">
        <f>+(L122-$L$913)/$L$914</f>
        <v>-0.44434743109797642</v>
      </c>
      <c r="N122">
        <f>+N119+M122</f>
        <v>10.398987413997961</v>
      </c>
    </row>
    <row r="123" spans="1:14">
      <c r="A123" s="7">
        <v>1</v>
      </c>
      <c r="B123" s="86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0</v>
      </c>
    </row>
    <row r="124" spans="1:14">
      <c r="A124" s="7">
        <v>17</v>
      </c>
      <c r="B124" s="86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0</v>
      </c>
    </row>
    <row r="125" spans="1:14">
      <c r="A125" s="7">
        <v>18</v>
      </c>
      <c r="B125" s="86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0</v>
      </c>
      <c r="I125" s="50">
        <f>AVERAGE(F123:F125)</f>
        <v>7.3097050707579028</v>
      </c>
      <c r="J125" s="50">
        <f>AVERAGE(G123:G125)</f>
        <v>0</v>
      </c>
      <c r="L125">
        <f>+J125/I125</f>
        <v>0</v>
      </c>
      <c r="M125">
        <f>+(L125-$L$913)/$L$914</f>
        <v>-0.44434743109797642</v>
      </c>
      <c r="N125">
        <f>+N122+M125</f>
        <v>9.9546399828999856</v>
      </c>
    </row>
    <row r="126" spans="1:14">
      <c r="A126" s="7">
        <v>1</v>
      </c>
      <c r="B126" s="86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0</v>
      </c>
    </row>
    <row r="127" spans="1:14">
      <c r="A127" s="7">
        <v>17</v>
      </c>
      <c r="B127" s="86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0</v>
      </c>
    </row>
    <row r="128" spans="1:14">
      <c r="A128" s="7">
        <v>18</v>
      </c>
      <c r="B128" s="86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0</v>
      </c>
      <c r="I128" s="50">
        <f>AVERAGE(F126:F128)</f>
        <v>7.0365946722071486</v>
      </c>
      <c r="J128" s="50">
        <f>AVERAGE(G126:G128)</f>
        <v>0</v>
      </c>
      <c r="L128">
        <f>+J128/I128</f>
        <v>0</v>
      </c>
      <c r="M128">
        <f>+(L128-$L$913)/$L$914</f>
        <v>-0.44434743109797642</v>
      </c>
      <c r="N128">
        <f>+N125+M128</f>
        <v>9.5102925518020101</v>
      </c>
    </row>
    <row r="129" spans="1:14">
      <c r="A129" s="7">
        <v>1</v>
      </c>
      <c r="B129" s="86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0.13300942815764913</v>
      </c>
    </row>
    <row r="130" spans="1:14">
      <c r="A130" s="7">
        <v>17</v>
      </c>
      <c r="B130" s="86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0.10797724273443191</v>
      </c>
    </row>
    <row r="131" spans="1:14">
      <c r="A131" s="7">
        <v>18</v>
      </c>
      <c r="B131" s="86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0.12445558623295776</v>
      </c>
      <c r="I131" s="50">
        <f>AVERAGE(F129:F131)</f>
        <v>10.135393671482817</v>
      </c>
      <c r="J131" s="50">
        <f>AVERAGE(G129:G131)</f>
        <v>0.12181408570834627</v>
      </c>
      <c r="L131">
        <f>+J131/I131</f>
        <v>1.2018683206266104E-2</v>
      </c>
      <c r="M131">
        <f>+(L131-$L$913)/$L$914</f>
        <v>0.3064875574218347</v>
      </c>
      <c r="N131">
        <f>+N128+M131</f>
        <v>9.8167801092238456</v>
      </c>
    </row>
    <row r="132" spans="1:14">
      <c r="A132" s="7">
        <v>1</v>
      </c>
      <c r="B132" s="86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0</v>
      </c>
    </row>
    <row r="133" spans="1:14">
      <c r="A133" s="7">
        <v>17</v>
      </c>
      <c r="B133" s="86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0</v>
      </c>
    </row>
    <row r="134" spans="1:14">
      <c r="A134" s="7">
        <v>18</v>
      </c>
      <c r="B134" s="86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0</v>
      </c>
      <c r="I134" s="50">
        <f>AVERAGE(F132:F134)</f>
        <v>1.8926299759064262</v>
      </c>
      <c r="J134" s="50">
        <f>AVERAGE(G132:G134)</f>
        <v>0</v>
      </c>
      <c r="L134">
        <f>+J134/I134</f>
        <v>0</v>
      </c>
      <c r="M134">
        <f>+(L134-$L$913)/$L$914</f>
        <v>-0.44434743109797642</v>
      </c>
      <c r="N134">
        <f>+N131+M134</f>
        <v>9.37243267812587</v>
      </c>
    </row>
    <row r="135" spans="1:14">
      <c r="A135" s="7">
        <v>1</v>
      </c>
      <c r="B135" s="86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4.915216666957814E-2</v>
      </c>
    </row>
    <row r="136" spans="1:14">
      <c r="A136" s="7">
        <v>17</v>
      </c>
      <c r="B136" s="86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0</v>
      </c>
    </row>
    <row r="137" spans="1:14">
      <c r="A137" s="7">
        <v>18</v>
      </c>
      <c r="B137" s="86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6.1259409337830875E-2</v>
      </c>
      <c r="I137" s="50">
        <f>AVERAGE(F135:F137)</f>
        <v>4.2917729765473558</v>
      </c>
      <c r="J137" s="50">
        <f>AVERAGE(G135:G137)</f>
        <v>3.6803858669136338E-2</v>
      </c>
      <c r="L137">
        <f>+J137/I137</f>
        <v>8.5754439645929961E-3</v>
      </c>
      <c r="M137">
        <f>+(L137-$L$913)/$L$914</f>
        <v>9.1380423626619328E-2</v>
      </c>
      <c r="N137">
        <f>+N134+M137</f>
        <v>9.4638131017524891</v>
      </c>
    </row>
    <row r="138" spans="1:14">
      <c r="A138" s="7">
        <v>1</v>
      </c>
      <c r="B138" s="86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0.10496801419124108</v>
      </c>
    </row>
    <row r="139" spans="1:14">
      <c r="A139" s="7">
        <v>17</v>
      </c>
      <c r="B139" s="86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8.9453088607300016E-2</v>
      </c>
    </row>
    <row r="140" spans="1:14">
      <c r="A140" s="7">
        <v>18</v>
      </c>
      <c r="B140" s="86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6.9861849813594626E-2</v>
      </c>
      <c r="I140" s="50">
        <f>AVERAGE(F138:F140)</f>
        <v>9.6287058091933027</v>
      </c>
      <c r="J140" s="50">
        <f>AVERAGE(G138:G140)</f>
        <v>8.8094317537378564E-2</v>
      </c>
      <c r="L140">
        <f>+J140/I140</f>
        <v>9.1491337759294512E-3</v>
      </c>
      <c r="M140">
        <f>+(L140-$L$913)/$L$914</f>
        <v>0.12722015544384238</v>
      </c>
      <c r="N140">
        <f>+N137+M140</f>
        <v>9.5910332571963313</v>
      </c>
    </row>
    <row r="141" spans="1:14">
      <c r="A141" s="7">
        <v>1</v>
      </c>
      <c r="B141" s="86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0</v>
      </c>
    </row>
    <row r="142" spans="1:14">
      <c r="A142" s="7">
        <v>17</v>
      </c>
      <c r="B142" s="86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0</v>
      </c>
    </row>
    <row r="143" spans="1:14">
      <c r="A143" s="7">
        <v>18</v>
      </c>
      <c r="B143" s="86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0</v>
      </c>
      <c r="I143" s="50">
        <f>AVERAGE(F141:F143)</f>
        <v>15.816355382808114</v>
      </c>
      <c r="J143" s="50">
        <f>AVERAGE(G141:G143)</f>
        <v>0</v>
      </c>
      <c r="L143">
        <f>+J143/I143</f>
        <v>0</v>
      </c>
      <c r="M143">
        <f>+(L143-$L$913)/$L$914</f>
        <v>-0.44434743109797642</v>
      </c>
      <c r="N143">
        <f>+N140+M143</f>
        <v>9.1466858260983557</v>
      </c>
    </row>
    <row r="144" spans="1:14">
      <c r="A144" s="7">
        <v>1</v>
      </c>
      <c r="B144" s="86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0</v>
      </c>
    </row>
    <row r="145" spans="1:14">
      <c r="A145" s="7">
        <v>17</v>
      </c>
      <c r="B145" s="86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0</v>
      </c>
    </row>
    <row r="146" spans="1:14">
      <c r="A146" s="7">
        <v>18</v>
      </c>
      <c r="B146" s="86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</v>
      </c>
      <c r="I146" s="50">
        <f>AVERAGE(F144:F146)</f>
        <v>3.5867332762892858</v>
      </c>
      <c r="J146" s="50">
        <f>AVERAGE(G144:G146)</f>
        <v>0</v>
      </c>
      <c r="L146">
        <f>+J146/I146</f>
        <v>0</v>
      </c>
      <c r="M146">
        <f>+(L146-$L$913)/$L$914</f>
        <v>-0.44434743109797642</v>
      </c>
      <c r="N146">
        <f>+N143+M146</f>
        <v>8.7023383950003801</v>
      </c>
    </row>
    <row r="147" spans="1:14">
      <c r="A147" s="7">
        <v>1</v>
      </c>
      <c r="B147" s="86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0</v>
      </c>
    </row>
    <row r="148" spans="1:14">
      <c r="A148" s="7">
        <v>17</v>
      </c>
      <c r="B148" s="86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0</v>
      </c>
    </row>
    <row r="149" spans="1:14">
      <c r="A149" s="7">
        <v>18</v>
      </c>
      <c r="B149" s="86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0</v>
      </c>
      <c r="I149" s="50">
        <f>AVERAGE(F147:F149)</f>
        <v>5.1791666666666671</v>
      </c>
      <c r="J149" s="50">
        <f>AVERAGE(G147:G149)</f>
        <v>0</v>
      </c>
      <c r="L149">
        <f>+J149/I149</f>
        <v>0</v>
      </c>
      <c r="M149">
        <f>+(L149-$L$913)/$L$914</f>
        <v>-0.44434743109797642</v>
      </c>
      <c r="N149">
        <f>+N146+M149</f>
        <v>8.2579909639024045</v>
      </c>
    </row>
    <row r="150" spans="1:14">
      <c r="A150" s="7">
        <v>1</v>
      </c>
      <c r="B150" s="86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0</v>
      </c>
    </row>
    <row r="151" spans="1:14">
      <c r="A151" s="7">
        <v>17</v>
      </c>
      <c r="B151" s="86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0</v>
      </c>
    </row>
    <row r="152" spans="1:14">
      <c r="A152" s="7">
        <v>18</v>
      </c>
      <c r="B152" s="86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0</v>
      </c>
      <c r="I152" s="50">
        <f>AVERAGE(F150:F152)</f>
        <v>3.7247000000000003</v>
      </c>
      <c r="J152" s="50">
        <f>AVERAGE(G150:G152)</f>
        <v>0</v>
      </c>
      <c r="L152">
        <f>+J152/I152</f>
        <v>0</v>
      </c>
      <c r="M152">
        <f>+(L152-$L$913)/$L$914</f>
        <v>-0.44434743109797642</v>
      </c>
      <c r="N152">
        <f>+N149+M152</f>
        <v>7.813643532804428</v>
      </c>
    </row>
    <row r="153" spans="1:14">
      <c r="A153" s="7">
        <v>1</v>
      </c>
      <c r="B153" s="86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0</v>
      </c>
    </row>
    <row r="154" spans="1:14">
      <c r="A154" s="7">
        <v>17</v>
      </c>
      <c r="B154" s="86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0</v>
      </c>
    </row>
    <row r="155" spans="1:14">
      <c r="A155" s="7">
        <v>18</v>
      </c>
      <c r="B155" s="86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0</v>
      </c>
      <c r="I155" s="50">
        <f>AVERAGE(F153:F155)</f>
        <v>4.0904999999999996</v>
      </c>
      <c r="J155" s="50">
        <f>AVERAGE(G153:G155)</f>
        <v>0</v>
      </c>
      <c r="L155">
        <f>+J155/I155</f>
        <v>0</v>
      </c>
      <c r="M155">
        <f>+(L155-$L$913)/$L$914</f>
        <v>-0.44434743109797642</v>
      </c>
      <c r="N155">
        <f>+N152+M155</f>
        <v>7.3692961017064516</v>
      </c>
    </row>
    <row r="156" spans="1:14">
      <c r="A156" s="15">
        <v>1</v>
      </c>
      <c r="B156" s="92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0</v>
      </c>
    </row>
    <row r="157" spans="1:14">
      <c r="A157" s="7">
        <v>17</v>
      </c>
      <c r="B157" s="86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0</v>
      </c>
    </row>
    <row r="158" spans="1:14">
      <c r="A158" s="7">
        <v>18</v>
      </c>
      <c r="B158" s="86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0</v>
      </c>
      <c r="I158" s="50">
        <f>AVERAGE(F156:F158)</f>
        <v>4.5131666666666668</v>
      </c>
      <c r="J158" s="50">
        <f>AVERAGE(G156:G158)</f>
        <v>0</v>
      </c>
      <c r="L158">
        <f>+J158/I158</f>
        <v>0</v>
      </c>
      <c r="M158">
        <f>+(L158-$L$913)/$L$914</f>
        <v>-0.44434743109797642</v>
      </c>
      <c r="N158">
        <f>+N155+M158</f>
        <v>6.9249486706084751</v>
      </c>
    </row>
    <row r="159" spans="1:14">
      <c r="A159" s="7">
        <v>1</v>
      </c>
      <c r="B159" s="86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0</v>
      </c>
    </row>
    <row r="160" spans="1:14">
      <c r="A160" s="7">
        <v>17</v>
      </c>
      <c r="B160" s="86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0</v>
      </c>
    </row>
    <row r="161" spans="1:14">
      <c r="A161" s="7">
        <v>18</v>
      </c>
      <c r="B161" s="86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0</v>
      </c>
      <c r="I161" s="50">
        <f>AVERAGE(F159:F161)</f>
        <v>8.2728333333333328</v>
      </c>
      <c r="J161" s="50">
        <f>AVERAGE(G159:G161)</f>
        <v>0</v>
      </c>
      <c r="L161">
        <f>+J161/I161</f>
        <v>0</v>
      </c>
      <c r="M161">
        <f>+(L161-$L$913)/$L$914</f>
        <v>-0.44434743109797642</v>
      </c>
      <c r="N161">
        <f>+N158+M161</f>
        <v>6.4806012395104986</v>
      </c>
    </row>
    <row r="162" spans="1:14">
      <c r="A162" s="7">
        <v>1</v>
      </c>
      <c r="B162" s="86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2.2231653036254306E-2</v>
      </c>
    </row>
    <row r="163" spans="1:14">
      <c r="A163" s="7">
        <v>17</v>
      </c>
      <c r="B163" s="86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0</v>
      </c>
    </row>
    <row r="164" spans="1:14">
      <c r="A164" s="7">
        <v>18</v>
      </c>
      <c r="B164" s="86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0</v>
      </c>
      <c r="I164" s="50">
        <f>AVERAGE(F162:F164)</f>
        <v>6.9575666666666676</v>
      </c>
      <c r="J164" s="50">
        <f>AVERAGE(G162:G164)</f>
        <v>7.4105510120847685E-3</v>
      </c>
      <c r="L164">
        <f>+J164/I164</f>
        <v>1.0651067200819397E-3</v>
      </c>
      <c r="M164">
        <f>+(L164-$L$913)/$L$914</f>
        <v>-0.37780774632384473</v>
      </c>
      <c r="N164">
        <f>+N161+M164</f>
        <v>6.1027934931866543</v>
      </c>
    </row>
    <row r="165" spans="1:14">
      <c r="A165" s="7">
        <v>1</v>
      </c>
      <c r="B165" s="86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0.12650181358928714</v>
      </c>
    </row>
    <row r="166" spans="1:14">
      <c r="A166" s="7">
        <v>17</v>
      </c>
      <c r="B166" s="86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6.3280667845824201E-2</v>
      </c>
    </row>
    <row r="167" spans="1:14">
      <c r="A167" s="7">
        <v>18</v>
      </c>
      <c r="B167" s="86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0</v>
      </c>
      <c r="I167" s="50">
        <f>AVERAGE(F165:F167)</f>
        <v>5.1312333333333333</v>
      </c>
      <c r="J167" s="50">
        <f>AVERAGE(G165:G167)</f>
        <v>6.3260827145037113E-2</v>
      </c>
      <c r="L167">
        <f>+J167/I167</f>
        <v>1.2328581266044638E-2</v>
      </c>
      <c r="M167">
        <f>+(L167-$L$913)/$L$914</f>
        <v>0.32584760728443657</v>
      </c>
      <c r="N167">
        <f>+N164+M167</f>
        <v>6.4286411004710908</v>
      </c>
    </row>
    <row r="168" spans="1:14">
      <c r="A168" s="7">
        <v>1</v>
      </c>
      <c r="B168" s="86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0</v>
      </c>
    </row>
    <row r="169" spans="1:14">
      <c r="A169" s="7">
        <v>17</v>
      </c>
      <c r="B169" s="86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8.785759001379961E-3</v>
      </c>
    </row>
    <row r="170" spans="1:14">
      <c r="A170" s="7">
        <v>18</v>
      </c>
      <c r="B170" s="86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1.8641220542613232E-2</v>
      </c>
      <c r="I170" s="50">
        <f>AVERAGE(F168:F170)</f>
        <v>1.6521999999999999</v>
      </c>
      <c r="J170" s="50">
        <f>AVERAGE(G168:G170)</f>
        <v>9.1423265146643989E-3</v>
      </c>
      <c r="L170">
        <f>+J170/I170</f>
        <v>5.5334260468856067E-3</v>
      </c>
      <c r="M170">
        <f>+(L170-$L$913)/$L$914</f>
        <v>-9.8661484386070891E-2</v>
      </c>
      <c r="N170">
        <f>+N167+M170</f>
        <v>6.3299796160850201</v>
      </c>
    </row>
    <row r="171" spans="1:14">
      <c r="A171" s="7">
        <v>1</v>
      </c>
      <c r="B171" s="86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0.64646444089204691</v>
      </c>
    </row>
    <row r="172" spans="1:14">
      <c r="A172" s="7">
        <v>17</v>
      </c>
      <c r="B172" s="86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1.0740535550137336</v>
      </c>
    </row>
    <row r="173" spans="1:14">
      <c r="A173" s="7">
        <v>18</v>
      </c>
      <c r="B173" s="86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0.23018762475801702</v>
      </c>
      <c r="I173" s="50">
        <f>AVERAGE(F171:F173)</f>
        <v>14.197066666666666</v>
      </c>
      <c r="J173" s="50">
        <f>AVERAGE(G171:G173)</f>
        <v>0.65023520688793257</v>
      </c>
      <c r="L173">
        <f>+J173/I173</f>
        <v>4.5800672924543047E-2</v>
      </c>
      <c r="M173">
        <f>+(L173-$L$913)/$L$914</f>
        <v>2.4169267317462411</v>
      </c>
      <c r="N173">
        <f>+N170+M173</f>
        <v>8.7469063478312616</v>
      </c>
    </row>
    <row r="174" spans="1:14">
      <c r="A174" s="7">
        <v>1</v>
      </c>
      <c r="B174" s="86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0</v>
      </c>
    </row>
    <row r="175" spans="1:14">
      <c r="A175" s="7">
        <v>17</v>
      </c>
      <c r="B175" s="86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0</v>
      </c>
    </row>
    <row r="176" spans="1:14">
      <c r="A176" s="7">
        <v>18</v>
      </c>
      <c r="B176" s="86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0</v>
      </c>
      <c r="I176" s="50">
        <f>AVERAGE(F174:F176)</f>
        <v>19.763133333333332</v>
      </c>
      <c r="J176" s="50">
        <f>AVERAGE(G174:G176)</f>
        <v>0</v>
      </c>
      <c r="L176">
        <f>+J176/I176</f>
        <v>0</v>
      </c>
      <c r="M176">
        <f>+(L176-$L$913)/$L$914</f>
        <v>-0.44434743109797642</v>
      </c>
      <c r="N176">
        <f>+N173+M176</f>
        <v>8.3025589167332861</v>
      </c>
    </row>
    <row r="177" spans="1:14">
      <c r="A177" s="7">
        <v>1</v>
      </c>
      <c r="B177" s="86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</row>
    <row r="178" spans="1:14">
      <c r="A178" s="7">
        <v>17</v>
      </c>
      <c r="B178" s="86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</row>
    <row r="179" spans="1:14">
      <c r="A179" s="7">
        <v>18</v>
      </c>
      <c r="B179" s="86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I179" s="50">
        <f>AVERAGE(F177:F179)</f>
        <v>8.697633333333334</v>
      </c>
      <c r="J179" s="50" t="e">
        <f>AVERAGE(G177:G179)</f>
        <v>#DIV/0!</v>
      </c>
    </row>
    <row r="180" spans="1:14">
      <c r="A180" s="7">
        <v>1</v>
      </c>
      <c r="B180" s="86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0</v>
      </c>
    </row>
    <row r="181" spans="1:14">
      <c r="A181" s="7">
        <v>17</v>
      </c>
      <c r="B181" s="86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0</v>
      </c>
    </row>
    <row r="182" spans="1:14">
      <c r="A182" s="7">
        <v>18</v>
      </c>
      <c r="B182" s="86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0</v>
      </c>
      <c r="I182" s="50">
        <f>AVERAGE(F180:F182)</f>
        <v>9.2700999999999993</v>
      </c>
      <c r="J182" s="50">
        <f>AVERAGE(G180:G182)</f>
        <v>0</v>
      </c>
      <c r="L182">
        <f>+J182/I182</f>
        <v>0</v>
      </c>
      <c r="M182">
        <f>+(L182-$L$913)/$L$914</f>
        <v>-0.44434743109797642</v>
      </c>
      <c r="N182">
        <f>+N176+M182</f>
        <v>7.8582114856353096</v>
      </c>
    </row>
    <row r="183" spans="1:14">
      <c r="A183" s="7">
        <v>1</v>
      </c>
      <c r="B183" s="86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0</v>
      </c>
    </row>
    <row r="184" spans="1:14">
      <c r="A184" s="7">
        <v>17</v>
      </c>
      <c r="B184" s="86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0</v>
      </c>
    </row>
    <row r="185" spans="1:14">
      <c r="A185" s="7">
        <v>18</v>
      </c>
      <c r="B185" s="86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0</v>
      </c>
      <c r="I185" s="50">
        <f>AVERAGE(F183:F185)</f>
        <v>9.2226800000000004</v>
      </c>
      <c r="J185" s="50">
        <f>AVERAGE(G183:G185)</f>
        <v>0</v>
      </c>
      <c r="L185">
        <f>+J185/I185</f>
        <v>0</v>
      </c>
      <c r="M185">
        <f>+(L185-$L$913)/$L$914</f>
        <v>-0.44434743109797642</v>
      </c>
      <c r="N185">
        <f>+N182+M185</f>
        <v>7.4138640545373331</v>
      </c>
    </row>
    <row r="186" spans="1:14">
      <c r="A186" s="7">
        <v>1</v>
      </c>
      <c r="B186" s="86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0</v>
      </c>
    </row>
    <row r="187" spans="1:14">
      <c r="A187" s="7">
        <v>17</v>
      </c>
      <c r="B187" s="86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0</v>
      </c>
    </row>
    <row r="188" spans="1:14">
      <c r="A188" s="7">
        <v>18</v>
      </c>
      <c r="B188" s="86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0</v>
      </c>
      <c r="I188" s="50">
        <f>AVERAGE(F186:F188)</f>
        <v>7.9690699999999994</v>
      </c>
      <c r="J188" s="50">
        <f>AVERAGE(G186:G188)</f>
        <v>0</v>
      </c>
      <c r="L188">
        <f>+J188/I188</f>
        <v>0</v>
      </c>
      <c r="M188">
        <f>+(L188-$L$913)/$L$914</f>
        <v>-0.44434743109797642</v>
      </c>
      <c r="N188">
        <f>+N185+M188</f>
        <v>6.9695166234393566</v>
      </c>
    </row>
    <row r="189" spans="1:14">
      <c r="A189" s="7">
        <v>1</v>
      </c>
      <c r="B189" s="86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0</v>
      </c>
    </row>
    <row r="190" spans="1:14">
      <c r="A190" s="7">
        <v>17</v>
      </c>
      <c r="B190" s="86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0</v>
      </c>
    </row>
    <row r="191" spans="1:14">
      <c r="A191" s="7">
        <v>18</v>
      </c>
      <c r="B191" s="86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0</v>
      </c>
      <c r="I191" s="50">
        <f>AVERAGE(F189:F191)</f>
        <v>5.2382099999999996</v>
      </c>
      <c r="J191" s="50">
        <f>AVERAGE(G189:G191)</f>
        <v>0</v>
      </c>
      <c r="L191">
        <f>+J191/I191</f>
        <v>0</v>
      </c>
      <c r="M191">
        <f>+(L191-$L$913)/$L$914</f>
        <v>-0.44434743109797642</v>
      </c>
      <c r="N191">
        <f>+N188+M191</f>
        <v>6.5251691923413802</v>
      </c>
    </row>
    <row r="192" spans="1:14">
      <c r="A192" s="15">
        <v>1</v>
      </c>
      <c r="B192" s="93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0</v>
      </c>
    </row>
    <row r="193" spans="1:14">
      <c r="A193" s="7">
        <v>17</v>
      </c>
      <c r="B193" s="94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0</v>
      </c>
    </row>
    <row r="194" spans="1:14">
      <c r="A194" s="7">
        <v>18</v>
      </c>
      <c r="B194" s="94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0</v>
      </c>
      <c r="I194" s="50">
        <f>AVERAGE(F192:F194)</f>
        <v>14.576873333333333</v>
      </c>
      <c r="J194" s="50">
        <f>AVERAGE(G192:G194)</f>
        <v>0</v>
      </c>
      <c r="L194">
        <f>+J194/I194</f>
        <v>0</v>
      </c>
      <c r="M194">
        <f>+(L194-$L$913)/$L$914</f>
        <v>-0.44434743109797642</v>
      </c>
      <c r="N194">
        <f>+N191+M194</f>
        <v>6.0808217612434037</v>
      </c>
    </row>
    <row r="195" spans="1:14">
      <c r="A195" s="7">
        <v>1</v>
      </c>
      <c r="B195" s="94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0</v>
      </c>
    </row>
    <row r="196" spans="1:14">
      <c r="A196" s="7">
        <v>17</v>
      </c>
      <c r="B196" s="94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0</v>
      </c>
    </row>
    <row r="197" spans="1:14">
      <c r="A197" s="7">
        <v>18</v>
      </c>
      <c r="B197" s="94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0</v>
      </c>
      <c r="I197" s="50">
        <f>AVERAGE(F195:F197)</f>
        <v>3.2704333333333335</v>
      </c>
      <c r="J197" s="50">
        <f>AVERAGE(G195:G197)</f>
        <v>0</v>
      </c>
      <c r="L197">
        <f>+J197/I197</f>
        <v>0</v>
      </c>
      <c r="M197">
        <f>+(L197-$L$913)/$L$914</f>
        <v>-0.44434743109797642</v>
      </c>
      <c r="N197">
        <f>+N194+M197</f>
        <v>5.6364743301454272</v>
      </c>
    </row>
    <row r="198" spans="1:14">
      <c r="A198" s="7">
        <v>1</v>
      </c>
      <c r="B198" s="94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</v>
      </c>
    </row>
    <row r="199" spans="1:14">
      <c r="A199" s="7">
        <v>17</v>
      </c>
      <c r="B199" s="94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0</v>
      </c>
    </row>
    <row r="200" spans="1:14">
      <c r="A200" s="7">
        <v>18</v>
      </c>
      <c r="B200" s="94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0</v>
      </c>
      <c r="I200" s="50">
        <f>AVERAGE(F198:F200)</f>
        <v>1.4222666666666666</v>
      </c>
      <c r="J200" s="50">
        <f>AVERAGE(G198:G200)</f>
        <v>0</v>
      </c>
      <c r="L200">
        <f>+J200/I200</f>
        <v>0</v>
      </c>
      <c r="M200">
        <f>+(L200-$L$913)/$L$914</f>
        <v>-0.44434743109797642</v>
      </c>
      <c r="N200">
        <f>+N197+M200</f>
        <v>5.1921268990474507</v>
      </c>
    </row>
    <row r="201" spans="1:14">
      <c r="A201" s="7">
        <v>1</v>
      </c>
      <c r="B201" s="94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4.2270710489593862E-2</v>
      </c>
    </row>
    <row r="202" spans="1:14">
      <c r="A202" s="7">
        <v>17</v>
      </c>
      <c r="B202" s="94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4.3141928196414041E-2</v>
      </c>
    </row>
    <row r="203" spans="1:14">
      <c r="A203" s="7">
        <v>18</v>
      </c>
      <c r="B203" s="94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6.2376936714501945E-2</v>
      </c>
      <c r="I203" s="50">
        <f>AVERAGE(F201:F203)</f>
        <v>2.6232500000000001</v>
      </c>
      <c r="J203" s="50">
        <f>AVERAGE(G201:G203)</f>
        <v>4.9263191800169949E-2</v>
      </c>
      <c r="L203">
        <f>+J203/I203</f>
        <v>1.8779449842817098E-2</v>
      </c>
      <c r="M203">
        <f>+(L203-$L$913)/$L$914</f>
        <v>0.72884831465465139</v>
      </c>
      <c r="N203">
        <f>+N200+M203</f>
        <v>5.9209752137021017</v>
      </c>
    </row>
    <row r="204" spans="1:14">
      <c r="A204" s="7">
        <v>1</v>
      </c>
      <c r="B204" s="94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0</v>
      </c>
    </row>
    <row r="205" spans="1:14">
      <c r="A205" s="7">
        <v>17</v>
      </c>
      <c r="B205" s="94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1.5786149854345111E-2</v>
      </c>
    </row>
    <row r="206" spans="1:14">
      <c r="A206" s="7">
        <v>18</v>
      </c>
      <c r="B206" s="94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0.11327981540544728</v>
      </c>
      <c r="I206" s="50">
        <f>AVERAGE(F204:F206)</f>
        <v>1.16177</v>
      </c>
      <c r="J206" s="50">
        <f>AVERAGE(G204:G206)</f>
        <v>4.3021988419930796E-2</v>
      </c>
      <c r="L206">
        <f>+J206/I206</f>
        <v>3.7031416218296906E-2</v>
      </c>
      <c r="M206">
        <f>+(L206-$L$913)/$L$914</f>
        <v>1.8690909459649168</v>
      </c>
      <c r="N206">
        <f>+N203+M206</f>
        <v>7.7900661596670187</v>
      </c>
    </row>
    <row r="207" spans="1:14">
      <c r="A207" s="7">
        <v>1</v>
      </c>
      <c r="B207" s="94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2.2089836020201981</v>
      </c>
    </row>
    <row r="208" spans="1:14">
      <c r="A208" s="7">
        <v>17</v>
      </c>
      <c r="B208" s="94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3.4072797683435484E-2</v>
      </c>
    </row>
    <row r="209" spans="1:14">
      <c r="A209" s="7">
        <v>18</v>
      </c>
      <c r="B209" s="94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3.3618942970986812</v>
      </c>
      <c r="I209" s="50">
        <f>AVERAGE(F207:F209)</f>
        <v>21.869380000000003</v>
      </c>
      <c r="J209" s="50">
        <f>AVERAGE(G207:G209)</f>
        <v>1.8683168989341048</v>
      </c>
      <c r="L209">
        <f>+J209/I209</f>
        <v>8.5430720895338805E-2</v>
      </c>
      <c r="M209">
        <f>+(L209-$L$913)/$L$914</f>
        <v>4.8927076557062392</v>
      </c>
      <c r="N209">
        <f>+N206+M209</f>
        <v>12.682773815373258</v>
      </c>
    </row>
    <row r="210" spans="1:14">
      <c r="A210" s="7">
        <v>1</v>
      </c>
      <c r="B210" s="94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0</v>
      </c>
    </row>
    <row r="211" spans="1:14">
      <c r="A211" s="7">
        <v>17</v>
      </c>
      <c r="B211" s="94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0</v>
      </c>
    </row>
    <row r="212" spans="1:14">
      <c r="A212" s="7">
        <v>18</v>
      </c>
      <c r="B212" s="94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0</v>
      </c>
      <c r="I212" s="50">
        <f>AVERAGE(F210:F212)</f>
        <v>8.4403866666666669</v>
      </c>
      <c r="J212" s="50">
        <f>AVERAGE(G210:G212)</f>
        <v>0</v>
      </c>
      <c r="L212">
        <f>+J212/I212</f>
        <v>0</v>
      </c>
      <c r="M212">
        <f>+(L212-$L$913)/$L$914</f>
        <v>-0.44434743109797642</v>
      </c>
      <c r="N212">
        <f>+N209+M212</f>
        <v>12.238426384275282</v>
      </c>
    </row>
    <row r="213" spans="1:14">
      <c r="A213" s="7">
        <v>1</v>
      </c>
      <c r="B213" s="94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4.603649899556881E-2</v>
      </c>
    </row>
    <row r="214" spans="1:14">
      <c r="A214" s="7">
        <v>17</v>
      </c>
      <c r="B214" s="94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4.3064255964993858E-2</v>
      </c>
    </row>
    <row r="215" spans="1:14">
      <c r="A215" s="7">
        <v>18</v>
      </c>
      <c r="B215" s="94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5.8959500304213347E-2</v>
      </c>
      <c r="I215" s="50">
        <f>AVERAGE(F213:F215)</f>
        <v>8.1725666666666665</v>
      </c>
      <c r="J215" s="50">
        <f>AVERAGE(G213:G215)</f>
        <v>4.9353418421592E-2</v>
      </c>
      <c r="L215">
        <f>+J215/I215</f>
        <v>6.0389129186169989E-3</v>
      </c>
      <c r="M215">
        <f>+(L215-$L$913)/$L$914</f>
        <v>-6.7082548239765089E-2</v>
      </c>
      <c r="N215">
        <f>+N212+M215</f>
        <v>12.171343836035517</v>
      </c>
    </row>
    <row r="216" spans="1:14">
      <c r="A216" s="7">
        <v>1</v>
      </c>
      <c r="B216" s="94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0</v>
      </c>
    </row>
    <row r="217" spans="1:14">
      <c r="A217" s="7">
        <v>17</v>
      </c>
      <c r="B217" s="94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2.8124566122548565E-2</v>
      </c>
    </row>
    <row r="218" spans="1:14">
      <c r="A218" s="7">
        <v>18</v>
      </c>
      <c r="B218" s="94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3.6120394801067164E-2</v>
      </c>
      <c r="I218" s="50">
        <f>AVERAGE(F216:F218)</f>
        <v>11.291676666666667</v>
      </c>
      <c r="J218" s="50">
        <f>AVERAGE(G216:G218)</f>
        <v>2.1414986974538575E-2</v>
      </c>
      <c r="L218">
        <f>+J218/I218</f>
        <v>1.8965285321847899E-3</v>
      </c>
      <c r="M218">
        <f>+(L218-$L$913)/$L$914</f>
        <v>-0.32586689922506296</v>
      </c>
      <c r="N218">
        <f>+N215+M218</f>
        <v>11.845476936810453</v>
      </c>
    </row>
    <row r="219" spans="1:14">
      <c r="A219" s="7">
        <v>1</v>
      </c>
      <c r="B219" s="94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1E-4</v>
      </c>
    </row>
    <row r="220" spans="1:14">
      <c r="A220" s="7">
        <v>17</v>
      </c>
      <c r="B220" s="94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1E-4</v>
      </c>
    </row>
    <row r="221" spans="1:14">
      <c r="A221" s="7">
        <v>18</v>
      </c>
      <c r="B221" s="94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1E-4</v>
      </c>
      <c r="I221" s="50">
        <f>AVERAGE(F219:F221)</f>
        <v>2.6018666666666665</v>
      </c>
      <c r="J221" s="50">
        <f>AVERAGE(G219:G221)</f>
        <v>1E-4</v>
      </c>
      <c r="L221">
        <f>+J221/I221</f>
        <v>3.8433944860100441E-5</v>
      </c>
      <c r="M221">
        <f>+(L221-$L$913)/$L$914</f>
        <v>-0.44194637350684535</v>
      </c>
      <c r="N221">
        <f>+N218+M221</f>
        <v>11.403530563303608</v>
      </c>
    </row>
    <row r="222" spans="1:14">
      <c r="A222" s="7">
        <v>1</v>
      </c>
      <c r="B222" s="94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1E-4</v>
      </c>
    </row>
    <row r="223" spans="1:14">
      <c r="A223" s="7">
        <v>17</v>
      </c>
      <c r="B223" s="94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1E-4</v>
      </c>
    </row>
    <row r="224" spans="1:14">
      <c r="A224" s="7">
        <v>18</v>
      </c>
      <c r="B224" s="94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1E-4</v>
      </c>
      <c r="I224" s="50">
        <f>AVERAGE(F222:F224)</f>
        <v>4.0828333333333333</v>
      </c>
      <c r="J224" s="50">
        <f>AVERAGE(G222:G224)</f>
        <v>1E-4</v>
      </c>
      <c r="L224">
        <f>+J224/I224</f>
        <v>2.4492795036126873E-5</v>
      </c>
      <c r="M224">
        <f>+(L224-$L$913)/$L$914</f>
        <v>-0.44281730943954212</v>
      </c>
      <c r="N224">
        <f>+N221+M224</f>
        <v>10.960713253864066</v>
      </c>
    </row>
    <row r="225" spans="1:14">
      <c r="A225" s="7">
        <v>1</v>
      </c>
      <c r="B225" s="94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1E-4</v>
      </c>
    </row>
    <row r="226" spans="1:14">
      <c r="A226" s="7">
        <v>17</v>
      </c>
      <c r="B226" s="94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1E-4</v>
      </c>
    </row>
    <row r="227" spans="1:14">
      <c r="A227" s="7">
        <v>18</v>
      </c>
      <c r="B227" s="94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1E-4</v>
      </c>
      <c r="I227" s="50">
        <f>AVERAGE(F225:F227)</f>
        <v>9.5709</v>
      </c>
      <c r="J227" s="50">
        <f>AVERAGE(G225:G227)</f>
        <v>1E-4</v>
      </c>
      <c r="L227">
        <f>+J227/I227</f>
        <v>1.0448338191810592E-5</v>
      </c>
      <c r="M227">
        <f>+(L227-$L$913)/$L$914</f>
        <v>-0.44369469920117355</v>
      </c>
      <c r="N227">
        <f>+N224+M227</f>
        <v>10.517018554662892</v>
      </c>
    </row>
    <row r="228" spans="1:14">
      <c r="A228" s="17">
        <v>1</v>
      </c>
      <c r="B228" s="93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1E-4</v>
      </c>
    </row>
    <row r="229" spans="1:14">
      <c r="A229" s="11">
        <v>17</v>
      </c>
      <c r="B229" s="94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1E-4</v>
      </c>
    </row>
    <row r="230" spans="1:14">
      <c r="A230" s="11">
        <v>18</v>
      </c>
      <c r="B230" s="94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1E-4</v>
      </c>
      <c r="I230" s="50">
        <f>AVERAGE(F228:F230)</f>
        <v>15.905066666666665</v>
      </c>
      <c r="J230" s="50">
        <f>AVERAGE(G228:G230)</f>
        <v>1E-4</v>
      </c>
      <c r="L230">
        <f>+J230/I230</f>
        <v>6.2873046744014493E-6</v>
      </c>
      <c r="M230">
        <f>+(L230-$L$913)/$L$914</f>
        <v>-0.44395464860658307</v>
      </c>
      <c r="N230">
        <f>+N227+M230</f>
        <v>10.073063906056309</v>
      </c>
    </row>
    <row r="231" spans="1:14">
      <c r="A231" s="11">
        <v>1</v>
      </c>
      <c r="B231" s="94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1E-4</v>
      </c>
    </row>
    <row r="232" spans="1:14">
      <c r="A232" s="11">
        <v>17</v>
      </c>
      <c r="B232" s="94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1E-4</v>
      </c>
    </row>
    <row r="233" spans="1:14">
      <c r="A233" s="11">
        <v>18</v>
      </c>
      <c r="B233" s="94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1E-4</v>
      </c>
      <c r="I233" s="50">
        <f>AVERAGE(F231:F233)</f>
        <v>9.8544999999999998</v>
      </c>
      <c r="J233" s="50">
        <f>AVERAGE(G231:G233)</f>
        <v>1E-4</v>
      </c>
      <c r="L233">
        <f>+J233/I233</f>
        <v>1.0147648282510528E-5</v>
      </c>
      <c r="M233">
        <f>+(L233-$L$913)/$L$914</f>
        <v>-0.44371348399653943</v>
      </c>
      <c r="N233">
        <f>+N230+M233</f>
        <v>9.629350422059769</v>
      </c>
    </row>
    <row r="234" spans="1:14">
      <c r="A234" s="11">
        <v>1</v>
      </c>
      <c r="B234" s="94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4.1700000000000001E-2</v>
      </c>
    </row>
    <row r="235" spans="1:14">
      <c r="A235" s="11">
        <v>17</v>
      </c>
      <c r="B235" s="94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1E-4</v>
      </c>
    </row>
    <row r="236" spans="1:14">
      <c r="A236" s="11">
        <v>18</v>
      </c>
      <c r="B236" s="94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8.7800000000000003E-2</v>
      </c>
      <c r="I236" s="50">
        <f>AVERAGE(F234:F236)</f>
        <v>8.1606666666666658</v>
      </c>
      <c r="J236" s="50">
        <f>AVERAGE(G234:G236)</f>
        <v>4.3199999999999995E-2</v>
      </c>
      <c r="L236">
        <f>+J236/I236</f>
        <v>5.2936851564414668E-3</v>
      </c>
      <c r="M236">
        <f>+(L236-$L$913)/$L$914</f>
        <v>-0.11363865331839673</v>
      </c>
      <c r="N236">
        <f>+N233+M236</f>
        <v>9.5157117687413724</v>
      </c>
    </row>
    <row r="237" spans="1:14">
      <c r="A237" s="11">
        <v>1</v>
      </c>
      <c r="B237" s="90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4.3400000000000001E-2</v>
      </c>
    </row>
    <row r="238" spans="1:14">
      <c r="A238" s="11">
        <v>17</v>
      </c>
      <c r="B238" s="90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4.4499999999999998E-2</v>
      </c>
    </row>
    <row r="239" spans="1:14">
      <c r="A239" s="11">
        <v>18</v>
      </c>
      <c r="B239" s="90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3.4799999999999998E-2</v>
      </c>
      <c r="I239" s="50">
        <f>AVERAGE(F237:F239)</f>
        <v>3.392466666666667</v>
      </c>
      <c r="J239" s="50">
        <f>AVERAGE(G237:G239)</f>
        <v>4.0899999999999999E-2</v>
      </c>
      <c r="L239">
        <f>+J239/I239</f>
        <v>1.2056124353960735E-2</v>
      </c>
      <c r="M239">
        <f>+(L239-$L$913)/$L$914</f>
        <v>0.30882659267361756</v>
      </c>
      <c r="N239">
        <f>+N236+M239</f>
        <v>9.8245383614149908</v>
      </c>
    </row>
    <row r="240" spans="1:14">
      <c r="A240" s="11">
        <v>1</v>
      </c>
      <c r="B240" s="90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1E-4</v>
      </c>
    </row>
    <row r="241" spans="1:14">
      <c r="A241" s="11">
        <v>17</v>
      </c>
      <c r="B241" s="90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1E-4</v>
      </c>
    </row>
    <row r="242" spans="1:14">
      <c r="A242" s="11">
        <v>18</v>
      </c>
      <c r="B242" s="90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1E-4</v>
      </c>
      <c r="I242" s="50">
        <f>AVERAGE(F240:F242)</f>
        <v>2.2359000000000004</v>
      </c>
      <c r="J242" s="50">
        <f>AVERAGE(G240:G242)</f>
        <v>1E-4</v>
      </c>
      <c r="L242">
        <f>+J242/I242</f>
        <v>4.4724719352386056E-5</v>
      </c>
      <c r="M242">
        <f>+(L242-$L$913)/$L$914</f>
        <v>-0.44155337424788882</v>
      </c>
      <c r="N242">
        <f>+N239+M242</f>
        <v>9.3829849871671023</v>
      </c>
    </row>
    <row r="243" spans="1:14">
      <c r="A243" s="11">
        <v>1</v>
      </c>
      <c r="B243" s="90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7.8799999999999995E-2</v>
      </c>
    </row>
    <row r="244" spans="1:14">
      <c r="A244" s="11">
        <v>17</v>
      </c>
      <c r="B244" s="90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2.7400000000000001E-2</v>
      </c>
    </row>
    <row r="245" spans="1:14">
      <c r="A245" s="11">
        <v>18</v>
      </c>
      <c r="B245" s="90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0.1757</v>
      </c>
      <c r="I245" s="50">
        <f>AVERAGE(F243:F245)</f>
        <v>3.0684333333333336</v>
      </c>
      <c r="J245" s="50">
        <f>AVERAGE(G243:G245)</f>
        <v>9.3966666666666657E-2</v>
      </c>
      <c r="L245">
        <f>+J245/I245</f>
        <v>3.0623662455324645E-2</v>
      </c>
      <c r="M245">
        <f>+(L245-$L$913)/$L$914</f>
        <v>1.4687837209146146</v>
      </c>
      <c r="N245">
        <f>+N242+M245</f>
        <v>10.851768708081718</v>
      </c>
    </row>
    <row r="246" spans="1:14">
      <c r="A246" s="11">
        <v>1</v>
      </c>
      <c r="B246" s="90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1E-4</v>
      </c>
    </row>
    <row r="247" spans="1:14">
      <c r="A247" s="11">
        <v>17</v>
      </c>
      <c r="B247" s="90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1E-4</v>
      </c>
    </row>
    <row r="248" spans="1:14">
      <c r="A248" s="11">
        <v>18</v>
      </c>
      <c r="B248" s="90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1E-4</v>
      </c>
      <c r="I248" s="50">
        <f>AVERAGE(F246:F248)</f>
        <v>7.4259666666666666</v>
      </c>
      <c r="J248" s="50">
        <f>AVERAGE(G246:G248)</f>
        <v>1E-4</v>
      </c>
      <c r="L248">
        <f>+J248/I248</f>
        <v>1.3466260284856293E-5</v>
      </c>
      <c r="M248">
        <f>+(L248-$L$913)/$L$914</f>
        <v>-0.44350616261516013</v>
      </c>
      <c r="N248">
        <f>+N245+M248</f>
        <v>10.408262545466558</v>
      </c>
    </row>
    <row r="249" spans="1:14">
      <c r="A249" s="11">
        <v>1</v>
      </c>
      <c r="B249" s="90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1E-4</v>
      </c>
    </row>
    <row r="250" spans="1:14">
      <c r="A250" s="11">
        <v>17</v>
      </c>
      <c r="B250" s="90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1E-4</v>
      </c>
    </row>
    <row r="251" spans="1:14">
      <c r="A251" s="11">
        <v>18</v>
      </c>
      <c r="B251" s="90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1E-4</v>
      </c>
      <c r="I251" s="50">
        <f>AVERAGE(F249:F251)</f>
        <v>12.061999999999999</v>
      </c>
      <c r="J251" s="50">
        <f>AVERAGE(G249:G251)</f>
        <v>1E-4</v>
      </c>
      <c r="L251">
        <f>+J251/I251</f>
        <v>8.2904990880451008E-6</v>
      </c>
      <c r="M251">
        <f>+(L251-$L$913)/$L$914</f>
        <v>-0.44382950440993868</v>
      </c>
      <c r="N251">
        <f>+N248+M251</f>
        <v>9.9644330410566191</v>
      </c>
    </row>
    <row r="252" spans="1:14">
      <c r="A252" s="11">
        <v>1</v>
      </c>
      <c r="B252" s="90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1E-4</v>
      </c>
    </row>
    <row r="253" spans="1:14">
      <c r="A253" s="11">
        <v>17</v>
      </c>
      <c r="B253" s="90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1E-4</v>
      </c>
    </row>
    <row r="254" spans="1:14">
      <c r="A254" s="11">
        <v>18</v>
      </c>
      <c r="B254" s="90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1E-4</v>
      </c>
      <c r="I254" s="50">
        <f>AVERAGE(F252:F254)</f>
        <v>4.9474333333333336</v>
      </c>
      <c r="J254" s="50">
        <f>AVERAGE(G252:G254)</f>
        <v>1E-4</v>
      </c>
      <c r="L254">
        <f>+J254/I254</f>
        <v>2.0212500757968778E-5</v>
      </c>
      <c r="M254">
        <f>+(L254-$L$913)/$L$914</f>
        <v>-0.44308470934101613</v>
      </c>
      <c r="N254">
        <f>+N251+M254</f>
        <v>9.5213483317156022</v>
      </c>
    </row>
    <row r="255" spans="1:14">
      <c r="A255" s="11">
        <v>1</v>
      </c>
      <c r="B255" s="90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9.9989999999999996E-4</v>
      </c>
    </row>
    <row r="256" spans="1:14">
      <c r="A256" s="11">
        <v>17</v>
      </c>
      <c r="B256" s="90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3.3000000000000002E-2</v>
      </c>
    </row>
    <row r="257" spans="1:14">
      <c r="A257" s="11">
        <v>18</v>
      </c>
      <c r="B257" s="90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9.9989999999999996E-4</v>
      </c>
      <c r="I257" s="50">
        <f>AVERAGE(F255:F257)</f>
        <v>2.2113333333333332</v>
      </c>
      <c r="J257" s="50">
        <f>AVERAGE(G255:G257)</f>
        <v>1.1666599999999999E-2</v>
      </c>
      <c r="L257">
        <f>+J257/I257</f>
        <v>5.2758215254748268E-3</v>
      </c>
      <c r="M257">
        <f>+(L257-$L$913)/$L$914</f>
        <v>-0.11475463573690048</v>
      </c>
      <c r="N257">
        <f>+N254+M257</f>
        <v>9.4065936959787013</v>
      </c>
    </row>
    <row r="258" spans="1:14">
      <c r="A258" s="11">
        <v>1</v>
      </c>
      <c r="B258" s="90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9.9989999999999996E-4</v>
      </c>
    </row>
    <row r="259" spans="1:14">
      <c r="A259" s="11">
        <v>17</v>
      </c>
      <c r="B259" s="90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9.9989999999999996E-4</v>
      </c>
    </row>
    <row r="260" spans="1:14">
      <c r="A260" s="11">
        <v>18</v>
      </c>
      <c r="B260" s="90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9.9989999999999996E-4</v>
      </c>
      <c r="I260" s="50">
        <f>AVERAGE(F258:F260)</f>
        <v>2.6623333333333332</v>
      </c>
      <c r="J260" s="50">
        <f>AVERAGE(G258:G260)</f>
        <v>9.9989999999999996E-4</v>
      </c>
      <c r="L260">
        <f>+J260/I260</f>
        <v>3.7557280580944035E-4</v>
      </c>
      <c r="M260">
        <f>+(L260-$L$913)/$L$914</f>
        <v>-0.42088452767514029</v>
      </c>
      <c r="N260">
        <f>+N257+M260</f>
        <v>8.9857091683035613</v>
      </c>
    </row>
    <row r="261" spans="1:14">
      <c r="A261" s="11">
        <v>1</v>
      </c>
      <c r="B261" s="94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9.9989999999999996E-4</v>
      </c>
    </row>
    <row r="262" spans="1:14">
      <c r="A262" s="11">
        <v>17</v>
      </c>
      <c r="B262" s="94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9.9989999999999996E-4</v>
      </c>
    </row>
    <row r="263" spans="1:14">
      <c r="A263" s="11">
        <v>18</v>
      </c>
      <c r="B263" s="94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9.9989999999999996E-4</v>
      </c>
      <c r="I263" s="50">
        <f>AVERAGE(F261:F263)</f>
        <v>7.8270000000000008</v>
      </c>
      <c r="J263" s="50">
        <f>AVERAGE(G261:G263)</f>
        <v>9.9989999999999996E-4</v>
      </c>
      <c r="L263">
        <f>+J263/I263</f>
        <v>1.2775009582215407E-4</v>
      </c>
      <c r="M263">
        <f>+(L263-$L$913)/$L$914</f>
        <v>-0.4363665866008003</v>
      </c>
      <c r="N263">
        <f>+N260+M263</f>
        <v>8.5493425817027617</v>
      </c>
    </row>
    <row r="264" spans="1:14">
      <c r="A264" s="23">
        <v>1</v>
      </c>
      <c r="B264" s="93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0.153</v>
      </c>
    </row>
    <row r="265" spans="1:14">
      <c r="A265" s="20">
        <v>17</v>
      </c>
      <c r="B265" s="94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0.10199999999999999</v>
      </c>
    </row>
    <row r="266" spans="1:14">
      <c r="A266" s="20">
        <v>18</v>
      </c>
      <c r="B266" s="94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0.38100000000000001</v>
      </c>
      <c r="I266" s="50">
        <f>AVERAGE(F264:F266)</f>
        <v>10.572333333333333</v>
      </c>
      <c r="J266" s="50">
        <f>AVERAGE(G264:G266)</f>
        <v>0.21199999999999999</v>
      </c>
      <c r="L266">
        <f>+J266/I266</f>
        <v>2.0052337862975691E-2</v>
      </c>
      <c r="M266">
        <f>+(L266-$L$913)/$L$914</f>
        <v>0.80836857869693013</v>
      </c>
      <c r="N266">
        <f>+N263+M266</f>
        <v>9.3577111603996919</v>
      </c>
    </row>
    <row r="267" spans="1:14">
      <c r="A267" s="20">
        <v>1</v>
      </c>
      <c r="B267" s="94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9.9989999999999996E-4</v>
      </c>
    </row>
    <row r="268" spans="1:14">
      <c r="A268" s="20">
        <v>17</v>
      </c>
      <c r="B268" s="94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8.1000000000000003E-2</v>
      </c>
    </row>
    <row r="269" spans="1:14">
      <c r="A269" s="20">
        <v>18</v>
      </c>
      <c r="B269" s="94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9.9989999999999996E-4</v>
      </c>
      <c r="I269" s="50">
        <f>AVERAGE(F267:F269)</f>
        <v>8.397333333333334</v>
      </c>
      <c r="J269" s="50">
        <f>AVERAGE(G267:G269)</f>
        <v>2.76666E-2</v>
      </c>
      <c r="L269">
        <f>+J269/I269</f>
        <v>3.2946887900920925E-3</v>
      </c>
      <c r="M269">
        <f>+(L269-$L$913)/$L$914</f>
        <v>-0.23852058822092861</v>
      </c>
      <c r="N269">
        <f>+N266+M269</f>
        <v>9.1191905721787627</v>
      </c>
    </row>
    <row r="270" spans="1:14">
      <c r="A270" s="20">
        <v>1</v>
      </c>
      <c r="B270" s="94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9.9989999999999996E-4</v>
      </c>
    </row>
    <row r="271" spans="1:14">
      <c r="A271" s="20">
        <v>17</v>
      </c>
      <c r="B271" s="94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9.9989999999999996E-4</v>
      </c>
    </row>
    <row r="272" spans="1:14">
      <c r="A272" s="20">
        <v>18</v>
      </c>
      <c r="B272" s="94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9.9989999999999992E-3</v>
      </c>
      <c r="I272" s="50">
        <f>AVERAGE(F270:F272)</f>
        <v>4.7093333333333325</v>
      </c>
      <c r="J272" s="50">
        <f>AVERAGE(G270:G272)</f>
        <v>3.9995999999999999E-3</v>
      </c>
      <c r="L272">
        <f>+J272/I272</f>
        <v>8.492921857304644E-4</v>
      </c>
      <c r="M272">
        <f>+(L272-$L$913)/$L$914</f>
        <v>-0.3912901803510363</v>
      </c>
      <c r="N272">
        <f>+N269+M272</f>
        <v>8.7279003918277258</v>
      </c>
    </row>
    <row r="273" spans="1:14">
      <c r="A273" s="20">
        <v>1</v>
      </c>
      <c r="B273" s="94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9.9989999999999996E-4</v>
      </c>
    </row>
    <row r="274" spans="1:14">
      <c r="A274" s="20">
        <v>17</v>
      </c>
      <c r="B274" s="94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9.9989999999999996E-4</v>
      </c>
    </row>
    <row r="275" spans="1:14">
      <c r="A275" s="20">
        <v>18</v>
      </c>
      <c r="B275" s="94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9.9989999999999996E-4</v>
      </c>
      <c r="I275" s="50">
        <f>AVERAGE(F273:F275)</f>
        <v>7.203666666666666</v>
      </c>
      <c r="J275" s="50">
        <f>AVERAGE(G273:G275)</f>
        <v>9.9989999999999996E-4</v>
      </c>
      <c r="L275">
        <f>+J275/I275</f>
        <v>1.3880431261857387E-4</v>
      </c>
      <c r="M275">
        <f>+(L275-$L$913)/$L$914</f>
        <v>-0.43567600406367946</v>
      </c>
      <c r="N275">
        <f>+N272+M275</f>
        <v>8.2922243877640458</v>
      </c>
    </row>
    <row r="276" spans="1:14">
      <c r="A276" s="20">
        <v>1</v>
      </c>
      <c r="B276" s="94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9.9989999999999996E-4</v>
      </c>
    </row>
    <row r="277" spans="1:14">
      <c r="A277" s="20">
        <v>17</v>
      </c>
      <c r="B277" s="94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0.35199999999999998</v>
      </c>
    </row>
    <row r="278" spans="1:14">
      <c r="A278" s="20">
        <v>18</v>
      </c>
      <c r="B278" s="94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0.54700000000000004</v>
      </c>
      <c r="I278" s="50">
        <f>AVERAGE(F276:F278)</f>
        <v>3.4689999999999999</v>
      </c>
      <c r="J278" s="50">
        <f>AVERAGE(G276:G278)</f>
        <v>0.29999996666666667</v>
      </c>
      <c r="L278">
        <f>+J278/I278</f>
        <v>8.6480244066493711E-2</v>
      </c>
      <c r="M278">
        <f>+(L278-$L$913)/$L$914</f>
        <v>4.9582738000700841</v>
      </c>
      <c r="N278">
        <f>+N275+M278</f>
        <v>13.250498187834129</v>
      </c>
    </row>
    <row r="279" spans="1:14">
      <c r="A279" s="20">
        <v>1</v>
      </c>
      <c r="B279" s="94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0.62</v>
      </c>
    </row>
    <row r="280" spans="1:14">
      <c r="A280" s="20">
        <v>17</v>
      </c>
      <c r="B280" s="94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6.2E-2</v>
      </c>
    </row>
    <row r="281" spans="1:14">
      <c r="A281" s="20">
        <v>18</v>
      </c>
      <c r="B281" s="94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0.27</v>
      </c>
      <c r="I281" s="50">
        <f>AVERAGE(F279:F281)</f>
        <v>4.7636666666666665</v>
      </c>
      <c r="J281" s="50">
        <f>AVERAGE(G279:G281)</f>
        <v>0.3173333333333333</v>
      </c>
      <c r="L281">
        <f>+J281/I281</f>
        <v>6.6615352319641732E-2</v>
      </c>
      <c r="M281">
        <f>+(L281-$L$913)/$L$914</f>
        <v>3.7172679834829037</v>
      </c>
      <c r="N281">
        <f>+N278+M281</f>
        <v>16.967766171317031</v>
      </c>
    </row>
    <row r="282" spans="1:14">
      <c r="A282" s="20">
        <v>1</v>
      </c>
      <c r="B282" s="94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9.9989999999999996E-4</v>
      </c>
    </row>
    <row r="283" spans="1:14">
      <c r="A283" s="20">
        <v>17</v>
      </c>
      <c r="B283" s="94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0.03</v>
      </c>
    </row>
    <row r="284" spans="1:14">
      <c r="A284" s="20">
        <v>18</v>
      </c>
      <c r="B284" s="94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4.1000000000000002E-2</v>
      </c>
      <c r="I284" s="50">
        <f>AVERAGE(F282:F284)</f>
        <v>7.7403333333333348</v>
      </c>
      <c r="J284" s="50">
        <f>AVERAGE(G282:G284)</f>
        <v>2.3999966666666667E-2</v>
      </c>
      <c r="L284">
        <f>+J284/I284</f>
        <v>3.1006373541191158E-3</v>
      </c>
      <c r="M284">
        <f>+(L284-$L$913)/$L$914</f>
        <v>-0.25064343106489839</v>
      </c>
      <c r="N284">
        <f>+N281+M284</f>
        <v>16.717122740252133</v>
      </c>
    </row>
    <row r="285" spans="1:14">
      <c r="A285" s="20">
        <v>1</v>
      </c>
      <c r="B285" s="94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0.248</v>
      </c>
    </row>
    <row r="286" spans="1:14">
      <c r="A286" s="20">
        <v>17</v>
      </c>
      <c r="B286" s="94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0.214</v>
      </c>
    </row>
    <row r="287" spans="1:14">
      <c r="A287" s="20">
        <v>18</v>
      </c>
      <c r="B287" s="94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0.27900000000000003</v>
      </c>
      <c r="I287" s="50">
        <f>AVERAGE(F285:F287)</f>
        <v>9.8699999999999992</v>
      </c>
      <c r="J287" s="50">
        <f>AVERAGE(G285:G287)</f>
        <v>0.247</v>
      </c>
      <c r="L287">
        <f>+J287/I287</f>
        <v>2.5025329280648431E-2</v>
      </c>
      <c r="M287">
        <f>+(L287-$L$913)/$L$914</f>
        <v>1.119042875532603</v>
      </c>
      <c r="N287">
        <f>+N284+M287</f>
        <v>17.836165615784736</v>
      </c>
    </row>
    <row r="288" spans="1:14">
      <c r="A288" s="20">
        <v>1</v>
      </c>
      <c r="B288" s="94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9.9989999999999996E-4</v>
      </c>
    </row>
    <row r="289" spans="1:14">
      <c r="A289" s="20">
        <v>17</v>
      </c>
      <c r="B289" s="94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9.9989999999999996E-4</v>
      </c>
    </row>
    <row r="290" spans="1:14">
      <c r="A290" s="20">
        <v>18</v>
      </c>
      <c r="B290" s="94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9.9989999999999996E-4</v>
      </c>
      <c r="I290" s="50">
        <f>AVERAGE(F288:F290)</f>
        <v>8.7673333333333332</v>
      </c>
      <c r="J290" s="50">
        <f>AVERAGE(G288:G290)</f>
        <v>9.9989999999999996E-4</v>
      </c>
      <c r="L290">
        <f>+J290/I290</f>
        <v>1.1404836134134286E-4</v>
      </c>
      <c r="M290">
        <f>+(L290-$L$913)/$L$914</f>
        <v>-0.43722256570225776</v>
      </c>
      <c r="N290">
        <f>+N287+M290</f>
        <v>17.39894305008248</v>
      </c>
    </row>
    <row r="291" spans="1:14">
      <c r="A291" s="20">
        <v>1</v>
      </c>
      <c r="B291" s="94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9.9989999999999996E-4</v>
      </c>
    </row>
    <row r="292" spans="1:14">
      <c r="A292" s="20">
        <v>17</v>
      </c>
      <c r="B292" s="94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9.9989999999999996E-4</v>
      </c>
    </row>
    <row r="293" spans="1:14">
      <c r="A293" s="20">
        <v>18</v>
      </c>
      <c r="B293" s="94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9.9989999999999996E-4</v>
      </c>
      <c r="I293" s="50">
        <f>AVERAGE(F291:F293)</f>
        <v>4.2443333333333335</v>
      </c>
      <c r="J293" s="50">
        <f>AVERAGE(G291:G293)</f>
        <v>9.9989999999999996E-4</v>
      </c>
      <c r="L293">
        <f>+J293/I293</f>
        <v>2.3558470117018769E-4</v>
      </c>
      <c r="M293">
        <f>+(L293-$L$913)/$L$914</f>
        <v>-0.42962990893994674</v>
      </c>
      <c r="N293">
        <f>+N290+M293</f>
        <v>16.969313141142532</v>
      </c>
    </row>
    <row r="294" spans="1:14">
      <c r="A294" s="20">
        <v>1</v>
      </c>
      <c r="B294" s="94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9.9989999999999996E-4</v>
      </c>
    </row>
    <row r="295" spans="1:14">
      <c r="A295" s="20">
        <v>17</v>
      </c>
      <c r="B295" s="94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9.9989999999999996E-4</v>
      </c>
    </row>
    <row r="296" spans="1:14">
      <c r="A296" s="20">
        <v>18</v>
      </c>
      <c r="B296" s="94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9.9989999999999996E-4</v>
      </c>
      <c r="I296" s="50">
        <f>AVERAGE(F294:F296)</f>
        <v>2.345333333333333</v>
      </c>
      <c r="J296" s="50">
        <f>AVERAGE(G294:G296)</f>
        <v>9.9989999999999996E-4</v>
      </c>
      <c r="L296">
        <f>+J296/I296</f>
        <v>4.2633598635588408E-4</v>
      </c>
      <c r="M296">
        <f>+(L296-$L$913)/$L$914</f>
        <v>-0.41771323416247436</v>
      </c>
      <c r="N296">
        <f>+N293+M296</f>
        <v>16.551599906980059</v>
      </c>
    </row>
    <row r="297" spans="1:14">
      <c r="A297" s="20">
        <v>1</v>
      </c>
      <c r="B297" s="94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9.9989999999999996E-4</v>
      </c>
    </row>
    <row r="298" spans="1:14">
      <c r="A298" s="20">
        <v>17</v>
      </c>
      <c r="B298" s="94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9.9989999999999996E-4</v>
      </c>
    </row>
    <row r="299" spans="1:14">
      <c r="A299" s="20">
        <v>18</v>
      </c>
      <c r="B299" s="94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9.9989999999999996E-4</v>
      </c>
      <c r="I299" s="50">
        <f>AVERAGE(F297:F299)</f>
        <v>6.34</v>
      </c>
      <c r="J299" s="50">
        <f>AVERAGE(G297:G299)</f>
        <v>9.9989999999999996E-4</v>
      </c>
      <c r="L299">
        <f>+J299/I299</f>
        <v>1.5771293375394321E-4</v>
      </c>
      <c r="M299">
        <f>+(L299-$L$913)/$L$914</f>
        <v>-0.43449473868797683</v>
      </c>
      <c r="N299">
        <f>+N296+M299</f>
        <v>16.117105168292081</v>
      </c>
    </row>
    <row r="300" spans="1:14">
      <c r="A300" s="23">
        <v>1</v>
      </c>
      <c r="B300" s="93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9.9989999999999996E-4</v>
      </c>
    </row>
    <row r="301" spans="1:14">
      <c r="A301" s="20">
        <v>17</v>
      </c>
      <c r="B301" s="94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9.9989999999999996E-4</v>
      </c>
    </row>
    <row r="302" spans="1:14">
      <c r="A302" s="20">
        <v>18</v>
      </c>
      <c r="B302" s="94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9.9989999999999996E-4</v>
      </c>
      <c r="I302" s="50">
        <f>AVERAGE(F300:F302)</f>
        <v>10.600666666666667</v>
      </c>
      <c r="J302" s="50">
        <f>AVERAGE(G300:G302)</f>
        <v>9.9989999999999996E-4</v>
      </c>
      <c r="L302">
        <f>+J302/I302</f>
        <v>9.4324256336079479E-5</v>
      </c>
      <c r="M302">
        <f>+(L302-$L$913)/$L$914</f>
        <v>-0.43845477624487939</v>
      </c>
      <c r="N302">
        <f>+N299+M302</f>
        <v>15.678650392047201</v>
      </c>
    </row>
    <row r="303" spans="1:14">
      <c r="A303" s="20">
        <v>1</v>
      </c>
      <c r="B303" s="94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7.1999999999999995E-2</v>
      </c>
    </row>
    <row r="304" spans="1:14">
      <c r="A304" s="20">
        <v>17</v>
      </c>
      <c r="B304" s="94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9.9989999999999996E-4</v>
      </c>
    </row>
    <row r="305" spans="1:14">
      <c r="A305" s="20">
        <v>18</v>
      </c>
      <c r="B305" s="94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9.9989999999999996E-4</v>
      </c>
      <c r="I305" s="50">
        <f>AVERAGE(F303:F305)</f>
        <v>5.8329999999999993</v>
      </c>
      <c r="J305" s="50">
        <f>AVERAGE(G303:G305)</f>
        <v>2.4666599999999997E-2</v>
      </c>
      <c r="L305">
        <f>+J305/I305</f>
        <v>4.2288016458083321E-3</v>
      </c>
      <c r="M305">
        <f>+(L305-$L$913)/$L$914</f>
        <v>-0.18016439368106046</v>
      </c>
      <c r="N305">
        <f>+N302+M305</f>
        <v>15.49848599836614</v>
      </c>
    </row>
    <row r="306" spans="1:14">
      <c r="A306" s="20">
        <v>1</v>
      </c>
      <c r="B306" s="94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9.9989999999999996E-4</v>
      </c>
    </row>
    <row r="307" spans="1:14">
      <c r="A307" s="20">
        <v>17</v>
      </c>
      <c r="B307" s="94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9.9989999999999996E-4</v>
      </c>
    </row>
    <row r="308" spans="1:14">
      <c r="A308" s="20">
        <v>18</v>
      </c>
      <c r="B308" s="94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9.9989999999999996E-4</v>
      </c>
      <c r="I308" s="50">
        <f>AVERAGE(F306:F308)</f>
        <v>2.0316666666666667</v>
      </c>
      <c r="J308" s="50">
        <f>AVERAGE(G306:G308)</f>
        <v>9.9989999999999996E-4</v>
      </c>
      <c r="L308">
        <f>+J308/I308</f>
        <v>4.9215750615258405E-4</v>
      </c>
      <c r="M308">
        <f>+(L308-$L$913)/$L$914</f>
        <v>-0.41360121130499983</v>
      </c>
      <c r="N308">
        <f>+N305+M308</f>
        <v>15.08488478706114</v>
      </c>
    </row>
    <row r="309" spans="1:14">
      <c r="A309" s="20">
        <v>1</v>
      </c>
      <c r="B309" s="94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9.9989999999999996E-4</v>
      </c>
    </row>
    <row r="310" spans="1:14">
      <c r="A310" s="20">
        <v>17</v>
      </c>
      <c r="B310" s="94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9.9989999999999996E-4</v>
      </c>
    </row>
    <row r="311" spans="1:14">
      <c r="A311" s="20">
        <v>18</v>
      </c>
      <c r="B311" s="94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9.9989999999999996E-4</v>
      </c>
      <c r="I311" s="50">
        <f>AVERAGE(F309:F311)</f>
        <v>2.1359999999999997</v>
      </c>
      <c r="J311" s="50">
        <f>AVERAGE(G309:G311)</f>
        <v>9.9989999999999996E-4</v>
      </c>
      <c r="L311">
        <f>+J311/I311</f>
        <v>4.6811797752808993E-4</v>
      </c>
      <c r="M311">
        <f>+(L311-$L$913)/$L$914</f>
        <v>-0.41510301636043079</v>
      </c>
      <c r="N311">
        <f>+N308+M311</f>
        <v>14.669781770700709</v>
      </c>
    </row>
    <row r="312" spans="1:14">
      <c r="A312" s="20">
        <v>1</v>
      </c>
      <c r="B312" s="94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9.9989999999999996E-4</v>
      </c>
    </row>
    <row r="313" spans="1:14">
      <c r="A313" s="20">
        <v>17</v>
      </c>
      <c r="B313" s="94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9.9989999999999996E-4</v>
      </c>
    </row>
    <row r="314" spans="1:14">
      <c r="A314" s="20">
        <v>18</v>
      </c>
      <c r="B314" s="94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9.9989999999999996E-4</v>
      </c>
      <c r="I314" s="50">
        <f>AVERAGE(F312:F314)</f>
        <v>1.1343333333333334</v>
      </c>
      <c r="J314" s="50">
        <f>AVERAGE(G312:G314)</f>
        <v>9.9989999999999996E-4</v>
      </c>
      <c r="L314">
        <f>+J314/I314</f>
        <v>8.8148692330296784E-4</v>
      </c>
      <c r="M314">
        <f>+(L314-$L$913)/$L$914</f>
        <v>-0.38927890049609798</v>
      </c>
      <c r="N314">
        <f>+N311+M314</f>
        <v>14.280502870204611</v>
      </c>
    </row>
    <row r="315" spans="1:14">
      <c r="A315" s="20">
        <v>1</v>
      </c>
      <c r="B315" s="94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9.9989999999999996E-4</v>
      </c>
    </row>
    <row r="316" spans="1:14">
      <c r="A316" s="20">
        <v>17</v>
      </c>
      <c r="B316" s="94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9.9989999999999996E-4</v>
      </c>
    </row>
    <row r="317" spans="1:14">
      <c r="A317" s="20">
        <v>18</v>
      </c>
      <c r="B317" s="94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9.9989999999999996E-4</v>
      </c>
      <c r="I317" s="50">
        <f>AVERAGE(F315:F317)</f>
        <v>5.08</v>
      </c>
      <c r="J317" s="50">
        <f>AVERAGE(G315:G317)</f>
        <v>9.9989999999999996E-4</v>
      </c>
      <c r="L317">
        <f>+J317/I317</f>
        <v>1.9683070866141731E-4</v>
      </c>
      <c r="M317">
        <f>+(L317-$L$913)/$L$914</f>
        <v>-0.43205096064927617</v>
      </c>
      <c r="N317">
        <f>+N314+M317</f>
        <v>13.848451909555335</v>
      </c>
    </row>
    <row r="318" spans="1:14">
      <c r="A318" s="20">
        <v>1</v>
      </c>
      <c r="B318" s="94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6.0999999999999999E-2</v>
      </c>
    </row>
    <row r="319" spans="1:14">
      <c r="A319" s="20">
        <v>17</v>
      </c>
      <c r="B319" s="94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9.9989999999999996E-4</v>
      </c>
    </row>
    <row r="320" spans="1:14">
      <c r="A320" s="20">
        <v>18</v>
      </c>
      <c r="B320" s="94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9.9989999999999996E-4</v>
      </c>
      <c r="I320" s="50">
        <f>AVERAGE(F318:F320)</f>
        <v>4.0049999999999999</v>
      </c>
      <c r="J320" s="50">
        <f>AVERAGE(G318:G320)</f>
        <v>2.0999933333333332E-2</v>
      </c>
      <c r="L320">
        <f>+J320/I320</f>
        <v>5.2434290470245526E-3</v>
      </c>
      <c r="M320">
        <f>+(L320-$L$913)/$L$914</f>
        <v>-0.11677826892266076</v>
      </c>
      <c r="N320">
        <f>+N317+M320</f>
        <v>13.731673640632675</v>
      </c>
    </row>
    <row r="321" spans="1:14">
      <c r="A321" s="20">
        <v>1</v>
      </c>
      <c r="B321" s="94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0.29199999999999998</v>
      </c>
    </row>
    <row r="322" spans="1:14">
      <c r="A322" s="20">
        <v>17</v>
      </c>
      <c r="B322" s="94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9.9989999999999996E-4</v>
      </c>
    </row>
    <row r="323" spans="1:14">
      <c r="A323" s="20">
        <v>18</v>
      </c>
      <c r="B323" s="94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9.9989999999999996E-4</v>
      </c>
      <c r="I323" s="50">
        <f>AVERAGE(F321:F323)</f>
        <v>8.202</v>
      </c>
      <c r="J323" s="50">
        <f>AVERAGE(G321:G323)</f>
        <v>9.7999933333333331E-2</v>
      </c>
      <c r="L323">
        <f>+J323/I323</f>
        <v>1.1948297163293506E-2</v>
      </c>
      <c r="M323">
        <f>+(L323-$L$913)/$L$914</f>
        <v>0.30209037822505441</v>
      </c>
      <c r="N323">
        <f>+N320+M323</f>
        <v>14.033764018857729</v>
      </c>
    </row>
    <row r="324" spans="1:14">
      <c r="A324" s="20">
        <v>1</v>
      </c>
      <c r="B324" s="94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0.53300000000000003</v>
      </c>
    </row>
    <row r="325" spans="1:14">
      <c r="A325" s="20">
        <v>17</v>
      </c>
      <c r="B325" s="94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0.23799999999999999</v>
      </c>
    </row>
    <row r="326" spans="1:14">
      <c r="A326" s="20">
        <v>18</v>
      </c>
      <c r="B326" s="94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0.192</v>
      </c>
      <c r="I326" s="50">
        <f>AVERAGE(F324:F326)</f>
        <v>11.773333333333333</v>
      </c>
      <c r="J326" s="50">
        <f>AVERAGE(G324:G326)</f>
        <v>0.32100000000000001</v>
      </c>
      <c r="L326">
        <f>+J326/I326</f>
        <v>2.7265005662514157E-2</v>
      </c>
      <c r="M326">
        <f>+(L326-$L$913)/$L$914</f>
        <v>1.2589606486867788</v>
      </c>
      <c r="N326">
        <f>+N323+M326</f>
        <v>15.292724667544508</v>
      </c>
    </row>
    <row r="327" spans="1:14">
      <c r="A327" s="20">
        <v>1</v>
      </c>
      <c r="B327" s="94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4.1000000000000002E-2</v>
      </c>
    </row>
    <row r="328" spans="1:14">
      <c r="A328" s="20">
        <v>17</v>
      </c>
      <c r="B328" s="94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0.20100000000000001</v>
      </c>
    </row>
    <row r="329" spans="1:14">
      <c r="A329" s="20">
        <v>18</v>
      </c>
      <c r="B329" s="94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0.14499999999999999</v>
      </c>
      <c r="I329" s="50">
        <f>AVERAGE(F327:F329)</f>
        <v>6.4503333333333339</v>
      </c>
      <c r="J329" s="50">
        <f>AVERAGE(G327:G329)</f>
        <v>0.129</v>
      </c>
      <c r="L329">
        <f>+J329/I329</f>
        <v>1.9998966461681564E-2</v>
      </c>
      <c r="M329">
        <f>+(L329-$L$913)/$L$914</f>
        <v>0.80503434359061921</v>
      </c>
      <c r="N329">
        <f>+N326+M329</f>
        <v>16.097759011135128</v>
      </c>
    </row>
    <row r="330" spans="1:14">
      <c r="A330" s="20">
        <v>1</v>
      </c>
      <c r="B330" s="94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9.9989999999999996E-4</v>
      </c>
    </row>
    <row r="331" spans="1:14">
      <c r="A331" s="20">
        <v>17</v>
      </c>
      <c r="B331" s="94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9.9989999999999996E-4</v>
      </c>
    </row>
    <row r="332" spans="1:14">
      <c r="A332" s="20">
        <v>18</v>
      </c>
      <c r="B332" s="94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9.9989999999999996E-4</v>
      </c>
      <c r="I332" s="50">
        <f>AVERAGE(F330:F332)</f>
        <v>1.6453333333333333</v>
      </c>
      <c r="J332" s="50">
        <f>AVERAGE(G330:G332)</f>
        <v>9.9989999999999996E-4</v>
      </c>
      <c r="L332">
        <f>+J332/I332</f>
        <v>6.0771880064829824E-4</v>
      </c>
      <c r="M332">
        <f>+(L332-$L$913)/$L$914</f>
        <v>-0.40638182946949336</v>
      </c>
      <c r="N332">
        <f>+N329+M332</f>
        <v>15.691377181665635</v>
      </c>
    </row>
    <row r="333" spans="1:14">
      <c r="A333" s="20">
        <v>1</v>
      </c>
      <c r="B333" s="94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9.9989999999999996E-4</v>
      </c>
    </row>
    <row r="334" spans="1:14">
      <c r="A334" s="20">
        <v>17</v>
      </c>
      <c r="B334" s="94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9.9989999999999996E-4</v>
      </c>
    </row>
    <row r="335" spans="1:14">
      <c r="A335" s="20">
        <v>18</v>
      </c>
      <c r="B335" s="94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9.9989999999999996E-4</v>
      </c>
      <c r="I335" s="50">
        <f>AVERAGE(F333:F335)</f>
        <v>8.9216666666666669</v>
      </c>
      <c r="J335" s="50">
        <f>AVERAGE(G333:G335)</f>
        <v>9.9989999999999996E-4</v>
      </c>
      <c r="L335">
        <f>+J335/I335</f>
        <v>1.120754716981132E-4</v>
      </c>
      <c r="M335">
        <f>+(L335-$L$913)/$L$914</f>
        <v>-0.43734581668967482</v>
      </c>
      <c r="N335">
        <f>+N332+M335</f>
        <v>15.25403136497596</v>
      </c>
    </row>
    <row r="336" spans="1:14">
      <c r="A336" s="23">
        <v>1</v>
      </c>
      <c r="B336" s="93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0.02</v>
      </c>
    </row>
    <row r="337" spans="1:14">
      <c r="A337" s="20">
        <v>17</v>
      </c>
      <c r="B337" s="94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9.9989999999999996E-4</v>
      </c>
    </row>
    <row r="338" spans="1:14">
      <c r="A338" s="20">
        <v>18</v>
      </c>
      <c r="B338" s="94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9.9989999999999996E-4</v>
      </c>
      <c r="I338" s="50">
        <f>AVERAGE(F336:F338)</f>
        <v>12.879333333333335</v>
      </c>
      <c r="J338" s="50">
        <f>AVERAGE(G336:G338)</f>
        <v>7.3332666666666678E-3</v>
      </c>
      <c r="L338">
        <f>+J338/I338</f>
        <v>5.6938247321289921E-4</v>
      </c>
      <c r="M338">
        <f>+(L338-$L$913)/$L$914</f>
        <v>-0.40877678867391293</v>
      </c>
      <c r="N338">
        <f>+N335+M338</f>
        <v>14.845254576302047</v>
      </c>
    </row>
    <row r="339" spans="1:14">
      <c r="A339" s="11">
        <v>1</v>
      </c>
      <c r="B339" s="94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1E-3</v>
      </c>
    </row>
    <row r="340" spans="1:14">
      <c r="A340" s="11">
        <v>17</v>
      </c>
      <c r="B340" s="94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1E-3</v>
      </c>
    </row>
    <row r="341" spans="1:14">
      <c r="A341" s="11">
        <v>18</v>
      </c>
      <c r="B341" s="94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1E-3</v>
      </c>
      <c r="I341" s="50">
        <f>AVERAGE(F339:F341)</f>
        <v>9.4990000000000006</v>
      </c>
      <c r="J341" s="50">
        <f>AVERAGE(G339:G341)</f>
        <v>1E-3</v>
      </c>
      <c r="L341">
        <f>+J341/I341</f>
        <v>1.0527423939362037E-4</v>
      </c>
      <c r="M341">
        <f>+(L341-$L$913)/$L$914</f>
        <v>-0.43777070543094743</v>
      </c>
      <c r="N341">
        <f>+N338+M341</f>
        <v>14.407483870871099</v>
      </c>
    </row>
    <row r="342" spans="1:14">
      <c r="A342" s="11">
        <v>1</v>
      </c>
      <c r="B342" s="94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1E-3</v>
      </c>
    </row>
    <row r="343" spans="1:14">
      <c r="A343" s="11">
        <v>17</v>
      </c>
      <c r="B343" s="94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1E-3</v>
      </c>
    </row>
    <row r="344" spans="1:14">
      <c r="A344" s="11">
        <v>18</v>
      </c>
      <c r="B344" s="94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1E-3</v>
      </c>
      <c r="I344" s="50">
        <f>AVERAGE(F342:F344)</f>
        <v>5.2756666666666661</v>
      </c>
      <c r="J344" s="50">
        <f>AVERAGE(G342:G344)</f>
        <v>1E-3</v>
      </c>
      <c r="L344">
        <f>+J344/I344</f>
        <v>1.895495040121312E-4</v>
      </c>
      <c r="M344">
        <f>+(L344-$L$913)/$L$914</f>
        <v>-0.43250583437507722</v>
      </c>
      <c r="N344">
        <f>+N341+M344</f>
        <v>13.974978036496022</v>
      </c>
    </row>
    <row r="345" spans="1:14">
      <c r="A345" s="11">
        <v>1</v>
      </c>
      <c r="B345" s="94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1E-3</v>
      </c>
    </row>
    <row r="346" spans="1:14">
      <c r="A346" s="11">
        <v>17</v>
      </c>
      <c r="B346" s="94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1E-3</v>
      </c>
    </row>
    <row r="347" spans="1:14">
      <c r="A347" s="11">
        <v>18</v>
      </c>
      <c r="B347" s="94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1E-3</v>
      </c>
      <c r="I347" s="50">
        <f>AVERAGE(F345:F347)</f>
        <v>3.3593333333333333</v>
      </c>
      <c r="J347" s="50">
        <f>AVERAGE(G345:G347)</f>
        <v>1E-3</v>
      </c>
      <c r="L347">
        <f>+J347/I347</f>
        <v>2.9767811073625719E-4</v>
      </c>
      <c r="M347">
        <f>+(L347-$L$913)/$L$914</f>
        <v>-0.42575078976702529</v>
      </c>
      <c r="N347">
        <f>+N344+M347</f>
        <v>13.549227246728996</v>
      </c>
    </row>
    <row r="348" spans="1:14">
      <c r="A348" s="11">
        <v>1</v>
      </c>
      <c r="B348" s="94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9.9989999999999996E-4</v>
      </c>
    </row>
    <row r="349" spans="1:14">
      <c r="A349" s="11">
        <v>17</v>
      </c>
      <c r="B349" s="94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1E-3</v>
      </c>
    </row>
    <row r="350" spans="1:14">
      <c r="A350" s="11">
        <v>18</v>
      </c>
      <c r="B350" s="94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9.9989999999999996E-4</v>
      </c>
      <c r="I350" s="50">
        <f>AVERAGE(F348:F350)</f>
        <v>1.4989999999999999</v>
      </c>
      <c r="J350" s="50">
        <f>AVERAGE(G348:G350)</f>
        <v>9.999333333333331E-4</v>
      </c>
      <c r="L350">
        <f>+J350/I350</f>
        <v>6.6706693351122959E-4</v>
      </c>
      <c r="M350">
        <f>+(L350-$L$913)/$L$914</f>
        <v>-0.40267421409332815</v>
      </c>
      <c r="N350">
        <f>+N347+M350</f>
        <v>13.146553032635669</v>
      </c>
    </row>
    <row r="351" spans="1:14">
      <c r="A351" s="20">
        <v>1</v>
      </c>
      <c r="B351" s="94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1E-3</v>
      </c>
    </row>
    <row r="352" spans="1:14">
      <c r="A352" s="20">
        <v>17</v>
      </c>
      <c r="B352" s="94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4.4999999999999998E-2</v>
      </c>
    </row>
    <row r="353" spans="1:14">
      <c r="A353" s="20">
        <v>18</v>
      </c>
      <c r="B353" s="94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1E-3</v>
      </c>
      <c r="I353" s="50">
        <f>AVERAGE(F351:F353)</f>
        <v>2.621</v>
      </c>
      <c r="J353" s="50">
        <f>AVERAGE(G351:G353)</f>
        <v>1.5666666666666666E-2</v>
      </c>
      <c r="L353">
        <f>+J353/I353</f>
        <v>5.9773623298995287E-3</v>
      </c>
      <c r="M353">
        <f>+(L353-$L$913)/$L$914</f>
        <v>-7.0927756136498307E-2</v>
      </c>
      <c r="N353">
        <f>+N350+M353</f>
        <v>13.075625276499171</v>
      </c>
    </row>
    <row r="354" spans="1:14">
      <c r="A354" s="20">
        <v>1</v>
      </c>
      <c r="B354" s="94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1E-3</v>
      </c>
    </row>
    <row r="355" spans="1:14">
      <c r="A355" s="20">
        <v>17</v>
      </c>
      <c r="B355" s="94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1E-3</v>
      </c>
    </row>
    <row r="356" spans="1:14">
      <c r="A356" s="20">
        <v>18</v>
      </c>
      <c r="B356" s="94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2.1000000000000001E-2</v>
      </c>
      <c r="I356" s="50">
        <f>AVERAGE(F354:F356)</f>
        <v>7.3820000000000006</v>
      </c>
      <c r="J356" s="50">
        <f>AVERAGE(G354:G356)</f>
        <v>7.6666666666666662E-3</v>
      </c>
      <c r="L356">
        <f>+J356/I356</f>
        <v>1.0385622685812335E-3</v>
      </c>
      <c r="M356">
        <f>+(L356-$L$913)/$L$914</f>
        <v>-0.37946603971553727</v>
      </c>
      <c r="N356">
        <f>+N353+M356</f>
        <v>12.696159236783634</v>
      </c>
    </row>
    <row r="357" spans="1:14">
      <c r="A357" s="20">
        <v>1</v>
      </c>
      <c r="B357" s="94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1E-3</v>
      </c>
    </row>
    <row r="358" spans="1:14">
      <c r="A358" s="20">
        <v>17</v>
      </c>
      <c r="B358" s="94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1E-3</v>
      </c>
    </row>
    <row r="359" spans="1:14">
      <c r="A359" s="20">
        <v>18</v>
      </c>
      <c r="B359" s="94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9.9989999999999996E-4</v>
      </c>
      <c r="I359" s="50">
        <f>AVERAGE(F357:F359)</f>
        <v>10.837666666666669</v>
      </c>
      <c r="J359" s="50">
        <f>AVERAGE(G357:G359)</f>
        <v>9.9996666666666667E-4</v>
      </c>
      <c r="L359">
        <f>+J359/I359</f>
        <v>9.2267708301294843E-5</v>
      </c>
      <c r="M359">
        <f>+(L359-$L$913)/$L$914</f>
        <v>-0.43858325356586264</v>
      </c>
      <c r="N359">
        <f>+N356+M359</f>
        <v>12.257575983217771</v>
      </c>
    </row>
    <row r="360" spans="1:14">
      <c r="A360" s="20">
        <v>1</v>
      </c>
      <c r="B360" s="94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9.9989999999999996E-4</v>
      </c>
    </row>
    <row r="361" spans="1:14">
      <c r="A361" s="20">
        <v>17</v>
      </c>
      <c r="B361" s="94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9.9989999999999996E-4</v>
      </c>
    </row>
    <row r="362" spans="1:14">
      <c r="A362" s="20">
        <v>18</v>
      </c>
      <c r="B362" s="94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9.9989999999999996E-4</v>
      </c>
      <c r="I362" s="50">
        <f>AVERAGE(F360:F362)</f>
        <v>6.5323333333333338</v>
      </c>
      <c r="J362" s="50">
        <f>AVERAGE(G360:G362)</f>
        <v>9.9989999999999996E-4</v>
      </c>
      <c r="L362">
        <f>+J362/I362</f>
        <v>1.5306934734908402E-4</v>
      </c>
      <c r="M362">
        <f>+(L362-$L$913)/$L$914</f>
        <v>-0.43478483429039405</v>
      </c>
      <c r="N362">
        <f>+N359+M362</f>
        <v>11.822791148927378</v>
      </c>
    </row>
    <row r="363" spans="1:14">
      <c r="A363" s="20">
        <v>1</v>
      </c>
      <c r="B363" s="94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9.9989999999999996E-4</v>
      </c>
    </row>
    <row r="364" spans="1:14">
      <c r="A364" s="20">
        <v>17</v>
      </c>
      <c r="B364" s="94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9.9989999999999996E-4</v>
      </c>
    </row>
    <row r="365" spans="1:14">
      <c r="A365" s="20">
        <v>18</v>
      </c>
      <c r="B365" s="94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9.9989999999999996E-4</v>
      </c>
      <c r="I365" s="50">
        <f>AVERAGE(F363:F365)</f>
        <v>2.5559999999999996</v>
      </c>
      <c r="J365" s="50">
        <f>AVERAGE(G363:G365)</f>
        <v>9.9989999999999996E-4</v>
      </c>
      <c r="L365">
        <f>+J365/I365</f>
        <v>3.911971830985916E-4</v>
      </c>
      <c r="M365">
        <f>+(L365-$L$913)/$L$914</f>
        <v>-0.41990843662246885</v>
      </c>
      <c r="N365">
        <f>+N362+M365</f>
        <v>11.402882712304908</v>
      </c>
    </row>
    <row r="366" spans="1:14">
      <c r="A366" s="20">
        <v>1</v>
      </c>
      <c r="B366" s="94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1E-3</v>
      </c>
    </row>
    <row r="367" spans="1:14">
      <c r="A367" s="20">
        <v>17</v>
      </c>
      <c r="B367" s="94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1E-3</v>
      </c>
    </row>
    <row r="368" spans="1:14">
      <c r="A368" s="20">
        <v>18</v>
      </c>
      <c r="B368" s="94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9.9989999999999996E-4</v>
      </c>
      <c r="I368" s="50">
        <f>AVERAGE(F366:F368)</f>
        <v>4.2463333333333333</v>
      </c>
      <c r="J368" s="50">
        <f>AVERAGE(G366:G368)</f>
        <v>9.9996666666666667E-4</v>
      </c>
      <c r="L368">
        <f>+J368/I368</f>
        <v>2.3548944187141849E-4</v>
      </c>
      <c r="M368">
        <f>+(L368-$L$913)/$L$914</f>
        <v>-0.42963586000906723</v>
      </c>
      <c r="N368">
        <f>+N365+M368</f>
        <v>10.973246852295841</v>
      </c>
    </row>
    <row r="369" spans="1:14">
      <c r="A369" s="20">
        <v>1</v>
      </c>
      <c r="B369" s="94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9.9989999999999996E-4</v>
      </c>
    </row>
    <row r="370" spans="1:14">
      <c r="A370" s="20">
        <v>17</v>
      </c>
      <c r="B370" s="94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9.9989999999999996E-4</v>
      </c>
    </row>
    <row r="371" spans="1:14">
      <c r="A371" s="20">
        <v>18</v>
      </c>
      <c r="B371" s="94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9.9989999999999996E-4</v>
      </c>
      <c r="I371" s="50">
        <f>AVERAGE(F369:F371)</f>
        <v>5.323666666666667</v>
      </c>
      <c r="J371" s="50">
        <f>AVERAGE(G369:G371)</f>
        <v>9.9989999999999996E-4</v>
      </c>
      <c r="L371">
        <f>+J371/I371</f>
        <v>1.8782167678918038E-4</v>
      </c>
      <c r="M371">
        <f>+(L371-$L$913)/$L$914</f>
        <v>-0.43261377574526261</v>
      </c>
      <c r="N371">
        <f>+N368+M371</f>
        <v>10.540633076550577</v>
      </c>
    </row>
    <row r="372" spans="1:14">
      <c r="A372" s="43">
        <v>1</v>
      </c>
      <c r="B372" s="95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0</v>
      </c>
    </row>
    <row r="373" spans="1:14">
      <c r="A373" s="20">
        <v>17</v>
      </c>
      <c r="B373" s="86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0</v>
      </c>
    </row>
    <row r="374" spans="1:14">
      <c r="A374" s="20">
        <v>18</v>
      </c>
      <c r="B374" s="86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0</v>
      </c>
      <c r="I374" s="50">
        <f>AVERAGE(F372:F374)</f>
        <v>6.6040000000000001</v>
      </c>
      <c r="J374" s="50">
        <f>AVERAGE(G372:G374)</f>
        <v>0</v>
      </c>
      <c r="L374">
        <f>+J374/I374</f>
        <v>0</v>
      </c>
      <c r="M374">
        <f>+(L374-$L$913)/$L$914</f>
        <v>-0.44434743109797642</v>
      </c>
      <c r="N374">
        <f>+N371+M374</f>
        <v>10.096285645452602</v>
      </c>
    </row>
    <row r="375" spans="1:14">
      <c r="A375" s="20">
        <v>1</v>
      </c>
      <c r="B375" s="86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0</v>
      </c>
    </row>
    <row r="376" spans="1:14">
      <c r="A376" s="20">
        <v>17</v>
      </c>
      <c r="B376" s="86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0</v>
      </c>
    </row>
    <row r="377" spans="1:14">
      <c r="A377" s="20">
        <v>18</v>
      </c>
      <c r="B377" s="86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0</v>
      </c>
      <c r="I377" s="50">
        <f>AVERAGE(F375:F377)</f>
        <v>10.268666666666666</v>
      </c>
      <c r="J377" s="50">
        <f>AVERAGE(G375:G377)</f>
        <v>0</v>
      </c>
      <c r="L377">
        <f>+J377/I377</f>
        <v>0</v>
      </c>
      <c r="M377">
        <f>+(L377-$L$913)/$L$914</f>
        <v>-0.44434743109797642</v>
      </c>
      <c r="N377">
        <f>+N374+M377</f>
        <v>9.651938214354626</v>
      </c>
    </row>
    <row r="378" spans="1:14">
      <c r="A378" s="20">
        <v>1</v>
      </c>
      <c r="B378" s="86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0</v>
      </c>
    </row>
    <row r="379" spans="1:14">
      <c r="A379" s="20">
        <v>17</v>
      </c>
      <c r="B379" s="86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0</v>
      </c>
    </row>
    <row r="380" spans="1:14">
      <c r="A380" s="20">
        <v>18</v>
      </c>
      <c r="B380" s="86">
        <v>40254</v>
      </c>
      <c r="C380" s="20">
        <v>2010</v>
      </c>
      <c r="D380" s="10" t="s">
        <v>27</v>
      </c>
      <c r="E380" s="20">
        <v>3</v>
      </c>
      <c r="F380" s="49">
        <v>3.1829999999999998</v>
      </c>
      <c r="G380" s="50">
        <v>0</v>
      </c>
      <c r="I380" s="50">
        <f>AVERAGE(F378:F380)</f>
        <v>2.5406666666666666</v>
      </c>
      <c r="J380" s="50">
        <f>AVERAGE(G378:G380)</f>
        <v>0</v>
      </c>
      <c r="L380">
        <f>+J380/I380</f>
        <v>0</v>
      </c>
      <c r="M380">
        <f>+(L380-$L$913)/$L$914</f>
        <v>-0.44434743109797642</v>
      </c>
      <c r="N380">
        <f>+N377+M380</f>
        <v>9.2075907832566504</v>
      </c>
    </row>
    <row r="381" spans="1:14">
      <c r="A381" s="20">
        <v>1</v>
      </c>
      <c r="B381" s="86">
        <v>40282</v>
      </c>
      <c r="C381" s="20">
        <v>2010</v>
      </c>
      <c r="D381" s="10" t="s">
        <v>28</v>
      </c>
      <c r="E381" s="20">
        <v>4</v>
      </c>
      <c r="F381" s="49">
        <v>3.3370000000000002</v>
      </c>
      <c r="G381" s="50">
        <v>0</v>
      </c>
    </row>
    <row r="382" spans="1:14">
      <c r="A382" s="20">
        <v>17</v>
      </c>
      <c r="B382" s="86">
        <v>40282</v>
      </c>
      <c r="C382" s="20">
        <v>2010</v>
      </c>
      <c r="D382" s="10" t="s">
        <v>28</v>
      </c>
      <c r="E382" s="20">
        <v>4</v>
      </c>
      <c r="F382" s="49">
        <v>4.6260000000000003</v>
      </c>
      <c r="G382" s="50">
        <v>0</v>
      </c>
    </row>
    <row r="383" spans="1:14">
      <c r="A383" s="20">
        <v>18</v>
      </c>
      <c r="B383" s="86">
        <v>40282</v>
      </c>
      <c r="C383" s="20">
        <v>2010</v>
      </c>
      <c r="D383" s="10" t="s">
        <v>28</v>
      </c>
      <c r="E383" s="20">
        <v>4</v>
      </c>
      <c r="F383" s="51">
        <v>3.17</v>
      </c>
      <c r="G383" s="50">
        <v>0</v>
      </c>
      <c r="I383" s="50">
        <f>AVERAGE(F381:F383)</f>
        <v>3.7110000000000003</v>
      </c>
      <c r="J383" s="50">
        <f>AVERAGE(G381:G383)</f>
        <v>0</v>
      </c>
      <c r="L383">
        <f>+J383/I383</f>
        <v>0</v>
      </c>
      <c r="M383">
        <f>+(L383-$L$913)/$L$914</f>
        <v>-0.44434743109797642</v>
      </c>
      <c r="N383">
        <f>+N380+M383</f>
        <v>8.7632433521586748</v>
      </c>
    </row>
    <row r="384" spans="1:14">
      <c r="A384" s="20">
        <v>1</v>
      </c>
      <c r="B384" s="94">
        <v>40315</v>
      </c>
      <c r="C384" s="20">
        <v>2010</v>
      </c>
      <c r="D384" s="10" t="s">
        <v>29</v>
      </c>
      <c r="E384" s="20">
        <v>5</v>
      </c>
      <c r="F384" s="52">
        <v>0.67200000000000004</v>
      </c>
      <c r="G384" s="50">
        <v>0</v>
      </c>
    </row>
    <row r="385" spans="1:14">
      <c r="A385" s="20">
        <v>17</v>
      </c>
      <c r="B385" s="94">
        <v>40315</v>
      </c>
      <c r="C385" s="20">
        <v>2010</v>
      </c>
      <c r="D385" s="10" t="s">
        <v>29</v>
      </c>
      <c r="E385" s="20">
        <v>5</v>
      </c>
      <c r="F385" s="52">
        <v>1.71</v>
      </c>
      <c r="G385" s="50">
        <v>0</v>
      </c>
    </row>
    <row r="386" spans="1:14">
      <c r="A386" s="20">
        <v>18</v>
      </c>
      <c r="B386" s="94">
        <v>40315</v>
      </c>
      <c r="C386" s="20">
        <v>2010</v>
      </c>
      <c r="D386" s="10" t="s">
        <v>29</v>
      </c>
      <c r="E386" s="20">
        <v>5</v>
      </c>
      <c r="F386" s="52">
        <v>0.433</v>
      </c>
      <c r="G386" s="50">
        <v>0</v>
      </c>
      <c r="I386" s="50">
        <f>AVERAGE(F384:F386)</f>
        <v>0.93833333333333335</v>
      </c>
      <c r="J386" s="50">
        <f>AVERAGE(G384:G386)</f>
        <v>0</v>
      </c>
      <c r="L386">
        <f>+J386/I386</f>
        <v>0</v>
      </c>
      <c r="M386">
        <f>+(L386-$L$913)/$L$914</f>
        <v>-0.44434743109797642</v>
      </c>
      <c r="N386">
        <f>+N383+M386</f>
        <v>8.3188959210606992</v>
      </c>
    </row>
    <row r="387" spans="1:14">
      <c r="A387" s="20">
        <v>1</v>
      </c>
      <c r="B387" s="94">
        <v>40344</v>
      </c>
      <c r="C387" s="20">
        <v>2010</v>
      </c>
      <c r="D387" s="10" t="s">
        <v>30</v>
      </c>
      <c r="E387" s="20">
        <v>6</v>
      </c>
      <c r="F387" s="52">
        <v>2.6179999999999999</v>
      </c>
      <c r="G387" s="50">
        <v>0</v>
      </c>
    </row>
    <row r="388" spans="1:14">
      <c r="A388" s="20">
        <v>17</v>
      </c>
      <c r="B388" s="94">
        <v>40344</v>
      </c>
      <c r="C388" s="20">
        <v>2010</v>
      </c>
      <c r="D388" s="10" t="s">
        <v>30</v>
      </c>
      <c r="E388" s="20">
        <v>6</v>
      </c>
      <c r="F388" s="52">
        <v>2.0750000000000002</v>
      </c>
      <c r="G388" s="50">
        <v>0</v>
      </c>
    </row>
    <row r="389" spans="1:14">
      <c r="A389" s="20">
        <v>18</v>
      </c>
      <c r="B389" s="94">
        <v>40344</v>
      </c>
      <c r="C389" s="20">
        <v>2010</v>
      </c>
      <c r="D389" s="10" t="s">
        <v>30</v>
      </c>
      <c r="E389" s="20">
        <v>6</v>
      </c>
      <c r="F389" s="52">
        <v>3.0760000000000001</v>
      </c>
      <c r="G389" s="50">
        <v>0</v>
      </c>
      <c r="I389" s="50">
        <f>AVERAGE(F387:F389)</f>
        <v>2.5896666666666666</v>
      </c>
      <c r="J389" s="50">
        <f>AVERAGE(G387:G389)</f>
        <v>0</v>
      </c>
      <c r="L389">
        <f>+J389/I389</f>
        <v>0</v>
      </c>
      <c r="M389">
        <f>+(L389-$L$913)/$L$914</f>
        <v>-0.44434743109797642</v>
      </c>
      <c r="N389">
        <f>+N386+M389</f>
        <v>7.8745484899627227</v>
      </c>
    </row>
    <row r="390" spans="1:14">
      <c r="A390" s="20">
        <v>1</v>
      </c>
      <c r="B390" s="94">
        <v>40371</v>
      </c>
      <c r="C390" s="20">
        <v>2010</v>
      </c>
      <c r="D390" s="10" t="s">
        <v>31</v>
      </c>
      <c r="E390" s="20">
        <v>7</v>
      </c>
      <c r="F390" s="52">
        <v>7.69</v>
      </c>
      <c r="G390" s="50">
        <v>0</v>
      </c>
    </row>
    <row r="391" spans="1:14">
      <c r="A391" s="20">
        <v>17</v>
      </c>
      <c r="B391" s="94">
        <v>40371</v>
      </c>
      <c r="C391" s="20">
        <v>2010</v>
      </c>
      <c r="D391" s="10" t="s">
        <v>31</v>
      </c>
      <c r="E391" s="20">
        <v>7</v>
      </c>
      <c r="F391" s="52">
        <v>5.4009999999999998</v>
      </c>
      <c r="G391" s="50">
        <v>1.6423E-2</v>
      </c>
    </row>
    <row r="392" spans="1:14">
      <c r="A392" s="20">
        <v>18</v>
      </c>
      <c r="B392" s="94">
        <v>40371</v>
      </c>
      <c r="C392" s="20">
        <v>2010</v>
      </c>
      <c r="D392" s="10" t="s">
        <v>31</v>
      </c>
      <c r="E392" s="20">
        <v>7</v>
      </c>
      <c r="F392" s="52">
        <v>4.92</v>
      </c>
      <c r="G392" s="50">
        <v>0</v>
      </c>
      <c r="I392" s="50">
        <f>AVERAGE(F390:F392)</f>
        <v>6.0036666666666676</v>
      </c>
      <c r="J392" s="50">
        <f>AVERAGE(G390:G392)</f>
        <v>5.4743333333333337E-3</v>
      </c>
      <c r="L392">
        <f>+J392/I392</f>
        <v>9.1183165843095873E-4</v>
      </c>
      <c r="M392">
        <f>+(L392-$L$913)/$L$914</f>
        <v>-0.38738319458052956</v>
      </c>
      <c r="N392">
        <f>+N389+M392</f>
        <v>7.4871652953821934</v>
      </c>
    </row>
    <row r="393" spans="1:14">
      <c r="A393" s="20">
        <v>1</v>
      </c>
      <c r="B393" s="94">
        <v>40407</v>
      </c>
      <c r="C393" s="20">
        <v>2010</v>
      </c>
      <c r="D393" s="10" t="s">
        <v>32</v>
      </c>
      <c r="E393" s="20">
        <v>8</v>
      </c>
      <c r="F393" s="52">
        <v>11.997</v>
      </c>
      <c r="G393" s="50">
        <v>0</v>
      </c>
    </row>
    <row r="394" spans="1:14">
      <c r="A394" s="20">
        <v>17</v>
      </c>
      <c r="B394" s="94">
        <v>40407</v>
      </c>
      <c r="C394" s="20">
        <v>2010</v>
      </c>
      <c r="D394" s="10" t="s">
        <v>32</v>
      </c>
      <c r="E394" s="20">
        <v>8</v>
      </c>
      <c r="F394" s="52">
        <v>12.503</v>
      </c>
      <c r="G394" s="50">
        <v>0</v>
      </c>
    </row>
    <row r="395" spans="1:14">
      <c r="A395" s="20">
        <v>18</v>
      </c>
      <c r="B395" s="94">
        <v>40407</v>
      </c>
      <c r="C395" s="20">
        <v>2010</v>
      </c>
      <c r="D395" s="10" t="s">
        <v>32</v>
      </c>
      <c r="E395" s="20">
        <v>8</v>
      </c>
      <c r="F395" s="52">
        <v>8.4649999999999999</v>
      </c>
      <c r="G395" s="50">
        <v>0</v>
      </c>
      <c r="I395" s="50">
        <f>AVERAGE(F393:F395)</f>
        <v>10.988333333333335</v>
      </c>
      <c r="J395" s="50">
        <f>AVERAGE(G393:G395)</f>
        <v>0</v>
      </c>
      <c r="L395">
        <f>+J395/I395</f>
        <v>0</v>
      </c>
      <c r="M395">
        <f>+(L395-$L$913)/$L$914</f>
        <v>-0.44434743109797642</v>
      </c>
      <c r="N395">
        <f>+N392+M395</f>
        <v>7.042817864284217</v>
      </c>
    </row>
    <row r="396" spans="1:14">
      <c r="A396" s="20">
        <v>1</v>
      </c>
      <c r="B396" s="94">
        <v>40436</v>
      </c>
      <c r="C396" s="20">
        <v>2010</v>
      </c>
      <c r="D396" s="10" t="s">
        <v>38</v>
      </c>
      <c r="E396" s="20">
        <v>9</v>
      </c>
      <c r="F396" s="52">
        <v>9.1959999999999997</v>
      </c>
      <c r="G396" s="50">
        <v>0</v>
      </c>
    </row>
    <row r="397" spans="1:14">
      <c r="A397" s="20">
        <v>17</v>
      </c>
      <c r="B397" s="94">
        <v>40436</v>
      </c>
      <c r="C397" s="20">
        <v>2010</v>
      </c>
      <c r="D397" s="10" t="s">
        <v>38</v>
      </c>
      <c r="E397" s="20">
        <v>9</v>
      </c>
      <c r="F397" s="52">
        <v>6.9210000000000003</v>
      </c>
      <c r="G397" s="50">
        <v>5.1129250000000001E-2</v>
      </c>
    </row>
    <row r="398" spans="1:14">
      <c r="A398" s="20">
        <v>18</v>
      </c>
      <c r="B398" s="94">
        <v>40436</v>
      </c>
      <c r="C398" s="20">
        <v>2010</v>
      </c>
      <c r="D398" s="10" t="s">
        <v>38</v>
      </c>
      <c r="E398" s="20">
        <v>9</v>
      </c>
      <c r="F398" s="52">
        <v>7.9589999999999996</v>
      </c>
      <c r="G398" s="50">
        <v>0</v>
      </c>
      <c r="I398" s="50">
        <f>AVERAGE(F396:F398)</f>
        <v>8.0253333333333341</v>
      </c>
      <c r="J398" s="50">
        <f>AVERAGE(G396:G398)</f>
        <v>1.7043083333333334E-2</v>
      </c>
      <c r="L398">
        <f>+J398/I398</f>
        <v>2.1236604917760425E-3</v>
      </c>
      <c r="M398">
        <f>+(L398-$L$913)/$L$914</f>
        <v>-0.31167743941941073</v>
      </c>
      <c r="N398">
        <f>+N395+M398</f>
        <v>6.7311404248648063</v>
      </c>
    </row>
    <row r="399" spans="1:14">
      <c r="A399" s="20">
        <v>1</v>
      </c>
      <c r="B399" s="94">
        <v>40464</v>
      </c>
      <c r="C399" s="20">
        <v>2010</v>
      </c>
      <c r="D399" s="10" t="s">
        <v>34</v>
      </c>
      <c r="E399" s="20">
        <v>10</v>
      </c>
      <c r="F399" s="49">
        <v>4.5039999999999996</v>
      </c>
      <c r="G399" s="50">
        <v>0</v>
      </c>
    </row>
    <row r="400" spans="1:14">
      <c r="A400" s="20">
        <v>17</v>
      </c>
      <c r="B400" s="94">
        <v>40464</v>
      </c>
      <c r="C400" s="20">
        <v>2010</v>
      </c>
      <c r="D400" s="10" t="s">
        <v>34</v>
      </c>
      <c r="E400" s="20">
        <v>10</v>
      </c>
      <c r="F400" s="49">
        <v>6.1580000000000004</v>
      </c>
      <c r="G400" s="50">
        <v>0</v>
      </c>
    </row>
    <row r="401" spans="1:14">
      <c r="A401" s="20">
        <v>18</v>
      </c>
      <c r="B401" s="94">
        <v>40464</v>
      </c>
      <c r="C401" s="20">
        <v>2010</v>
      </c>
      <c r="D401" s="10" t="s">
        <v>34</v>
      </c>
      <c r="E401" s="20">
        <v>10</v>
      </c>
      <c r="F401" s="49">
        <v>4.7140000000000004</v>
      </c>
      <c r="G401" s="50">
        <v>0</v>
      </c>
      <c r="I401" s="50">
        <f>AVERAGE(F399:F401)</f>
        <v>5.1253333333333329</v>
      </c>
      <c r="J401" s="50">
        <f>AVERAGE(G399:G401)</f>
        <v>0</v>
      </c>
      <c r="L401">
        <f>+J401/I401</f>
        <v>0</v>
      </c>
      <c r="M401">
        <f>+(L401-$L$913)/$L$914</f>
        <v>-0.44434743109797642</v>
      </c>
      <c r="N401">
        <f>+N398+M401</f>
        <v>6.2867929937668299</v>
      </c>
    </row>
    <row r="402" spans="1:14">
      <c r="A402" s="20">
        <v>1</v>
      </c>
      <c r="B402" s="94">
        <v>40498</v>
      </c>
      <c r="C402" s="20">
        <v>2010</v>
      </c>
      <c r="D402" s="10" t="s">
        <v>35</v>
      </c>
      <c r="E402" s="20">
        <v>11</v>
      </c>
      <c r="F402" s="49">
        <v>1.141</v>
      </c>
      <c r="G402" s="50">
        <v>1.3963124999999996E-2</v>
      </c>
    </row>
    <row r="403" spans="1:14">
      <c r="A403" s="20">
        <v>17</v>
      </c>
      <c r="B403" s="94">
        <v>40498</v>
      </c>
      <c r="C403" s="20">
        <v>2010</v>
      </c>
      <c r="D403" s="10" t="s">
        <v>35</v>
      </c>
      <c r="E403" s="20">
        <v>11</v>
      </c>
      <c r="F403" s="49">
        <v>1.087</v>
      </c>
      <c r="G403" s="50">
        <v>0</v>
      </c>
    </row>
    <row r="404" spans="1:14">
      <c r="A404" s="20">
        <v>18</v>
      </c>
      <c r="B404" s="94">
        <v>40498</v>
      </c>
      <c r="C404" s="20">
        <v>2010</v>
      </c>
      <c r="D404" s="10" t="s">
        <v>35</v>
      </c>
      <c r="E404" s="20">
        <v>11</v>
      </c>
      <c r="F404" s="49">
        <v>0.95199999999999996</v>
      </c>
      <c r="G404" s="50">
        <v>0</v>
      </c>
      <c r="I404" s="50">
        <f>AVERAGE(F402:F404)</f>
        <v>1.0599999999999998</v>
      </c>
      <c r="J404" s="50">
        <f>AVERAGE(G402:G404)</f>
        <v>4.6543749999999988E-3</v>
      </c>
      <c r="L404">
        <f>+J404/I404</f>
        <v>4.3909198113207546E-3</v>
      </c>
      <c r="M404">
        <f>+(L404-$L$913)/$L$914</f>
        <v>-0.17003649623569722</v>
      </c>
      <c r="N404">
        <f>+N401+M404</f>
        <v>6.1167564975311324</v>
      </c>
    </row>
    <row r="405" spans="1:14">
      <c r="A405" s="20">
        <v>1</v>
      </c>
      <c r="B405" s="94">
        <v>40520</v>
      </c>
      <c r="C405" s="20">
        <v>2010</v>
      </c>
      <c r="D405" s="10" t="s">
        <v>36</v>
      </c>
      <c r="E405" s="20">
        <v>12</v>
      </c>
      <c r="F405" s="49">
        <v>2.4660000000000002</v>
      </c>
      <c r="G405" s="50">
        <v>0</v>
      </c>
    </row>
    <row r="406" spans="1:14">
      <c r="A406" s="20">
        <v>17</v>
      </c>
      <c r="B406" s="94">
        <v>40520</v>
      </c>
      <c r="C406" s="20">
        <v>2010</v>
      </c>
      <c r="D406" s="10" t="s">
        <v>36</v>
      </c>
      <c r="E406" s="20">
        <v>12</v>
      </c>
      <c r="F406" s="49">
        <v>7.1849999999999996</v>
      </c>
      <c r="G406" s="50">
        <v>0</v>
      </c>
    </row>
    <row r="407" spans="1:14">
      <c r="A407" s="20">
        <v>18</v>
      </c>
      <c r="B407" s="94">
        <v>40520</v>
      </c>
      <c r="C407" s="20">
        <v>2010</v>
      </c>
      <c r="D407" s="10" t="s">
        <v>36</v>
      </c>
      <c r="E407" s="20">
        <v>12</v>
      </c>
      <c r="F407" s="49">
        <v>8.9269999999999996</v>
      </c>
      <c r="G407" s="50">
        <v>0</v>
      </c>
      <c r="I407" s="50">
        <f>AVERAGE(F405:F407)</f>
        <v>6.1926666666666668</v>
      </c>
      <c r="J407" s="50">
        <f>AVERAGE(G405:G407)</f>
        <v>0</v>
      </c>
      <c r="L407">
        <f>+J407/I407</f>
        <v>0</v>
      </c>
      <c r="M407">
        <f>+(L407-$L$913)/$L$914</f>
        <v>-0.44434743109797642</v>
      </c>
      <c r="N407">
        <f>+N404+M407</f>
        <v>5.6724090664331559</v>
      </c>
    </row>
    <row r="408" spans="1:14">
      <c r="A408" s="43">
        <v>1</v>
      </c>
      <c r="B408" s="96">
        <v>40562</v>
      </c>
      <c r="C408" s="43">
        <v>2011</v>
      </c>
      <c r="D408" s="45" t="s">
        <v>37</v>
      </c>
      <c r="E408" s="43">
        <v>1</v>
      </c>
      <c r="F408" s="46">
        <v>6.3860000000000001</v>
      </c>
      <c r="G408" s="47">
        <v>0</v>
      </c>
    </row>
    <row r="409" spans="1:14">
      <c r="A409" s="20">
        <v>17</v>
      </c>
      <c r="B409" s="94">
        <v>40562</v>
      </c>
      <c r="C409" s="20">
        <v>2011</v>
      </c>
      <c r="D409" s="10" t="s">
        <v>37</v>
      </c>
      <c r="E409" s="20">
        <v>1</v>
      </c>
      <c r="F409" s="49">
        <v>13.541</v>
      </c>
      <c r="G409" s="50">
        <v>0.11314362499999998</v>
      </c>
    </row>
    <row r="410" spans="1:14">
      <c r="A410" s="20">
        <v>18</v>
      </c>
      <c r="B410" s="94">
        <v>40562</v>
      </c>
      <c r="C410" s="20">
        <v>2011</v>
      </c>
      <c r="D410" s="10" t="s">
        <v>37</v>
      </c>
      <c r="E410" s="20">
        <v>1</v>
      </c>
      <c r="F410" s="49">
        <v>15.566000000000001</v>
      </c>
      <c r="G410" s="50">
        <v>0</v>
      </c>
      <c r="I410" s="50">
        <f>AVERAGE(F408:F410)</f>
        <v>11.831000000000001</v>
      </c>
      <c r="J410" s="50">
        <f>AVERAGE(G408:G410)</f>
        <v>3.7714541666666664E-2</v>
      </c>
      <c r="L410">
        <f>+J410/I410</f>
        <v>3.1877729411433236E-3</v>
      </c>
      <c r="M410">
        <f>+(L410-$L$913)/$L$914</f>
        <v>-0.24519986904065946</v>
      </c>
      <c r="N410">
        <f>+N407+M410</f>
        <v>5.4272091973924965</v>
      </c>
    </row>
    <row r="411" spans="1:14">
      <c r="A411" s="20">
        <v>1</v>
      </c>
      <c r="B411" s="94">
        <v>40591</v>
      </c>
      <c r="C411" s="20">
        <v>2011</v>
      </c>
      <c r="D411" s="10" t="s">
        <v>26</v>
      </c>
      <c r="E411" s="20">
        <v>2</v>
      </c>
      <c r="F411" s="49">
        <v>4.093</v>
      </c>
      <c r="G411" s="50">
        <v>0</v>
      </c>
    </row>
    <row r="412" spans="1:14">
      <c r="A412" s="20">
        <v>17</v>
      </c>
      <c r="B412" s="94">
        <v>40591</v>
      </c>
      <c r="C412" s="20">
        <v>2011</v>
      </c>
      <c r="D412" s="10" t="s">
        <v>26</v>
      </c>
      <c r="E412" s="20">
        <v>2</v>
      </c>
      <c r="F412" s="49">
        <v>3.5270000000000001</v>
      </c>
      <c r="G412" s="50">
        <v>0</v>
      </c>
    </row>
    <row r="413" spans="1:14">
      <c r="A413" s="20">
        <v>18</v>
      </c>
      <c r="B413" s="94">
        <v>40591</v>
      </c>
      <c r="C413" s="20">
        <v>2011</v>
      </c>
      <c r="D413" s="10" t="s">
        <v>26</v>
      </c>
      <c r="E413" s="20">
        <v>2</v>
      </c>
      <c r="F413" s="49">
        <v>3.7469999999999999</v>
      </c>
      <c r="G413" s="50">
        <v>0</v>
      </c>
      <c r="I413" s="50">
        <f>AVERAGE(F411:F413)</f>
        <v>3.7890000000000001</v>
      </c>
      <c r="J413" s="50">
        <f>AVERAGE(G411:G413)</f>
        <v>0</v>
      </c>
      <c r="L413">
        <f>+J413/I413</f>
        <v>0</v>
      </c>
      <c r="M413">
        <f>+(L413-$L$913)/$L$914</f>
        <v>-0.44434743109797642</v>
      </c>
      <c r="N413">
        <f>+N410+M413</f>
        <v>4.98286176629452</v>
      </c>
    </row>
    <row r="414" spans="1:14">
      <c r="A414" s="20">
        <v>1</v>
      </c>
      <c r="B414" s="94">
        <v>40619</v>
      </c>
      <c r="C414" s="20">
        <v>2011</v>
      </c>
      <c r="D414" s="10" t="s">
        <v>27</v>
      </c>
      <c r="E414" s="20">
        <v>3</v>
      </c>
      <c r="F414" s="49">
        <v>7.6820000000000004</v>
      </c>
      <c r="G414" s="50">
        <v>0</v>
      </c>
    </row>
    <row r="415" spans="1:14">
      <c r="A415" s="20">
        <v>17</v>
      </c>
      <c r="B415" s="94">
        <v>40619</v>
      </c>
      <c r="C415" s="20">
        <v>2011</v>
      </c>
      <c r="D415" s="10" t="s">
        <v>27</v>
      </c>
      <c r="E415" s="20">
        <v>3</v>
      </c>
      <c r="F415" s="49">
        <v>8.2309999999999999</v>
      </c>
      <c r="G415" s="50">
        <v>0</v>
      </c>
    </row>
    <row r="416" spans="1:14">
      <c r="A416" s="20">
        <v>18</v>
      </c>
      <c r="B416" s="94">
        <v>40619</v>
      </c>
      <c r="C416" s="20">
        <v>2011</v>
      </c>
      <c r="D416" s="10" t="s">
        <v>27</v>
      </c>
      <c r="E416" s="20">
        <v>3</v>
      </c>
      <c r="F416" s="49">
        <v>7.8819999999999997</v>
      </c>
      <c r="G416" s="50">
        <v>0</v>
      </c>
      <c r="I416" s="50">
        <f>AVERAGE(F414:F416)</f>
        <v>7.9316666666666675</v>
      </c>
      <c r="J416" s="50">
        <f>AVERAGE(G414:G416)</f>
        <v>0</v>
      </c>
      <c r="L416">
        <f>+J416/I416</f>
        <v>0</v>
      </c>
      <c r="M416">
        <f>+(L416-$L$913)/$L$914</f>
        <v>-0.44434743109797642</v>
      </c>
      <c r="N416">
        <f>+N413+M416</f>
        <v>4.5385143351965436</v>
      </c>
    </row>
    <row r="417" spans="1:14">
      <c r="A417" s="20">
        <v>1</v>
      </c>
      <c r="B417" s="94">
        <v>40646</v>
      </c>
      <c r="C417" s="20">
        <v>2011</v>
      </c>
      <c r="D417" s="10" t="s">
        <v>28</v>
      </c>
      <c r="E417" s="20">
        <v>4</v>
      </c>
      <c r="F417" s="49">
        <v>4.5759999999999996</v>
      </c>
      <c r="G417" s="50">
        <v>0</v>
      </c>
    </row>
    <row r="418" spans="1:14">
      <c r="A418" s="20">
        <v>17</v>
      </c>
      <c r="B418" s="94">
        <v>40646</v>
      </c>
      <c r="C418" s="20">
        <v>2011</v>
      </c>
      <c r="D418" s="10" t="s">
        <v>28</v>
      </c>
      <c r="E418" s="20">
        <v>4</v>
      </c>
      <c r="F418" s="49">
        <v>3.1059999999999999</v>
      </c>
      <c r="G418" s="50">
        <v>0</v>
      </c>
    </row>
    <row r="419" spans="1:14">
      <c r="A419" s="20">
        <v>18</v>
      </c>
      <c r="B419" s="94">
        <v>40646</v>
      </c>
      <c r="C419" s="20">
        <v>2011</v>
      </c>
      <c r="D419" s="10" t="s">
        <v>28</v>
      </c>
      <c r="E419" s="20">
        <v>4</v>
      </c>
      <c r="F419" s="49">
        <v>2.5750000000000002</v>
      </c>
      <c r="G419" s="50">
        <v>0</v>
      </c>
      <c r="I419" s="50">
        <f>AVERAGE(F417:F419)</f>
        <v>3.419</v>
      </c>
      <c r="J419" s="50">
        <f>AVERAGE(G417:G419)</f>
        <v>0</v>
      </c>
      <c r="L419">
        <f>+J419/I419</f>
        <v>0</v>
      </c>
      <c r="M419">
        <f>+(L419-$L$913)/$L$914</f>
        <v>-0.44434743109797642</v>
      </c>
      <c r="N419">
        <f>+N416+M419</f>
        <v>4.0941669040985671</v>
      </c>
    </row>
    <row r="420" spans="1:14">
      <c r="A420" s="20">
        <v>1</v>
      </c>
      <c r="B420" s="94">
        <v>40681</v>
      </c>
      <c r="C420" s="20">
        <v>2011</v>
      </c>
      <c r="D420" s="10" t="s">
        <v>29</v>
      </c>
      <c r="E420" s="20">
        <v>5</v>
      </c>
      <c r="F420" s="49">
        <v>1.44</v>
      </c>
      <c r="G420" s="50">
        <v>0</v>
      </c>
    </row>
    <row r="421" spans="1:14">
      <c r="A421" s="20">
        <v>17</v>
      </c>
      <c r="B421" s="94">
        <v>40681</v>
      </c>
      <c r="C421" s="20">
        <v>2011</v>
      </c>
      <c r="D421" s="10" t="s">
        <v>29</v>
      </c>
      <c r="E421" s="20">
        <v>5</v>
      </c>
      <c r="F421" s="49">
        <v>1.978</v>
      </c>
      <c r="G421" s="50">
        <v>0</v>
      </c>
    </row>
    <row r="422" spans="1:14">
      <c r="A422" s="20">
        <v>18</v>
      </c>
      <c r="B422" s="94">
        <v>40681</v>
      </c>
      <c r="C422" s="20">
        <v>2011</v>
      </c>
      <c r="D422" s="10" t="s">
        <v>29</v>
      </c>
      <c r="E422" s="20">
        <v>5</v>
      </c>
      <c r="F422" s="49">
        <v>1.7989999999999999</v>
      </c>
      <c r="G422" s="50">
        <v>0</v>
      </c>
      <c r="I422" s="50">
        <f>AVERAGE(F420:F422)</f>
        <v>1.7390000000000001</v>
      </c>
      <c r="J422" s="50">
        <f>AVERAGE(G420:G422)</f>
        <v>0</v>
      </c>
      <c r="L422">
        <f>+J422/I422</f>
        <v>0</v>
      </c>
      <c r="M422">
        <f>+(L422-$L$913)/$L$914</f>
        <v>-0.44434743109797642</v>
      </c>
      <c r="N422">
        <f>+N419+M422</f>
        <v>3.6498194730005906</v>
      </c>
    </row>
    <row r="423" spans="1:14">
      <c r="A423" s="20">
        <v>1</v>
      </c>
      <c r="B423" s="94">
        <v>40708</v>
      </c>
      <c r="C423" s="20">
        <v>2011</v>
      </c>
      <c r="D423" s="10" t="s">
        <v>30</v>
      </c>
      <c r="E423" s="20">
        <v>6</v>
      </c>
      <c r="F423" s="49">
        <v>3.72</v>
      </c>
      <c r="G423" s="50">
        <v>0</v>
      </c>
    </row>
    <row r="424" spans="1:14">
      <c r="A424" s="20">
        <v>17</v>
      </c>
      <c r="B424" s="94">
        <v>40708</v>
      </c>
      <c r="C424" s="20">
        <v>2011</v>
      </c>
      <c r="D424" s="10" t="s">
        <v>30</v>
      </c>
      <c r="E424" s="20">
        <v>6</v>
      </c>
      <c r="F424" s="49">
        <v>2.9140000000000001</v>
      </c>
      <c r="G424" s="50">
        <v>0</v>
      </c>
    </row>
    <row r="425" spans="1:14">
      <c r="A425" s="20">
        <v>18</v>
      </c>
      <c r="B425" s="94">
        <v>40708</v>
      </c>
      <c r="C425" s="20">
        <v>2011</v>
      </c>
      <c r="D425" s="10" t="s">
        <v>30</v>
      </c>
      <c r="E425" s="20">
        <v>6</v>
      </c>
      <c r="F425" s="49">
        <v>3.8250000000000002</v>
      </c>
      <c r="G425" s="50">
        <v>0</v>
      </c>
      <c r="I425" s="50">
        <f>AVERAGE(F423:F425)</f>
        <v>3.4863333333333331</v>
      </c>
      <c r="J425" s="50">
        <f>AVERAGE(G423:G425)</f>
        <v>0</v>
      </c>
      <c r="L425">
        <f>+J425/I425</f>
        <v>0</v>
      </c>
      <c r="M425">
        <f>+(L425-$L$913)/$L$914</f>
        <v>-0.44434743109797642</v>
      </c>
      <c r="N425">
        <f>+N422+M425</f>
        <v>3.2054720419026141</v>
      </c>
    </row>
    <row r="426" spans="1:14">
      <c r="A426" s="20">
        <v>1</v>
      </c>
      <c r="B426" s="94">
        <v>40735</v>
      </c>
      <c r="C426" s="20">
        <v>2011</v>
      </c>
      <c r="D426" s="10" t="s">
        <v>31</v>
      </c>
      <c r="E426" s="20">
        <v>7</v>
      </c>
      <c r="F426" s="49">
        <v>13.347</v>
      </c>
      <c r="G426" s="50">
        <v>0</v>
      </c>
    </row>
    <row r="427" spans="1:14">
      <c r="A427" s="20">
        <v>17</v>
      </c>
      <c r="B427" s="94">
        <v>40735</v>
      </c>
      <c r="C427" s="20">
        <v>2011</v>
      </c>
      <c r="D427" s="10" t="s">
        <v>31</v>
      </c>
      <c r="E427" s="20">
        <v>7</v>
      </c>
      <c r="F427" s="49">
        <v>8.2550000000000008</v>
      </c>
      <c r="G427" s="50">
        <v>0</v>
      </c>
    </row>
    <row r="428" spans="1:14">
      <c r="A428" s="20">
        <v>18</v>
      </c>
      <c r="B428" s="94">
        <v>40735</v>
      </c>
      <c r="C428" s="20">
        <v>2011</v>
      </c>
      <c r="D428" s="10" t="s">
        <v>31</v>
      </c>
      <c r="E428" s="20">
        <v>7</v>
      </c>
      <c r="F428" s="49">
        <v>5.2439999999999998</v>
      </c>
      <c r="G428" s="50">
        <v>0</v>
      </c>
      <c r="I428" s="50">
        <f>AVERAGE(F426:F428)</f>
        <v>8.9486666666666661</v>
      </c>
      <c r="J428" s="50">
        <f>AVERAGE(G426:G428)</f>
        <v>0</v>
      </c>
      <c r="L428">
        <f>+J428/I428</f>
        <v>0</v>
      </c>
      <c r="M428">
        <f>+(L428-$L$913)/$L$914</f>
        <v>-0.44434743109797642</v>
      </c>
      <c r="N428">
        <f>+N425+M428</f>
        <v>2.7611246108046377</v>
      </c>
    </row>
    <row r="429" spans="1:14">
      <c r="A429" s="20">
        <v>1</v>
      </c>
      <c r="B429" s="94">
        <v>40771</v>
      </c>
      <c r="C429" s="20">
        <v>2011</v>
      </c>
      <c r="D429" s="10" t="s">
        <v>32</v>
      </c>
      <c r="E429" s="20">
        <v>8</v>
      </c>
      <c r="F429" s="49">
        <v>12.743</v>
      </c>
      <c r="G429" s="50">
        <v>0</v>
      </c>
    </row>
    <row r="430" spans="1:14">
      <c r="A430" s="20">
        <v>17</v>
      </c>
      <c r="B430" s="94">
        <v>40771</v>
      </c>
      <c r="C430" s="20">
        <v>2011</v>
      </c>
      <c r="D430" s="10" t="s">
        <v>32</v>
      </c>
      <c r="E430" s="20">
        <v>8</v>
      </c>
      <c r="F430" s="49">
        <v>6.6539999999999999</v>
      </c>
      <c r="G430" s="50">
        <v>0</v>
      </c>
    </row>
    <row r="431" spans="1:14">
      <c r="A431" s="20">
        <v>18</v>
      </c>
      <c r="B431" s="94">
        <v>40771</v>
      </c>
      <c r="C431" s="20">
        <v>2011</v>
      </c>
      <c r="D431" s="10" t="s">
        <v>32</v>
      </c>
      <c r="E431" s="20">
        <v>8</v>
      </c>
      <c r="F431" s="49">
        <v>8.76</v>
      </c>
      <c r="G431" s="50">
        <v>0</v>
      </c>
      <c r="I431" s="50">
        <f>AVERAGE(F429:F431)</f>
        <v>9.3856666666666655</v>
      </c>
      <c r="J431" s="50">
        <f>AVERAGE(G429:G431)</f>
        <v>0</v>
      </c>
      <c r="L431">
        <f>+J431/I431</f>
        <v>0</v>
      </c>
      <c r="M431">
        <f>+(L431-$L$913)/$L$914</f>
        <v>-0.44434743109797642</v>
      </c>
      <c r="N431">
        <f>+N428+M431</f>
        <v>2.3167771797066612</v>
      </c>
    </row>
    <row r="432" spans="1:14">
      <c r="A432" s="20">
        <v>1</v>
      </c>
      <c r="B432" s="94">
        <v>40799</v>
      </c>
      <c r="C432" s="20">
        <v>2011</v>
      </c>
      <c r="D432" s="10" t="s">
        <v>38</v>
      </c>
      <c r="E432" s="20">
        <v>9</v>
      </c>
      <c r="F432" s="49">
        <v>9.2149999999999999</v>
      </c>
      <c r="G432" s="50">
        <v>0</v>
      </c>
    </row>
    <row r="433" spans="1:14">
      <c r="A433" s="20">
        <v>17</v>
      </c>
      <c r="B433" s="94">
        <v>40799</v>
      </c>
      <c r="C433" s="20">
        <v>2011</v>
      </c>
      <c r="D433" s="10" t="s">
        <v>38</v>
      </c>
      <c r="E433" s="20">
        <v>9</v>
      </c>
      <c r="F433" s="49">
        <v>5.7110000000000003</v>
      </c>
      <c r="G433" s="50">
        <v>0</v>
      </c>
    </row>
    <row r="434" spans="1:14">
      <c r="A434" s="20">
        <v>18</v>
      </c>
      <c r="B434" s="94">
        <v>40799</v>
      </c>
      <c r="C434" s="20">
        <v>2011</v>
      </c>
      <c r="D434" s="10" t="s">
        <v>38</v>
      </c>
      <c r="E434" s="20">
        <v>9</v>
      </c>
      <c r="F434" s="49">
        <v>5.6609999999999996</v>
      </c>
      <c r="G434" s="50">
        <v>0</v>
      </c>
      <c r="I434" s="50">
        <f>AVERAGE(F432:F434)</f>
        <v>6.862333333333333</v>
      </c>
      <c r="J434" s="50">
        <f>AVERAGE(G432:G434)</f>
        <v>0</v>
      </c>
      <c r="L434">
        <f>+J434/I434</f>
        <v>0</v>
      </c>
      <c r="M434">
        <f>+(L434-$L$913)/$L$914</f>
        <v>-0.44434743109797642</v>
      </c>
      <c r="N434">
        <f>+N431+M434</f>
        <v>1.8724297486086847</v>
      </c>
    </row>
    <row r="435" spans="1:14">
      <c r="A435" s="20">
        <v>1</v>
      </c>
      <c r="B435" s="94">
        <v>40827</v>
      </c>
      <c r="C435" s="20">
        <v>2011</v>
      </c>
      <c r="D435" s="10" t="s">
        <v>34</v>
      </c>
      <c r="E435" s="20">
        <v>10</v>
      </c>
      <c r="F435" s="52">
        <v>19.387</v>
      </c>
      <c r="G435" s="54">
        <v>0</v>
      </c>
    </row>
    <row r="436" spans="1:14">
      <c r="A436" s="20">
        <v>17</v>
      </c>
      <c r="B436" s="94">
        <v>40827</v>
      </c>
      <c r="C436" s="20">
        <v>2011</v>
      </c>
      <c r="D436" s="10" t="s">
        <v>34</v>
      </c>
      <c r="E436" s="20">
        <v>10</v>
      </c>
      <c r="F436" s="52">
        <v>30.335999999999999</v>
      </c>
      <c r="G436" s="50">
        <v>0</v>
      </c>
    </row>
    <row r="437" spans="1:14">
      <c r="A437" s="20">
        <v>18</v>
      </c>
      <c r="B437" s="94">
        <v>40827</v>
      </c>
      <c r="C437" s="20">
        <v>2011</v>
      </c>
      <c r="D437" s="10" t="s">
        <v>34</v>
      </c>
      <c r="E437" s="20">
        <v>10</v>
      </c>
      <c r="F437" s="52">
        <v>9.0340000000000007</v>
      </c>
      <c r="G437" s="50">
        <v>0</v>
      </c>
      <c r="I437" s="50">
        <f>AVERAGE(F435:F437)</f>
        <v>19.585666666666665</v>
      </c>
      <c r="J437" s="50">
        <f>AVERAGE(G435:G437)</f>
        <v>0</v>
      </c>
      <c r="L437">
        <f>+J437/I437</f>
        <v>0</v>
      </c>
      <c r="M437">
        <f>+(L437-$L$913)/$L$914</f>
        <v>-0.44434743109797642</v>
      </c>
      <c r="N437">
        <f>+N434+M437</f>
        <v>1.4280823175107082</v>
      </c>
    </row>
    <row r="438" spans="1:14">
      <c r="A438" s="20">
        <v>1</v>
      </c>
      <c r="B438" s="97">
        <v>40862</v>
      </c>
      <c r="C438" s="20">
        <v>2011</v>
      </c>
      <c r="D438" s="10" t="s">
        <v>35</v>
      </c>
      <c r="E438" s="20">
        <v>11</v>
      </c>
      <c r="F438" s="52">
        <v>2.7909999999999999</v>
      </c>
      <c r="G438" s="50">
        <v>0</v>
      </c>
    </row>
    <row r="439" spans="1:14">
      <c r="A439" s="20">
        <v>17</v>
      </c>
      <c r="B439" s="97">
        <v>40862</v>
      </c>
      <c r="C439" s="20">
        <v>2011</v>
      </c>
      <c r="D439" s="10" t="s">
        <v>35</v>
      </c>
      <c r="E439" s="20">
        <v>11</v>
      </c>
      <c r="F439" s="52">
        <v>5.7450000000000001</v>
      </c>
      <c r="G439" s="50">
        <v>5.6936874999999991E-2</v>
      </c>
    </row>
    <row r="440" spans="1:14">
      <c r="A440" s="20">
        <v>18</v>
      </c>
      <c r="B440" s="97">
        <v>40862</v>
      </c>
      <c r="C440" s="20">
        <v>2011</v>
      </c>
      <c r="D440" s="10" t="s">
        <v>35</v>
      </c>
      <c r="E440" s="20">
        <v>11</v>
      </c>
      <c r="F440" s="52">
        <v>5.6529999999999996</v>
      </c>
      <c r="G440" s="50">
        <v>3.5767749999999994E-2</v>
      </c>
      <c r="I440" s="50">
        <f>AVERAGE(F438:F440)</f>
        <v>4.7296666666666667</v>
      </c>
      <c r="J440" s="50">
        <f>AVERAGE(G438:G440)</f>
        <v>3.090154166666666E-2</v>
      </c>
      <c r="L440">
        <f>+J440/I440</f>
        <v>6.5335559236027897E-3</v>
      </c>
      <c r="M440">
        <f>+(L440-$L$913)/$L$914</f>
        <v>-3.618105357550111E-2</v>
      </c>
      <c r="N440">
        <f>+N437+M440</f>
        <v>1.3919012639352071</v>
      </c>
    </row>
    <row r="441" spans="1:14">
      <c r="A441" s="20">
        <v>1</v>
      </c>
      <c r="B441" s="97">
        <v>40890</v>
      </c>
      <c r="C441" s="20">
        <v>2011</v>
      </c>
      <c r="D441" s="10" t="s">
        <v>36</v>
      </c>
      <c r="E441" s="20">
        <v>12</v>
      </c>
      <c r="F441" s="52">
        <v>2.3290000000000002</v>
      </c>
      <c r="G441" s="50">
        <v>0</v>
      </c>
    </row>
    <row r="442" spans="1:14">
      <c r="A442" s="20">
        <v>17</v>
      </c>
      <c r="B442" s="97">
        <v>40890</v>
      </c>
      <c r="C442" s="20">
        <v>2011</v>
      </c>
      <c r="D442" s="10" t="s">
        <v>36</v>
      </c>
      <c r="E442" s="20">
        <v>12</v>
      </c>
      <c r="F442" s="52">
        <v>4.0019999999999998</v>
      </c>
      <c r="G442" s="50">
        <v>0</v>
      </c>
    </row>
    <row r="443" spans="1:14">
      <c r="A443" s="20">
        <v>18</v>
      </c>
      <c r="B443" s="97">
        <v>40890</v>
      </c>
      <c r="C443" s="20">
        <v>2011</v>
      </c>
      <c r="D443" s="10" t="s">
        <v>36</v>
      </c>
      <c r="E443" s="20">
        <v>12</v>
      </c>
      <c r="F443" s="52">
        <v>1.9750000000000001</v>
      </c>
      <c r="G443" s="50">
        <v>0</v>
      </c>
      <c r="I443" s="50">
        <f>AVERAGE(F441:F443)</f>
        <v>2.7686666666666664</v>
      </c>
      <c r="J443" s="50">
        <f>AVERAGE(G441:G443)</f>
        <v>0</v>
      </c>
      <c r="L443">
        <f>+J443/I443</f>
        <v>0</v>
      </c>
      <c r="M443">
        <f>+(L443-$L$913)/$L$914</f>
        <v>-0.44434743109797642</v>
      </c>
      <c r="N443">
        <f>+N440+M443</f>
        <v>0.9475538328372306</v>
      </c>
    </row>
    <row r="444" spans="1:14">
      <c r="A444" s="43">
        <v>1</v>
      </c>
      <c r="B444" s="96">
        <v>40917</v>
      </c>
      <c r="C444" s="43">
        <v>2012</v>
      </c>
      <c r="D444" s="45" t="s">
        <v>37</v>
      </c>
      <c r="E444" s="43">
        <v>1</v>
      </c>
      <c r="F444" s="56">
        <v>4.7460000000000004</v>
      </c>
      <c r="G444" s="47">
        <v>0</v>
      </c>
    </row>
    <row r="445" spans="1:14">
      <c r="A445" s="20">
        <v>17</v>
      </c>
      <c r="B445" s="94">
        <v>40917</v>
      </c>
      <c r="C445" s="20">
        <v>2012</v>
      </c>
      <c r="D445" s="10" t="s">
        <v>37</v>
      </c>
      <c r="E445" s="20">
        <v>1</v>
      </c>
      <c r="F445" s="57">
        <v>10.285</v>
      </c>
      <c r="G445" s="50">
        <v>5.1193624999999993E-2</v>
      </c>
    </row>
    <row r="446" spans="1:14">
      <c r="A446" s="20">
        <v>18</v>
      </c>
      <c r="B446" s="94">
        <v>40917</v>
      </c>
      <c r="C446" s="20">
        <v>2012</v>
      </c>
      <c r="D446" s="10" t="s">
        <v>37</v>
      </c>
      <c r="E446" s="20">
        <v>1</v>
      </c>
      <c r="F446" s="57">
        <v>3.9940000000000002</v>
      </c>
      <c r="G446" s="50">
        <v>0</v>
      </c>
      <c r="I446" s="50">
        <f>AVERAGE(F444:F446)</f>
        <v>6.3416666666666677</v>
      </c>
      <c r="J446" s="50">
        <f>AVERAGE(G444:G446)</f>
        <v>1.7064541666666665E-2</v>
      </c>
      <c r="L446">
        <f>+J446/I446</f>
        <v>2.6908607095926405E-3</v>
      </c>
      <c r="M446">
        <f>+(L446-$L$913)/$L$914</f>
        <v>-0.27624312754648234</v>
      </c>
      <c r="N446">
        <f>+N443+M446</f>
        <v>0.67131070529074832</v>
      </c>
    </row>
    <row r="447" spans="1:14">
      <c r="A447" s="20">
        <v>1</v>
      </c>
      <c r="B447" s="94">
        <v>40962</v>
      </c>
      <c r="C447" s="20">
        <v>2012</v>
      </c>
      <c r="D447" s="10" t="s">
        <v>26</v>
      </c>
      <c r="E447" s="20">
        <v>2</v>
      </c>
      <c r="F447" s="57">
        <v>11.262</v>
      </c>
      <c r="G447" s="50">
        <v>0.14214737499999999</v>
      </c>
    </row>
    <row r="448" spans="1:14">
      <c r="A448" s="20">
        <v>17</v>
      </c>
      <c r="B448" s="94">
        <v>40962</v>
      </c>
      <c r="C448" s="20">
        <v>2012</v>
      </c>
      <c r="D448" s="10" t="s">
        <v>26</v>
      </c>
      <c r="E448" s="20">
        <v>2</v>
      </c>
      <c r="F448" s="57">
        <v>22.803999999999998</v>
      </c>
      <c r="G448" s="50">
        <v>0.45448483333333328</v>
      </c>
    </row>
    <row r="449" spans="1:14">
      <c r="A449" s="20">
        <v>18</v>
      </c>
      <c r="B449" s="94">
        <v>40962</v>
      </c>
      <c r="C449" s="20">
        <v>2012</v>
      </c>
      <c r="D449" s="10" t="s">
        <v>26</v>
      </c>
      <c r="E449" s="20">
        <v>2</v>
      </c>
      <c r="F449" s="57">
        <v>16.109000000000002</v>
      </c>
      <c r="G449" s="50">
        <v>0.27555825</v>
      </c>
      <c r="I449" s="50">
        <f>AVERAGE(F447:F449)</f>
        <v>16.725000000000001</v>
      </c>
      <c r="J449" s="50">
        <f>AVERAGE(G447:G449)</f>
        <v>0.29073015277777775</v>
      </c>
      <c r="L449">
        <f>+J449/I449</f>
        <v>1.7382968775950837E-2</v>
      </c>
      <c r="M449">
        <f>+(L449-$L$913)/$L$914</f>
        <v>0.64160690660572306</v>
      </c>
      <c r="N449">
        <f>+N446+M449</f>
        <v>1.3129176118964714</v>
      </c>
    </row>
    <row r="450" spans="1:14">
      <c r="A450" s="20">
        <v>1</v>
      </c>
      <c r="B450" s="94">
        <v>40980</v>
      </c>
      <c r="C450" s="20">
        <v>2012</v>
      </c>
      <c r="D450" s="10" t="s">
        <v>27</v>
      </c>
      <c r="E450" s="20">
        <v>3</v>
      </c>
      <c r="F450" s="57">
        <v>5.2960000000000003</v>
      </c>
      <c r="G450" s="50">
        <v>4.9259624999999994E-2</v>
      </c>
    </row>
    <row r="451" spans="1:14">
      <c r="A451" s="20">
        <v>17</v>
      </c>
      <c r="B451" s="94">
        <v>40980</v>
      </c>
      <c r="C451" s="20">
        <v>2012</v>
      </c>
      <c r="D451" s="10" t="s">
        <v>27</v>
      </c>
      <c r="E451" s="20">
        <v>3</v>
      </c>
      <c r="F451" s="57">
        <v>12.057</v>
      </c>
      <c r="G451" s="50">
        <v>9.3612000000000001E-2</v>
      </c>
    </row>
    <row r="452" spans="1:14">
      <c r="A452" s="20">
        <v>18</v>
      </c>
      <c r="B452" s="94">
        <v>40980</v>
      </c>
      <c r="C452" s="20">
        <v>2012</v>
      </c>
      <c r="D452" s="10" t="s">
        <v>27</v>
      </c>
      <c r="E452" s="20">
        <v>3</v>
      </c>
      <c r="F452" s="57">
        <v>3.456</v>
      </c>
      <c r="G452" s="50">
        <v>0</v>
      </c>
      <c r="I452" s="50">
        <f>AVERAGE(F450:F452)</f>
        <v>6.9363333333333337</v>
      </c>
      <c r="J452" s="50">
        <f>AVERAGE(G450:G452)</f>
        <v>4.7623875000000003E-2</v>
      </c>
      <c r="L452">
        <f>+J452/I452</f>
        <v>6.8658573213513383E-3</v>
      </c>
      <c r="M452">
        <f>+(L452-$L$913)/$L$914</f>
        <v>-1.5421415278889157E-2</v>
      </c>
      <c r="N452">
        <f>+N449+M452</f>
        <v>1.2974961966175822</v>
      </c>
    </row>
    <row r="453" spans="1:14">
      <c r="A453" s="20">
        <v>1</v>
      </c>
      <c r="B453" s="94">
        <v>41015</v>
      </c>
      <c r="C453" s="20">
        <v>2012</v>
      </c>
      <c r="D453" s="10" t="s">
        <v>28</v>
      </c>
      <c r="E453" s="20">
        <v>4</v>
      </c>
      <c r="F453" s="49">
        <v>1.6080000000000001</v>
      </c>
      <c r="G453" s="50">
        <v>0</v>
      </c>
    </row>
    <row r="454" spans="1:14">
      <c r="A454" s="20">
        <v>17</v>
      </c>
      <c r="B454" s="94">
        <v>41015</v>
      </c>
      <c r="C454" s="20">
        <v>2012</v>
      </c>
      <c r="D454" s="10" t="s">
        <v>28</v>
      </c>
      <c r="E454" s="20">
        <v>4</v>
      </c>
      <c r="F454" s="49">
        <v>1.4930000000000001</v>
      </c>
      <c r="G454" s="50">
        <v>0</v>
      </c>
    </row>
    <row r="455" spans="1:14">
      <c r="A455" s="20">
        <v>18</v>
      </c>
      <c r="B455" s="94">
        <v>41015</v>
      </c>
      <c r="C455" s="20">
        <v>2012</v>
      </c>
      <c r="D455" s="10" t="s">
        <v>28</v>
      </c>
      <c r="E455" s="20">
        <v>4</v>
      </c>
      <c r="F455" s="49">
        <v>1.5089999999999999</v>
      </c>
      <c r="G455" s="50">
        <v>0</v>
      </c>
      <c r="I455" s="50">
        <f>AVERAGE(F453:F455)</f>
        <v>1.5366666666666664</v>
      </c>
      <c r="J455" s="50">
        <f>AVERAGE(G453:G455)</f>
        <v>0</v>
      </c>
      <c r="L455">
        <f>+J455/I455</f>
        <v>0</v>
      </c>
      <c r="M455">
        <f>+(L455-$L$913)/$L$914</f>
        <v>-0.44434743109797642</v>
      </c>
      <c r="N455">
        <f>+N452+M455</f>
        <v>0.85314876551960572</v>
      </c>
    </row>
    <row r="456" spans="1:14">
      <c r="A456" s="20">
        <v>1</v>
      </c>
      <c r="B456" s="94">
        <v>41045</v>
      </c>
      <c r="C456" s="20">
        <v>2012</v>
      </c>
      <c r="D456" s="10" t="s">
        <v>29</v>
      </c>
      <c r="E456" s="20">
        <v>5</v>
      </c>
      <c r="F456" s="49">
        <v>4.4130000000000003</v>
      </c>
      <c r="G456" s="50">
        <v>0.10824612499999998</v>
      </c>
    </row>
    <row r="457" spans="1:14">
      <c r="A457" s="20">
        <v>17</v>
      </c>
      <c r="B457" s="94">
        <v>41045</v>
      </c>
      <c r="C457" s="20">
        <v>2012</v>
      </c>
      <c r="D457" s="10" t="s">
        <v>29</v>
      </c>
      <c r="E457" s="20">
        <v>5</v>
      </c>
      <c r="F457" s="49">
        <v>4.45</v>
      </c>
      <c r="G457" s="50">
        <v>0.25750137499999998</v>
      </c>
    </row>
    <row r="458" spans="1:14">
      <c r="A458" s="20">
        <v>18</v>
      </c>
      <c r="B458" s="94">
        <v>41045</v>
      </c>
      <c r="C458" s="20">
        <v>2012</v>
      </c>
      <c r="D458" s="10" t="s">
        <v>29</v>
      </c>
      <c r="E458" s="20">
        <v>5</v>
      </c>
      <c r="F458" s="49">
        <v>5.343</v>
      </c>
      <c r="G458" s="50">
        <v>0.155727375</v>
      </c>
      <c r="I458" s="50">
        <f>AVERAGE(F456:F458)</f>
        <v>4.7353333333333332</v>
      </c>
      <c r="J458" s="50">
        <f>AVERAGE(G456:G458)</f>
        <v>0.17382495833333333</v>
      </c>
      <c r="L458">
        <f>+J458/I458</f>
        <v>3.6708072293397155E-2</v>
      </c>
      <c r="M458">
        <f>+(L458-$L$913)/$L$914</f>
        <v>1.8488909017526292</v>
      </c>
      <c r="N458">
        <f>+N455+M458</f>
        <v>2.7020396672722349</v>
      </c>
    </row>
    <row r="459" spans="1:14">
      <c r="A459" s="20">
        <v>1</v>
      </c>
      <c r="B459" s="94">
        <v>41073</v>
      </c>
      <c r="C459" s="20">
        <v>2012</v>
      </c>
      <c r="D459" s="10" t="s">
        <v>30</v>
      </c>
      <c r="E459" s="20">
        <v>6</v>
      </c>
      <c r="F459" s="49">
        <v>5.7510000000000003</v>
      </c>
      <c r="G459" s="50">
        <v>4.422425E-2</v>
      </c>
    </row>
    <row r="460" spans="1:14">
      <c r="A460" s="20">
        <v>17</v>
      </c>
      <c r="B460" s="94">
        <v>41073</v>
      </c>
      <c r="C460" s="20">
        <v>2012</v>
      </c>
      <c r="D460" s="10" t="s">
        <v>30</v>
      </c>
      <c r="E460" s="20">
        <v>6</v>
      </c>
      <c r="F460" s="49">
        <v>5.8970000000000002</v>
      </c>
      <c r="G460" s="50">
        <v>8.0149750000000006E-2</v>
      </c>
    </row>
    <row r="461" spans="1:14">
      <c r="A461" s="20">
        <v>18</v>
      </c>
      <c r="B461" s="94">
        <v>41073</v>
      </c>
      <c r="C461" s="20">
        <v>2012</v>
      </c>
      <c r="D461" s="10" t="s">
        <v>30</v>
      </c>
      <c r="E461" s="20">
        <v>6</v>
      </c>
      <c r="F461" s="49">
        <v>8.2430000000000003</v>
      </c>
      <c r="G461" s="50">
        <v>0</v>
      </c>
      <c r="I461" s="50">
        <f>AVERAGE(F459:F461)</f>
        <v>6.6303333333333327</v>
      </c>
      <c r="J461" s="50">
        <f>AVERAGE(G459:G461)</f>
        <v>4.1458000000000002E-2</v>
      </c>
      <c r="L461">
        <f>+J461/I461</f>
        <v>6.2527776381277973E-3</v>
      </c>
      <c r="M461">
        <f>+(L461-$L$913)/$L$914</f>
        <v>-5.3721923663608201E-2</v>
      </c>
      <c r="N461">
        <f>+N458+M461</f>
        <v>2.6483177436086267</v>
      </c>
    </row>
    <row r="462" spans="1:14">
      <c r="A462" s="20">
        <v>1</v>
      </c>
      <c r="B462" s="94">
        <v>41107</v>
      </c>
      <c r="C462" s="20">
        <v>2012</v>
      </c>
      <c r="D462" s="10" t="s">
        <v>31</v>
      </c>
      <c r="E462" s="20">
        <v>7</v>
      </c>
      <c r="F462" s="49">
        <v>8.2539999999999996</v>
      </c>
      <c r="G462" s="50">
        <v>0</v>
      </c>
    </row>
    <row r="463" spans="1:14">
      <c r="A463" s="20">
        <v>17</v>
      </c>
      <c r="B463" s="94">
        <v>41107</v>
      </c>
      <c r="C463" s="20">
        <v>2012</v>
      </c>
      <c r="D463" s="10" t="s">
        <v>31</v>
      </c>
      <c r="E463" s="20">
        <v>7</v>
      </c>
      <c r="F463" s="49">
        <v>8.0850000000000009</v>
      </c>
      <c r="G463" s="50">
        <v>0</v>
      </c>
    </row>
    <row r="464" spans="1:14">
      <c r="A464" s="20">
        <v>18</v>
      </c>
      <c r="B464" s="94">
        <v>41107</v>
      </c>
      <c r="C464" s="20">
        <v>2012</v>
      </c>
      <c r="D464" s="10" t="s">
        <v>31</v>
      </c>
      <c r="E464" s="20">
        <v>7</v>
      </c>
      <c r="F464" s="49">
        <v>5.4820000000000002</v>
      </c>
      <c r="G464" s="50">
        <v>0</v>
      </c>
      <c r="I464" s="50">
        <f>AVERAGE(F462:F464)</f>
        <v>7.2736666666666663</v>
      </c>
      <c r="J464" s="50">
        <f>AVERAGE(G462:G464)</f>
        <v>0</v>
      </c>
      <c r="L464">
        <f>+J464/I464</f>
        <v>0</v>
      </c>
      <c r="M464">
        <f>+(L464-$L$913)/$L$914</f>
        <v>-0.44434743109797642</v>
      </c>
      <c r="N464">
        <f>+N461+M464</f>
        <v>2.2039703125106502</v>
      </c>
    </row>
    <row r="465" spans="1:14">
      <c r="A465" s="20">
        <v>1</v>
      </c>
      <c r="B465" s="94">
        <v>41135</v>
      </c>
      <c r="C465" s="20">
        <v>2012</v>
      </c>
      <c r="D465" s="10" t="s">
        <v>32</v>
      </c>
      <c r="E465" s="20">
        <v>8</v>
      </c>
      <c r="F465" s="49">
        <v>11.004</v>
      </c>
      <c r="G465" s="50">
        <v>0</v>
      </c>
    </row>
    <row r="466" spans="1:14">
      <c r="A466" s="20">
        <v>17</v>
      </c>
      <c r="B466" s="94">
        <v>41135</v>
      </c>
      <c r="C466" s="20">
        <v>2012</v>
      </c>
      <c r="D466" s="10" t="s">
        <v>32</v>
      </c>
      <c r="E466" s="20">
        <v>8</v>
      </c>
      <c r="F466" s="49">
        <v>11.523999999999999</v>
      </c>
      <c r="G466" s="50">
        <v>0</v>
      </c>
    </row>
    <row r="467" spans="1:14">
      <c r="A467" s="20">
        <v>18</v>
      </c>
      <c r="B467" s="94">
        <v>41135</v>
      </c>
      <c r="C467" s="20">
        <v>2012</v>
      </c>
      <c r="D467" s="10" t="s">
        <v>32</v>
      </c>
      <c r="E467" s="20">
        <v>8</v>
      </c>
      <c r="F467" s="49">
        <v>12.27</v>
      </c>
      <c r="G467" s="50">
        <v>0</v>
      </c>
      <c r="I467" s="50">
        <f>AVERAGE(F465:F467)</f>
        <v>11.599333333333334</v>
      </c>
      <c r="J467" s="50">
        <f>AVERAGE(G465:G467)</f>
        <v>0</v>
      </c>
      <c r="L467">
        <f>+J467/I467</f>
        <v>0</v>
      </c>
      <c r="M467">
        <f>+(L467-$L$913)/$L$914</f>
        <v>-0.44434743109797642</v>
      </c>
      <c r="N467">
        <f>+N464+M467</f>
        <v>1.7596228814126738</v>
      </c>
    </row>
    <row r="468" spans="1:14">
      <c r="A468" s="20">
        <v>1</v>
      </c>
      <c r="B468" s="94">
        <v>41164</v>
      </c>
      <c r="C468" s="20">
        <v>2012</v>
      </c>
      <c r="D468" s="10" t="s">
        <v>38</v>
      </c>
      <c r="E468" s="20">
        <v>9</v>
      </c>
      <c r="F468" s="49">
        <v>9.9719999999999995</v>
      </c>
      <c r="G468" s="50">
        <v>0</v>
      </c>
    </row>
    <row r="469" spans="1:14">
      <c r="A469" s="20">
        <v>17</v>
      </c>
      <c r="B469" s="94">
        <v>41164</v>
      </c>
      <c r="C469" s="20">
        <v>2012</v>
      </c>
      <c r="D469" s="10" t="s">
        <v>38</v>
      </c>
      <c r="E469" s="20">
        <v>9</v>
      </c>
      <c r="F469" s="49">
        <v>12.736000000000001</v>
      </c>
      <c r="G469" s="50">
        <v>0</v>
      </c>
    </row>
    <row r="470" spans="1:14">
      <c r="A470" s="20">
        <v>18</v>
      </c>
      <c r="B470" s="94">
        <v>41164</v>
      </c>
      <c r="C470" s="20">
        <v>2012</v>
      </c>
      <c r="D470" s="10" t="s">
        <v>38</v>
      </c>
      <c r="E470" s="20">
        <v>9</v>
      </c>
      <c r="F470" s="49">
        <v>9.218</v>
      </c>
      <c r="G470" s="50">
        <v>0</v>
      </c>
      <c r="I470" s="50">
        <f>AVERAGE(F468:F470)</f>
        <v>10.641999999999999</v>
      </c>
      <c r="J470" s="50">
        <f>AVERAGE(G468:G470)</f>
        <v>0</v>
      </c>
      <c r="L470">
        <f>+J470/I470</f>
        <v>0</v>
      </c>
      <c r="M470">
        <f>+(L470-$L$913)/$L$914</f>
        <v>-0.44434743109797642</v>
      </c>
      <c r="N470">
        <f>+N467+M470</f>
        <v>1.3152754503146973</v>
      </c>
    </row>
    <row r="471" spans="1:14">
      <c r="A471" s="20">
        <v>1</v>
      </c>
      <c r="B471" s="94">
        <v>41200</v>
      </c>
      <c r="C471" s="20">
        <v>2012</v>
      </c>
      <c r="D471" s="10" t="s">
        <v>34</v>
      </c>
      <c r="E471" s="20">
        <v>10</v>
      </c>
      <c r="F471" s="49">
        <v>3.069</v>
      </c>
      <c r="G471" s="50">
        <v>0</v>
      </c>
    </row>
    <row r="472" spans="1:14">
      <c r="A472" s="20">
        <v>17</v>
      </c>
      <c r="B472" s="94">
        <v>41200</v>
      </c>
      <c r="C472" s="20">
        <v>2012</v>
      </c>
      <c r="D472" s="10" t="s">
        <v>34</v>
      </c>
      <c r="E472" s="20">
        <v>10</v>
      </c>
      <c r="F472" s="49">
        <v>7.125</v>
      </c>
      <c r="G472" s="50">
        <v>6.9665749999999985E-2</v>
      </c>
    </row>
    <row r="473" spans="1:14">
      <c r="A473" s="20">
        <v>18</v>
      </c>
      <c r="B473" s="94">
        <v>41200</v>
      </c>
      <c r="C473" s="20">
        <v>2012</v>
      </c>
      <c r="D473" s="10" t="s">
        <v>34</v>
      </c>
      <c r="E473" s="20">
        <v>10</v>
      </c>
      <c r="F473" s="49">
        <v>2.956</v>
      </c>
      <c r="G473" s="50">
        <v>0</v>
      </c>
      <c r="I473" s="50">
        <f>AVERAGE(F471:F473)</f>
        <v>4.3833333333333329</v>
      </c>
      <c r="J473" s="50">
        <f>AVERAGE(G471:G473)</f>
        <v>2.3221916666666662E-2</v>
      </c>
      <c r="L473">
        <f>+J473/I473</f>
        <v>5.2977756653992385E-3</v>
      </c>
      <c r="M473">
        <f>+(L473-$L$913)/$L$914</f>
        <v>-0.11338310974564098</v>
      </c>
      <c r="N473">
        <f>+N470+M473</f>
        <v>1.2018923405690563</v>
      </c>
    </row>
    <row r="474" spans="1:14">
      <c r="A474" s="20">
        <v>1</v>
      </c>
      <c r="B474" s="94">
        <v>41226</v>
      </c>
      <c r="C474" s="20">
        <v>2012</v>
      </c>
      <c r="D474" s="10" t="s">
        <v>35</v>
      </c>
      <c r="E474" s="20">
        <v>11</v>
      </c>
      <c r="F474" s="49">
        <v>1.71</v>
      </c>
      <c r="G474" s="50">
        <v>0</v>
      </c>
    </row>
    <row r="475" spans="1:14">
      <c r="A475" s="20">
        <v>17</v>
      </c>
      <c r="B475" s="94">
        <v>41226</v>
      </c>
      <c r="C475" s="20">
        <v>2012</v>
      </c>
      <c r="D475" s="10" t="s">
        <v>35</v>
      </c>
      <c r="E475" s="20">
        <v>11</v>
      </c>
      <c r="F475" s="49">
        <v>2.6160000000000001</v>
      </c>
      <c r="G475" s="50">
        <v>0</v>
      </c>
    </row>
    <row r="476" spans="1:14">
      <c r="A476" s="20">
        <v>18</v>
      </c>
      <c r="B476" s="94">
        <v>41226</v>
      </c>
      <c r="C476" s="20">
        <v>2012</v>
      </c>
      <c r="D476" s="10" t="s">
        <v>35</v>
      </c>
      <c r="E476" s="20">
        <v>11</v>
      </c>
      <c r="F476" s="49">
        <v>3.024</v>
      </c>
      <c r="G476" s="50">
        <v>0</v>
      </c>
      <c r="I476" s="50">
        <f>AVERAGE(F474:F476)</f>
        <v>2.4500000000000002</v>
      </c>
      <c r="J476" s="50">
        <f>AVERAGE(G474:G476)</f>
        <v>0</v>
      </c>
      <c r="L476">
        <f>+J476/I476</f>
        <v>0</v>
      </c>
      <c r="M476">
        <f>+(L476-$L$913)/$L$914</f>
        <v>-0.44434743109797642</v>
      </c>
      <c r="N476">
        <f>+N473+M476</f>
        <v>0.75754490947107977</v>
      </c>
    </row>
    <row r="477" spans="1:14">
      <c r="A477" s="20">
        <v>1</v>
      </c>
      <c r="B477" s="94">
        <v>41254</v>
      </c>
      <c r="C477" s="20">
        <v>2012</v>
      </c>
      <c r="D477" s="10" t="s">
        <v>36</v>
      </c>
      <c r="E477" s="20">
        <v>12</v>
      </c>
      <c r="F477" s="49">
        <v>7.4009999999999998</v>
      </c>
      <c r="G477" s="50">
        <v>0</v>
      </c>
    </row>
    <row r="478" spans="1:14">
      <c r="A478" s="20">
        <v>17</v>
      </c>
      <c r="B478" s="94">
        <v>41254</v>
      </c>
      <c r="C478" s="20">
        <v>2012</v>
      </c>
      <c r="D478" s="10" t="s">
        <v>36</v>
      </c>
      <c r="E478" s="20">
        <v>12</v>
      </c>
      <c r="F478" s="49">
        <v>8.8949999999999996</v>
      </c>
      <c r="G478" s="50">
        <v>0</v>
      </c>
    </row>
    <row r="479" spans="1:14">
      <c r="A479" s="20">
        <v>18</v>
      </c>
      <c r="B479" s="94">
        <v>41254</v>
      </c>
      <c r="C479" s="20">
        <v>2012</v>
      </c>
      <c r="D479" s="10" t="s">
        <v>36</v>
      </c>
      <c r="E479" s="20">
        <v>12</v>
      </c>
      <c r="F479" s="49">
        <v>2.5960000000000001</v>
      </c>
      <c r="G479" s="50">
        <v>0</v>
      </c>
      <c r="I479" s="50">
        <f>AVERAGE(F477:F479)</f>
        <v>6.2973333333333334</v>
      </c>
      <c r="J479" s="50">
        <f>AVERAGE(G477:G479)</f>
        <v>0</v>
      </c>
      <c r="L479">
        <f>+J479/I479</f>
        <v>0</v>
      </c>
      <c r="M479">
        <f>+(L479-$L$913)/$L$914</f>
        <v>-0.44434743109797642</v>
      </c>
      <c r="N479">
        <f>+N476+M479</f>
        <v>0.31319747837310336</v>
      </c>
    </row>
    <row r="480" spans="1:14">
      <c r="A480" s="43">
        <v>1</v>
      </c>
      <c r="B480" s="96">
        <v>41288</v>
      </c>
      <c r="C480" s="43">
        <v>2013</v>
      </c>
      <c r="D480" s="45" t="s">
        <v>37</v>
      </c>
      <c r="E480" s="43">
        <v>1</v>
      </c>
      <c r="F480" s="46">
        <v>3.7519999999999998</v>
      </c>
      <c r="G480" s="47">
        <v>0</v>
      </c>
    </row>
    <row r="481" spans="1:14">
      <c r="A481" s="20">
        <v>17</v>
      </c>
      <c r="B481" s="94">
        <v>41288</v>
      </c>
      <c r="C481" s="20">
        <v>2013</v>
      </c>
      <c r="D481" s="10" t="s">
        <v>37</v>
      </c>
      <c r="E481" s="20">
        <v>1</v>
      </c>
      <c r="F481" s="49">
        <v>8.4710000000000001</v>
      </c>
      <c r="G481" s="50">
        <v>0</v>
      </c>
    </row>
    <row r="482" spans="1:14">
      <c r="A482" s="20">
        <v>18</v>
      </c>
      <c r="B482" s="94">
        <v>41288</v>
      </c>
      <c r="C482" s="20">
        <v>2013</v>
      </c>
      <c r="D482" s="10" t="s">
        <v>37</v>
      </c>
      <c r="E482" s="20">
        <v>1</v>
      </c>
      <c r="F482" s="51">
        <v>5.609</v>
      </c>
      <c r="G482" s="50">
        <v>0</v>
      </c>
      <c r="I482" s="50">
        <f>AVERAGE(F480:F482)</f>
        <v>5.944</v>
      </c>
      <c r="J482" s="50">
        <f>AVERAGE(G480:G482)</f>
        <v>0</v>
      </c>
      <c r="L482">
        <f>+J482/I482</f>
        <v>0</v>
      </c>
      <c r="M482">
        <f>+(L482-$L$913)/$L$914</f>
        <v>-0.44434743109797642</v>
      </c>
      <c r="N482">
        <f>+N479+M482</f>
        <v>-0.13114995272487306</v>
      </c>
    </row>
    <row r="483" spans="1:14">
      <c r="A483" s="20">
        <v>1</v>
      </c>
      <c r="B483" s="94">
        <v>41318</v>
      </c>
      <c r="C483" s="20">
        <v>2013</v>
      </c>
      <c r="D483" s="10" t="s">
        <v>26</v>
      </c>
      <c r="E483" s="20">
        <v>2</v>
      </c>
      <c r="F483" s="58">
        <v>6.1440000000000001</v>
      </c>
      <c r="G483" s="50">
        <v>0</v>
      </c>
    </row>
    <row r="484" spans="1:14">
      <c r="A484" s="20">
        <v>17</v>
      </c>
      <c r="B484" s="94">
        <v>41318</v>
      </c>
      <c r="C484" s="20">
        <v>2013</v>
      </c>
      <c r="D484" s="10" t="s">
        <v>26</v>
      </c>
      <c r="E484" s="20">
        <v>2</v>
      </c>
      <c r="F484" s="58">
        <v>7.3550000000000004</v>
      </c>
      <c r="G484" s="50">
        <v>0</v>
      </c>
    </row>
    <row r="485" spans="1:14">
      <c r="A485" s="20">
        <v>18</v>
      </c>
      <c r="B485" s="94">
        <v>41318</v>
      </c>
      <c r="C485" s="20">
        <v>2013</v>
      </c>
      <c r="D485" s="10" t="s">
        <v>26</v>
      </c>
      <c r="E485" s="20">
        <v>2</v>
      </c>
      <c r="F485" s="58">
        <v>7.8769999999999998</v>
      </c>
      <c r="G485" s="50">
        <v>0</v>
      </c>
      <c r="I485" s="50">
        <f>AVERAGE(F483:F485)</f>
        <v>7.1253333333333337</v>
      </c>
      <c r="J485" s="50">
        <f>AVERAGE(G483:G485)</f>
        <v>0</v>
      </c>
      <c r="L485">
        <f>+J485/I485</f>
        <v>0</v>
      </c>
      <c r="M485">
        <f>+(L485-$L$913)/$L$914</f>
        <v>-0.44434743109797642</v>
      </c>
      <c r="N485">
        <f>+N482+M485</f>
        <v>-0.57549738382284943</v>
      </c>
    </row>
    <row r="486" spans="1:14">
      <c r="A486" s="20">
        <v>1</v>
      </c>
      <c r="B486" s="94">
        <v>41344</v>
      </c>
      <c r="C486" s="20">
        <v>2013</v>
      </c>
      <c r="D486" s="10" t="s">
        <v>27</v>
      </c>
      <c r="E486" s="20">
        <v>3</v>
      </c>
      <c r="F486" s="58">
        <v>6.5209999999999999</v>
      </c>
      <c r="G486" s="50">
        <v>0</v>
      </c>
    </row>
    <row r="487" spans="1:14">
      <c r="A487" s="20">
        <v>17</v>
      </c>
      <c r="B487" s="94">
        <v>41344</v>
      </c>
      <c r="C487" s="20">
        <v>2013</v>
      </c>
      <c r="D487" s="10" t="s">
        <v>27</v>
      </c>
      <c r="E487" s="20">
        <v>3</v>
      </c>
      <c r="F487" s="58">
        <v>8.843</v>
      </c>
      <c r="G487" s="50">
        <v>0</v>
      </c>
    </row>
    <row r="488" spans="1:14">
      <c r="A488" s="20">
        <v>18</v>
      </c>
      <c r="B488" s="94">
        <v>41344</v>
      </c>
      <c r="C488" s="20">
        <v>2013</v>
      </c>
      <c r="D488" s="10" t="s">
        <v>27</v>
      </c>
      <c r="E488" s="20">
        <v>3</v>
      </c>
      <c r="F488" s="58">
        <v>8.5359999999999996</v>
      </c>
      <c r="G488" s="50">
        <v>0</v>
      </c>
      <c r="I488" s="50">
        <f>AVERAGE(F486:F488)</f>
        <v>7.9666666666666659</v>
      </c>
      <c r="J488" s="50">
        <f>AVERAGE(G486:G488)</f>
        <v>0</v>
      </c>
      <c r="L488">
        <f>+J488/I488</f>
        <v>0</v>
      </c>
      <c r="M488">
        <f>+(L488-$L$913)/$L$914</f>
        <v>-0.44434743109797642</v>
      </c>
      <c r="N488">
        <f>+N485+M488</f>
        <v>-1.0198448149208259</v>
      </c>
    </row>
    <row r="489" spans="1:14">
      <c r="A489" s="20">
        <v>1</v>
      </c>
      <c r="B489" s="94">
        <v>41381</v>
      </c>
      <c r="C489" s="20">
        <v>2013</v>
      </c>
      <c r="D489" s="10" t="s">
        <v>28</v>
      </c>
      <c r="E489" s="20">
        <v>4</v>
      </c>
      <c r="F489" s="59">
        <v>0.47099999999999997</v>
      </c>
      <c r="G489" s="50">
        <v>0</v>
      </c>
    </row>
    <row r="490" spans="1:14">
      <c r="A490" s="20">
        <v>17</v>
      </c>
      <c r="B490" s="94">
        <v>41381</v>
      </c>
      <c r="C490" s="20">
        <v>2013</v>
      </c>
      <c r="D490" s="10" t="s">
        <v>28</v>
      </c>
      <c r="E490" s="20">
        <v>4</v>
      </c>
      <c r="F490" s="59">
        <v>0.59899999999999998</v>
      </c>
      <c r="G490" s="50">
        <v>0</v>
      </c>
    </row>
    <row r="491" spans="1:14">
      <c r="A491" s="20">
        <v>18</v>
      </c>
      <c r="B491" s="94">
        <v>41381</v>
      </c>
      <c r="C491" s="20">
        <v>2013</v>
      </c>
      <c r="D491" s="10" t="s">
        <v>28</v>
      </c>
      <c r="E491" s="20">
        <v>4</v>
      </c>
      <c r="F491" s="59">
        <v>0.45400000000000001</v>
      </c>
      <c r="G491" s="50">
        <v>0</v>
      </c>
      <c r="I491" s="50">
        <f>AVERAGE(F489:F491)</f>
        <v>0.5079999999999999</v>
      </c>
      <c r="J491" s="50">
        <f>AVERAGE(G489:G491)</f>
        <v>0</v>
      </c>
      <c r="L491">
        <f>+J491/I491</f>
        <v>0</v>
      </c>
      <c r="M491">
        <f>+(L491-$L$913)/$L$914</f>
        <v>-0.44434743109797642</v>
      </c>
      <c r="N491">
        <f>+N488+M491</f>
        <v>-1.4641922460188024</v>
      </c>
    </row>
    <row r="492" spans="1:14">
      <c r="A492" s="20">
        <v>1</v>
      </c>
      <c r="B492" s="94">
        <v>41408</v>
      </c>
      <c r="C492" s="20">
        <v>2013</v>
      </c>
      <c r="D492" s="10" t="s">
        <v>29</v>
      </c>
      <c r="E492" s="20">
        <v>5</v>
      </c>
      <c r="F492" s="59">
        <v>0.88300000000000001</v>
      </c>
      <c r="G492" s="50">
        <v>0</v>
      </c>
    </row>
    <row r="493" spans="1:14">
      <c r="A493" s="20">
        <v>17</v>
      </c>
      <c r="B493" s="94">
        <v>41408</v>
      </c>
      <c r="C493" s="20">
        <v>2013</v>
      </c>
      <c r="D493" s="10" t="s">
        <v>29</v>
      </c>
      <c r="E493" s="20">
        <v>5</v>
      </c>
      <c r="F493" s="59">
        <v>2.5680000000000001</v>
      </c>
      <c r="G493" s="50">
        <v>0</v>
      </c>
    </row>
    <row r="494" spans="1:14">
      <c r="A494" s="20">
        <v>18</v>
      </c>
      <c r="B494" s="94">
        <v>41408</v>
      </c>
      <c r="C494" s="20">
        <v>2013</v>
      </c>
      <c r="D494" s="10" t="s">
        <v>29</v>
      </c>
      <c r="E494" s="20">
        <v>5</v>
      </c>
      <c r="F494" s="59">
        <v>0.84699999999999998</v>
      </c>
      <c r="G494" s="50">
        <v>0</v>
      </c>
      <c r="I494" s="50">
        <f>AVERAGE(F492:F494)</f>
        <v>1.4326666666666668</v>
      </c>
      <c r="J494" s="50">
        <f>AVERAGE(G492:G494)</f>
        <v>0</v>
      </c>
      <c r="L494">
        <f>+J494/I494</f>
        <v>0</v>
      </c>
      <c r="M494">
        <f>+(L494-$L$913)/$L$914</f>
        <v>-0.44434743109797642</v>
      </c>
      <c r="N494">
        <f>+N491+M494</f>
        <v>-1.9085396771167789</v>
      </c>
    </row>
    <row r="495" spans="1:14">
      <c r="A495" s="20">
        <v>1</v>
      </c>
      <c r="B495" s="94">
        <v>41436</v>
      </c>
      <c r="C495" s="20">
        <v>2013</v>
      </c>
      <c r="D495" s="10" t="s">
        <v>30</v>
      </c>
      <c r="E495" s="20">
        <v>6</v>
      </c>
      <c r="F495" s="59">
        <v>3.645</v>
      </c>
      <c r="G495" s="50">
        <v>0</v>
      </c>
    </row>
    <row r="496" spans="1:14">
      <c r="A496" s="20">
        <v>17</v>
      </c>
      <c r="B496" s="94">
        <v>41436</v>
      </c>
      <c r="C496" s="20">
        <v>2013</v>
      </c>
      <c r="D496" s="10" t="s">
        <v>30</v>
      </c>
      <c r="E496" s="20">
        <v>6</v>
      </c>
      <c r="F496" s="59">
        <v>4.2629999999999999</v>
      </c>
      <c r="G496" s="50">
        <v>0</v>
      </c>
    </row>
    <row r="497" spans="1:14">
      <c r="A497" s="20">
        <v>18</v>
      </c>
      <c r="B497" s="94">
        <v>41436</v>
      </c>
      <c r="C497" s="20">
        <v>2013</v>
      </c>
      <c r="D497" s="10" t="s">
        <v>30</v>
      </c>
      <c r="E497" s="20">
        <v>6</v>
      </c>
      <c r="F497" s="59">
        <v>5.8090000000000002</v>
      </c>
      <c r="G497" s="50">
        <v>2.3334749999999998E-2</v>
      </c>
      <c r="I497" s="50">
        <f>AVERAGE(F495:F497)</f>
        <v>4.5723333333333329</v>
      </c>
      <c r="J497" s="50">
        <f>AVERAGE(G495:G497)</f>
        <v>7.7782499999999996E-3</v>
      </c>
      <c r="L497">
        <f>+J497/I497</f>
        <v>1.7011555004738646E-3</v>
      </c>
      <c r="M497">
        <f>+(L497-$L$913)/$L$914</f>
        <v>-0.33807230521706655</v>
      </c>
      <c r="N497">
        <f>+N494+M497</f>
        <v>-2.2466119823338455</v>
      </c>
    </row>
    <row r="498" spans="1:14">
      <c r="A498" s="20">
        <v>1</v>
      </c>
      <c r="B498" s="94">
        <v>41471</v>
      </c>
      <c r="C498" s="20">
        <v>2013</v>
      </c>
      <c r="D498" s="10" t="s">
        <v>31</v>
      </c>
      <c r="E498" s="20">
        <v>7</v>
      </c>
      <c r="F498" s="59">
        <v>5.0659999999999998</v>
      </c>
      <c r="G498" s="50">
        <v>0</v>
      </c>
    </row>
    <row r="499" spans="1:14">
      <c r="A499" s="20">
        <v>17</v>
      </c>
      <c r="B499" s="94">
        <v>41471</v>
      </c>
      <c r="C499" s="20">
        <v>2013</v>
      </c>
      <c r="D499" s="10" t="s">
        <v>31</v>
      </c>
      <c r="E499" s="20">
        <v>7</v>
      </c>
      <c r="F499" s="59">
        <v>15.305</v>
      </c>
      <c r="G499" s="50">
        <v>0</v>
      </c>
    </row>
    <row r="500" spans="1:14">
      <c r="A500" s="20">
        <v>18</v>
      </c>
      <c r="B500" s="94">
        <v>41471</v>
      </c>
      <c r="C500" s="20">
        <v>2013</v>
      </c>
      <c r="D500" s="10" t="s">
        <v>31</v>
      </c>
      <c r="E500" s="20">
        <v>7</v>
      </c>
      <c r="F500" s="59">
        <v>11.465999999999999</v>
      </c>
      <c r="G500" s="50">
        <v>0</v>
      </c>
      <c r="I500" s="50">
        <f>AVERAGE(F498:F500)</f>
        <v>10.612333333333332</v>
      </c>
      <c r="J500" s="50">
        <f>AVERAGE(G498:G500)</f>
        <v>0</v>
      </c>
      <c r="L500">
        <f>+J500/I500</f>
        <v>0</v>
      </c>
      <c r="M500">
        <f>+(L500-$L$913)/$L$914</f>
        <v>-0.44434743109797642</v>
      </c>
      <c r="N500">
        <f>+N497+M500</f>
        <v>-2.690959413431822</v>
      </c>
    </row>
    <row r="501" spans="1:14">
      <c r="A501" s="20">
        <v>1</v>
      </c>
      <c r="B501" s="94">
        <v>41499</v>
      </c>
      <c r="C501" s="20">
        <v>2013</v>
      </c>
      <c r="D501" s="10" t="s">
        <v>32</v>
      </c>
      <c r="E501" s="20">
        <v>8</v>
      </c>
      <c r="F501" s="59">
        <v>5.7140000000000004</v>
      </c>
      <c r="G501" s="50">
        <v>0</v>
      </c>
    </row>
    <row r="502" spans="1:14">
      <c r="A502" s="20">
        <v>17</v>
      </c>
      <c r="B502" s="94">
        <v>41499</v>
      </c>
      <c r="C502" s="20">
        <v>2013</v>
      </c>
      <c r="D502" s="10" t="s">
        <v>32</v>
      </c>
      <c r="E502" s="20">
        <v>8</v>
      </c>
      <c r="F502" s="59">
        <v>6.3680000000000003</v>
      </c>
      <c r="G502" s="50">
        <v>0</v>
      </c>
    </row>
    <row r="503" spans="1:14">
      <c r="A503" s="20">
        <v>18</v>
      </c>
      <c r="B503" s="94">
        <v>41499</v>
      </c>
      <c r="C503" s="20">
        <v>2013</v>
      </c>
      <c r="D503" s="10" t="s">
        <v>32</v>
      </c>
      <c r="E503" s="20">
        <v>8</v>
      </c>
      <c r="F503" s="59">
        <v>8.7149999999999999</v>
      </c>
      <c r="G503" s="50">
        <v>0</v>
      </c>
      <c r="I503" s="50">
        <f>AVERAGE(F501:F503)</f>
        <v>6.9323333333333332</v>
      </c>
      <c r="J503" s="50">
        <f>AVERAGE(G501:G503)</f>
        <v>0</v>
      </c>
      <c r="L503">
        <f>+J503/I503</f>
        <v>0</v>
      </c>
      <c r="M503">
        <f>+(L503-$L$913)/$L$914</f>
        <v>-0.44434743109797642</v>
      </c>
      <c r="N503">
        <f>+N500+M503</f>
        <v>-3.1353068445297985</v>
      </c>
    </row>
    <row r="504" spans="1:14">
      <c r="A504" s="20">
        <v>1</v>
      </c>
      <c r="B504" s="94">
        <v>41533</v>
      </c>
      <c r="C504" s="20">
        <v>2013</v>
      </c>
      <c r="D504" s="10" t="s">
        <v>38</v>
      </c>
      <c r="E504" s="20">
        <v>9</v>
      </c>
      <c r="F504" s="59">
        <v>3.1379999999999999</v>
      </c>
      <c r="G504" s="50">
        <v>0</v>
      </c>
    </row>
    <row r="505" spans="1:14">
      <c r="A505" s="20">
        <v>17</v>
      </c>
      <c r="B505" s="94">
        <v>41533</v>
      </c>
      <c r="C505" s="20">
        <v>2013</v>
      </c>
      <c r="D505" s="10" t="s">
        <v>38</v>
      </c>
      <c r="E505" s="20">
        <v>9</v>
      </c>
      <c r="F505" s="59">
        <v>3.1459999999999999</v>
      </c>
      <c r="G505" s="50">
        <v>0</v>
      </c>
    </row>
    <row r="506" spans="1:14">
      <c r="A506" s="20">
        <v>18</v>
      </c>
      <c r="B506" s="94">
        <v>41533</v>
      </c>
      <c r="C506" s="20">
        <v>2013</v>
      </c>
      <c r="D506" s="10" t="s">
        <v>38</v>
      </c>
      <c r="E506" s="20">
        <v>9</v>
      </c>
      <c r="F506" s="59">
        <v>3.032</v>
      </c>
      <c r="G506" s="50">
        <v>0</v>
      </c>
      <c r="I506" s="50">
        <f>AVERAGE(F504:F506)</f>
        <v>3.1053333333333328</v>
      </c>
      <c r="J506" s="50">
        <f>AVERAGE(G504:G506)</f>
        <v>0</v>
      </c>
      <c r="L506">
        <f>+J506/I506</f>
        <v>0</v>
      </c>
      <c r="M506">
        <f>+(L506-$L$913)/$L$914</f>
        <v>-0.44434743109797642</v>
      </c>
      <c r="N506">
        <f>+N503+M506</f>
        <v>-3.5796542756277749</v>
      </c>
    </row>
    <row r="507" spans="1:14">
      <c r="A507" s="20">
        <v>1</v>
      </c>
      <c r="B507" s="94">
        <v>41569</v>
      </c>
      <c r="C507" s="20">
        <v>2013</v>
      </c>
      <c r="D507" s="10" t="s">
        <v>34</v>
      </c>
      <c r="E507" s="20">
        <v>10</v>
      </c>
      <c r="F507" s="49">
        <v>1.3</v>
      </c>
      <c r="G507" s="54">
        <v>0</v>
      </c>
    </row>
    <row r="508" spans="1:14">
      <c r="A508" s="20">
        <v>17</v>
      </c>
      <c r="B508" s="94">
        <v>41569</v>
      </c>
      <c r="C508" s="20">
        <v>2013</v>
      </c>
      <c r="D508" s="10" t="s">
        <v>34</v>
      </c>
      <c r="E508" s="20">
        <v>10</v>
      </c>
      <c r="F508" s="49">
        <v>3.7040000000000002</v>
      </c>
      <c r="G508" s="50">
        <v>0</v>
      </c>
    </row>
    <row r="509" spans="1:14">
      <c r="A509" s="20">
        <v>18</v>
      </c>
      <c r="B509" s="94">
        <v>41569</v>
      </c>
      <c r="C509" s="20">
        <v>2013</v>
      </c>
      <c r="D509" s="10" t="s">
        <v>34</v>
      </c>
      <c r="E509" s="20">
        <v>10</v>
      </c>
      <c r="F509" s="49">
        <v>3.7650000000000001</v>
      </c>
      <c r="G509" s="50">
        <v>0</v>
      </c>
      <c r="I509" s="50">
        <f>AVERAGE(F507:F509)</f>
        <v>2.923</v>
      </c>
      <c r="J509" s="50">
        <f>AVERAGE(G507:G509)</f>
        <v>0</v>
      </c>
      <c r="L509">
        <f>+J509/I509</f>
        <v>0</v>
      </c>
      <c r="M509">
        <f>+(L509-$L$913)/$L$914</f>
        <v>-0.44434743109797642</v>
      </c>
      <c r="N509">
        <f>+N506+M509</f>
        <v>-4.024001706725751</v>
      </c>
    </row>
    <row r="510" spans="1:14">
      <c r="A510" s="20">
        <v>1</v>
      </c>
      <c r="B510" s="94">
        <v>41598</v>
      </c>
      <c r="C510" s="20">
        <v>2013</v>
      </c>
      <c r="D510" s="10" t="s">
        <v>35</v>
      </c>
      <c r="E510" s="20">
        <v>11</v>
      </c>
      <c r="F510" s="49">
        <v>2.0910000000000002</v>
      </c>
      <c r="G510" s="50">
        <v>0</v>
      </c>
    </row>
    <row r="511" spans="1:14">
      <c r="A511" s="20">
        <v>17</v>
      </c>
      <c r="B511" s="94">
        <v>41598</v>
      </c>
      <c r="C511" s="20">
        <v>2013</v>
      </c>
      <c r="D511" s="10" t="s">
        <v>35</v>
      </c>
      <c r="E511" s="20">
        <v>11</v>
      </c>
      <c r="F511" s="49">
        <v>6.4530000000000003</v>
      </c>
      <c r="G511" s="50">
        <v>0</v>
      </c>
    </row>
    <row r="512" spans="1:14">
      <c r="A512" s="20">
        <v>18</v>
      </c>
      <c r="B512" s="94">
        <v>41598</v>
      </c>
      <c r="C512" s="20">
        <v>2013</v>
      </c>
      <c r="D512" s="10" t="s">
        <v>35</v>
      </c>
      <c r="E512" s="20">
        <v>11</v>
      </c>
      <c r="F512" s="49">
        <v>6.6760000000000002</v>
      </c>
      <c r="G512" s="50">
        <v>0</v>
      </c>
      <c r="I512" s="50">
        <f>AVERAGE(F510:F512)</f>
        <v>5.0733333333333333</v>
      </c>
      <c r="J512" s="50">
        <f>AVERAGE(G510:G512)</f>
        <v>0</v>
      </c>
      <c r="L512">
        <f>+J512/I512</f>
        <v>0</v>
      </c>
      <c r="M512">
        <f>+(L512-$L$913)/$L$914</f>
        <v>-0.44434743109797642</v>
      </c>
      <c r="N512">
        <f>+N509+M512</f>
        <v>-4.4683491378237274</v>
      </c>
    </row>
    <row r="513" spans="1:14">
      <c r="A513" s="20">
        <v>1</v>
      </c>
      <c r="B513" s="94">
        <v>41624</v>
      </c>
      <c r="C513" s="20">
        <v>2013</v>
      </c>
      <c r="D513" s="10" t="s">
        <v>36</v>
      </c>
      <c r="E513" s="20">
        <v>12</v>
      </c>
      <c r="F513" s="49">
        <v>2.355</v>
      </c>
      <c r="G513" s="50">
        <v>0</v>
      </c>
    </row>
    <row r="514" spans="1:14">
      <c r="A514" s="20">
        <v>17</v>
      </c>
      <c r="B514" s="94">
        <v>41624</v>
      </c>
      <c r="C514" s="20">
        <v>2013</v>
      </c>
      <c r="D514" s="10" t="s">
        <v>36</v>
      </c>
      <c r="E514" s="20">
        <v>12</v>
      </c>
      <c r="F514" s="49">
        <v>11.252000000000001</v>
      </c>
      <c r="G514" s="50">
        <v>0</v>
      </c>
    </row>
    <row r="515" spans="1:14">
      <c r="A515" s="20">
        <v>18</v>
      </c>
      <c r="B515" s="94">
        <v>41624</v>
      </c>
      <c r="C515" s="20">
        <v>2013</v>
      </c>
      <c r="D515" s="10" t="s">
        <v>36</v>
      </c>
      <c r="E515" s="20">
        <v>12</v>
      </c>
      <c r="F515" s="49">
        <v>2.573</v>
      </c>
      <c r="G515" s="50">
        <v>0</v>
      </c>
      <c r="I515" s="50">
        <f>AVERAGE(F513:F515)</f>
        <v>5.3933333333333335</v>
      </c>
      <c r="J515" s="50">
        <f>AVERAGE(G513:G515)</f>
        <v>0</v>
      </c>
      <c r="L515">
        <f>+J515/I515</f>
        <v>0</v>
      </c>
      <c r="M515">
        <f>+(L515-$L$913)/$L$914</f>
        <v>-0.44434743109797642</v>
      </c>
      <c r="N515">
        <f>+N512+M515</f>
        <v>-4.9126965689217039</v>
      </c>
    </row>
    <row r="516" spans="1:14">
      <c r="A516" s="43">
        <v>1</v>
      </c>
      <c r="B516" s="96">
        <v>41654</v>
      </c>
      <c r="C516" s="43">
        <v>2014</v>
      </c>
      <c r="D516" s="45" t="s">
        <v>37</v>
      </c>
      <c r="E516" s="43">
        <v>1</v>
      </c>
      <c r="F516" s="46">
        <v>2.0259999999999998</v>
      </c>
      <c r="G516" s="47">
        <v>0</v>
      </c>
    </row>
    <row r="517" spans="1:14">
      <c r="A517" s="20">
        <v>17</v>
      </c>
      <c r="B517" s="94">
        <v>41654</v>
      </c>
      <c r="C517" s="20">
        <v>2014</v>
      </c>
      <c r="D517" s="10" t="s">
        <v>37</v>
      </c>
      <c r="E517" s="20">
        <v>1</v>
      </c>
      <c r="F517" s="49">
        <v>6.6669999999999998</v>
      </c>
      <c r="G517" s="50">
        <v>0</v>
      </c>
    </row>
    <row r="518" spans="1:14">
      <c r="A518" s="20">
        <v>18</v>
      </c>
      <c r="B518" s="94">
        <v>41654</v>
      </c>
      <c r="C518" s="20">
        <v>2014</v>
      </c>
      <c r="D518" s="10" t="s">
        <v>37</v>
      </c>
      <c r="E518" s="20">
        <v>1</v>
      </c>
      <c r="F518" s="49">
        <v>3.919</v>
      </c>
      <c r="G518" s="50">
        <v>0</v>
      </c>
      <c r="I518" s="50">
        <f>AVERAGE(F516:F518)</f>
        <v>4.2039999999999997</v>
      </c>
      <c r="J518" s="50">
        <f>AVERAGE(G516:G518)</f>
        <v>0</v>
      </c>
      <c r="L518">
        <f>+J518/I518</f>
        <v>0</v>
      </c>
      <c r="M518">
        <f>+(L518-$L$913)/$L$914</f>
        <v>-0.44434743109797642</v>
      </c>
      <c r="N518">
        <f>+N515+M518</f>
        <v>-5.3570440000196804</v>
      </c>
    </row>
    <row r="519" spans="1:14">
      <c r="A519" s="20">
        <v>1</v>
      </c>
      <c r="B519" s="94">
        <v>41688</v>
      </c>
      <c r="C519" s="20">
        <v>2014</v>
      </c>
      <c r="D519" s="10" t="s">
        <v>26</v>
      </c>
      <c r="E519" s="20">
        <v>2</v>
      </c>
      <c r="F519" s="49">
        <v>6.2839999999999998</v>
      </c>
      <c r="G519" s="50">
        <v>0</v>
      </c>
    </row>
    <row r="520" spans="1:14">
      <c r="A520" s="20">
        <v>17</v>
      </c>
      <c r="B520" s="94">
        <v>41688</v>
      </c>
      <c r="C520" s="20">
        <v>2014</v>
      </c>
      <c r="D520" s="10" t="s">
        <v>26</v>
      </c>
      <c r="E520" s="20">
        <v>2</v>
      </c>
      <c r="F520" s="49">
        <v>12.17</v>
      </c>
      <c r="G520" s="50">
        <v>0</v>
      </c>
    </row>
    <row r="521" spans="1:14">
      <c r="A521" s="20">
        <v>18</v>
      </c>
      <c r="B521" s="94">
        <v>41688</v>
      </c>
      <c r="C521" s="20">
        <v>2014</v>
      </c>
      <c r="D521" s="10" t="s">
        <v>26</v>
      </c>
      <c r="E521" s="20">
        <v>2</v>
      </c>
      <c r="F521" s="49">
        <v>8.2899999999999991</v>
      </c>
      <c r="G521" s="50">
        <v>0</v>
      </c>
      <c r="I521" s="50">
        <f>AVERAGE(F519:F521)</f>
        <v>8.9146666666666672</v>
      </c>
      <c r="J521" s="50">
        <f>AVERAGE(G519:G521)</f>
        <v>0</v>
      </c>
      <c r="L521">
        <f>+J521/I521</f>
        <v>0</v>
      </c>
      <c r="M521">
        <f>+(L521-$L$913)/$L$914</f>
        <v>-0.44434743109797642</v>
      </c>
      <c r="N521">
        <f>+N518+M521</f>
        <v>-5.8013914311176569</v>
      </c>
    </row>
    <row r="522" spans="1:14">
      <c r="A522" s="20">
        <v>1</v>
      </c>
      <c r="B522" s="94">
        <v>41719</v>
      </c>
      <c r="C522" s="20">
        <v>2014</v>
      </c>
      <c r="D522" s="10" t="s">
        <v>27</v>
      </c>
      <c r="E522" s="20">
        <v>3</v>
      </c>
      <c r="F522" s="49">
        <v>2.2229999999999999</v>
      </c>
      <c r="G522" s="50">
        <v>0</v>
      </c>
    </row>
    <row r="523" spans="1:14">
      <c r="A523" s="20">
        <v>17</v>
      </c>
      <c r="B523" s="94">
        <v>41719</v>
      </c>
      <c r="C523" s="20">
        <v>2014</v>
      </c>
      <c r="D523" s="10" t="s">
        <v>27</v>
      </c>
      <c r="E523" s="20">
        <v>3</v>
      </c>
      <c r="F523" s="49">
        <v>3.36</v>
      </c>
      <c r="G523" s="50">
        <v>0</v>
      </c>
    </row>
    <row r="524" spans="1:14">
      <c r="A524" s="20">
        <v>18</v>
      </c>
      <c r="B524" s="94">
        <v>41719</v>
      </c>
      <c r="C524" s="20">
        <v>2014</v>
      </c>
      <c r="D524" s="10" t="s">
        <v>27</v>
      </c>
      <c r="E524" s="20">
        <v>3</v>
      </c>
      <c r="F524" s="49">
        <v>1.478</v>
      </c>
      <c r="G524" s="50">
        <v>0</v>
      </c>
      <c r="I524" s="50">
        <f>AVERAGE(F522:F524)</f>
        <v>2.3536666666666668</v>
      </c>
      <c r="J524" s="50">
        <f>AVERAGE(G522:G524)</f>
        <v>0</v>
      </c>
      <c r="L524">
        <f>+J524/I524</f>
        <v>0</v>
      </c>
      <c r="M524">
        <f>+(L524-$L$913)/$L$914</f>
        <v>-0.44434743109797642</v>
      </c>
      <c r="N524">
        <f>+N521+M524</f>
        <v>-6.2457388622156333</v>
      </c>
    </row>
    <row r="525" spans="1:14">
      <c r="A525" s="20">
        <v>1</v>
      </c>
      <c r="B525" s="94">
        <v>41747</v>
      </c>
      <c r="C525" s="20">
        <v>2014</v>
      </c>
      <c r="D525" s="10" t="s">
        <v>28</v>
      </c>
      <c r="E525" s="20">
        <v>4</v>
      </c>
      <c r="F525" s="60">
        <v>1.7649999999999999</v>
      </c>
      <c r="G525" s="50">
        <v>4.6301874999999999E-2</v>
      </c>
    </row>
    <row r="526" spans="1:14">
      <c r="A526" s="20">
        <v>17</v>
      </c>
      <c r="B526" s="94">
        <v>41747</v>
      </c>
      <c r="C526" s="20">
        <v>2014</v>
      </c>
      <c r="D526" s="10" t="s">
        <v>28</v>
      </c>
      <c r="E526" s="20">
        <v>4</v>
      </c>
      <c r="F526" s="60">
        <v>10.795999999999999</v>
      </c>
      <c r="G526" s="50">
        <v>0.1279255</v>
      </c>
    </row>
    <row r="527" spans="1:14">
      <c r="A527" s="20">
        <v>18</v>
      </c>
      <c r="B527" s="94">
        <v>41747</v>
      </c>
      <c r="C527" s="20">
        <v>2014</v>
      </c>
      <c r="D527" s="10" t="s">
        <v>28</v>
      </c>
      <c r="E527" s="20">
        <v>4</v>
      </c>
      <c r="F527" s="60">
        <v>7.5709999999999997</v>
      </c>
      <c r="G527" s="50">
        <v>9.3062249999999999E-2</v>
      </c>
      <c r="I527" s="50">
        <f>AVERAGE(F525:F527)</f>
        <v>6.7106666666666657</v>
      </c>
      <c r="J527" s="50">
        <f>AVERAGE(G525:G527)</f>
        <v>8.9096541666666654E-2</v>
      </c>
      <c r="L527">
        <f>+J527/I527</f>
        <v>1.3276854013510829E-2</v>
      </c>
      <c r="M527">
        <f>+(L527-$L$913)/$L$914</f>
        <v>0.38508840307196662</v>
      </c>
      <c r="N527">
        <f>+N524+M527</f>
        <v>-5.8606504591436668</v>
      </c>
    </row>
    <row r="528" spans="1:14">
      <c r="A528" s="20">
        <v>1</v>
      </c>
      <c r="B528" s="94">
        <v>41772</v>
      </c>
      <c r="C528" s="20">
        <v>2014</v>
      </c>
      <c r="D528" s="10" t="s">
        <v>29</v>
      </c>
      <c r="E528" s="20">
        <v>5</v>
      </c>
      <c r="F528" s="60">
        <v>0.57799999999999996</v>
      </c>
      <c r="G528" s="50">
        <v>0</v>
      </c>
    </row>
    <row r="529" spans="1:14">
      <c r="A529" s="20">
        <v>17</v>
      </c>
      <c r="B529" s="94">
        <v>41772</v>
      </c>
      <c r="C529" s="20">
        <v>2014</v>
      </c>
      <c r="D529" s="10" t="s">
        <v>29</v>
      </c>
      <c r="E529" s="20">
        <v>5</v>
      </c>
      <c r="F529" s="60">
        <v>2.113</v>
      </c>
      <c r="G529" s="50">
        <v>0</v>
      </c>
    </row>
    <row r="530" spans="1:14">
      <c r="A530" s="20">
        <v>18</v>
      </c>
      <c r="B530" s="94">
        <v>41772</v>
      </c>
      <c r="C530" s="20">
        <v>2014</v>
      </c>
      <c r="D530" s="10" t="s">
        <v>29</v>
      </c>
      <c r="E530" s="20">
        <v>5</v>
      </c>
      <c r="F530" s="60">
        <v>2.5150000000000001</v>
      </c>
      <c r="G530" s="50">
        <v>0</v>
      </c>
      <c r="I530" s="50">
        <f>AVERAGE(F528:F530)</f>
        <v>1.7353333333333332</v>
      </c>
      <c r="J530" s="50">
        <f>AVERAGE(G528:G530)</f>
        <v>0</v>
      </c>
      <c r="L530">
        <f>+J530/I530</f>
        <v>0</v>
      </c>
      <c r="M530">
        <f>+(L530-$L$913)/$L$914</f>
        <v>-0.44434743109797642</v>
      </c>
      <c r="N530">
        <f>+N527+M530</f>
        <v>-6.3049978902416433</v>
      </c>
    </row>
    <row r="531" spans="1:14">
      <c r="A531" s="20">
        <v>1</v>
      </c>
      <c r="B531" s="94">
        <v>41808</v>
      </c>
      <c r="C531" s="20">
        <v>2014</v>
      </c>
      <c r="D531" s="10" t="s">
        <v>30</v>
      </c>
      <c r="E531" s="20">
        <v>6</v>
      </c>
      <c r="F531" s="60">
        <v>5.7789999999999999</v>
      </c>
      <c r="G531" s="50">
        <v>0</v>
      </c>
    </row>
    <row r="532" spans="1:14">
      <c r="A532" s="20">
        <v>17</v>
      </c>
      <c r="B532" s="94">
        <v>41808</v>
      </c>
      <c r="C532" s="20">
        <v>2014</v>
      </c>
      <c r="D532" s="10" t="s">
        <v>30</v>
      </c>
      <c r="E532" s="20">
        <v>6</v>
      </c>
      <c r="F532" s="60">
        <v>3.677</v>
      </c>
      <c r="G532" s="50">
        <v>7.1646000000000001E-2</v>
      </c>
    </row>
    <row r="533" spans="1:14">
      <c r="A533" s="20">
        <v>18</v>
      </c>
      <c r="B533" s="94">
        <v>41808</v>
      </c>
      <c r="C533" s="20">
        <v>2014</v>
      </c>
      <c r="D533" s="10" t="s">
        <v>30</v>
      </c>
      <c r="E533" s="20">
        <v>6</v>
      </c>
      <c r="F533" s="60">
        <v>5.6159999999999997</v>
      </c>
      <c r="G533" s="50">
        <v>0</v>
      </c>
      <c r="I533" s="50">
        <f>AVERAGE(F531:F533)</f>
        <v>5.024</v>
      </c>
      <c r="J533" s="50">
        <f>AVERAGE(G531:G533)</f>
        <v>2.3882E-2</v>
      </c>
      <c r="L533">
        <f>+J533/I533</f>
        <v>4.7535828025477705E-3</v>
      </c>
      <c r="M533">
        <f>+(L533-$L$913)/$L$914</f>
        <v>-0.14738009884329992</v>
      </c>
      <c r="N533">
        <f>+N530+M533</f>
        <v>-6.4523779890849431</v>
      </c>
    </row>
    <row r="534" spans="1:14">
      <c r="A534" s="20">
        <v>1</v>
      </c>
      <c r="B534" s="94">
        <v>41834</v>
      </c>
      <c r="C534" s="20">
        <v>2014</v>
      </c>
      <c r="D534" s="10" t="s">
        <v>31</v>
      </c>
      <c r="E534" s="20">
        <v>7</v>
      </c>
      <c r="F534" s="60">
        <v>5.8869999999999996</v>
      </c>
      <c r="G534" s="50">
        <v>0</v>
      </c>
    </row>
    <row r="535" spans="1:14">
      <c r="A535" s="20">
        <v>17</v>
      </c>
      <c r="B535" s="94">
        <v>41834</v>
      </c>
      <c r="C535" s="20">
        <v>2014</v>
      </c>
      <c r="D535" s="10" t="s">
        <v>31</v>
      </c>
      <c r="E535" s="20">
        <v>7</v>
      </c>
      <c r="F535" s="60">
        <v>5.673</v>
      </c>
      <c r="G535" s="50">
        <v>0.12969924999999999</v>
      </c>
    </row>
    <row r="536" spans="1:14">
      <c r="A536" s="20">
        <v>18</v>
      </c>
      <c r="B536" s="94">
        <v>41834</v>
      </c>
      <c r="C536" s="20">
        <v>2014</v>
      </c>
      <c r="D536" s="10" t="s">
        <v>31</v>
      </c>
      <c r="E536" s="20">
        <v>7</v>
      </c>
      <c r="F536" s="60">
        <v>10.291</v>
      </c>
      <c r="G536" s="50">
        <v>0</v>
      </c>
      <c r="I536" s="50">
        <f>AVERAGE(F534:F536)</f>
        <v>7.2836666666666661</v>
      </c>
      <c r="J536" s="50">
        <f>AVERAGE(G534:G536)</f>
        <v>4.3233083333333332E-2</v>
      </c>
      <c r="L536">
        <f>+J536/I536</f>
        <v>5.9356207953869394E-3</v>
      </c>
      <c r="M536">
        <f>+(L536-$L$913)/$L$914</f>
        <v>-7.3535446517273062E-2</v>
      </c>
      <c r="N536">
        <f>+N533+M536</f>
        <v>-6.5259134356022166</v>
      </c>
    </row>
    <row r="537" spans="1:14">
      <c r="A537" s="20">
        <v>1</v>
      </c>
      <c r="B537" s="94">
        <v>41864</v>
      </c>
      <c r="C537" s="20">
        <v>2014</v>
      </c>
      <c r="D537" s="10" t="s">
        <v>32</v>
      </c>
      <c r="E537" s="20">
        <v>8</v>
      </c>
      <c r="F537" s="60">
        <v>3.1840000000000002</v>
      </c>
      <c r="G537" s="50">
        <v>0</v>
      </c>
    </row>
    <row r="538" spans="1:14">
      <c r="A538" s="20">
        <v>17</v>
      </c>
      <c r="B538" s="94">
        <v>41864</v>
      </c>
      <c r="C538" s="20">
        <v>2014</v>
      </c>
      <c r="D538" s="10" t="s">
        <v>32</v>
      </c>
      <c r="E538" s="20">
        <v>8</v>
      </c>
      <c r="F538" s="60">
        <v>3.0710000000000002</v>
      </c>
      <c r="G538" s="50">
        <v>0</v>
      </c>
    </row>
    <row r="539" spans="1:14">
      <c r="A539" s="20">
        <v>18</v>
      </c>
      <c r="B539" s="94">
        <v>41864</v>
      </c>
      <c r="C539" s="20">
        <v>2014</v>
      </c>
      <c r="D539" s="10" t="s">
        <v>32</v>
      </c>
      <c r="E539" s="20">
        <v>8</v>
      </c>
      <c r="F539" s="60">
        <v>4.3239999999999998</v>
      </c>
      <c r="G539" s="50">
        <v>0</v>
      </c>
      <c r="I539" s="50">
        <f>AVERAGE(F537:F539)</f>
        <v>3.5263333333333335</v>
      </c>
      <c r="J539" s="50">
        <f>AVERAGE(G537:G539)</f>
        <v>0</v>
      </c>
      <c r="L539">
        <f>+J539/I539</f>
        <v>0</v>
      </c>
      <c r="M539">
        <f>+(L539-$L$913)/$L$914</f>
        <v>-0.44434743109797642</v>
      </c>
      <c r="N539">
        <f>+N536+M539</f>
        <v>-6.9702608667001931</v>
      </c>
    </row>
    <row r="540" spans="1:14">
      <c r="A540" s="20">
        <v>1</v>
      </c>
      <c r="B540" s="94">
        <v>41898</v>
      </c>
      <c r="C540" s="20">
        <v>2014</v>
      </c>
      <c r="D540" s="10" t="s">
        <v>38</v>
      </c>
      <c r="E540" s="20">
        <v>9</v>
      </c>
      <c r="F540" s="60">
        <v>5.444</v>
      </c>
      <c r="G540" s="50">
        <v>0</v>
      </c>
    </row>
    <row r="541" spans="1:14">
      <c r="A541" s="20">
        <v>17</v>
      </c>
      <c r="B541" s="94">
        <v>41898</v>
      </c>
      <c r="C541" s="20">
        <v>2014</v>
      </c>
      <c r="D541" s="10" t="s">
        <v>38</v>
      </c>
      <c r="E541" s="20">
        <v>9</v>
      </c>
      <c r="F541" s="60">
        <v>6.3810000000000002</v>
      </c>
      <c r="G541" s="50">
        <v>0</v>
      </c>
    </row>
    <row r="542" spans="1:14">
      <c r="A542" s="20">
        <v>18</v>
      </c>
      <c r="B542" s="94">
        <v>41898</v>
      </c>
      <c r="C542" s="20">
        <v>2014</v>
      </c>
      <c r="D542" s="10" t="s">
        <v>38</v>
      </c>
      <c r="E542" s="20">
        <v>9</v>
      </c>
      <c r="F542" s="60">
        <v>4.1369999999999996</v>
      </c>
      <c r="G542" s="50">
        <v>0</v>
      </c>
      <c r="I542" s="50">
        <f>AVERAGE(F540:F542)</f>
        <v>5.3206666666666669</v>
      </c>
      <c r="J542" s="50">
        <f>AVERAGE(G540:G542)</f>
        <v>0</v>
      </c>
      <c r="L542">
        <f>+J542/I542</f>
        <v>0</v>
      </c>
      <c r="M542">
        <f>+(L542-$L$913)/$L$914</f>
        <v>-0.44434743109797642</v>
      </c>
      <c r="N542">
        <f>+N539+M542</f>
        <v>-7.4146082977981695</v>
      </c>
    </row>
    <row r="543" spans="1:14">
      <c r="A543" s="20">
        <v>1</v>
      </c>
      <c r="B543" s="94">
        <v>41929</v>
      </c>
      <c r="C543" s="20">
        <v>2014</v>
      </c>
      <c r="D543" s="10" t="s">
        <v>34</v>
      </c>
      <c r="E543" s="20">
        <v>10</v>
      </c>
      <c r="F543" s="49">
        <v>5.1669999999999998</v>
      </c>
      <c r="G543" s="50">
        <v>0</v>
      </c>
    </row>
    <row r="544" spans="1:14">
      <c r="A544" s="20">
        <v>17</v>
      </c>
      <c r="B544" s="94">
        <v>41929</v>
      </c>
      <c r="C544" s="20">
        <v>2014</v>
      </c>
      <c r="D544" s="10" t="s">
        <v>34</v>
      </c>
      <c r="E544" s="20">
        <v>10</v>
      </c>
      <c r="F544" s="49">
        <v>5.8529999999999998</v>
      </c>
      <c r="G544" s="50">
        <v>0</v>
      </c>
    </row>
    <row r="545" spans="1:14">
      <c r="A545" s="20">
        <v>18</v>
      </c>
      <c r="B545" s="94">
        <v>41929</v>
      </c>
      <c r="C545" s="20">
        <v>2014</v>
      </c>
      <c r="D545" s="10" t="s">
        <v>34</v>
      </c>
      <c r="E545" s="20">
        <v>10</v>
      </c>
      <c r="F545" s="49">
        <v>1.976</v>
      </c>
      <c r="G545" s="50">
        <v>0</v>
      </c>
      <c r="I545" s="50">
        <f>AVERAGE(F543:F545)</f>
        <v>4.3319999999999999</v>
      </c>
      <c r="J545" s="50">
        <f>AVERAGE(G543:G545)</f>
        <v>0</v>
      </c>
      <c r="L545">
        <f>+J545/I545</f>
        <v>0</v>
      </c>
      <c r="M545">
        <f>+(L545-$L$913)/$L$914</f>
        <v>-0.44434743109797642</v>
      </c>
      <c r="N545">
        <f>+N542+M545</f>
        <v>-7.858955728896146</v>
      </c>
    </row>
    <row r="546" spans="1:14">
      <c r="A546" s="20">
        <v>1</v>
      </c>
      <c r="B546" s="94">
        <v>41953</v>
      </c>
      <c r="C546" s="20">
        <v>2014</v>
      </c>
      <c r="D546" s="10" t="s">
        <v>35</v>
      </c>
      <c r="E546" s="20">
        <v>11</v>
      </c>
      <c r="F546" s="49">
        <v>1.482</v>
      </c>
      <c r="G546" s="50">
        <v>0</v>
      </c>
    </row>
    <row r="547" spans="1:14">
      <c r="A547" s="20">
        <v>17</v>
      </c>
      <c r="B547" s="94">
        <v>41953</v>
      </c>
      <c r="C547" s="20">
        <v>2014</v>
      </c>
      <c r="D547" s="10" t="s">
        <v>35</v>
      </c>
      <c r="E547" s="20">
        <v>11</v>
      </c>
      <c r="F547" s="49">
        <v>2.7370000000000001</v>
      </c>
      <c r="G547" s="50">
        <v>0</v>
      </c>
    </row>
    <row r="548" spans="1:14">
      <c r="A548" s="20">
        <v>18</v>
      </c>
      <c r="B548" s="94">
        <v>41953</v>
      </c>
      <c r="C548" s="20">
        <v>2014</v>
      </c>
      <c r="D548" s="10" t="s">
        <v>35</v>
      </c>
      <c r="E548" s="20">
        <v>11</v>
      </c>
      <c r="F548" s="49">
        <v>2.847</v>
      </c>
      <c r="G548" s="50">
        <v>0</v>
      </c>
      <c r="I548" s="50">
        <f>AVERAGE(F546:F548)</f>
        <v>2.3553333333333337</v>
      </c>
      <c r="J548" s="50">
        <f>AVERAGE(G546:G548)</f>
        <v>0</v>
      </c>
      <c r="L548">
        <f>+J548/I548</f>
        <v>0</v>
      </c>
      <c r="M548">
        <f>+(L548-$L$913)/$L$914</f>
        <v>-0.44434743109797642</v>
      </c>
      <c r="N548">
        <f>+N545+M548</f>
        <v>-8.3033031599941225</v>
      </c>
    </row>
    <row r="549" spans="1:14">
      <c r="A549" s="20">
        <v>1</v>
      </c>
      <c r="B549" s="94">
        <v>41988</v>
      </c>
      <c r="C549" s="20">
        <v>2014</v>
      </c>
      <c r="D549" s="10" t="s">
        <v>36</v>
      </c>
      <c r="E549" s="20">
        <v>12</v>
      </c>
      <c r="F549" s="49">
        <v>2.58</v>
      </c>
      <c r="G549" s="50">
        <v>0</v>
      </c>
    </row>
    <row r="550" spans="1:14">
      <c r="A550" s="20">
        <v>17</v>
      </c>
      <c r="B550" s="94">
        <v>41988</v>
      </c>
      <c r="C550" s="20">
        <v>2014</v>
      </c>
      <c r="D550" s="10" t="s">
        <v>36</v>
      </c>
      <c r="E550" s="20">
        <v>12</v>
      </c>
      <c r="F550" s="49">
        <v>3.4140000000000001</v>
      </c>
      <c r="G550" s="50">
        <v>0</v>
      </c>
    </row>
    <row r="551" spans="1:14">
      <c r="A551" s="20">
        <v>18</v>
      </c>
      <c r="B551" s="94">
        <v>41988</v>
      </c>
      <c r="C551" s="20">
        <v>2014</v>
      </c>
      <c r="D551" s="10" t="s">
        <v>36</v>
      </c>
      <c r="E551" s="20">
        <v>12</v>
      </c>
      <c r="F551" s="49">
        <v>2.956</v>
      </c>
      <c r="G551" s="50">
        <v>0</v>
      </c>
      <c r="I551" s="50">
        <f>AVERAGE(F549:F551)</f>
        <v>2.9833333333333329</v>
      </c>
      <c r="J551" s="50">
        <f>AVERAGE(G549:G551)</f>
        <v>0</v>
      </c>
      <c r="L551">
        <f>+J551/I551</f>
        <v>0</v>
      </c>
      <c r="M551">
        <f>+(L551-$L$913)/$L$914</f>
        <v>-0.44434743109797642</v>
      </c>
      <c r="N551">
        <f>+N548+M551</f>
        <v>-8.7476505910920981</v>
      </c>
    </row>
    <row r="552" spans="1:14">
      <c r="A552" s="7">
        <v>1</v>
      </c>
      <c r="B552" s="86">
        <v>42014</v>
      </c>
      <c r="C552" s="48">
        <v>2015</v>
      </c>
      <c r="D552" s="45" t="s">
        <v>37</v>
      </c>
      <c r="E552" s="9">
        <v>1</v>
      </c>
      <c r="F552" s="41">
        <v>5.6390000000000002</v>
      </c>
      <c r="G552" s="41">
        <v>2.4E-2</v>
      </c>
    </row>
    <row r="553" spans="1:14">
      <c r="A553" s="7">
        <v>17</v>
      </c>
      <c r="B553" s="86">
        <v>42009</v>
      </c>
      <c r="C553" s="20">
        <v>2015</v>
      </c>
      <c r="D553" s="10" t="s">
        <v>37</v>
      </c>
      <c r="E553" s="9">
        <v>1</v>
      </c>
      <c r="F553" s="109">
        <v>10.254</v>
      </c>
      <c r="G553" s="109">
        <v>6.7000000000000004E-2</v>
      </c>
    </row>
    <row r="554" spans="1:14">
      <c r="A554" s="7">
        <v>18</v>
      </c>
      <c r="B554" s="86">
        <v>42009</v>
      </c>
      <c r="C554" s="20">
        <v>2015</v>
      </c>
      <c r="D554" s="10" t="s">
        <v>37</v>
      </c>
      <c r="E554" s="9">
        <v>1</v>
      </c>
      <c r="F554" s="37">
        <v>8.5180000000000007</v>
      </c>
      <c r="G554" s="37">
        <v>3.6999999999999998E-2</v>
      </c>
      <c r="I554" s="50">
        <f>AVERAGE(F552:F554)</f>
        <v>8.1370000000000005</v>
      </c>
      <c r="J554" s="50">
        <f>AVERAGE(G552:G554)</f>
        <v>4.2666666666666665E-2</v>
      </c>
      <c r="L554">
        <f>+J554/I554</f>
        <v>5.2435377493752809E-3</v>
      </c>
      <c r="M554">
        <f>+(L554-$L$913)/$L$914</f>
        <v>-0.11677147803493534</v>
      </c>
      <c r="N554">
        <f>+N551+M554</f>
        <v>-8.8644220691270341</v>
      </c>
    </row>
    <row r="555" spans="1:14">
      <c r="A555" s="7">
        <v>1</v>
      </c>
      <c r="B555" s="87">
        <v>42036</v>
      </c>
      <c r="C555" s="20">
        <v>2015</v>
      </c>
      <c r="D555" s="10" t="s">
        <v>26</v>
      </c>
      <c r="E555" s="11">
        <v>2</v>
      </c>
    </row>
    <row r="556" spans="1:14">
      <c r="A556" s="7">
        <v>17</v>
      </c>
      <c r="B556" s="87">
        <v>42036</v>
      </c>
      <c r="C556" s="20">
        <v>2015</v>
      </c>
      <c r="D556" s="10" t="s">
        <v>26</v>
      </c>
      <c r="E556" s="11">
        <v>2</v>
      </c>
    </row>
    <row r="557" spans="1:14">
      <c r="A557" s="7">
        <v>18</v>
      </c>
      <c r="B557" s="87">
        <v>42036</v>
      </c>
      <c r="C557" s="20">
        <v>2015</v>
      </c>
      <c r="D557" s="10" t="s">
        <v>26</v>
      </c>
      <c r="E557" s="11">
        <v>2</v>
      </c>
      <c r="I557" s="50"/>
      <c r="J557" s="50"/>
    </row>
    <row r="558" spans="1:14">
      <c r="A558" s="7">
        <v>1</v>
      </c>
      <c r="B558" s="87">
        <v>42064</v>
      </c>
      <c r="C558" s="20">
        <v>2015</v>
      </c>
      <c r="D558" s="10" t="s">
        <v>27</v>
      </c>
      <c r="E558" s="11">
        <v>3</v>
      </c>
      <c r="F558" s="110">
        <v>5.4649999999999999</v>
      </c>
      <c r="G558" s="110">
        <v>2.8000000000000001E-2</v>
      </c>
    </row>
    <row r="559" spans="1:14">
      <c r="A559" s="7">
        <v>17</v>
      </c>
      <c r="B559" s="87">
        <v>42064</v>
      </c>
      <c r="C559" s="20">
        <v>2015</v>
      </c>
      <c r="D559" s="10" t="s">
        <v>27</v>
      </c>
      <c r="E559" s="11">
        <v>3</v>
      </c>
      <c r="F559" s="40">
        <v>8.9429999999999996</v>
      </c>
      <c r="G559" s="40">
        <v>4.2000000000000003E-2</v>
      </c>
    </row>
    <row r="560" spans="1:14">
      <c r="A560" s="7">
        <v>18</v>
      </c>
      <c r="B560" s="87">
        <v>42064</v>
      </c>
      <c r="C560" s="20">
        <v>2015</v>
      </c>
      <c r="D560" s="10" t="s">
        <v>27</v>
      </c>
      <c r="E560" s="11">
        <v>3</v>
      </c>
      <c r="F560" s="40">
        <v>7.508</v>
      </c>
      <c r="G560" s="40">
        <v>3.2000000000000001E-2</v>
      </c>
      <c r="I560" s="50">
        <f>AVERAGE(F558:F560)</f>
        <v>7.3053333333333335</v>
      </c>
      <c r="J560" s="50">
        <f>AVERAGE(G558:G560)</f>
        <v>3.4000000000000002E-2</v>
      </c>
      <c r="L560">
        <f>+J560/I560</f>
        <v>4.6541339660521996E-3</v>
      </c>
      <c r="M560">
        <f>+(L560-$L$913)/$L$914</f>
        <v>-0.153592898093182</v>
      </c>
      <c r="N560">
        <f>+N554+M560</f>
        <v>-9.0180149672202159</v>
      </c>
    </row>
    <row r="561" spans="1:14">
      <c r="A561" s="7">
        <v>1</v>
      </c>
      <c r="B561" s="87">
        <v>42095</v>
      </c>
      <c r="C561" s="20">
        <v>2015</v>
      </c>
      <c r="D561" s="10" t="s">
        <v>28</v>
      </c>
      <c r="E561" s="11">
        <v>4</v>
      </c>
      <c r="F561" s="40">
        <v>1.93</v>
      </c>
      <c r="G561" s="40">
        <v>0.13400000000000001</v>
      </c>
    </row>
    <row r="562" spans="1:14">
      <c r="A562" s="7">
        <v>17</v>
      </c>
      <c r="B562" s="87">
        <v>42095</v>
      </c>
      <c r="C562" s="20">
        <v>2015</v>
      </c>
      <c r="D562" s="10" t="s">
        <v>28</v>
      </c>
      <c r="E562" s="11">
        <v>4</v>
      </c>
      <c r="F562" s="40">
        <v>6.766</v>
      </c>
      <c r="G562" s="40">
        <v>0.22500000000000001</v>
      </c>
    </row>
    <row r="563" spans="1:14">
      <c r="A563" s="7">
        <v>18</v>
      </c>
      <c r="B563" s="87">
        <v>42095</v>
      </c>
      <c r="C563" s="20">
        <v>2015</v>
      </c>
      <c r="D563" s="10" t="s">
        <v>28</v>
      </c>
      <c r="E563" s="11">
        <v>4</v>
      </c>
      <c r="F563" s="40">
        <v>1.29</v>
      </c>
      <c r="G563" s="40">
        <v>2.4E-2</v>
      </c>
      <c r="I563" s="50">
        <f>AVERAGE(F561:F563)</f>
        <v>3.3286666666666669</v>
      </c>
      <c r="J563" s="50">
        <f>AVERAGE(G561:G563)</f>
        <v>0.12766666666666668</v>
      </c>
      <c r="L563">
        <f>+J563/I563</f>
        <v>3.8353695173242539E-2</v>
      </c>
      <c r="M563">
        <f>+(L563-$L$913)/$L$914</f>
        <v>1.9516967761476256</v>
      </c>
      <c r="N563">
        <f>+N560+M563</f>
        <v>-7.0663181910725905</v>
      </c>
    </row>
    <row r="564" spans="1:14">
      <c r="A564" s="7">
        <v>1</v>
      </c>
      <c r="B564" s="87">
        <v>42125</v>
      </c>
      <c r="C564" s="20">
        <v>2015</v>
      </c>
      <c r="D564" s="10" t="s">
        <v>29</v>
      </c>
      <c r="E564" s="11">
        <v>5</v>
      </c>
      <c r="F564" s="40">
        <v>4.3570000000000002</v>
      </c>
      <c r="G564" s="40">
        <v>0.01</v>
      </c>
    </row>
    <row r="565" spans="1:14">
      <c r="A565" s="7">
        <v>17</v>
      </c>
      <c r="B565" s="87">
        <v>42125</v>
      </c>
      <c r="C565" s="20">
        <v>2015</v>
      </c>
      <c r="D565" s="10" t="s">
        <v>29</v>
      </c>
      <c r="E565" s="11">
        <v>5</v>
      </c>
      <c r="F565" s="40">
        <v>4.9690000000000003</v>
      </c>
      <c r="G565" s="40">
        <v>1.0999999999999999E-2</v>
      </c>
    </row>
    <row r="566" spans="1:14">
      <c r="A566" s="7">
        <v>18</v>
      </c>
      <c r="B566" s="87">
        <v>42125</v>
      </c>
      <c r="C566" s="20">
        <v>2015</v>
      </c>
      <c r="D566" s="10" t="s">
        <v>29</v>
      </c>
      <c r="E566" s="11">
        <v>5</v>
      </c>
      <c r="F566" s="40">
        <v>3.4609999999999999</v>
      </c>
      <c r="G566" s="40">
        <v>6.0000000000000001E-3</v>
      </c>
      <c r="I566" s="50">
        <f>AVERAGE(F564:F566)</f>
        <v>4.2623333333333333</v>
      </c>
      <c r="J566" s="50">
        <f>AVERAGE(G564:G566)</f>
        <v>8.9999999999999993E-3</v>
      </c>
      <c r="L566">
        <f>+J566/I566</f>
        <v>2.1115195120043795E-3</v>
      </c>
      <c r="M566">
        <f>+(L566-$L$913)/$L$914</f>
        <v>-0.31243591455774561</v>
      </c>
      <c r="N566">
        <f>+N563+M566</f>
        <v>-7.3787541056303363</v>
      </c>
    </row>
    <row r="567" spans="1:14">
      <c r="A567" s="7">
        <v>1</v>
      </c>
      <c r="B567" s="87">
        <v>42156</v>
      </c>
      <c r="C567" s="20">
        <v>2015</v>
      </c>
      <c r="D567" s="10" t="s">
        <v>30</v>
      </c>
      <c r="E567" s="11">
        <v>6</v>
      </c>
      <c r="F567" s="40">
        <v>5.9630000000000001</v>
      </c>
      <c r="G567" s="40">
        <v>1.9E-2</v>
      </c>
    </row>
    <row r="568" spans="1:14">
      <c r="A568" s="7">
        <v>17</v>
      </c>
      <c r="B568" s="87">
        <v>42156</v>
      </c>
      <c r="C568" s="20">
        <v>2015</v>
      </c>
      <c r="D568" s="10" t="s">
        <v>30</v>
      </c>
      <c r="E568" s="11">
        <v>6</v>
      </c>
      <c r="F568" s="40">
        <v>5.1790000000000003</v>
      </c>
      <c r="G568" s="40">
        <v>2.7E-2</v>
      </c>
    </row>
    <row r="569" spans="1:14">
      <c r="A569" s="7">
        <v>18</v>
      </c>
      <c r="B569" s="87">
        <v>42156</v>
      </c>
      <c r="C569" s="20">
        <v>2015</v>
      </c>
      <c r="D569" s="10" t="s">
        <v>30</v>
      </c>
      <c r="E569" s="11">
        <v>6</v>
      </c>
      <c r="F569" s="40">
        <v>6.415</v>
      </c>
      <c r="G569" s="40">
        <v>8.0000000000000002E-3</v>
      </c>
      <c r="I569" s="50">
        <f>AVERAGE(F567:F569)</f>
        <v>5.8523333333333332</v>
      </c>
      <c r="J569" s="50">
        <f>AVERAGE(G567:G569)</f>
        <v>1.7999999999999999E-2</v>
      </c>
      <c r="L569">
        <f>+J569/I569</f>
        <v>3.0756963034687017E-3</v>
      </c>
      <c r="M569">
        <f>+(L569-$L$913)/$L$914</f>
        <v>-0.25220155629021529</v>
      </c>
      <c r="N569">
        <f>+N566+M569</f>
        <v>-7.6309556619205514</v>
      </c>
    </row>
    <row r="570" spans="1:14">
      <c r="A570" s="7">
        <v>1</v>
      </c>
      <c r="B570" s="87">
        <v>42186</v>
      </c>
      <c r="C570" s="20">
        <v>2015</v>
      </c>
      <c r="D570" s="10" t="s">
        <v>31</v>
      </c>
      <c r="E570" s="11">
        <v>7</v>
      </c>
      <c r="F570" s="40">
        <v>5.8680000000000003</v>
      </c>
      <c r="G570" s="40">
        <v>2.4E-2</v>
      </c>
    </row>
    <row r="571" spans="1:14">
      <c r="A571" s="7">
        <v>17</v>
      </c>
      <c r="B571" s="87">
        <v>42186</v>
      </c>
      <c r="C571" s="20">
        <v>2015</v>
      </c>
      <c r="D571" s="10" t="s">
        <v>31</v>
      </c>
      <c r="E571" s="11">
        <v>7</v>
      </c>
      <c r="F571" s="40">
        <v>4.6139999999999999</v>
      </c>
      <c r="G571" s="40">
        <v>2.5999999999999999E-2</v>
      </c>
    </row>
    <row r="572" spans="1:14">
      <c r="A572" s="7">
        <v>18</v>
      </c>
      <c r="B572" s="87">
        <v>42186</v>
      </c>
      <c r="C572" s="20">
        <v>2015</v>
      </c>
      <c r="D572" s="10" t="s">
        <v>31</v>
      </c>
      <c r="E572" s="11">
        <v>7</v>
      </c>
      <c r="F572" s="40">
        <v>5.9109999999999996</v>
      </c>
      <c r="G572" s="40">
        <v>2.7E-2</v>
      </c>
      <c r="I572" s="50">
        <f>AVERAGE(F570:F572)</f>
        <v>5.4643333333333333</v>
      </c>
      <c r="J572" s="50">
        <f>AVERAGE(G570:G572)</f>
        <v>2.5666666666666667E-2</v>
      </c>
      <c r="L572">
        <f>+J572/I572</f>
        <v>4.6971268224242054E-3</v>
      </c>
      <c r="M572">
        <f>+(L572-$L$913)/$L$914</f>
        <v>-0.15090703473639772</v>
      </c>
      <c r="N572">
        <f>+N569+M572</f>
        <v>-7.7818626966569493</v>
      </c>
    </row>
    <row r="573" spans="1:14">
      <c r="A573" s="7">
        <v>1</v>
      </c>
      <c r="B573" s="87">
        <v>42217</v>
      </c>
      <c r="C573" s="20">
        <v>2015</v>
      </c>
      <c r="D573" s="10" t="s">
        <v>32</v>
      </c>
      <c r="E573" s="11">
        <v>8</v>
      </c>
      <c r="F573" s="40">
        <v>5.3529999999999998</v>
      </c>
      <c r="G573" s="40">
        <v>2.8000000000000001E-2</v>
      </c>
    </row>
    <row r="574" spans="1:14">
      <c r="A574" s="7">
        <v>17</v>
      </c>
      <c r="B574" s="87">
        <v>42217</v>
      </c>
      <c r="C574" s="20">
        <v>2015</v>
      </c>
      <c r="D574" s="10" t="s">
        <v>32</v>
      </c>
      <c r="E574" s="11">
        <v>8</v>
      </c>
      <c r="F574" s="40">
        <v>10.667999999999999</v>
      </c>
      <c r="G574" s="40">
        <v>4.9000000000000002E-2</v>
      </c>
    </row>
    <row r="575" spans="1:14">
      <c r="A575" s="7">
        <v>18</v>
      </c>
      <c r="B575" s="87">
        <v>42217</v>
      </c>
      <c r="C575" s="20">
        <v>2015</v>
      </c>
      <c r="D575" s="10" t="s">
        <v>32</v>
      </c>
      <c r="E575" s="11">
        <v>8</v>
      </c>
      <c r="F575" s="40">
        <v>3.5880000000000001</v>
      </c>
      <c r="G575" s="40">
        <v>3.5999999999999997E-2</v>
      </c>
      <c r="I575" s="50">
        <f>AVERAGE(F573:F575)</f>
        <v>6.5363333333333342</v>
      </c>
      <c r="J575" s="50">
        <f>AVERAGE(G573:G575)</f>
        <v>3.7666666666666661E-2</v>
      </c>
      <c r="L575">
        <f>+J575/I575</f>
        <v>5.7626600030598182E-3</v>
      </c>
      <c r="M575">
        <f>+(L575-$L$913)/$L$914</f>
        <v>-8.4340707983321578E-2</v>
      </c>
      <c r="N575">
        <f>+N572+M575</f>
        <v>-7.8662034046402711</v>
      </c>
    </row>
    <row r="576" spans="1:14">
      <c r="A576" s="7">
        <v>1</v>
      </c>
      <c r="B576" s="87">
        <v>42248</v>
      </c>
      <c r="C576" s="20">
        <v>2015</v>
      </c>
      <c r="D576" s="10" t="s">
        <v>38</v>
      </c>
      <c r="E576" s="11">
        <v>9</v>
      </c>
      <c r="F576" s="40">
        <v>8.4789999999999992</v>
      </c>
      <c r="G576" s="40">
        <v>0.34499999999999997</v>
      </c>
    </row>
    <row r="577" spans="1:14">
      <c r="A577" s="7">
        <v>17</v>
      </c>
      <c r="B577" s="87">
        <v>42248</v>
      </c>
      <c r="C577" s="20">
        <v>2015</v>
      </c>
      <c r="D577" s="10" t="s">
        <v>38</v>
      </c>
      <c r="E577" s="11">
        <v>9</v>
      </c>
      <c r="F577" s="40">
        <v>9.7989999999999995</v>
      </c>
      <c r="G577" s="40">
        <v>0.67200000000000004</v>
      </c>
    </row>
    <row r="578" spans="1:14">
      <c r="A578" s="7">
        <v>18</v>
      </c>
      <c r="B578" s="87">
        <v>42248</v>
      </c>
      <c r="C578" s="20">
        <v>2015</v>
      </c>
      <c r="D578" s="10" t="s">
        <v>38</v>
      </c>
      <c r="E578" s="11">
        <v>9</v>
      </c>
      <c r="F578" s="40">
        <v>4.3929999999999998</v>
      </c>
      <c r="G578" s="40">
        <v>4.2999999999999997E-2</v>
      </c>
      <c r="I578" s="50">
        <f>AVERAGE(F576:F578)</f>
        <v>7.5569999999999995</v>
      </c>
      <c r="J578" s="50">
        <f>AVERAGE(G576:G578)</f>
        <v>0.35333333333333328</v>
      </c>
      <c r="L578">
        <f>+J578/I578</f>
        <v>4.6755767279784741E-2</v>
      </c>
      <c r="M578">
        <f>+(L578-$L$913)/$L$914</f>
        <v>2.4765936891779301</v>
      </c>
      <c r="N578">
        <f>+N575+M578</f>
        <v>-5.389609715462341</v>
      </c>
    </row>
    <row r="579" spans="1:14">
      <c r="A579" s="7">
        <v>1</v>
      </c>
      <c r="B579" s="87">
        <v>42278</v>
      </c>
      <c r="C579" s="20">
        <v>2015</v>
      </c>
      <c r="D579" s="10" t="s">
        <v>34</v>
      </c>
      <c r="E579" s="11">
        <v>10</v>
      </c>
      <c r="F579" s="40">
        <v>3.4430000000000001</v>
      </c>
      <c r="G579" s="40">
        <v>1.4999999999999999E-2</v>
      </c>
    </row>
    <row r="580" spans="1:14">
      <c r="A580" s="7">
        <v>17</v>
      </c>
      <c r="B580" s="87">
        <v>42278</v>
      </c>
      <c r="C580" s="20">
        <v>2015</v>
      </c>
      <c r="D580" s="10" t="s">
        <v>34</v>
      </c>
      <c r="E580" s="11">
        <v>10</v>
      </c>
      <c r="F580" s="40">
        <v>6.5339999999999998</v>
      </c>
      <c r="G580" s="40">
        <v>2.5000000000000001E-2</v>
      </c>
    </row>
    <row r="581" spans="1:14">
      <c r="A581" s="7">
        <v>18</v>
      </c>
      <c r="B581" s="87">
        <v>42278</v>
      </c>
      <c r="C581" s="20">
        <v>2015</v>
      </c>
      <c r="D581" s="10" t="s">
        <v>34</v>
      </c>
      <c r="E581" s="11">
        <v>10</v>
      </c>
      <c r="F581" s="40">
        <v>6.9669999999999996</v>
      </c>
      <c r="G581" s="40">
        <v>2.8000000000000001E-2</v>
      </c>
      <c r="I581" s="50">
        <f>AVERAGE(F579:F581)</f>
        <v>5.6479999999999997</v>
      </c>
      <c r="J581" s="50">
        <f>AVERAGE(G579:G581)</f>
        <v>2.2666666666666668E-2</v>
      </c>
      <c r="L581">
        <f>+J581/I581</f>
        <v>4.0132200188857416E-3</v>
      </c>
      <c r="M581">
        <f>+(L581-$L$913)/$L$914</f>
        <v>-0.19363227744149725</v>
      </c>
      <c r="N581">
        <f>+N578+M581</f>
        <v>-5.5832419929038384</v>
      </c>
    </row>
    <row r="582" spans="1:14">
      <c r="A582" s="7">
        <v>1</v>
      </c>
      <c r="B582" s="87">
        <v>42309</v>
      </c>
      <c r="C582" s="20">
        <v>2015</v>
      </c>
      <c r="D582" s="10" t="s">
        <v>35</v>
      </c>
      <c r="E582" s="11">
        <v>11</v>
      </c>
      <c r="F582" s="40">
        <v>2.74</v>
      </c>
      <c r="G582" s="40">
        <v>0.01</v>
      </c>
    </row>
    <row r="583" spans="1:14">
      <c r="A583" s="7">
        <v>17</v>
      </c>
      <c r="B583" s="87">
        <v>42309</v>
      </c>
      <c r="C583" s="20">
        <v>2015</v>
      </c>
      <c r="D583" s="10" t="s">
        <v>35</v>
      </c>
      <c r="E583" s="11">
        <v>11</v>
      </c>
      <c r="F583" s="40">
        <v>3.3090000000000002</v>
      </c>
      <c r="G583" s="40">
        <v>3.2000000000000001E-2</v>
      </c>
    </row>
    <row r="584" spans="1:14">
      <c r="A584" s="7">
        <v>18</v>
      </c>
      <c r="B584" s="87">
        <v>42309</v>
      </c>
      <c r="C584" s="20">
        <v>2015</v>
      </c>
      <c r="D584" s="10" t="s">
        <v>35</v>
      </c>
      <c r="E584" s="11">
        <v>11</v>
      </c>
      <c r="F584" s="40">
        <v>2.7410000000000001</v>
      </c>
      <c r="G584" s="40">
        <v>1.9E-2</v>
      </c>
      <c r="I584" s="50">
        <f>AVERAGE(F582:F584)</f>
        <v>2.93</v>
      </c>
      <c r="J584" s="50">
        <f>AVERAGE(G582:G584)</f>
        <v>2.0333333333333332E-2</v>
      </c>
      <c r="L584">
        <f>+J584/I584</f>
        <v>6.9397042093287814E-3</v>
      </c>
      <c r="M584">
        <f>+(L584-$L$913)/$L$914</f>
        <v>-1.080802907549382E-2</v>
      </c>
      <c r="N584">
        <f>+N581+M584</f>
        <v>-5.5940500219793323</v>
      </c>
    </row>
    <row r="585" spans="1:14">
      <c r="A585" s="7">
        <v>1</v>
      </c>
      <c r="B585" s="88">
        <v>42339</v>
      </c>
      <c r="C585" s="20">
        <v>2015</v>
      </c>
      <c r="D585" s="10" t="s">
        <v>36</v>
      </c>
      <c r="E585" s="11">
        <v>12</v>
      </c>
      <c r="F585" s="40">
        <v>2.1520000000000001</v>
      </c>
      <c r="G585" s="40">
        <v>8.9999999999999993E-3</v>
      </c>
    </row>
    <row r="586" spans="1:14">
      <c r="A586" s="7">
        <v>17</v>
      </c>
      <c r="B586" s="87">
        <v>42339</v>
      </c>
      <c r="C586" s="20">
        <v>2015</v>
      </c>
      <c r="D586" s="10" t="s">
        <v>36</v>
      </c>
      <c r="E586" s="11">
        <v>12</v>
      </c>
      <c r="F586" s="40">
        <v>2.6379999999999999</v>
      </c>
      <c r="G586" s="40">
        <v>3.1E-2</v>
      </c>
    </row>
    <row r="587" spans="1:14">
      <c r="A587" s="7">
        <v>18</v>
      </c>
      <c r="B587" s="87">
        <v>42339</v>
      </c>
      <c r="C587" s="20">
        <v>2015</v>
      </c>
      <c r="D587" s="10" t="s">
        <v>36</v>
      </c>
      <c r="E587" s="11">
        <v>12</v>
      </c>
      <c r="F587" s="40">
        <v>2.2519999999999998</v>
      </c>
      <c r="G587" s="40">
        <v>2.5000000000000001E-2</v>
      </c>
      <c r="I587" s="50">
        <f>AVERAGE(F585:F587)</f>
        <v>2.3473333333333333</v>
      </c>
      <c r="J587" s="50">
        <f>AVERAGE(G585:G587)</f>
        <v>2.1666666666666667E-2</v>
      </c>
      <c r="L587">
        <f>+J587/I587</f>
        <v>9.2303322919625105E-3</v>
      </c>
      <c r="M587">
        <f>+(L587-$L$913)/$L$914</f>
        <v>0.13229281488641112</v>
      </c>
      <c r="N587">
        <f>+N584+M587</f>
        <v>-5.461757207092921</v>
      </c>
    </row>
    <row r="588" spans="1:14">
      <c r="A588" s="7">
        <v>1</v>
      </c>
      <c r="B588" s="86">
        <v>42379</v>
      </c>
      <c r="C588" s="43">
        <v>2016</v>
      </c>
      <c r="D588" s="45" t="s">
        <v>37</v>
      </c>
      <c r="E588" s="9">
        <v>1</v>
      </c>
      <c r="F588" s="111">
        <v>3.944</v>
      </c>
      <c r="G588" s="111">
        <v>1.9E-2</v>
      </c>
    </row>
    <row r="589" spans="1:14">
      <c r="A589" s="7">
        <v>17</v>
      </c>
      <c r="B589" s="86">
        <v>42374</v>
      </c>
      <c r="C589" s="20">
        <v>2016</v>
      </c>
      <c r="D589" s="10" t="s">
        <v>37</v>
      </c>
      <c r="E589" s="9">
        <v>1</v>
      </c>
      <c r="F589" s="112">
        <v>19.608000000000001</v>
      </c>
      <c r="G589" s="112">
        <v>8.7999999999999995E-2</v>
      </c>
    </row>
    <row r="590" spans="1:14">
      <c r="A590" s="7">
        <v>18</v>
      </c>
      <c r="B590" s="86">
        <v>42374</v>
      </c>
      <c r="C590" s="20">
        <v>2016</v>
      </c>
      <c r="D590" s="10" t="s">
        <v>37</v>
      </c>
      <c r="E590" s="9">
        <v>1</v>
      </c>
      <c r="F590" s="112">
        <v>3.2839999999999998</v>
      </c>
      <c r="G590" s="112">
        <v>2.7E-2</v>
      </c>
      <c r="I590" s="50">
        <f>AVERAGE(F588:F590)</f>
        <v>8.9453333333333322</v>
      </c>
      <c r="J590" s="50">
        <f>AVERAGE(G588:G590)</f>
        <v>4.4666666666666667E-2</v>
      </c>
      <c r="L590">
        <f>+J590/I590</f>
        <v>4.9932925920405432E-3</v>
      </c>
      <c r="M590">
        <f>+(L590-$L$913)/$L$914</f>
        <v>-0.13240487285947034</v>
      </c>
      <c r="N590">
        <f>+N587+M590</f>
        <v>-5.5941620799523912</v>
      </c>
    </row>
    <row r="591" spans="1:14">
      <c r="A591" s="7">
        <v>1</v>
      </c>
      <c r="B591" s="87">
        <v>42401</v>
      </c>
      <c r="C591" s="20">
        <v>2016</v>
      </c>
      <c r="D591" s="10" t="s">
        <v>26</v>
      </c>
      <c r="E591" s="11">
        <v>2</v>
      </c>
      <c r="F591" s="112">
        <v>3.3879999999999999</v>
      </c>
      <c r="G591" s="112">
        <v>2.8000000000000001E-2</v>
      </c>
    </row>
    <row r="592" spans="1:14">
      <c r="A592" s="7">
        <v>17</v>
      </c>
      <c r="B592" s="87">
        <v>42401</v>
      </c>
      <c r="C592" s="20">
        <v>2016</v>
      </c>
      <c r="D592" s="10" t="s">
        <v>26</v>
      </c>
      <c r="E592" s="11">
        <v>2</v>
      </c>
      <c r="F592" s="112">
        <v>4.3040000000000003</v>
      </c>
      <c r="G592" s="112">
        <v>2.1999999999999999E-2</v>
      </c>
    </row>
    <row r="593" spans="1:14">
      <c r="A593" s="7">
        <v>18</v>
      </c>
      <c r="B593" s="87">
        <v>42401</v>
      </c>
      <c r="C593" s="20">
        <v>2016</v>
      </c>
      <c r="D593" s="10" t="s">
        <v>26</v>
      </c>
      <c r="E593" s="11">
        <v>2</v>
      </c>
      <c r="F593" s="112">
        <v>3.4849999999999999</v>
      </c>
      <c r="G593" s="112">
        <v>1.0999999999999999E-2</v>
      </c>
      <c r="I593" s="50">
        <f>AVERAGE(F591:F593)</f>
        <v>3.7256666666666667</v>
      </c>
      <c r="J593" s="50">
        <f>AVERAGE(G591:G593)</f>
        <v>2.0333333333333332E-2</v>
      </c>
      <c r="L593">
        <f>+J593/I593</f>
        <v>5.4576362172318151E-3</v>
      </c>
      <c r="M593">
        <f>+(L593-$L$913)/$L$914</f>
        <v>-0.10339625065799946</v>
      </c>
      <c r="N593">
        <f>+N590+M593</f>
        <v>-5.6975583306103905</v>
      </c>
    </row>
    <row r="594" spans="1:14">
      <c r="A594" s="7">
        <v>1</v>
      </c>
      <c r="B594" s="87">
        <v>42430</v>
      </c>
      <c r="C594" s="20">
        <v>2016</v>
      </c>
      <c r="D594" s="10" t="s">
        <v>27</v>
      </c>
      <c r="E594" s="11">
        <v>3</v>
      </c>
      <c r="F594" s="112">
        <v>7.0460000000000003</v>
      </c>
      <c r="G594" s="112">
        <v>1.7000000000000001E-2</v>
      </c>
    </row>
    <row r="595" spans="1:14">
      <c r="A595" s="7">
        <v>17</v>
      </c>
      <c r="B595" s="87">
        <v>42430</v>
      </c>
      <c r="C595" s="20">
        <v>2016</v>
      </c>
      <c r="D595" s="10" t="s">
        <v>27</v>
      </c>
      <c r="E595" s="11">
        <v>3</v>
      </c>
      <c r="F595" s="112">
        <v>8.2720000000000002</v>
      </c>
      <c r="G595" s="112">
        <v>2.5000000000000001E-2</v>
      </c>
    </row>
    <row r="596" spans="1:14">
      <c r="A596" s="7">
        <v>18</v>
      </c>
      <c r="B596" s="87">
        <v>42430</v>
      </c>
      <c r="C596" s="20">
        <v>2016</v>
      </c>
      <c r="D596" s="10" t="s">
        <v>27</v>
      </c>
      <c r="E596" s="11">
        <v>3</v>
      </c>
      <c r="F596" s="112">
        <v>6.73</v>
      </c>
      <c r="G596" s="112">
        <v>1.7999999999999999E-2</v>
      </c>
      <c r="I596" s="50">
        <f>AVERAGE(F594:F596)</f>
        <v>7.3493333333333339</v>
      </c>
      <c r="J596" s="50">
        <f>AVERAGE(G594:G596)</f>
        <v>0.02</v>
      </c>
      <c r="L596">
        <f>+J596/I596</f>
        <v>2.7213352685050798E-3</v>
      </c>
      <c r="M596">
        <f>+(L596-$L$913)/$L$914</f>
        <v>-0.27433931123828326</v>
      </c>
      <c r="N596">
        <f>+N593+M596</f>
        <v>-5.971897641848674</v>
      </c>
    </row>
    <row r="597" spans="1:14">
      <c r="A597" s="7">
        <v>1</v>
      </c>
      <c r="B597" s="87">
        <v>42461</v>
      </c>
      <c r="C597" s="20">
        <v>2016</v>
      </c>
      <c r="D597" s="10" t="s">
        <v>28</v>
      </c>
      <c r="E597" s="11">
        <v>4</v>
      </c>
      <c r="F597" s="112">
        <v>4.5570000000000004</v>
      </c>
      <c r="G597" s="112">
        <v>8.9999999999999993E-3</v>
      </c>
    </row>
    <row r="598" spans="1:14">
      <c r="A598" s="7">
        <v>17</v>
      </c>
      <c r="B598" s="87">
        <v>42461</v>
      </c>
      <c r="C598" s="20">
        <v>2016</v>
      </c>
      <c r="D598" s="10" t="s">
        <v>28</v>
      </c>
      <c r="E598" s="11">
        <v>4</v>
      </c>
      <c r="F598" s="112">
        <v>2.92</v>
      </c>
      <c r="G598" s="112">
        <v>8.0000000000000002E-3</v>
      </c>
    </row>
    <row r="599" spans="1:14">
      <c r="A599" s="7">
        <v>18</v>
      </c>
      <c r="B599" s="87">
        <v>42461</v>
      </c>
      <c r="C599" s="20">
        <v>2016</v>
      </c>
      <c r="D599" s="10" t="s">
        <v>28</v>
      </c>
      <c r="E599" s="11">
        <v>4</v>
      </c>
      <c r="F599" s="112">
        <v>2.4020000000000001</v>
      </c>
      <c r="G599" s="112">
        <v>9.9989999999999996E-4</v>
      </c>
      <c r="I599" s="50">
        <f>AVERAGE(F597:F599)</f>
        <v>3.2930000000000006</v>
      </c>
      <c r="J599" s="50">
        <f>AVERAGE(G597:G599)</f>
        <v>5.9999666666666679E-3</v>
      </c>
      <c r="L599">
        <f>+J599/I599</f>
        <v>1.8220366433849581E-3</v>
      </c>
      <c r="M599">
        <f>+(L599-$L$913)/$L$914</f>
        <v>-0.33052058012437147</v>
      </c>
      <c r="N599">
        <f>+N596+M599</f>
        <v>-6.3024182219730456</v>
      </c>
    </row>
    <row r="600" spans="1:14">
      <c r="A600" s="7">
        <v>1</v>
      </c>
      <c r="B600" s="87">
        <v>42491</v>
      </c>
      <c r="C600" s="20">
        <v>2016</v>
      </c>
      <c r="D600" s="10" t="s">
        <v>29</v>
      </c>
      <c r="E600" s="11">
        <v>5</v>
      </c>
      <c r="F600" s="112">
        <v>4.8899999999999997</v>
      </c>
      <c r="G600" s="112">
        <v>0.17</v>
      </c>
    </row>
    <row r="601" spans="1:14">
      <c r="A601" s="7">
        <v>17</v>
      </c>
      <c r="B601" s="87">
        <v>42491</v>
      </c>
      <c r="C601" s="20">
        <v>2016</v>
      </c>
      <c r="D601" s="10" t="s">
        <v>29</v>
      </c>
      <c r="E601" s="11">
        <v>5</v>
      </c>
      <c r="F601" s="112">
        <v>7.2969999999999997</v>
      </c>
      <c r="G601" s="112">
        <v>0.33300000000000002</v>
      </c>
    </row>
    <row r="602" spans="1:14">
      <c r="A602" s="7">
        <v>18</v>
      </c>
      <c r="B602" s="87">
        <v>42491</v>
      </c>
      <c r="C602" s="20">
        <v>2016</v>
      </c>
      <c r="D602" s="10" t="s">
        <v>29</v>
      </c>
      <c r="E602" s="11">
        <v>5</v>
      </c>
      <c r="F602" s="112">
        <v>6.008</v>
      </c>
      <c r="G602" s="112">
        <v>0.42</v>
      </c>
      <c r="I602" s="50">
        <f>AVERAGE(F600:F602)</f>
        <v>6.0650000000000004</v>
      </c>
      <c r="J602" s="50">
        <f>AVERAGE(G600:G602)</f>
        <v>0.3076666666666667</v>
      </c>
      <c r="L602">
        <f>+J602/I602</f>
        <v>5.0728222039021713E-2</v>
      </c>
      <c r="M602">
        <f>+(L602-$L$913)/$L$914</f>
        <v>2.7247621426065143</v>
      </c>
      <c r="N602">
        <f>+N599+M602</f>
        <v>-3.5776560793665313</v>
      </c>
    </row>
    <row r="603" spans="1:14">
      <c r="A603" s="7">
        <v>1</v>
      </c>
      <c r="B603" s="87">
        <v>42522</v>
      </c>
      <c r="C603" s="20">
        <v>2016</v>
      </c>
      <c r="D603" s="10" t="s">
        <v>30</v>
      </c>
      <c r="E603" s="11">
        <v>6</v>
      </c>
      <c r="F603" s="112">
        <v>4.22</v>
      </c>
      <c r="G603" s="112">
        <v>8.8999999999999996E-2</v>
      </c>
    </row>
    <row r="604" spans="1:14">
      <c r="A604" s="7">
        <v>17</v>
      </c>
      <c r="B604" s="87">
        <v>42522</v>
      </c>
      <c r="C604" s="20">
        <v>2016</v>
      </c>
      <c r="D604" s="10" t="s">
        <v>30</v>
      </c>
      <c r="E604" s="11">
        <v>6</v>
      </c>
      <c r="F604" s="112">
        <v>4.8220000000000001</v>
      </c>
      <c r="G604" s="112">
        <v>0.02</v>
      </c>
    </row>
    <row r="605" spans="1:14">
      <c r="A605" s="7">
        <v>18</v>
      </c>
      <c r="B605" s="87">
        <v>42522</v>
      </c>
      <c r="C605" s="20">
        <v>2016</v>
      </c>
      <c r="D605" s="10" t="s">
        <v>30</v>
      </c>
      <c r="E605" s="11">
        <v>6</v>
      </c>
      <c r="F605" s="112">
        <v>11.074999999999999</v>
      </c>
      <c r="G605" s="112">
        <v>0.79900000000000004</v>
      </c>
      <c r="I605" s="50">
        <f>AVERAGE(F603:F605)</f>
        <v>6.7056666666666658</v>
      </c>
      <c r="J605" s="50">
        <f>AVERAGE(G603:G605)</f>
        <v>0.30266666666666669</v>
      </c>
      <c r="L605">
        <f>+J605/I605</f>
        <v>4.513595466520854E-2</v>
      </c>
      <c r="M605">
        <f>+(L605-$L$913)/$L$914</f>
        <v>2.3754002418595515</v>
      </c>
      <c r="N605">
        <f>+N602+M605</f>
        <v>-1.2022558375069798</v>
      </c>
    </row>
    <row r="606" spans="1:14">
      <c r="A606" s="7">
        <v>1</v>
      </c>
      <c r="B606" s="87">
        <v>42552</v>
      </c>
      <c r="C606" s="20">
        <v>2016</v>
      </c>
      <c r="D606" s="10" t="s">
        <v>31</v>
      </c>
      <c r="E606" s="11">
        <v>7</v>
      </c>
      <c r="F606" s="112">
        <v>4.2089999999999996</v>
      </c>
      <c r="G606" s="112">
        <v>2.3E-2</v>
      </c>
    </row>
    <row r="607" spans="1:14">
      <c r="A607" s="7">
        <v>17</v>
      </c>
      <c r="B607" s="87">
        <v>42552</v>
      </c>
      <c r="C607" s="20">
        <v>2016</v>
      </c>
      <c r="D607" s="10" t="s">
        <v>31</v>
      </c>
      <c r="E607" s="11">
        <v>7</v>
      </c>
      <c r="F607" s="112">
        <v>2.5550000000000002</v>
      </c>
      <c r="G607" s="112">
        <v>3.6999999999999998E-2</v>
      </c>
    </row>
    <row r="608" spans="1:14">
      <c r="A608" s="7">
        <v>18</v>
      </c>
      <c r="B608" s="87">
        <v>42552</v>
      </c>
      <c r="C608" s="20">
        <v>2016</v>
      </c>
      <c r="D608" s="10" t="s">
        <v>31</v>
      </c>
      <c r="E608" s="11">
        <v>7</v>
      </c>
      <c r="F608" s="112">
        <v>6.3220000000000001</v>
      </c>
      <c r="G608" s="112">
        <v>4.1000000000000002E-2</v>
      </c>
      <c r="I608" s="50">
        <f>AVERAGE(F606:F608)</f>
        <v>4.3619999999999992</v>
      </c>
      <c r="J608" s="50">
        <f>AVERAGE(G606:G608)</f>
        <v>3.3666666666666671E-2</v>
      </c>
      <c r="L608">
        <f>+J608/I608</f>
        <v>7.718172092312397E-3</v>
      </c>
      <c r="M608">
        <f>+(L608-$L$913)/$L$914</f>
        <v>3.7824663371071973E-2</v>
      </c>
      <c r="N608">
        <f>+N605+M608</f>
        <v>-1.1644311741359079</v>
      </c>
    </row>
    <row r="609" spans="1:14">
      <c r="A609" s="7">
        <v>1</v>
      </c>
      <c r="B609" s="87">
        <v>42583</v>
      </c>
      <c r="C609" s="20">
        <v>2016</v>
      </c>
      <c r="D609" s="10" t="s">
        <v>32</v>
      </c>
      <c r="E609" s="11">
        <v>8</v>
      </c>
      <c r="F609" s="112">
        <v>5.8470000000000004</v>
      </c>
      <c r="G609" s="112">
        <v>0.155</v>
      </c>
    </row>
    <row r="610" spans="1:14">
      <c r="A610" s="7">
        <v>17</v>
      </c>
      <c r="B610" s="87">
        <v>42583</v>
      </c>
      <c r="C610" s="20">
        <v>2016</v>
      </c>
      <c r="D610" s="10" t="s">
        <v>32</v>
      </c>
      <c r="E610" s="11">
        <v>8</v>
      </c>
      <c r="F610" s="112">
        <v>4.2389999999999999</v>
      </c>
      <c r="G610" s="112">
        <v>0.16600000000000001</v>
      </c>
    </row>
    <row r="611" spans="1:14">
      <c r="A611" s="7">
        <v>18</v>
      </c>
      <c r="B611" s="87">
        <v>42583</v>
      </c>
      <c r="C611" s="20">
        <v>2016</v>
      </c>
      <c r="D611" s="10" t="s">
        <v>32</v>
      </c>
      <c r="E611" s="11">
        <v>8</v>
      </c>
      <c r="F611" s="112">
        <v>5.7009999999999996</v>
      </c>
      <c r="G611" s="112">
        <v>8.4000000000000005E-2</v>
      </c>
      <c r="I611" s="50">
        <f>AVERAGE(F609:F611)</f>
        <v>5.2623333333333333</v>
      </c>
      <c r="J611" s="50">
        <f>AVERAGE(G609:G611)</f>
        <v>0.13500000000000001</v>
      </c>
      <c r="L611">
        <f>+J611/I611</f>
        <v>2.5654019129663648E-2</v>
      </c>
      <c r="M611">
        <f>+(L611-$L$913)/$L$914</f>
        <v>1.1583185871448165</v>
      </c>
      <c r="N611">
        <f>+N608+M611</f>
        <v>-6.1125869910914066E-3</v>
      </c>
    </row>
    <row r="612" spans="1:14">
      <c r="A612" s="7">
        <v>1</v>
      </c>
      <c r="B612" s="87">
        <v>42614</v>
      </c>
      <c r="C612" s="20">
        <v>2016</v>
      </c>
      <c r="D612" s="10" t="s">
        <v>38</v>
      </c>
      <c r="E612" s="11">
        <v>9</v>
      </c>
      <c r="F612" s="112">
        <v>5.1619999999999999</v>
      </c>
      <c r="G612" s="112">
        <v>3.5000000000000003E-2</v>
      </c>
    </row>
    <row r="613" spans="1:14">
      <c r="A613" s="7">
        <v>17</v>
      </c>
      <c r="B613" s="87">
        <v>42614</v>
      </c>
      <c r="C613" s="20">
        <v>2016</v>
      </c>
      <c r="D613" s="10" t="s">
        <v>38</v>
      </c>
      <c r="E613" s="11">
        <v>9</v>
      </c>
      <c r="F613" s="112">
        <v>5.4169999999999998</v>
      </c>
      <c r="G613" s="112">
        <v>1.7999999999999999E-2</v>
      </c>
    </row>
    <row r="614" spans="1:14">
      <c r="A614" s="7">
        <v>18</v>
      </c>
      <c r="B614" s="87">
        <v>42614</v>
      </c>
      <c r="C614" s="20">
        <v>2016</v>
      </c>
      <c r="D614" s="10" t="s">
        <v>38</v>
      </c>
      <c r="E614" s="11">
        <v>9</v>
      </c>
      <c r="F614" s="112">
        <v>5.4269999999999996</v>
      </c>
      <c r="G614" s="112">
        <v>2.8000000000000001E-2</v>
      </c>
      <c r="I614" s="50">
        <f>AVERAGE(F612:F614)</f>
        <v>5.3353333333333337</v>
      </c>
      <c r="J614" s="50">
        <f>AVERAGE(G612:G614)</f>
        <v>2.7E-2</v>
      </c>
      <c r="L614">
        <f>+J614/I614</f>
        <v>5.0606022741471945E-3</v>
      </c>
      <c r="M614">
        <f>+(L614-$L$913)/$L$914</f>
        <v>-0.1281998810542557</v>
      </c>
      <c r="N614">
        <f>+N611+M614</f>
        <v>-0.13431246804534711</v>
      </c>
    </row>
    <row r="615" spans="1:14">
      <c r="A615" s="7">
        <v>1</v>
      </c>
      <c r="B615" s="87">
        <v>42644</v>
      </c>
      <c r="C615" s="20">
        <v>2016</v>
      </c>
      <c r="D615" s="10" t="s">
        <v>34</v>
      </c>
      <c r="E615" s="11">
        <v>10</v>
      </c>
      <c r="F615" s="112">
        <v>2.4830000000000001</v>
      </c>
      <c r="G615" s="112">
        <v>5.0000000000000001E-3</v>
      </c>
    </row>
    <row r="616" spans="1:14">
      <c r="A616" s="7">
        <v>17</v>
      </c>
      <c r="B616" s="87">
        <v>42644</v>
      </c>
      <c r="C616" s="20">
        <v>2016</v>
      </c>
      <c r="D616" s="10" t="s">
        <v>34</v>
      </c>
      <c r="E616" s="11">
        <v>10</v>
      </c>
      <c r="F616" s="112">
        <v>4.5149999999999997</v>
      </c>
      <c r="G616" s="112">
        <v>1.0999999999999999E-2</v>
      </c>
    </row>
    <row r="617" spans="1:14">
      <c r="A617" s="7">
        <v>18</v>
      </c>
      <c r="B617" s="87">
        <v>42644</v>
      </c>
      <c r="C617" s="20">
        <v>2016</v>
      </c>
      <c r="D617" s="10" t="s">
        <v>34</v>
      </c>
      <c r="E617" s="11">
        <v>10</v>
      </c>
      <c r="F617" s="112">
        <v>2.0049999999999999</v>
      </c>
      <c r="G617" s="112">
        <v>7.0000000000000001E-3</v>
      </c>
      <c r="I617" s="50">
        <f>AVERAGE(F615:F617)</f>
        <v>3.0009999999999999</v>
      </c>
      <c r="J617" s="50">
        <f>AVERAGE(G615:G617)</f>
        <v>7.6666666666666662E-3</v>
      </c>
      <c r="L617">
        <f>+J617/I617</f>
        <v>2.5547039875597022E-3</v>
      </c>
      <c r="M617">
        <f>+(L617-$L$913)/$L$914</f>
        <v>-0.2847491534621332</v>
      </c>
      <c r="N617">
        <f>+N614+M617</f>
        <v>-0.41906162150748028</v>
      </c>
    </row>
    <row r="618" spans="1:14">
      <c r="A618" s="7">
        <v>1</v>
      </c>
      <c r="B618" s="87">
        <v>42675</v>
      </c>
      <c r="C618" s="20">
        <v>2016</v>
      </c>
      <c r="D618" s="10" t="s">
        <v>35</v>
      </c>
      <c r="E618" s="11">
        <v>11</v>
      </c>
      <c r="F618" s="112">
        <v>2.766</v>
      </c>
      <c r="G618" s="112">
        <v>1.7999999999999999E-2</v>
      </c>
    </row>
    <row r="619" spans="1:14">
      <c r="A619" s="7">
        <v>17</v>
      </c>
      <c r="B619" s="87">
        <v>42675</v>
      </c>
      <c r="C619" s="20">
        <v>2016</v>
      </c>
      <c r="D619" s="10" t="s">
        <v>35</v>
      </c>
      <c r="E619" s="11">
        <v>11</v>
      </c>
      <c r="F619" s="112">
        <v>2.71</v>
      </c>
      <c r="G619" s="112">
        <v>1.2999999999999999E-2</v>
      </c>
    </row>
    <row r="620" spans="1:14">
      <c r="A620" s="7">
        <v>18</v>
      </c>
      <c r="B620" s="87">
        <v>42675</v>
      </c>
      <c r="C620" s="20">
        <v>2016</v>
      </c>
      <c r="D620" s="10" t="s">
        <v>35</v>
      </c>
      <c r="E620" s="11">
        <v>11</v>
      </c>
      <c r="F620" s="112">
        <v>3.286</v>
      </c>
      <c r="G620" s="112">
        <v>1.2999999999999999E-2</v>
      </c>
      <c r="I620" s="50">
        <f>AVERAGE(F618:F620)</f>
        <v>2.920666666666667</v>
      </c>
      <c r="J620" s="50">
        <f>AVERAGE(G618:G620)</f>
        <v>1.4666666666666666E-2</v>
      </c>
      <c r="L620">
        <f>+J620/I620</f>
        <v>5.021684546907098E-3</v>
      </c>
      <c r="M620">
        <f>+(L620-$L$913)/$L$914</f>
        <v>-0.13063116165164265</v>
      </c>
      <c r="N620">
        <f>+N617+M620</f>
        <v>-0.54969278315912296</v>
      </c>
    </row>
    <row r="621" spans="1:14">
      <c r="A621" s="7">
        <v>1</v>
      </c>
      <c r="B621" s="88">
        <v>42705</v>
      </c>
      <c r="C621" s="20">
        <v>2016</v>
      </c>
      <c r="D621" s="10" t="s">
        <v>36</v>
      </c>
      <c r="E621" s="11">
        <v>12</v>
      </c>
      <c r="F621" s="112">
        <v>4.58</v>
      </c>
      <c r="G621" s="112">
        <v>3.2000000000000001E-2</v>
      </c>
    </row>
    <row r="622" spans="1:14">
      <c r="A622" s="7">
        <v>17</v>
      </c>
      <c r="B622" s="87">
        <v>42705</v>
      </c>
      <c r="C622" s="20">
        <v>2016</v>
      </c>
      <c r="D622" s="10" t="s">
        <v>36</v>
      </c>
      <c r="E622" s="11">
        <v>12</v>
      </c>
      <c r="F622" s="112">
        <v>6.3419999999999996</v>
      </c>
      <c r="G622" s="112">
        <v>6.6000000000000003E-2</v>
      </c>
    </row>
    <row r="623" spans="1:14">
      <c r="A623" s="7">
        <v>18</v>
      </c>
      <c r="B623" s="87">
        <v>42705</v>
      </c>
      <c r="C623" s="20">
        <v>2016</v>
      </c>
      <c r="D623" s="10" t="s">
        <v>36</v>
      </c>
      <c r="E623" s="11">
        <v>12</v>
      </c>
      <c r="F623" s="112">
        <v>7.3029999999999999</v>
      </c>
      <c r="G623" s="112">
        <v>7.3999999999999996E-2</v>
      </c>
      <c r="I623" s="50">
        <f>AVERAGE(F621:F623)</f>
        <v>6.0750000000000002</v>
      </c>
      <c r="J623" s="50">
        <f>AVERAGE(G621:G623)</f>
        <v>5.7333333333333326E-2</v>
      </c>
      <c r="L623">
        <f>+J623/I623</f>
        <v>9.4375857338820281E-3</v>
      </c>
      <c r="M623">
        <f>+(L623-$L$913)/$L$914</f>
        <v>0.14524041763237594</v>
      </c>
      <c r="N623">
        <f>+N620+M623</f>
        <v>-0.40445236552674702</v>
      </c>
    </row>
    <row r="624" spans="1:14">
      <c r="A624" s="7">
        <v>1</v>
      </c>
      <c r="B624" s="86">
        <v>42745</v>
      </c>
      <c r="C624" s="43">
        <v>2017</v>
      </c>
      <c r="D624" s="45" t="s">
        <v>37</v>
      </c>
      <c r="E624" s="9">
        <v>1</v>
      </c>
    </row>
    <row r="625" spans="1:14">
      <c r="A625" s="7">
        <v>17</v>
      </c>
      <c r="B625" s="86">
        <v>42740</v>
      </c>
      <c r="C625" s="20">
        <v>2017</v>
      </c>
      <c r="D625" s="10" t="s">
        <v>37</v>
      </c>
      <c r="E625" s="9">
        <v>1</v>
      </c>
    </row>
    <row r="626" spans="1:14">
      <c r="A626" s="7">
        <v>18</v>
      </c>
      <c r="B626" s="86">
        <v>42740</v>
      </c>
      <c r="C626" s="20">
        <v>2017</v>
      </c>
      <c r="D626" s="10" t="s">
        <v>37</v>
      </c>
      <c r="E626" s="9">
        <v>1</v>
      </c>
    </row>
    <row r="627" spans="1:14">
      <c r="A627" s="7">
        <v>1</v>
      </c>
      <c r="B627" s="87">
        <v>42767</v>
      </c>
      <c r="C627" s="20">
        <v>2017</v>
      </c>
      <c r="D627" s="10" t="s">
        <v>26</v>
      </c>
      <c r="E627" s="11">
        <v>2</v>
      </c>
    </row>
    <row r="628" spans="1:14">
      <c r="A628" s="7">
        <v>17</v>
      </c>
      <c r="B628" s="87">
        <v>42767</v>
      </c>
      <c r="C628" s="20">
        <v>2017</v>
      </c>
      <c r="D628" s="10" t="s">
        <v>26</v>
      </c>
      <c r="E628" s="11">
        <v>2</v>
      </c>
    </row>
    <row r="629" spans="1:14">
      <c r="A629" s="7">
        <v>18</v>
      </c>
      <c r="B629" s="87">
        <v>42767</v>
      </c>
      <c r="C629" s="20">
        <v>2017</v>
      </c>
      <c r="D629" s="10" t="s">
        <v>26</v>
      </c>
      <c r="E629" s="11">
        <v>2</v>
      </c>
    </row>
    <row r="630" spans="1:14">
      <c r="A630" s="7">
        <v>1</v>
      </c>
      <c r="B630" s="87">
        <v>42795</v>
      </c>
      <c r="C630" s="20">
        <v>2017</v>
      </c>
      <c r="D630" s="10" t="s">
        <v>27</v>
      </c>
      <c r="E630" s="11">
        <v>3</v>
      </c>
      <c r="F630" s="111">
        <v>6.641</v>
      </c>
      <c r="G630" s="111">
        <v>5.2999999999999999E-2</v>
      </c>
    </row>
    <row r="631" spans="1:14">
      <c r="A631" s="7">
        <v>17</v>
      </c>
      <c r="B631" s="87">
        <v>42795</v>
      </c>
      <c r="C631" s="20">
        <v>2017</v>
      </c>
      <c r="D631" s="10" t="s">
        <v>27</v>
      </c>
      <c r="E631" s="11">
        <v>3</v>
      </c>
      <c r="F631" s="112">
        <v>17.422999999999998</v>
      </c>
      <c r="G631" s="112">
        <v>0.10199999999999999</v>
      </c>
    </row>
    <row r="632" spans="1:14">
      <c r="A632" s="7">
        <v>18</v>
      </c>
      <c r="B632" s="87">
        <v>42795</v>
      </c>
      <c r="C632" s="20">
        <v>2017</v>
      </c>
      <c r="D632" s="10" t="s">
        <v>27</v>
      </c>
      <c r="E632" s="11">
        <v>3</v>
      </c>
      <c r="F632" s="112">
        <v>11.77</v>
      </c>
      <c r="G632" s="112">
        <v>9.4E-2</v>
      </c>
      <c r="I632" s="50">
        <f>AVERAGE(F630:F632)</f>
        <v>11.944666666666668</v>
      </c>
      <c r="J632" s="50">
        <f>AVERAGE(G630:G632)</f>
        <v>8.3000000000000004E-2</v>
      </c>
      <c r="L632">
        <f>+J632/I632</f>
        <v>6.9487079310152364E-3</v>
      </c>
      <c r="M632">
        <f>+(L632-$L$913)/$L$914</f>
        <v>-1.0245545719117439E-2</v>
      </c>
      <c r="N632">
        <f>+N623+M632</f>
        <v>-0.41469791124586447</v>
      </c>
    </row>
    <row r="633" spans="1:14">
      <c r="A633" s="7">
        <v>1</v>
      </c>
      <c r="B633" s="87">
        <v>42826</v>
      </c>
      <c r="C633" s="20">
        <v>2017</v>
      </c>
      <c r="D633" s="10" t="s">
        <v>28</v>
      </c>
      <c r="E633" s="11">
        <v>4</v>
      </c>
    </row>
    <row r="634" spans="1:14">
      <c r="A634" s="7">
        <v>17</v>
      </c>
      <c r="B634" s="87">
        <v>42826</v>
      </c>
      <c r="C634" s="20">
        <v>2017</v>
      </c>
      <c r="D634" s="10" t="s">
        <v>28</v>
      </c>
      <c r="E634" s="11">
        <v>4</v>
      </c>
    </row>
    <row r="635" spans="1:14">
      <c r="A635" s="7">
        <v>18</v>
      </c>
      <c r="B635" s="87">
        <v>42826</v>
      </c>
      <c r="C635" s="20">
        <v>2017</v>
      </c>
      <c r="D635" s="10" t="s">
        <v>28</v>
      </c>
      <c r="E635" s="11">
        <v>4</v>
      </c>
      <c r="I635" s="50"/>
      <c r="J635" s="50"/>
    </row>
    <row r="636" spans="1:14">
      <c r="A636" s="7">
        <v>1</v>
      </c>
      <c r="B636" s="87">
        <v>42856</v>
      </c>
      <c r="C636" s="20">
        <v>2017</v>
      </c>
      <c r="D636" s="10" t="s">
        <v>29</v>
      </c>
      <c r="E636" s="11">
        <v>5</v>
      </c>
      <c r="F636" s="112">
        <v>5.1689999999999996</v>
      </c>
      <c r="G636" s="112">
        <v>7.0000000000000007E-2</v>
      </c>
    </row>
    <row r="637" spans="1:14">
      <c r="A637" s="7">
        <v>17</v>
      </c>
      <c r="B637" s="87">
        <v>42856</v>
      </c>
      <c r="C637" s="20">
        <v>2017</v>
      </c>
      <c r="D637" s="10" t="s">
        <v>29</v>
      </c>
      <c r="E637" s="11">
        <v>5</v>
      </c>
      <c r="F637" s="112">
        <v>5.0330000000000004</v>
      </c>
      <c r="G637" s="112">
        <v>2.3E-2</v>
      </c>
    </row>
    <row r="638" spans="1:14">
      <c r="A638" s="7">
        <v>18</v>
      </c>
      <c r="B638" s="87">
        <v>42856</v>
      </c>
      <c r="C638" s="20">
        <v>2017</v>
      </c>
      <c r="D638" s="10" t="s">
        <v>29</v>
      </c>
      <c r="E638" s="11">
        <v>5</v>
      </c>
      <c r="F638" s="112">
        <v>4.53</v>
      </c>
      <c r="G638" s="112">
        <v>0.01</v>
      </c>
      <c r="I638" s="50">
        <f>AVERAGE(F636:F638)</f>
        <v>4.9106666666666667</v>
      </c>
      <c r="J638" s="50">
        <f>AVERAGE(G636:G638)</f>
        <v>3.4333333333333334E-2</v>
      </c>
      <c r="L638">
        <f>+J638/I638</f>
        <v>6.9915829486831386E-3</v>
      </c>
      <c r="M638">
        <f>+(L638-$L$913)/$L$914</f>
        <v>-7.5670440192238666E-3</v>
      </c>
      <c r="N638">
        <f>+N632+M638</f>
        <v>-0.42226495526508834</v>
      </c>
    </row>
    <row r="639" spans="1:14">
      <c r="A639" s="7">
        <v>1</v>
      </c>
      <c r="B639" s="87">
        <v>42887</v>
      </c>
      <c r="C639" s="20">
        <v>2017</v>
      </c>
      <c r="D639" s="10" t="s">
        <v>30</v>
      </c>
      <c r="E639" s="11">
        <v>6</v>
      </c>
      <c r="F639" s="112">
        <v>4.7350000000000003</v>
      </c>
      <c r="G639" s="112">
        <v>9.9989999999999996E-4</v>
      </c>
    </row>
    <row r="640" spans="1:14">
      <c r="A640" s="7">
        <v>17</v>
      </c>
      <c r="B640" s="87">
        <v>42887</v>
      </c>
      <c r="C640" s="20">
        <v>2017</v>
      </c>
      <c r="D640" s="10" t="s">
        <v>30</v>
      </c>
      <c r="E640" s="11">
        <v>6</v>
      </c>
      <c r="F640" s="112">
        <v>8.4489999999999998</v>
      </c>
      <c r="G640" s="112">
        <v>9.9989999999999996E-4</v>
      </c>
    </row>
    <row r="641" spans="1:14">
      <c r="A641" s="7">
        <v>18</v>
      </c>
      <c r="B641" s="87">
        <v>42887</v>
      </c>
      <c r="C641" s="20">
        <v>2017</v>
      </c>
      <c r="D641" s="10" t="s">
        <v>30</v>
      </c>
      <c r="E641" s="11">
        <v>6</v>
      </c>
      <c r="F641" s="112">
        <v>6.4909999999999997</v>
      </c>
      <c r="G641" s="112">
        <v>1.0999999999999999E-2</v>
      </c>
      <c r="I641" s="50">
        <f>AVERAGE(F639:F641)</f>
        <v>6.5583333333333336</v>
      </c>
      <c r="J641" s="50">
        <f>AVERAGE(G639:G641)</f>
        <v>4.333266666666666E-3</v>
      </c>
      <c r="L641">
        <f>+J641/I641</f>
        <v>6.6072681067344335E-4</v>
      </c>
      <c r="M641">
        <f>+(L641-$L$913)/$L$914</f>
        <v>-0.40307029625777369</v>
      </c>
      <c r="N641">
        <f>+N638+M641</f>
        <v>-0.82533525152286202</v>
      </c>
    </row>
    <row r="642" spans="1:14">
      <c r="A642" s="7">
        <v>1</v>
      </c>
      <c r="B642" s="87">
        <v>42917</v>
      </c>
      <c r="C642" s="20">
        <v>2017</v>
      </c>
      <c r="D642" s="10" t="s">
        <v>31</v>
      </c>
      <c r="E642" s="11">
        <v>7</v>
      </c>
      <c r="F642" s="112">
        <v>8.9369999999999994</v>
      </c>
      <c r="G642" s="112">
        <v>1.4999999999999999E-2</v>
      </c>
    </row>
    <row r="643" spans="1:14">
      <c r="A643" s="7">
        <v>17</v>
      </c>
      <c r="B643" s="87">
        <v>42917</v>
      </c>
      <c r="C643" s="20">
        <v>2017</v>
      </c>
      <c r="D643" s="10" t="s">
        <v>31</v>
      </c>
      <c r="E643" s="11">
        <v>7</v>
      </c>
      <c r="F643" s="112">
        <v>17.248000000000001</v>
      </c>
      <c r="G643" s="112">
        <v>1.2999999999999999E-2</v>
      </c>
    </row>
    <row r="644" spans="1:14">
      <c r="A644" s="7">
        <v>18</v>
      </c>
      <c r="B644" s="87">
        <v>42917</v>
      </c>
      <c r="C644" s="20">
        <v>2017</v>
      </c>
      <c r="D644" s="10" t="s">
        <v>31</v>
      </c>
      <c r="E644" s="11">
        <v>7</v>
      </c>
      <c r="F644" s="112">
        <v>24.001000000000001</v>
      </c>
      <c r="G644" s="112">
        <v>1.0999999999999999E-2</v>
      </c>
      <c r="I644" s="50">
        <f>AVERAGE(F642:F644)</f>
        <v>16.728666666666669</v>
      </c>
      <c r="J644" s="50">
        <f>AVERAGE(G642:G644)</f>
        <v>1.2999999999999998E-2</v>
      </c>
      <c r="L644">
        <f>+J644/I644</f>
        <v>7.7710915394731573E-4</v>
      </c>
      <c r="M644">
        <f>+(L644-$L$913)/$L$914</f>
        <v>-0.39579962160263443</v>
      </c>
      <c r="N644">
        <f>+N641+M644</f>
        <v>-1.2211348731254965</v>
      </c>
    </row>
    <row r="645" spans="1:14">
      <c r="A645" s="7">
        <v>1</v>
      </c>
      <c r="B645" s="87">
        <v>42948</v>
      </c>
      <c r="C645" s="20">
        <v>2017</v>
      </c>
      <c r="D645" s="10" t="s">
        <v>32</v>
      </c>
      <c r="E645" s="11">
        <v>8</v>
      </c>
    </row>
    <row r="646" spans="1:14">
      <c r="A646" s="7">
        <v>17</v>
      </c>
      <c r="B646" s="87">
        <v>42948</v>
      </c>
      <c r="C646" s="20">
        <v>2017</v>
      </c>
      <c r="D646" s="10" t="s">
        <v>32</v>
      </c>
      <c r="E646" s="11">
        <v>8</v>
      </c>
    </row>
    <row r="647" spans="1:14">
      <c r="A647" s="7">
        <v>18</v>
      </c>
      <c r="B647" s="87">
        <v>42948</v>
      </c>
      <c r="C647" s="20">
        <v>2017</v>
      </c>
      <c r="D647" s="10" t="s">
        <v>32</v>
      </c>
      <c r="E647" s="11">
        <v>8</v>
      </c>
      <c r="I647" s="50"/>
      <c r="J647" s="50"/>
    </row>
    <row r="648" spans="1:14">
      <c r="A648" s="7">
        <v>1</v>
      </c>
      <c r="B648" s="87">
        <v>42979</v>
      </c>
      <c r="C648" s="20">
        <v>2017</v>
      </c>
      <c r="D648" s="10" t="s">
        <v>38</v>
      </c>
      <c r="E648" s="11">
        <v>9</v>
      </c>
      <c r="F648" s="112">
        <v>2.262</v>
      </c>
      <c r="G648" s="112">
        <v>6.0000000000000001E-3</v>
      </c>
    </row>
    <row r="649" spans="1:14">
      <c r="A649" s="7">
        <v>17</v>
      </c>
      <c r="B649" s="87">
        <v>42979</v>
      </c>
      <c r="C649" s="20">
        <v>2017</v>
      </c>
      <c r="D649" s="10" t="s">
        <v>38</v>
      </c>
      <c r="E649" s="11">
        <v>9</v>
      </c>
      <c r="F649" s="112">
        <v>1.5029999999999999</v>
      </c>
      <c r="G649" s="112">
        <v>6.0000000000000001E-3</v>
      </c>
    </row>
    <row r="650" spans="1:14">
      <c r="A650" s="7">
        <v>18</v>
      </c>
      <c r="B650" s="87">
        <v>42979</v>
      </c>
      <c r="C650" s="20">
        <v>2017</v>
      </c>
      <c r="D650" s="10" t="s">
        <v>38</v>
      </c>
      <c r="E650" s="11">
        <v>9</v>
      </c>
      <c r="F650" s="112">
        <v>2.94</v>
      </c>
      <c r="G650" s="112">
        <v>2.1000000000000001E-2</v>
      </c>
      <c r="I650" s="50">
        <f>AVERAGE(F648:F650)</f>
        <v>2.2349999999999999</v>
      </c>
      <c r="J650" s="50">
        <f>AVERAGE(G648:G650)</f>
        <v>1.1000000000000001E-2</v>
      </c>
      <c r="L650">
        <f>+J650/I650</f>
        <v>4.9217002237136476E-3</v>
      </c>
      <c r="M650">
        <f>+(L650-$L$913)/$L$914</f>
        <v>-0.13687741399632344</v>
      </c>
      <c r="N650">
        <f>+N644+M650</f>
        <v>-1.3580122871218199</v>
      </c>
    </row>
    <row r="651" spans="1:14">
      <c r="A651" s="7">
        <v>1</v>
      </c>
      <c r="B651" s="87">
        <v>43009</v>
      </c>
      <c r="C651" s="20">
        <v>2017</v>
      </c>
      <c r="D651" s="10" t="s">
        <v>34</v>
      </c>
      <c r="E651" s="11">
        <v>10</v>
      </c>
    </row>
    <row r="652" spans="1:14">
      <c r="A652" s="7">
        <v>17</v>
      </c>
      <c r="B652" s="87">
        <v>43009</v>
      </c>
      <c r="C652" s="20">
        <v>2017</v>
      </c>
      <c r="D652" s="10" t="s">
        <v>34</v>
      </c>
      <c r="E652" s="11">
        <v>10</v>
      </c>
    </row>
    <row r="653" spans="1:14">
      <c r="A653" s="7">
        <v>18</v>
      </c>
      <c r="B653" s="87">
        <v>43009</v>
      </c>
      <c r="C653" s="20">
        <v>2017</v>
      </c>
      <c r="D653" s="10" t="s">
        <v>34</v>
      </c>
      <c r="E653" s="11">
        <v>10</v>
      </c>
      <c r="I653" s="50"/>
      <c r="J653" s="50"/>
    </row>
    <row r="654" spans="1:14">
      <c r="A654" s="7">
        <v>1</v>
      </c>
      <c r="B654" s="87">
        <v>43040</v>
      </c>
      <c r="C654" s="20">
        <v>2017</v>
      </c>
      <c r="D654" s="10" t="s">
        <v>35</v>
      </c>
      <c r="E654" s="11">
        <v>11</v>
      </c>
      <c r="F654" s="112">
        <v>1.7549999999999999</v>
      </c>
      <c r="G654" s="112">
        <v>6.0000000000000001E-3</v>
      </c>
    </row>
    <row r="655" spans="1:14">
      <c r="A655" s="7">
        <v>17</v>
      </c>
      <c r="B655" s="87">
        <v>43040</v>
      </c>
      <c r="C655" s="20">
        <v>2017</v>
      </c>
      <c r="D655" s="10" t="s">
        <v>35</v>
      </c>
      <c r="E655" s="11">
        <v>11</v>
      </c>
      <c r="F655" s="112">
        <v>2.8220000000000001</v>
      </c>
      <c r="G655" s="112">
        <v>1.0999999999999999E-2</v>
      </c>
    </row>
    <row r="656" spans="1:14">
      <c r="A656" s="7">
        <v>18</v>
      </c>
      <c r="B656" s="87">
        <v>43040</v>
      </c>
      <c r="C656" s="20">
        <v>2017</v>
      </c>
      <c r="D656" s="10" t="s">
        <v>35</v>
      </c>
      <c r="E656" s="11">
        <v>11</v>
      </c>
      <c r="F656" s="112">
        <v>1.2250000000000001</v>
      </c>
      <c r="G656" s="112">
        <v>9.9989999999999996E-4</v>
      </c>
      <c r="I656" s="50">
        <f>AVERAGE(F654:F656)</f>
        <v>1.9339999999999999</v>
      </c>
      <c r="J656" s="50">
        <f>AVERAGE(G654:G656)</f>
        <v>5.9999666666666679E-3</v>
      </c>
      <c r="L656">
        <f>+J656/I656</f>
        <v>3.1023612547397455E-3</v>
      </c>
      <c r="M656">
        <f>+(L656-$L$913)/$L$914</f>
        <v>-0.25053573499865839</v>
      </c>
      <c r="N656">
        <f>+N650+M656</f>
        <v>-1.6085480221204782</v>
      </c>
    </row>
    <row r="657" spans="1:14">
      <c r="A657" s="7">
        <v>1</v>
      </c>
      <c r="B657" s="88">
        <v>43070</v>
      </c>
      <c r="C657" s="20">
        <v>2017</v>
      </c>
      <c r="D657" s="10" t="s">
        <v>36</v>
      </c>
      <c r="E657" s="11">
        <v>12</v>
      </c>
      <c r="F657" s="112">
        <v>2.6640000000000001</v>
      </c>
      <c r="G657" s="112">
        <v>9.9989999999999996E-4</v>
      </c>
    </row>
    <row r="658" spans="1:14">
      <c r="A658" s="7">
        <v>17</v>
      </c>
      <c r="B658" s="87">
        <v>43070</v>
      </c>
      <c r="C658" s="20">
        <v>2017</v>
      </c>
      <c r="D658" s="10" t="s">
        <v>36</v>
      </c>
      <c r="E658" s="11">
        <v>12</v>
      </c>
      <c r="F658" s="112">
        <v>6.5140000000000002</v>
      </c>
      <c r="G658" s="112">
        <v>1.2E-2</v>
      </c>
    </row>
    <row r="659" spans="1:14">
      <c r="A659" s="7">
        <v>18</v>
      </c>
      <c r="B659" s="87">
        <v>43070</v>
      </c>
      <c r="C659" s="20">
        <v>2017</v>
      </c>
      <c r="D659" s="10" t="s">
        <v>36</v>
      </c>
      <c r="E659" s="11">
        <v>12</v>
      </c>
      <c r="F659" s="112">
        <v>6.5640000000000001</v>
      </c>
      <c r="G659" s="112">
        <v>1.2E-2</v>
      </c>
      <c r="I659" s="50">
        <f>AVERAGE(F657:F659)</f>
        <v>5.2473333333333336</v>
      </c>
      <c r="J659" s="50">
        <f>AVERAGE(G657:G659)</f>
        <v>8.3333000000000001E-3</v>
      </c>
      <c r="L659">
        <f>+J659/I659</f>
        <v>1.5881018930250285E-3</v>
      </c>
      <c r="M659">
        <f>+(L659-$L$913)/$L$914</f>
        <v>-0.345135026032165</v>
      </c>
      <c r="N659">
        <f>+N656+M659</f>
        <v>-1.9536830481526433</v>
      </c>
    </row>
    <row r="660" spans="1:14">
      <c r="A660" s="7">
        <v>1</v>
      </c>
      <c r="B660" s="86">
        <v>43110</v>
      </c>
      <c r="C660" s="43">
        <v>2018</v>
      </c>
      <c r="D660" s="45" t="s">
        <v>37</v>
      </c>
      <c r="E660" s="9">
        <v>1</v>
      </c>
      <c r="F660" s="100">
        <v>3.177</v>
      </c>
      <c r="G660" s="100">
        <v>1.2999999999999999E-2</v>
      </c>
    </row>
    <row r="661" spans="1:14">
      <c r="A661" s="7">
        <v>17</v>
      </c>
      <c r="B661" s="86">
        <v>43105</v>
      </c>
      <c r="C661" s="20">
        <v>2018</v>
      </c>
      <c r="D661" s="10" t="s">
        <v>37</v>
      </c>
      <c r="E661" s="9">
        <v>1</v>
      </c>
      <c r="F661" s="100">
        <v>3.9380000000000002</v>
      </c>
      <c r="G661" s="100">
        <v>1.4999999999999999E-2</v>
      </c>
    </row>
    <row r="662" spans="1:14">
      <c r="A662" s="7">
        <v>18</v>
      </c>
      <c r="B662" s="86">
        <v>43105</v>
      </c>
      <c r="C662" s="20">
        <v>2018</v>
      </c>
      <c r="D662" s="10" t="s">
        <v>37</v>
      </c>
      <c r="E662" s="9">
        <v>1</v>
      </c>
      <c r="F662" s="100">
        <v>3.1120000000000001</v>
      </c>
      <c r="G662" s="100">
        <v>8.9999999999999993E-3</v>
      </c>
      <c r="I662">
        <v>3.4090000000000003</v>
      </c>
      <c r="J662">
        <v>1.2333333333333333E-2</v>
      </c>
      <c r="L662">
        <v>3.6178742544245622E-3</v>
      </c>
      <c r="M662">
        <f>+(L662-$L$913)/$L$914</f>
        <v>-0.21833044340744967</v>
      </c>
      <c r="N662">
        <f>+N659+M662</f>
        <v>-2.1720134915600928</v>
      </c>
    </row>
    <row r="663" spans="1:14">
      <c r="A663" s="7">
        <v>1</v>
      </c>
      <c r="B663" s="87">
        <v>43132</v>
      </c>
      <c r="C663" s="20">
        <v>2018</v>
      </c>
      <c r="D663" s="10" t="s">
        <v>26</v>
      </c>
      <c r="E663" s="11">
        <v>2</v>
      </c>
      <c r="F663" s="100">
        <v>7.0629999999999997</v>
      </c>
      <c r="G663" s="100">
        <v>1.4999999999999999E-2</v>
      </c>
    </row>
    <row r="664" spans="1:14">
      <c r="A664" s="7">
        <v>17</v>
      </c>
      <c r="B664" s="87">
        <v>43132</v>
      </c>
      <c r="C664" s="20">
        <v>2018</v>
      </c>
      <c r="D664" s="10" t="s">
        <v>26</v>
      </c>
      <c r="E664" s="11">
        <v>2</v>
      </c>
      <c r="F664" s="100">
        <v>19.202999999999999</v>
      </c>
      <c r="G664" s="100">
        <v>2.5999999999999999E-2</v>
      </c>
    </row>
    <row r="665" spans="1:14">
      <c r="A665" s="7">
        <v>18</v>
      </c>
      <c r="B665" s="87">
        <v>43132</v>
      </c>
      <c r="C665" s="20">
        <v>2018</v>
      </c>
      <c r="D665" s="10" t="s">
        <v>26</v>
      </c>
      <c r="E665" s="11">
        <v>2</v>
      </c>
      <c r="F665" s="100">
        <v>3.625</v>
      </c>
      <c r="G665" s="100">
        <v>7.0000000000000001E-3</v>
      </c>
      <c r="I665">
        <v>9.9636666666666667</v>
      </c>
      <c r="J665">
        <v>1.5999999999999997E-2</v>
      </c>
      <c r="L665">
        <v>1.6058345321334178E-3</v>
      </c>
      <c r="M665">
        <f>+(L665-$L$913)/$L$914</f>
        <v>-0.34402722697856891</v>
      </c>
      <c r="N665">
        <f>+N662+M665</f>
        <v>-2.5160407185386617</v>
      </c>
    </row>
    <row r="666" spans="1:14">
      <c r="A666" s="7">
        <v>1</v>
      </c>
      <c r="B666" s="87">
        <v>43160</v>
      </c>
      <c r="C666" s="20">
        <v>2018</v>
      </c>
      <c r="D666" s="10" t="s">
        <v>27</v>
      </c>
      <c r="E666" s="11">
        <v>3</v>
      </c>
      <c r="F666" s="100">
        <v>11.032</v>
      </c>
      <c r="G666" s="100">
        <v>3.9E-2</v>
      </c>
    </row>
    <row r="667" spans="1:14">
      <c r="A667" s="7">
        <v>17</v>
      </c>
      <c r="B667" s="87">
        <v>43160</v>
      </c>
      <c r="C667" s="20">
        <v>2018</v>
      </c>
      <c r="D667" s="10" t="s">
        <v>27</v>
      </c>
      <c r="E667" s="11">
        <v>3</v>
      </c>
      <c r="F667" s="100">
        <v>15.913</v>
      </c>
      <c r="G667" s="100">
        <v>4.5999999999999999E-2</v>
      </c>
    </row>
    <row r="668" spans="1:14">
      <c r="A668" s="7">
        <v>18</v>
      </c>
      <c r="B668" s="87">
        <v>43160</v>
      </c>
      <c r="C668" s="20">
        <v>2018</v>
      </c>
      <c r="D668" s="10" t="s">
        <v>27</v>
      </c>
      <c r="E668" s="11">
        <v>3</v>
      </c>
      <c r="F668" s="100">
        <v>13.196999999999999</v>
      </c>
      <c r="G668" s="100">
        <v>3.3000000000000002E-2</v>
      </c>
      <c r="I668">
        <v>13.380666666666665</v>
      </c>
      <c r="J668">
        <v>3.9333333333333331E-2</v>
      </c>
      <c r="L668">
        <v>2.9395645458621896E-3</v>
      </c>
      <c r="M668">
        <f>+(L668-$L$913)/$L$914</f>
        <v>-0.26070602262030185</v>
      </c>
      <c r="N668">
        <f>+N665+M668</f>
        <v>-2.7767467411589637</v>
      </c>
    </row>
    <row r="669" spans="1:14">
      <c r="A669" s="7">
        <v>1</v>
      </c>
      <c r="B669" s="87">
        <v>43191</v>
      </c>
      <c r="C669" s="20">
        <v>2018</v>
      </c>
      <c r="D669" s="10" t="s">
        <v>28</v>
      </c>
      <c r="E669" s="11">
        <v>4</v>
      </c>
      <c r="F669" s="100">
        <v>1.7310000000000001</v>
      </c>
      <c r="G669" s="100">
        <v>2.1000000000000001E-2</v>
      </c>
    </row>
    <row r="670" spans="1:14">
      <c r="A670" s="7">
        <v>17</v>
      </c>
      <c r="B670" s="87">
        <v>43191</v>
      </c>
      <c r="C670" s="20">
        <v>2018</v>
      </c>
      <c r="D670" s="10" t="s">
        <v>28</v>
      </c>
      <c r="E670" s="11">
        <v>4</v>
      </c>
      <c r="F670" s="101">
        <v>2.2810000000000001</v>
      </c>
      <c r="G670" s="101">
        <v>3.1E-2</v>
      </c>
    </row>
    <row r="671" spans="1:14">
      <c r="A671" s="7">
        <v>18</v>
      </c>
      <c r="B671" s="87">
        <v>43191</v>
      </c>
      <c r="C671" s="20">
        <v>2018</v>
      </c>
      <c r="D671" s="10" t="s">
        <v>28</v>
      </c>
      <c r="E671" s="11">
        <v>4</v>
      </c>
      <c r="F671" s="101">
        <v>0.98299999999999998</v>
      </c>
      <c r="G671" s="101">
        <v>1.6E-2</v>
      </c>
      <c r="I671">
        <v>1.665</v>
      </c>
      <c r="J671">
        <v>2.2666666666666668E-2</v>
      </c>
      <c r="L671">
        <v>1.3613613613613615E-2</v>
      </c>
      <c r="M671">
        <f>+(L671-$L$913)/$L$914</f>
        <v>0.40612655559979799</v>
      </c>
      <c r="N671">
        <f>+N668+M671</f>
        <v>-2.3706201855591655</v>
      </c>
    </row>
    <row r="672" spans="1:14">
      <c r="A672" s="7">
        <v>1</v>
      </c>
      <c r="B672" s="87">
        <v>43221</v>
      </c>
      <c r="C672" s="20">
        <v>2018</v>
      </c>
      <c r="D672" s="10" t="s">
        <v>29</v>
      </c>
      <c r="E672" s="11">
        <v>5</v>
      </c>
      <c r="F672" s="101">
        <v>7.7859999999999996</v>
      </c>
      <c r="G672" s="101">
        <v>4.7E-2</v>
      </c>
    </row>
    <row r="673" spans="1:14">
      <c r="A673" s="7">
        <v>17</v>
      </c>
      <c r="B673" s="87">
        <v>43221</v>
      </c>
      <c r="C673" s="20">
        <v>2018</v>
      </c>
      <c r="D673" s="10" t="s">
        <v>29</v>
      </c>
      <c r="E673" s="11">
        <v>5</v>
      </c>
      <c r="F673" s="101">
        <v>7.8879999999999999</v>
      </c>
      <c r="G673" s="101">
        <v>3.2000000000000001E-2</v>
      </c>
    </row>
    <row r="674" spans="1:14">
      <c r="A674" s="7">
        <v>18</v>
      </c>
      <c r="B674" s="87">
        <v>43221</v>
      </c>
      <c r="C674" s="20">
        <v>2018</v>
      </c>
      <c r="D674" s="10" t="s">
        <v>29</v>
      </c>
      <c r="E674" s="11">
        <v>5</v>
      </c>
      <c r="F674" s="101">
        <v>10.387</v>
      </c>
      <c r="G674" s="101">
        <v>0.32600000000000001</v>
      </c>
      <c r="I674">
        <v>8.6869999999999994</v>
      </c>
      <c r="J674">
        <v>0.13500000000000001</v>
      </c>
      <c r="L674">
        <v>1.5540462760446646E-2</v>
      </c>
      <c r="M674">
        <f>+(L674-$L$913)/$L$914</f>
        <v>0.52650128652602013</v>
      </c>
      <c r="N674">
        <f>+N671+M674</f>
        <v>-1.8441188990331454</v>
      </c>
    </row>
    <row r="675" spans="1:14">
      <c r="A675" s="7">
        <v>1</v>
      </c>
      <c r="B675" s="87">
        <v>43252</v>
      </c>
      <c r="C675" s="20">
        <v>2018</v>
      </c>
      <c r="D675" s="10" t="s">
        <v>30</v>
      </c>
      <c r="E675" s="11">
        <v>6</v>
      </c>
      <c r="F675" s="101">
        <v>14.132999999999999</v>
      </c>
      <c r="G675" s="101">
        <v>1.9E-2</v>
      </c>
    </row>
    <row r="676" spans="1:14">
      <c r="A676" s="7">
        <v>17</v>
      </c>
      <c r="B676" s="87">
        <v>43252</v>
      </c>
      <c r="C676" s="20">
        <v>2018</v>
      </c>
      <c r="D676" s="10" t="s">
        <v>30</v>
      </c>
      <c r="E676" s="11">
        <v>6</v>
      </c>
      <c r="F676" s="101">
        <v>7.4669999999999996</v>
      </c>
      <c r="G676" s="101">
        <v>0.02</v>
      </c>
    </row>
    <row r="677" spans="1:14">
      <c r="A677" s="7">
        <v>18</v>
      </c>
      <c r="B677" s="87">
        <v>43252</v>
      </c>
      <c r="C677" s="20">
        <v>2018</v>
      </c>
      <c r="D677" s="10" t="s">
        <v>30</v>
      </c>
      <c r="E677" s="11">
        <v>6</v>
      </c>
      <c r="F677" s="101">
        <v>4.8140000000000001</v>
      </c>
      <c r="G677" s="101">
        <v>1.7000000000000001E-2</v>
      </c>
      <c r="I677">
        <v>8.804666666666666</v>
      </c>
      <c r="J677">
        <v>1.8666666666666668E-2</v>
      </c>
      <c r="L677">
        <v>2.1200878322101919E-3</v>
      </c>
      <c r="M677">
        <f>+(L677-$L$913)/$L$914</f>
        <v>-0.31190063174073857</v>
      </c>
      <c r="N677">
        <f>+N674+M677</f>
        <v>-2.1560195307738841</v>
      </c>
    </row>
    <row r="678" spans="1:14">
      <c r="A678" s="7">
        <v>1</v>
      </c>
      <c r="B678" s="87">
        <v>43282</v>
      </c>
      <c r="C678" s="20">
        <v>2018</v>
      </c>
      <c r="D678" s="10" t="s">
        <v>31</v>
      </c>
      <c r="E678" s="11">
        <v>7</v>
      </c>
      <c r="F678" s="101">
        <v>24.436</v>
      </c>
      <c r="G678" s="101">
        <v>3.4000000000000002E-2</v>
      </c>
    </row>
    <row r="679" spans="1:14">
      <c r="A679" s="7">
        <v>17</v>
      </c>
      <c r="B679" s="87">
        <v>43282</v>
      </c>
      <c r="C679" s="20">
        <v>2018</v>
      </c>
      <c r="D679" s="10" t="s">
        <v>31</v>
      </c>
      <c r="E679" s="11">
        <v>7</v>
      </c>
      <c r="F679" s="101">
        <v>19.725000000000001</v>
      </c>
      <c r="G679" s="101">
        <v>0.04</v>
      </c>
    </row>
    <row r="680" spans="1:14">
      <c r="A680" s="7">
        <v>18</v>
      </c>
      <c r="B680" s="87">
        <v>43282</v>
      </c>
      <c r="C680" s="20">
        <v>2018</v>
      </c>
      <c r="D680" s="10" t="s">
        <v>31</v>
      </c>
      <c r="E680" s="11">
        <v>7</v>
      </c>
      <c r="F680" s="101">
        <v>17.449000000000002</v>
      </c>
      <c r="G680" s="101">
        <v>4.2999999999999997E-2</v>
      </c>
      <c r="I680">
        <v>20.536666666666665</v>
      </c>
      <c r="J680">
        <v>3.9E-2</v>
      </c>
      <c r="L680">
        <v>1.8990423632527188E-3</v>
      </c>
      <c r="M680">
        <f>+(L680-$L$913)/$L$914</f>
        <v>-0.32570985437342354</v>
      </c>
      <c r="N680">
        <f>+N677+M680</f>
        <v>-2.4817293851473075</v>
      </c>
    </row>
    <row r="681" spans="1:14">
      <c r="A681" s="7">
        <v>1</v>
      </c>
      <c r="B681" s="87">
        <v>43313</v>
      </c>
      <c r="C681" s="20">
        <v>2018</v>
      </c>
      <c r="D681" s="10" t="s">
        <v>32</v>
      </c>
      <c r="E681" s="11">
        <v>8</v>
      </c>
      <c r="F681" s="101">
        <v>7.9960000000000004</v>
      </c>
      <c r="G681" s="101">
        <v>8.9999999999999993E-3</v>
      </c>
    </row>
    <row r="682" spans="1:14">
      <c r="A682" s="7">
        <v>17</v>
      </c>
      <c r="B682" s="87">
        <v>43313</v>
      </c>
      <c r="C682" s="20">
        <v>2018</v>
      </c>
      <c r="D682" s="10" t="s">
        <v>32</v>
      </c>
      <c r="E682" s="11">
        <v>8</v>
      </c>
      <c r="F682" s="101">
        <v>6.9889999999999999</v>
      </c>
      <c r="G682" s="101">
        <v>1.4999999999999999E-2</v>
      </c>
    </row>
    <row r="683" spans="1:14">
      <c r="A683" s="7">
        <v>18</v>
      </c>
      <c r="B683" s="87">
        <v>43313</v>
      </c>
      <c r="C683" s="20">
        <v>2018</v>
      </c>
      <c r="D683" s="10" t="s">
        <v>32</v>
      </c>
      <c r="E683" s="11">
        <v>8</v>
      </c>
      <c r="F683" s="101">
        <v>8.8940000000000001</v>
      </c>
      <c r="G683" s="101">
        <v>2.1000000000000001E-2</v>
      </c>
      <c r="I683">
        <v>7.9596666666666662</v>
      </c>
      <c r="J683">
        <v>1.4999999999999999E-2</v>
      </c>
      <c r="L683">
        <v>1.8845010260061142E-3</v>
      </c>
      <c r="M683">
        <f>+(L683-$L$913)/$L$914</f>
        <v>-0.32661828540511301</v>
      </c>
      <c r="N683">
        <f>+N680+M683</f>
        <v>-2.8083476705524206</v>
      </c>
    </row>
    <row r="684" spans="1:14">
      <c r="A684" s="7">
        <v>1</v>
      </c>
      <c r="B684" s="87">
        <v>43344</v>
      </c>
      <c r="C684" s="20">
        <v>2018</v>
      </c>
      <c r="D684" s="10" t="s">
        <v>38</v>
      </c>
      <c r="E684" s="11">
        <v>9</v>
      </c>
      <c r="F684" s="101">
        <v>3.6890000000000001</v>
      </c>
      <c r="G684" s="101">
        <v>1.0999999999999999E-2</v>
      </c>
    </row>
    <row r="685" spans="1:14">
      <c r="A685" s="7">
        <v>17</v>
      </c>
      <c r="B685" s="87">
        <v>43344</v>
      </c>
      <c r="C685" s="20">
        <v>2018</v>
      </c>
      <c r="D685" s="10" t="s">
        <v>38</v>
      </c>
      <c r="E685" s="11">
        <v>9</v>
      </c>
      <c r="F685" s="101">
        <v>5.0949999999999998</v>
      </c>
      <c r="G685" s="101">
        <v>2.4E-2</v>
      </c>
    </row>
    <row r="686" spans="1:14">
      <c r="A686" s="7">
        <v>18</v>
      </c>
      <c r="B686" s="87">
        <v>43344</v>
      </c>
      <c r="C686" s="20">
        <v>2018</v>
      </c>
      <c r="D686" s="10" t="s">
        <v>38</v>
      </c>
      <c r="E686" s="11">
        <v>9</v>
      </c>
      <c r="F686" s="101">
        <v>10.029999999999999</v>
      </c>
      <c r="G686" s="101">
        <v>2.1999999999999999E-2</v>
      </c>
      <c r="I686">
        <v>6.2713333333333336</v>
      </c>
      <c r="J686">
        <v>1.9E-2</v>
      </c>
      <c r="L686">
        <v>3.0296587647496544E-3</v>
      </c>
      <c r="M686">
        <f>+(L686-$L$913)/$L$914</f>
        <v>-0.25507762800808653</v>
      </c>
      <c r="N686">
        <f>+N683+M686</f>
        <v>-3.063425298560507</v>
      </c>
    </row>
    <row r="687" spans="1:14">
      <c r="A687" s="7">
        <v>1</v>
      </c>
      <c r="B687" s="87">
        <v>43374</v>
      </c>
      <c r="C687" s="20">
        <v>2018</v>
      </c>
      <c r="D687" s="10" t="s">
        <v>34</v>
      </c>
      <c r="E687" s="11">
        <v>10</v>
      </c>
      <c r="F687" s="101">
        <v>1.6359999999999999</v>
      </c>
      <c r="G687" s="101">
        <v>0.01</v>
      </c>
    </row>
    <row r="688" spans="1:14">
      <c r="A688" s="7">
        <v>17</v>
      </c>
      <c r="B688" s="87">
        <v>43374</v>
      </c>
      <c r="C688" s="20">
        <v>2018</v>
      </c>
      <c r="D688" s="10" t="s">
        <v>34</v>
      </c>
      <c r="E688" s="11">
        <v>10</v>
      </c>
      <c r="F688" s="101">
        <v>3.3069999999999999</v>
      </c>
      <c r="G688" s="101">
        <v>2.1999999999999999E-2</v>
      </c>
    </row>
    <row r="689" spans="1:14">
      <c r="A689" s="7">
        <v>18</v>
      </c>
      <c r="B689" s="87">
        <v>43374</v>
      </c>
      <c r="C689" s="20">
        <v>2018</v>
      </c>
      <c r="D689" s="10" t="s">
        <v>34</v>
      </c>
      <c r="E689" s="11">
        <v>10</v>
      </c>
      <c r="F689" s="101">
        <v>2.2839999999999998</v>
      </c>
      <c r="G689" s="101">
        <v>8.9999999999999993E-3</v>
      </c>
      <c r="I689">
        <v>2.4089999999999998</v>
      </c>
      <c r="J689">
        <v>1.3666666666666667E-2</v>
      </c>
      <c r="L689">
        <v>5.6731700567317009E-3</v>
      </c>
      <c r="M689">
        <f>+(L689-$L$913)/$L$914</f>
        <v>-8.9931352288587812E-2</v>
      </c>
      <c r="N689">
        <f>+N686+M689</f>
        <v>-3.1533566508490947</v>
      </c>
    </row>
    <row r="690" spans="1:14">
      <c r="A690" s="7">
        <v>1</v>
      </c>
      <c r="B690" s="87">
        <v>43405</v>
      </c>
      <c r="C690" s="20">
        <v>2018</v>
      </c>
      <c r="D690" s="10" t="s">
        <v>35</v>
      </c>
      <c r="E690" s="11">
        <v>11</v>
      </c>
      <c r="F690" s="101">
        <v>3.88</v>
      </c>
      <c r="G690" s="101">
        <v>1.2E-2</v>
      </c>
    </row>
    <row r="691" spans="1:14">
      <c r="A691" s="7">
        <v>17</v>
      </c>
      <c r="B691" s="87">
        <v>43405</v>
      </c>
      <c r="C691" s="20">
        <v>2018</v>
      </c>
      <c r="D691" s="10" t="s">
        <v>35</v>
      </c>
      <c r="E691" s="11">
        <v>11</v>
      </c>
      <c r="F691" s="101">
        <v>7.8689999999999998</v>
      </c>
      <c r="G691" s="101">
        <v>7.5999999999999998E-2</v>
      </c>
    </row>
    <row r="692" spans="1:14">
      <c r="A692" s="7">
        <v>18</v>
      </c>
      <c r="B692" s="87">
        <v>43405</v>
      </c>
      <c r="C692" s="20">
        <v>2018</v>
      </c>
      <c r="D692" s="10" t="s">
        <v>35</v>
      </c>
      <c r="E692" s="11">
        <v>11</v>
      </c>
      <c r="F692" s="101">
        <v>5.1040000000000001</v>
      </c>
      <c r="G692" s="101">
        <v>0.03</v>
      </c>
      <c r="I692">
        <v>5.6176666666666657</v>
      </c>
      <c r="J692">
        <v>3.9333333333333331E-2</v>
      </c>
      <c r="L692">
        <v>7.0017207618821584E-3</v>
      </c>
      <c r="M692">
        <f>+(L692-$L$913)/$L$914</f>
        <v>-6.9337113382415229E-3</v>
      </c>
      <c r="N692">
        <f>+N689+M692</f>
        <v>-3.1602903621873364</v>
      </c>
    </row>
    <row r="693" spans="1:14">
      <c r="A693" s="7">
        <v>1</v>
      </c>
      <c r="B693" s="88">
        <v>43435</v>
      </c>
      <c r="C693" s="20">
        <v>2018</v>
      </c>
      <c r="D693" s="10" t="s">
        <v>36</v>
      </c>
      <c r="E693" s="11">
        <v>12</v>
      </c>
      <c r="F693" s="101"/>
      <c r="G693" s="101"/>
    </row>
    <row r="694" spans="1:14">
      <c r="A694" s="7">
        <v>17</v>
      </c>
      <c r="B694" s="87">
        <v>43435</v>
      </c>
      <c r="C694" s="20">
        <v>2018</v>
      </c>
      <c r="D694" s="10" t="s">
        <v>36</v>
      </c>
      <c r="E694" s="11">
        <v>12</v>
      </c>
      <c r="F694" s="101"/>
      <c r="G694" s="101"/>
    </row>
    <row r="695" spans="1:14">
      <c r="A695" s="7">
        <v>18</v>
      </c>
      <c r="B695" s="87">
        <v>43435</v>
      </c>
      <c r="C695" s="20">
        <v>2018</v>
      </c>
      <c r="D695" s="10" t="s">
        <v>36</v>
      </c>
      <c r="E695" s="11">
        <v>12</v>
      </c>
    </row>
    <row r="696" spans="1:14">
      <c r="A696" s="7">
        <v>1</v>
      </c>
      <c r="B696" s="86">
        <v>43475</v>
      </c>
      <c r="C696" s="48">
        <v>2019</v>
      </c>
      <c r="D696" s="45" t="s">
        <v>37</v>
      </c>
      <c r="E696" s="9">
        <v>1</v>
      </c>
    </row>
    <row r="697" spans="1:14">
      <c r="A697" s="7">
        <v>17</v>
      </c>
      <c r="B697" s="86">
        <v>43470</v>
      </c>
      <c r="C697" s="20">
        <v>2019</v>
      </c>
      <c r="D697" s="10" t="s">
        <v>37</v>
      </c>
      <c r="E697" s="9">
        <v>1</v>
      </c>
    </row>
    <row r="698" spans="1:14">
      <c r="A698" s="7">
        <v>18</v>
      </c>
      <c r="B698" s="86">
        <v>43470</v>
      </c>
      <c r="C698" s="20">
        <v>2019</v>
      </c>
      <c r="D698" s="10" t="s">
        <v>37</v>
      </c>
      <c r="E698" s="9">
        <v>1</v>
      </c>
    </row>
    <row r="699" spans="1:14">
      <c r="A699" s="7">
        <v>1</v>
      </c>
      <c r="B699" s="87">
        <v>43497</v>
      </c>
      <c r="C699" s="20">
        <v>2019</v>
      </c>
      <c r="D699" s="10" t="s">
        <v>26</v>
      </c>
      <c r="E699" s="11">
        <v>2</v>
      </c>
    </row>
    <row r="700" spans="1:14">
      <c r="A700" s="7">
        <v>17</v>
      </c>
      <c r="B700" s="87">
        <v>43497</v>
      </c>
      <c r="C700" s="20">
        <v>2019</v>
      </c>
      <c r="D700" s="10" t="s">
        <v>26</v>
      </c>
      <c r="E700" s="11">
        <v>2</v>
      </c>
    </row>
    <row r="701" spans="1:14">
      <c r="A701" s="7">
        <v>18</v>
      </c>
      <c r="B701" s="87">
        <v>43497</v>
      </c>
      <c r="C701" s="20">
        <v>2019</v>
      </c>
      <c r="D701" s="10" t="s">
        <v>26</v>
      </c>
      <c r="E701" s="11">
        <v>2</v>
      </c>
    </row>
    <row r="702" spans="1:14">
      <c r="A702" s="7">
        <v>1</v>
      </c>
      <c r="B702" s="87">
        <v>43525</v>
      </c>
      <c r="C702" s="20">
        <v>2019</v>
      </c>
      <c r="D702" s="10" t="s">
        <v>27</v>
      </c>
      <c r="E702" s="11">
        <v>3</v>
      </c>
      <c r="F702" s="113">
        <v>3.4420000000000002</v>
      </c>
      <c r="G702" s="114">
        <v>0.31</v>
      </c>
    </row>
    <row r="703" spans="1:14">
      <c r="A703" s="7">
        <v>17</v>
      </c>
      <c r="B703" s="87">
        <v>43525</v>
      </c>
      <c r="C703" s="20">
        <v>2019</v>
      </c>
      <c r="D703" s="10" t="s">
        <v>27</v>
      </c>
      <c r="E703" s="11">
        <v>3</v>
      </c>
      <c r="F703" s="113">
        <v>3.88</v>
      </c>
      <c r="G703" s="114">
        <v>0.247</v>
      </c>
    </row>
    <row r="704" spans="1:14">
      <c r="A704" s="7">
        <v>18</v>
      </c>
      <c r="B704" s="87">
        <v>43525</v>
      </c>
      <c r="C704" s="20">
        <v>2019</v>
      </c>
      <c r="D704" s="10" t="s">
        <v>27</v>
      </c>
      <c r="E704" s="11">
        <v>3</v>
      </c>
      <c r="F704" s="113">
        <v>2.6160000000000001</v>
      </c>
      <c r="G704" s="114">
        <v>0.249</v>
      </c>
      <c r="I704" s="50">
        <f>AVERAGE(F702:F704)</f>
        <v>3.3126666666666669</v>
      </c>
      <c r="J704" s="50">
        <f>AVERAGE(G702:G704)</f>
        <v>0.26866666666666666</v>
      </c>
      <c r="L704">
        <f>+J704/I704</f>
        <v>8.1102837593077071E-2</v>
      </c>
      <c r="M704">
        <f>+(L704-$L$913)/$L$914</f>
        <v>4.6223347576274723</v>
      </c>
      <c r="N704">
        <f>+N692+M704</f>
        <v>1.4620443954401359</v>
      </c>
    </row>
    <row r="705" spans="1:14">
      <c r="A705" s="7">
        <v>1</v>
      </c>
      <c r="B705" s="87">
        <v>43556</v>
      </c>
      <c r="C705" s="20">
        <v>2019</v>
      </c>
      <c r="D705" s="10" t="s">
        <v>28</v>
      </c>
      <c r="E705" s="11">
        <v>4</v>
      </c>
      <c r="F705" s="105">
        <v>3.0710000000000002</v>
      </c>
      <c r="G705" s="114">
        <v>1.4E-2</v>
      </c>
    </row>
    <row r="706" spans="1:14">
      <c r="A706" s="7">
        <v>17</v>
      </c>
      <c r="B706" s="87">
        <v>43556</v>
      </c>
      <c r="C706" s="20">
        <v>2019</v>
      </c>
      <c r="D706" s="10" t="s">
        <v>28</v>
      </c>
      <c r="E706" s="11">
        <v>4</v>
      </c>
      <c r="F706" s="105">
        <v>2.8340000000000001</v>
      </c>
      <c r="G706" s="114">
        <v>0.01</v>
      </c>
    </row>
    <row r="707" spans="1:14">
      <c r="A707" s="7">
        <v>18</v>
      </c>
      <c r="B707" s="87">
        <v>43556</v>
      </c>
      <c r="C707" s="20">
        <v>2019</v>
      </c>
      <c r="D707" s="10" t="s">
        <v>28</v>
      </c>
      <c r="E707" s="11">
        <v>4</v>
      </c>
      <c r="F707" s="105">
        <v>2.6230000000000002</v>
      </c>
      <c r="G707" s="114">
        <v>1.2999999999999999E-2</v>
      </c>
      <c r="I707" s="50">
        <f>AVERAGE(F705:F707)</f>
        <v>2.8426666666666667</v>
      </c>
      <c r="J707" s="50">
        <f>AVERAGE(G705:G707)</f>
        <v>1.2333333333333333E-2</v>
      </c>
      <c r="L707">
        <f>+J707/I707</f>
        <v>4.3386491557223265E-3</v>
      </c>
      <c r="M707">
        <f>+(L707-$L$913)/$L$914</f>
        <v>-0.17330196520784777</v>
      </c>
      <c r="N707">
        <f>+N704+M707</f>
        <v>1.2887424302322881</v>
      </c>
    </row>
    <row r="708" spans="1:14">
      <c r="A708" s="7">
        <v>1</v>
      </c>
      <c r="B708" s="87">
        <v>43586</v>
      </c>
      <c r="C708" s="20">
        <v>2019</v>
      </c>
      <c r="D708" s="10" t="s">
        <v>29</v>
      </c>
      <c r="E708" s="11">
        <v>5</v>
      </c>
      <c r="F708" s="105">
        <v>5.8780000000000001</v>
      </c>
      <c r="G708" s="114">
        <v>3.9E-2</v>
      </c>
    </row>
    <row r="709" spans="1:14">
      <c r="A709" s="7">
        <v>17</v>
      </c>
      <c r="B709" s="87">
        <v>43586</v>
      </c>
      <c r="C709" s="20">
        <v>2019</v>
      </c>
      <c r="D709" s="10" t="s">
        <v>29</v>
      </c>
      <c r="E709" s="11">
        <v>5</v>
      </c>
      <c r="F709" s="105">
        <v>6.8109999999999999</v>
      </c>
      <c r="G709" s="114">
        <v>3.3000000000000002E-2</v>
      </c>
    </row>
    <row r="710" spans="1:14">
      <c r="A710" s="7">
        <v>18</v>
      </c>
      <c r="B710" s="87">
        <v>43586</v>
      </c>
      <c r="C710" s="20">
        <v>2019</v>
      </c>
      <c r="D710" s="10" t="s">
        <v>29</v>
      </c>
      <c r="E710" s="11">
        <v>5</v>
      </c>
      <c r="F710" s="105">
        <v>3.9129999999999998</v>
      </c>
      <c r="G710" s="116">
        <v>9.0999999999999998E-2</v>
      </c>
      <c r="I710" s="50">
        <f>AVERAGE(F708:F710)</f>
        <v>5.5339999999999998</v>
      </c>
      <c r="J710" s="50">
        <f>AVERAGE(G708:G710)</f>
        <v>5.4333333333333338E-2</v>
      </c>
      <c r="L710">
        <f>+J710/I710</f>
        <v>9.8180942055174081E-3</v>
      </c>
      <c r="M710">
        <f>+(L710-$L$913)/$L$914</f>
        <v>0.16901166353584465</v>
      </c>
      <c r="N710">
        <f>+N707+M710</f>
        <v>1.4577540937681328</v>
      </c>
    </row>
    <row r="711" spans="1:14">
      <c r="A711" s="7">
        <v>1</v>
      </c>
      <c r="B711" s="87">
        <v>43617</v>
      </c>
      <c r="C711" s="20">
        <v>2019</v>
      </c>
      <c r="D711" s="10" t="s">
        <v>30</v>
      </c>
      <c r="E711" s="11">
        <v>6</v>
      </c>
      <c r="F711" s="105">
        <v>5.2069999999999999</v>
      </c>
      <c r="G711" s="116">
        <v>2.1000000000000001E-2</v>
      </c>
    </row>
    <row r="712" spans="1:14">
      <c r="A712" s="7">
        <v>17</v>
      </c>
      <c r="B712" s="87">
        <v>43617</v>
      </c>
      <c r="C712" s="20">
        <v>2019</v>
      </c>
      <c r="D712" s="10" t="s">
        <v>30</v>
      </c>
      <c r="E712" s="11">
        <v>6</v>
      </c>
      <c r="F712" s="107">
        <v>4.3520000000000003</v>
      </c>
      <c r="G712" s="101">
        <v>2.8000000000000001E-2</v>
      </c>
    </row>
    <row r="713" spans="1:14">
      <c r="A713" s="7">
        <v>18</v>
      </c>
      <c r="B713" s="87">
        <v>43617</v>
      </c>
      <c r="C713" s="20">
        <v>2019</v>
      </c>
      <c r="D713" s="10" t="s">
        <v>30</v>
      </c>
      <c r="E713" s="11">
        <v>6</v>
      </c>
      <c r="F713" s="107">
        <v>6.5030000000000001</v>
      </c>
      <c r="G713" s="101">
        <v>1.4E-2</v>
      </c>
      <c r="I713" s="50">
        <f>AVERAGE(F711:F713)</f>
        <v>5.3540000000000001</v>
      </c>
      <c r="J713" s="50">
        <f>AVERAGE(G711:G713)</f>
        <v>2.1000000000000001E-2</v>
      </c>
      <c r="L713">
        <f>+J713/I713</f>
        <v>3.9223010833022041E-3</v>
      </c>
      <c r="M713">
        <f>+(L713-$L$913)/$L$914</f>
        <v>-0.19931219401667646</v>
      </c>
      <c r="N713">
        <f>+N710+M713</f>
        <v>1.2584418997514564</v>
      </c>
    </row>
    <row r="714" spans="1:14">
      <c r="A714" s="7">
        <v>1</v>
      </c>
      <c r="B714" s="87">
        <v>43647</v>
      </c>
      <c r="C714" s="20">
        <v>2019</v>
      </c>
      <c r="D714" s="10" t="s">
        <v>31</v>
      </c>
      <c r="E714" s="11">
        <v>7</v>
      </c>
      <c r="F714" s="107">
        <v>1.7410000000000001</v>
      </c>
      <c r="G714" s="101">
        <v>8.0000000000000002E-3</v>
      </c>
    </row>
    <row r="715" spans="1:14">
      <c r="A715" s="7">
        <v>17</v>
      </c>
      <c r="B715" s="87">
        <v>43647</v>
      </c>
      <c r="C715" s="20">
        <v>2019</v>
      </c>
      <c r="D715" s="10" t="s">
        <v>31</v>
      </c>
      <c r="E715" s="11">
        <v>7</v>
      </c>
      <c r="F715" s="107">
        <v>3.8460000000000001</v>
      </c>
      <c r="G715" s="101">
        <v>9.9989999999999996E-4</v>
      </c>
    </row>
    <row r="716" spans="1:14">
      <c r="A716" s="7">
        <v>18</v>
      </c>
      <c r="B716" s="87">
        <v>43647</v>
      </c>
      <c r="C716" s="20">
        <v>2019</v>
      </c>
      <c r="D716" s="10" t="s">
        <v>31</v>
      </c>
      <c r="E716" s="11">
        <v>7</v>
      </c>
      <c r="F716" s="107">
        <v>3.38</v>
      </c>
      <c r="G716" s="101">
        <v>9.9989999999999996E-4</v>
      </c>
      <c r="I716" s="50">
        <f>AVERAGE(F714:F716)</f>
        <v>2.9889999999999994</v>
      </c>
      <c r="J716" s="50">
        <f>AVERAGE(G714:G716)</f>
        <v>3.3332666666666664E-3</v>
      </c>
      <c r="L716">
        <f>+J716/I716</f>
        <v>1.1151778744284599E-3</v>
      </c>
      <c r="M716">
        <f>+(L716-$L$913)/$L$914</f>
        <v>-0.37467968529138967</v>
      </c>
      <c r="N716">
        <f>+N713+M716</f>
        <v>0.88376221446006675</v>
      </c>
    </row>
    <row r="717" spans="1:14">
      <c r="A717" s="7">
        <v>1</v>
      </c>
      <c r="B717" s="87">
        <v>43678</v>
      </c>
      <c r="C717" s="20">
        <v>2019</v>
      </c>
      <c r="D717" s="10" t="s">
        <v>32</v>
      </c>
      <c r="E717" s="11">
        <v>8</v>
      </c>
    </row>
    <row r="718" spans="1:14">
      <c r="A718" s="7">
        <v>17</v>
      </c>
      <c r="B718" s="87">
        <v>43678</v>
      </c>
      <c r="C718" s="20">
        <v>2019</v>
      </c>
      <c r="D718" s="10" t="s">
        <v>32</v>
      </c>
      <c r="E718" s="11">
        <v>8</v>
      </c>
    </row>
    <row r="719" spans="1:14">
      <c r="A719" s="7">
        <v>18</v>
      </c>
      <c r="B719" s="87">
        <v>43678</v>
      </c>
      <c r="C719" s="20">
        <v>2019</v>
      </c>
      <c r="D719" s="10" t="s">
        <v>32</v>
      </c>
      <c r="E719" s="11">
        <v>8</v>
      </c>
      <c r="I719" s="50"/>
      <c r="J719" s="50"/>
    </row>
    <row r="720" spans="1:14">
      <c r="A720" s="7">
        <v>1</v>
      </c>
      <c r="B720" s="87">
        <v>43709</v>
      </c>
      <c r="C720" s="20">
        <v>2019</v>
      </c>
      <c r="D720" s="10" t="s">
        <v>38</v>
      </c>
      <c r="E720" s="11">
        <v>9</v>
      </c>
      <c r="F720" s="101">
        <v>4.3940000000000001</v>
      </c>
      <c r="G720" s="101">
        <v>1.2E-2</v>
      </c>
    </row>
    <row r="721" spans="1:14">
      <c r="A721" s="7">
        <v>17</v>
      </c>
      <c r="B721" s="87">
        <v>43709</v>
      </c>
      <c r="C721" s="20">
        <v>2019</v>
      </c>
      <c r="D721" s="10" t="s">
        <v>38</v>
      </c>
      <c r="E721" s="11">
        <v>9</v>
      </c>
      <c r="F721" s="101">
        <v>7.6769999999999996</v>
      </c>
      <c r="G721" s="101">
        <v>1.2E-2</v>
      </c>
    </row>
    <row r="722" spans="1:14">
      <c r="A722" s="7">
        <v>18</v>
      </c>
      <c r="B722" s="87">
        <v>43709</v>
      </c>
      <c r="C722" s="20">
        <v>2019</v>
      </c>
      <c r="D722" s="10" t="s">
        <v>38</v>
      </c>
      <c r="E722" s="11">
        <v>9</v>
      </c>
      <c r="F722" s="101">
        <v>4.37</v>
      </c>
      <c r="G722" s="101">
        <v>8.9999999999999993E-3</v>
      </c>
      <c r="I722" s="50">
        <f>AVERAGE(F720:F722)</f>
        <v>5.4803333333333333</v>
      </c>
      <c r="J722" s="50">
        <f>AVERAGE(G720:G722)</f>
        <v>1.1000000000000001E-2</v>
      </c>
      <c r="L722">
        <f>+J722/I722</f>
        <v>2.0071771790037105E-3</v>
      </c>
      <c r="M722">
        <f>+(L722-$L$913)/$L$914</f>
        <v>-0.31895442187307627</v>
      </c>
      <c r="N722">
        <f>+N716+M722</f>
        <v>0.56480779258699054</v>
      </c>
    </row>
    <row r="723" spans="1:14">
      <c r="A723" s="7">
        <v>1</v>
      </c>
      <c r="B723" s="87">
        <v>43739</v>
      </c>
      <c r="C723" s="20">
        <v>2019</v>
      </c>
      <c r="D723" s="10" t="s">
        <v>34</v>
      </c>
      <c r="E723" s="11">
        <v>10</v>
      </c>
      <c r="F723" s="101">
        <v>1.605</v>
      </c>
      <c r="G723" s="101">
        <v>9.9989999999999996E-4</v>
      </c>
    </row>
    <row r="724" spans="1:14">
      <c r="A724" s="7">
        <v>17</v>
      </c>
      <c r="B724" s="87">
        <v>43739</v>
      </c>
      <c r="C724" s="20">
        <v>2019</v>
      </c>
      <c r="D724" s="10" t="s">
        <v>34</v>
      </c>
      <c r="E724" s="11">
        <v>10</v>
      </c>
      <c r="F724" s="101">
        <v>2.254</v>
      </c>
      <c r="G724" s="101">
        <v>1.7999999999999999E-2</v>
      </c>
    </row>
    <row r="725" spans="1:14">
      <c r="A725" s="7">
        <v>18</v>
      </c>
      <c r="B725" s="87">
        <v>43739</v>
      </c>
      <c r="C725" s="20">
        <v>2019</v>
      </c>
      <c r="D725" s="10" t="s">
        <v>34</v>
      </c>
      <c r="E725" s="11">
        <v>10</v>
      </c>
      <c r="F725" s="101">
        <v>2.4710000000000001</v>
      </c>
      <c r="G725" s="101">
        <v>2.4E-2</v>
      </c>
      <c r="I725" s="50">
        <f>AVERAGE(F723:F725)</f>
        <v>2.11</v>
      </c>
      <c r="J725" s="50">
        <f>AVERAGE(G723:G725)</f>
        <v>1.43333E-2</v>
      </c>
      <c r="L725">
        <f>+J725/I725</f>
        <v>6.7930331753554511E-3</v>
      </c>
      <c r="M725">
        <f>+(L725-$L$913)/$L$914</f>
        <v>-1.9970908420889891E-2</v>
      </c>
      <c r="N725">
        <f>+N722+M725</f>
        <v>0.54483688416610065</v>
      </c>
    </row>
    <row r="726" spans="1:14">
      <c r="A726" s="7">
        <v>1</v>
      </c>
      <c r="B726" s="87">
        <v>43770</v>
      </c>
      <c r="C726" s="20">
        <v>2019</v>
      </c>
      <c r="D726" s="10" t="s">
        <v>35</v>
      </c>
      <c r="E726" s="11">
        <v>11</v>
      </c>
    </row>
    <row r="727" spans="1:14">
      <c r="A727" s="7">
        <v>17</v>
      </c>
      <c r="B727" s="87">
        <v>43770</v>
      </c>
      <c r="C727" s="20">
        <v>2019</v>
      </c>
      <c r="D727" s="10" t="s">
        <v>35</v>
      </c>
      <c r="E727" s="11">
        <v>11</v>
      </c>
    </row>
    <row r="728" spans="1:14">
      <c r="A728" s="7">
        <v>18</v>
      </c>
      <c r="B728" s="87">
        <v>43770</v>
      </c>
      <c r="C728" s="20">
        <v>2019</v>
      </c>
      <c r="D728" s="10" t="s">
        <v>35</v>
      </c>
      <c r="E728" s="11">
        <v>11</v>
      </c>
      <c r="I728" s="50"/>
      <c r="J728" s="50"/>
    </row>
    <row r="729" spans="1:14">
      <c r="A729" s="7">
        <v>1</v>
      </c>
      <c r="B729" s="88">
        <v>43800</v>
      </c>
      <c r="C729" s="20">
        <v>2019</v>
      </c>
      <c r="D729" s="10" t="s">
        <v>36</v>
      </c>
      <c r="E729" s="11">
        <v>12</v>
      </c>
      <c r="F729" s="101">
        <v>1.0720000000000001</v>
      </c>
      <c r="G729" s="117">
        <v>9.9989999999999996E-4</v>
      </c>
      <c r="H729" s="131" t="s">
        <v>100</v>
      </c>
    </row>
    <row r="730" spans="1:14">
      <c r="A730" s="7">
        <v>17</v>
      </c>
      <c r="B730" s="87">
        <v>43800</v>
      </c>
      <c r="C730" s="20">
        <v>2019</v>
      </c>
      <c r="D730" s="10" t="s">
        <v>36</v>
      </c>
      <c r="E730" s="11">
        <v>12</v>
      </c>
      <c r="F730" s="101">
        <v>1.008</v>
      </c>
      <c r="G730">
        <v>9.9989999999999996E-4</v>
      </c>
    </row>
    <row r="731" spans="1:14">
      <c r="A731" s="7">
        <v>18</v>
      </c>
      <c r="B731" s="87">
        <v>43800</v>
      </c>
      <c r="C731" s="20">
        <v>2019</v>
      </c>
      <c r="D731" s="10" t="s">
        <v>36</v>
      </c>
      <c r="E731" s="11">
        <v>12</v>
      </c>
      <c r="F731" s="101">
        <v>0.77</v>
      </c>
      <c r="G731">
        <v>9.9989999999999996E-4</v>
      </c>
      <c r="I731" s="50">
        <f>AVERAGE(F729:F731)</f>
        <v>0.95000000000000007</v>
      </c>
      <c r="J731" s="50">
        <f>AVERAGE(G729:G731)</f>
        <v>9.9989999999999996E-4</v>
      </c>
      <c r="L731">
        <f>+J731/I731</f>
        <v>1.0525263157894736E-3</v>
      </c>
      <c r="M731">
        <f>+(L731-$L$913)/$L$914</f>
        <v>-0.37859367333018967</v>
      </c>
      <c r="N731">
        <f>+N725+M731</f>
        <v>0.16624321083591098</v>
      </c>
    </row>
    <row r="732" spans="1:14">
      <c r="A732" s="120">
        <v>1</v>
      </c>
      <c r="B732" s="126">
        <v>43840</v>
      </c>
      <c r="C732" s="48">
        <v>2020</v>
      </c>
      <c r="D732" s="45" t="s">
        <v>37</v>
      </c>
      <c r="E732" s="43">
        <v>1</v>
      </c>
      <c r="G732" s="50"/>
    </row>
    <row r="733" spans="1:14">
      <c r="A733" s="7">
        <v>17</v>
      </c>
      <c r="B733" s="89">
        <v>43835</v>
      </c>
      <c r="C733">
        <v>2020</v>
      </c>
      <c r="D733" s="10" t="s">
        <v>37</v>
      </c>
      <c r="E733" s="20">
        <v>1</v>
      </c>
      <c r="G733" s="50"/>
    </row>
    <row r="734" spans="1:14">
      <c r="A734" s="7">
        <v>18</v>
      </c>
      <c r="B734" s="89">
        <v>43835</v>
      </c>
      <c r="C734">
        <v>2020</v>
      </c>
      <c r="D734" s="10" t="s">
        <v>37</v>
      </c>
      <c r="E734" s="20">
        <v>1</v>
      </c>
      <c r="G734" s="50"/>
    </row>
    <row r="735" spans="1:14">
      <c r="A735" s="7">
        <v>1</v>
      </c>
      <c r="B735" s="87">
        <v>43862</v>
      </c>
      <c r="C735">
        <v>2020</v>
      </c>
      <c r="D735" s="10" t="s">
        <v>26</v>
      </c>
      <c r="E735" s="20">
        <v>2</v>
      </c>
      <c r="F735" s="119">
        <v>3.0129999999999999</v>
      </c>
      <c r="G735" s="119">
        <v>0.01</v>
      </c>
    </row>
    <row r="736" spans="1:14">
      <c r="A736" s="7">
        <v>17</v>
      </c>
      <c r="B736" s="87">
        <v>43862</v>
      </c>
      <c r="C736">
        <v>2020</v>
      </c>
      <c r="D736" s="10" t="s">
        <v>26</v>
      </c>
      <c r="E736" s="20">
        <v>2</v>
      </c>
      <c r="F736" s="119">
        <v>4.5599999999999996</v>
      </c>
      <c r="G736" s="119">
        <v>1.2999999999999999E-2</v>
      </c>
    </row>
    <row r="737" spans="1:14">
      <c r="A737" s="7">
        <v>18</v>
      </c>
      <c r="B737" s="87">
        <v>43862</v>
      </c>
      <c r="C737">
        <v>2020</v>
      </c>
      <c r="D737" s="10" t="s">
        <v>26</v>
      </c>
      <c r="E737" s="20">
        <v>2</v>
      </c>
      <c r="F737" s="119">
        <v>2.5190000000000001</v>
      </c>
      <c r="G737" s="119">
        <v>1.2999999999999999E-2</v>
      </c>
      <c r="I737" s="50">
        <f>-AVERAGE(F735:F737)</f>
        <v>-3.3639999999999994</v>
      </c>
      <c r="J737" s="50">
        <f>-AVERAGE(G735:G737)</f>
        <v>-1.1999999999999999E-2</v>
      </c>
      <c r="L737">
        <f>+J737/I737</f>
        <v>3.5671819262782403E-3</v>
      </c>
      <c r="M737">
        <f>+(L737-$L$913)/$L$914</f>
        <v>-0.22149731060650707</v>
      </c>
      <c r="N737">
        <f>+N731+M737</f>
        <v>-5.5254099770596088E-2</v>
      </c>
    </row>
    <row r="738" spans="1:14">
      <c r="A738" s="7">
        <v>1</v>
      </c>
      <c r="B738" s="87">
        <v>43891</v>
      </c>
      <c r="C738">
        <v>2020</v>
      </c>
      <c r="D738" s="10" t="s">
        <v>27</v>
      </c>
      <c r="E738" s="20">
        <v>3</v>
      </c>
      <c r="G738" s="50"/>
    </row>
    <row r="739" spans="1:14">
      <c r="A739" s="7">
        <v>17</v>
      </c>
      <c r="B739" s="87">
        <v>43891</v>
      </c>
      <c r="C739">
        <v>2020</v>
      </c>
      <c r="D739" s="10" t="s">
        <v>27</v>
      </c>
      <c r="E739" s="20">
        <v>3</v>
      </c>
      <c r="G739" s="50"/>
    </row>
    <row r="740" spans="1:14">
      <c r="A740" s="7">
        <v>18</v>
      </c>
      <c r="B740" s="87">
        <v>43891</v>
      </c>
      <c r="C740">
        <v>2020</v>
      </c>
      <c r="D740" s="10" t="s">
        <v>27</v>
      </c>
      <c r="E740" s="20">
        <v>3</v>
      </c>
      <c r="G740" s="50"/>
    </row>
    <row r="741" spans="1:14">
      <c r="A741" s="7">
        <v>1</v>
      </c>
      <c r="B741" s="87">
        <v>43922</v>
      </c>
      <c r="C741">
        <v>2020</v>
      </c>
      <c r="D741" s="10" t="s">
        <v>28</v>
      </c>
      <c r="E741" s="20">
        <v>4</v>
      </c>
      <c r="G741" s="50"/>
    </row>
    <row r="742" spans="1:14">
      <c r="A742" s="7">
        <v>17</v>
      </c>
      <c r="B742" s="87">
        <v>43922</v>
      </c>
      <c r="C742">
        <v>2020</v>
      </c>
      <c r="D742" s="10" t="s">
        <v>28</v>
      </c>
      <c r="E742" s="20">
        <v>4</v>
      </c>
      <c r="G742" s="50"/>
    </row>
    <row r="743" spans="1:14">
      <c r="A743" s="7">
        <v>18</v>
      </c>
      <c r="B743" s="87">
        <v>43922</v>
      </c>
      <c r="C743">
        <v>2020</v>
      </c>
      <c r="D743" s="10" t="s">
        <v>28</v>
      </c>
      <c r="E743" s="20">
        <v>4</v>
      </c>
      <c r="G743" s="50"/>
    </row>
    <row r="744" spans="1:14">
      <c r="A744" s="7">
        <v>1</v>
      </c>
      <c r="B744" s="87">
        <v>43952</v>
      </c>
      <c r="C744">
        <v>2020</v>
      </c>
      <c r="D744" s="10" t="s">
        <v>29</v>
      </c>
      <c r="E744" s="20">
        <v>5</v>
      </c>
      <c r="G744" s="50"/>
    </row>
    <row r="745" spans="1:14">
      <c r="A745" s="7">
        <v>17</v>
      </c>
      <c r="B745" s="87">
        <v>43952</v>
      </c>
      <c r="C745">
        <v>2020</v>
      </c>
      <c r="D745" s="10" t="s">
        <v>29</v>
      </c>
      <c r="E745" s="20">
        <v>5</v>
      </c>
      <c r="G745" s="50"/>
    </row>
    <row r="746" spans="1:14">
      <c r="A746" s="7">
        <v>18</v>
      </c>
      <c r="B746" s="87">
        <v>43952</v>
      </c>
      <c r="C746">
        <v>2020</v>
      </c>
      <c r="D746" s="10" t="s">
        <v>29</v>
      </c>
      <c r="E746" s="20">
        <v>5</v>
      </c>
      <c r="G746" s="50"/>
    </row>
    <row r="747" spans="1:14">
      <c r="A747" s="7">
        <v>1</v>
      </c>
      <c r="B747" s="87">
        <v>43983</v>
      </c>
      <c r="C747">
        <v>2020</v>
      </c>
      <c r="D747" s="10" t="s">
        <v>30</v>
      </c>
      <c r="E747" s="20">
        <v>6</v>
      </c>
      <c r="F747" s="119">
        <v>4.1429999999999998</v>
      </c>
      <c r="G747" s="119">
        <v>7.0000000000000001E-3</v>
      </c>
    </row>
    <row r="748" spans="1:14">
      <c r="A748" s="7">
        <v>17</v>
      </c>
      <c r="B748" s="87">
        <v>43983</v>
      </c>
      <c r="C748">
        <v>2020</v>
      </c>
      <c r="D748" s="10" t="s">
        <v>30</v>
      </c>
      <c r="E748" s="20">
        <v>6</v>
      </c>
      <c r="F748" s="119">
        <v>4.7350000000000003</v>
      </c>
      <c r="G748" s="119">
        <v>1.6E-2</v>
      </c>
    </row>
    <row r="749" spans="1:14">
      <c r="A749" s="7">
        <v>18</v>
      </c>
      <c r="B749" s="87">
        <v>43983</v>
      </c>
      <c r="C749">
        <v>2020</v>
      </c>
      <c r="D749" s="10" t="s">
        <v>30</v>
      </c>
      <c r="E749" s="20">
        <v>6</v>
      </c>
      <c r="F749" s="122">
        <v>4.9610000000000003</v>
      </c>
      <c r="G749" s="122">
        <v>9.4999999999999998E-3</v>
      </c>
      <c r="H749" s="121" t="s">
        <v>92</v>
      </c>
      <c r="I749" s="50">
        <f>AVERAGE(F747:F749)</f>
        <v>4.6130000000000004</v>
      </c>
      <c r="J749" s="50">
        <f>AVERAGE(G747:G749)</f>
        <v>1.0833333333333334E-2</v>
      </c>
      <c r="L749">
        <f>+J749/I749</f>
        <v>2.3484355806055348E-3</v>
      </c>
      <c r="M749">
        <f>+(L749-$L$913)/$L$914</f>
        <v>-0.29763521879137711</v>
      </c>
      <c r="N749">
        <f>+N737+M749</f>
        <v>-0.3528893185619732</v>
      </c>
    </row>
    <row r="750" spans="1:14">
      <c r="A750" s="7">
        <v>1</v>
      </c>
      <c r="B750" s="87">
        <v>44013</v>
      </c>
      <c r="C750">
        <v>2020</v>
      </c>
      <c r="D750" s="10" t="s">
        <v>31</v>
      </c>
      <c r="E750" s="20">
        <v>7</v>
      </c>
      <c r="F750" s="119">
        <v>3.556</v>
      </c>
      <c r="G750" s="119">
        <v>1.6E-2</v>
      </c>
    </row>
    <row r="751" spans="1:14">
      <c r="A751" s="7">
        <v>17</v>
      </c>
      <c r="B751" s="87">
        <v>44013</v>
      </c>
      <c r="C751">
        <v>2020</v>
      </c>
      <c r="D751" s="10" t="s">
        <v>31</v>
      </c>
      <c r="E751" s="20">
        <v>7</v>
      </c>
      <c r="F751" s="119">
        <v>6.7679999999999998</v>
      </c>
      <c r="G751" s="119">
        <v>3.3000000000000002E-2</v>
      </c>
    </row>
    <row r="752" spans="1:14">
      <c r="A752" s="7">
        <v>18</v>
      </c>
      <c r="B752" s="87">
        <v>44013</v>
      </c>
      <c r="C752">
        <v>2020</v>
      </c>
      <c r="D752" s="10" t="s">
        <v>31</v>
      </c>
      <c r="E752" s="20">
        <v>7</v>
      </c>
      <c r="F752" s="119">
        <v>7.6539999999999999</v>
      </c>
      <c r="G752" s="119">
        <v>1.9E-2</v>
      </c>
      <c r="I752" s="50">
        <f t="shared" ref="I752:J752" si="0">AVERAGE(F750:F752)</f>
        <v>5.9926666666666675</v>
      </c>
      <c r="J752" s="50">
        <f t="shared" si="0"/>
        <v>2.2666666666666668E-2</v>
      </c>
      <c r="L752">
        <f t="shared" ref="L752" si="1">+J752/I752</f>
        <v>3.7824007119813103E-3</v>
      </c>
      <c r="M752">
        <f t="shared" ref="M752" si="2">+(L752-$L$913)/$L$914</f>
        <v>-0.20805209437779718</v>
      </c>
      <c r="N752">
        <f>+N749+M752</f>
        <v>-0.5609414129397704</v>
      </c>
    </row>
    <row r="753" spans="1:14">
      <c r="A753" s="7">
        <v>1</v>
      </c>
      <c r="B753" s="87">
        <v>44044</v>
      </c>
      <c r="C753">
        <v>2020</v>
      </c>
      <c r="D753" s="10" t="s">
        <v>32</v>
      </c>
      <c r="E753" s="20">
        <v>8</v>
      </c>
      <c r="F753" s="119">
        <v>6.8250000000000002</v>
      </c>
      <c r="G753" s="119">
        <v>1.2999999999999999E-2</v>
      </c>
    </row>
    <row r="754" spans="1:14">
      <c r="A754" s="7">
        <v>17</v>
      </c>
      <c r="B754" s="87">
        <v>44044</v>
      </c>
      <c r="C754">
        <v>2020</v>
      </c>
      <c r="D754" s="10" t="s">
        <v>32</v>
      </c>
      <c r="E754" s="20">
        <v>8</v>
      </c>
      <c r="F754" s="119">
        <v>6.4219999999999997</v>
      </c>
      <c r="G754" s="119">
        <v>3.2000000000000001E-2</v>
      </c>
    </row>
    <row r="755" spans="1:14">
      <c r="A755" s="7">
        <v>18</v>
      </c>
      <c r="B755" s="87">
        <v>44044</v>
      </c>
      <c r="C755">
        <v>2020</v>
      </c>
      <c r="D755" s="10" t="s">
        <v>32</v>
      </c>
      <c r="E755" s="20">
        <v>8</v>
      </c>
      <c r="F755" s="119">
        <v>6.14</v>
      </c>
      <c r="G755" s="119">
        <v>2.8000000000000001E-2</v>
      </c>
      <c r="I755" s="50">
        <f t="shared" ref="I755:J755" si="3">AVERAGE(F753:F755)</f>
        <v>6.4623333333333335</v>
      </c>
      <c r="J755" s="50">
        <f t="shared" si="3"/>
        <v>2.4333333333333332E-2</v>
      </c>
      <c r="L755">
        <f t="shared" ref="L755" si="4">+J755/I755</f>
        <v>3.7654098106978898E-3</v>
      </c>
      <c r="M755">
        <f t="shared" ref="M755" si="5">+(L755-$L$913)/$L$914</f>
        <v>-0.20911355535077855</v>
      </c>
      <c r="N755">
        <f t="shared" ref="N755" si="6">+N752+M755</f>
        <v>-0.77005496829054898</v>
      </c>
    </row>
    <row r="756" spans="1:14">
      <c r="A756" s="7">
        <v>1</v>
      </c>
      <c r="B756" s="87">
        <v>44075</v>
      </c>
      <c r="C756">
        <v>2020</v>
      </c>
      <c r="D756" s="10" t="s">
        <v>38</v>
      </c>
      <c r="E756" s="20">
        <v>9</v>
      </c>
      <c r="F756" s="119">
        <v>8.0709999999999997</v>
      </c>
      <c r="G756" s="119">
        <v>1.2999999999999999E-2</v>
      </c>
    </row>
    <row r="757" spans="1:14">
      <c r="A757" s="7">
        <v>17</v>
      </c>
      <c r="B757" s="87">
        <v>44075</v>
      </c>
      <c r="C757">
        <v>2020</v>
      </c>
      <c r="D757" s="10" t="s">
        <v>38</v>
      </c>
      <c r="E757" s="20">
        <v>9</v>
      </c>
      <c r="F757" s="119">
        <v>8.1790000000000003</v>
      </c>
      <c r="G757" s="119">
        <v>3.6999999999999998E-2</v>
      </c>
    </row>
    <row r="758" spans="1:14">
      <c r="A758" s="7">
        <v>18</v>
      </c>
      <c r="B758" s="87">
        <v>44075</v>
      </c>
      <c r="C758">
        <v>2020</v>
      </c>
      <c r="D758" s="10" t="s">
        <v>38</v>
      </c>
      <c r="E758" s="20">
        <v>9</v>
      </c>
      <c r="F758" s="119">
        <v>7.8460000000000001</v>
      </c>
      <c r="G758" s="119">
        <v>3.2000000000000001E-2</v>
      </c>
      <c r="I758" s="50">
        <f t="shared" ref="I758:J758" si="7">AVERAGE(F756:F758)</f>
        <v>8.032</v>
      </c>
      <c r="J758" s="50">
        <f t="shared" si="7"/>
        <v>2.7333333333333331E-2</v>
      </c>
      <c r="L758">
        <f t="shared" ref="L758" si="8">+J758/I758</f>
        <v>3.4030544488711815E-3</v>
      </c>
      <c r="M758">
        <f t="shared" ref="M758" si="9">+(L758-$L$913)/$L$914</f>
        <v>-0.23175073442172717</v>
      </c>
      <c r="N758">
        <f t="shared" ref="N758" si="10">+N755+M758</f>
        <v>-1.0018057027122762</v>
      </c>
    </row>
    <row r="759" spans="1:14">
      <c r="A759" s="7">
        <v>1</v>
      </c>
      <c r="B759" s="87">
        <v>44105</v>
      </c>
      <c r="C759">
        <v>2020</v>
      </c>
      <c r="D759" s="10" t="s">
        <v>34</v>
      </c>
      <c r="E759" s="20">
        <v>10</v>
      </c>
      <c r="F759" s="119">
        <v>4.915</v>
      </c>
      <c r="G759" s="119">
        <v>1.7999999999999999E-2</v>
      </c>
    </row>
    <row r="760" spans="1:14">
      <c r="A760" s="7">
        <v>17</v>
      </c>
      <c r="B760" s="87">
        <v>44105</v>
      </c>
      <c r="C760">
        <v>2020</v>
      </c>
      <c r="D760" s="10" t="s">
        <v>34</v>
      </c>
      <c r="E760" s="20">
        <v>10</v>
      </c>
      <c r="F760" s="119">
        <v>1.9590000000000001</v>
      </c>
      <c r="G760" s="119">
        <v>1.6E-2</v>
      </c>
    </row>
    <row r="761" spans="1:14">
      <c r="A761" s="7">
        <v>18</v>
      </c>
      <c r="B761" s="87">
        <v>44105</v>
      </c>
      <c r="C761">
        <v>2020</v>
      </c>
      <c r="D761" s="10" t="s">
        <v>34</v>
      </c>
      <c r="E761" s="20">
        <v>10</v>
      </c>
      <c r="F761" s="119">
        <v>1.0349999999999999</v>
      </c>
      <c r="G761" s="119">
        <v>8.9999999999999993E-3</v>
      </c>
      <c r="I761" s="50">
        <f>AVERAGE(F759:F761)</f>
        <v>2.6363333333333334</v>
      </c>
      <c r="J761" s="50">
        <f t="shared" ref="J761" si="11">AVERAGE(G759:G761)</f>
        <v>1.4333333333333335E-2</v>
      </c>
      <c r="L761">
        <f t="shared" ref="L761" si="12">+J761/I761</f>
        <v>5.436844101656341E-3</v>
      </c>
      <c r="M761">
        <f t="shared" ref="M761" si="13">+(L761-$L$913)/$L$914</f>
        <v>-0.10469518229564129</v>
      </c>
      <c r="N761">
        <f t="shared" ref="N761" si="14">+N758+M761</f>
        <v>-1.1065008850079174</v>
      </c>
    </row>
    <row r="762" spans="1:14">
      <c r="A762" s="7">
        <v>1</v>
      </c>
      <c r="B762" s="87">
        <v>44136</v>
      </c>
      <c r="C762">
        <v>2020</v>
      </c>
      <c r="D762" s="10" t="s">
        <v>35</v>
      </c>
      <c r="E762" s="20">
        <v>11</v>
      </c>
      <c r="F762" s="124">
        <v>1.3220000000000001</v>
      </c>
      <c r="G762" s="124">
        <v>1E-3</v>
      </c>
      <c r="H762" s="123" t="s">
        <v>92</v>
      </c>
      <c r="I762" s="50"/>
    </row>
    <row r="763" spans="1:14">
      <c r="A763" s="7">
        <v>17</v>
      </c>
      <c r="B763" s="87">
        <v>44136</v>
      </c>
      <c r="C763">
        <v>2020</v>
      </c>
      <c r="D763" s="10" t="s">
        <v>35</v>
      </c>
      <c r="E763" s="20">
        <v>11</v>
      </c>
      <c r="F763" s="119">
        <v>1.0820000000000001</v>
      </c>
      <c r="G763" s="119">
        <v>9.9989999999999996E-4</v>
      </c>
    </row>
    <row r="764" spans="1:14">
      <c r="A764" s="7">
        <v>18</v>
      </c>
      <c r="B764" s="87">
        <v>44136</v>
      </c>
      <c r="C764">
        <v>2020</v>
      </c>
      <c r="D764" s="10" t="s">
        <v>35</v>
      </c>
      <c r="E764" s="20">
        <v>11</v>
      </c>
      <c r="F764" s="119">
        <v>1.601</v>
      </c>
      <c r="G764" s="119">
        <v>9.9989999999999996E-4</v>
      </c>
      <c r="I764" s="50">
        <f>AVERAGE(F762:F764)</f>
        <v>1.335</v>
      </c>
      <c r="J764" s="50">
        <f t="shared" ref="J764" si="15">AVERAGE(G762:G764)</f>
        <v>9.999333333333331E-4</v>
      </c>
      <c r="L764">
        <f t="shared" ref="L764" si="16">+J764/I764</f>
        <v>7.4901373283395745E-4</v>
      </c>
      <c r="M764">
        <f t="shared" ref="M764" si="17">+(L764-$L$913)/$L$914</f>
        <v>-0.39755480765979828</v>
      </c>
      <c r="N764">
        <f t="shared" ref="N764" si="18">+N761+M764</f>
        <v>-1.5040556926677158</v>
      </c>
    </row>
    <row r="765" spans="1:14">
      <c r="A765" s="7">
        <v>1</v>
      </c>
      <c r="B765" s="88">
        <v>44166</v>
      </c>
      <c r="C765">
        <v>2020</v>
      </c>
      <c r="D765" s="10" t="s">
        <v>36</v>
      </c>
      <c r="E765" s="20">
        <v>12</v>
      </c>
    </row>
    <row r="766" spans="1:14">
      <c r="A766" s="7">
        <v>17</v>
      </c>
      <c r="B766" s="87">
        <v>44166</v>
      </c>
      <c r="C766">
        <v>2020</v>
      </c>
      <c r="D766" s="10" t="s">
        <v>36</v>
      </c>
      <c r="E766" s="20">
        <v>12</v>
      </c>
    </row>
    <row r="767" spans="1:14">
      <c r="A767" s="7">
        <v>18</v>
      </c>
      <c r="B767" s="87">
        <v>44166</v>
      </c>
      <c r="C767">
        <v>2020</v>
      </c>
      <c r="D767" s="10" t="s">
        <v>36</v>
      </c>
      <c r="E767" s="20">
        <v>12</v>
      </c>
    </row>
    <row r="768" spans="1:14">
      <c r="A768" s="120">
        <v>1</v>
      </c>
      <c r="B768" s="126">
        <v>44206</v>
      </c>
      <c r="C768" s="48">
        <v>2021</v>
      </c>
      <c r="D768" s="45" t="s">
        <v>37</v>
      </c>
      <c r="E768" s="43">
        <v>1</v>
      </c>
    </row>
    <row r="769" spans="1:14">
      <c r="A769" s="7">
        <v>17</v>
      </c>
      <c r="B769" s="89">
        <v>44201</v>
      </c>
      <c r="C769">
        <v>2021</v>
      </c>
      <c r="D769" s="10" t="s">
        <v>37</v>
      </c>
      <c r="E769" s="20">
        <v>1</v>
      </c>
    </row>
    <row r="770" spans="1:14">
      <c r="A770" s="7">
        <v>18</v>
      </c>
      <c r="B770" s="89">
        <v>44201</v>
      </c>
      <c r="C770">
        <v>2021</v>
      </c>
      <c r="D770" s="10" t="s">
        <v>37</v>
      </c>
      <c r="E770" s="20">
        <v>1</v>
      </c>
    </row>
    <row r="771" spans="1:14">
      <c r="A771" s="7">
        <v>1</v>
      </c>
      <c r="B771" s="87">
        <v>44228</v>
      </c>
      <c r="C771">
        <v>2021</v>
      </c>
      <c r="D771" s="10" t="s">
        <v>26</v>
      </c>
      <c r="E771" s="20">
        <v>2</v>
      </c>
      <c r="F771" s="127">
        <v>6.33</v>
      </c>
      <c r="G771" s="127">
        <v>2.1999999999999999E-2</v>
      </c>
    </row>
    <row r="772" spans="1:14">
      <c r="A772" s="7">
        <v>17</v>
      </c>
      <c r="B772" s="87">
        <v>44228</v>
      </c>
      <c r="C772">
        <v>2021</v>
      </c>
      <c r="D772" s="10" t="s">
        <v>26</v>
      </c>
      <c r="E772" s="20">
        <v>2</v>
      </c>
      <c r="F772" s="127">
        <v>11.077999999999999</v>
      </c>
      <c r="G772" s="127">
        <v>0.11799999999999999</v>
      </c>
    </row>
    <row r="773" spans="1:14">
      <c r="A773" s="7">
        <v>18</v>
      </c>
      <c r="B773" s="87">
        <v>44228</v>
      </c>
      <c r="C773">
        <v>2021</v>
      </c>
      <c r="D773" s="10" t="s">
        <v>26</v>
      </c>
      <c r="E773" s="20">
        <v>2</v>
      </c>
      <c r="F773" s="127">
        <v>7.7409999999999997</v>
      </c>
      <c r="G773" s="127">
        <v>2.1999999999999999E-2</v>
      </c>
      <c r="I773" s="50">
        <f>AVERAGE(F771:F773)</f>
        <v>8.3830000000000009</v>
      </c>
      <c r="J773" s="50">
        <f>AVERAGE(G771:G773)</f>
        <v>5.3999999999999992E-2</v>
      </c>
      <c r="L773">
        <f>+J773/I773</f>
        <v>6.4416080162233071E-3</v>
      </c>
      <c r="M773">
        <f>+(L773-$L$913)/$L$914</f>
        <v>-4.1925252403014979E-2</v>
      </c>
      <c r="N773">
        <f>+N764+M773</f>
        <v>-1.5459809450707307</v>
      </c>
    </row>
    <row r="774" spans="1:14">
      <c r="A774" s="7">
        <v>1</v>
      </c>
      <c r="B774" s="87">
        <v>44256</v>
      </c>
      <c r="C774">
        <v>2021</v>
      </c>
      <c r="D774" s="10" t="s">
        <v>27</v>
      </c>
      <c r="E774" s="20">
        <v>3</v>
      </c>
      <c r="F774" s="127">
        <v>4.3760000000000003</v>
      </c>
      <c r="G774" s="127">
        <v>3.2000000000000001E-2</v>
      </c>
    </row>
    <row r="775" spans="1:14">
      <c r="A775" s="7">
        <v>17</v>
      </c>
      <c r="B775" s="87">
        <v>44256</v>
      </c>
      <c r="C775">
        <v>2021</v>
      </c>
      <c r="D775" s="10" t="s">
        <v>27</v>
      </c>
      <c r="E775" s="20">
        <v>3</v>
      </c>
      <c r="F775" s="127">
        <v>10.173</v>
      </c>
      <c r="G775" s="127">
        <v>6.4000000000000001E-2</v>
      </c>
    </row>
    <row r="776" spans="1:14">
      <c r="A776" s="7">
        <v>18</v>
      </c>
      <c r="B776" s="87">
        <v>44256</v>
      </c>
      <c r="C776">
        <v>2021</v>
      </c>
      <c r="D776" s="10" t="s">
        <v>27</v>
      </c>
      <c r="E776" s="20">
        <v>3</v>
      </c>
      <c r="F776" s="127">
        <v>3.8740000000000001</v>
      </c>
      <c r="G776" s="127">
        <v>3.7999999999999999E-2</v>
      </c>
      <c r="I776" s="50">
        <f t="shared" ref="I776:J776" si="19">AVERAGE(F774:F776)</f>
        <v>6.1409999999999991</v>
      </c>
      <c r="J776" s="50">
        <f t="shared" si="19"/>
        <v>4.4666666666666667E-2</v>
      </c>
      <c r="L776">
        <f t="shared" ref="L776" si="20">+J776/I776</f>
        <v>7.2735167996526096E-3</v>
      </c>
      <c r="M776">
        <f t="shared" ref="M776" si="21">+(L776-$L$913)/$L$914</f>
        <v>1.0046016922896946E-2</v>
      </c>
      <c r="N776">
        <f>+N773+M776</f>
        <v>-1.5359349281478338</v>
      </c>
    </row>
    <row r="777" spans="1:14">
      <c r="A777" s="7">
        <v>1</v>
      </c>
      <c r="B777" s="87">
        <v>44287</v>
      </c>
      <c r="C777">
        <v>2021</v>
      </c>
      <c r="D777" s="10" t="s">
        <v>28</v>
      </c>
      <c r="E777" s="20">
        <v>4</v>
      </c>
      <c r="F777" s="127">
        <v>0.76900000000000002</v>
      </c>
      <c r="G777" s="127">
        <v>1.2999999999999999E-2</v>
      </c>
    </row>
    <row r="778" spans="1:14">
      <c r="A778" s="7">
        <v>17</v>
      </c>
      <c r="B778" s="87">
        <v>44287</v>
      </c>
      <c r="C778">
        <v>2021</v>
      </c>
      <c r="D778" s="10" t="s">
        <v>28</v>
      </c>
      <c r="E778" s="20">
        <v>4</v>
      </c>
      <c r="F778" s="127">
        <v>3.6040000000000001</v>
      </c>
      <c r="G778" s="127">
        <v>3.1E-2</v>
      </c>
    </row>
    <row r="779" spans="1:14">
      <c r="A779" s="7">
        <v>18</v>
      </c>
      <c r="B779" s="87">
        <v>44287</v>
      </c>
      <c r="C779">
        <v>2021</v>
      </c>
      <c r="D779" s="10" t="s">
        <v>28</v>
      </c>
      <c r="E779" s="20">
        <v>4</v>
      </c>
      <c r="F779" s="127">
        <v>0.92900000000000005</v>
      </c>
      <c r="G779" s="127">
        <v>0.01</v>
      </c>
      <c r="I779" s="50">
        <f t="shared" ref="I779:J779" si="22">AVERAGE(F777:F779)</f>
        <v>1.7673333333333334</v>
      </c>
      <c r="J779" s="50">
        <f t="shared" si="22"/>
        <v>1.7999999999999999E-2</v>
      </c>
      <c r="L779">
        <f t="shared" ref="L779" si="23">+J779/I779</f>
        <v>1.0184835910976988E-2</v>
      </c>
      <c r="M779">
        <f t="shared" ref="M779" si="24">+(L779-$L$913)/$L$914</f>
        <v>0.1919228676571843</v>
      </c>
      <c r="N779">
        <f t="shared" ref="N779" si="25">+N776+M779</f>
        <v>-1.3440120604906496</v>
      </c>
    </row>
    <row r="780" spans="1:14">
      <c r="A780" s="7">
        <v>1</v>
      </c>
      <c r="B780" s="87">
        <v>44317</v>
      </c>
      <c r="C780">
        <v>2021</v>
      </c>
      <c r="D780" s="10" t="s">
        <v>29</v>
      </c>
      <c r="E780" s="20">
        <v>5</v>
      </c>
      <c r="F780" s="127">
        <v>2.7440000000000002</v>
      </c>
      <c r="G780" s="127">
        <v>3.2000000000000001E-2</v>
      </c>
    </row>
    <row r="781" spans="1:14">
      <c r="A781" s="7">
        <v>17</v>
      </c>
      <c r="B781" s="87">
        <v>44317</v>
      </c>
      <c r="C781">
        <v>2021</v>
      </c>
      <c r="D781" s="10" t="s">
        <v>29</v>
      </c>
      <c r="E781" s="20">
        <v>5</v>
      </c>
      <c r="F781" s="127">
        <v>3.0289999999999999</v>
      </c>
      <c r="G781" s="127">
        <v>3.1E-2</v>
      </c>
    </row>
    <row r="782" spans="1:14">
      <c r="A782" s="7">
        <v>18</v>
      </c>
      <c r="B782" s="87">
        <v>44317</v>
      </c>
      <c r="C782">
        <v>2021</v>
      </c>
      <c r="D782" s="10" t="s">
        <v>29</v>
      </c>
      <c r="E782" s="20">
        <v>5</v>
      </c>
      <c r="F782" s="127">
        <v>4.306</v>
      </c>
      <c r="G782" s="127">
        <v>2.1000000000000001E-2</v>
      </c>
      <c r="I782" s="50">
        <f t="shared" ref="I782:J782" si="26">AVERAGE(F780:F782)</f>
        <v>3.359666666666667</v>
      </c>
      <c r="J782" s="50">
        <f t="shared" si="26"/>
        <v>2.8000000000000001E-2</v>
      </c>
      <c r="L782">
        <f t="shared" ref="L782" si="27">+J782/I782</f>
        <v>8.3341601349340207E-3</v>
      </c>
      <c r="M782">
        <f t="shared" ref="M782" si="28">+(L782-$L$913)/$L$914</f>
        <v>7.6306863706381109E-2</v>
      </c>
      <c r="N782">
        <f t="shared" ref="N782" si="29">+N779+M782</f>
        <v>-1.2677051967842685</v>
      </c>
    </row>
    <row r="783" spans="1:14">
      <c r="A783" s="7">
        <v>1</v>
      </c>
      <c r="B783" s="87">
        <v>44348</v>
      </c>
      <c r="C783">
        <v>2021</v>
      </c>
      <c r="D783" s="10" t="s">
        <v>30</v>
      </c>
      <c r="E783" s="20">
        <v>6</v>
      </c>
      <c r="F783" s="127">
        <v>6.8220000000000001</v>
      </c>
      <c r="G783" s="127">
        <v>1.7000000000000001E-2</v>
      </c>
    </row>
    <row r="784" spans="1:14">
      <c r="A784" s="7">
        <v>17</v>
      </c>
      <c r="B784" s="87">
        <v>44348</v>
      </c>
      <c r="C784">
        <v>2021</v>
      </c>
      <c r="D784" s="10" t="s">
        <v>30</v>
      </c>
      <c r="E784" s="20">
        <v>6</v>
      </c>
      <c r="F784" s="127">
        <v>5.68</v>
      </c>
      <c r="G784" s="127">
        <v>3.9E-2</v>
      </c>
    </row>
    <row r="785" spans="1:14">
      <c r="A785" s="7">
        <v>18</v>
      </c>
      <c r="B785" s="87">
        <v>44348</v>
      </c>
      <c r="C785">
        <v>2021</v>
      </c>
      <c r="D785" s="10" t="s">
        <v>30</v>
      </c>
      <c r="E785" s="20">
        <v>6</v>
      </c>
      <c r="F785" s="127">
        <v>6.3579999999999997</v>
      </c>
      <c r="G785" s="127">
        <v>2.5999999999999999E-2</v>
      </c>
      <c r="I785" s="50">
        <f t="shared" ref="I785:J785" si="30">AVERAGE(F783:F785)</f>
        <v>6.2866666666666662</v>
      </c>
      <c r="J785" s="50">
        <f t="shared" si="30"/>
        <v>2.7333333333333334E-2</v>
      </c>
      <c r="L785">
        <f t="shared" ref="L785" si="31">+J785/I785</f>
        <v>4.3478260869565227E-3</v>
      </c>
      <c r="M785">
        <f t="shared" ref="M785" si="32">+(L785-$L$913)/$L$914</f>
        <v>-0.17272866104967824</v>
      </c>
      <c r="N785">
        <f t="shared" ref="N785" si="33">+N782+M785</f>
        <v>-1.4404338578339468</v>
      </c>
    </row>
    <row r="786" spans="1:14">
      <c r="A786" s="7">
        <v>1</v>
      </c>
      <c r="B786" s="87">
        <v>44378</v>
      </c>
      <c r="C786">
        <v>2021</v>
      </c>
      <c r="D786" s="10" t="s">
        <v>31</v>
      </c>
      <c r="E786" s="20">
        <v>7</v>
      </c>
      <c r="H786" s="123" t="s">
        <v>93</v>
      </c>
    </row>
    <row r="787" spans="1:14">
      <c r="A787" s="7">
        <v>17</v>
      </c>
      <c r="B787" s="87">
        <v>44378</v>
      </c>
      <c r="C787">
        <v>2021</v>
      </c>
      <c r="D787" s="10" t="s">
        <v>31</v>
      </c>
      <c r="E787" s="20">
        <v>7</v>
      </c>
      <c r="H787" s="123" t="s">
        <v>94</v>
      </c>
    </row>
    <row r="788" spans="1:14">
      <c r="A788" s="7">
        <v>18</v>
      </c>
      <c r="B788" s="87">
        <v>44378</v>
      </c>
      <c r="C788">
        <v>2021</v>
      </c>
      <c r="D788" s="10" t="s">
        <v>31</v>
      </c>
      <c r="E788" s="20">
        <v>7</v>
      </c>
    </row>
    <row r="789" spans="1:14">
      <c r="A789" s="7">
        <v>1</v>
      </c>
      <c r="B789" s="87">
        <v>44409</v>
      </c>
      <c r="C789">
        <v>2021</v>
      </c>
      <c r="D789" s="10" t="s">
        <v>32</v>
      </c>
      <c r="E789" s="20">
        <v>8</v>
      </c>
      <c r="F789" s="127">
        <v>4.8929999999999998</v>
      </c>
      <c r="G789" s="127">
        <v>1.4E-2</v>
      </c>
    </row>
    <row r="790" spans="1:14">
      <c r="A790" s="7">
        <v>17</v>
      </c>
      <c r="B790" s="87">
        <v>44409</v>
      </c>
      <c r="C790">
        <v>2021</v>
      </c>
      <c r="D790" s="10" t="s">
        <v>32</v>
      </c>
      <c r="E790" s="20">
        <v>8</v>
      </c>
      <c r="F790" s="127">
        <v>4.8949999999999996</v>
      </c>
      <c r="G790" s="127">
        <v>2.7E-2</v>
      </c>
    </row>
    <row r="791" spans="1:14">
      <c r="A791" s="7">
        <v>18</v>
      </c>
      <c r="B791" s="87">
        <v>44409</v>
      </c>
      <c r="C791">
        <v>2021</v>
      </c>
      <c r="D791" s="10" t="s">
        <v>32</v>
      </c>
      <c r="E791" s="20">
        <v>8</v>
      </c>
      <c r="F791" s="127">
        <v>4.5140000000000002</v>
      </c>
      <c r="G791" s="127">
        <v>2.3E-2</v>
      </c>
      <c r="I791" s="50">
        <f>AVERAGE(F789:F791)</f>
        <v>4.7673333333333332</v>
      </c>
      <c r="J791" s="50">
        <f>AVERAGE(G789:G791)</f>
        <v>2.1333333333333333E-2</v>
      </c>
      <c r="L791">
        <f>+J791/I791</f>
        <v>4.4748986155782409E-3</v>
      </c>
      <c r="M791">
        <f>+(L791-$L$913)/$L$914</f>
        <v>-0.16479014574551185</v>
      </c>
      <c r="N791">
        <f>+N785+M791</f>
        <v>-1.6052240035794587</v>
      </c>
    </row>
    <row r="792" spans="1:14">
      <c r="A792" s="7">
        <v>1</v>
      </c>
      <c r="B792" s="87">
        <v>44440</v>
      </c>
      <c r="C792">
        <v>2021</v>
      </c>
      <c r="D792" s="10" t="s">
        <v>38</v>
      </c>
      <c r="E792" s="20">
        <v>9</v>
      </c>
      <c r="F792" s="127">
        <v>5.4139999999999997</v>
      </c>
      <c r="G792" s="127">
        <v>1.2999999999999999E-2</v>
      </c>
    </row>
    <row r="793" spans="1:14">
      <c r="A793" s="7">
        <v>17</v>
      </c>
      <c r="B793" s="87">
        <v>44440</v>
      </c>
      <c r="C793">
        <v>2021</v>
      </c>
      <c r="D793" s="10" t="s">
        <v>38</v>
      </c>
      <c r="E793" s="20">
        <v>9</v>
      </c>
      <c r="F793" s="127">
        <v>7.3550000000000004</v>
      </c>
      <c r="G793" s="127">
        <v>2.7E-2</v>
      </c>
    </row>
    <row r="794" spans="1:14">
      <c r="A794" s="7">
        <v>18</v>
      </c>
      <c r="B794" s="87">
        <v>44440</v>
      </c>
      <c r="C794">
        <v>2021</v>
      </c>
      <c r="D794" s="10" t="s">
        <v>38</v>
      </c>
      <c r="E794" s="20">
        <v>9</v>
      </c>
      <c r="F794" s="127">
        <v>3.3109999999999999</v>
      </c>
      <c r="G794" s="127">
        <v>1.6E-2</v>
      </c>
      <c r="I794" s="50">
        <f>AVERAGE(F792:F794)</f>
        <v>5.3599999999999994</v>
      </c>
      <c r="J794" s="50">
        <f>AVERAGE(G792:G794)</f>
        <v>1.8666666666666668E-2</v>
      </c>
      <c r="L794">
        <f>+J794/I794</f>
        <v>3.4825870646766175E-3</v>
      </c>
      <c r="M794">
        <f>+(L794-$L$913)/$L$914</f>
        <v>-0.22678214762645402</v>
      </c>
      <c r="N794">
        <f>+N791+M794</f>
        <v>-1.8320061512059127</v>
      </c>
    </row>
    <row r="795" spans="1:14">
      <c r="A795" s="7">
        <v>1</v>
      </c>
      <c r="B795" s="87">
        <v>44470</v>
      </c>
      <c r="C795">
        <v>2021</v>
      </c>
      <c r="D795" s="10" t="s">
        <v>34</v>
      </c>
      <c r="E795" s="20">
        <v>10</v>
      </c>
      <c r="F795" s="127">
        <v>0.98599999999999999</v>
      </c>
      <c r="G795" s="127">
        <v>9.9989999999999996E-4</v>
      </c>
    </row>
    <row r="796" spans="1:14">
      <c r="A796" s="7">
        <v>17</v>
      </c>
      <c r="B796" s="87">
        <v>44470</v>
      </c>
      <c r="C796">
        <v>2021</v>
      </c>
      <c r="D796" s="10" t="s">
        <v>34</v>
      </c>
      <c r="E796" s="20">
        <v>10</v>
      </c>
      <c r="F796" s="127">
        <v>1.036</v>
      </c>
      <c r="G796" s="127">
        <v>9.9989999999999996E-4</v>
      </c>
    </row>
    <row r="797" spans="1:14">
      <c r="A797" s="7">
        <v>18</v>
      </c>
      <c r="B797" s="87">
        <v>44470</v>
      </c>
      <c r="C797">
        <v>2021</v>
      </c>
      <c r="D797" s="10" t="s">
        <v>34</v>
      </c>
      <c r="E797" s="20">
        <v>10</v>
      </c>
      <c r="F797" s="127">
        <v>1.01</v>
      </c>
      <c r="G797" s="127">
        <v>9.9989999999999996E-4</v>
      </c>
      <c r="I797" s="50">
        <f t="shared" ref="I797:J797" si="34">AVERAGE(F795:F797)</f>
        <v>1.0106666666666666</v>
      </c>
      <c r="J797" s="50">
        <f t="shared" si="34"/>
        <v>9.9989999999999996E-4</v>
      </c>
      <c r="L797">
        <f t="shared" ref="L797" si="35">+J797/I797</f>
        <v>9.8934696569920842E-4</v>
      </c>
      <c r="M797">
        <f t="shared" ref="M797" si="36">+(L797-$L$913)/$L$914</f>
        <v>-0.3825406337239024</v>
      </c>
      <c r="N797">
        <f t="shared" ref="N797" si="37">+N794+M797</f>
        <v>-2.2145467849298153</v>
      </c>
    </row>
    <row r="798" spans="1:14">
      <c r="A798" s="7">
        <v>1</v>
      </c>
      <c r="B798" s="87">
        <v>44501</v>
      </c>
      <c r="C798">
        <v>2021</v>
      </c>
      <c r="D798" s="10" t="s">
        <v>35</v>
      </c>
      <c r="E798" s="20">
        <v>11</v>
      </c>
      <c r="F798" s="127">
        <v>0.96499999999999997</v>
      </c>
      <c r="G798" s="127">
        <v>9.9989999999999996E-4</v>
      </c>
    </row>
    <row r="799" spans="1:14">
      <c r="A799" s="7">
        <v>17</v>
      </c>
      <c r="B799" s="87">
        <v>44501</v>
      </c>
      <c r="C799">
        <v>2021</v>
      </c>
      <c r="D799" s="10" t="s">
        <v>35</v>
      </c>
      <c r="E799" s="20">
        <v>11</v>
      </c>
      <c r="F799" s="127">
        <v>1.0660000000000001</v>
      </c>
      <c r="G799" s="127">
        <v>9.9989999999999996E-4</v>
      </c>
    </row>
    <row r="800" spans="1:14">
      <c r="A800" s="7">
        <v>18</v>
      </c>
      <c r="B800" s="87">
        <v>44501</v>
      </c>
      <c r="C800">
        <v>2021</v>
      </c>
      <c r="D800" s="10" t="s">
        <v>35</v>
      </c>
      <c r="E800" s="20">
        <v>11</v>
      </c>
      <c r="F800" s="127">
        <v>0.88800000000000001</v>
      </c>
      <c r="G800" s="127">
        <v>9.9989999999999996E-4</v>
      </c>
      <c r="I800" s="50">
        <f t="shared" ref="I800:J800" si="38">AVERAGE(F798:F800)</f>
        <v>0.97299999999999998</v>
      </c>
      <c r="J800" s="50">
        <f t="shared" si="38"/>
        <v>9.9989999999999996E-4</v>
      </c>
      <c r="L800">
        <f t="shared" ref="L800" si="39">+J800/I800</f>
        <v>1.0276464542651592E-3</v>
      </c>
      <c r="M800">
        <f t="shared" ref="M800" si="40">+(L800-$L$913)/$L$914</f>
        <v>-0.38014797592901706</v>
      </c>
      <c r="N800">
        <f t="shared" ref="N800" si="41">+N797+M800</f>
        <v>-2.5946947608588324</v>
      </c>
    </row>
    <row r="801" spans="1:14">
      <c r="A801" s="7">
        <v>1</v>
      </c>
      <c r="B801" s="88">
        <v>44531</v>
      </c>
      <c r="C801">
        <v>2021</v>
      </c>
      <c r="D801" s="10" t="s">
        <v>36</v>
      </c>
      <c r="E801" s="20">
        <v>12</v>
      </c>
      <c r="F801" s="127">
        <v>1.1200000000000001</v>
      </c>
      <c r="G801" s="127">
        <v>1.4999999999999999E-2</v>
      </c>
    </row>
    <row r="802" spans="1:14">
      <c r="A802" s="7">
        <v>17</v>
      </c>
      <c r="B802" s="87">
        <v>44531</v>
      </c>
      <c r="C802">
        <v>2021</v>
      </c>
      <c r="D802" s="10" t="s">
        <v>36</v>
      </c>
      <c r="E802" s="20">
        <v>12</v>
      </c>
      <c r="F802" s="127">
        <v>0.84899999999999998</v>
      </c>
      <c r="G802" s="127">
        <v>1.0999999999999999E-2</v>
      </c>
    </row>
    <row r="803" spans="1:14">
      <c r="A803" s="7">
        <v>18</v>
      </c>
      <c r="B803" s="87">
        <v>44531</v>
      </c>
      <c r="C803">
        <v>2021</v>
      </c>
      <c r="D803" s="10" t="s">
        <v>36</v>
      </c>
      <c r="E803" s="20">
        <v>12</v>
      </c>
      <c r="F803" s="127">
        <v>1.1419999999999999</v>
      </c>
      <c r="G803" s="127">
        <v>1.4999999999999999E-2</v>
      </c>
      <c r="I803" s="50">
        <f t="shared" ref="I803:J803" si="42">AVERAGE(F801:F803)</f>
        <v>1.0369999999999999</v>
      </c>
      <c r="J803" s="50">
        <f t="shared" si="42"/>
        <v>1.3666666666666666E-2</v>
      </c>
      <c r="L803">
        <f t="shared" ref="L803" si="43">+J803/I803</f>
        <v>1.3179042108646738E-2</v>
      </c>
      <c r="M803">
        <f t="shared" ref="M803" si="44">+(L803-$L$913)/$L$914</f>
        <v>0.37897786673405554</v>
      </c>
      <c r="N803">
        <f t="shared" ref="N803" si="45">+N800+M803</f>
        <v>-2.2157168941247769</v>
      </c>
    </row>
    <row r="804" spans="1:14">
      <c r="A804" s="120">
        <v>1</v>
      </c>
      <c r="B804" s="126">
        <v>44571</v>
      </c>
      <c r="C804" s="48">
        <v>2022</v>
      </c>
      <c r="D804" s="45" t="s">
        <v>37</v>
      </c>
      <c r="E804" s="43">
        <v>1</v>
      </c>
      <c r="H804" s="123" t="s">
        <v>99</v>
      </c>
    </row>
    <row r="805" spans="1:14">
      <c r="A805" s="7">
        <v>17</v>
      </c>
      <c r="B805" s="89">
        <v>44566</v>
      </c>
      <c r="C805">
        <v>2022</v>
      </c>
      <c r="D805" s="10" t="s">
        <v>37</v>
      </c>
      <c r="E805" s="20">
        <v>1</v>
      </c>
      <c r="H805" s="123" t="s">
        <v>95</v>
      </c>
    </row>
    <row r="806" spans="1:14">
      <c r="A806" s="7">
        <v>18</v>
      </c>
      <c r="B806" s="89">
        <v>44566</v>
      </c>
      <c r="C806">
        <v>2022</v>
      </c>
      <c r="D806" s="10" t="s">
        <v>37</v>
      </c>
      <c r="E806" s="20">
        <v>1</v>
      </c>
      <c r="H806" s="123" t="s">
        <v>96</v>
      </c>
    </row>
    <row r="807" spans="1:14">
      <c r="A807" s="7">
        <v>1</v>
      </c>
      <c r="B807" s="87">
        <v>44593</v>
      </c>
      <c r="C807">
        <v>2022</v>
      </c>
      <c r="D807" s="10" t="s">
        <v>26</v>
      </c>
      <c r="E807" s="20">
        <v>2</v>
      </c>
    </row>
    <row r="808" spans="1:14">
      <c r="A808" s="7">
        <v>17</v>
      </c>
      <c r="B808" s="87">
        <v>44593</v>
      </c>
      <c r="C808">
        <v>2022</v>
      </c>
      <c r="D808" s="10" t="s">
        <v>26</v>
      </c>
      <c r="E808" s="20">
        <v>2</v>
      </c>
    </row>
    <row r="809" spans="1:14">
      <c r="A809" s="7">
        <v>18</v>
      </c>
      <c r="B809" s="87">
        <v>44593</v>
      </c>
      <c r="C809">
        <v>2022</v>
      </c>
      <c r="D809" s="10" t="s">
        <v>26</v>
      </c>
      <c r="E809" s="20">
        <v>2</v>
      </c>
    </row>
    <row r="810" spans="1:14">
      <c r="A810" s="7">
        <v>1</v>
      </c>
      <c r="B810" s="87">
        <v>44621</v>
      </c>
      <c r="C810">
        <v>2022</v>
      </c>
      <c r="D810" s="10" t="s">
        <v>27</v>
      </c>
      <c r="E810" s="20">
        <v>3</v>
      </c>
    </row>
    <row r="811" spans="1:14">
      <c r="A811" s="7">
        <v>17</v>
      </c>
      <c r="B811" s="87">
        <v>44621</v>
      </c>
      <c r="C811">
        <v>2022</v>
      </c>
      <c r="D811" s="10" t="s">
        <v>27</v>
      </c>
      <c r="E811" s="20">
        <v>3</v>
      </c>
    </row>
    <row r="812" spans="1:14">
      <c r="A812" s="7">
        <v>18</v>
      </c>
      <c r="B812" s="87">
        <v>44621</v>
      </c>
      <c r="C812">
        <v>2022</v>
      </c>
      <c r="D812" s="10" t="s">
        <v>27</v>
      </c>
      <c r="E812" s="20">
        <v>3</v>
      </c>
    </row>
    <row r="813" spans="1:14">
      <c r="A813" s="7">
        <v>1</v>
      </c>
      <c r="B813" s="87">
        <v>44652</v>
      </c>
      <c r="C813">
        <v>2022</v>
      </c>
      <c r="D813" s="10" t="s">
        <v>28</v>
      </c>
      <c r="E813" s="20">
        <v>4</v>
      </c>
    </row>
    <row r="814" spans="1:14">
      <c r="A814" s="7">
        <v>17</v>
      </c>
      <c r="B814" s="87">
        <v>44652</v>
      </c>
      <c r="C814">
        <v>2022</v>
      </c>
      <c r="D814" s="10" t="s">
        <v>28</v>
      </c>
      <c r="E814" s="20">
        <v>4</v>
      </c>
    </row>
    <row r="815" spans="1:14">
      <c r="A815" s="7">
        <v>18</v>
      </c>
      <c r="B815" s="87">
        <v>44652</v>
      </c>
      <c r="C815">
        <v>2022</v>
      </c>
      <c r="D815" s="10" t="s">
        <v>28</v>
      </c>
      <c r="E815" s="20">
        <v>4</v>
      </c>
    </row>
    <row r="816" spans="1:14">
      <c r="A816" s="7">
        <v>1</v>
      </c>
      <c r="B816" s="87">
        <v>44682</v>
      </c>
      <c r="C816">
        <v>2022</v>
      </c>
      <c r="D816" s="10" t="s">
        <v>29</v>
      </c>
      <c r="E816" s="20">
        <v>5</v>
      </c>
    </row>
    <row r="817" spans="1:5">
      <c r="A817" s="7">
        <v>17</v>
      </c>
      <c r="B817" s="87">
        <v>44682</v>
      </c>
      <c r="C817">
        <v>2022</v>
      </c>
      <c r="D817" s="10" t="s">
        <v>29</v>
      </c>
      <c r="E817" s="20">
        <v>5</v>
      </c>
    </row>
    <row r="818" spans="1:5">
      <c r="A818" s="7">
        <v>18</v>
      </c>
      <c r="B818" s="87">
        <v>44682</v>
      </c>
      <c r="C818">
        <v>2022</v>
      </c>
      <c r="D818" s="10" t="s">
        <v>29</v>
      </c>
      <c r="E818" s="20">
        <v>5</v>
      </c>
    </row>
    <row r="819" spans="1:5">
      <c r="A819" s="7">
        <v>1</v>
      </c>
      <c r="B819" s="87">
        <v>44713</v>
      </c>
      <c r="C819">
        <v>2022</v>
      </c>
      <c r="D819" s="10" t="s">
        <v>30</v>
      </c>
      <c r="E819" s="20">
        <v>6</v>
      </c>
    </row>
    <row r="820" spans="1:5">
      <c r="A820" s="7">
        <v>17</v>
      </c>
      <c r="B820" s="87">
        <v>44713</v>
      </c>
      <c r="C820">
        <v>2022</v>
      </c>
      <c r="D820" s="10" t="s">
        <v>30</v>
      </c>
      <c r="E820" s="20">
        <v>6</v>
      </c>
    </row>
    <row r="821" spans="1:5">
      <c r="A821" s="7">
        <v>18</v>
      </c>
      <c r="B821" s="87">
        <v>44713</v>
      </c>
      <c r="C821">
        <v>2022</v>
      </c>
      <c r="D821" s="10" t="s">
        <v>30</v>
      </c>
      <c r="E821" s="20">
        <v>6</v>
      </c>
    </row>
    <row r="822" spans="1:5">
      <c r="A822" s="7">
        <v>1</v>
      </c>
      <c r="B822" s="87">
        <v>44743</v>
      </c>
      <c r="C822">
        <v>2022</v>
      </c>
      <c r="D822" s="10" t="s">
        <v>31</v>
      </c>
      <c r="E822" s="20">
        <v>7</v>
      </c>
    </row>
    <row r="823" spans="1:5">
      <c r="A823" s="7">
        <v>17</v>
      </c>
      <c r="B823" s="87">
        <v>44743</v>
      </c>
      <c r="C823">
        <v>2022</v>
      </c>
      <c r="D823" s="10" t="s">
        <v>31</v>
      </c>
      <c r="E823" s="20">
        <v>7</v>
      </c>
    </row>
    <row r="824" spans="1:5">
      <c r="A824" s="7">
        <v>18</v>
      </c>
      <c r="B824" s="87">
        <v>44743</v>
      </c>
      <c r="C824">
        <v>2022</v>
      </c>
      <c r="D824" s="10" t="s">
        <v>31</v>
      </c>
      <c r="E824" s="20">
        <v>7</v>
      </c>
    </row>
    <row r="825" spans="1:5">
      <c r="A825" s="7">
        <v>1</v>
      </c>
      <c r="B825" s="87">
        <v>44774</v>
      </c>
      <c r="C825">
        <v>2022</v>
      </c>
      <c r="D825" s="10" t="s">
        <v>32</v>
      </c>
      <c r="E825" s="20">
        <v>8</v>
      </c>
    </row>
    <row r="826" spans="1:5">
      <c r="A826" s="7">
        <v>17</v>
      </c>
      <c r="B826" s="87">
        <v>44774</v>
      </c>
      <c r="C826">
        <v>2022</v>
      </c>
      <c r="D826" s="10" t="s">
        <v>32</v>
      </c>
      <c r="E826" s="20">
        <v>8</v>
      </c>
    </row>
    <row r="827" spans="1:5">
      <c r="A827" s="7">
        <v>18</v>
      </c>
      <c r="B827" s="87">
        <v>44774</v>
      </c>
      <c r="C827">
        <v>2022</v>
      </c>
      <c r="D827" s="10" t="s">
        <v>32</v>
      </c>
      <c r="E827" s="20">
        <v>8</v>
      </c>
    </row>
    <row r="828" spans="1:5">
      <c r="A828" s="7">
        <v>1</v>
      </c>
      <c r="B828" s="87">
        <v>44805</v>
      </c>
      <c r="C828">
        <v>2022</v>
      </c>
      <c r="D828" s="10" t="s">
        <v>38</v>
      </c>
      <c r="E828" s="20">
        <v>9</v>
      </c>
    </row>
    <row r="829" spans="1:5">
      <c r="A829" s="7">
        <v>17</v>
      </c>
      <c r="B829" s="87">
        <v>44805</v>
      </c>
      <c r="C829">
        <v>2022</v>
      </c>
      <c r="D829" s="10" t="s">
        <v>38</v>
      </c>
      <c r="E829" s="20">
        <v>9</v>
      </c>
    </row>
    <row r="830" spans="1:5">
      <c r="A830" s="7">
        <v>18</v>
      </c>
      <c r="B830" s="87">
        <v>44805</v>
      </c>
      <c r="C830">
        <v>2022</v>
      </c>
      <c r="D830" s="10" t="s">
        <v>38</v>
      </c>
      <c r="E830" s="20">
        <v>9</v>
      </c>
    </row>
    <row r="831" spans="1:5">
      <c r="A831" s="7">
        <v>1</v>
      </c>
      <c r="B831" s="87">
        <v>44835</v>
      </c>
      <c r="C831">
        <v>2022</v>
      </c>
      <c r="D831" s="10" t="s">
        <v>34</v>
      </c>
      <c r="E831" s="20">
        <v>10</v>
      </c>
    </row>
    <row r="832" spans="1:5">
      <c r="A832" s="7">
        <v>17</v>
      </c>
      <c r="B832" s="87">
        <v>44835</v>
      </c>
      <c r="C832">
        <v>2022</v>
      </c>
      <c r="D832" s="10" t="s">
        <v>34</v>
      </c>
      <c r="E832" s="20">
        <v>10</v>
      </c>
    </row>
    <row r="833" spans="1:14">
      <c r="A833" s="7">
        <v>18</v>
      </c>
      <c r="B833" s="87">
        <v>44835</v>
      </c>
      <c r="C833">
        <v>2022</v>
      </c>
      <c r="D833" s="10" t="s">
        <v>34</v>
      </c>
      <c r="E833" s="20">
        <v>10</v>
      </c>
    </row>
    <row r="834" spans="1:14">
      <c r="A834" s="7">
        <v>1</v>
      </c>
      <c r="B834" s="87">
        <v>44866</v>
      </c>
      <c r="C834">
        <v>2022</v>
      </c>
      <c r="D834" s="10" t="s">
        <v>35</v>
      </c>
      <c r="E834" s="20">
        <v>11</v>
      </c>
    </row>
    <row r="835" spans="1:14">
      <c r="A835" s="7">
        <v>17</v>
      </c>
      <c r="B835" s="87">
        <v>44866</v>
      </c>
      <c r="C835">
        <v>2022</v>
      </c>
      <c r="D835" s="10" t="s">
        <v>35</v>
      </c>
      <c r="E835" s="20">
        <v>11</v>
      </c>
    </row>
    <row r="836" spans="1:14">
      <c r="A836" s="7">
        <v>18</v>
      </c>
      <c r="B836" s="87">
        <v>44866</v>
      </c>
      <c r="C836">
        <v>2022</v>
      </c>
      <c r="D836" s="10" t="s">
        <v>35</v>
      </c>
      <c r="E836" s="20">
        <v>11</v>
      </c>
    </row>
    <row r="837" spans="1:14">
      <c r="A837" s="7">
        <v>1</v>
      </c>
      <c r="B837" s="88">
        <v>44896</v>
      </c>
      <c r="C837">
        <v>2022</v>
      </c>
      <c r="D837" s="10" t="s">
        <v>36</v>
      </c>
      <c r="E837" s="20">
        <v>12</v>
      </c>
    </row>
    <row r="838" spans="1:14">
      <c r="A838" s="7">
        <v>17</v>
      </c>
      <c r="B838" s="87">
        <v>44896</v>
      </c>
      <c r="C838">
        <v>2022</v>
      </c>
      <c r="D838" s="10" t="s">
        <v>36</v>
      </c>
      <c r="E838" s="20">
        <v>12</v>
      </c>
    </row>
    <row r="839" spans="1:14">
      <c r="A839" s="7">
        <v>18</v>
      </c>
      <c r="B839" s="87">
        <v>44896</v>
      </c>
      <c r="C839">
        <v>2022</v>
      </c>
      <c r="D839" s="10" t="s">
        <v>36</v>
      </c>
      <c r="E839" s="20">
        <v>12</v>
      </c>
    </row>
    <row r="840" spans="1:14">
      <c r="A840" s="120">
        <v>1</v>
      </c>
      <c r="B840" s="126">
        <v>44936</v>
      </c>
      <c r="C840" s="48">
        <v>2023</v>
      </c>
      <c r="D840" s="45" t="s">
        <v>37</v>
      </c>
      <c r="E840" s="43">
        <v>1</v>
      </c>
      <c r="F840" s="128">
        <v>3.77</v>
      </c>
      <c r="G840" s="127">
        <v>9.9989999999999996E-4</v>
      </c>
    </row>
    <row r="841" spans="1:14">
      <c r="A841" s="7">
        <v>17</v>
      </c>
      <c r="B841" s="89">
        <v>44931</v>
      </c>
      <c r="C841">
        <v>2023</v>
      </c>
      <c r="D841" s="10" t="s">
        <v>37</v>
      </c>
      <c r="E841" s="20">
        <v>1</v>
      </c>
      <c r="F841" s="128">
        <v>3.8769999999999998</v>
      </c>
      <c r="G841" s="127">
        <v>8.0000000000000002E-3</v>
      </c>
    </row>
    <row r="842" spans="1:14">
      <c r="A842" s="7">
        <v>18</v>
      </c>
      <c r="B842" s="89">
        <v>44931</v>
      </c>
      <c r="C842">
        <v>2023</v>
      </c>
      <c r="D842" s="10" t="s">
        <v>37</v>
      </c>
      <c r="E842" s="20">
        <v>1</v>
      </c>
      <c r="F842" s="128">
        <v>3.2709999999999999</v>
      </c>
      <c r="G842" s="127">
        <v>8.9999999999999993E-3</v>
      </c>
      <c r="I842" s="50">
        <f>AVERAGE(F840:F842)</f>
        <v>3.6393333333333331</v>
      </c>
      <c r="J842" s="50">
        <f>AVERAGE(G840:G842)</f>
        <v>5.9999666666666661E-3</v>
      </c>
      <c r="L842">
        <f>+J842/I842</f>
        <v>1.6486444403736949E-3</v>
      </c>
      <c r="M842">
        <f>+(L842-$L$913)/$L$914</f>
        <v>-0.34135279281548486</v>
      </c>
      <c r="N842">
        <f>+N803+M842</f>
        <v>-2.5570696869402618</v>
      </c>
    </row>
    <row r="843" spans="1:14">
      <c r="A843" s="7">
        <v>1</v>
      </c>
      <c r="B843" s="87">
        <v>44958</v>
      </c>
      <c r="C843">
        <v>2023</v>
      </c>
      <c r="D843" s="10" t="s">
        <v>26</v>
      </c>
      <c r="E843" s="20">
        <v>2</v>
      </c>
      <c r="F843" s="129">
        <v>2.9430000000000001</v>
      </c>
      <c r="G843" s="129">
        <v>3.1E-2</v>
      </c>
    </row>
    <row r="844" spans="1:14">
      <c r="A844" s="7">
        <v>17</v>
      </c>
      <c r="B844" s="87">
        <v>44958</v>
      </c>
      <c r="C844">
        <v>2023</v>
      </c>
      <c r="D844" s="10" t="s">
        <v>26</v>
      </c>
      <c r="E844" s="20">
        <v>2</v>
      </c>
      <c r="F844" s="129">
        <v>2.625</v>
      </c>
      <c r="G844" s="129">
        <v>2.9000000000000001E-2</v>
      </c>
    </row>
    <row r="845" spans="1:14">
      <c r="A845" s="7">
        <v>18</v>
      </c>
      <c r="B845" s="87">
        <v>44958</v>
      </c>
      <c r="C845">
        <v>2023</v>
      </c>
      <c r="D845" s="10" t="s">
        <v>26</v>
      </c>
      <c r="E845" s="20">
        <v>2</v>
      </c>
      <c r="F845" s="129">
        <v>2.3980000000000001</v>
      </c>
      <c r="G845" s="129">
        <v>2.4E-2</v>
      </c>
      <c r="I845">
        <f>AVERAGE(F843:F845)</f>
        <v>2.6553333333333331</v>
      </c>
      <c r="J845">
        <f>AVERAGE(G843:G845)</f>
        <v>2.7999999999999997E-2</v>
      </c>
      <c r="L845">
        <f>+J845/I845</f>
        <v>1.054481546572935E-2</v>
      </c>
      <c r="M845">
        <f>+(L845-$L$913)/$L$914</f>
        <v>0.21441162455518953</v>
      </c>
      <c r="N845">
        <f>+N842+M845</f>
        <v>-2.3426580623850723</v>
      </c>
    </row>
    <row r="846" spans="1:14">
      <c r="A846" s="7">
        <v>1</v>
      </c>
      <c r="B846" s="87">
        <v>44986</v>
      </c>
      <c r="C846">
        <v>2023</v>
      </c>
      <c r="D846" s="10" t="s">
        <v>27</v>
      </c>
      <c r="E846" s="20">
        <v>3</v>
      </c>
      <c r="F846" s="129">
        <v>1.3979999999999999</v>
      </c>
      <c r="G846" s="129">
        <v>1E-3</v>
      </c>
    </row>
    <row r="847" spans="1:14">
      <c r="A847" s="7">
        <v>17</v>
      </c>
      <c r="B847" s="87">
        <v>44986</v>
      </c>
      <c r="C847">
        <v>2023</v>
      </c>
      <c r="D847" s="10" t="s">
        <v>27</v>
      </c>
      <c r="E847" s="20">
        <v>3</v>
      </c>
      <c r="F847" s="129">
        <v>1.9</v>
      </c>
      <c r="G847" s="129">
        <v>5.7000000000000002E-2</v>
      </c>
    </row>
    <row r="848" spans="1:14">
      <c r="A848" s="7">
        <v>18</v>
      </c>
      <c r="B848" s="87">
        <v>44986</v>
      </c>
      <c r="C848">
        <v>2023</v>
      </c>
      <c r="D848" s="10" t="s">
        <v>27</v>
      </c>
      <c r="E848" s="20">
        <v>3</v>
      </c>
      <c r="F848" s="129">
        <v>2.2679999999999998</v>
      </c>
      <c r="G848" s="129">
        <v>5.1999999999999998E-2</v>
      </c>
      <c r="I848">
        <f t="shared" ref="I848:J848" si="46">AVERAGE(F846:F848)</f>
        <v>1.8553333333333333</v>
      </c>
      <c r="J848">
        <f t="shared" si="46"/>
        <v>3.6666666666666667E-2</v>
      </c>
      <c r="L848">
        <f t="shared" ref="L848" si="47">+J848/I848</f>
        <v>1.9762845849802372E-2</v>
      </c>
      <c r="M848">
        <f t="shared" ref="M848" si="48">+(L848-$L$913)/$L$914</f>
        <v>0.79028334184883331</v>
      </c>
      <c r="N848">
        <f t="shared" ref="N848" si="49">+N845+M848</f>
        <v>-1.552374720536239</v>
      </c>
    </row>
    <row r="849" spans="1:14">
      <c r="A849" s="7">
        <v>1</v>
      </c>
      <c r="B849" s="87">
        <v>45017</v>
      </c>
      <c r="C849">
        <v>2023</v>
      </c>
      <c r="D849" s="10" t="s">
        <v>28</v>
      </c>
      <c r="E849" s="20">
        <v>4</v>
      </c>
      <c r="F849" s="129">
        <v>1.302</v>
      </c>
      <c r="G849" s="129">
        <v>1E-3</v>
      </c>
    </row>
    <row r="850" spans="1:14">
      <c r="A850" s="7">
        <v>17</v>
      </c>
      <c r="B850" s="87">
        <v>45017</v>
      </c>
      <c r="C850">
        <v>2023</v>
      </c>
      <c r="D850" s="10" t="s">
        <v>28</v>
      </c>
      <c r="E850" s="20">
        <v>4</v>
      </c>
      <c r="F850" s="129">
        <v>3.2050000000000001</v>
      </c>
      <c r="G850" s="129">
        <v>8.8999999999999996E-2</v>
      </c>
    </row>
    <row r="851" spans="1:14">
      <c r="A851" s="7">
        <v>18</v>
      </c>
      <c r="B851" s="87">
        <v>45017</v>
      </c>
      <c r="C851">
        <v>2023</v>
      </c>
      <c r="D851" s="10" t="s">
        <v>28</v>
      </c>
      <c r="E851" s="20">
        <v>4</v>
      </c>
      <c r="F851" s="129">
        <v>2.0609999999999999</v>
      </c>
      <c r="G851" s="129">
        <v>4.2000000000000003E-2</v>
      </c>
      <c r="I851">
        <f t="shared" ref="I851:J851" si="50">AVERAGE(F849:F851)</f>
        <v>2.1893333333333334</v>
      </c>
      <c r="J851">
        <f t="shared" si="50"/>
        <v>4.4000000000000004E-2</v>
      </c>
      <c r="L851">
        <f t="shared" ref="L851" si="51">+J851/I851</f>
        <v>2.0097442143727162E-2</v>
      </c>
      <c r="M851">
        <f t="shared" ref="M851" si="52">+(L851-$L$913)/$L$914</f>
        <v>0.81118634762710451</v>
      </c>
      <c r="N851">
        <f t="shared" ref="N851" si="53">+N848+M851</f>
        <v>-0.74118837290913453</v>
      </c>
    </row>
    <row r="852" spans="1:14">
      <c r="A852" s="7">
        <v>1</v>
      </c>
      <c r="B852" s="87">
        <v>45047</v>
      </c>
      <c r="C852">
        <v>2023</v>
      </c>
      <c r="D852" s="10" t="s">
        <v>29</v>
      </c>
      <c r="E852" s="20">
        <v>5</v>
      </c>
      <c r="F852" s="129">
        <v>1.4450000000000001</v>
      </c>
      <c r="G852" s="130">
        <v>9.9989999999999996E-4</v>
      </c>
    </row>
    <row r="853" spans="1:14">
      <c r="A853" s="7">
        <v>17</v>
      </c>
      <c r="B853" s="87">
        <v>45047</v>
      </c>
      <c r="C853">
        <v>2023</v>
      </c>
      <c r="D853" s="10" t="s">
        <v>29</v>
      </c>
      <c r="E853" s="20">
        <v>5</v>
      </c>
      <c r="F853" s="129">
        <v>3.4039999999999999</v>
      </c>
      <c r="G853" s="129">
        <v>2.5999999999999999E-2</v>
      </c>
    </row>
    <row r="854" spans="1:14">
      <c r="A854" s="7">
        <v>18</v>
      </c>
      <c r="B854" s="87">
        <v>45047</v>
      </c>
      <c r="C854">
        <v>2023</v>
      </c>
      <c r="D854" s="10" t="s">
        <v>29</v>
      </c>
      <c r="E854" s="20">
        <v>5</v>
      </c>
      <c r="F854" s="129">
        <v>3.3319999999999999</v>
      </c>
      <c r="G854" s="129">
        <v>4.5999999999999999E-2</v>
      </c>
      <c r="I854">
        <f t="shared" ref="I854:J854" si="54">AVERAGE(F852:F854)</f>
        <v>2.7270000000000003</v>
      </c>
      <c r="J854">
        <f t="shared" si="54"/>
        <v>2.4333300000000002E-2</v>
      </c>
      <c r="L854">
        <f t="shared" ref="L854" si="55">+J854/I854</f>
        <v>8.9231023102310236E-3</v>
      </c>
      <c r="M854">
        <f t="shared" ref="M854" si="56">+(L854-$L$913)/$L$914</f>
        <v>0.11309944604164157</v>
      </c>
      <c r="N854">
        <f t="shared" ref="N854" si="57">+N851+M854</f>
        <v>-0.62808892686749296</v>
      </c>
    </row>
    <row r="855" spans="1:14">
      <c r="A855" s="7">
        <v>1</v>
      </c>
      <c r="B855" s="87">
        <v>45078</v>
      </c>
      <c r="C855">
        <v>2023</v>
      </c>
      <c r="D855" s="10" t="s">
        <v>30</v>
      </c>
      <c r="E855" s="20">
        <v>6</v>
      </c>
      <c r="F855" s="129">
        <v>3.5129999999999999</v>
      </c>
      <c r="G855" s="129">
        <v>2.5000000000000001E-2</v>
      </c>
    </row>
    <row r="856" spans="1:14">
      <c r="A856" s="7">
        <v>17</v>
      </c>
      <c r="B856" s="87">
        <v>45078</v>
      </c>
      <c r="C856">
        <v>2023</v>
      </c>
      <c r="D856" s="10" t="s">
        <v>30</v>
      </c>
      <c r="E856" s="20">
        <v>6</v>
      </c>
      <c r="F856" s="129">
        <v>2.95</v>
      </c>
      <c r="G856" s="129">
        <v>5.0999999999999997E-2</v>
      </c>
    </row>
    <row r="857" spans="1:14">
      <c r="A857" s="7">
        <v>18</v>
      </c>
      <c r="B857" s="87">
        <v>45078</v>
      </c>
      <c r="C857">
        <v>2023</v>
      </c>
      <c r="D857" s="10" t="s">
        <v>30</v>
      </c>
      <c r="E857" s="20">
        <v>6</v>
      </c>
      <c r="F857" s="129">
        <v>5.883</v>
      </c>
      <c r="G857" s="129">
        <v>1.6E-2</v>
      </c>
      <c r="I857">
        <f t="shared" ref="I857:J857" si="58">AVERAGE(F855:F857)</f>
        <v>4.1153333333333331</v>
      </c>
      <c r="J857">
        <f t="shared" si="58"/>
        <v>3.0666666666666665E-2</v>
      </c>
      <c r="L857">
        <f t="shared" ref="L857" si="59">+J857/I857</f>
        <v>7.4518062530374209E-3</v>
      </c>
      <c r="M857">
        <f t="shared" ref="M857" si="60">+(L857-$L$913)/$L$914</f>
        <v>2.1184172192319089E-2</v>
      </c>
      <c r="N857">
        <f t="shared" ref="N857" si="61">+N854+M857</f>
        <v>-0.60690475467517391</v>
      </c>
    </row>
    <row r="858" spans="1:14">
      <c r="A858" s="7">
        <v>1</v>
      </c>
      <c r="B858" s="87">
        <v>45108</v>
      </c>
      <c r="C858">
        <v>2023</v>
      </c>
      <c r="D858" s="10" t="s">
        <v>31</v>
      </c>
      <c r="E858" s="20">
        <v>7</v>
      </c>
      <c r="F858" s="129">
        <v>7.6829999999999998</v>
      </c>
      <c r="G858" s="129">
        <v>4.4999999999999998E-2</v>
      </c>
    </row>
    <row r="859" spans="1:14">
      <c r="A859" s="7">
        <v>17</v>
      </c>
      <c r="B859" s="87">
        <v>45108</v>
      </c>
      <c r="C859">
        <v>2023</v>
      </c>
      <c r="D859" s="10" t="s">
        <v>31</v>
      </c>
      <c r="E859" s="20">
        <v>7</v>
      </c>
      <c r="F859" s="129">
        <v>3.7709999999999999</v>
      </c>
      <c r="G859" s="129">
        <v>7.9000000000000001E-2</v>
      </c>
    </row>
    <row r="860" spans="1:14">
      <c r="A860" s="7">
        <v>18</v>
      </c>
      <c r="B860" s="87">
        <v>45108</v>
      </c>
      <c r="C860">
        <v>2023</v>
      </c>
      <c r="D860" s="10" t="s">
        <v>31</v>
      </c>
      <c r="E860" s="20">
        <v>7</v>
      </c>
      <c r="F860" s="129">
        <v>6.3120000000000003</v>
      </c>
      <c r="G860" s="129">
        <v>2.5999999999999999E-2</v>
      </c>
      <c r="I860">
        <f t="shared" ref="I860:J860" si="62">AVERAGE(F858:F860)</f>
        <v>5.9220000000000006</v>
      </c>
      <c r="J860">
        <f t="shared" si="62"/>
        <v>4.9999999999999996E-2</v>
      </c>
      <c r="L860">
        <f t="shared" ref="L860" si="63">+J860/I860</f>
        <v>8.4430935494765273E-3</v>
      </c>
      <c r="M860">
        <f t="shared" ref="M860" si="64">+(L860-$L$913)/$L$914</f>
        <v>8.3112186523676426E-2</v>
      </c>
      <c r="N860">
        <f t="shared" ref="N860" si="65">+N857+M860</f>
        <v>-0.52379256815149744</v>
      </c>
    </row>
    <row r="861" spans="1:14">
      <c r="A861" s="7">
        <v>1</v>
      </c>
      <c r="B861" s="87">
        <v>45139</v>
      </c>
      <c r="C861">
        <v>2023</v>
      </c>
      <c r="D861" s="10" t="s">
        <v>32</v>
      </c>
      <c r="E861" s="20">
        <v>8</v>
      </c>
      <c r="F861" s="129">
        <v>5.4450000000000003</v>
      </c>
      <c r="G861" s="129">
        <v>3.6999999999999998E-2</v>
      </c>
    </row>
    <row r="862" spans="1:14">
      <c r="A862" s="7">
        <v>17</v>
      </c>
      <c r="B862" s="87">
        <v>45139</v>
      </c>
      <c r="C862">
        <v>2023</v>
      </c>
      <c r="D862" s="10" t="s">
        <v>32</v>
      </c>
      <c r="E862" s="20">
        <v>8</v>
      </c>
      <c r="F862" s="129">
        <v>2.98</v>
      </c>
      <c r="G862" s="129">
        <v>3.6999999999999998E-2</v>
      </c>
    </row>
    <row r="863" spans="1:14">
      <c r="A863" s="7">
        <v>18</v>
      </c>
      <c r="B863" s="87">
        <v>45139</v>
      </c>
      <c r="C863">
        <v>2023</v>
      </c>
      <c r="D863" s="10" t="s">
        <v>32</v>
      </c>
      <c r="E863" s="20">
        <v>8</v>
      </c>
      <c r="F863" s="129">
        <v>2.6909999999999998</v>
      </c>
      <c r="G863" s="129">
        <v>2.1999999999999999E-2</v>
      </c>
      <c r="I863">
        <f t="shared" ref="I863:J863" si="66">AVERAGE(F861:F863)</f>
        <v>3.7053333333333334</v>
      </c>
      <c r="J863">
        <f t="shared" si="66"/>
        <v>3.2000000000000001E-2</v>
      </c>
      <c r="L863">
        <f t="shared" ref="L863" si="67">+J863/I863</f>
        <v>8.6362000719683342E-3</v>
      </c>
      <c r="M863">
        <f t="shared" ref="M863" si="68">+(L863-$L$913)/$L$914</f>
        <v>9.5175998433008002E-2</v>
      </c>
      <c r="N863">
        <f t="shared" ref="N863" si="69">+N860+M863</f>
        <v>-0.42861656971848944</v>
      </c>
    </row>
    <row r="864" spans="1:14">
      <c r="A864" s="7">
        <v>1</v>
      </c>
      <c r="B864" s="87">
        <v>45170</v>
      </c>
      <c r="C864">
        <v>2023</v>
      </c>
      <c r="D864" s="10" t="s">
        <v>38</v>
      </c>
      <c r="E864" s="20">
        <v>9</v>
      </c>
      <c r="F864" s="129">
        <v>1.9710000000000001</v>
      </c>
      <c r="G864" s="129">
        <v>1.0999999999999999E-2</v>
      </c>
    </row>
    <row r="865" spans="1:14">
      <c r="A865" s="7">
        <v>17</v>
      </c>
      <c r="B865" s="87">
        <v>45170</v>
      </c>
      <c r="C865">
        <v>2023</v>
      </c>
      <c r="D865" s="10" t="s">
        <v>38</v>
      </c>
      <c r="E865" s="20">
        <v>9</v>
      </c>
      <c r="F865" s="129">
        <v>2.63</v>
      </c>
      <c r="G865" s="129">
        <v>1.4E-2</v>
      </c>
    </row>
    <row r="866" spans="1:14">
      <c r="A866" s="7">
        <v>18</v>
      </c>
      <c r="B866" s="87">
        <v>45170</v>
      </c>
      <c r="C866">
        <v>2023</v>
      </c>
      <c r="D866" s="10" t="s">
        <v>38</v>
      </c>
      <c r="E866" s="20">
        <v>9</v>
      </c>
      <c r="F866" s="129">
        <v>1.3939999999999999</v>
      </c>
      <c r="G866" s="130">
        <v>9.9989999999999996E-4</v>
      </c>
      <c r="I866">
        <f t="shared" ref="I866:J866" si="70">AVERAGE(F864:F866)</f>
        <v>1.9983333333333333</v>
      </c>
      <c r="J866">
        <f t="shared" si="70"/>
        <v>8.6666333333333349E-3</v>
      </c>
      <c r="L866">
        <f t="shared" ref="L866" si="71">+J866/I866</f>
        <v>4.3369307756463728E-3</v>
      </c>
      <c r="M866">
        <f t="shared" ref="M866" si="72">+(L866-$L$913)/$L$914</f>
        <v>-0.17340931639287016</v>
      </c>
      <c r="N866">
        <f t="shared" ref="N866" si="73">+N863+M866</f>
        <v>-0.60202588611135965</v>
      </c>
    </row>
    <row r="867" spans="1:14">
      <c r="A867" s="7">
        <v>1</v>
      </c>
      <c r="B867" s="87">
        <v>45200</v>
      </c>
      <c r="C867">
        <v>2023</v>
      </c>
      <c r="D867" s="10" t="s">
        <v>34</v>
      </c>
      <c r="E867" s="20">
        <v>10</v>
      </c>
      <c r="F867" s="130">
        <v>0.83199999999999996</v>
      </c>
      <c r="G867" s="129">
        <v>1.0999999999999999E-2</v>
      </c>
    </row>
    <row r="868" spans="1:14">
      <c r="A868" s="7">
        <v>17</v>
      </c>
      <c r="B868" s="87">
        <v>45200</v>
      </c>
      <c r="C868">
        <v>2023</v>
      </c>
      <c r="D868" s="10" t="s">
        <v>34</v>
      </c>
      <c r="E868" s="20">
        <v>10</v>
      </c>
      <c r="F868" s="129">
        <v>2.8140000000000001</v>
      </c>
      <c r="G868" s="129">
        <v>1.6E-2</v>
      </c>
    </row>
    <row r="869" spans="1:14">
      <c r="A869" s="7">
        <v>18</v>
      </c>
      <c r="B869" s="87">
        <v>45200</v>
      </c>
      <c r="C869">
        <v>2023</v>
      </c>
      <c r="D869" s="10" t="s">
        <v>34</v>
      </c>
      <c r="E869" s="20">
        <v>10</v>
      </c>
      <c r="F869" s="129">
        <v>0.46300000000000002</v>
      </c>
      <c r="G869" s="130">
        <v>9.9989999999999996E-4</v>
      </c>
      <c r="I869">
        <f t="shared" ref="I869:J869" si="74">AVERAGE(F867:F869)</f>
        <v>1.3696666666666666</v>
      </c>
      <c r="J869">
        <f t="shared" si="74"/>
        <v>9.333300000000001E-3</v>
      </c>
      <c r="L869">
        <f t="shared" ref="L869" si="75">+J869/I869</f>
        <v>6.8142857142857154E-3</v>
      </c>
      <c r="M869">
        <f t="shared" ref="M869" si="76">+(L869-$L$913)/$L$914</f>
        <v>-1.8643213069422238E-2</v>
      </c>
      <c r="N869">
        <f t="shared" ref="N869" si="77">+N866+M869</f>
        <v>-0.62066909918078195</v>
      </c>
    </row>
    <row r="870" spans="1:14">
      <c r="A870" s="7">
        <v>1</v>
      </c>
      <c r="B870" s="87">
        <v>45231</v>
      </c>
      <c r="C870">
        <v>2023</v>
      </c>
      <c r="D870" s="10" t="s">
        <v>35</v>
      </c>
      <c r="E870" s="20">
        <v>11</v>
      </c>
      <c r="F870" s="129">
        <v>2.1419999999999999</v>
      </c>
      <c r="G870" s="129">
        <v>3.3000000000000002E-2</v>
      </c>
    </row>
    <row r="871" spans="1:14">
      <c r="A871" s="7">
        <v>17</v>
      </c>
      <c r="B871" s="87">
        <v>45231</v>
      </c>
      <c r="C871">
        <v>2023</v>
      </c>
      <c r="D871" s="10" t="s">
        <v>35</v>
      </c>
      <c r="E871" s="20">
        <v>11</v>
      </c>
      <c r="F871" s="129">
        <v>5.0279999999999996</v>
      </c>
      <c r="G871" s="129">
        <v>4.5999999999999999E-2</v>
      </c>
    </row>
    <row r="872" spans="1:14">
      <c r="A872" s="7">
        <v>18</v>
      </c>
      <c r="B872" s="87">
        <v>45231</v>
      </c>
      <c r="C872">
        <v>2023</v>
      </c>
      <c r="D872" s="10" t="s">
        <v>35</v>
      </c>
      <c r="E872" s="20">
        <v>11</v>
      </c>
      <c r="F872" s="129">
        <v>0.878</v>
      </c>
      <c r="G872" s="130">
        <v>9.9989999999999996E-4</v>
      </c>
      <c r="I872">
        <f t="shared" ref="I872:J872" si="78">AVERAGE(F870:F872)</f>
        <v>2.6826666666666665</v>
      </c>
      <c r="J872">
        <f t="shared" si="78"/>
        <v>2.6666633333333332E-2</v>
      </c>
      <c r="L872">
        <f t="shared" ref="L872" si="79">+J872/I872</f>
        <v>9.9403454274353872E-3</v>
      </c>
      <c r="M872">
        <f t="shared" ref="M872" si="80">+(L872-$L$913)/$L$914</f>
        <v>0.17664898063872514</v>
      </c>
      <c r="N872">
        <f t="shared" ref="N872" si="81">+N869+M872</f>
        <v>-0.44402011854205681</v>
      </c>
    </row>
    <row r="873" spans="1:14">
      <c r="A873" s="7">
        <v>1</v>
      </c>
      <c r="B873" s="88">
        <v>45261</v>
      </c>
      <c r="C873">
        <v>2023</v>
      </c>
      <c r="D873" s="10" t="s">
        <v>36</v>
      </c>
      <c r="E873" s="20">
        <v>12</v>
      </c>
      <c r="F873" s="129">
        <v>0.93799999999999994</v>
      </c>
      <c r="G873" s="129">
        <v>0.11</v>
      </c>
    </row>
    <row r="874" spans="1:14">
      <c r="A874" s="7">
        <v>17</v>
      </c>
      <c r="B874" s="87">
        <v>45261</v>
      </c>
      <c r="C874">
        <v>2023</v>
      </c>
      <c r="D874" s="10" t="s">
        <v>36</v>
      </c>
      <c r="E874" s="20">
        <v>12</v>
      </c>
      <c r="F874" s="129">
        <v>6.0389999999999997</v>
      </c>
      <c r="G874" s="129">
        <v>8.4000000000000005E-2</v>
      </c>
    </row>
    <row r="875" spans="1:14">
      <c r="A875" s="7">
        <v>18</v>
      </c>
      <c r="B875" s="87">
        <v>45261</v>
      </c>
      <c r="C875">
        <v>2023</v>
      </c>
      <c r="D875" s="10" t="s">
        <v>36</v>
      </c>
      <c r="E875" s="20">
        <v>12</v>
      </c>
      <c r="F875" s="129">
        <v>5.2060000000000004</v>
      </c>
      <c r="G875" s="129">
        <v>7.0999999999999994E-2</v>
      </c>
      <c r="I875">
        <f t="shared" ref="I875:J875" si="82">AVERAGE(F873:F875)</f>
        <v>4.0609999999999999</v>
      </c>
      <c r="J875">
        <f t="shared" si="82"/>
        <v>8.8333333333333333E-2</v>
      </c>
      <c r="L875">
        <f t="shared" ref="L875" si="83">+J875/I875</f>
        <v>2.1751621111384716E-2</v>
      </c>
      <c r="M875">
        <f t="shared" ref="M875" si="84">+(L875-$L$913)/$L$914</f>
        <v>0.91452674065313344</v>
      </c>
      <c r="N875">
        <f t="shared" ref="N875" si="85">+N872+M875</f>
        <v>0.47050662211107663</v>
      </c>
    </row>
    <row r="876" spans="1:14">
      <c r="A876" s="120">
        <v>1</v>
      </c>
      <c r="B876" s="126">
        <v>45292</v>
      </c>
      <c r="C876" s="48">
        <v>2024</v>
      </c>
      <c r="D876" s="45" t="s">
        <v>37</v>
      </c>
      <c r="E876" s="43">
        <v>1</v>
      </c>
      <c r="F876" s="129">
        <v>4.8380000000000001</v>
      </c>
      <c r="G876" s="129">
        <v>1.2E-2</v>
      </c>
    </row>
    <row r="877" spans="1:14">
      <c r="A877" s="7">
        <v>17</v>
      </c>
      <c r="B877" s="89">
        <v>45292</v>
      </c>
      <c r="C877">
        <v>2024</v>
      </c>
      <c r="D877" s="10" t="s">
        <v>37</v>
      </c>
      <c r="E877" s="20">
        <v>1</v>
      </c>
      <c r="F877" s="129">
        <v>8.4130000000000003</v>
      </c>
      <c r="G877" s="129">
        <v>3.3000000000000002E-2</v>
      </c>
    </row>
    <row r="878" spans="1:14">
      <c r="A878" s="7">
        <v>18</v>
      </c>
      <c r="B878" s="89">
        <v>45292</v>
      </c>
      <c r="C878">
        <v>2024</v>
      </c>
      <c r="D878" s="10" t="s">
        <v>37</v>
      </c>
      <c r="E878" s="20">
        <v>1</v>
      </c>
      <c r="F878" s="129">
        <v>3.944</v>
      </c>
      <c r="G878" s="129">
        <v>1.0999999999999999E-2</v>
      </c>
      <c r="I878">
        <f t="shared" ref="I878:J878" si="86">AVERAGE(F876:F878)</f>
        <v>5.7316666666666665</v>
      </c>
      <c r="J878">
        <f t="shared" si="86"/>
        <v>1.8666666666666665E-2</v>
      </c>
      <c r="L878">
        <f t="shared" ref="L878" si="87">+J878/I878</f>
        <v>3.2567606862460015E-3</v>
      </c>
      <c r="M878">
        <f t="shared" ref="M878" si="88">+(L878-$L$913)/$L$914</f>
        <v>-0.24089004475182466</v>
      </c>
      <c r="N878">
        <f t="shared" ref="N878" si="89">+N875+M878</f>
        <v>0.22961657735925198</v>
      </c>
    </row>
    <row r="879" spans="1:14">
      <c r="A879" s="7">
        <v>1</v>
      </c>
      <c r="B879" s="87">
        <v>45323</v>
      </c>
      <c r="C879">
        <v>2024</v>
      </c>
      <c r="D879" s="10" t="s">
        <v>26</v>
      </c>
      <c r="E879" s="20">
        <v>2</v>
      </c>
      <c r="F879" s="129">
        <v>2.024</v>
      </c>
      <c r="G879" s="129">
        <v>1.2E-2</v>
      </c>
    </row>
    <row r="880" spans="1:14">
      <c r="A880" s="7">
        <v>17</v>
      </c>
      <c r="B880" s="87">
        <v>45323</v>
      </c>
      <c r="C880">
        <v>2024</v>
      </c>
      <c r="D880" s="10" t="s">
        <v>26</v>
      </c>
      <c r="E880" s="20">
        <v>2</v>
      </c>
      <c r="F880" s="129">
        <v>5.1210000000000004</v>
      </c>
      <c r="G880" s="129">
        <v>3.5000000000000003E-2</v>
      </c>
    </row>
    <row r="881" spans="1:14">
      <c r="A881" s="7">
        <v>18</v>
      </c>
      <c r="B881" s="87">
        <v>45323</v>
      </c>
      <c r="C881">
        <v>2024</v>
      </c>
      <c r="D881" s="10" t="s">
        <v>26</v>
      </c>
      <c r="E881" s="20">
        <v>2</v>
      </c>
      <c r="F881" s="129">
        <v>5.274</v>
      </c>
      <c r="G881" s="129">
        <v>2.5999999999999999E-2</v>
      </c>
      <c r="I881">
        <f t="shared" ref="I881:J881" si="90">AVERAGE(F879:F881)</f>
        <v>4.1396666666666668</v>
      </c>
      <c r="J881">
        <f t="shared" si="90"/>
        <v>2.4333333333333332E-2</v>
      </c>
      <c r="L881">
        <f t="shared" ref="L881" si="91">+J881/I881</f>
        <v>5.8780900233513156E-3</v>
      </c>
      <c r="M881">
        <f t="shared" ref="M881" si="92">+(L881-$L$913)/$L$914</f>
        <v>-7.7129527151529459E-2</v>
      </c>
      <c r="N881">
        <f t="shared" ref="N881" si="93">+N878+M881</f>
        <v>0.15248705020772252</v>
      </c>
    </row>
    <row r="882" spans="1:14">
      <c r="A882" s="7">
        <v>1</v>
      </c>
      <c r="B882" s="87">
        <v>45352</v>
      </c>
      <c r="C882">
        <v>2024</v>
      </c>
      <c r="D882" s="10" t="s">
        <v>27</v>
      </c>
      <c r="E882" s="20">
        <v>3</v>
      </c>
    </row>
    <row r="883" spans="1:14">
      <c r="A883" s="7">
        <v>17</v>
      </c>
      <c r="B883" s="87">
        <v>45352</v>
      </c>
      <c r="C883">
        <v>2024</v>
      </c>
      <c r="D883" s="10" t="s">
        <v>27</v>
      </c>
      <c r="E883" s="20">
        <v>3</v>
      </c>
    </row>
    <row r="884" spans="1:14">
      <c r="A884" s="7">
        <v>18</v>
      </c>
      <c r="B884" s="87">
        <v>45352</v>
      </c>
      <c r="C884">
        <v>2024</v>
      </c>
      <c r="D884" s="10" t="s">
        <v>27</v>
      </c>
      <c r="E884" s="20">
        <v>3</v>
      </c>
    </row>
    <row r="885" spans="1:14">
      <c r="A885" s="7">
        <v>1</v>
      </c>
      <c r="B885" s="87">
        <v>45383</v>
      </c>
      <c r="C885">
        <v>2024</v>
      </c>
      <c r="D885" s="10" t="s">
        <v>28</v>
      </c>
      <c r="E885" s="20">
        <v>4</v>
      </c>
      <c r="F885" s="129">
        <v>1.026</v>
      </c>
      <c r="G885" s="129">
        <v>6.0000000000000001E-3</v>
      </c>
    </row>
    <row r="886" spans="1:14">
      <c r="A886" s="7">
        <v>17</v>
      </c>
      <c r="B886" s="87">
        <v>45383</v>
      </c>
      <c r="C886">
        <v>2024</v>
      </c>
      <c r="D886" s="10" t="s">
        <v>28</v>
      </c>
      <c r="E886" s="20">
        <v>4</v>
      </c>
      <c r="F886" s="129">
        <v>1.849</v>
      </c>
      <c r="G886" s="129">
        <v>1.4E-2</v>
      </c>
    </row>
    <row r="887" spans="1:14">
      <c r="A887" s="7">
        <v>18</v>
      </c>
      <c r="B887" s="87">
        <v>45383</v>
      </c>
      <c r="C887">
        <v>2024</v>
      </c>
      <c r="D887" s="10" t="s">
        <v>28</v>
      </c>
      <c r="E887" s="20">
        <v>4</v>
      </c>
      <c r="F887" s="129">
        <v>1.62</v>
      </c>
      <c r="G887" s="130">
        <v>9.9989999999999996E-4</v>
      </c>
      <c r="I887">
        <f t="shared" ref="I887:J887" si="94">AVERAGE(F885:F887)</f>
        <v>1.4983333333333333</v>
      </c>
      <c r="J887">
        <f t="shared" si="94"/>
        <v>6.999966666666667E-3</v>
      </c>
      <c r="L887">
        <f t="shared" ref="L887" si="95">+J887/I887</f>
        <v>4.671835372636263E-3</v>
      </c>
      <c r="M887">
        <f t="shared" ref="M887" si="96">+(L887-$L$913)/$L$914</f>
        <v>-0.15248705020774972</v>
      </c>
      <c r="N887">
        <f>+N881+M887</f>
        <v>-2.7200464103316335E-14</v>
      </c>
    </row>
    <row r="888" spans="1:14">
      <c r="A888" s="7">
        <v>1</v>
      </c>
      <c r="B888" s="87">
        <v>45413</v>
      </c>
      <c r="C888">
        <v>2024</v>
      </c>
      <c r="D888" s="10" t="s">
        <v>29</v>
      </c>
      <c r="E888" s="20">
        <v>5</v>
      </c>
    </row>
    <row r="889" spans="1:14">
      <c r="A889" s="7">
        <v>17</v>
      </c>
      <c r="B889" s="87">
        <v>45413</v>
      </c>
      <c r="C889">
        <v>2024</v>
      </c>
      <c r="D889" s="10" t="s">
        <v>29</v>
      </c>
      <c r="E889" s="20">
        <v>5</v>
      </c>
    </row>
    <row r="890" spans="1:14">
      <c r="A890" s="7">
        <v>18</v>
      </c>
      <c r="B890" s="87">
        <v>45413</v>
      </c>
      <c r="C890">
        <v>2024</v>
      </c>
      <c r="D890" s="10" t="s">
        <v>29</v>
      </c>
      <c r="E890" s="20">
        <v>5</v>
      </c>
    </row>
    <row r="891" spans="1:14">
      <c r="A891" s="7">
        <v>1</v>
      </c>
      <c r="B891" s="87">
        <v>45444</v>
      </c>
      <c r="C891">
        <v>2024</v>
      </c>
      <c r="D891" s="10" t="s">
        <v>30</v>
      </c>
      <c r="E891" s="20">
        <v>6</v>
      </c>
      <c r="H891" s="123" t="s">
        <v>97</v>
      </c>
    </row>
    <row r="892" spans="1:14">
      <c r="A892" s="7">
        <v>17</v>
      </c>
      <c r="B892" s="87">
        <v>45444</v>
      </c>
      <c r="C892">
        <v>2024</v>
      </c>
      <c r="D892" s="10" t="s">
        <v>30</v>
      </c>
      <c r="E892" s="20">
        <v>6</v>
      </c>
      <c r="H892" s="123" t="s">
        <v>98</v>
      </c>
    </row>
    <row r="893" spans="1:14">
      <c r="A893" s="7">
        <v>18</v>
      </c>
      <c r="B893" s="87">
        <v>45444</v>
      </c>
      <c r="C893">
        <v>2024</v>
      </c>
      <c r="D893" s="10" t="s">
        <v>30</v>
      </c>
      <c r="E893" s="20">
        <v>6</v>
      </c>
    </row>
    <row r="894" spans="1:14">
      <c r="A894" s="7">
        <v>1</v>
      </c>
      <c r="B894" s="87">
        <v>45474</v>
      </c>
      <c r="C894">
        <v>2024</v>
      </c>
      <c r="D894" s="10" t="s">
        <v>31</v>
      </c>
      <c r="E894" s="20">
        <v>7</v>
      </c>
    </row>
    <row r="895" spans="1:14">
      <c r="A895" s="7">
        <v>17</v>
      </c>
      <c r="B895" s="87">
        <v>45474</v>
      </c>
      <c r="C895">
        <v>2024</v>
      </c>
      <c r="D895" s="10" t="s">
        <v>31</v>
      </c>
      <c r="E895" s="20">
        <v>7</v>
      </c>
    </row>
    <row r="896" spans="1:14">
      <c r="A896" s="7">
        <v>18</v>
      </c>
      <c r="B896" s="87">
        <v>45474</v>
      </c>
      <c r="C896">
        <v>2024</v>
      </c>
      <c r="D896" s="10" t="s">
        <v>31</v>
      </c>
      <c r="E896" s="20">
        <v>7</v>
      </c>
    </row>
    <row r="897" spans="1:5">
      <c r="A897" s="7">
        <v>1</v>
      </c>
      <c r="B897" s="87">
        <v>45505</v>
      </c>
      <c r="C897">
        <v>2024</v>
      </c>
      <c r="D897" s="10" t="s">
        <v>32</v>
      </c>
      <c r="E897" s="20">
        <v>8</v>
      </c>
    </row>
    <row r="898" spans="1:5">
      <c r="A898" s="7">
        <v>17</v>
      </c>
      <c r="B898" s="87">
        <v>45505</v>
      </c>
      <c r="C898">
        <v>2024</v>
      </c>
      <c r="D898" s="10" t="s">
        <v>32</v>
      </c>
      <c r="E898" s="20">
        <v>8</v>
      </c>
    </row>
    <row r="899" spans="1:5">
      <c r="A899" s="7">
        <v>18</v>
      </c>
      <c r="B899" s="87">
        <v>45505</v>
      </c>
      <c r="C899">
        <v>2024</v>
      </c>
      <c r="D899" s="10" t="s">
        <v>32</v>
      </c>
      <c r="E899" s="20">
        <v>8</v>
      </c>
    </row>
    <row r="900" spans="1:5">
      <c r="A900" s="7">
        <v>1</v>
      </c>
      <c r="B900" s="87">
        <v>45536</v>
      </c>
      <c r="C900">
        <v>2024</v>
      </c>
      <c r="D900" s="10" t="s">
        <v>38</v>
      </c>
      <c r="E900" s="20">
        <v>9</v>
      </c>
    </row>
    <row r="901" spans="1:5">
      <c r="A901" s="7">
        <v>17</v>
      </c>
      <c r="B901" s="87">
        <v>45536</v>
      </c>
      <c r="C901">
        <v>2024</v>
      </c>
      <c r="D901" s="10" t="s">
        <v>38</v>
      </c>
      <c r="E901" s="20">
        <v>9</v>
      </c>
    </row>
    <row r="902" spans="1:5">
      <c r="A902" s="7">
        <v>18</v>
      </c>
      <c r="B902" s="87">
        <v>45536</v>
      </c>
      <c r="C902">
        <v>2024</v>
      </c>
      <c r="D902" s="10" t="s">
        <v>38</v>
      </c>
      <c r="E902" s="20">
        <v>9</v>
      </c>
    </row>
    <row r="903" spans="1:5">
      <c r="A903" s="7">
        <v>1</v>
      </c>
      <c r="B903" s="87">
        <v>45566</v>
      </c>
      <c r="C903">
        <v>2024</v>
      </c>
      <c r="D903" s="10" t="s">
        <v>34</v>
      </c>
      <c r="E903" s="20">
        <v>10</v>
      </c>
    </row>
    <row r="904" spans="1:5">
      <c r="A904" s="7">
        <v>17</v>
      </c>
      <c r="B904" s="87">
        <v>45566</v>
      </c>
      <c r="C904">
        <v>2024</v>
      </c>
      <c r="D904" s="10" t="s">
        <v>34</v>
      </c>
      <c r="E904" s="20">
        <v>10</v>
      </c>
    </row>
    <row r="905" spans="1:5">
      <c r="A905" s="7">
        <v>18</v>
      </c>
      <c r="B905" s="87">
        <v>45566</v>
      </c>
      <c r="C905">
        <v>2024</v>
      </c>
      <c r="D905" s="10" t="s">
        <v>34</v>
      </c>
      <c r="E905" s="20">
        <v>10</v>
      </c>
    </row>
    <row r="906" spans="1:5">
      <c r="A906" s="7">
        <v>1</v>
      </c>
      <c r="B906" s="87">
        <v>45597</v>
      </c>
      <c r="C906">
        <v>2024</v>
      </c>
      <c r="D906" s="10" t="s">
        <v>35</v>
      </c>
      <c r="E906" s="20">
        <v>11</v>
      </c>
    </row>
    <row r="907" spans="1:5">
      <c r="A907" s="7">
        <v>17</v>
      </c>
      <c r="B907" s="87">
        <v>45597</v>
      </c>
      <c r="C907">
        <v>2024</v>
      </c>
      <c r="D907" s="10" t="s">
        <v>35</v>
      </c>
      <c r="E907" s="20">
        <v>11</v>
      </c>
    </row>
    <row r="908" spans="1:5">
      <c r="A908" s="7">
        <v>18</v>
      </c>
      <c r="B908" s="87">
        <v>45597</v>
      </c>
      <c r="C908">
        <v>2024</v>
      </c>
      <c r="D908" s="10" t="s">
        <v>35</v>
      </c>
      <c r="E908" s="20">
        <v>11</v>
      </c>
    </row>
    <row r="909" spans="1:5">
      <c r="A909" s="7">
        <v>1</v>
      </c>
      <c r="B909" s="88">
        <v>45627</v>
      </c>
      <c r="C909">
        <v>2024</v>
      </c>
      <c r="D909" s="10" t="s">
        <v>36</v>
      </c>
      <c r="E909" s="20">
        <v>12</v>
      </c>
    </row>
    <row r="910" spans="1:5">
      <c r="A910" s="7">
        <v>17</v>
      </c>
      <c r="B910" s="87">
        <v>45627</v>
      </c>
      <c r="C910">
        <v>2024</v>
      </c>
      <c r="D910" s="10" t="s">
        <v>36</v>
      </c>
      <c r="E910" s="20">
        <v>12</v>
      </c>
    </row>
    <row r="911" spans="1:5">
      <c r="A911" s="7">
        <v>18</v>
      </c>
      <c r="B911" s="87">
        <v>45627</v>
      </c>
      <c r="C911">
        <v>2024</v>
      </c>
      <c r="D911" s="10" t="s">
        <v>36</v>
      </c>
      <c r="E911" s="20">
        <v>12</v>
      </c>
    </row>
    <row r="913" spans="11:12">
      <c r="K913" s="118" t="s">
        <v>89</v>
      </c>
      <c r="L913" s="118">
        <f>AVERAGE(L5:L911)</f>
        <v>7.1127093030292675E-3</v>
      </c>
    </row>
    <row r="914" spans="11:12">
      <c r="K914" s="118" t="s">
        <v>90</v>
      </c>
      <c r="L914" s="118">
        <f>+STDEV(L5:L911)</f>
        <v>1.6007089959885354E-2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16F4-EA1A-3D42-8A22-D266EF99192A}">
  <sheetPr>
    <tabColor theme="9" tint="0.39997558519241921"/>
  </sheetPr>
  <dimension ref="A1:Q914"/>
  <sheetViews>
    <sheetView workbookViewId="0">
      <pane ySplit="2" topLeftCell="A727" activePane="bottomLeft" state="frozen"/>
      <selection pane="bottomLeft" activeCell="O732" sqref="O732"/>
    </sheetView>
  </sheetViews>
  <sheetFormatPr defaultColWidth="11.42578125" defaultRowHeight="15"/>
  <cols>
    <col min="2" max="2" width="10.85546875" style="86"/>
    <col min="14" max="14" width="12.7109375" bestFit="1" customWidth="1"/>
  </cols>
  <sheetData>
    <row r="1" spans="1:17" ht="18">
      <c r="F1" s="61" t="s">
        <v>40</v>
      </c>
      <c r="G1" s="61" t="s">
        <v>41</v>
      </c>
      <c r="I1" s="61" t="s">
        <v>81</v>
      </c>
    </row>
    <row r="2" spans="1:17">
      <c r="A2" s="1" t="s">
        <v>0</v>
      </c>
      <c r="B2" s="89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I2" s="5" t="s">
        <v>5</v>
      </c>
      <c r="J2" s="5" t="s">
        <v>82</v>
      </c>
      <c r="L2" s="85" t="s">
        <v>83</v>
      </c>
      <c r="M2" s="98" t="s">
        <v>84</v>
      </c>
      <c r="N2" s="98" t="s">
        <v>85</v>
      </c>
    </row>
    <row r="3" spans="1:17">
      <c r="A3" s="7">
        <v>1</v>
      </c>
      <c r="B3" s="90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0</v>
      </c>
    </row>
    <row r="4" spans="1:17">
      <c r="A4" s="7">
        <v>17</v>
      </c>
      <c r="B4" s="90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0</v>
      </c>
      <c r="Q4" t="s">
        <v>101</v>
      </c>
    </row>
    <row r="5" spans="1:17">
      <c r="A5" s="7">
        <v>18</v>
      </c>
      <c r="B5" s="90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0</v>
      </c>
      <c r="I5" s="50">
        <f>AVERAGE(F3:F5)</f>
        <v>2.4047998537540289</v>
      </c>
      <c r="J5" s="50">
        <f>AVERAGE(G3:G5)</f>
        <v>0</v>
      </c>
      <c r="L5">
        <f>+J5/I5</f>
        <v>0</v>
      </c>
      <c r="M5">
        <f>+(L5-$L$913)/$L$914</f>
        <v>-0.71640198305684688</v>
      </c>
      <c r="N5">
        <f>+M5</f>
        <v>-0.71640198305684688</v>
      </c>
    </row>
    <row r="6" spans="1:17">
      <c r="A6" s="7">
        <v>1</v>
      </c>
      <c r="B6" s="90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3.4725412666666663E-2</v>
      </c>
    </row>
    <row r="7" spans="1:17">
      <c r="A7" s="7">
        <v>17</v>
      </c>
      <c r="B7" s="90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5.8268882666666667E-2</v>
      </c>
    </row>
    <row r="8" spans="1:17">
      <c r="A8" s="7">
        <v>18</v>
      </c>
      <c r="B8" s="90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2.1890667666666669E-2</v>
      </c>
      <c r="I8" s="50">
        <f>AVERAGE(F6:F8)</f>
        <v>5.4429090875200323</v>
      </c>
      <c r="J8" s="50">
        <f>AVERAGE(G6:G8)</f>
        <v>3.8294987666666669E-2</v>
      </c>
      <c r="L8">
        <f>+J8/I8</f>
        <v>7.0357573589595115E-3</v>
      </c>
      <c r="M8">
        <f>+(L8-$L$913)/$L$914</f>
        <v>-0.50900058821227123</v>
      </c>
      <c r="N8">
        <f>+N5+M8</f>
        <v>-1.2254025712691181</v>
      </c>
    </row>
    <row r="9" spans="1:17">
      <c r="A9" s="7">
        <v>1</v>
      </c>
      <c r="B9" s="90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0</v>
      </c>
    </row>
    <row r="10" spans="1:17">
      <c r="A10" s="7">
        <v>17</v>
      </c>
      <c r="B10" s="90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0</v>
      </c>
    </row>
    <row r="11" spans="1:17">
      <c r="A11" s="7">
        <v>18</v>
      </c>
      <c r="B11" s="90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1.3768809999999999E-2</v>
      </c>
      <c r="I11" s="50">
        <f>AVERAGE(F9:F11)</f>
        <v>4.1139008600141054</v>
      </c>
      <c r="J11" s="50">
        <f>AVERAGE(G9:G11)</f>
        <v>4.5896033333333334E-3</v>
      </c>
      <c r="L11">
        <f>+J11/I11</f>
        <v>1.1156329453494893E-3</v>
      </c>
      <c r="M11">
        <f>+(L11-$L$913)/$L$914</f>
        <v>-0.68351514270761338</v>
      </c>
      <c r="N11">
        <f>+N8+M11</f>
        <v>-1.9089177139767315</v>
      </c>
    </row>
    <row r="12" spans="1:17">
      <c r="A12" s="15">
        <v>1</v>
      </c>
      <c r="B12" s="91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7.2831700333333332E-2</v>
      </c>
    </row>
    <row r="13" spans="1:17">
      <c r="A13" s="7">
        <v>17</v>
      </c>
      <c r="B13" s="90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9.7400714333333346E-2</v>
      </c>
    </row>
    <row r="14" spans="1:17">
      <c r="A14" s="7">
        <v>18</v>
      </c>
      <c r="B14" s="90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5.8004388166666671E-2</v>
      </c>
      <c r="I14" s="50">
        <f>AVERAGE(F12:F14)</f>
        <v>7.0388907344091178</v>
      </c>
      <c r="J14" s="50">
        <f>AVERAGE(G12:G14)</f>
        <v>7.6078934277777774E-2</v>
      </c>
      <c r="L14">
        <f>+J14/I14</f>
        <v>1.0808369833881823E-2</v>
      </c>
      <c r="M14">
        <f>+(L14-$L$913)/$L$914</f>
        <v>-0.39779079947352963</v>
      </c>
      <c r="N14">
        <f>+N11+M14</f>
        <v>-2.306708513450261</v>
      </c>
    </row>
    <row r="15" spans="1:17">
      <c r="A15" s="7">
        <v>1</v>
      </c>
      <c r="B15" s="90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4.0706993000000004E-2</v>
      </c>
    </row>
    <row r="16" spans="1:17">
      <c r="A16" s="7">
        <v>17</v>
      </c>
      <c r="B16" s="90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4.0290909499999999E-2</v>
      </c>
    </row>
    <row r="17" spans="1:14">
      <c r="A17" s="7">
        <v>18</v>
      </c>
      <c r="B17" s="90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4.2523649833333337E-2</v>
      </c>
      <c r="I17" s="50">
        <f>AVERAGE(F15:F17)</f>
        <v>3.9193902872792474</v>
      </c>
      <c r="J17" s="50">
        <f>AVERAGE(G15:G17)</f>
        <v>4.1173850777777778E-2</v>
      </c>
      <c r="L17">
        <f>+J17/I17</f>
        <v>1.050516732447172E-2</v>
      </c>
      <c r="M17">
        <f>+(L17-$L$913)/$L$914</f>
        <v>-0.4067286607674459</v>
      </c>
      <c r="N17">
        <f>+N14+M17</f>
        <v>-2.7134371742177068</v>
      </c>
    </row>
    <row r="18" spans="1:14">
      <c r="A18" s="7">
        <v>1</v>
      </c>
      <c r="B18" s="90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1.8527928833333332E-2</v>
      </c>
    </row>
    <row r="19" spans="1:14">
      <c r="A19" s="7">
        <v>17</v>
      </c>
      <c r="B19" s="90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0</v>
      </c>
    </row>
    <row r="20" spans="1:14">
      <c r="A20" s="7">
        <v>18</v>
      </c>
      <c r="B20" s="90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0</v>
      </c>
      <c r="I20" s="50">
        <f>AVERAGE(F18:F20)</f>
        <v>1.3296348168536298</v>
      </c>
      <c r="J20" s="50">
        <f>AVERAGE(G18:G20)</f>
        <v>6.175976277777777E-3</v>
      </c>
      <c r="L20">
        <f>+J20/I20</f>
        <v>4.6448665449301688E-3</v>
      </c>
      <c r="M20">
        <f>+(L20-$L$913)/$L$914</f>
        <v>-0.57947972278892201</v>
      </c>
      <c r="N20">
        <f>+N17+M20</f>
        <v>-3.2929168970066289</v>
      </c>
    </row>
    <row r="21" spans="1:14">
      <c r="A21" s="7">
        <v>1</v>
      </c>
      <c r="B21" s="90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9.3269063499999999E-2</v>
      </c>
    </row>
    <row r="22" spans="1:14">
      <c r="A22" s="7">
        <v>17</v>
      </c>
      <c r="B22" s="90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0.14257905900000001</v>
      </c>
    </row>
    <row r="23" spans="1:14">
      <c r="A23" s="7">
        <v>18</v>
      </c>
      <c r="B23" s="90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4.2519980666666665E-2</v>
      </c>
      <c r="I23" s="50">
        <f>AVERAGE(F21:F23)</f>
        <v>3.8290803956000334</v>
      </c>
      <c r="J23" s="50">
        <f>AVERAGE(G21:G23)</f>
        <v>9.2789367722222224E-2</v>
      </c>
      <c r="L23">
        <f>+J23/I23</f>
        <v>2.4232807393870803E-2</v>
      </c>
      <c r="M23">
        <f>+(L23-$L$913)/$L$914</f>
        <v>-2.0626734317617671E-3</v>
      </c>
      <c r="N23">
        <f>+N20+M23</f>
        <v>-3.2949795704383908</v>
      </c>
    </row>
    <row r="24" spans="1:14">
      <c r="A24" s="7">
        <v>1</v>
      </c>
      <c r="B24" s="90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0.10724754016666666</v>
      </c>
    </row>
    <row r="25" spans="1:14">
      <c r="A25" s="7">
        <v>17</v>
      </c>
      <c r="B25" s="90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2.4801155500000002E-2</v>
      </c>
    </row>
    <row r="26" spans="1:14">
      <c r="A26" s="7">
        <v>18</v>
      </c>
      <c r="B26" s="90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0</v>
      </c>
      <c r="I26" s="50">
        <f>AVERAGE(F24:F26)</f>
        <v>1.3544511534259354</v>
      </c>
      <c r="J26" s="50">
        <f>AVERAGE(G24:G26)</f>
        <v>4.4016231888888889E-2</v>
      </c>
      <c r="L26">
        <f>+J26/I26</f>
        <v>3.2497467167830058E-2</v>
      </c>
      <c r="M26">
        <f>+(L26-$L$913)/$L$914</f>
        <v>0.24156454075182907</v>
      </c>
      <c r="N26">
        <f>+N23+M26</f>
        <v>-3.0534150296865619</v>
      </c>
    </row>
    <row r="27" spans="1:14">
      <c r="A27" s="7">
        <v>1</v>
      </c>
      <c r="B27" s="90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0.18157972</v>
      </c>
    </row>
    <row r="28" spans="1:14">
      <c r="A28" s="7">
        <v>17</v>
      </c>
      <c r="B28" s="90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0.17323299483333332</v>
      </c>
    </row>
    <row r="29" spans="1:14">
      <c r="A29" s="7">
        <v>18</v>
      </c>
      <c r="B29" s="90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0.11840683883333333</v>
      </c>
      <c r="I29" s="50">
        <f>AVERAGE(F27:F29)</f>
        <v>3.5401566035817513</v>
      </c>
      <c r="J29" s="50">
        <f>AVERAGE(G27:G29)</f>
        <v>0.15773985122222223</v>
      </c>
      <c r="L29">
        <f>+J29/I29</f>
        <v>4.4557308866683756E-2</v>
      </c>
      <c r="M29">
        <f>+(L29-$L$913)/$L$914</f>
        <v>0.59706685021705053</v>
      </c>
      <c r="N29">
        <f>+N26+M29</f>
        <v>-2.4563481794695115</v>
      </c>
    </row>
    <row r="30" spans="1:14">
      <c r="A30" s="7">
        <v>1</v>
      </c>
      <c r="B30" s="90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9.059245883333332E-2</v>
      </c>
    </row>
    <row r="31" spans="1:14">
      <c r="A31" s="7">
        <v>17</v>
      </c>
      <c r="B31" s="90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3.2898167666666665E-2</v>
      </c>
    </row>
    <row r="32" spans="1:14">
      <c r="A32" s="7">
        <v>18</v>
      </c>
      <c r="B32" s="90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5.7772182333333338E-2</v>
      </c>
      <c r="I32" s="50">
        <f>AVERAGE(F30:F32)</f>
        <v>4.2444942657119205</v>
      </c>
      <c r="J32" s="50">
        <f>AVERAGE(G30:G32)</f>
        <v>6.0420936277777774E-2</v>
      </c>
      <c r="L32">
        <f>+J32/I32</f>
        <v>1.4235132031128682E-2</v>
      </c>
      <c r="M32">
        <f>+(L32-$L$913)/$L$914</f>
        <v>-0.29677605106060739</v>
      </c>
      <c r="N32">
        <f>+N29+M32</f>
        <v>-2.7531242305301187</v>
      </c>
    </row>
    <row r="33" spans="1:14">
      <c r="A33" s="7">
        <v>1</v>
      </c>
      <c r="B33" s="90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7.7435561E-2</v>
      </c>
    </row>
    <row r="34" spans="1:14">
      <c r="A34" s="7">
        <v>17</v>
      </c>
      <c r="B34" s="90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3.1779700833333334E-2</v>
      </c>
    </row>
    <row r="35" spans="1:14">
      <c r="A35" s="7">
        <v>18</v>
      </c>
      <c r="B35" s="90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4.6145431833333327E-2</v>
      </c>
      <c r="I35" s="50">
        <f>AVERAGE(F33:F35)</f>
        <v>4.1070022989117891</v>
      </c>
      <c r="J35" s="50">
        <f>AVERAGE(G33:G35)</f>
        <v>5.1786897888888885E-2</v>
      </c>
      <c r="L35">
        <f>+J35/I35</f>
        <v>1.2609415364245253E-2</v>
      </c>
      <c r="M35">
        <f>+(L35-$L$913)/$L$914</f>
        <v>-0.34469923645930922</v>
      </c>
      <c r="N35">
        <f>+N32+M35</f>
        <v>-3.097823466989428</v>
      </c>
    </row>
    <row r="36" spans="1:14">
      <c r="A36" s="7">
        <v>1</v>
      </c>
      <c r="B36" s="90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0</v>
      </c>
    </row>
    <row r="37" spans="1:14">
      <c r="A37" s="7">
        <v>17</v>
      </c>
      <c r="B37" s="90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0.21209963866666665</v>
      </c>
    </row>
    <row r="38" spans="1:14">
      <c r="A38" s="7">
        <v>18</v>
      </c>
      <c r="B38" s="90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0</v>
      </c>
      <c r="I38" s="50">
        <f>AVERAGE(F36:F38)</f>
        <v>7.6030394312351826</v>
      </c>
      <c r="J38" s="50">
        <f>AVERAGE(G36:G38)</f>
        <v>7.0699879555555553E-2</v>
      </c>
      <c r="L38">
        <f>+J38/I38</f>
        <v>9.2988968681528613E-3</v>
      </c>
      <c r="M38">
        <f>+(L38-$L$913)/$L$914</f>
        <v>-0.44228733091995559</v>
      </c>
      <c r="N38">
        <f>+N35+M38</f>
        <v>-3.5401107979093838</v>
      </c>
    </row>
    <row r="39" spans="1:14">
      <c r="A39" s="7">
        <v>1</v>
      </c>
      <c r="B39" s="90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4.2298467833333332E-2</v>
      </c>
    </row>
    <row r="40" spans="1:14">
      <c r="A40" s="7">
        <v>17</v>
      </c>
      <c r="B40" s="90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7.2980668499999998E-2</v>
      </c>
    </row>
    <row r="41" spans="1:14">
      <c r="A41" s="7">
        <v>18</v>
      </c>
      <c r="B41" s="90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4.6119642833333335E-2</v>
      </c>
      <c r="I41" s="50">
        <f>AVERAGE(F39:F41)</f>
        <v>2.3778280640964042</v>
      </c>
      <c r="J41" s="50">
        <f>AVERAGE(G39:G41)</f>
        <v>5.379959305555556E-2</v>
      </c>
      <c r="L41">
        <f>+J41/I41</f>
        <v>2.2625518584750946E-2</v>
      </c>
      <c r="M41">
        <f>+(L41-$L$913)/$L$914</f>
        <v>-4.9442638931145234E-2</v>
      </c>
      <c r="N41">
        <f>+N38+M41</f>
        <v>-3.5895534368405291</v>
      </c>
    </row>
    <row r="42" spans="1:14">
      <c r="A42" s="7">
        <v>1</v>
      </c>
      <c r="B42" s="90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</v>
      </c>
    </row>
    <row r="43" spans="1:14">
      <c r="A43" s="7">
        <v>17</v>
      </c>
      <c r="B43" s="90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0</v>
      </c>
    </row>
    <row r="44" spans="1:14">
      <c r="A44" s="7">
        <v>18</v>
      </c>
      <c r="B44" s="90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0</v>
      </c>
      <c r="I44" s="50">
        <f>AVERAGE(F42:F44)</f>
        <v>4.2575794196516297</v>
      </c>
      <c r="J44" s="50">
        <f>AVERAGE(G42:G44)</f>
        <v>0</v>
      </c>
      <c r="L44">
        <f>+J44/I44</f>
        <v>0</v>
      </c>
      <c r="M44">
        <f>+(L44-$L$913)/$L$914</f>
        <v>-0.71640198305684688</v>
      </c>
      <c r="N44">
        <f>+N41+M44</f>
        <v>-4.3059554198973764</v>
      </c>
    </row>
    <row r="45" spans="1:14">
      <c r="A45" s="7">
        <v>1</v>
      </c>
      <c r="B45" s="90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3.7036673166666666E-2</v>
      </c>
    </row>
    <row r="46" spans="1:14">
      <c r="A46" s="7">
        <v>17</v>
      </c>
      <c r="B46" s="90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14">
      <c r="A47" s="7">
        <v>18</v>
      </c>
      <c r="B47" s="90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8.0871788E-2</v>
      </c>
      <c r="I47" s="50">
        <f>AVERAGE(F45:F47)</f>
        <v>2.3546882166015268</v>
      </c>
      <c r="J47" s="50">
        <f>AVERAGE(G45:G47)</f>
        <v>5.8954230583333336E-2</v>
      </c>
      <c r="L47">
        <f>+J47/I47</f>
        <v>2.5036958255314483E-2</v>
      </c>
      <c r="M47">
        <f>+(L47-$L$913)/$L$914</f>
        <v>2.1642238750364851E-2</v>
      </c>
      <c r="N47">
        <f>+N44+M47</f>
        <v>-4.2843131811470112</v>
      </c>
    </row>
    <row r="48" spans="1:14">
      <c r="A48" s="15">
        <v>1</v>
      </c>
      <c r="B48" s="91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7.485309666666666E-2</v>
      </c>
    </row>
    <row r="49" spans="1:14">
      <c r="A49" s="7">
        <v>17</v>
      </c>
      <c r="B49" s="90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0.11741647833333334</v>
      </c>
    </row>
    <row r="50" spans="1:14">
      <c r="A50" s="7">
        <v>18</v>
      </c>
      <c r="B50" s="90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7.1778334999999999E-2</v>
      </c>
      <c r="I50" s="50">
        <f>AVERAGE(F48:F50)</f>
        <v>3.1305775427290095</v>
      </c>
      <c r="J50" s="50">
        <f>AVERAGE(G48:G50)</f>
        <v>8.8015969999999999E-2</v>
      </c>
      <c r="L50">
        <f>+J50/I50</f>
        <v>2.8114930487642253E-2</v>
      </c>
      <c r="M50">
        <f>+(L50-$L$913)/$L$914</f>
        <v>0.11237529017726317</v>
      </c>
      <c r="N50">
        <f>+N47+M50</f>
        <v>-4.1719378909697484</v>
      </c>
    </row>
    <row r="51" spans="1:14">
      <c r="A51" s="11">
        <v>1</v>
      </c>
      <c r="B51" s="90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2.3373220666666663E-2</v>
      </c>
    </row>
    <row r="52" spans="1:14">
      <c r="A52" s="11">
        <v>17</v>
      </c>
      <c r="B52" s="90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4.7317783000000002E-2</v>
      </c>
    </row>
    <row r="53" spans="1:14">
      <c r="A53" s="11">
        <v>18</v>
      </c>
      <c r="B53" s="90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5.1588064000000003E-2</v>
      </c>
      <c r="I53" s="50">
        <f>AVERAGE(F51:F53)</f>
        <v>6.2624215106362255</v>
      </c>
      <c r="J53" s="50">
        <f>AVERAGE(G51:G53)</f>
        <v>4.0759689222222222E-2</v>
      </c>
      <c r="L53">
        <f>+J53/I53</f>
        <v>6.5086147831146671E-3</v>
      </c>
      <c r="M53">
        <f>+(L53-$L$913)/$L$914</f>
        <v>-0.52453979741665913</v>
      </c>
      <c r="N53">
        <f>+N50+M53</f>
        <v>-4.6964776883864072</v>
      </c>
    </row>
    <row r="54" spans="1:14">
      <c r="A54" s="7">
        <v>1</v>
      </c>
      <c r="B54" s="90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0</v>
      </c>
    </row>
    <row r="55" spans="1:14">
      <c r="A55" s="7">
        <v>17</v>
      </c>
      <c r="B55" s="90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0</v>
      </c>
    </row>
    <row r="56" spans="1:14">
      <c r="A56" s="7">
        <v>18</v>
      </c>
      <c r="B56" s="90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0</v>
      </c>
      <c r="I56" s="50">
        <f>AVERAGE(F54:F56)</f>
        <v>4.8361604254490045</v>
      </c>
      <c r="J56" s="50">
        <f>AVERAGE(G54:G56)</f>
        <v>0</v>
      </c>
      <c r="L56">
        <f>+J56/I56</f>
        <v>0</v>
      </c>
      <c r="M56">
        <f>+(L56-$L$913)/$L$914</f>
        <v>-0.71640198305684688</v>
      </c>
      <c r="N56">
        <f>+N53+M56</f>
        <v>-5.4128796714432541</v>
      </c>
    </row>
    <row r="57" spans="1:14">
      <c r="A57" s="7">
        <v>1</v>
      </c>
      <c r="B57" s="90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0</v>
      </c>
    </row>
    <row r="58" spans="1:14">
      <c r="A58" s="7">
        <v>17</v>
      </c>
      <c r="B58" s="90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0</v>
      </c>
    </row>
    <row r="59" spans="1:14">
      <c r="A59" s="7">
        <v>18</v>
      </c>
      <c r="B59" s="90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0</v>
      </c>
      <c r="I59" s="50">
        <f>AVERAGE(F57:F59)</f>
        <v>0.83021194009765209</v>
      </c>
      <c r="J59" s="50">
        <f>AVERAGE(G57:G59)</f>
        <v>0</v>
      </c>
      <c r="L59">
        <f>+J59/I59</f>
        <v>0</v>
      </c>
      <c r="M59">
        <f>+(L59-$L$913)/$L$914</f>
        <v>-0.71640198305684688</v>
      </c>
      <c r="N59">
        <f>+N56+M59</f>
        <v>-6.129281654500101</v>
      </c>
    </row>
    <row r="60" spans="1:14">
      <c r="A60" s="7">
        <v>1</v>
      </c>
      <c r="B60" s="90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0.40370215916666669</v>
      </c>
    </row>
    <row r="61" spans="1:14">
      <c r="A61" s="7">
        <v>17</v>
      </c>
      <c r="B61" s="90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7.967595416666666E-2</v>
      </c>
    </row>
    <row r="62" spans="1:14">
      <c r="A62" s="7">
        <v>18</v>
      </c>
      <c r="B62" s="90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4.1764866166666664E-2</v>
      </c>
      <c r="I62" s="50">
        <f>AVERAGE(F60:F62)</f>
        <v>1.8843840091707824</v>
      </c>
      <c r="J62" s="50">
        <f>AVERAGE(G60:G62)</f>
        <v>0.17504765983333334</v>
      </c>
      <c r="L62">
        <f>+J62/I62</f>
        <v>9.2893836384422807E-2</v>
      </c>
      <c r="M62">
        <f>+(L62-$L$913)/$L$914</f>
        <v>2.021940210347374</v>
      </c>
      <c r="N62">
        <f>+N59+M62</f>
        <v>-4.107341444152727</v>
      </c>
    </row>
    <row r="63" spans="1:14">
      <c r="A63" s="7">
        <v>1</v>
      </c>
      <c r="B63" s="90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0.93148452749999988</v>
      </c>
    </row>
    <row r="64" spans="1:14">
      <c r="A64" s="7">
        <v>17</v>
      </c>
      <c r="B64" s="90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0.79478028833333336</v>
      </c>
    </row>
    <row r="65" spans="1:14">
      <c r="A65" s="7">
        <v>18</v>
      </c>
      <c r="B65" s="90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9.6149569000000004E-2</v>
      </c>
      <c r="I65" s="50">
        <f>AVERAGE(F63:F65)</f>
        <v>12.253997377971961</v>
      </c>
      <c r="J65" s="50">
        <f>AVERAGE(G63:G65)</f>
        <v>0.6074714616111111</v>
      </c>
      <c r="L65">
        <f>+J65/I65</f>
        <v>4.9573330471174598E-2</v>
      </c>
      <c r="M65">
        <f>+(L65-$L$913)/$L$914</f>
        <v>0.74493008998855059</v>
      </c>
      <c r="N65">
        <f>+N62+M65</f>
        <v>-3.3624113541641765</v>
      </c>
    </row>
    <row r="66" spans="1:14">
      <c r="A66" s="7">
        <v>1</v>
      </c>
      <c r="B66" s="90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1.4971131968333333</v>
      </c>
    </row>
    <row r="67" spans="1:14">
      <c r="A67" s="7">
        <v>17</v>
      </c>
      <c r="B67" s="90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0.16873019350000004</v>
      </c>
    </row>
    <row r="68" spans="1:14">
      <c r="A68" s="7">
        <v>18</v>
      </c>
      <c r="B68" s="90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0.10119928583333335</v>
      </c>
      <c r="I68" s="50">
        <f>AVERAGE(F66:F68)</f>
        <v>10.896221748079236</v>
      </c>
      <c r="J68" s="50">
        <f>AVERAGE(G66:G68)</f>
        <v>0.58901422538888892</v>
      </c>
      <c r="L68">
        <f>+J68/I68</f>
        <v>5.4056739942239071E-2</v>
      </c>
      <c r="M68">
        <f>+(L68-$L$913)/$L$914</f>
        <v>0.87709288789601947</v>
      </c>
      <c r="N68">
        <f>+N65+M68</f>
        <v>-2.4853184662681569</v>
      </c>
    </row>
    <row r="69" spans="1:14">
      <c r="A69" s="7">
        <v>1</v>
      </c>
      <c r="B69" s="90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0.35985677066666666</v>
      </c>
    </row>
    <row r="70" spans="1:14">
      <c r="A70" s="7">
        <v>17</v>
      </c>
      <c r="B70" s="90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0.39571270600000008</v>
      </c>
    </row>
    <row r="71" spans="1:14">
      <c r="A71" s="7">
        <v>18</v>
      </c>
      <c r="B71" s="90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0.21954311983333333</v>
      </c>
      <c r="I71" s="50">
        <f>AVERAGE(F69:F71)</f>
        <v>5.3010215382113168</v>
      </c>
      <c r="J71" s="50">
        <f>AVERAGE(G69:G71)</f>
        <v>0.3250375321666667</v>
      </c>
      <c r="L71">
        <f>+J71/I71</f>
        <v>6.1316018020998578E-2</v>
      </c>
      <c r="M71">
        <f>+(L71-$L$913)/$L$914</f>
        <v>1.0910832690711354</v>
      </c>
      <c r="N71">
        <f>+N68+M71</f>
        <v>-1.3942351971970215</v>
      </c>
    </row>
    <row r="72" spans="1:14">
      <c r="A72" s="7">
        <v>1</v>
      </c>
      <c r="B72" s="90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0.12233421</v>
      </c>
    </row>
    <row r="73" spans="1:14">
      <c r="A73" s="7">
        <v>17</v>
      </c>
      <c r="B73" s="90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0.14286770533333334</v>
      </c>
    </row>
    <row r="74" spans="1:14">
      <c r="A74" s="7">
        <v>18</v>
      </c>
      <c r="B74" s="90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3.7373922000000004E-2</v>
      </c>
      <c r="I74" s="50">
        <f>AVERAGE(F72:F74)</f>
        <v>4.4773063431794577</v>
      </c>
      <c r="J74" s="50">
        <f>AVERAGE(G72:G74)</f>
        <v>0.10085861244444445</v>
      </c>
      <c r="L74">
        <f>+J74/I74</f>
        <v>2.2526627555447098E-2</v>
      </c>
      <c r="M74">
        <f>+(L74-$L$913)/$L$914</f>
        <v>-5.2357767519130967E-2</v>
      </c>
      <c r="N74">
        <f>+N71+M74</f>
        <v>-1.4465929647161524</v>
      </c>
    </row>
    <row r="75" spans="1:14">
      <c r="A75" s="7">
        <v>1</v>
      </c>
      <c r="B75" s="90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13">
        <v>4.6953268400178418E-2</v>
      </c>
    </row>
    <row r="76" spans="1:14">
      <c r="A76" s="7">
        <v>17</v>
      </c>
      <c r="B76" s="90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13">
        <v>6.7892347832630082E-2</v>
      </c>
    </row>
    <row r="77" spans="1:14">
      <c r="A77" s="7">
        <v>18</v>
      </c>
      <c r="B77" s="90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13">
        <v>6.285149164133412E-2</v>
      </c>
      <c r="I77" s="50">
        <f>AVERAGE(F75:F77)</f>
        <v>3.2566932007718798</v>
      </c>
      <c r="J77" s="50">
        <f>AVERAGE(G75:G77)</f>
        <v>5.9232369291380871E-2</v>
      </c>
      <c r="L77">
        <f>+J77/I77</f>
        <v>1.8187887418238232E-2</v>
      </c>
      <c r="M77">
        <f>+(L77-$L$913)/$L$914</f>
        <v>-0.18025597526209111</v>
      </c>
      <c r="N77">
        <f>+N74+M77</f>
        <v>-1.6268489399782435</v>
      </c>
    </row>
    <row r="78" spans="1:14">
      <c r="A78" s="7">
        <v>1</v>
      </c>
      <c r="B78" s="90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13">
        <v>2.6322419916725841E-2</v>
      </c>
    </row>
    <row r="79" spans="1:14">
      <c r="A79" s="7">
        <v>17</v>
      </c>
      <c r="B79" s="90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13">
        <v>3.2166416184600054E-2</v>
      </c>
    </row>
    <row r="80" spans="1:14">
      <c r="A80" s="7">
        <v>18</v>
      </c>
      <c r="B80" s="90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13">
        <v>3.4574808761011384E-2</v>
      </c>
      <c r="I80" s="50">
        <f>AVERAGE(F78:F80)</f>
        <v>5.3516280588786396</v>
      </c>
      <c r="J80" s="50">
        <f>AVERAGE(G78:G80)</f>
        <v>3.102121495411243E-2</v>
      </c>
      <c r="L80">
        <f>+J80/I80</f>
        <v>5.7965939734258174E-3</v>
      </c>
      <c r="M80">
        <f>+(L80-$L$913)/$L$914</f>
        <v>-0.54552888239409647</v>
      </c>
      <c r="N80">
        <f>+N77+M80</f>
        <v>-2.17237782237234</v>
      </c>
    </row>
    <row r="81" spans="1:14">
      <c r="A81" s="7">
        <v>1</v>
      </c>
      <c r="B81" s="90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13">
        <v>8.5843078550772917E-2</v>
      </c>
    </row>
    <row r="82" spans="1:14">
      <c r="A82" s="7">
        <v>17</v>
      </c>
      <c r="B82" s="90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13">
        <v>7.674940100650722E-2</v>
      </c>
    </row>
    <row r="83" spans="1:14">
      <c r="A83" s="7">
        <v>18</v>
      </c>
      <c r="B83" s="90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13">
        <v>7.5386720999256654E-2</v>
      </c>
      <c r="I83" s="50">
        <f>AVERAGE(F81:F83)</f>
        <v>6.9162922164340896</v>
      </c>
      <c r="J83" s="50">
        <f>AVERAGE(G81:G83)</f>
        <v>7.932640018551225E-2</v>
      </c>
      <c r="L83">
        <f>+J83/I83</f>
        <v>1.1469498063864551E-2</v>
      </c>
      <c r="M83">
        <f>+(L83-$L$913)/$L$914</f>
        <v>-0.37830193564923464</v>
      </c>
      <c r="N83">
        <f>+N80+M83</f>
        <v>-2.5506797580215745</v>
      </c>
    </row>
    <row r="84" spans="1:14">
      <c r="A84" s="15">
        <v>1</v>
      </c>
      <c r="B84" s="91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13">
        <v>3.9186985425232114E-2</v>
      </c>
    </row>
    <row r="85" spans="1:14">
      <c r="A85" s="7">
        <v>17</v>
      </c>
      <c r="B85" s="90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13">
        <v>0.36252292811031933</v>
      </c>
    </row>
    <row r="86" spans="1:14">
      <c r="A86" s="7">
        <v>18</v>
      </c>
      <c r="B86" s="90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13">
        <v>0.42781098146188362</v>
      </c>
      <c r="I86" s="50">
        <f>AVERAGE(F84:F86)</f>
        <v>2.8921371672349765</v>
      </c>
      <c r="J86" s="50">
        <f>AVERAGE(G84:G86)</f>
        <v>0.27650696499914501</v>
      </c>
      <c r="L86">
        <f>+J86/I86</f>
        <v>9.5606449144837444E-2</v>
      </c>
      <c r="M86">
        <f>+(L86-$L$913)/$L$914</f>
        <v>2.101903125706694</v>
      </c>
      <c r="N86">
        <f>+N83+M86</f>
        <v>-0.44877663231488052</v>
      </c>
    </row>
    <row r="87" spans="1:14">
      <c r="A87" s="7">
        <v>1</v>
      </c>
      <c r="B87" s="90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13">
        <v>7.0767699199537445E-2</v>
      </c>
    </row>
    <row r="88" spans="1:14">
      <c r="A88" s="7">
        <v>17</v>
      </c>
      <c r="B88" s="90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13">
        <v>7.4246780395660628E-2</v>
      </c>
    </row>
    <row r="89" spans="1:14">
      <c r="A89" s="7">
        <v>18</v>
      </c>
      <c r="B89" s="90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13">
        <v>6.105456792713336E-2</v>
      </c>
      <c r="I89" s="50">
        <f>AVERAGE(F87:F89)</f>
        <v>3.8102926952233851</v>
      </c>
      <c r="J89" s="50">
        <f>AVERAGE(G87:G89)</f>
        <v>6.8689682507443825E-2</v>
      </c>
      <c r="L89">
        <f>+J89/I89</f>
        <v>1.8027403142428872E-2</v>
      </c>
      <c r="M89">
        <f>+(L89-$L$913)/$L$914</f>
        <v>-0.18498676129624811</v>
      </c>
      <c r="N89">
        <f>+N86+M89</f>
        <v>-0.63376339361112866</v>
      </c>
    </row>
    <row r="90" spans="1:14">
      <c r="A90" s="7">
        <v>1</v>
      </c>
      <c r="B90" s="86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13">
        <v>7.9765279993133278E-2</v>
      </c>
    </row>
    <row r="91" spans="1:14">
      <c r="A91" s="7">
        <v>17</v>
      </c>
      <c r="B91" s="86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13">
        <v>0.10698402594247108</v>
      </c>
    </row>
    <row r="92" spans="1:14">
      <c r="A92" s="7">
        <v>18</v>
      </c>
      <c r="B92" s="86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13">
        <v>0.10508375347483513</v>
      </c>
      <c r="I92" s="50">
        <f>AVERAGE(F90:F92)</f>
        <v>3.0087810350962401</v>
      </c>
      <c r="J92" s="50">
        <f>AVERAGE(G90:G92)</f>
        <v>9.7277686470146493E-2</v>
      </c>
      <c r="L92">
        <f>+J92/I92</f>
        <v>3.2331261509375653E-2</v>
      </c>
      <c r="M92">
        <f>+(L92-$L$913)/$L$914</f>
        <v>0.23666509871086555</v>
      </c>
      <c r="N92">
        <f>+N89+M92</f>
        <v>-0.3970982949002631</v>
      </c>
    </row>
    <row r="93" spans="1:14">
      <c r="A93" s="7">
        <v>1</v>
      </c>
      <c r="B93" s="86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13">
        <v>5.4071097387193616E-2</v>
      </c>
    </row>
    <row r="94" spans="1:14">
      <c r="A94" s="7">
        <v>17</v>
      </c>
      <c r="B94" s="86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13">
        <v>5.9102424401419523E-2</v>
      </c>
    </row>
    <row r="95" spans="1:14">
      <c r="A95" s="7">
        <v>18</v>
      </c>
      <c r="B95" s="86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13">
        <v>4.564338365268119E-2</v>
      </c>
      <c r="I95" s="50">
        <f>AVERAGE(F93:F95)</f>
        <v>2.5730582982118841</v>
      </c>
      <c r="J95" s="50">
        <f>AVERAGE(G93:G95)</f>
        <v>5.2938968480431448E-2</v>
      </c>
      <c r="L95">
        <f>+J95/I95</f>
        <v>2.0574336973717518E-2</v>
      </c>
      <c r="M95">
        <f>+(L95-$L$913)/$L$914</f>
        <v>-0.10990776095047393</v>
      </c>
      <c r="N95">
        <f>+N92+M95</f>
        <v>-0.50700605585073699</v>
      </c>
    </row>
    <row r="96" spans="1:14">
      <c r="A96" s="7">
        <v>1</v>
      </c>
      <c r="B96" s="86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26"/>
    </row>
    <row r="97" spans="1:10">
      <c r="A97" s="7">
        <v>17</v>
      </c>
      <c r="B97" s="86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26"/>
    </row>
    <row r="98" spans="1:10">
      <c r="A98" s="7">
        <v>18</v>
      </c>
      <c r="B98" s="86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26"/>
      <c r="I98" s="50">
        <f>AVERAGE(F96:F98)</f>
        <v>4.6564320563864543</v>
      </c>
      <c r="J98" s="50" t="e">
        <f>AVERAGE(G96:G98)</f>
        <v>#DIV/0!</v>
      </c>
    </row>
    <row r="99" spans="1:10">
      <c r="A99" s="7">
        <v>1</v>
      </c>
      <c r="B99" s="86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26"/>
    </row>
    <row r="100" spans="1:10">
      <c r="A100" s="7">
        <v>17</v>
      </c>
      <c r="B100" s="86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26"/>
    </row>
    <row r="101" spans="1:10">
      <c r="A101" s="7">
        <v>18</v>
      </c>
      <c r="B101" s="86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26"/>
      <c r="I101" s="50">
        <f>AVERAGE(F99:F101)</f>
        <v>8.6267009313882834</v>
      </c>
      <c r="J101" s="50" t="e">
        <f>AVERAGE(G99:G101)</f>
        <v>#DIV/0!</v>
      </c>
    </row>
    <row r="102" spans="1:10">
      <c r="A102" s="7">
        <v>1</v>
      </c>
      <c r="B102" s="86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26"/>
    </row>
    <row r="103" spans="1:10">
      <c r="A103" s="7">
        <v>17</v>
      </c>
      <c r="B103" s="86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26"/>
    </row>
    <row r="104" spans="1:10">
      <c r="A104" s="7">
        <v>18</v>
      </c>
      <c r="B104" s="86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26"/>
      <c r="I104" s="50">
        <f>AVERAGE(F102:F104)</f>
        <v>5.80724571678671</v>
      </c>
      <c r="J104" s="50" t="e">
        <f>AVERAGE(G102:G104)</f>
        <v>#DIV/0!</v>
      </c>
    </row>
    <row r="105" spans="1:10">
      <c r="A105" s="7">
        <v>1</v>
      </c>
      <c r="B105" s="86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26"/>
    </row>
    <row r="106" spans="1:10">
      <c r="A106" s="7">
        <v>17</v>
      </c>
      <c r="B106" s="86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26"/>
    </row>
    <row r="107" spans="1:10">
      <c r="A107" s="7">
        <v>18</v>
      </c>
      <c r="B107" s="86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26"/>
      <c r="I107" s="50">
        <f>AVERAGE(F105:F107)</f>
        <v>10.532906639870701</v>
      </c>
      <c r="J107" s="50" t="e">
        <f>AVERAGE(G105:G107)</f>
        <v>#DIV/0!</v>
      </c>
    </row>
    <row r="108" spans="1:10">
      <c r="A108" s="7">
        <v>1</v>
      </c>
      <c r="B108" s="86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26"/>
    </row>
    <row r="109" spans="1:10">
      <c r="A109" s="7">
        <v>17</v>
      </c>
      <c r="B109" s="86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26"/>
    </row>
    <row r="110" spans="1:10">
      <c r="A110" s="7">
        <v>18</v>
      </c>
      <c r="B110" s="86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26"/>
      <c r="I110" s="50">
        <f>AVERAGE(F108:F110)</f>
        <v>4.6599635827797288</v>
      </c>
      <c r="J110" s="50" t="e">
        <f>AVERAGE(G108:G110)</f>
        <v>#DIV/0!</v>
      </c>
    </row>
    <row r="111" spans="1:10">
      <c r="A111" s="7">
        <v>1</v>
      </c>
      <c r="B111" s="86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2.7499309104189181E-2</v>
      </c>
    </row>
    <row r="112" spans="1:10">
      <c r="A112" s="7">
        <v>17</v>
      </c>
      <c r="B112" s="86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4.67648436334498E-2</v>
      </c>
    </row>
    <row r="113" spans="1:14">
      <c r="A113" s="7">
        <v>18</v>
      </c>
      <c r="B113" s="86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3.3891911354148652E-2</v>
      </c>
      <c r="I113" s="50">
        <f>AVERAGE(F111:F113)</f>
        <v>3.6195663869928301</v>
      </c>
      <c r="J113" s="50">
        <f>AVERAGE(G111:G113)</f>
        <v>3.605202136392921E-2</v>
      </c>
      <c r="L113">
        <f>+J113/I113</f>
        <v>9.9603149961511196E-3</v>
      </c>
      <c r="M113">
        <f>+(L113-$L$913)/$L$914</f>
        <v>-0.42278992142677013</v>
      </c>
      <c r="N113">
        <f>+N95+M113</f>
        <v>-0.92979597727750707</v>
      </c>
    </row>
    <row r="114" spans="1:14">
      <c r="A114" s="7">
        <v>1</v>
      </c>
      <c r="B114" s="86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0</v>
      </c>
    </row>
    <row r="115" spans="1:14">
      <c r="A115" s="7">
        <v>17</v>
      </c>
      <c r="B115" s="86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0</v>
      </c>
    </row>
    <row r="116" spans="1:14">
      <c r="A116" s="7">
        <v>18</v>
      </c>
      <c r="B116" s="86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1.8485553835205878E-2</v>
      </c>
      <c r="I116" s="50">
        <f>AVERAGE(F114:F116)</f>
        <v>1.3662578893211534</v>
      </c>
      <c r="J116" s="50">
        <f>AVERAGE(G114:G116)</f>
        <v>6.1618512784019598E-3</v>
      </c>
      <c r="L116">
        <f>+J116/I116</f>
        <v>4.5100206385366758E-3</v>
      </c>
      <c r="M116">
        <f>+(L116-$L$913)/$L$914</f>
        <v>-0.58345473608858867</v>
      </c>
      <c r="N116">
        <f>+N113+M116</f>
        <v>-1.5132507133660957</v>
      </c>
    </row>
    <row r="117" spans="1:14">
      <c r="A117" s="7">
        <v>1</v>
      </c>
      <c r="B117" s="86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4.7415036826671197E-2</v>
      </c>
    </row>
    <row r="118" spans="1:14">
      <c r="A118" s="7">
        <v>17</v>
      </c>
      <c r="B118" s="86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2.9368421123804403E-2</v>
      </c>
    </row>
    <row r="119" spans="1:14">
      <c r="A119" s="7">
        <v>18</v>
      </c>
      <c r="B119" s="86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2.7860427435446367E-2</v>
      </c>
      <c r="I119" s="50">
        <f>AVERAGE(F117:F119)</f>
        <v>3.3937939526405896</v>
      </c>
      <c r="J119" s="50">
        <f>AVERAGE(G117:G119)</f>
        <v>3.4881295128640653E-2</v>
      </c>
      <c r="L119">
        <f>+J119/I119</f>
        <v>1.0277964901640763E-2</v>
      </c>
      <c r="M119">
        <f>+(L119-$L$913)/$L$914</f>
        <v>-0.41342617704082923</v>
      </c>
      <c r="N119">
        <f>+N116+M119</f>
        <v>-1.9266768904069249</v>
      </c>
    </row>
    <row r="120" spans="1:14">
      <c r="A120" s="15">
        <v>1</v>
      </c>
      <c r="B120" s="92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0.11724747111380061</v>
      </c>
    </row>
    <row r="121" spans="1:14">
      <c r="A121" s="7">
        <v>17</v>
      </c>
      <c r="B121" s="86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0.14266270268504888</v>
      </c>
    </row>
    <row r="122" spans="1:14">
      <c r="A122" s="7">
        <v>18</v>
      </c>
      <c r="B122" s="86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8.6835808121785152E-2</v>
      </c>
      <c r="I122" s="50">
        <f>AVERAGE(F120:F122)</f>
        <v>11.371850966102457</v>
      </c>
      <c r="J122" s="50">
        <f>AVERAGE(G120:G122)</f>
        <v>0.11558199397354489</v>
      </c>
      <c r="L122">
        <f>+J122/I122</f>
        <v>1.0163868161662957E-2</v>
      </c>
      <c r="M122">
        <f>+(L122-$L$913)/$L$914</f>
        <v>-0.4167895424628163</v>
      </c>
      <c r="N122">
        <f>+N119+M122</f>
        <v>-2.3434664328697412</v>
      </c>
    </row>
    <row r="123" spans="1:14">
      <c r="A123" s="7">
        <v>1</v>
      </c>
      <c r="B123" s="86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0</v>
      </c>
    </row>
    <row r="124" spans="1:14">
      <c r="A124" s="7">
        <v>17</v>
      </c>
      <c r="B124" s="86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0.46986151406795917</v>
      </c>
    </row>
    <row r="125" spans="1:14">
      <c r="A125" s="7">
        <v>18</v>
      </c>
      <c r="B125" s="86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0</v>
      </c>
      <c r="I125" s="50">
        <f>AVERAGE(F123:F125)</f>
        <v>7.3097050707579028</v>
      </c>
      <c r="J125" s="50">
        <f>AVERAGE(G123:G125)</f>
        <v>0.15662050468931973</v>
      </c>
      <c r="L125">
        <f>+J125/I125</f>
        <v>2.1426378105988429E-2</v>
      </c>
      <c r="M125">
        <f>+(L125-$L$913)/$L$914</f>
        <v>-8.4791130247894947E-2</v>
      </c>
      <c r="N125">
        <f>+N122+M125</f>
        <v>-2.428257563117636</v>
      </c>
    </row>
    <row r="126" spans="1:14">
      <c r="A126" s="7">
        <v>1</v>
      </c>
      <c r="B126" s="86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2.4566752093623408E-2</v>
      </c>
    </row>
    <row r="127" spans="1:14">
      <c r="A127" s="7">
        <v>17</v>
      </c>
      <c r="B127" s="86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9.9616355330487683E-2</v>
      </c>
    </row>
    <row r="128" spans="1:14">
      <c r="A128" s="7">
        <v>18</v>
      </c>
      <c r="B128" s="86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0.16764391122635239</v>
      </c>
      <c r="I128" s="50">
        <f>AVERAGE(F126:F128)</f>
        <v>7.0365946722071486</v>
      </c>
      <c r="J128" s="50">
        <f>AVERAGE(G126:G128)</f>
        <v>9.7275672883487818E-2</v>
      </c>
      <c r="L128">
        <f>+J128/I128</f>
        <v>1.3824254119354531E-2</v>
      </c>
      <c r="M128">
        <f>+(L128-$L$913)/$L$914</f>
        <v>-0.30888798836388409</v>
      </c>
      <c r="N128">
        <f>+N125+M128</f>
        <v>-2.7371455514815199</v>
      </c>
    </row>
    <row r="129" spans="1:14">
      <c r="A129" s="7">
        <v>1</v>
      </c>
      <c r="B129" s="86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0.32935266785205974</v>
      </c>
    </row>
    <row r="130" spans="1:14">
      <c r="A130" s="7">
        <v>17</v>
      </c>
      <c r="B130" s="86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0.13036997989864649</v>
      </c>
    </row>
    <row r="131" spans="1:14">
      <c r="A131" s="7">
        <v>18</v>
      </c>
      <c r="B131" s="86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9.0474111726259132E-2</v>
      </c>
      <c r="I131" s="50">
        <f>AVERAGE(F129:F131)</f>
        <v>10.135393671482817</v>
      </c>
      <c r="J131" s="50">
        <f>AVERAGE(G129:G131)</f>
        <v>0.18339891982565515</v>
      </c>
      <c r="L131">
        <f>+J131/I131</f>
        <v>1.809489850815274E-2</v>
      </c>
      <c r="M131">
        <f>+(L131-$L$913)/$L$914</f>
        <v>-0.1829971200561549</v>
      </c>
      <c r="N131">
        <f>+N128+M131</f>
        <v>-2.920142671537675</v>
      </c>
    </row>
    <row r="132" spans="1:14">
      <c r="A132" s="7">
        <v>1</v>
      </c>
      <c r="B132" s="86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5.0216371050484092E-2</v>
      </c>
    </row>
    <row r="133" spans="1:14">
      <c r="A133" s="7">
        <v>17</v>
      </c>
      <c r="B133" s="86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1.9026340628380777E-2</v>
      </c>
    </row>
    <row r="134" spans="1:14">
      <c r="A134" s="7">
        <v>18</v>
      </c>
      <c r="B134" s="86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2.5340226513572532E-2</v>
      </c>
      <c r="I134" s="50">
        <f>AVERAGE(F132:F134)</f>
        <v>1.8926299759064262</v>
      </c>
      <c r="J134" s="50">
        <f>AVERAGE(G132:G134)</f>
        <v>3.1527646064145799E-2</v>
      </c>
      <c r="L134">
        <f>+J134/I134</f>
        <v>1.6658114087539193E-2</v>
      </c>
      <c r="M134">
        <f>+(L134-$L$913)/$L$914</f>
        <v>-0.22535092473174334</v>
      </c>
      <c r="N134">
        <f>+N131+M134</f>
        <v>-3.1454935962694184</v>
      </c>
    </row>
    <row r="135" spans="1:14">
      <c r="A135" s="7">
        <v>1</v>
      </c>
      <c r="B135" s="86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8.6565052506908199E-2</v>
      </c>
    </row>
    <row r="136" spans="1:14">
      <c r="A136" s="7">
        <v>17</v>
      </c>
      <c r="B136" s="86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9.6952774864613803E-2</v>
      </c>
    </row>
    <row r="137" spans="1:14">
      <c r="A137" s="7">
        <v>18</v>
      </c>
      <c r="B137" s="86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6.3897508673652958E-2</v>
      </c>
      <c r="I137" s="50">
        <f>AVERAGE(F135:F137)</f>
        <v>4.2917729765473558</v>
      </c>
      <c r="J137" s="50">
        <f>AVERAGE(G135:G137)</f>
        <v>8.2471778681724991E-2</v>
      </c>
      <c r="L137">
        <f>+J137/I137</f>
        <v>1.9216249119512342E-2</v>
      </c>
      <c r="M137">
        <f>+(L137-$L$913)/$L$914</f>
        <v>-0.14994173325978691</v>
      </c>
      <c r="N137">
        <f>+N134+M137</f>
        <v>-3.2954353295292051</v>
      </c>
    </row>
    <row r="138" spans="1:14">
      <c r="A138" s="7">
        <v>1</v>
      </c>
      <c r="B138" s="86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0.65389926835444967</v>
      </c>
    </row>
    <row r="139" spans="1:14">
      <c r="A139" s="7">
        <v>17</v>
      </c>
      <c r="B139" s="86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0.20026383087999475</v>
      </c>
    </row>
    <row r="140" spans="1:14">
      <c r="A140" s="7">
        <v>18</v>
      </c>
      <c r="B140" s="86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0.38915712038318057</v>
      </c>
      <c r="I140" s="50">
        <f>AVERAGE(F138:F140)</f>
        <v>9.6287058091933027</v>
      </c>
      <c r="J140" s="50">
        <f>AVERAGE(G138:G140)</f>
        <v>0.414440073205875</v>
      </c>
      <c r="L140">
        <f>+J140/I140</f>
        <v>4.3042136858120188E-2</v>
      </c>
      <c r="M140">
        <f>+(L140-$L$913)/$L$914</f>
        <v>0.55240232130100297</v>
      </c>
      <c r="N140">
        <f>+N137+M140</f>
        <v>-2.7430330082282022</v>
      </c>
    </row>
    <row r="141" spans="1:14">
      <c r="A141" s="7">
        <v>1</v>
      </c>
      <c r="B141" s="86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0.20565275871632116</v>
      </c>
    </row>
    <row r="142" spans="1:14">
      <c r="A142" s="7">
        <v>17</v>
      </c>
      <c r="B142" s="86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7.7937886222838273E-2</v>
      </c>
    </row>
    <row r="143" spans="1:14">
      <c r="A143" s="7">
        <v>18</v>
      </c>
      <c r="B143" s="86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5.4650444573958311E-2</v>
      </c>
      <c r="I143" s="50">
        <f>AVERAGE(F141:F143)</f>
        <v>15.816355382808114</v>
      </c>
      <c r="J143" s="50">
        <f>AVERAGE(G141:G143)</f>
        <v>0.1127470298377059</v>
      </c>
      <c r="L143">
        <f>+J143/I143</f>
        <v>7.1285088826632216E-3</v>
      </c>
      <c r="M143">
        <f>+(L143-$L$913)/$L$914</f>
        <v>-0.50626644113916153</v>
      </c>
      <c r="N143">
        <f>+N140+M143</f>
        <v>-3.2492994493673635</v>
      </c>
    </row>
    <row r="144" spans="1:14">
      <c r="A144" s="7">
        <v>1</v>
      </c>
      <c r="B144" s="86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2.6764907222375994E-2</v>
      </c>
    </row>
    <row r="145" spans="1:14">
      <c r="A145" s="7">
        <v>17</v>
      </c>
      <c r="B145" s="86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2.2545310540432361E-2</v>
      </c>
    </row>
    <row r="146" spans="1:14">
      <c r="A146" s="7">
        <v>18</v>
      </c>
      <c r="B146" s="86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</v>
      </c>
      <c r="I146" s="50">
        <f>AVERAGE(F144:F146)</f>
        <v>3.5867332762892858</v>
      </c>
      <c r="J146" s="50">
        <f>AVERAGE(G144:G146)</f>
        <v>1.6436739254269452E-2</v>
      </c>
      <c r="L146">
        <f>+J146/I146</f>
        <v>4.5826488863633464E-3</v>
      </c>
      <c r="M146">
        <f>+(L146-$L$913)/$L$914</f>
        <v>-0.58131378677270773</v>
      </c>
      <c r="N146">
        <f>+N143+M146</f>
        <v>-3.8306132361400711</v>
      </c>
    </row>
    <row r="147" spans="1:14">
      <c r="A147" s="7">
        <v>1</v>
      </c>
      <c r="B147" s="86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0.11108180125415432</v>
      </c>
    </row>
    <row r="148" spans="1:14">
      <c r="A148" s="7">
        <v>17</v>
      </c>
      <c r="B148" s="86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0.12969576763380547</v>
      </c>
    </row>
    <row r="149" spans="1:14">
      <c r="A149" s="7">
        <v>18</v>
      </c>
      <c r="B149" s="86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8.5508629520886462E-2</v>
      </c>
      <c r="I149" s="50">
        <f>AVERAGE(F147:F149)</f>
        <v>5.1791666666666671</v>
      </c>
      <c r="J149" s="50">
        <f>AVERAGE(G147:G149)</f>
        <v>0.10876206613628209</v>
      </c>
      <c r="L149">
        <f>+J149/I149</f>
        <v>2.0999916229048832E-2</v>
      </c>
      <c r="M149">
        <f>+(L149-$L$913)/$L$914</f>
        <v>-9.7362454643082519E-2</v>
      </c>
      <c r="N149">
        <f>+N146+M149</f>
        <v>-3.9279756907831538</v>
      </c>
    </row>
    <row r="150" spans="1:14">
      <c r="A150" s="7">
        <v>1</v>
      </c>
      <c r="B150" s="86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0.10726751721696216</v>
      </c>
    </row>
    <row r="151" spans="1:14">
      <c r="A151" s="7">
        <v>17</v>
      </c>
      <c r="B151" s="86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8.7578644460486521E-2</v>
      </c>
    </row>
    <row r="152" spans="1:14">
      <c r="A152" s="7">
        <v>18</v>
      </c>
      <c r="B152" s="86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8.325303795345132E-2</v>
      </c>
      <c r="I152" s="50">
        <f>AVERAGE(F150:F152)</f>
        <v>3.7247000000000003</v>
      </c>
      <c r="J152" s="50">
        <f>AVERAGE(G150:G152)</f>
        <v>9.2699733210300006E-2</v>
      </c>
      <c r="L152">
        <f>+J152/I152</f>
        <v>2.4887838808575185E-2</v>
      </c>
      <c r="M152">
        <f>+(L152-$L$913)/$L$914</f>
        <v>1.7246467311090041E-2</v>
      </c>
      <c r="N152">
        <f>+N149+M152</f>
        <v>-3.9107292234720639</v>
      </c>
    </row>
    <row r="153" spans="1:14">
      <c r="A153" s="7">
        <v>1</v>
      </c>
      <c r="B153" s="86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5.4484188700624207E-2</v>
      </c>
    </row>
    <row r="154" spans="1:14">
      <c r="A154" s="7">
        <v>17</v>
      </c>
      <c r="B154" s="86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5.8198227938951276E-2</v>
      </c>
    </row>
    <row r="155" spans="1:14">
      <c r="A155" s="7">
        <v>18</v>
      </c>
      <c r="B155" s="86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0.11817869999240026</v>
      </c>
      <c r="I155" s="50">
        <f>AVERAGE(F153:F155)</f>
        <v>4.0904999999999996</v>
      </c>
      <c r="J155" s="50">
        <f>AVERAGE(G153:G155)</f>
        <v>7.6953705543991904E-2</v>
      </c>
      <c r="L155">
        <f>+J155/I155</f>
        <v>1.8812787078350303E-2</v>
      </c>
      <c r="M155">
        <f>+(L155-$L$913)/$L$914</f>
        <v>-0.16183506411737938</v>
      </c>
      <c r="N155">
        <f>+N152+M155</f>
        <v>-4.0725642875894437</v>
      </c>
    </row>
    <row r="156" spans="1:14">
      <c r="A156" s="15">
        <v>1</v>
      </c>
      <c r="B156" s="92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5.7181426633508933E-2</v>
      </c>
    </row>
    <row r="157" spans="1:14">
      <c r="A157" s="7">
        <v>17</v>
      </c>
      <c r="B157" s="86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4.7723046411364649E-2</v>
      </c>
    </row>
    <row r="158" spans="1:14">
      <c r="A158" s="7">
        <v>18</v>
      </c>
      <c r="B158" s="86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4.7310094836880985E-2</v>
      </c>
      <c r="I158" s="50">
        <f>AVERAGE(F156:F158)</f>
        <v>4.5131666666666668</v>
      </c>
      <c r="J158" s="50">
        <f>AVERAGE(G156:G158)</f>
        <v>5.0738189293918184E-2</v>
      </c>
      <c r="L158">
        <f>+J158/I158</f>
        <v>1.1242259158887297E-2</v>
      </c>
      <c r="M158">
        <f>+(L158-$L$913)/$L$914</f>
        <v>-0.38500052735027168</v>
      </c>
      <c r="N158">
        <f>+N155+M158</f>
        <v>-4.4575648149397153</v>
      </c>
    </row>
    <row r="159" spans="1:14">
      <c r="A159" s="7">
        <v>1</v>
      </c>
      <c r="B159" s="86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0.23028101623552541</v>
      </c>
    </row>
    <row r="160" spans="1:14">
      <c r="A160" s="7">
        <v>17</v>
      </c>
      <c r="B160" s="86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0.26667877067665563</v>
      </c>
    </row>
    <row r="161" spans="1:14">
      <c r="A161" s="7">
        <v>18</v>
      </c>
      <c r="B161" s="86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0.18463491196357548</v>
      </c>
      <c r="I161" s="50">
        <f>AVERAGE(F159:F161)</f>
        <v>8.2728333333333328</v>
      </c>
      <c r="J161" s="50">
        <f>AVERAGE(G159:G161)</f>
        <v>0.22719823295858552</v>
      </c>
      <c r="L161">
        <f>+J161/I161</f>
        <v>2.7463170573393099E-2</v>
      </c>
      <c r="M161">
        <f>+(L161-$L$913)/$L$914</f>
        <v>9.3162587347635439E-2</v>
      </c>
      <c r="N161">
        <f>+N158+M161</f>
        <v>-4.3644022275920795</v>
      </c>
    </row>
    <row r="162" spans="1:14">
      <c r="A162" s="7">
        <v>1</v>
      </c>
      <c r="B162" s="86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0.44333509554273914</v>
      </c>
    </row>
    <row r="163" spans="1:14">
      <c r="A163" s="7">
        <v>17</v>
      </c>
      <c r="B163" s="86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6.4080939439411497E-2</v>
      </c>
    </row>
    <row r="164" spans="1:14">
      <c r="A164" s="7">
        <v>18</v>
      </c>
      <c r="B164" s="86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9.2607320194602771E-2</v>
      </c>
      <c r="I164" s="50">
        <f>AVERAGE(F162:F164)</f>
        <v>6.9575666666666676</v>
      </c>
      <c r="J164" s="50">
        <f>AVERAGE(G162:G164)</f>
        <v>0.20000778505891778</v>
      </c>
      <c r="L164">
        <f>+J164/I164</f>
        <v>2.8746801093138562E-2</v>
      </c>
      <c r="M164">
        <f>+(L164-$L$913)/$L$914</f>
        <v>0.13100169217709018</v>
      </c>
      <c r="N164">
        <f>+N161+M164</f>
        <v>-4.2334005354149893</v>
      </c>
    </row>
    <row r="165" spans="1:14">
      <c r="A165" s="7">
        <v>1</v>
      </c>
      <c r="B165" s="86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9.1554596736506094E-2</v>
      </c>
    </row>
    <row r="166" spans="1:14">
      <c r="A166" s="7">
        <v>17</v>
      </c>
      <c r="B166" s="86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4.5129829501571565E-2</v>
      </c>
    </row>
    <row r="167" spans="1:14">
      <c r="A167" s="7">
        <v>18</v>
      </c>
      <c r="B167" s="86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4.5563052353382844E-2</v>
      </c>
      <c r="I167" s="50">
        <f>AVERAGE(F165:F167)</f>
        <v>5.1312333333333333</v>
      </c>
      <c r="J167" s="50">
        <f>AVERAGE(G165:G167)</f>
        <v>6.0749159530486839E-2</v>
      </c>
      <c r="L167">
        <f>+J167/I167</f>
        <v>1.1839095122774935E-2</v>
      </c>
      <c r="M167">
        <f>+(L167-$L$913)/$L$914</f>
        <v>-0.36740688318542958</v>
      </c>
      <c r="N167">
        <f>+N164+M167</f>
        <v>-4.6008074186004189</v>
      </c>
    </row>
    <row r="168" spans="1:14">
      <c r="A168" s="7">
        <v>1</v>
      </c>
      <c r="B168" s="86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7.8392877831130234E-2</v>
      </c>
    </row>
    <row r="169" spans="1:14">
      <c r="A169" s="7">
        <v>17</v>
      </c>
      <c r="B169" s="86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0.34402029518038801</v>
      </c>
    </row>
    <row r="170" spans="1:14">
      <c r="A170" s="7">
        <v>18</v>
      </c>
      <c r="B170" s="86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3.2182692028390872E-2</v>
      </c>
      <c r="I170" s="50">
        <f>AVERAGE(F168:F170)</f>
        <v>1.6521999999999999</v>
      </c>
      <c r="J170" s="50">
        <f>AVERAGE(G168:G170)</f>
        <v>0.15153195501330305</v>
      </c>
      <c r="L170">
        <f>+J170/I170</f>
        <v>9.1715261477607474E-2</v>
      </c>
      <c r="M170">
        <f>+(L170-$L$913)/$L$914</f>
        <v>1.98719795487561</v>
      </c>
      <c r="N170">
        <f>+N167+M170</f>
        <v>-2.6136094637248091</v>
      </c>
    </row>
    <row r="171" spans="1:14">
      <c r="A171" s="7">
        <v>1</v>
      </c>
      <c r="B171" s="86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0.12767806818518168</v>
      </c>
    </row>
    <row r="172" spans="1:14">
      <c r="A172" s="7">
        <v>17</v>
      </c>
      <c r="B172" s="86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0.13026652739383895</v>
      </c>
    </row>
    <row r="173" spans="1:14">
      <c r="A173" s="7">
        <v>18</v>
      </c>
      <c r="B173" s="86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7.3672753938117841E-2</v>
      </c>
      <c r="I173" s="50">
        <f>AVERAGE(F171:F173)</f>
        <v>14.197066666666666</v>
      </c>
      <c r="J173" s="50">
        <f>AVERAGE(G171:G173)</f>
        <v>0.11053911650571281</v>
      </c>
      <c r="L173">
        <f>+J173/I173</f>
        <v>7.7860532109247553E-3</v>
      </c>
      <c r="M173">
        <f>+(L173-$L$913)/$L$914</f>
        <v>-0.48688322425208153</v>
      </c>
      <c r="N173">
        <f>+N170+M173</f>
        <v>-3.1004926879768906</v>
      </c>
    </row>
    <row r="174" spans="1:14">
      <c r="A174" s="7">
        <v>1</v>
      </c>
      <c r="B174" s="86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0.10327718647260119</v>
      </c>
    </row>
    <row r="175" spans="1:14">
      <c r="A175" s="7">
        <v>17</v>
      </c>
      <c r="B175" s="86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0.12484569541061681</v>
      </c>
    </row>
    <row r="176" spans="1:14">
      <c r="A176" s="7">
        <v>18</v>
      </c>
      <c r="B176" s="86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0.17896759173328067</v>
      </c>
      <c r="I176" s="50">
        <f>AVERAGE(F174:F176)</f>
        <v>19.763133333333332</v>
      </c>
      <c r="J176" s="50">
        <f>AVERAGE(G174:G176)</f>
        <v>0.13569682453883289</v>
      </c>
      <c r="L176">
        <f>+J176/I176</f>
        <v>6.8661594419322626E-3</v>
      </c>
      <c r="M176">
        <f>+(L176-$L$913)/$L$914</f>
        <v>-0.51400002789723898</v>
      </c>
      <c r="N176">
        <f>+N173+M176</f>
        <v>-3.6144927158741296</v>
      </c>
    </row>
    <row r="177" spans="1:14">
      <c r="A177" s="7">
        <v>1</v>
      </c>
      <c r="B177" s="86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</row>
    <row r="178" spans="1:14">
      <c r="A178" s="7">
        <v>17</v>
      </c>
      <c r="B178" s="86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</row>
    <row r="179" spans="1:14">
      <c r="A179" s="7">
        <v>18</v>
      </c>
      <c r="B179" s="86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I179" s="50">
        <f>AVERAGE(F177:F179)</f>
        <v>8.697633333333334</v>
      </c>
      <c r="J179" s="50" t="e">
        <f>AVERAGE(G177:G179)</f>
        <v>#DIV/0!</v>
      </c>
    </row>
    <row r="180" spans="1:14">
      <c r="A180" s="7">
        <v>1</v>
      </c>
      <c r="B180" s="86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2.8385155143239502E-2</v>
      </c>
    </row>
    <row r="181" spans="1:14">
      <c r="A181" s="7">
        <v>17</v>
      </c>
      <c r="B181" s="86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4.1118330113070298E-2</v>
      </c>
    </row>
    <row r="182" spans="1:14">
      <c r="A182" s="7">
        <v>18</v>
      </c>
      <c r="B182" s="86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1.4058686372391316E-2</v>
      </c>
      <c r="I182" s="50">
        <f>AVERAGE(F180:F182)</f>
        <v>9.2700999999999993</v>
      </c>
      <c r="J182" s="50">
        <f>AVERAGE(G180:G182)</f>
        <v>2.7854057209567035E-2</v>
      </c>
      <c r="L182">
        <f>+J182/I182</f>
        <v>3.0047202521620089E-3</v>
      </c>
      <c r="M182">
        <f>+(L182-$L$913)/$L$914</f>
        <v>-0.62782826744646292</v>
      </c>
      <c r="N182">
        <f>+N176+M182</f>
        <v>-4.2423209833205924</v>
      </c>
    </row>
    <row r="183" spans="1:14">
      <c r="A183" s="7">
        <v>1</v>
      </c>
      <c r="B183" s="86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3.8623679256134663E-2</v>
      </c>
    </row>
    <row r="184" spans="1:14">
      <c r="A184" s="7">
        <v>17</v>
      </c>
      <c r="B184" s="86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3.9960941071331663E-2</v>
      </c>
    </row>
    <row r="185" spans="1:14">
      <c r="A185" s="7">
        <v>18</v>
      </c>
      <c r="B185" s="86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5.6823488686817102E-2</v>
      </c>
      <c r="I185" s="50">
        <f>AVERAGE(F183:F185)</f>
        <v>9.2226800000000004</v>
      </c>
      <c r="J185" s="50">
        <f>AVERAGE(G183:G185)</f>
        <v>4.513603633809448E-2</v>
      </c>
      <c r="L185">
        <f>+J185/I185</f>
        <v>4.8940260681379468E-3</v>
      </c>
      <c r="M185">
        <f>+(L185-$L$913)/$L$914</f>
        <v>-0.57213495093059508</v>
      </c>
      <c r="N185">
        <f>+N182+M185</f>
        <v>-4.8144559342511872</v>
      </c>
    </row>
    <row r="186" spans="1:14">
      <c r="A186" s="7">
        <v>1</v>
      </c>
      <c r="B186" s="86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2.5792125822646481E-2</v>
      </c>
    </row>
    <row r="187" spans="1:14">
      <c r="A187" s="7">
        <v>17</v>
      </c>
      <c r="B187" s="86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2.4321698910637134E-2</v>
      </c>
    </row>
    <row r="188" spans="1:14">
      <c r="A188" s="7">
        <v>18</v>
      </c>
      <c r="B188" s="86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5.548803372171357E-2</v>
      </c>
      <c r="I188" s="50">
        <f>AVERAGE(F186:F188)</f>
        <v>7.9690699999999994</v>
      </c>
      <c r="J188" s="50">
        <f>AVERAGE(G186:G188)</f>
        <v>3.5200619484999064E-2</v>
      </c>
      <c r="L188">
        <f>+J188/I188</f>
        <v>4.4171552621571986E-3</v>
      </c>
      <c r="M188">
        <f>+(L188-$L$913)/$L$914</f>
        <v>-0.58619223933254905</v>
      </c>
      <c r="N188">
        <f>+N185+M188</f>
        <v>-5.4006481735837362</v>
      </c>
    </row>
    <row r="189" spans="1:14">
      <c r="A189" s="7">
        <v>1</v>
      </c>
      <c r="B189" s="86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9.0031862302589971E-2</v>
      </c>
    </row>
    <row r="190" spans="1:14">
      <c r="A190" s="7">
        <v>17</v>
      </c>
      <c r="B190" s="86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6.9098409513271702E-2</v>
      </c>
    </row>
    <row r="191" spans="1:14">
      <c r="A191" s="7">
        <v>18</v>
      </c>
      <c r="B191" s="86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8.7980728251653012E-2</v>
      </c>
      <c r="I191" s="50">
        <f>AVERAGE(F189:F191)</f>
        <v>5.2382099999999996</v>
      </c>
      <c r="J191" s="50">
        <f>AVERAGE(G189:G191)</f>
        <v>8.2370333355838224E-2</v>
      </c>
      <c r="L191">
        <f>+J191/I191</f>
        <v>1.5724900940557601E-2</v>
      </c>
      <c r="M191">
        <f>+(L191-$L$913)/$L$914</f>
        <v>-0.25286035953691138</v>
      </c>
      <c r="N191">
        <f>+N188+M191</f>
        <v>-5.6535085331206476</v>
      </c>
    </row>
    <row r="192" spans="1:14">
      <c r="A192" s="15">
        <v>1</v>
      </c>
      <c r="B192" s="93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3.942765423739239E-2</v>
      </c>
    </row>
    <row r="193" spans="1:14">
      <c r="A193" s="7">
        <v>17</v>
      </c>
      <c r="B193" s="94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0.10382198143910661</v>
      </c>
    </row>
    <row r="194" spans="1:14">
      <c r="A194" s="7">
        <v>18</v>
      </c>
      <c r="B194" s="94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8.7142557070893509E-2</v>
      </c>
      <c r="I194" s="50">
        <f>AVERAGE(F192:F194)</f>
        <v>14.576873333333333</v>
      </c>
      <c r="J194" s="50">
        <f>AVERAGE(G192:G194)</f>
        <v>7.6797397582464177E-2</v>
      </c>
      <c r="L194">
        <f>+J194/I194</f>
        <v>5.2684410316476771E-3</v>
      </c>
      <c r="M194">
        <f>+(L194-$L$913)/$L$914</f>
        <v>-0.5610978753578123</v>
      </c>
      <c r="N194">
        <f>+N191+M194</f>
        <v>-6.2146064084784598</v>
      </c>
    </row>
    <row r="195" spans="1:14">
      <c r="A195" s="7">
        <v>1</v>
      </c>
      <c r="B195" s="94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0.17731153488382229</v>
      </c>
    </row>
    <row r="196" spans="1:14">
      <c r="A196" s="7">
        <v>17</v>
      </c>
      <c r="B196" s="94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7.0618577698514443E-2</v>
      </c>
    </row>
    <row r="197" spans="1:14">
      <c r="A197" s="7">
        <v>18</v>
      </c>
      <c r="B197" s="94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0.11682435578888031</v>
      </c>
      <c r="I197" s="50">
        <f>AVERAGE(F195:F197)</f>
        <v>3.2704333333333335</v>
      </c>
      <c r="J197" s="50">
        <f>AVERAGE(G195:G197)</f>
        <v>0.12158482279040568</v>
      </c>
      <c r="L197">
        <f>+J197/I197</f>
        <v>3.7176976381439464E-2</v>
      </c>
      <c r="M197">
        <f>+(L197-$L$913)/$L$914</f>
        <v>0.37950800420210395</v>
      </c>
      <c r="N197">
        <f>+N194+M197</f>
        <v>-5.8350984042763558</v>
      </c>
    </row>
    <row r="198" spans="1:14">
      <c r="A198" s="7">
        <v>1</v>
      </c>
      <c r="B198" s="94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0.19161527776995715</v>
      </c>
    </row>
    <row r="199" spans="1:14">
      <c r="A199" s="7">
        <v>17</v>
      </c>
      <c r="B199" s="94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0.30438104358161089</v>
      </c>
    </row>
    <row r="200" spans="1:14">
      <c r="A200" s="7">
        <v>18</v>
      </c>
      <c r="B200" s="94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6.3523600905272093E-2</v>
      </c>
      <c r="I200" s="50">
        <f>AVERAGE(F198:F200)</f>
        <v>1.4222666666666666</v>
      </c>
      <c r="J200" s="50">
        <f>AVERAGE(G198:G200)</f>
        <v>0.18650664075228005</v>
      </c>
      <c r="L200">
        <f>+J200/I200</f>
        <v>0.13113338386070128</v>
      </c>
      <c r="M200">
        <f>+(L200-$L$913)/$L$914</f>
        <v>3.1491728706246751</v>
      </c>
      <c r="N200">
        <f>+N197+M200</f>
        <v>-2.6859255336516807</v>
      </c>
    </row>
    <row r="201" spans="1:14">
      <c r="A201" s="7">
        <v>1</v>
      </c>
      <c r="B201" s="94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1.5265617083735689E-2</v>
      </c>
    </row>
    <row r="202" spans="1:14">
      <c r="A202" s="7">
        <v>17</v>
      </c>
      <c r="B202" s="94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2.1946541392721685E-2</v>
      </c>
    </row>
    <row r="203" spans="1:14">
      <c r="A203" s="7">
        <v>18</v>
      </c>
      <c r="B203" s="94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1.5100066786806388E-2</v>
      </c>
      <c r="I203" s="50">
        <f>AVERAGE(F201:F203)</f>
        <v>2.6232500000000001</v>
      </c>
      <c r="J203" s="50">
        <f>AVERAGE(G201:G203)</f>
        <v>1.7437408421087919E-2</v>
      </c>
      <c r="L203">
        <f>+J203/I203</f>
        <v>6.6472537581579788E-3</v>
      </c>
      <c r="M203">
        <f>+(L203-$L$913)/$L$914</f>
        <v>-0.52045297131723578</v>
      </c>
      <c r="N203">
        <f>+N200+M203</f>
        <v>-3.2063785049689164</v>
      </c>
    </row>
    <row r="204" spans="1:14">
      <c r="A204" s="7">
        <v>1</v>
      </c>
      <c r="B204" s="94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2.2690446850081817E-2</v>
      </c>
    </row>
    <row r="205" spans="1:14">
      <c r="A205" s="7">
        <v>17</v>
      </c>
      <c r="B205" s="94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1.9463838431956454E-2</v>
      </c>
    </row>
    <row r="206" spans="1:14">
      <c r="A206" s="7">
        <v>18</v>
      </c>
      <c r="B206" s="94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1.2535995246123673E-2</v>
      </c>
      <c r="I206" s="50">
        <f>AVERAGE(F204:F206)</f>
        <v>1.16177</v>
      </c>
      <c r="J206" s="50">
        <f>AVERAGE(G204:G206)</f>
        <v>1.8230093509387313E-2</v>
      </c>
      <c r="L206">
        <f>+J206/I206</f>
        <v>1.5691654552439222E-2</v>
      </c>
      <c r="M206">
        <f>+(L206-$L$913)/$L$914</f>
        <v>-0.25384040289507454</v>
      </c>
      <c r="N206">
        <f>+N203+M206</f>
        <v>-3.4602189078639909</v>
      </c>
    </row>
    <row r="207" spans="1:14">
      <c r="A207" s="7">
        <v>1</v>
      </c>
      <c r="B207" s="94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0.50032834909106827</v>
      </c>
    </row>
    <row r="208" spans="1:14">
      <c r="A208" s="7">
        <v>17</v>
      </c>
      <c r="B208" s="94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0.24531523204428421</v>
      </c>
    </row>
    <row r="209" spans="1:14">
      <c r="A209" s="7">
        <v>18</v>
      </c>
      <c r="B209" s="94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0.14406973557243741</v>
      </c>
      <c r="I209" s="50">
        <f>AVERAGE(F207:F209)</f>
        <v>21.869380000000003</v>
      </c>
      <c r="J209" s="50">
        <f>AVERAGE(G207:G209)</f>
        <v>0.2965711055692633</v>
      </c>
      <c r="L209">
        <f>+J209/I209</f>
        <v>1.3561020274432255E-2</v>
      </c>
      <c r="M209">
        <f>+(L209-$L$913)/$L$914</f>
        <v>-0.31664764575707977</v>
      </c>
      <c r="N209">
        <f>+N206+M209</f>
        <v>-3.7768665536210708</v>
      </c>
    </row>
    <row r="210" spans="1:14">
      <c r="A210" s="7">
        <v>1</v>
      </c>
      <c r="B210" s="94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0.34182052119754419</v>
      </c>
    </row>
    <row r="211" spans="1:14">
      <c r="A211" s="7">
        <v>17</v>
      </c>
      <c r="B211" s="94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0.1069653556683722</v>
      </c>
    </row>
    <row r="212" spans="1:14">
      <c r="A212" s="7">
        <v>18</v>
      </c>
      <c r="B212" s="94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0.1980363053684735</v>
      </c>
      <c r="I212" s="50">
        <f>AVERAGE(F210:F212)</f>
        <v>8.4403866666666669</v>
      </c>
      <c r="J212" s="50">
        <f>AVERAGE(G210:G212)</f>
        <v>0.21560739407812998</v>
      </c>
      <c r="L212">
        <f>+J212/I212</f>
        <v>2.5544729476627056E-2</v>
      </c>
      <c r="M212">
        <f>+(L212-$L$913)/$L$914</f>
        <v>3.6610415478070472E-2</v>
      </c>
      <c r="N212">
        <f>+N209+M212</f>
        <v>-3.7402561381430002</v>
      </c>
    </row>
    <row r="213" spans="1:14">
      <c r="A213" s="7">
        <v>1</v>
      </c>
      <c r="B213" s="94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0.32441203826532772</v>
      </c>
    </row>
    <row r="214" spans="1:14">
      <c r="A214" s="7">
        <v>17</v>
      </c>
      <c r="B214" s="94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0.3208824771941996</v>
      </c>
    </row>
    <row r="215" spans="1:14">
      <c r="A215" s="7">
        <v>18</v>
      </c>
      <c r="B215" s="94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0.21652931951600438</v>
      </c>
      <c r="I215" s="50">
        <f>AVERAGE(F213:F215)</f>
        <v>8.1725666666666665</v>
      </c>
      <c r="J215" s="50">
        <f>AVERAGE(G213:G215)</f>
        <v>0.28727461165851059</v>
      </c>
      <c r="L215">
        <f>+J215/I215</f>
        <v>3.5151088192429625E-2</v>
      </c>
      <c r="M215">
        <f>+(L215-$L$913)/$L$914</f>
        <v>0.31978848649236741</v>
      </c>
      <c r="N215">
        <f>+N212+M215</f>
        <v>-3.4204676516506329</v>
      </c>
    </row>
    <row r="216" spans="1:14">
      <c r="A216" s="7">
        <v>1</v>
      </c>
      <c r="B216" s="94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0.21295731291037179</v>
      </c>
    </row>
    <row r="217" spans="1:14">
      <c r="A217" s="7">
        <v>17</v>
      </c>
      <c r="B217" s="94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0.33660669722909453</v>
      </c>
    </row>
    <row r="218" spans="1:14">
      <c r="A218" s="7">
        <v>18</v>
      </c>
      <c r="B218" s="94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9.0230615789289953E-2</v>
      </c>
      <c r="I218" s="50">
        <f>AVERAGE(F216:F218)</f>
        <v>11.291676666666667</v>
      </c>
      <c r="J218" s="50">
        <f>AVERAGE(G216:G218)</f>
        <v>0.21326487530958541</v>
      </c>
      <c r="L218">
        <f>+J218/I218</f>
        <v>1.888690950026483E-2</v>
      </c>
      <c r="M218">
        <f>+(L218-$L$913)/$L$914</f>
        <v>-0.1596500692532864</v>
      </c>
      <c r="N218">
        <f>+N215+M218</f>
        <v>-3.5801177209039192</v>
      </c>
    </row>
    <row r="219" spans="1:14">
      <c r="A219" s="7">
        <v>1</v>
      </c>
      <c r="B219" s="94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3.7400000000000003E-2</v>
      </c>
    </row>
    <row r="220" spans="1:14">
      <c r="A220" s="7">
        <v>17</v>
      </c>
      <c r="B220" s="94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3.6200000000000003E-2</v>
      </c>
    </row>
    <row r="221" spans="1:14">
      <c r="A221" s="7">
        <v>18</v>
      </c>
      <c r="B221" s="94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1.78E-2</v>
      </c>
      <c r="I221" s="50">
        <f>AVERAGE(F219:F221)</f>
        <v>2.6018666666666665</v>
      </c>
      <c r="J221" s="50">
        <f>AVERAGE(G219:G221)</f>
        <v>3.0466666666666666E-2</v>
      </c>
      <c r="L221">
        <f>+J221/I221</f>
        <v>1.1709541867377268E-2</v>
      </c>
      <c r="M221">
        <f>+(L221-$L$913)/$L$914</f>
        <v>-0.37122587871146423</v>
      </c>
      <c r="N221">
        <f>+N218+M221</f>
        <v>-3.9513435996153836</v>
      </c>
    </row>
    <row r="222" spans="1:14">
      <c r="A222" s="7">
        <v>1</v>
      </c>
      <c r="B222" s="94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2.3199999999999998E-2</v>
      </c>
    </row>
    <row r="223" spans="1:14">
      <c r="A223" s="7">
        <v>17</v>
      </c>
      <c r="B223" s="94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1.66E-2</v>
      </c>
    </row>
    <row r="224" spans="1:14">
      <c r="A224" s="7">
        <v>18</v>
      </c>
      <c r="B224" s="94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1.3100000000000001E-2</v>
      </c>
      <c r="I224" s="50">
        <f>AVERAGE(F222:F224)</f>
        <v>4.0828333333333333</v>
      </c>
      <c r="J224" s="50">
        <f>AVERAGE(G222:G224)</f>
        <v>1.7633333333333334E-2</v>
      </c>
      <c r="L224">
        <f>+J224/I224</f>
        <v>4.3188961913703718E-3</v>
      </c>
      <c r="M224">
        <f>+(L224-$L$913)/$L$914</f>
        <v>-0.58908873892706237</v>
      </c>
      <c r="N224">
        <f>+N221+M224</f>
        <v>-4.5404323385424457</v>
      </c>
    </row>
    <row r="225" spans="1:14">
      <c r="A225" s="7">
        <v>1</v>
      </c>
      <c r="B225" s="94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5.0299999999999997E-2</v>
      </c>
    </row>
    <row r="226" spans="1:14">
      <c r="A226" s="7">
        <v>17</v>
      </c>
      <c r="B226" s="94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6.0299999999999999E-2</v>
      </c>
    </row>
    <row r="227" spans="1:14">
      <c r="A227" s="7">
        <v>18</v>
      </c>
      <c r="B227" s="94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5.9200000000000003E-2</v>
      </c>
      <c r="I227" s="50">
        <f>AVERAGE(F225:F227)</f>
        <v>9.5709</v>
      </c>
      <c r="J227" s="50">
        <f>AVERAGE(G225:G227)</f>
        <v>5.6600000000000004E-2</v>
      </c>
      <c r="L227">
        <f>+J227/I227</f>
        <v>5.9137594165647959E-3</v>
      </c>
      <c r="M227">
        <f>+(L227-$L$913)/$L$914</f>
        <v>-0.54207505715612647</v>
      </c>
      <c r="N227">
        <f>+N224+M227</f>
        <v>-5.0825073956985722</v>
      </c>
    </row>
    <row r="228" spans="1:14">
      <c r="A228" s="17">
        <v>1</v>
      </c>
      <c r="B228" s="93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0.34489999999999998</v>
      </c>
    </row>
    <row r="229" spans="1:14">
      <c r="A229" s="11">
        <v>17</v>
      </c>
      <c r="B229" s="94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0.31990000000000002</v>
      </c>
    </row>
    <row r="230" spans="1:14">
      <c r="A230" s="11">
        <v>18</v>
      </c>
      <c r="B230" s="94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0.30020000000000002</v>
      </c>
      <c r="I230" s="50">
        <f>AVERAGE(F228:F230)</f>
        <v>15.905066666666665</v>
      </c>
      <c r="J230" s="50">
        <f>AVERAGE(G228:G230)</f>
        <v>0.32166666666666671</v>
      </c>
      <c r="L230">
        <f>+J230/I230</f>
        <v>2.0224163369324664E-2</v>
      </c>
      <c r="M230">
        <f>+(L230-$L$913)/$L$914</f>
        <v>-0.12023024512431288</v>
      </c>
      <c r="N230">
        <f>+N227+M230</f>
        <v>-5.2027376408228854</v>
      </c>
    </row>
    <row r="231" spans="1:14">
      <c r="A231" s="11">
        <v>1</v>
      </c>
      <c r="B231" s="94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3.8600000000000002E-2</v>
      </c>
    </row>
    <row r="232" spans="1:14">
      <c r="A232" s="11">
        <v>17</v>
      </c>
      <c r="B232" s="94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4.2599999999999999E-2</v>
      </c>
    </row>
    <row r="233" spans="1:14">
      <c r="A233" s="11">
        <v>18</v>
      </c>
      <c r="B233" s="94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4.6300000000000001E-2</v>
      </c>
      <c r="I233" s="50">
        <f>AVERAGE(F231:F233)</f>
        <v>9.8544999999999998</v>
      </c>
      <c r="J233" s="50">
        <f>AVERAGE(G231:G233)</f>
        <v>4.2500000000000003E-2</v>
      </c>
      <c r="L233">
        <f>+J233/I233</f>
        <v>4.3127505200669745E-3</v>
      </c>
      <c r="M233">
        <f>+(L233-$L$913)/$L$914</f>
        <v>-0.58926990219571274</v>
      </c>
      <c r="N233">
        <f>+N230+M233</f>
        <v>-5.792007543018598</v>
      </c>
    </row>
    <row r="234" spans="1:14">
      <c r="A234" s="11">
        <v>1</v>
      </c>
      <c r="B234" s="94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1E-4</v>
      </c>
    </row>
    <row r="235" spans="1:14">
      <c r="A235" s="11">
        <v>17</v>
      </c>
      <c r="B235" s="94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1.15E-2</v>
      </c>
    </row>
    <row r="236" spans="1:14">
      <c r="A236" s="11">
        <v>18</v>
      </c>
      <c r="B236" s="94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1.7899999999999999E-2</v>
      </c>
      <c r="I236" s="50">
        <f>AVERAGE(F234:F236)</f>
        <v>8.1606666666666658</v>
      </c>
      <c r="J236" s="50">
        <f>AVERAGE(G234:G236)</f>
        <v>9.8333333333333328E-3</v>
      </c>
      <c r="L236">
        <f>+J236/I236</f>
        <v>1.2049669144677724E-3</v>
      </c>
      <c r="M236">
        <f>+(L236-$L$913)/$L$914</f>
        <v>-0.68088173895918247</v>
      </c>
      <c r="N236">
        <f>+N233+M236</f>
        <v>-6.4728892819777801</v>
      </c>
    </row>
    <row r="237" spans="1:14">
      <c r="A237" s="11">
        <v>1</v>
      </c>
      <c r="B237" s="90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3.1699999999999999E-2</v>
      </c>
    </row>
    <row r="238" spans="1:14">
      <c r="A238" s="11">
        <v>17</v>
      </c>
      <c r="B238" s="90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2.3300000000000001E-2</v>
      </c>
    </row>
    <row r="239" spans="1:14">
      <c r="A239" s="11">
        <v>18</v>
      </c>
      <c r="B239" s="90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2.01E-2</v>
      </c>
      <c r="I239" s="50">
        <f>AVERAGE(F237:F239)</f>
        <v>3.392466666666667</v>
      </c>
      <c r="J239" s="50">
        <f>AVERAGE(G237:G239)</f>
        <v>2.5033333333333335E-2</v>
      </c>
      <c r="L239">
        <f>+J239/I239</f>
        <v>7.3790948572326921E-3</v>
      </c>
      <c r="M239">
        <f>+(L239-$L$913)/$L$914</f>
        <v>-0.49887962007603698</v>
      </c>
      <c r="N239">
        <f>+N236+M239</f>
        <v>-6.9717689020538174</v>
      </c>
    </row>
    <row r="240" spans="1:14">
      <c r="A240" s="11">
        <v>1</v>
      </c>
      <c r="B240" s="90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4.5600000000000002E-2</v>
      </c>
    </row>
    <row r="241" spans="1:14">
      <c r="A241" s="11">
        <v>17</v>
      </c>
      <c r="B241" s="90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0.15060000000000001</v>
      </c>
    </row>
    <row r="242" spans="1:14">
      <c r="A242" s="11">
        <v>18</v>
      </c>
      <c r="B242" s="90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7.9100000000000004E-2</v>
      </c>
      <c r="I242" s="50">
        <f>AVERAGE(F240:F242)</f>
        <v>2.2359000000000004</v>
      </c>
      <c r="J242" s="50">
        <f>AVERAGE(G240:G242)</f>
        <v>9.1766666666666663E-2</v>
      </c>
      <c r="L242">
        <f>+J242/I242</f>
        <v>4.1042384125706266E-2</v>
      </c>
      <c r="M242">
        <f>+(L242-$L$913)/$L$914</f>
        <v>0.49345322955628218</v>
      </c>
      <c r="N242">
        <f>+N239+M242</f>
        <v>-6.4783156724975353</v>
      </c>
    </row>
    <row r="243" spans="1:14">
      <c r="A243" s="11">
        <v>1</v>
      </c>
      <c r="B243" s="90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0.1462</v>
      </c>
    </row>
    <row r="244" spans="1:14">
      <c r="A244" s="11">
        <v>17</v>
      </c>
      <c r="B244" s="90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0.47049999999999997</v>
      </c>
    </row>
    <row r="245" spans="1:14">
      <c r="A245" s="11">
        <v>18</v>
      </c>
      <c r="B245" s="90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0.16650000000000001</v>
      </c>
      <c r="I245" s="50">
        <f>AVERAGE(F243:F245)</f>
        <v>3.0684333333333336</v>
      </c>
      <c r="J245" s="50">
        <f>AVERAGE(G243:G245)</f>
        <v>0.26106666666666667</v>
      </c>
      <c r="L245">
        <f>+J245/I245</f>
        <v>8.5081420486024351E-2</v>
      </c>
      <c r="M245">
        <f>+(L245-$L$913)/$L$914</f>
        <v>1.7916443272225191</v>
      </c>
      <c r="N245">
        <f>+N242+M245</f>
        <v>-4.6866713452750162</v>
      </c>
    </row>
    <row r="246" spans="1:14">
      <c r="A246" s="11">
        <v>1</v>
      </c>
      <c r="B246" s="90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0.19739999999999999</v>
      </c>
    </row>
    <row r="247" spans="1:14">
      <c r="A247" s="11">
        <v>17</v>
      </c>
      <c r="B247" s="90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0.59470000000000001</v>
      </c>
    </row>
    <row r="248" spans="1:14">
      <c r="A248" s="11">
        <v>18</v>
      </c>
      <c r="B248" s="90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4.3999999999999997E-2</v>
      </c>
      <c r="I248" s="50">
        <f>AVERAGE(F246:F248)</f>
        <v>7.4259666666666666</v>
      </c>
      <c r="J248" s="50">
        <f>AVERAGE(G246:G248)</f>
        <v>0.2787</v>
      </c>
      <c r="L248">
        <f>+J248/I248</f>
        <v>3.7530467413894486E-2</v>
      </c>
      <c r="M248">
        <f>+(L248-$L$913)/$L$914</f>
        <v>0.38992828015190772</v>
      </c>
      <c r="N248">
        <f>+N245+M248</f>
        <v>-4.296743065123108</v>
      </c>
    </row>
    <row r="249" spans="1:14">
      <c r="A249" s="11">
        <v>1</v>
      </c>
      <c r="B249" s="90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0.4929</v>
      </c>
    </row>
    <row r="250" spans="1:14">
      <c r="A250" s="11">
        <v>17</v>
      </c>
      <c r="B250" s="90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0.2114</v>
      </c>
    </row>
    <row r="251" spans="1:14">
      <c r="A251" s="11">
        <v>18</v>
      </c>
      <c r="B251" s="90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0.154</v>
      </c>
      <c r="I251" s="50">
        <f>AVERAGE(F249:F251)</f>
        <v>12.061999999999999</v>
      </c>
      <c r="J251" s="50">
        <f>AVERAGE(G249:G251)</f>
        <v>0.28610000000000002</v>
      </c>
      <c r="L251">
        <f>+J251/I251</f>
        <v>2.3719117890897035E-2</v>
      </c>
      <c r="M251">
        <f>+(L251-$L$913)/$L$914</f>
        <v>-1.7205310392956231E-2</v>
      </c>
      <c r="N251">
        <f>+N248+M251</f>
        <v>-4.3139483755160644</v>
      </c>
    </row>
    <row r="252" spans="1:14">
      <c r="A252" s="11">
        <v>1</v>
      </c>
      <c r="B252" s="90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4.6800000000000001E-2</v>
      </c>
    </row>
    <row r="253" spans="1:14">
      <c r="A253" s="11">
        <v>17</v>
      </c>
      <c r="B253" s="90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3.6600000000000001E-2</v>
      </c>
    </row>
    <row r="254" spans="1:14">
      <c r="A254" s="11">
        <v>18</v>
      </c>
      <c r="B254" s="90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3.2800000000000003E-2</v>
      </c>
      <c r="I254" s="50">
        <f>AVERAGE(F252:F254)</f>
        <v>4.9474333333333336</v>
      </c>
      <c r="J254" s="50">
        <f>AVERAGE(G252:G254)</f>
        <v>3.8733333333333335E-2</v>
      </c>
      <c r="L254">
        <f>+J254/I254</f>
        <v>7.8289752935865736E-3</v>
      </c>
      <c r="M254">
        <f>+(L254-$L$913)/$L$914</f>
        <v>-0.48561795892817727</v>
      </c>
      <c r="N254">
        <f>+N251+M254</f>
        <v>-4.7995663344442416</v>
      </c>
    </row>
    <row r="255" spans="1:14">
      <c r="A255" s="11">
        <v>1</v>
      </c>
      <c r="B255" s="90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4.9000000000000002E-2</v>
      </c>
    </row>
    <row r="256" spans="1:14">
      <c r="A256" s="11">
        <v>17</v>
      </c>
      <c r="B256" s="90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4.5999999999999999E-2</v>
      </c>
    </row>
    <row r="257" spans="1:14">
      <c r="A257" s="11">
        <v>18</v>
      </c>
      <c r="B257" s="90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9.9989999999999996E-4</v>
      </c>
      <c r="I257" s="50">
        <f>AVERAGE(F255:F257)</f>
        <v>2.2113333333333332</v>
      </c>
      <c r="J257" s="50">
        <f>AVERAGE(G255:G257)</f>
        <v>3.1999966666666664E-2</v>
      </c>
      <c r="L257">
        <f>+J257/I257</f>
        <v>1.4470892372625867E-2</v>
      </c>
      <c r="M257">
        <f>+(L257-$L$913)/$L$914</f>
        <v>-0.28982626283158569</v>
      </c>
      <c r="N257">
        <f>+N254+M257</f>
        <v>-5.0893925972758272</v>
      </c>
    </row>
    <row r="258" spans="1:14">
      <c r="A258" s="11">
        <v>1</v>
      </c>
      <c r="B258" s="90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0.14099999999999999</v>
      </c>
    </row>
    <row r="259" spans="1:14">
      <c r="A259" s="11">
        <v>17</v>
      </c>
      <c r="B259" s="90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5.2999999999999999E-2</v>
      </c>
    </row>
    <row r="260" spans="1:14">
      <c r="A260" s="11">
        <v>18</v>
      </c>
      <c r="B260" s="90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3.3000000000000002E-2</v>
      </c>
      <c r="I260" s="50">
        <f>AVERAGE(F258:F260)</f>
        <v>2.6623333333333332</v>
      </c>
      <c r="J260" s="50">
        <f>AVERAGE(G258:G260)</f>
        <v>7.566666666666666E-2</v>
      </c>
      <c r="L260">
        <f>+J260/I260</f>
        <v>2.8421184424690119E-2</v>
      </c>
      <c r="M260">
        <f>+(L260-$L$913)/$L$914</f>
        <v>0.12140310203599439</v>
      </c>
      <c r="N260">
        <f>+N257+M260</f>
        <v>-4.9679894952398325</v>
      </c>
    </row>
    <row r="261" spans="1:14">
      <c r="A261" s="11">
        <v>1</v>
      </c>
      <c r="B261" s="94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8.7999999999999995E-2</v>
      </c>
    </row>
    <row r="262" spans="1:14">
      <c r="A262" s="11">
        <v>17</v>
      </c>
      <c r="B262" s="94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8.6999999999999994E-2</v>
      </c>
    </row>
    <row r="263" spans="1:14">
      <c r="A263" s="11">
        <v>18</v>
      </c>
      <c r="B263" s="94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8.7999999999999995E-2</v>
      </c>
      <c r="I263" s="50">
        <f>AVERAGE(F261:F263)</f>
        <v>7.8270000000000008</v>
      </c>
      <c r="J263" s="50">
        <f>AVERAGE(G261:G263)</f>
        <v>8.7666666666666671E-2</v>
      </c>
      <c r="L263">
        <f>+J263/I263</f>
        <v>1.1200545121587666E-2</v>
      </c>
      <c r="M263">
        <f>+(L263-$L$913)/$L$914</f>
        <v>-0.38623018168301032</v>
      </c>
      <c r="N263">
        <f>+N260+M263</f>
        <v>-5.3542196769228427</v>
      </c>
    </row>
    <row r="264" spans="1:14">
      <c r="A264" s="23">
        <v>1</v>
      </c>
      <c r="B264" s="93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0.66100000000000003</v>
      </c>
    </row>
    <row r="265" spans="1:14">
      <c r="A265" s="20">
        <v>17</v>
      </c>
      <c r="B265" s="94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0.57499999999999996</v>
      </c>
    </row>
    <row r="266" spans="1:14">
      <c r="A266" s="20">
        <v>18</v>
      </c>
      <c r="B266" s="94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0.48499999999999999</v>
      </c>
      <c r="I266" s="50">
        <f>AVERAGE(F264:F266)</f>
        <v>10.572333333333333</v>
      </c>
      <c r="J266" s="50">
        <f>AVERAGE(G264:G266)</f>
        <v>0.57366666666666666</v>
      </c>
      <c r="L266">
        <f>+J266/I266</f>
        <v>5.4261121795882335E-2</v>
      </c>
      <c r="M266">
        <f>+(L266-$L$913)/$L$914</f>
        <v>0.8831176950864712</v>
      </c>
      <c r="N266">
        <f>+N263+M266</f>
        <v>-4.4711019818363713</v>
      </c>
    </row>
    <row r="267" spans="1:14">
      <c r="A267" s="20">
        <v>1</v>
      </c>
      <c r="B267" s="94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0.04</v>
      </c>
    </row>
    <row r="268" spans="1:14">
      <c r="A268" s="20">
        <v>17</v>
      </c>
      <c r="B268" s="94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5.6000000000000001E-2</v>
      </c>
    </row>
    <row r="269" spans="1:14">
      <c r="A269" s="20">
        <v>18</v>
      </c>
      <c r="B269" s="94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5.0999999999999997E-2</v>
      </c>
      <c r="I269" s="50">
        <f>AVERAGE(F267:F269)</f>
        <v>8.397333333333334</v>
      </c>
      <c r="J269" s="50">
        <f>AVERAGE(G267:G269)</f>
        <v>4.8999999999999995E-2</v>
      </c>
      <c r="L269">
        <f>+J269/I269</f>
        <v>5.8351857732613513E-3</v>
      </c>
      <c r="M269">
        <f>+(L269-$L$913)/$L$914</f>
        <v>-0.54439126597171372</v>
      </c>
      <c r="N269">
        <f>+N266+M269</f>
        <v>-5.0154932478080854</v>
      </c>
    </row>
    <row r="270" spans="1:14">
      <c r="A270" s="20">
        <v>1</v>
      </c>
      <c r="B270" s="94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7.1999999999999995E-2</v>
      </c>
    </row>
    <row r="271" spans="1:14">
      <c r="A271" s="20">
        <v>17</v>
      </c>
      <c r="B271" s="94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8.6999999999999994E-2</v>
      </c>
    </row>
    <row r="272" spans="1:14">
      <c r="A272" s="20">
        <v>18</v>
      </c>
      <c r="B272" s="94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5.6000000000000001E-2</v>
      </c>
      <c r="I272" s="50">
        <f>AVERAGE(F270:F272)</f>
        <v>4.7093333333333325</v>
      </c>
      <c r="J272" s="50">
        <f>AVERAGE(G270:G272)</f>
        <v>7.1666666666666656E-2</v>
      </c>
      <c r="L272">
        <f>+J272/I272</f>
        <v>1.5218006795016989E-2</v>
      </c>
      <c r="M272">
        <f>+(L272-$L$913)/$L$914</f>
        <v>-0.26780268165803972</v>
      </c>
      <c r="N272">
        <f>+N269+M272</f>
        <v>-5.2832959294661253</v>
      </c>
    </row>
    <row r="273" spans="1:14">
      <c r="A273" s="20">
        <v>1</v>
      </c>
      <c r="B273" s="94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3.1E-2</v>
      </c>
    </row>
    <row r="274" spans="1:14">
      <c r="A274" s="20">
        <v>17</v>
      </c>
      <c r="B274" s="94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3.2000000000000001E-2</v>
      </c>
    </row>
    <row r="275" spans="1:14">
      <c r="A275" s="20">
        <v>18</v>
      </c>
      <c r="B275" s="94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3.1E-2</v>
      </c>
      <c r="I275" s="50">
        <f>AVERAGE(F273:F275)</f>
        <v>7.203666666666666</v>
      </c>
      <c r="J275" s="50">
        <f>AVERAGE(G273:G275)</f>
        <v>3.1333333333333331E-2</v>
      </c>
      <c r="L275">
        <f>+J275/I275</f>
        <v>4.3496367590578873E-3</v>
      </c>
      <c r="M275">
        <f>+(L275-$L$913)/$L$914</f>
        <v>-0.58818256262060031</v>
      </c>
      <c r="N275">
        <f>+N272+M275</f>
        <v>-5.8714784920867258</v>
      </c>
    </row>
    <row r="276" spans="1:14">
      <c r="A276" s="20">
        <v>1</v>
      </c>
      <c r="B276" s="94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1.7000000000000001E-2</v>
      </c>
    </row>
    <row r="277" spans="1:14">
      <c r="A277" s="20">
        <v>17</v>
      </c>
      <c r="B277" s="94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1.7999999999999999E-2</v>
      </c>
    </row>
    <row r="278" spans="1:14">
      <c r="A278" s="20">
        <v>18</v>
      </c>
      <c r="B278" s="94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1.6E-2</v>
      </c>
      <c r="I278" s="50">
        <f>AVERAGE(F276:F278)</f>
        <v>3.4689999999999999</v>
      </c>
      <c r="J278" s="50">
        <f>AVERAGE(G276:G278)</f>
        <v>1.7000000000000001E-2</v>
      </c>
      <c r="L278">
        <f>+J278/I278</f>
        <v>4.9005477082732785E-3</v>
      </c>
      <c r="M278">
        <f>+(L278-$L$913)/$L$914</f>
        <v>-0.57194270478114251</v>
      </c>
      <c r="N278">
        <f>+N275+M278</f>
        <v>-6.4434211968678685</v>
      </c>
    </row>
    <row r="279" spans="1:14">
      <c r="A279" s="20">
        <v>1</v>
      </c>
      <c r="B279" s="94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3.5999999999999997E-2</v>
      </c>
    </row>
    <row r="280" spans="1:14">
      <c r="A280" s="20">
        <v>17</v>
      </c>
      <c r="B280" s="94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1.9E-2</v>
      </c>
    </row>
    <row r="281" spans="1:14">
      <c r="A281" s="20">
        <v>18</v>
      </c>
      <c r="B281" s="94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5.1999999999999998E-2</v>
      </c>
      <c r="I281" s="50">
        <f>AVERAGE(F279:F281)</f>
        <v>4.7636666666666665</v>
      </c>
      <c r="J281" s="50">
        <f>AVERAGE(G279:G281)</f>
        <v>3.5666666666666659E-2</v>
      </c>
      <c r="L281">
        <f>+J281/I281</f>
        <v>7.4872297250017476E-3</v>
      </c>
      <c r="M281">
        <f>+(L281-$L$913)/$L$914</f>
        <v>-0.495691999857998</v>
      </c>
      <c r="N281">
        <f>+N278+M281</f>
        <v>-6.9391131967258666</v>
      </c>
    </row>
    <row r="282" spans="1:14">
      <c r="A282" s="20">
        <v>1</v>
      </c>
      <c r="B282" s="94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0.114</v>
      </c>
    </row>
    <row r="283" spans="1:14">
      <c r="A283" s="20">
        <v>17</v>
      </c>
      <c r="B283" s="94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0.10199999999999999</v>
      </c>
    </row>
    <row r="284" spans="1:14">
      <c r="A284" s="20">
        <v>18</v>
      </c>
      <c r="B284" s="94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0.17199999999999999</v>
      </c>
      <c r="I284" s="50">
        <f>AVERAGE(F282:F284)</f>
        <v>7.7403333333333348</v>
      </c>
      <c r="J284" s="50">
        <f>AVERAGE(G282:G284)</f>
        <v>0.12933333333333333</v>
      </c>
      <c r="L284">
        <f>+J284/I284</f>
        <v>1.670901339304939E-2</v>
      </c>
      <c r="M284">
        <f>+(L284-$L$913)/$L$914</f>
        <v>-0.22385050531406797</v>
      </c>
      <c r="N284">
        <f>+N281+M284</f>
        <v>-7.1629637020399342</v>
      </c>
    </row>
    <row r="285" spans="1:14">
      <c r="A285" s="20">
        <v>1</v>
      </c>
      <c r="B285" s="94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0.193</v>
      </c>
    </row>
    <row r="286" spans="1:14">
      <c r="A286" s="20">
        <v>17</v>
      </c>
      <c r="B286" s="94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0.115</v>
      </c>
    </row>
    <row r="287" spans="1:14">
      <c r="A287" s="20">
        <v>18</v>
      </c>
      <c r="B287" s="94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0.126</v>
      </c>
      <c r="I287" s="50">
        <f>AVERAGE(F285:F287)</f>
        <v>9.8699999999999992</v>
      </c>
      <c r="J287" s="50">
        <f>AVERAGE(G285:G287)</f>
        <v>0.14466666666666667</v>
      </c>
      <c r="L287">
        <f>+J287/I287</f>
        <v>1.4657210401891253E-2</v>
      </c>
      <c r="M287">
        <f>+(L287-$L$913)/$L$914</f>
        <v>-0.28433394449500676</v>
      </c>
      <c r="N287">
        <f>+N284+M287</f>
        <v>-7.447297646534941</v>
      </c>
    </row>
    <row r="288" spans="1:14">
      <c r="A288" s="20">
        <v>1</v>
      </c>
      <c r="B288" s="94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9.9989999999999996E-4</v>
      </c>
    </row>
    <row r="289" spans="1:14">
      <c r="A289" s="20">
        <v>17</v>
      </c>
      <c r="B289" s="94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9.2999999999999999E-2</v>
      </c>
    </row>
    <row r="290" spans="1:14">
      <c r="A290" s="20">
        <v>18</v>
      </c>
      <c r="B290" s="94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5.2999999999999999E-2</v>
      </c>
      <c r="I290" s="50">
        <f>AVERAGE(F288:F290)</f>
        <v>8.7673333333333332</v>
      </c>
      <c r="J290" s="50">
        <f>AVERAGE(G288:G290)</f>
        <v>4.8999966666666665E-2</v>
      </c>
      <c r="L290">
        <f>+J290/I290</f>
        <v>5.5889247965934148E-3</v>
      </c>
      <c r="M290">
        <f>+(L290-$L$913)/$L$914</f>
        <v>-0.55165059392333471</v>
      </c>
      <c r="N290">
        <f>+N287+M290</f>
        <v>-7.9989482404582759</v>
      </c>
    </row>
    <row r="291" spans="1:14">
      <c r="A291" s="20">
        <v>1</v>
      </c>
      <c r="B291" s="94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6.4000000000000001E-2</v>
      </c>
    </row>
    <row r="292" spans="1:14">
      <c r="A292" s="20">
        <v>17</v>
      </c>
      <c r="B292" s="94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4.4999999999999998E-2</v>
      </c>
    </row>
    <row r="293" spans="1:14">
      <c r="A293" s="20">
        <v>18</v>
      </c>
      <c r="B293" s="94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1.2999999999999999E-2</v>
      </c>
      <c r="I293" s="50">
        <f>AVERAGE(F291:F293)</f>
        <v>4.2443333333333335</v>
      </c>
      <c r="J293" s="50">
        <f>AVERAGE(G291:G293)</f>
        <v>4.0666666666666663E-2</v>
      </c>
      <c r="L293">
        <f>+J293/I293</f>
        <v>9.5814026545197502E-3</v>
      </c>
      <c r="M293">
        <f>+(L293-$L$913)/$L$914</f>
        <v>-0.4339595715680013</v>
      </c>
      <c r="N293">
        <f>+N290+M293</f>
        <v>-8.4329078120262775</v>
      </c>
    </row>
    <row r="294" spans="1:14">
      <c r="A294" s="20">
        <v>1</v>
      </c>
      <c r="B294" s="94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9.9989999999999996E-4</v>
      </c>
    </row>
    <row r="295" spans="1:14">
      <c r="A295" s="20">
        <v>17</v>
      </c>
      <c r="B295" s="94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1.2999999999999999E-2</v>
      </c>
    </row>
    <row r="296" spans="1:14">
      <c r="A296" s="20">
        <v>18</v>
      </c>
      <c r="B296" s="94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1.0999999999999999E-2</v>
      </c>
      <c r="I296" s="50">
        <f>AVERAGE(F294:F296)</f>
        <v>2.345333333333333</v>
      </c>
      <c r="J296" s="50">
        <f>AVERAGE(G294:G296)</f>
        <v>8.3333000000000001E-3</v>
      </c>
      <c r="L296">
        <f>+J296/I296</f>
        <v>3.5531409891984087E-3</v>
      </c>
      <c r="M296">
        <f>+(L296-$L$913)/$L$914</f>
        <v>-0.61166181655568619</v>
      </c>
      <c r="N296">
        <f>+N293+M296</f>
        <v>-9.0445696285819643</v>
      </c>
    </row>
    <row r="297" spans="1:14">
      <c r="A297" s="20">
        <v>1</v>
      </c>
      <c r="B297" s="94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9.9000000000000005E-2</v>
      </c>
    </row>
    <row r="298" spans="1:14">
      <c r="A298" s="20">
        <v>17</v>
      </c>
      <c r="B298" s="94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7.4999999999999997E-2</v>
      </c>
    </row>
    <row r="299" spans="1:14">
      <c r="A299" s="20">
        <v>18</v>
      </c>
      <c r="B299" s="94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0.06</v>
      </c>
      <c r="I299" s="50">
        <f>AVERAGE(F297:F299)</f>
        <v>6.34</v>
      </c>
      <c r="J299" s="50">
        <f>AVERAGE(G297:G299)</f>
        <v>7.8E-2</v>
      </c>
      <c r="L299">
        <f>+J299/I299</f>
        <v>1.2302839116719243E-2</v>
      </c>
      <c r="M299">
        <f>+(L299-$L$913)/$L$914</f>
        <v>-0.35373654944767435</v>
      </c>
      <c r="N299">
        <f>+N296+M299</f>
        <v>-9.3983061780296389</v>
      </c>
    </row>
    <row r="300" spans="1:14">
      <c r="A300" s="23">
        <v>1</v>
      </c>
      <c r="B300" s="93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6.5000000000000002E-2</v>
      </c>
    </row>
    <row r="301" spans="1:14">
      <c r="A301" s="20">
        <v>17</v>
      </c>
      <c r="B301" s="94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7.3999999999999996E-2</v>
      </c>
    </row>
    <row r="302" spans="1:14">
      <c r="A302" s="20">
        <v>18</v>
      </c>
      <c r="B302" s="94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7.3999999999999996E-2</v>
      </c>
      <c r="I302" s="50">
        <f>AVERAGE(F300:F302)</f>
        <v>10.600666666666667</v>
      </c>
      <c r="J302" s="50">
        <f>AVERAGE(G300:G302)</f>
        <v>7.1000000000000008E-2</v>
      </c>
      <c r="L302">
        <f>+J302/I302</f>
        <v>6.69769196905855E-3</v>
      </c>
      <c r="M302">
        <f>+(L302-$L$913)/$L$914</f>
        <v>-0.51896614413424291</v>
      </c>
      <c r="N302">
        <f>+N299+M302</f>
        <v>-9.9172723221638819</v>
      </c>
    </row>
    <row r="303" spans="1:14">
      <c r="A303" s="20">
        <v>1</v>
      </c>
      <c r="B303" s="94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0.1</v>
      </c>
    </row>
    <row r="304" spans="1:14">
      <c r="A304" s="20">
        <v>17</v>
      </c>
      <c r="B304" s="94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0.31</v>
      </c>
    </row>
    <row r="305" spans="1:14">
      <c r="A305" s="20">
        <v>18</v>
      </c>
      <c r="B305" s="94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0.20200000000000001</v>
      </c>
      <c r="I305" s="50">
        <f>AVERAGE(F303:F305)</f>
        <v>5.8329999999999993</v>
      </c>
      <c r="J305" s="50">
        <f>AVERAGE(G303:G305)</f>
        <v>0.20400000000000004</v>
      </c>
      <c r="L305">
        <f>+J305/I305</f>
        <v>3.4973427052974466E-2</v>
      </c>
      <c r="M305">
        <f>+(L305-$L$913)/$L$914</f>
        <v>0.31455135760165115</v>
      </c>
      <c r="N305">
        <f>+N302+M305</f>
        <v>-9.6027209645622307</v>
      </c>
    </row>
    <row r="306" spans="1:14">
      <c r="A306" s="20">
        <v>1</v>
      </c>
      <c r="B306" s="94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5.7000000000000002E-2</v>
      </c>
    </row>
    <row r="307" spans="1:14">
      <c r="A307" s="20">
        <v>17</v>
      </c>
      <c r="B307" s="94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6.0999999999999999E-2</v>
      </c>
    </row>
    <row r="308" spans="1:14">
      <c r="A308" s="20">
        <v>18</v>
      </c>
      <c r="B308" s="94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3.7999999999999999E-2</v>
      </c>
      <c r="I308" s="50">
        <f>AVERAGE(F306:F308)</f>
        <v>2.0316666666666667</v>
      </c>
      <c r="J308" s="50">
        <f>AVERAGE(G306:G308)</f>
        <v>5.1999999999999998E-2</v>
      </c>
      <c r="L308">
        <f>+J308/I308</f>
        <v>2.559474979491386E-2</v>
      </c>
      <c r="M308">
        <f>+(L308-$L$913)/$L$914</f>
        <v>3.8084923943039355E-2</v>
      </c>
      <c r="N308">
        <f>+N305+M308</f>
        <v>-9.5646360406191917</v>
      </c>
    </row>
    <row r="309" spans="1:14">
      <c r="A309" s="20">
        <v>1</v>
      </c>
      <c r="B309" s="94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3.2000000000000001E-2</v>
      </c>
    </row>
    <row r="310" spans="1:14">
      <c r="A310" s="20">
        <v>17</v>
      </c>
      <c r="B310" s="94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4.1000000000000002E-2</v>
      </c>
    </row>
    <row r="311" spans="1:14">
      <c r="A311" s="20">
        <v>18</v>
      </c>
      <c r="B311" s="94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9.9989999999999996E-4</v>
      </c>
      <c r="I311" s="50">
        <f>AVERAGE(F309:F311)</f>
        <v>2.1359999999999997</v>
      </c>
      <c r="J311" s="50">
        <f>AVERAGE(G309:G311)</f>
        <v>2.4666633333333337E-2</v>
      </c>
      <c r="L311">
        <f>+J311/I311</f>
        <v>1.1548049313358306E-2</v>
      </c>
      <c r="M311">
        <f>+(L311-$L$913)/$L$914</f>
        <v>-0.37598638696263265</v>
      </c>
      <c r="N311">
        <f>+N308+M311</f>
        <v>-9.9406224275818236</v>
      </c>
    </row>
    <row r="312" spans="1:14">
      <c r="A312" s="20">
        <v>1</v>
      </c>
      <c r="B312" s="94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3.9E-2</v>
      </c>
    </row>
    <row r="313" spans="1:14">
      <c r="A313" s="20">
        <v>17</v>
      </c>
      <c r="B313" s="94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3.9E-2</v>
      </c>
    </row>
    <row r="314" spans="1:14">
      <c r="A314" s="20">
        <v>18</v>
      </c>
      <c r="B314" s="94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4.7E-2</v>
      </c>
      <c r="I314" s="50">
        <f>AVERAGE(F312:F314)</f>
        <v>1.1343333333333334</v>
      </c>
      <c r="J314" s="50">
        <f>AVERAGE(G312:G314)</f>
        <v>4.1666666666666664E-2</v>
      </c>
      <c r="L314">
        <f>+J314/I314</f>
        <v>3.6732295033793709E-2</v>
      </c>
      <c r="M314">
        <f>+(L314-$L$913)/$L$914</f>
        <v>0.36639960278094774</v>
      </c>
      <c r="N314">
        <f>+N311+M314</f>
        <v>-9.5742228248008754</v>
      </c>
    </row>
    <row r="315" spans="1:14">
      <c r="A315" s="20">
        <v>1</v>
      </c>
      <c r="B315" s="94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5.5E-2</v>
      </c>
    </row>
    <row r="316" spans="1:14">
      <c r="A316" s="20">
        <v>17</v>
      </c>
      <c r="B316" s="94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2.1999999999999999E-2</v>
      </c>
    </row>
    <row r="317" spans="1:14">
      <c r="A317" s="20">
        <v>18</v>
      </c>
      <c r="B317" s="94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8.1000000000000003E-2</v>
      </c>
      <c r="I317" s="50">
        <f>AVERAGE(F315:F317)</f>
        <v>5.08</v>
      </c>
      <c r="J317" s="50">
        <f>AVERAGE(G315:G317)</f>
        <v>5.2666666666666667E-2</v>
      </c>
      <c r="L317">
        <f>+J317/I317</f>
        <v>1.036745406824147E-2</v>
      </c>
      <c r="M317">
        <f>+(L317-$L$913)/$L$914</f>
        <v>-0.41078819835146607</v>
      </c>
      <c r="N317">
        <f>+N314+M317</f>
        <v>-9.9850110231523423</v>
      </c>
    </row>
    <row r="318" spans="1:14">
      <c r="A318" s="20">
        <v>1</v>
      </c>
      <c r="B318" s="94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0.16900000000000001</v>
      </c>
    </row>
    <row r="319" spans="1:14">
      <c r="A319" s="20">
        <v>17</v>
      </c>
      <c r="B319" s="94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4.3999999999999997E-2</v>
      </c>
    </row>
    <row r="320" spans="1:14">
      <c r="A320" s="20">
        <v>18</v>
      </c>
      <c r="B320" s="94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8.5000000000000006E-2</v>
      </c>
      <c r="I320" s="50">
        <f>AVERAGE(F318:F320)</f>
        <v>4.0049999999999999</v>
      </c>
      <c r="J320" s="50">
        <f>AVERAGE(G318:G320)</f>
        <v>9.9333333333333343E-2</v>
      </c>
      <c r="L320">
        <f>+J320/I320</f>
        <v>2.4802330420307953E-2</v>
      </c>
      <c r="M320">
        <f>+(L320-$L$913)/$L$914</f>
        <v>1.4725834763273153E-2</v>
      </c>
      <c r="N320">
        <f>+N317+M320</f>
        <v>-9.9702851883890684</v>
      </c>
    </row>
    <row r="321" spans="1:14">
      <c r="A321" s="20">
        <v>1</v>
      </c>
      <c r="B321" s="94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0.67300000000000004</v>
      </c>
    </row>
    <row r="322" spans="1:14">
      <c r="A322" s="20">
        <v>17</v>
      </c>
      <c r="B322" s="94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0.53700000000000003</v>
      </c>
    </row>
    <row r="323" spans="1:14">
      <c r="A323" s="20">
        <v>18</v>
      </c>
      <c r="B323" s="94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0.17</v>
      </c>
      <c r="I323" s="50">
        <f>AVERAGE(F321:F323)</f>
        <v>8.202</v>
      </c>
      <c r="J323" s="50">
        <f>AVERAGE(G321:G323)</f>
        <v>0.45999999999999996</v>
      </c>
      <c r="L323">
        <f>+J323/I323</f>
        <v>5.6083881980004871E-2</v>
      </c>
      <c r="M323">
        <f>+(L323-$L$913)/$L$914</f>
        <v>0.93684936679808306</v>
      </c>
      <c r="N323">
        <f>+N320+M323</f>
        <v>-9.0334358215909845</v>
      </c>
    </row>
    <row r="324" spans="1:14">
      <c r="A324" s="20">
        <v>1</v>
      </c>
      <c r="B324" s="94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0.13100000000000001</v>
      </c>
    </row>
    <row r="325" spans="1:14">
      <c r="A325" s="20">
        <v>17</v>
      </c>
      <c r="B325" s="94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0.08</v>
      </c>
    </row>
    <row r="326" spans="1:14">
      <c r="A326" s="20">
        <v>18</v>
      </c>
      <c r="B326" s="94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2.5999999999999999E-2</v>
      </c>
      <c r="I326" s="50">
        <f>AVERAGE(F324:F326)</f>
        <v>11.773333333333333</v>
      </c>
      <c r="J326" s="50">
        <f>AVERAGE(G324:G326)</f>
        <v>7.9000000000000001E-2</v>
      </c>
      <c r="L326">
        <f>+J326/I326</f>
        <v>6.7100792751981879E-3</v>
      </c>
      <c r="M326">
        <f>+(L326-$L$913)/$L$914</f>
        <v>-0.51860098876565186</v>
      </c>
      <c r="N326">
        <f>+N323+M326</f>
        <v>-9.5520368103566362</v>
      </c>
    </row>
    <row r="327" spans="1:14">
      <c r="A327" s="20">
        <v>1</v>
      </c>
      <c r="B327" s="94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0.108</v>
      </c>
    </row>
    <row r="328" spans="1:14">
      <c r="A328" s="20">
        <v>17</v>
      </c>
      <c r="B328" s="94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7.4999999999999997E-2</v>
      </c>
    </row>
    <row r="329" spans="1:14">
      <c r="A329" s="20">
        <v>18</v>
      </c>
      <c r="B329" s="94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7.6999999999999999E-2</v>
      </c>
      <c r="I329" s="50">
        <f>AVERAGE(F327:F329)</f>
        <v>6.4503333333333339</v>
      </c>
      <c r="J329" s="50">
        <f>AVERAGE(G327:G329)</f>
        <v>8.666666666666667E-2</v>
      </c>
      <c r="L329">
        <f>+J329/I329</f>
        <v>1.3435998139631027E-2</v>
      </c>
      <c r="M329">
        <f>+(L329-$L$913)/$L$914</f>
        <v>-0.32033307204757022</v>
      </c>
      <c r="N329">
        <f>+N326+M329</f>
        <v>-9.8723698824042057</v>
      </c>
    </row>
    <row r="330" spans="1:14">
      <c r="A330" s="20">
        <v>1</v>
      </c>
      <c r="B330" s="94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9.9989999999999996E-4</v>
      </c>
    </row>
    <row r="331" spans="1:14">
      <c r="A331" s="20">
        <v>17</v>
      </c>
      <c r="B331" s="94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1.4E-2</v>
      </c>
    </row>
    <row r="332" spans="1:14">
      <c r="A332" s="20">
        <v>18</v>
      </c>
      <c r="B332" s="94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9.9989999999999996E-4</v>
      </c>
      <c r="I332" s="50">
        <f>AVERAGE(F330:F332)</f>
        <v>1.6453333333333333</v>
      </c>
      <c r="J332" s="50">
        <f>AVERAGE(G330:G332)</f>
        <v>5.3332666666666669E-3</v>
      </c>
      <c r="L332">
        <f>+J332/I332</f>
        <v>3.2414505672609404E-3</v>
      </c>
      <c r="M332">
        <f>+(L332-$L$913)/$L$914</f>
        <v>-0.62084988615095227</v>
      </c>
      <c r="N332">
        <f>+N329+M332</f>
        <v>-10.493219768555157</v>
      </c>
    </row>
    <row r="333" spans="1:14">
      <c r="A333" s="20">
        <v>1</v>
      </c>
      <c r="B333" s="94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6.5000000000000002E-2</v>
      </c>
    </row>
    <row r="334" spans="1:14">
      <c r="A334" s="20">
        <v>17</v>
      </c>
      <c r="B334" s="94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5.8000000000000003E-2</v>
      </c>
    </row>
    <row r="335" spans="1:14">
      <c r="A335" s="20">
        <v>18</v>
      </c>
      <c r="B335" s="94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6.4000000000000001E-2</v>
      </c>
      <c r="I335" s="50">
        <f>AVERAGE(F333:F335)</f>
        <v>8.9216666666666669</v>
      </c>
      <c r="J335" s="50">
        <f>AVERAGE(G333:G335)</f>
        <v>6.2333333333333331E-2</v>
      </c>
      <c r="L335">
        <f>+J335/I335</f>
        <v>6.9867364094900056E-3</v>
      </c>
      <c r="M335">
        <f>+(L335-$L$913)/$L$914</f>
        <v>-0.51044563709299107</v>
      </c>
      <c r="N335">
        <f>+N332+M335</f>
        <v>-11.003665405648148</v>
      </c>
    </row>
    <row r="336" spans="1:14">
      <c r="A336" s="23">
        <v>1</v>
      </c>
      <c r="B336" s="93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7.8E-2</v>
      </c>
    </row>
    <row r="337" spans="1:14">
      <c r="A337" s="20">
        <v>17</v>
      </c>
      <c r="B337" s="94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0.114</v>
      </c>
    </row>
    <row r="338" spans="1:14">
      <c r="A338" s="20">
        <v>18</v>
      </c>
      <c r="B338" s="94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0.112</v>
      </c>
      <c r="I338" s="50">
        <f>AVERAGE(F336:F338)</f>
        <v>12.879333333333335</v>
      </c>
      <c r="J338" s="50">
        <f>AVERAGE(G336:G338)</f>
        <v>0.10133333333333333</v>
      </c>
      <c r="L338">
        <f>+J338/I338</f>
        <v>7.8679020653242907E-3</v>
      </c>
      <c r="M338">
        <f>+(L338-$L$913)/$L$914</f>
        <v>-0.48447046814029249</v>
      </c>
      <c r="N338">
        <f>+N335+M338</f>
        <v>-11.48813587378844</v>
      </c>
    </row>
    <row r="339" spans="1:14">
      <c r="A339" s="11">
        <v>1</v>
      </c>
      <c r="B339" s="94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1E-3</v>
      </c>
    </row>
    <row r="340" spans="1:14">
      <c r="A340" s="11">
        <v>17</v>
      </c>
      <c r="B340" s="94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2.7E-2</v>
      </c>
    </row>
    <row r="341" spans="1:14">
      <c r="A341" s="11">
        <v>18</v>
      </c>
      <c r="B341" s="94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3.5000000000000003E-2</v>
      </c>
      <c r="I341" s="50">
        <f>AVERAGE(F339:F341)</f>
        <v>9.4990000000000006</v>
      </c>
      <c r="J341" s="50">
        <f>AVERAGE(G339:G341)</f>
        <v>2.1000000000000001E-2</v>
      </c>
      <c r="L341">
        <f>+J341/I341</f>
        <v>2.2107590272660281E-3</v>
      </c>
      <c r="M341">
        <f>+(L341-$L$913)/$L$914</f>
        <v>-0.65123280758260627</v>
      </c>
      <c r="N341">
        <f>+N338+M341</f>
        <v>-12.139368681371046</v>
      </c>
    </row>
    <row r="342" spans="1:14">
      <c r="A342" s="11">
        <v>1</v>
      </c>
      <c r="B342" s="94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1.6E-2</v>
      </c>
    </row>
    <row r="343" spans="1:14">
      <c r="A343" s="11">
        <v>17</v>
      </c>
      <c r="B343" s="94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2.1000000000000001E-2</v>
      </c>
    </row>
    <row r="344" spans="1:14">
      <c r="A344" s="11">
        <v>18</v>
      </c>
      <c r="B344" s="94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1.7999999999999999E-2</v>
      </c>
      <c r="I344" s="50">
        <f>AVERAGE(F342:F344)</f>
        <v>5.2756666666666661</v>
      </c>
      <c r="J344" s="50">
        <f>AVERAGE(G342:G344)</f>
        <v>1.8333333333333337E-2</v>
      </c>
      <c r="L344">
        <f>+J344/I344</f>
        <v>3.4750742402224056E-3</v>
      </c>
      <c r="M344">
        <f>+(L344-$L$913)/$L$914</f>
        <v>-0.61396308304379021</v>
      </c>
      <c r="N344">
        <f>+N341+M344</f>
        <v>-12.753331764414837</v>
      </c>
    </row>
    <row r="345" spans="1:14">
      <c r="A345" s="11">
        <v>1</v>
      </c>
      <c r="B345" s="94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1.0999999999999999E-2</v>
      </c>
    </row>
    <row r="346" spans="1:14">
      <c r="A346" s="11">
        <v>17</v>
      </c>
      <c r="B346" s="94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2.1000000000000001E-2</v>
      </c>
    </row>
    <row r="347" spans="1:14">
      <c r="A347" s="11">
        <v>18</v>
      </c>
      <c r="B347" s="94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1.6E-2</v>
      </c>
      <c r="I347" s="50">
        <f>AVERAGE(F345:F347)</f>
        <v>3.3593333333333333</v>
      </c>
      <c r="J347" s="50">
        <f>AVERAGE(G345:G347)</f>
        <v>1.6E-2</v>
      </c>
      <c r="L347">
        <f>+J347/I347</f>
        <v>4.7628497717801151E-3</v>
      </c>
      <c r="M347">
        <f>+(L347-$L$913)/$L$914</f>
        <v>-0.57600179076703639</v>
      </c>
      <c r="N347">
        <f>+N344+M347</f>
        <v>-13.329333555181872</v>
      </c>
    </row>
    <row r="348" spans="1:14">
      <c r="A348" s="11">
        <v>1</v>
      </c>
      <c r="B348" s="94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9.9989999999999996E-4</v>
      </c>
    </row>
    <row r="349" spans="1:14">
      <c r="A349" s="11">
        <v>17</v>
      </c>
      <c r="B349" s="94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3.5000000000000003E-2</v>
      </c>
    </row>
    <row r="350" spans="1:14">
      <c r="A350" s="11">
        <v>18</v>
      </c>
      <c r="B350" s="94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9.9989999999999996E-4</v>
      </c>
      <c r="I350" s="50">
        <f>AVERAGE(F348:F350)</f>
        <v>1.4989999999999999</v>
      </c>
      <c r="J350" s="50">
        <f>AVERAGE(G348:G350)</f>
        <v>1.2333266666666667E-2</v>
      </c>
      <c r="L350">
        <f>+J350/I350</f>
        <v>8.2276628863686904E-3</v>
      </c>
      <c r="M350">
        <f>+(L350-$L$913)/$L$914</f>
        <v>-0.47386537016885349</v>
      </c>
      <c r="N350">
        <f>+N347+M350</f>
        <v>-13.803198925350726</v>
      </c>
    </row>
    <row r="351" spans="1:14">
      <c r="A351" s="20">
        <v>1</v>
      </c>
      <c r="B351" s="94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5.3999999999999999E-2</v>
      </c>
    </row>
    <row r="352" spans="1:14">
      <c r="A352" s="20">
        <v>17</v>
      </c>
      <c r="B352" s="94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0.13400000000000001</v>
      </c>
    </row>
    <row r="353" spans="1:14">
      <c r="A353" s="20">
        <v>18</v>
      </c>
      <c r="B353" s="94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2.5999999999999999E-2</v>
      </c>
      <c r="I353" s="50">
        <f>AVERAGE(F351:F353)</f>
        <v>2.621</v>
      </c>
      <c r="J353" s="50">
        <f>AVERAGE(G351:G353)</f>
        <v>7.1333333333333332E-2</v>
      </c>
      <c r="L353">
        <f>+J353/I353</f>
        <v>2.7216075289329771E-2</v>
      </c>
      <c r="M353">
        <f>+(L353-$L$913)/$L$914</f>
        <v>8.5878665523783676E-2</v>
      </c>
      <c r="N353">
        <f>+N350+M353</f>
        <v>-13.717320259826943</v>
      </c>
    </row>
    <row r="354" spans="1:14">
      <c r="A354" s="20">
        <v>1</v>
      </c>
      <c r="B354" s="94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0.27300000000000002</v>
      </c>
    </row>
    <row r="355" spans="1:14">
      <c r="A355" s="20">
        <v>17</v>
      </c>
      <c r="B355" s="94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6.7000000000000004E-2</v>
      </c>
    </row>
    <row r="356" spans="1:14">
      <c r="A356" s="20">
        <v>18</v>
      </c>
      <c r="B356" s="94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5.7000000000000002E-2</v>
      </c>
      <c r="I356" s="50">
        <f>AVERAGE(F354:F356)</f>
        <v>7.3820000000000006</v>
      </c>
      <c r="J356" s="50">
        <f>AVERAGE(G354:G356)</f>
        <v>0.13233333333333333</v>
      </c>
      <c r="L356">
        <f>+J356/I356</f>
        <v>1.7926487853336944E-2</v>
      </c>
      <c r="M356">
        <f>+(L356-$L$913)/$L$914</f>
        <v>-0.18796156139963094</v>
      </c>
      <c r="N356">
        <f>+N353+M356</f>
        <v>-13.905281821226573</v>
      </c>
    </row>
    <row r="357" spans="1:14">
      <c r="A357" s="20">
        <v>1</v>
      </c>
      <c r="B357" s="94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0.26300000000000001</v>
      </c>
    </row>
    <row r="358" spans="1:14">
      <c r="A358" s="20">
        <v>17</v>
      </c>
      <c r="B358" s="94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0.19600000000000001</v>
      </c>
    </row>
    <row r="359" spans="1:14">
      <c r="A359" s="20">
        <v>18</v>
      </c>
      <c r="B359" s="94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0.17299999999999999</v>
      </c>
      <c r="I359" s="50">
        <f>AVERAGE(F357:F359)</f>
        <v>10.837666666666669</v>
      </c>
      <c r="J359" s="50">
        <f>AVERAGE(G357:G359)</f>
        <v>0.21066666666666667</v>
      </c>
      <c r="L359">
        <f>+J359/I359</f>
        <v>1.943837849475594E-2</v>
      </c>
      <c r="M359">
        <f>+(L359-$L$913)/$L$914</f>
        <v>-0.14339376124895431</v>
      </c>
      <c r="N359">
        <f>+N356+M359</f>
        <v>-14.048675582475529</v>
      </c>
    </row>
    <row r="360" spans="1:14">
      <c r="A360" s="20">
        <v>1</v>
      </c>
      <c r="B360" s="94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0.155</v>
      </c>
    </row>
    <row r="361" spans="1:14">
      <c r="A361" s="20">
        <v>17</v>
      </c>
      <c r="B361" s="94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0.215</v>
      </c>
    </row>
    <row r="362" spans="1:14">
      <c r="A362" s="20">
        <v>18</v>
      </c>
      <c r="B362" s="94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0.14399999999999999</v>
      </c>
      <c r="I362" s="50">
        <f>AVERAGE(F360:F362)</f>
        <v>6.5323333333333338</v>
      </c>
      <c r="J362" s="50">
        <f>AVERAGE(G360:G362)</f>
        <v>0.17133333333333334</v>
      </c>
      <c r="L362">
        <f>+J362/I362</f>
        <v>2.6228504362912689E-2</v>
      </c>
      <c r="M362">
        <f>+(L362-$L$913)/$L$914</f>
        <v>5.6766861748170951E-2</v>
      </c>
      <c r="N362">
        <f>+N359+M362</f>
        <v>-13.991908720727357</v>
      </c>
    </row>
    <row r="363" spans="1:14">
      <c r="A363" s="20">
        <v>1</v>
      </c>
      <c r="B363" s="94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3.5000000000000003E-2</v>
      </c>
    </row>
    <row r="364" spans="1:14">
      <c r="A364" s="20">
        <v>17</v>
      </c>
      <c r="B364" s="94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2.4E-2</v>
      </c>
    </row>
    <row r="365" spans="1:14">
      <c r="A365" s="20">
        <v>18</v>
      </c>
      <c r="B365" s="94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1.4999999999999999E-2</v>
      </c>
      <c r="I365" s="50">
        <f>AVERAGE(F363:F365)</f>
        <v>2.5559999999999996</v>
      </c>
      <c r="J365" s="50">
        <f>AVERAGE(G363:G365)</f>
        <v>2.466666666666667E-2</v>
      </c>
      <c r="L365">
        <f>+J365/I365</f>
        <v>9.6504955659885271E-3</v>
      </c>
      <c r="M365">
        <f>+(L365-$L$913)/$L$914</f>
        <v>-0.43192283757031036</v>
      </c>
      <c r="N365">
        <f>+N362+M365</f>
        <v>-14.423831558297667</v>
      </c>
    </row>
    <row r="366" spans="1:14">
      <c r="A366" s="20">
        <v>1</v>
      </c>
      <c r="B366" s="94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1.0960000000000001</v>
      </c>
    </row>
    <row r="367" spans="1:14">
      <c r="A367" s="20">
        <v>17</v>
      </c>
      <c r="B367" s="94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1.512</v>
      </c>
    </row>
    <row r="368" spans="1:14">
      <c r="A368" s="20">
        <v>18</v>
      </c>
      <c r="B368" s="94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0.34499999999999997</v>
      </c>
      <c r="I368" s="50">
        <f>AVERAGE(F366:F368)</f>
        <v>4.2463333333333333</v>
      </c>
      <c r="J368" s="50">
        <f>AVERAGE(G366:G368)</f>
        <v>0.98433333333333339</v>
      </c>
      <c r="L368">
        <f>+J368/I368</f>
        <v>0.23180783420990661</v>
      </c>
      <c r="M368">
        <f>+(L368-$L$913)/$L$914</f>
        <v>6.1168734837003953</v>
      </c>
      <c r="N368">
        <f>+N365+M368</f>
        <v>-8.3069580745972722</v>
      </c>
    </row>
    <row r="369" spans="1:14">
      <c r="A369" s="20">
        <v>1</v>
      </c>
      <c r="B369" s="94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9.1999999999999998E-2</v>
      </c>
    </row>
    <row r="370" spans="1:14">
      <c r="A370" s="20">
        <v>17</v>
      </c>
      <c r="B370" s="94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4.7E-2</v>
      </c>
    </row>
    <row r="371" spans="1:14">
      <c r="A371" s="20">
        <v>18</v>
      </c>
      <c r="B371" s="94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0.03</v>
      </c>
      <c r="I371" s="50">
        <f>AVERAGE(F369:F371)</f>
        <v>5.323666666666667</v>
      </c>
      <c r="J371" s="50">
        <f>AVERAGE(G369:G371)</f>
        <v>5.6333333333333339E-2</v>
      </c>
      <c r="L371">
        <f>+J371/I371</f>
        <v>1.0581679293719868E-2</v>
      </c>
      <c r="M371">
        <f>+(L371-$L$913)/$L$914</f>
        <v>-0.4044732263721475</v>
      </c>
      <c r="N371">
        <f>+N368+M371</f>
        <v>-8.7114313009694193</v>
      </c>
    </row>
    <row r="372" spans="1:14">
      <c r="A372" s="43">
        <v>1</v>
      </c>
      <c r="B372" s="95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0.11821637499999998</v>
      </c>
    </row>
    <row r="373" spans="1:14">
      <c r="A373" s="20">
        <v>17</v>
      </c>
      <c r="B373" s="86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0.14178137499999999</v>
      </c>
    </row>
    <row r="374" spans="1:14">
      <c r="A374" s="20">
        <v>18</v>
      </c>
      <c r="B374" s="86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0.13307887500000001</v>
      </c>
      <c r="I374" s="50">
        <f>AVERAGE(F372:F374)</f>
        <v>6.6040000000000001</v>
      </c>
      <c r="J374" s="50">
        <f>AVERAGE(G372:G374)</f>
        <v>0.13102554166666666</v>
      </c>
      <c r="L374">
        <f>+J374/I374</f>
        <v>1.9840330355340198E-2</v>
      </c>
      <c r="M374">
        <f>+(L374-$L$913)/$L$914</f>
        <v>-0.13154494778193107</v>
      </c>
      <c r="N374">
        <f>+N371+M374</f>
        <v>-8.8429762487513504</v>
      </c>
    </row>
    <row r="375" spans="1:14">
      <c r="A375" s="20">
        <v>1</v>
      </c>
      <c r="B375" s="86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2.2751881250000001</v>
      </c>
    </row>
    <row r="376" spans="1:14">
      <c r="A376" s="20">
        <v>17</v>
      </c>
      <c r="B376" s="86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6.4709312499999978</v>
      </c>
    </row>
    <row r="377" spans="1:14">
      <c r="A377" s="20">
        <v>18</v>
      </c>
      <c r="B377" s="86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1.8415249999999999</v>
      </c>
      <c r="I377" s="50">
        <f>AVERAGE(F375:F377)</f>
        <v>10.268666666666666</v>
      </c>
      <c r="J377" s="50">
        <f>AVERAGE(G375:G377)</f>
        <v>3.5292147916666656</v>
      </c>
      <c r="L377">
        <f>+J377/I377</f>
        <v>0.34368773534376412</v>
      </c>
      <c r="M377">
        <f>+(L377-$L$913)/$L$914</f>
        <v>9.4148905082196741</v>
      </c>
      <c r="N377">
        <f>+N374+M377</f>
        <v>0.57191425946832375</v>
      </c>
    </row>
    <row r="378" spans="1:14">
      <c r="A378" s="20">
        <v>1</v>
      </c>
      <c r="B378" s="86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3.1214499999999996E-2</v>
      </c>
    </row>
    <row r="379" spans="1:14">
      <c r="A379" s="20">
        <v>17</v>
      </c>
      <c r="B379" s="86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6.7443874999999986E-2</v>
      </c>
    </row>
    <row r="380" spans="1:14">
      <c r="A380" s="20">
        <v>18</v>
      </c>
      <c r="B380" s="86">
        <v>40254</v>
      </c>
      <c r="C380" s="20">
        <v>2010</v>
      </c>
      <c r="D380" s="10" t="s">
        <v>27</v>
      </c>
      <c r="E380" s="20">
        <v>3</v>
      </c>
      <c r="F380" s="49">
        <v>3.1829999999999998</v>
      </c>
      <c r="G380" s="50">
        <v>6.7752750000000014E-2</v>
      </c>
      <c r="I380" s="50">
        <f>AVERAGE(F378:F380)</f>
        <v>2.5406666666666666</v>
      </c>
      <c r="J380" s="50">
        <f>AVERAGE(G378:G380)</f>
        <v>5.5470374999999995E-2</v>
      </c>
      <c r="L380">
        <f>+J380/I380</f>
        <v>2.1832999868800839E-2</v>
      </c>
      <c r="M380">
        <f>+(L380-$L$913)/$L$914</f>
        <v>-7.2804656513967642E-2</v>
      </c>
      <c r="N380">
        <f>+N377+M380</f>
        <v>0.49910960295435614</v>
      </c>
    </row>
    <row r="381" spans="1:14">
      <c r="A381" s="20">
        <v>1</v>
      </c>
      <c r="B381" s="86">
        <v>40282</v>
      </c>
      <c r="C381" s="20">
        <v>2010</v>
      </c>
      <c r="D381" s="10" t="s">
        <v>28</v>
      </c>
      <c r="E381" s="20">
        <v>4</v>
      </c>
      <c r="F381" s="49">
        <v>3.3370000000000002</v>
      </c>
      <c r="G381" s="50">
        <v>5.9109124999999992E-2</v>
      </c>
    </row>
    <row r="382" spans="1:14">
      <c r="A382" s="20">
        <v>17</v>
      </c>
      <c r="B382" s="86">
        <v>40282</v>
      </c>
      <c r="C382" s="20">
        <v>2010</v>
      </c>
      <c r="D382" s="10" t="s">
        <v>28</v>
      </c>
      <c r="E382" s="20">
        <v>4</v>
      </c>
      <c r="F382" s="49">
        <v>4.6260000000000003</v>
      </c>
      <c r="G382" s="50">
        <v>4.4080499999999995E-2</v>
      </c>
    </row>
    <row r="383" spans="1:14">
      <c r="A383" s="20">
        <v>18</v>
      </c>
      <c r="B383" s="86">
        <v>40282</v>
      </c>
      <c r="C383" s="20">
        <v>2010</v>
      </c>
      <c r="D383" s="10" t="s">
        <v>28</v>
      </c>
      <c r="E383" s="20">
        <v>4</v>
      </c>
      <c r="F383" s="51">
        <v>3.17</v>
      </c>
      <c r="G383" s="50">
        <v>3.7747250000000003E-2</v>
      </c>
      <c r="I383" s="50">
        <f>AVERAGE(F381:F383)</f>
        <v>3.7110000000000003</v>
      </c>
      <c r="J383" s="50">
        <f>AVERAGE(G381:G383)</f>
        <v>4.6978958333333327E-2</v>
      </c>
      <c r="L383">
        <f>+J383/I383</f>
        <v>1.2659379771849454E-2</v>
      </c>
      <c r="M383">
        <f>+(L383-$L$913)/$L$914</f>
        <v>-0.343226376140086</v>
      </c>
      <c r="N383">
        <f>+N380+M383</f>
        <v>0.15588322681427014</v>
      </c>
    </row>
    <row r="384" spans="1:14">
      <c r="A384" s="20">
        <v>1</v>
      </c>
      <c r="B384" s="94">
        <v>40315</v>
      </c>
      <c r="C384" s="20">
        <v>2010</v>
      </c>
      <c r="D384" s="10" t="s">
        <v>29</v>
      </c>
      <c r="E384" s="20">
        <v>5</v>
      </c>
      <c r="F384" s="52">
        <v>0.67200000000000004</v>
      </c>
      <c r="G384" s="50">
        <v>2.9017999999999995E-2</v>
      </c>
    </row>
    <row r="385" spans="1:14">
      <c r="A385" s="20">
        <v>17</v>
      </c>
      <c r="B385" s="94">
        <v>40315</v>
      </c>
      <c r="C385" s="20">
        <v>2010</v>
      </c>
      <c r="D385" s="10" t="s">
        <v>29</v>
      </c>
      <c r="E385" s="20">
        <v>5</v>
      </c>
      <c r="F385" s="52">
        <v>1.71</v>
      </c>
      <c r="G385" s="50">
        <v>0</v>
      </c>
    </row>
    <row r="386" spans="1:14">
      <c r="A386" s="20">
        <v>18</v>
      </c>
      <c r="B386" s="94">
        <v>40315</v>
      </c>
      <c r="C386" s="20">
        <v>2010</v>
      </c>
      <c r="D386" s="10" t="s">
        <v>29</v>
      </c>
      <c r="E386" s="20">
        <v>5</v>
      </c>
      <c r="F386" s="52">
        <v>0.433</v>
      </c>
      <c r="G386" s="50">
        <v>0</v>
      </c>
      <c r="I386" s="50">
        <f>AVERAGE(F384:F386)</f>
        <v>0.93833333333333335</v>
      </c>
      <c r="J386" s="50">
        <f>AVERAGE(G384:G386)</f>
        <v>9.6726666666666645E-3</v>
      </c>
      <c r="L386">
        <f>+J386/I386</f>
        <v>1.0308348134991116E-2</v>
      </c>
      <c r="M386">
        <f>+(L386-$L$913)/$L$914</f>
        <v>-0.41253053430398484</v>
      </c>
      <c r="N386">
        <f>+N383+M386</f>
        <v>-0.2566473074897147</v>
      </c>
    </row>
    <row r="387" spans="1:14">
      <c r="A387" s="20">
        <v>1</v>
      </c>
      <c r="B387" s="94">
        <v>40344</v>
      </c>
      <c r="C387" s="20">
        <v>2010</v>
      </c>
      <c r="D387" s="10" t="s">
        <v>30</v>
      </c>
      <c r="E387" s="20">
        <v>6</v>
      </c>
      <c r="F387" s="52">
        <v>2.6179999999999999</v>
      </c>
      <c r="G387" s="50">
        <v>9.415262499999999E-2</v>
      </c>
    </row>
    <row r="388" spans="1:14">
      <c r="A388" s="20">
        <v>17</v>
      </c>
      <c r="B388" s="94">
        <v>40344</v>
      </c>
      <c r="C388" s="20">
        <v>2010</v>
      </c>
      <c r="D388" s="10" t="s">
        <v>30</v>
      </c>
      <c r="E388" s="20">
        <v>6</v>
      </c>
      <c r="F388" s="52">
        <v>2.0750000000000002</v>
      </c>
      <c r="G388" s="50">
        <v>0.14132937500000001</v>
      </c>
    </row>
    <row r="389" spans="1:14">
      <c r="A389" s="20">
        <v>18</v>
      </c>
      <c r="B389" s="94">
        <v>40344</v>
      </c>
      <c r="C389" s="20">
        <v>2010</v>
      </c>
      <c r="D389" s="10" t="s">
        <v>30</v>
      </c>
      <c r="E389" s="20">
        <v>6</v>
      </c>
      <c r="F389" s="52">
        <v>3.0760000000000001</v>
      </c>
      <c r="G389" s="50">
        <v>0.16089775000000001</v>
      </c>
      <c r="I389" s="50">
        <f>AVERAGE(F387:F389)</f>
        <v>2.5896666666666666</v>
      </c>
      <c r="J389" s="50">
        <f>AVERAGE(G387:G389)</f>
        <v>0.13212658333333335</v>
      </c>
      <c r="L389">
        <f>+J389/I389</f>
        <v>5.1020691208649771E-2</v>
      </c>
      <c r="M389">
        <f>+(L389-$L$913)/$L$914</f>
        <v>0.78759566534602965</v>
      </c>
      <c r="N389">
        <f>+N386+M389</f>
        <v>0.530948357856315</v>
      </c>
    </row>
    <row r="390" spans="1:14">
      <c r="A390" s="20">
        <v>1</v>
      </c>
      <c r="B390" s="94">
        <v>40371</v>
      </c>
      <c r="C390" s="20">
        <v>2010</v>
      </c>
      <c r="D390" s="10" t="s">
        <v>31</v>
      </c>
      <c r="E390" s="20">
        <v>7</v>
      </c>
      <c r="F390" s="52">
        <v>7.69</v>
      </c>
      <c r="G390" s="50">
        <v>0.29006025000000002</v>
      </c>
    </row>
    <row r="391" spans="1:14">
      <c r="A391" s="20">
        <v>17</v>
      </c>
      <c r="B391" s="94">
        <v>40371</v>
      </c>
      <c r="C391" s="20">
        <v>2010</v>
      </c>
      <c r="D391" s="10" t="s">
        <v>31</v>
      </c>
      <c r="E391" s="20">
        <v>7</v>
      </c>
      <c r="F391" s="52">
        <v>5.4009999999999998</v>
      </c>
      <c r="G391" s="50">
        <v>0.27021625000000005</v>
      </c>
    </row>
    <row r="392" spans="1:14">
      <c r="A392" s="20">
        <v>18</v>
      </c>
      <c r="B392" s="94">
        <v>40371</v>
      </c>
      <c r="C392" s="20">
        <v>2010</v>
      </c>
      <c r="D392" s="10" t="s">
        <v>31</v>
      </c>
      <c r="E392" s="20">
        <v>7</v>
      </c>
      <c r="F392" s="52">
        <v>4.92</v>
      </c>
      <c r="G392" s="50">
        <v>0.10162674999999999</v>
      </c>
      <c r="I392" s="50">
        <f>AVERAGE(F390:F392)</f>
        <v>6.0036666666666676</v>
      </c>
      <c r="J392" s="50">
        <f>AVERAGE(G390:G392)</f>
        <v>0.22063441666666669</v>
      </c>
      <c r="L392">
        <f>+J392/I392</f>
        <v>3.6749944478374326E-2</v>
      </c>
      <c r="M392">
        <f>+(L392-$L$913)/$L$914</f>
        <v>0.36691987646827018</v>
      </c>
      <c r="N392">
        <f>+N389+M392</f>
        <v>0.89786823432458518</v>
      </c>
    </row>
    <row r="393" spans="1:14">
      <c r="A393" s="20">
        <v>1</v>
      </c>
      <c r="B393" s="94">
        <v>40407</v>
      </c>
      <c r="C393" s="20">
        <v>2010</v>
      </c>
      <c r="D393" s="10" t="s">
        <v>32</v>
      </c>
      <c r="E393" s="20">
        <v>8</v>
      </c>
      <c r="F393" s="52">
        <v>11.997</v>
      </c>
      <c r="G393" s="50">
        <v>0.31553487499999999</v>
      </c>
    </row>
    <row r="394" spans="1:14">
      <c r="A394" s="20">
        <v>17</v>
      </c>
      <c r="B394" s="94">
        <v>40407</v>
      </c>
      <c r="C394" s="20">
        <v>2010</v>
      </c>
      <c r="D394" s="10" t="s">
        <v>32</v>
      </c>
      <c r="E394" s="20">
        <v>8</v>
      </c>
      <c r="F394" s="52">
        <v>12.503</v>
      </c>
      <c r="G394" s="50">
        <v>0.36192612499999999</v>
      </c>
    </row>
    <row r="395" spans="1:14">
      <c r="A395" s="20">
        <v>18</v>
      </c>
      <c r="B395" s="94">
        <v>40407</v>
      </c>
      <c r="C395" s="20">
        <v>2010</v>
      </c>
      <c r="D395" s="10" t="s">
        <v>32</v>
      </c>
      <c r="E395" s="20">
        <v>8</v>
      </c>
      <c r="F395" s="52">
        <v>8.4649999999999999</v>
      </c>
      <c r="G395" s="50">
        <v>0.27212950000000002</v>
      </c>
      <c r="I395" s="50">
        <f>AVERAGE(F393:F395)</f>
        <v>10.988333333333335</v>
      </c>
      <c r="J395" s="50">
        <f>AVERAGE(G393:G395)</f>
        <v>0.31653016666666667</v>
      </c>
      <c r="L395">
        <f>+J395/I395</f>
        <v>2.8806021537994837E-2</v>
      </c>
      <c r="M395">
        <f>+(L395-$L$913)/$L$914</f>
        <v>0.1327474037245282</v>
      </c>
      <c r="N395">
        <f>+N392+M395</f>
        <v>1.0306156380491134</v>
      </c>
    </row>
    <row r="396" spans="1:14">
      <c r="A396" s="20">
        <v>1</v>
      </c>
      <c r="B396" s="94">
        <v>40436</v>
      </c>
      <c r="C396" s="20">
        <v>2010</v>
      </c>
      <c r="D396" s="10" t="s">
        <v>38</v>
      </c>
      <c r="E396" s="20">
        <v>9</v>
      </c>
      <c r="F396" s="52">
        <v>9.1959999999999997</v>
      </c>
      <c r="G396" s="50">
        <v>0.18705250000000001</v>
      </c>
    </row>
    <row r="397" spans="1:14">
      <c r="A397" s="20">
        <v>17</v>
      </c>
      <c r="B397" s="94">
        <v>40436</v>
      </c>
      <c r="C397" s="20">
        <v>2010</v>
      </c>
      <c r="D397" s="10" t="s">
        <v>38</v>
      </c>
      <c r="E397" s="20">
        <v>9</v>
      </c>
      <c r="F397" s="52">
        <v>6.9210000000000003</v>
      </c>
      <c r="G397" s="50">
        <v>0.16507375000000002</v>
      </c>
    </row>
    <row r="398" spans="1:14">
      <c r="A398" s="20">
        <v>18</v>
      </c>
      <c r="B398" s="94">
        <v>40436</v>
      </c>
      <c r="C398" s="20">
        <v>2010</v>
      </c>
      <c r="D398" s="10" t="s">
        <v>38</v>
      </c>
      <c r="E398" s="20">
        <v>9</v>
      </c>
      <c r="F398" s="52">
        <v>7.9589999999999996</v>
      </c>
      <c r="G398" s="50">
        <v>7.7819749999999979E-2</v>
      </c>
      <c r="I398" s="50">
        <f>AVERAGE(F396:F398)</f>
        <v>8.0253333333333341</v>
      </c>
      <c r="J398" s="50">
        <f>AVERAGE(G396:G398)</f>
        <v>0.14331533333333332</v>
      </c>
      <c r="L398">
        <f>+J398/I398</f>
        <v>1.7857866755274961E-2</v>
      </c>
      <c r="M398">
        <f>+(L398-$L$913)/$L$914</f>
        <v>-0.18998438719189598</v>
      </c>
      <c r="N398">
        <f>+N395+M398</f>
        <v>0.84063125085721735</v>
      </c>
    </row>
    <row r="399" spans="1:14">
      <c r="A399" s="20">
        <v>1</v>
      </c>
      <c r="B399" s="94">
        <v>40464</v>
      </c>
      <c r="C399" s="20">
        <v>2010</v>
      </c>
      <c r="D399" s="10" t="s">
        <v>34</v>
      </c>
      <c r="E399" s="20">
        <v>10</v>
      </c>
      <c r="F399" s="49">
        <v>4.5039999999999996</v>
      </c>
      <c r="G399" s="50">
        <v>2.9886374999999996E-2</v>
      </c>
    </row>
    <row r="400" spans="1:14">
      <c r="A400" s="20">
        <v>17</v>
      </c>
      <c r="B400" s="94">
        <v>40464</v>
      </c>
      <c r="C400" s="20">
        <v>2010</v>
      </c>
      <c r="D400" s="10" t="s">
        <v>34</v>
      </c>
      <c r="E400" s="20">
        <v>10</v>
      </c>
      <c r="F400" s="49">
        <v>6.1580000000000004</v>
      </c>
      <c r="G400" s="50">
        <v>0.1008705</v>
      </c>
    </row>
    <row r="401" spans="1:14">
      <c r="A401" s="20">
        <v>18</v>
      </c>
      <c r="B401" s="94">
        <v>40464</v>
      </c>
      <c r="C401" s="20">
        <v>2010</v>
      </c>
      <c r="D401" s="10" t="s">
        <v>34</v>
      </c>
      <c r="E401" s="20">
        <v>10</v>
      </c>
      <c r="F401" s="49">
        <v>4.7140000000000004</v>
      </c>
      <c r="G401" s="50">
        <v>3.3566749999999999E-2</v>
      </c>
      <c r="I401" s="50">
        <f>AVERAGE(F399:F401)</f>
        <v>5.1253333333333329</v>
      </c>
      <c r="J401" s="50">
        <f>AVERAGE(G399:G401)</f>
        <v>5.4774541666666669E-2</v>
      </c>
      <c r="L401">
        <f>+J401/I401</f>
        <v>1.0687020356399585E-2</v>
      </c>
      <c r="M401">
        <f>+(L401-$L$913)/$L$914</f>
        <v>-0.4013679624723967</v>
      </c>
      <c r="N401">
        <f>+N398+M401</f>
        <v>0.43926328838482065</v>
      </c>
    </row>
    <row r="402" spans="1:14">
      <c r="A402" s="20">
        <v>1</v>
      </c>
      <c r="B402" s="94">
        <v>40498</v>
      </c>
      <c r="C402" s="20">
        <v>2010</v>
      </c>
      <c r="D402" s="10" t="s">
        <v>35</v>
      </c>
      <c r="E402" s="20">
        <v>11</v>
      </c>
      <c r="F402" s="49">
        <v>1.141</v>
      </c>
      <c r="G402" s="50">
        <v>0</v>
      </c>
    </row>
    <row r="403" spans="1:14">
      <c r="A403" s="20">
        <v>17</v>
      </c>
      <c r="B403" s="94">
        <v>40498</v>
      </c>
      <c r="C403" s="20">
        <v>2010</v>
      </c>
      <c r="D403" s="10" t="s">
        <v>35</v>
      </c>
      <c r="E403" s="20">
        <v>11</v>
      </c>
      <c r="F403" s="49">
        <v>1.087</v>
      </c>
      <c r="G403" s="50">
        <v>0</v>
      </c>
    </row>
    <row r="404" spans="1:14">
      <c r="A404" s="20">
        <v>18</v>
      </c>
      <c r="B404" s="94">
        <v>40498</v>
      </c>
      <c r="C404" s="20">
        <v>2010</v>
      </c>
      <c r="D404" s="10" t="s">
        <v>35</v>
      </c>
      <c r="E404" s="20">
        <v>11</v>
      </c>
      <c r="F404" s="49">
        <v>0.95199999999999996</v>
      </c>
      <c r="G404" s="50">
        <v>8.4670000000000006E-3</v>
      </c>
      <c r="I404" s="50">
        <f>AVERAGE(F402:F404)</f>
        <v>1.0599999999999998</v>
      </c>
      <c r="J404" s="50">
        <f>AVERAGE(G402:G404)</f>
        <v>2.8223333333333334E-3</v>
      </c>
      <c r="L404">
        <f>+J404/I404</f>
        <v>2.6625786163522016E-3</v>
      </c>
      <c r="M404">
        <f>+(L404-$L$913)/$L$914</f>
        <v>-0.63791398372134211</v>
      </c>
      <c r="N404">
        <f>+N401+M404</f>
        <v>-0.19865069533652147</v>
      </c>
    </row>
    <row r="405" spans="1:14">
      <c r="A405" s="20">
        <v>1</v>
      </c>
      <c r="B405" s="94">
        <v>40520</v>
      </c>
      <c r="C405" s="20">
        <v>2010</v>
      </c>
      <c r="D405" s="10" t="s">
        <v>36</v>
      </c>
      <c r="E405" s="20">
        <v>12</v>
      </c>
      <c r="F405" s="49">
        <v>2.4660000000000002</v>
      </c>
      <c r="G405" s="50">
        <v>2.7976250000000001E-2</v>
      </c>
    </row>
    <row r="406" spans="1:14">
      <c r="A406" s="20">
        <v>17</v>
      </c>
      <c r="B406" s="94">
        <v>40520</v>
      </c>
      <c r="C406" s="20">
        <v>2010</v>
      </c>
      <c r="D406" s="10" t="s">
        <v>36</v>
      </c>
      <c r="E406" s="20">
        <v>12</v>
      </c>
      <c r="F406" s="49">
        <v>7.1849999999999996</v>
      </c>
      <c r="G406" s="50">
        <v>3.0201250000000002E-2</v>
      </c>
    </row>
    <row r="407" spans="1:14">
      <c r="A407" s="20">
        <v>18</v>
      </c>
      <c r="B407" s="94">
        <v>40520</v>
      </c>
      <c r="C407" s="20">
        <v>2010</v>
      </c>
      <c r="D407" s="10" t="s">
        <v>36</v>
      </c>
      <c r="E407" s="20">
        <v>12</v>
      </c>
      <c r="F407" s="49">
        <v>8.9269999999999996</v>
      </c>
      <c r="G407" s="50">
        <v>3.7949999999999991E-2</v>
      </c>
      <c r="I407" s="50">
        <f>AVERAGE(F405:F407)</f>
        <v>6.1926666666666668</v>
      </c>
      <c r="J407" s="50">
        <f>AVERAGE(G405:G407)</f>
        <v>3.2042500000000002E-2</v>
      </c>
      <c r="L407">
        <f>+J407/I407</f>
        <v>5.1742652599849285E-3</v>
      </c>
      <c r="M407">
        <f>+(L407-$L$913)/$L$914</f>
        <v>-0.5638740066833966</v>
      </c>
      <c r="N407">
        <f>+N404+M407</f>
        <v>-0.76252470201991807</v>
      </c>
    </row>
    <row r="408" spans="1:14">
      <c r="A408" s="43">
        <v>1</v>
      </c>
      <c r="B408" s="96">
        <v>40562</v>
      </c>
      <c r="C408" s="43">
        <v>2011</v>
      </c>
      <c r="D408" s="45" t="s">
        <v>37</v>
      </c>
      <c r="E408" s="43">
        <v>1</v>
      </c>
      <c r="F408" s="46">
        <v>6.3860000000000001</v>
      </c>
      <c r="G408" s="47">
        <v>3.6332999999999997E-2</v>
      </c>
    </row>
    <row r="409" spans="1:14">
      <c r="A409" s="20">
        <v>17</v>
      </c>
      <c r="B409" s="94">
        <v>40562</v>
      </c>
      <c r="C409" s="20">
        <v>2011</v>
      </c>
      <c r="D409" s="10" t="s">
        <v>37</v>
      </c>
      <c r="E409" s="20">
        <v>1</v>
      </c>
      <c r="F409" s="49">
        <v>13.541</v>
      </c>
      <c r="G409" s="50">
        <v>9.8297624999999986E-2</v>
      </c>
    </row>
    <row r="410" spans="1:14">
      <c r="A410" s="20">
        <v>18</v>
      </c>
      <c r="B410" s="94">
        <v>40562</v>
      </c>
      <c r="C410" s="20">
        <v>2011</v>
      </c>
      <c r="D410" s="10" t="s">
        <v>37</v>
      </c>
      <c r="E410" s="20">
        <v>1</v>
      </c>
      <c r="F410" s="49">
        <v>15.566000000000001</v>
      </c>
      <c r="G410" s="50">
        <v>0.11720075000000001</v>
      </c>
      <c r="I410" s="50">
        <f>AVERAGE(F408:F410)</f>
        <v>11.831000000000001</v>
      </c>
      <c r="J410" s="50">
        <f>AVERAGE(G408:G410)</f>
        <v>8.3943791666666656E-2</v>
      </c>
      <c r="L410">
        <f>+J410/I410</f>
        <v>7.0952406108246678E-3</v>
      </c>
      <c r="M410">
        <f>+(L410-$L$913)/$L$914</f>
        <v>-0.50724712958979412</v>
      </c>
      <c r="N410">
        <f>+N407+M410</f>
        <v>-1.2697718316097122</v>
      </c>
    </row>
    <row r="411" spans="1:14">
      <c r="A411" s="20">
        <v>1</v>
      </c>
      <c r="B411" s="94">
        <v>40591</v>
      </c>
      <c r="C411" s="20">
        <v>2011</v>
      </c>
      <c r="D411" s="10" t="s">
        <v>26</v>
      </c>
      <c r="E411" s="20">
        <v>2</v>
      </c>
      <c r="F411" s="49">
        <v>4.093</v>
      </c>
      <c r="G411" s="50">
        <v>0.23641999999999996</v>
      </c>
    </row>
    <row r="412" spans="1:14">
      <c r="A412" s="20">
        <v>17</v>
      </c>
      <c r="B412" s="94">
        <v>40591</v>
      </c>
      <c r="C412" s="20">
        <v>2011</v>
      </c>
      <c r="D412" s="10" t="s">
        <v>26</v>
      </c>
      <c r="E412" s="20">
        <v>2</v>
      </c>
      <c r="F412" s="49">
        <v>3.5270000000000001</v>
      </c>
      <c r="G412" s="50">
        <v>0.1639515</v>
      </c>
    </row>
    <row r="413" spans="1:14">
      <c r="A413" s="20">
        <v>18</v>
      </c>
      <c r="B413" s="94">
        <v>40591</v>
      </c>
      <c r="C413" s="20">
        <v>2011</v>
      </c>
      <c r="D413" s="10" t="s">
        <v>26</v>
      </c>
      <c r="E413" s="20">
        <v>2</v>
      </c>
      <c r="F413" s="49">
        <v>3.7469999999999999</v>
      </c>
      <c r="G413" s="50">
        <v>0.1410515</v>
      </c>
      <c r="I413" s="50">
        <f>AVERAGE(F411:F413)</f>
        <v>3.7890000000000001</v>
      </c>
      <c r="J413" s="50">
        <f>AVERAGE(G411:G413)</f>
        <v>0.18047433333333332</v>
      </c>
      <c r="L413">
        <f>+J413/I413</f>
        <v>4.7631125186944658E-2</v>
      </c>
      <c r="M413">
        <f>+(L413-$L$913)/$L$914</f>
        <v>0.6876773928768688</v>
      </c>
      <c r="N413">
        <f>+N410+M413</f>
        <v>-0.58209443873284339</v>
      </c>
    </row>
    <row r="414" spans="1:14">
      <c r="A414" s="20">
        <v>1</v>
      </c>
      <c r="B414" s="94">
        <v>40619</v>
      </c>
      <c r="C414" s="20">
        <v>2011</v>
      </c>
      <c r="D414" s="10" t="s">
        <v>27</v>
      </c>
      <c r="E414" s="20">
        <v>3</v>
      </c>
      <c r="F414" s="49">
        <v>7.6820000000000004</v>
      </c>
      <c r="G414" s="50">
        <v>0</v>
      </c>
    </row>
    <row r="415" spans="1:14">
      <c r="A415" s="20">
        <v>17</v>
      </c>
      <c r="B415" s="94">
        <v>40619</v>
      </c>
      <c r="C415" s="20">
        <v>2011</v>
      </c>
      <c r="D415" s="10" t="s">
        <v>27</v>
      </c>
      <c r="E415" s="20">
        <v>3</v>
      </c>
      <c r="F415" s="49">
        <v>8.2309999999999999</v>
      </c>
      <c r="G415" s="50">
        <v>4.0121249999999997E-2</v>
      </c>
    </row>
    <row r="416" spans="1:14">
      <c r="A416" s="20">
        <v>18</v>
      </c>
      <c r="B416" s="94">
        <v>40619</v>
      </c>
      <c r="C416" s="20">
        <v>2011</v>
      </c>
      <c r="D416" s="10" t="s">
        <v>27</v>
      </c>
      <c r="E416" s="20">
        <v>3</v>
      </c>
      <c r="F416" s="49">
        <v>7.8819999999999997</v>
      </c>
      <c r="G416" s="50">
        <v>3.4324750000000001E-2</v>
      </c>
      <c r="I416" s="50">
        <f>AVERAGE(F414:F416)</f>
        <v>7.9316666666666675</v>
      </c>
      <c r="J416" s="50">
        <f>AVERAGE(G414:G416)</f>
        <v>2.4815333333333332E-2</v>
      </c>
      <c r="L416">
        <f>+J416/I416</f>
        <v>3.1286404706871184E-3</v>
      </c>
      <c r="M416">
        <f>+(L416-$L$913)/$L$914</f>
        <v>-0.62417532365373474</v>
      </c>
      <c r="N416">
        <f>+N413+M416</f>
        <v>-1.2062697623865781</v>
      </c>
    </row>
    <row r="417" spans="1:14">
      <c r="A417" s="20">
        <v>1</v>
      </c>
      <c r="B417" s="94">
        <v>40646</v>
      </c>
      <c r="C417" s="20">
        <v>2011</v>
      </c>
      <c r="D417" s="10" t="s">
        <v>28</v>
      </c>
      <c r="E417" s="20">
        <v>4</v>
      </c>
      <c r="F417" s="49">
        <v>4.5759999999999996</v>
      </c>
      <c r="G417" s="50">
        <v>6.0753124999999991E-2</v>
      </c>
    </row>
    <row r="418" spans="1:14">
      <c r="A418" s="20">
        <v>17</v>
      </c>
      <c r="B418" s="94">
        <v>40646</v>
      </c>
      <c r="C418" s="20">
        <v>2011</v>
      </c>
      <c r="D418" s="10" t="s">
        <v>28</v>
      </c>
      <c r="E418" s="20">
        <v>4</v>
      </c>
      <c r="F418" s="49">
        <v>3.1059999999999999</v>
      </c>
      <c r="G418" s="50">
        <v>2.6166624999999999E-2</v>
      </c>
    </row>
    <row r="419" spans="1:14">
      <c r="A419" s="20">
        <v>18</v>
      </c>
      <c r="B419" s="94">
        <v>40646</v>
      </c>
      <c r="C419" s="20">
        <v>2011</v>
      </c>
      <c r="D419" s="10" t="s">
        <v>28</v>
      </c>
      <c r="E419" s="20">
        <v>4</v>
      </c>
      <c r="F419" s="49">
        <v>2.5750000000000002</v>
      </c>
      <c r="G419" s="50">
        <v>0</v>
      </c>
      <c r="I419" s="50">
        <f>AVERAGE(F417:F419)</f>
        <v>3.419</v>
      </c>
      <c r="J419" s="50">
        <f>AVERAGE(G417:G419)</f>
        <v>2.8973249999999996E-2</v>
      </c>
      <c r="L419">
        <f>+J419/I419</f>
        <v>8.4741883591693459E-3</v>
      </c>
      <c r="M419">
        <f>+(L419-$L$913)/$L$914</f>
        <v>-0.46659824534987943</v>
      </c>
      <c r="N419">
        <f>+N416+M419</f>
        <v>-1.6728680077364575</v>
      </c>
    </row>
    <row r="420" spans="1:14">
      <c r="A420" s="20">
        <v>1</v>
      </c>
      <c r="B420" s="94">
        <v>40681</v>
      </c>
      <c r="C420" s="20">
        <v>2011</v>
      </c>
      <c r="D420" s="10" t="s">
        <v>29</v>
      </c>
      <c r="E420" s="20">
        <v>5</v>
      </c>
      <c r="F420" s="49">
        <v>1.44</v>
      </c>
      <c r="G420" s="50">
        <v>0.15962125000000002</v>
      </c>
    </row>
    <row r="421" spans="1:14">
      <c r="A421" s="20">
        <v>17</v>
      </c>
      <c r="B421" s="94">
        <v>40681</v>
      </c>
      <c r="C421" s="20">
        <v>2011</v>
      </c>
      <c r="D421" s="10" t="s">
        <v>29</v>
      </c>
      <c r="E421" s="20">
        <v>5</v>
      </c>
      <c r="F421" s="49">
        <v>1.978</v>
      </c>
      <c r="G421" s="50">
        <v>0.28656237499999998</v>
      </c>
    </row>
    <row r="422" spans="1:14">
      <c r="A422" s="20">
        <v>18</v>
      </c>
      <c r="B422" s="94">
        <v>40681</v>
      </c>
      <c r="C422" s="20">
        <v>2011</v>
      </c>
      <c r="D422" s="10" t="s">
        <v>29</v>
      </c>
      <c r="E422" s="20">
        <v>5</v>
      </c>
      <c r="F422" s="49">
        <v>1.7989999999999999</v>
      </c>
      <c r="G422" s="50">
        <v>0.25574750000000002</v>
      </c>
      <c r="I422" s="50">
        <f>AVERAGE(F420:F422)</f>
        <v>1.7390000000000001</v>
      </c>
      <c r="J422" s="50">
        <f>AVERAGE(G420:G422)</f>
        <v>0.23397704166666666</v>
      </c>
      <c r="L422">
        <f>+J422/I422</f>
        <v>0.13454688997508146</v>
      </c>
      <c r="M422">
        <f>+(L422-$L$913)/$L$914</f>
        <v>3.2497968537032551</v>
      </c>
      <c r="N422">
        <f>+N419+M422</f>
        <v>1.5769288459667976</v>
      </c>
    </row>
    <row r="423" spans="1:14">
      <c r="A423" s="20">
        <v>1</v>
      </c>
      <c r="B423" s="94">
        <v>40708</v>
      </c>
      <c r="C423" s="20">
        <v>2011</v>
      </c>
      <c r="D423" s="10" t="s">
        <v>30</v>
      </c>
      <c r="E423" s="20">
        <v>6</v>
      </c>
      <c r="F423" s="49">
        <v>3.72</v>
      </c>
      <c r="G423" s="50">
        <v>0.22857875</v>
      </c>
    </row>
    <row r="424" spans="1:14">
      <c r="A424" s="20">
        <v>17</v>
      </c>
      <c r="B424" s="94">
        <v>40708</v>
      </c>
      <c r="C424" s="20">
        <v>2011</v>
      </c>
      <c r="D424" s="10" t="s">
        <v>30</v>
      </c>
      <c r="E424" s="20">
        <v>6</v>
      </c>
      <c r="F424" s="49">
        <v>2.9140000000000001</v>
      </c>
      <c r="G424" s="50">
        <v>0.25150525000000007</v>
      </c>
    </row>
    <row r="425" spans="1:14">
      <c r="A425" s="20">
        <v>18</v>
      </c>
      <c r="B425" s="94">
        <v>40708</v>
      </c>
      <c r="C425" s="20">
        <v>2011</v>
      </c>
      <c r="D425" s="10" t="s">
        <v>30</v>
      </c>
      <c r="E425" s="20">
        <v>6</v>
      </c>
      <c r="F425" s="49">
        <v>3.8250000000000002</v>
      </c>
      <c r="G425" s="50">
        <v>0.42403437499999996</v>
      </c>
      <c r="I425" s="50">
        <f>AVERAGE(F423:F425)</f>
        <v>3.4863333333333331</v>
      </c>
      <c r="J425" s="50">
        <f>AVERAGE(G423:G425)</f>
        <v>0.3013727916666667</v>
      </c>
      <c r="L425">
        <f>+J425/I425</f>
        <v>8.6444055359020958E-2</v>
      </c>
      <c r="M425">
        <f>+(L425-$L$913)/$L$914</f>
        <v>1.8318123374173949</v>
      </c>
      <c r="N425">
        <f>+N422+M425</f>
        <v>3.4087411833841923</v>
      </c>
    </row>
    <row r="426" spans="1:14">
      <c r="A426" s="20">
        <v>1</v>
      </c>
      <c r="B426" s="94">
        <v>40735</v>
      </c>
      <c r="C426" s="20">
        <v>2011</v>
      </c>
      <c r="D426" s="10" t="s">
        <v>31</v>
      </c>
      <c r="E426" s="20">
        <v>7</v>
      </c>
      <c r="F426" s="49">
        <v>13.347</v>
      </c>
      <c r="G426" s="50">
        <v>1.2932572499999997</v>
      </c>
    </row>
    <row r="427" spans="1:14">
      <c r="A427" s="20">
        <v>17</v>
      </c>
      <c r="B427" s="94">
        <v>40735</v>
      </c>
      <c r="C427" s="20">
        <v>2011</v>
      </c>
      <c r="D427" s="10" t="s">
        <v>31</v>
      </c>
      <c r="E427" s="20">
        <v>7</v>
      </c>
      <c r="F427" s="49">
        <v>8.2550000000000008</v>
      </c>
      <c r="G427" s="50">
        <v>0.11710787499999999</v>
      </c>
    </row>
    <row r="428" spans="1:14">
      <c r="A428" s="20">
        <v>18</v>
      </c>
      <c r="B428" s="94">
        <v>40735</v>
      </c>
      <c r="C428" s="20">
        <v>2011</v>
      </c>
      <c r="D428" s="10" t="s">
        <v>31</v>
      </c>
      <c r="E428" s="20">
        <v>7</v>
      </c>
      <c r="F428" s="49">
        <v>5.2439999999999998</v>
      </c>
      <c r="G428" s="50">
        <v>5.9084374999999995E-2</v>
      </c>
      <c r="I428" s="50">
        <f>AVERAGE(F426:F428)</f>
        <v>8.9486666666666661</v>
      </c>
      <c r="J428" s="50">
        <f>AVERAGE(G426:G428)</f>
        <v>0.48981649999999993</v>
      </c>
      <c r="L428">
        <f>+J428/I428</f>
        <v>5.4736254935558365E-2</v>
      </c>
      <c r="M428">
        <f>+(L428-$L$913)/$L$914</f>
        <v>0.89712376023029017</v>
      </c>
      <c r="N428">
        <f>+N425+M428</f>
        <v>4.3058649436144822</v>
      </c>
    </row>
    <row r="429" spans="1:14">
      <c r="A429" s="20">
        <v>1</v>
      </c>
      <c r="B429" s="94">
        <v>40771</v>
      </c>
      <c r="C429" s="20">
        <v>2011</v>
      </c>
      <c r="D429" s="10" t="s">
        <v>32</v>
      </c>
      <c r="E429" s="20">
        <v>8</v>
      </c>
      <c r="F429" s="49">
        <v>12.743</v>
      </c>
      <c r="G429" s="50">
        <v>0.41199112499999996</v>
      </c>
    </row>
    <row r="430" spans="1:14">
      <c r="A430" s="20">
        <v>17</v>
      </c>
      <c r="B430" s="94">
        <v>40771</v>
      </c>
      <c r="C430" s="20">
        <v>2011</v>
      </c>
      <c r="D430" s="10" t="s">
        <v>32</v>
      </c>
      <c r="E430" s="20">
        <v>8</v>
      </c>
      <c r="F430" s="49">
        <v>6.6539999999999999</v>
      </c>
      <c r="G430" s="50">
        <v>0.54271550000000002</v>
      </c>
    </row>
    <row r="431" spans="1:14">
      <c r="A431" s="20">
        <v>18</v>
      </c>
      <c r="B431" s="94">
        <v>40771</v>
      </c>
      <c r="C431" s="20">
        <v>2011</v>
      </c>
      <c r="D431" s="10" t="s">
        <v>32</v>
      </c>
      <c r="E431" s="20">
        <v>8</v>
      </c>
      <c r="F431" s="49">
        <v>8.76</v>
      </c>
      <c r="G431" s="50">
        <v>0.5389267499999999</v>
      </c>
      <c r="I431" s="50">
        <f>AVERAGE(F429:F431)</f>
        <v>9.3856666666666655</v>
      </c>
      <c r="J431" s="50">
        <f>AVERAGE(G429:G431)</f>
        <v>0.49787779166666662</v>
      </c>
      <c r="L431">
        <f>+J431/I431</f>
        <v>5.30466091913201E-2</v>
      </c>
      <c r="M431">
        <f>+(L431-$L$913)/$L$914</f>
        <v>0.84731606131896198</v>
      </c>
      <c r="N431">
        <f>+N428+M431</f>
        <v>5.1531810049334439</v>
      </c>
    </row>
    <row r="432" spans="1:14">
      <c r="A432" s="20">
        <v>1</v>
      </c>
      <c r="B432" s="94">
        <v>40799</v>
      </c>
      <c r="C432" s="20">
        <v>2011</v>
      </c>
      <c r="D432" s="10" t="s">
        <v>38</v>
      </c>
      <c r="E432" s="20">
        <v>9</v>
      </c>
      <c r="F432" s="49">
        <v>9.2149999999999999</v>
      </c>
      <c r="G432" s="50">
        <v>1.0692600000000001</v>
      </c>
    </row>
    <row r="433" spans="1:14">
      <c r="A433" s="20">
        <v>17</v>
      </c>
      <c r="B433" s="94">
        <v>40799</v>
      </c>
      <c r="C433" s="20">
        <v>2011</v>
      </c>
      <c r="D433" s="10" t="s">
        <v>38</v>
      </c>
      <c r="E433" s="20">
        <v>9</v>
      </c>
      <c r="F433" s="49">
        <v>5.7110000000000003</v>
      </c>
      <c r="G433" s="50">
        <v>0.62089987499999999</v>
      </c>
    </row>
    <row r="434" spans="1:14">
      <c r="A434" s="20">
        <v>18</v>
      </c>
      <c r="B434" s="94">
        <v>40799</v>
      </c>
      <c r="C434" s="20">
        <v>2011</v>
      </c>
      <c r="D434" s="10" t="s">
        <v>38</v>
      </c>
      <c r="E434" s="20">
        <v>9</v>
      </c>
      <c r="F434" s="49">
        <v>5.6609999999999996</v>
      </c>
      <c r="G434" s="50">
        <v>0.42867787499999993</v>
      </c>
      <c r="I434" s="50">
        <f>AVERAGE(F432:F434)</f>
        <v>6.862333333333333</v>
      </c>
      <c r="J434" s="50">
        <f>AVERAGE(G432:G434)</f>
        <v>0.70627925000000003</v>
      </c>
      <c r="L434">
        <f>+J434/I434</f>
        <v>0.1029211516976733</v>
      </c>
      <c r="M434">
        <f>+(L434-$L$913)/$L$914</f>
        <v>2.3175273200799471</v>
      </c>
      <c r="N434">
        <f>+N431+M434</f>
        <v>7.4707083250133905</v>
      </c>
    </row>
    <row r="435" spans="1:14">
      <c r="A435" s="20">
        <v>1</v>
      </c>
      <c r="B435" s="94">
        <v>40827</v>
      </c>
      <c r="C435" s="20">
        <v>2011</v>
      </c>
      <c r="D435" s="10" t="s">
        <v>34</v>
      </c>
      <c r="E435" s="20">
        <v>10</v>
      </c>
      <c r="F435" s="52">
        <v>19.387</v>
      </c>
      <c r="G435" s="54">
        <v>0.34101025000000001</v>
      </c>
    </row>
    <row r="436" spans="1:14">
      <c r="A436" s="20">
        <v>17</v>
      </c>
      <c r="B436" s="94">
        <v>40827</v>
      </c>
      <c r="C436" s="20">
        <v>2011</v>
      </c>
      <c r="D436" s="10" t="s">
        <v>34</v>
      </c>
      <c r="E436" s="20">
        <v>10</v>
      </c>
      <c r="F436" s="52">
        <v>30.335999999999999</v>
      </c>
      <c r="G436" s="50">
        <v>0.28854475000000002</v>
      </c>
    </row>
    <row r="437" spans="1:14">
      <c r="A437" s="20">
        <v>18</v>
      </c>
      <c r="B437" s="94">
        <v>40827</v>
      </c>
      <c r="C437" s="20">
        <v>2011</v>
      </c>
      <c r="D437" s="10" t="s">
        <v>34</v>
      </c>
      <c r="E437" s="20">
        <v>10</v>
      </c>
      <c r="F437" s="52">
        <v>9.0340000000000007</v>
      </c>
      <c r="G437" s="50">
        <v>0.2316955</v>
      </c>
      <c r="I437" s="50">
        <f>AVERAGE(F435:F437)</f>
        <v>19.585666666666665</v>
      </c>
      <c r="J437" s="50">
        <f>AVERAGE(G435:G437)</f>
        <v>0.28708350000000005</v>
      </c>
      <c r="L437">
        <f>+J437/I437</f>
        <v>1.4657836513096316E-2</v>
      </c>
      <c r="M437">
        <f>+(L437-$L$913)/$L$914</f>
        <v>-0.28431548786970934</v>
      </c>
      <c r="N437">
        <f>+N434+M437</f>
        <v>7.1863928371436812</v>
      </c>
    </row>
    <row r="438" spans="1:14">
      <c r="A438" s="20">
        <v>1</v>
      </c>
      <c r="B438" s="97">
        <v>40862</v>
      </c>
      <c r="C438" s="20">
        <v>2011</v>
      </c>
      <c r="D438" s="10" t="s">
        <v>35</v>
      </c>
      <c r="E438" s="20">
        <v>11</v>
      </c>
      <c r="F438" s="52">
        <v>2.7909999999999999</v>
      </c>
      <c r="G438" s="50">
        <v>4.7099124999999999E-2</v>
      </c>
    </row>
    <row r="439" spans="1:14">
      <c r="A439" s="20">
        <v>17</v>
      </c>
      <c r="B439" s="97">
        <v>40862</v>
      </c>
      <c r="C439" s="20">
        <v>2011</v>
      </c>
      <c r="D439" s="10" t="s">
        <v>35</v>
      </c>
      <c r="E439" s="20">
        <v>11</v>
      </c>
      <c r="F439" s="52">
        <v>5.7450000000000001</v>
      </c>
      <c r="G439" s="50">
        <v>3.0206624999999997E-2</v>
      </c>
    </row>
    <row r="440" spans="1:14">
      <c r="A440" s="20">
        <v>18</v>
      </c>
      <c r="B440" s="97">
        <v>40862</v>
      </c>
      <c r="C440" s="20">
        <v>2011</v>
      </c>
      <c r="D440" s="10" t="s">
        <v>35</v>
      </c>
      <c r="E440" s="20">
        <v>11</v>
      </c>
      <c r="F440" s="52">
        <v>5.6529999999999996</v>
      </c>
      <c r="G440" s="50">
        <v>4.0707125000000004E-2</v>
      </c>
      <c r="I440" s="50">
        <f>AVERAGE(F438:F440)</f>
        <v>4.7296666666666667</v>
      </c>
      <c r="J440" s="50">
        <f>AVERAGE(G438:G440)</f>
        <v>3.9337624999999994E-2</v>
      </c>
      <c r="L440">
        <f>+J440/I440</f>
        <v>8.3172087532595654E-3</v>
      </c>
      <c r="M440">
        <f>+(L440-$L$913)/$L$914</f>
        <v>-0.4712257200575426</v>
      </c>
      <c r="N440">
        <f>+N437+M440</f>
        <v>6.7151671170861382</v>
      </c>
    </row>
    <row r="441" spans="1:14">
      <c r="A441" s="20">
        <v>1</v>
      </c>
      <c r="B441" s="97">
        <v>40890</v>
      </c>
      <c r="C441" s="20">
        <v>2011</v>
      </c>
      <c r="D441" s="10" t="s">
        <v>36</v>
      </c>
      <c r="E441" s="20">
        <v>12</v>
      </c>
      <c r="F441" s="52">
        <v>2.3290000000000002</v>
      </c>
      <c r="G441" s="50">
        <v>5.8415874999999999E-2</v>
      </c>
    </row>
    <row r="442" spans="1:14">
      <c r="A442" s="20">
        <v>17</v>
      </c>
      <c r="B442" s="97">
        <v>40890</v>
      </c>
      <c r="C442" s="20">
        <v>2011</v>
      </c>
      <c r="D442" s="10" t="s">
        <v>36</v>
      </c>
      <c r="E442" s="20">
        <v>12</v>
      </c>
      <c r="F442" s="52">
        <v>4.0019999999999998</v>
      </c>
      <c r="G442" s="50">
        <v>9.9813249999999992E-2</v>
      </c>
    </row>
    <row r="443" spans="1:14">
      <c r="A443" s="20">
        <v>18</v>
      </c>
      <c r="B443" s="97">
        <v>40890</v>
      </c>
      <c r="C443" s="20">
        <v>2011</v>
      </c>
      <c r="D443" s="10" t="s">
        <v>36</v>
      </c>
      <c r="E443" s="20">
        <v>12</v>
      </c>
      <c r="F443" s="52">
        <v>1.9750000000000001</v>
      </c>
      <c r="G443" s="50">
        <v>6.1688500000000007E-2</v>
      </c>
      <c r="I443" s="50">
        <f>AVERAGE(F441:F443)</f>
        <v>2.7686666666666664</v>
      </c>
      <c r="J443" s="50">
        <f>AVERAGE(G441:G443)</f>
        <v>7.3305875000000006E-2</v>
      </c>
      <c r="L443">
        <f>+J443/I443</f>
        <v>2.6476959426920302E-2</v>
      </c>
      <c r="M443">
        <f>+(L443-$L$913)/$L$914</f>
        <v>6.409086742408554E-2</v>
      </c>
      <c r="N443">
        <f>+N440+M443</f>
        <v>6.7792579845102239</v>
      </c>
    </row>
    <row r="444" spans="1:14">
      <c r="A444" s="43">
        <v>1</v>
      </c>
      <c r="B444" s="96">
        <v>40917</v>
      </c>
      <c r="C444" s="43">
        <v>2012</v>
      </c>
      <c r="D444" s="45" t="s">
        <v>37</v>
      </c>
      <c r="E444" s="43">
        <v>1</v>
      </c>
      <c r="F444" s="56">
        <v>4.7460000000000004</v>
      </c>
      <c r="G444" s="47">
        <v>6.1985749999999978E-2</v>
      </c>
    </row>
    <row r="445" spans="1:14">
      <c r="A445" s="20">
        <v>17</v>
      </c>
      <c r="B445" s="94">
        <v>40917</v>
      </c>
      <c r="C445" s="20">
        <v>2012</v>
      </c>
      <c r="D445" s="10" t="s">
        <v>37</v>
      </c>
      <c r="E445" s="20">
        <v>1</v>
      </c>
      <c r="F445" s="57">
        <v>10.285</v>
      </c>
      <c r="G445" s="50">
        <v>7.5661875000000003E-2</v>
      </c>
    </row>
    <row r="446" spans="1:14">
      <c r="A446" s="20">
        <v>18</v>
      </c>
      <c r="B446" s="94">
        <v>40917</v>
      </c>
      <c r="C446" s="20">
        <v>2012</v>
      </c>
      <c r="D446" s="10" t="s">
        <v>37</v>
      </c>
      <c r="E446" s="20">
        <v>1</v>
      </c>
      <c r="F446" s="57">
        <v>3.9940000000000002</v>
      </c>
      <c r="G446" s="50">
        <v>5.8260624999999996E-2</v>
      </c>
      <c r="I446" s="50">
        <f>AVERAGE(F444:F446)</f>
        <v>6.3416666666666677</v>
      </c>
      <c r="J446" s="50">
        <f>AVERAGE(G444:G446)</f>
        <v>6.5302750000000007E-2</v>
      </c>
      <c r="L446">
        <f>+J446/I446</f>
        <v>1.0297411300919842E-2</v>
      </c>
      <c r="M446">
        <f>+(L446-$L$913)/$L$914</f>
        <v>-0.41285293238081411</v>
      </c>
      <c r="N446">
        <f>+N443+M446</f>
        <v>6.3664050521294095</v>
      </c>
    </row>
    <row r="447" spans="1:14">
      <c r="A447" s="20">
        <v>1</v>
      </c>
      <c r="B447" s="94">
        <v>40962</v>
      </c>
      <c r="C447" s="20">
        <v>2012</v>
      </c>
      <c r="D447" s="10" t="s">
        <v>26</v>
      </c>
      <c r="E447" s="20">
        <v>2</v>
      </c>
      <c r="F447" s="57">
        <v>11.262</v>
      </c>
      <c r="G447" s="50">
        <v>9.442749999999997E-2</v>
      </c>
    </row>
    <row r="448" spans="1:14">
      <c r="A448" s="20">
        <v>17</v>
      </c>
      <c r="B448" s="94">
        <v>40962</v>
      </c>
      <c r="C448" s="20">
        <v>2012</v>
      </c>
      <c r="D448" s="10" t="s">
        <v>26</v>
      </c>
      <c r="E448" s="20">
        <v>2</v>
      </c>
      <c r="F448" s="57">
        <v>22.803999999999998</v>
      </c>
      <c r="G448" s="50">
        <v>0.21427433333333329</v>
      </c>
    </row>
    <row r="449" spans="1:14">
      <c r="A449" s="20">
        <v>18</v>
      </c>
      <c r="B449" s="94">
        <v>40962</v>
      </c>
      <c r="C449" s="20">
        <v>2012</v>
      </c>
      <c r="D449" s="10" t="s">
        <v>26</v>
      </c>
      <c r="E449" s="20">
        <v>2</v>
      </c>
      <c r="F449" s="57">
        <v>16.109000000000002</v>
      </c>
      <c r="G449" s="50">
        <v>0.15991012499999999</v>
      </c>
      <c r="I449" s="50">
        <f>AVERAGE(F447:F449)</f>
        <v>16.725000000000001</v>
      </c>
      <c r="J449" s="50">
        <f>AVERAGE(G447:G449)</f>
        <v>0.15620398611111108</v>
      </c>
      <c r="L449">
        <f>+J449/I449</f>
        <v>9.3395507390798844E-3</v>
      </c>
      <c r="M449">
        <f>+(L449-$L$913)/$L$914</f>
        <v>-0.4410889283733756</v>
      </c>
      <c r="N449">
        <f>+N446+M449</f>
        <v>5.9253161237560343</v>
      </c>
    </row>
    <row r="450" spans="1:14">
      <c r="A450" s="20">
        <v>1</v>
      </c>
      <c r="B450" s="94">
        <v>40980</v>
      </c>
      <c r="C450" s="20">
        <v>2012</v>
      </c>
      <c r="D450" s="10" t="s">
        <v>27</v>
      </c>
      <c r="E450" s="20">
        <v>3</v>
      </c>
      <c r="F450" s="57">
        <v>5.2960000000000003</v>
      </c>
      <c r="G450" s="50">
        <v>0.10889562499999998</v>
      </c>
    </row>
    <row r="451" spans="1:14">
      <c r="A451" s="20">
        <v>17</v>
      </c>
      <c r="B451" s="94">
        <v>40980</v>
      </c>
      <c r="C451" s="20">
        <v>2012</v>
      </c>
      <c r="D451" s="10" t="s">
        <v>27</v>
      </c>
      <c r="E451" s="20">
        <v>3</v>
      </c>
      <c r="F451" s="57">
        <v>12.057</v>
      </c>
      <c r="G451" s="50">
        <v>0.15609824999999999</v>
      </c>
    </row>
    <row r="452" spans="1:14">
      <c r="A452" s="20">
        <v>18</v>
      </c>
      <c r="B452" s="94">
        <v>40980</v>
      </c>
      <c r="C452" s="20">
        <v>2012</v>
      </c>
      <c r="D452" s="10" t="s">
        <v>27</v>
      </c>
      <c r="E452" s="20">
        <v>3</v>
      </c>
      <c r="F452" s="57">
        <v>3.456</v>
      </c>
      <c r="G452" s="50">
        <v>4.0761625000000003E-2</v>
      </c>
      <c r="I452" s="50">
        <f>AVERAGE(F450:F452)</f>
        <v>6.9363333333333337</v>
      </c>
      <c r="J452" s="50">
        <f>AVERAGE(G450:G452)</f>
        <v>0.10191850000000001</v>
      </c>
      <c r="L452">
        <f>+J452/I452</f>
        <v>1.4693425921476285E-2</v>
      </c>
      <c r="M452">
        <f>+(L452-$L$913)/$L$914</f>
        <v>-0.28326637651422754</v>
      </c>
      <c r="N452">
        <f>+N449+M452</f>
        <v>5.6420497472418072</v>
      </c>
    </row>
    <row r="453" spans="1:14">
      <c r="A453" s="20">
        <v>1</v>
      </c>
      <c r="B453" s="94">
        <v>41015</v>
      </c>
      <c r="C453" s="20">
        <v>2012</v>
      </c>
      <c r="D453" s="10" t="s">
        <v>28</v>
      </c>
      <c r="E453" s="20">
        <v>4</v>
      </c>
      <c r="F453" s="49">
        <v>1.6080000000000001</v>
      </c>
      <c r="G453" s="50">
        <v>0</v>
      </c>
    </row>
    <row r="454" spans="1:14">
      <c r="A454" s="20">
        <v>17</v>
      </c>
      <c r="B454" s="94">
        <v>41015</v>
      </c>
      <c r="C454" s="20">
        <v>2012</v>
      </c>
      <c r="D454" s="10" t="s">
        <v>28</v>
      </c>
      <c r="E454" s="20">
        <v>4</v>
      </c>
      <c r="F454" s="49">
        <v>1.4930000000000001</v>
      </c>
      <c r="G454" s="50">
        <v>0</v>
      </c>
    </row>
    <row r="455" spans="1:14">
      <c r="A455" s="20">
        <v>18</v>
      </c>
      <c r="B455" s="94">
        <v>41015</v>
      </c>
      <c r="C455" s="20">
        <v>2012</v>
      </c>
      <c r="D455" s="10" t="s">
        <v>28</v>
      </c>
      <c r="E455" s="20">
        <v>4</v>
      </c>
      <c r="F455" s="49">
        <v>1.5089999999999999</v>
      </c>
      <c r="G455" s="50">
        <v>0</v>
      </c>
      <c r="I455" s="50">
        <f>AVERAGE(F453:F455)</f>
        <v>1.5366666666666664</v>
      </c>
      <c r="J455" s="50">
        <f>AVERAGE(G453:G455)</f>
        <v>0</v>
      </c>
      <c r="L455">
        <f>+J455/I455</f>
        <v>0</v>
      </c>
      <c r="M455">
        <f>+(L455-$L$913)/$L$914</f>
        <v>-0.71640198305684688</v>
      </c>
      <c r="N455">
        <f>+N452+M455</f>
        <v>4.9256477641849603</v>
      </c>
    </row>
    <row r="456" spans="1:14">
      <c r="A456" s="20">
        <v>1</v>
      </c>
      <c r="B456" s="94">
        <v>41045</v>
      </c>
      <c r="C456" s="20">
        <v>2012</v>
      </c>
      <c r="D456" s="10" t="s">
        <v>29</v>
      </c>
      <c r="E456" s="20">
        <v>5</v>
      </c>
      <c r="F456" s="49">
        <v>4.4130000000000003</v>
      </c>
      <c r="G456" s="50">
        <v>3.7142124999999991E-2</v>
      </c>
    </row>
    <row r="457" spans="1:14">
      <c r="A457" s="20">
        <v>17</v>
      </c>
      <c r="B457" s="94">
        <v>41045</v>
      </c>
      <c r="C457" s="20">
        <v>2012</v>
      </c>
      <c r="D457" s="10" t="s">
        <v>29</v>
      </c>
      <c r="E457" s="20">
        <v>5</v>
      </c>
      <c r="F457" s="49">
        <v>4.45</v>
      </c>
      <c r="G457" s="50">
        <v>5.6777499999999995E-2</v>
      </c>
    </row>
    <row r="458" spans="1:14">
      <c r="A458" s="20">
        <v>18</v>
      </c>
      <c r="B458" s="94">
        <v>41045</v>
      </c>
      <c r="C458" s="20">
        <v>2012</v>
      </c>
      <c r="D458" s="10" t="s">
        <v>29</v>
      </c>
      <c r="E458" s="20">
        <v>5</v>
      </c>
      <c r="F458" s="49">
        <v>5.343</v>
      </c>
      <c r="G458" s="50">
        <v>9.3169500000000016E-2</v>
      </c>
      <c r="I458" s="50">
        <f>AVERAGE(F456:F458)</f>
        <v>4.7353333333333332</v>
      </c>
      <c r="J458" s="50">
        <f>AVERAGE(G456:G458)</f>
        <v>6.2363041666666667E-2</v>
      </c>
      <c r="L458">
        <f>+J458/I458</f>
        <v>1.3169725820076025E-2</v>
      </c>
      <c r="M458">
        <f>+(L458-$L$913)/$L$914</f>
        <v>-0.32818229817443245</v>
      </c>
      <c r="N458">
        <f>+N455+M458</f>
        <v>4.5974654660105276</v>
      </c>
    </row>
    <row r="459" spans="1:14">
      <c r="A459" s="20">
        <v>1</v>
      </c>
      <c r="B459" s="94">
        <v>41073</v>
      </c>
      <c r="C459" s="20">
        <v>2012</v>
      </c>
      <c r="D459" s="10" t="s">
        <v>30</v>
      </c>
      <c r="E459" s="20">
        <v>6</v>
      </c>
      <c r="F459" s="49">
        <v>5.7510000000000003</v>
      </c>
      <c r="G459" s="50">
        <v>0.12935374999999999</v>
      </c>
    </row>
    <row r="460" spans="1:14">
      <c r="A460" s="20">
        <v>17</v>
      </c>
      <c r="B460" s="94">
        <v>41073</v>
      </c>
      <c r="C460" s="20">
        <v>2012</v>
      </c>
      <c r="D460" s="10" t="s">
        <v>30</v>
      </c>
      <c r="E460" s="20">
        <v>6</v>
      </c>
      <c r="F460" s="49">
        <v>5.8970000000000002</v>
      </c>
      <c r="G460" s="50">
        <v>0.42449962499999999</v>
      </c>
    </row>
    <row r="461" spans="1:14">
      <c r="A461" s="20">
        <v>18</v>
      </c>
      <c r="B461" s="94">
        <v>41073</v>
      </c>
      <c r="C461" s="20">
        <v>2012</v>
      </c>
      <c r="D461" s="10" t="s">
        <v>30</v>
      </c>
      <c r="E461" s="20">
        <v>6</v>
      </c>
      <c r="F461" s="49">
        <v>8.2430000000000003</v>
      </c>
      <c r="G461" s="50">
        <v>8.4842374999999984E-2</v>
      </c>
      <c r="I461" s="50">
        <f>AVERAGE(F459:F461)</f>
        <v>6.6303333333333327</v>
      </c>
      <c r="J461" s="50">
        <f>AVERAGE(G459:G461)</f>
        <v>0.21289858333333334</v>
      </c>
      <c r="L461">
        <f>+J461/I461</f>
        <v>3.2109785832788701E-2</v>
      </c>
      <c r="M461">
        <f>+(L461-$L$913)/$L$914</f>
        <v>0.23013639655348003</v>
      </c>
      <c r="N461">
        <f>+N458+M461</f>
        <v>4.8276018625640074</v>
      </c>
    </row>
    <row r="462" spans="1:14">
      <c r="A462" s="20">
        <v>1</v>
      </c>
      <c r="B462" s="94">
        <v>41107</v>
      </c>
      <c r="C462" s="20">
        <v>2012</v>
      </c>
      <c r="D462" s="10" t="s">
        <v>31</v>
      </c>
      <c r="E462" s="20">
        <v>7</v>
      </c>
      <c r="F462" s="49">
        <v>8.2539999999999996</v>
      </c>
      <c r="G462" s="50">
        <v>9.472812500000001E-2</v>
      </c>
    </row>
    <row r="463" spans="1:14">
      <c r="A463" s="20">
        <v>17</v>
      </c>
      <c r="B463" s="94">
        <v>41107</v>
      </c>
      <c r="C463" s="20">
        <v>2012</v>
      </c>
      <c r="D463" s="10" t="s">
        <v>31</v>
      </c>
      <c r="E463" s="20">
        <v>7</v>
      </c>
      <c r="F463" s="49">
        <v>8.0850000000000009</v>
      </c>
      <c r="G463" s="50">
        <v>0.19788887499999999</v>
      </c>
    </row>
    <row r="464" spans="1:14">
      <c r="A464" s="20">
        <v>18</v>
      </c>
      <c r="B464" s="94">
        <v>41107</v>
      </c>
      <c r="C464" s="20">
        <v>2012</v>
      </c>
      <c r="D464" s="10" t="s">
        <v>31</v>
      </c>
      <c r="E464" s="20">
        <v>7</v>
      </c>
      <c r="F464" s="49">
        <v>5.4820000000000002</v>
      </c>
      <c r="G464" s="50">
        <v>0.12186524999999999</v>
      </c>
      <c r="I464" s="50">
        <f>AVERAGE(F462:F464)</f>
        <v>7.2736666666666663</v>
      </c>
      <c r="J464" s="50">
        <f>AVERAGE(G462:G464)</f>
        <v>0.13816075</v>
      </c>
      <c r="L464">
        <f>+J464/I464</f>
        <v>1.8994649649420284E-2</v>
      </c>
      <c r="M464">
        <f>+(L464-$L$913)/$L$914</f>
        <v>-0.15647408462568288</v>
      </c>
      <c r="N464">
        <f>+N461+M464</f>
        <v>4.6711277779383247</v>
      </c>
    </row>
    <row r="465" spans="1:14">
      <c r="A465" s="20">
        <v>1</v>
      </c>
      <c r="B465" s="94">
        <v>41135</v>
      </c>
      <c r="C465" s="20">
        <v>2012</v>
      </c>
      <c r="D465" s="10" t="s">
        <v>32</v>
      </c>
      <c r="E465" s="20">
        <v>8</v>
      </c>
      <c r="F465" s="49">
        <v>11.004</v>
      </c>
      <c r="G465" s="50">
        <v>0.72191875000000005</v>
      </c>
    </row>
    <row r="466" spans="1:14">
      <c r="A466" s="20">
        <v>17</v>
      </c>
      <c r="B466" s="94">
        <v>41135</v>
      </c>
      <c r="C466" s="20">
        <v>2012</v>
      </c>
      <c r="D466" s="10" t="s">
        <v>32</v>
      </c>
      <c r="E466" s="20">
        <v>8</v>
      </c>
      <c r="F466" s="49">
        <v>11.523999999999999</v>
      </c>
      <c r="G466" s="50">
        <v>0.49924887499999998</v>
      </c>
    </row>
    <row r="467" spans="1:14">
      <c r="A467" s="20">
        <v>18</v>
      </c>
      <c r="B467" s="94">
        <v>41135</v>
      </c>
      <c r="C467" s="20">
        <v>2012</v>
      </c>
      <c r="D467" s="10" t="s">
        <v>32</v>
      </c>
      <c r="E467" s="20">
        <v>8</v>
      </c>
      <c r="F467" s="49">
        <v>12.27</v>
      </c>
      <c r="G467" s="50">
        <v>0.18151512499999997</v>
      </c>
      <c r="I467" s="50">
        <f>AVERAGE(F465:F467)</f>
        <v>11.599333333333334</v>
      </c>
      <c r="J467" s="50">
        <f>AVERAGE(G465:G467)</f>
        <v>0.46756091666666671</v>
      </c>
      <c r="L467">
        <f>+J467/I467</f>
        <v>4.0309292200701188E-2</v>
      </c>
      <c r="M467">
        <f>+(L467-$L$913)/$L$914</f>
        <v>0.47184300623018477</v>
      </c>
      <c r="N467">
        <f>+N464+M467</f>
        <v>5.1429707841685097</v>
      </c>
    </row>
    <row r="468" spans="1:14">
      <c r="A468" s="20">
        <v>1</v>
      </c>
      <c r="B468" s="94">
        <v>41164</v>
      </c>
      <c r="C468" s="20">
        <v>2012</v>
      </c>
      <c r="D468" s="10" t="s">
        <v>38</v>
      </c>
      <c r="E468" s="20">
        <v>9</v>
      </c>
      <c r="F468" s="49">
        <v>9.9719999999999995</v>
      </c>
      <c r="G468" s="50">
        <v>7.7073499999999989E-2</v>
      </c>
    </row>
    <row r="469" spans="1:14">
      <c r="A469" s="20">
        <v>17</v>
      </c>
      <c r="B469" s="94">
        <v>41164</v>
      </c>
      <c r="C469" s="20">
        <v>2012</v>
      </c>
      <c r="D469" s="10" t="s">
        <v>38</v>
      </c>
      <c r="E469" s="20">
        <v>9</v>
      </c>
      <c r="F469" s="49">
        <v>12.736000000000001</v>
      </c>
      <c r="G469" s="50">
        <v>0</v>
      </c>
    </row>
    <row r="470" spans="1:14">
      <c r="A470" s="20">
        <v>18</v>
      </c>
      <c r="B470" s="94">
        <v>41164</v>
      </c>
      <c r="C470" s="20">
        <v>2012</v>
      </c>
      <c r="D470" s="10" t="s">
        <v>38</v>
      </c>
      <c r="E470" s="20">
        <v>9</v>
      </c>
      <c r="F470" s="49">
        <v>9.218</v>
      </c>
      <c r="G470" s="50">
        <v>0</v>
      </c>
      <c r="I470" s="50">
        <f>AVERAGE(F468:F470)</f>
        <v>10.641999999999999</v>
      </c>
      <c r="J470" s="50">
        <f>AVERAGE(G468:G470)</f>
        <v>2.5691166666666664E-2</v>
      </c>
      <c r="L470">
        <f>+J470/I470</f>
        <v>2.4141295495834114E-3</v>
      </c>
      <c r="M470">
        <f>+(L470-$L$913)/$L$914</f>
        <v>-0.64523781260950896</v>
      </c>
      <c r="N470">
        <f>+N467+M470</f>
        <v>4.4977329715590004</v>
      </c>
    </row>
    <row r="471" spans="1:14">
      <c r="A471" s="20">
        <v>1</v>
      </c>
      <c r="B471" s="94">
        <v>41200</v>
      </c>
      <c r="C471" s="20">
        <v>2012</v>
      </c>
      <c r="D471" s="10" t="s">
        <v>34</v>
      </c>
      <c r="E471" s="20">
        <v>10</v>
      </c>
      <c r="F471" s="49">
        <v>3.069</v>
      </c>
      <c r="G471" s="50">
        <v>4.5039374999999993E-2</v>
      </c>
    </row>
    <row r="472" spans="1:14">
      <c r="A472" s="20">
        <v>17</v>
      </c>
      <c r="B472" s="94">
        <v>41200</v>
      </c>
      <c r="C472" s="20">
        <v>2012</v>
      </c>
      <c r="D472" s="10" t="s">
        <v>34</v>
      </c>
      <c r="E472" s="20">
        <v>10</v>
      </c>
      <c r="F472" s="49">
        <v>7.125</v>
      </c>
      <c r="G472" s="50">
        <v>0.16978837499999996</v>
      </c>
    </row>
    <row r="473" spans="1:14">
      <c r="A473" s="20">
        <v>18</v>
      </c>
      <c r="B473" s="94">
        <v>41200</v>
      </c>
      <c r="C473" s="20">
        <v>2012</v>
      </c>
      <c r="D473" s="10" t="s">
        <v>34</v>
      </c>
      <c r="E473" s="20">
        <v>10</v>
      </c>
      <c r="F473" s="49">
        <v>2.956</v>
      </c>
      <c r="G473" s="50">
        <v>5.484687500000001E-2</v>
      </c>
      <c r="I473" s="50">
        <f>AVERAGE(F471:F473)</f>
        <v>4.3833333333333329</v>
      </c>
      <c r="J473" s="50">
        <f>AVERAGE(G471:G473)</f>
        <v>8.9891541666666644E-2</v>
      </c>
      <c r="L473">
        <f>+J473/I473</f>
        <v>2.0507576045627373E-2</v>
      </c>
      <c r="M473">
        <f>+(L473-$L$913)/$L$914</f>
        <v>-0.11187575229818326</v>
      </c>
      <c r="N473">
        <f>+N470+M473</f>
        <v>4.3858572192608172</v>
      </c>
    </row>
    <row r="474" spans="1:14">
      <c r="A474" s="20">
        <v>1</v>
      </c>
      <c r="B474" s="94">
        <v>41226</v>
      </c>
      <c r="C474" s="20">
        <v>2012</v>
      </c>
      <c r="D474" s="10" t="s">
        <v>35</v>
      </c>
      <c r="E474" s="20">
        <v>11</v>
      </c>
      <c r="F474" s="49">
        <v>1.71</v>
      </c>
      <c r="G474" s="50">
        <v>0</v>
      </c>
    </row>
    <row r="475" spans="1:14">
      <c r="A475" s="20">
        <v>17</v>
      </c>
      <c r="B475" s="94">
        <v>41226</v>
      </c>
      <c r="C475" s="20">
        <v>2012</v>
      </c>
      <c r="D475" s="10" t="s">
        <v>35</v>
      </c>
      <c r="E475" s="20">
        <v>11</v>
      </c>
      <c r="F475" s="49">
        <v>2.6160000000000001</v>
      </c>
      <c r="G475" s="50">
        <v>0</v>
      </c>
    </row>
    <row r="476" spans="1:14">
      <c r="A476" s="20">
        <v>18</v>
      </c>
      <c r="B476" s="94">
        <v>41226</v>
      </c>
      <c r="C476" s="20">
        <v>2012</v>
      </c>
      <c r="D476" s="10" t="s">
        <v>35</v>
      </c>
      <c r="E476" s="20">
        <v>11</v>
      </c>
      <c r="F476" s="49">
        <v>3.024</v>
      </c>
      <c r="G476" s="50">
        <v>0</v>
      </c>
      <c r="I476" s="50">
        <f>AVERAGE(F474:F476)</f>
        <v>2.4500000000000002</v>
      </c>
      <c r="J476" s="50">
        <f>AVERAGE(G474:G476)</f>
        <v>0</v>
      </c>
      <c r="L476">
        <f>+J476/I476</f>
        <v>0</v>
      </c>
      <c r="M476">
        <f>+(L476-$L$913)/$L$914</f>
        <v>-0.71640198305684688</v>
      </c>
      <c r="N476">
        <f>+N473+M476</f>
        <v>3.6694552362039703</v>
      </c>
    </row>
    <row r="477" spans="1:14">
      <c r="A477" s="20">
        <v>1</v>
      </c>
      <c r="B477" s="94">
        <v>41254</v>
      </c>
      <c r="C477" s="20">
        <v>2012</v>
      </c>
      <c r="D477" s="10" t="s">
        <v>36</v>
      </c>
      <c r="E477" s="20">
        <v>12</v>
      </c>
      <c r="F477" s="49">
        <v>7.4009999999999998</v>
      </c>
      <c r="G477" s="50">
        <v>6.1071624999999997E-2</v>
      </c>
    </row>
    <row r="478" spans="1:14">
      <c r="A478" s="20">
        <v>17</v>
      </c>
      <c r="B478" s="94">
        <v>41254</v>
      </c>
      <c r="C478" s="20">
        <v>2012</v>
      </c>
      <c r="D478" s="10" t="s">
        <v>36</v>
      </c>
      <c r="E478" s="20">
        <v>12</v>
      </c>
      <c r="F478" s="49">
        <v>8.8949999999999996</v>
      </c>
      <c r="G478" s="50">
        <v>0</v>
      </c>
    </row>
    <row r="479" spans="1:14">
      <c r="A479" s="20">
        <v>18</v>
      </c>
      <c r="B479" s="94">
        <v>41254</v>
      </c>
      <c r="C479" s="20">
        <v>2012</v>
      </c>
      <c r="D479" s="10" t="s">
        <v>36</v>
      </c>
      <c r="E479" s="20">
        <v>12</v>
      </c>
      <c r="F479" s="49">
        <v>2.5960000000000001</v>
      </c>
      <c r="G479" s="50">
        <v>0</v>
      </c>
      <c r="I479" s="50">
        <f>AVERAGE(F477:F479)</f>
        <v>6.2973333333333334</v>
      </c>
      <c r="J479" s="50">
        <f>AVERAGE(G477:G479)</f>
        <v>2.0357208333333331E-2</v>
      </c>
      <c r="L479">
        <f>+J479/I479</f>
        <v>3.2326712365022226E-3</v>
      </c>
      <c r="M479">
        <f>+(L479-$L$913)/$L$914</f>
        <v>-0.62110868493440397</v>
      </c>
      <c r="N479">
        <f>+N476+M479</f>
        <v>3.0483465512695664</v>
      </c>
    </row>
    <row r="480" spans="1:14">
      <c r="A480" s="43">
        <v>1</v>
      </c>
      <c r="B480" s="96">
        <v>41288</v>
      </c>
      <c r="C480" s="43">
        <v>2013</v>
      </c>
      <c r="D480" s="45" t="s">
        <v>37</v>
      </c>
      <c r="E480" s="43">
        <v>1</v>
      </c>
      <c r="F480" s="46">
        <v>3.7519999999999998</v>
      </c>
      <c r="G480" s="47">
        <v>4.5629625E-2</v>
      </c>
    </row>
    <row r="481" spans="1:14">
      <c r="A481" s="20">
        <v>17</v>
      </c>
      <c r="B481" s="94">
        <v>41288</v>
      </c>
      <c r="C481" s="20">
        <v>2013</v>
      </c>
      <c r="D481" s="10" t="s">
        <v>37</v>
      </c>
      <c r="E481" s="20">
        <v>1</v>
      </c>
      <c r="F481" s="49">
        <v>8.4710000000000001</v>
      </c>
      <c r="G481" s="50">
        <v>8.1469874999999983E-2</v>
      </c>
    </row>
    <row r="482" spans="1:14">
      <c r="A482" s="20">
        <v>18</v>
      </c>
      <c r="B482" s="94">
        <v>41288</v>
      </c>
      <c r="C482" s="20">
        <v>2013</v>
      </c>
      <c r="D482" s="10" t="s">
        <v>37</v>
      </c>
      <c r="E482" s="20">
        <v>1</v>
      </c>
      <c r="F482" s="51">
        <v>5.609</v>
      </c>
      <c r="G482" s="50">
        <v>6.5756750000000017E-2</v>
      </c>
      <c r="I482" s="50">
        <f>AVERAGE(F480:F482)</f>
        <v>5.944</v>
      </c>
      <c r="J482" s="50">
        <f>AVERAGE(G480:G482)</f>
        <v>6.4285416666666664E-2</v>
      </c>
      <c r="L482">
        <f>+J482/I482</f>
        <v>1.0815177770300582E-2</v>
      </c>
      <c r="M482">
        <f>+(L482-$L$913)/$L$914</f>
        <v>-0.39759011382773118</v>
      </c>
      <c r="N482">
        <f>+N479+M482</f>
        <v>2.6507564374418351</v>
      </c>
    </row>
    <row r="483" spans="1:14">
      <c r="A483" s="20">
        <v>1</v>
      </c>
      <c r="B483" s="94">
        <v>41318</v>
      </c>
      <c r="C483" s="20">
        <v>2013</v>
      </c>
      <c r="D483" s="10" t="s">
        <v>26</v>
      </c>
      <c r="E483" s="20">
        <v>2</v>
      </c>
      <c r="F483" s="58">
        <v>6.1440000000000001</v>
      </c>
      <c r="G483" s="50">
        <v>0.29896125000000001</v>
      </c>
    </row>
    <row r="484" spans="1:14">
      <c r="A484" s="20">
        <v>17</v>
      </c>
      <c r="B484" s="94">
        <v>41318</v>
      </c>
      <c r="C484" s="20">
        <v>2013</v>
      </c>
      <c r="D484" s="10" t="s">
        <v>26</v>
      </c>
      <c r="E484" s="20">
        <v>2</v>
      </c>
      <c r="F484" s="58">
        <v>7.3550000000000004</v>
      </c>
      <c r="G484" s="50">
        <v>0.26643549999999999</v>
      </c>
    </row>
    <row r="485" spans="1:14">
      <c r="A485" s="20">
        <v>18</v>
      </c>
      <c r="B485" s="94">
        <v>41318</v>
      </c>
      <c r="C485" s="20">
        <v>2013</v>
      </c>
      <c r="D485" s="10" t="s">
        <v>26</v>
      </c>
      <c r="E485" s="20">
        <v>2</v>
      </c>
      <c r="F485" s="58">
        <v>7.8769999999999998</v>
      </c>
      <c r="G485" s="50">
        <v>0.29558050000000002</v>
      </c>
      <c r="I485" s="50">
        <f>AVERAGE(F483:F485)</f>
        <v>7.1253333333333337</v>
      </c>
      <c r="J485" s="50">
        <f>AVERAGE(G483:G485)</f>
        <v>0.28699241666666669</v>
      </c>
      <c r="L485">
        <f>+J485/I485</f>
        <v>4.027775308757485E-2</v>
      </c>
      <c r="M485">
        <f>+(L485-$L$913)/$L$914</f>
        <v>0.47091329024925577</v>
      </c>
      <c r="N485">
        <f>+N482+M485</f>
        <v>3.1216697276910907</v>
      </c>
    </row>
    <row r="486" spans="1:14">
      <c r="A486" s="20">
        <v>1</v>
      </c>
      <c r="B486" s="94">
        <v>41344</v>
      </c>
      <c r="C486" s="20">
        <v>2013</v>
      </c>
      <c r="D486" s="10" t="s">
        <v>27</v>
      </c>
      <c r="E486" s="20">
        <v>3</v>
      </c>
      <c r="F486" s="58">
        <v>6.5209999999999999</v>
      </c>
      <c r="G486" s="50">
        <v>0.161067875</v>
      </c>
    </row>
    <row r="487" spans="1:14">
      <c r="A487" s="20">
        <v>17</v>
      </c>
      <c r="B487" s="94">
        <v>41344</v>
      </c>
      <c r="C487" s="20">
        <v>2013</v>
      </c>
      <c r="D487" s="10" t="s">
        <v>27</v>
      </c>
      <c r="E487" s="20">
        <v>3</v>
      </c>
      <c r="F487" s="58">
        <v>8.843</v>
      </c>
      <c r="G487" s="50">
        <v>0.37071549999999992</v>
      </c>
    </row>
    <row r="488" spans="1:14">
      <c r="A488" s="20">
        <v>18</v>
      </c>
      <c r="B488" s="94">
        <v>41344</v>
      </c>
      <c r="C488" s="20">
        <v>2013</v>
      </c>
      <c r="D488" s="10" t="s">
        <v>27</v>
      </c>
      <c r="E488" s="20">
        <v>3</v>
      </c>
      <c r="F488" s="58">
        <v>8.5359999999999996</v>
      </c>
      <c r="G488" s="50">
        <v>0.20401875</v>
      </c>
      <c r="I488" s="50">
        <f>AVERAGE(F486:F488)</f>
        <v>7.9666666666666659</v>
      </c>
      <c r="J488" s="50">
        <f>AVERAGE(G486:G488)</f>
        <v>0.24526737499999998</v>
      </c>
      <c r="L488">
        <f>+J488/I488</f>
        <v>3.0786699790794979E-2</v>
      </c>
      <c r="M488">
        <f>+(L488-$L$913)/$L$914</f>
        <v>0.19113421432793098</v>
      </c>
      <c r="N488">
        <f>+N485+M488</f>
        <v>3.3128039420190216</v>
      </c>
    </row>
    <row r="489" spans="1:14">
      <c r="A489" s="20">
        <v>1</v>
      </c>
      <c r="B489" s="94">
        <v>41381</v>
      </c>
      <c r="C489" s="20">
        <v>2013</v>
      </c>
      <c r="D489" s="10" t="s">
        <v>28</v>
      </c>
      <c r="E489" s="20">
        <v>4</v>
      </c>
      <c r="F489" s="59">
        <v>0.47099999999999997</v>
      </c>
      <c r="G489" s="50">
        <v>0</v>
      </c>
    </row>
    <row r="490" spans="1:14">
      <c r="A490" s="20">
        <v>17</v>
      </c>
      <c r="B490" s="94">
        <v>41381</v>
      </c>
      <c r="C490" s="20">
        <v>2013</v>
      </c>
      <c r="D490" s="10" t="s">
        <v>28</v>
      </c>
      <c r="E490" s="20">
        <v>4</v>
      </c>
      <c r="F490" s="59">
        <v>0.59899999999999998</v>
      </c>
      <c r="G490" s="50">
        <v>0</v>
      </c>
    </row>
    <row r="491" spans="1:14">
      <c r="A491" s="20">
        <v>18</v>
      </c>
      <c r="B491" s="94">
        <v>41381</v>
      </c>
      <c r="C491" s="20">
        <v>2013</v>
      </c>
      <c r="D491" s="10" t="s">
        <v>28</v>
      </c>
      <c r="E491" s="20">
        <v>4</v>
      </c>
      <c r="F491" s="59">
        <v>0.45400000000000001</v>
      </c>
      <c r="G491" s="50">
        <v>0</v>
      </c>
      <c r="I491" s="50">
        <f>AVERAGE(F489:F491)</f>
        <v>0.5079999999999999</v>
      </c>
      <c r="J491" s="50">
        <f>AVERAGE(G489:G491)</f>
        <v>0</v>
      </c>
      <c r="L491">
        <f>+J491/I491</f>
        <v>0</v>
      </c>
      <c r="M491">
        <f>+(L491-$L$913)/$L$914</f>
        <v>-0.71640198305684688</v>
      </c>
      <c r="N491">
        <f>+N488+M491</f>
        <v>2.5964019589621747</v>
      </c>
    </row>
    <row r="492" spans="1:14">
      <c r="A492" s="20">
        <v>1</v>
      </c>
      <c r="B492" s="94">
        <v>41408</v>
      </c>
      <c r="C492" s="20">
        <v>2013</v>
      </c>
      <c r="D492" s="10" t="s">
        <v>29</v>
      </c>
      <c r="E492" s="20">
        <v>5</v>
      </c>
      <c r="F492" s="59">
        <v>0.88300000000000001</v>
      </c>
      <c r="G492" s="50">
        <v>2.0032374999999998E-2</v>
      </c>
    </row>
    <row r="493" spans="1:14">
      <c r="A493" s="20">
        <v>17</v>
      </c>
      <c r="B493" s="94">
        <v>41408</v>
      </c>
      <c r="C493" s="20">
        <v>2013</v>
      </c>
      <c r="D493" s="10" t="s">
        <v>29</v>
      </c>
      <c r="E493" s="20">
        <v>5</v>
      </c>
      <c r="F493" s="59">
        <v>2.5680000000000001</v>
      </c>
      <c r="G493" s="50">
        <v>5.2784249999999998E-2</v>
      </c>
    </row>
    <row r="494" spans="1:14">
      <c r="A494" s="20">
        <v>18</v>
      </c>
      <c r="B494" s="94">
        <v>41408</v>
      </c>
      <c r="C494" s="20">
        <v>2013</v>
      </c>
      <c r="D494" s="10" t="s">
        <v>29</v>
      </c>
      <c r="E494" s="20">
        <v>5</v>
      </c>
      <c r="F494" s="59">
        <v>0.84699999999999998</v>
      </c>
      <c r="G494" s="50">
        <v>0</v>
      </c>
      <c r="I494" s="50">
        <f>AVERAGE(F492:F494)</f>
        <v>1.4326666666666668</v>
      </c>
      <c r="J494" s="50">
        <f>AVERAGE(G492:G494)</f>
        <v>2.4272208333333333E-2</v>
      </c>
      <c r="L494">
        <f>+J494/I494</f>
        <v>1.6941978827361561E-2</v>
      </c>
      <c r="M494">
        <f>+(L494-$L$913)/$L$914</f>
        <v>-0.21698310589112055</v>
      </c>
      <c r="N494">
        <f>+N491+M494</f>
        <v>2.3794188530710541</v>
      </c>
    </row>
    <row r="495" spans="1:14">
      <c r="A495" s="20">
        <v>1</v>
      </c>
      <c r="B495" s="94">
        <v>41436</v>
      </c>
      <c r="C495" s="20">
        <v>2013</v>
      </c>
      <c r="D495" s="10" t="s">
        <v>30</v>
      </c>
      <c r="E495" s="20">
        <v>6</v>
      </c>
      <c r="F495" s="59">
        <v>3.645</v>
      </c>
      <c r="G495" s="50">
        <v>0.10573637499999998</v>
      </c>
    </row>
    <row r="496" spans="1:14">
      <c r="A496" s="20">
        <v>17</v>
      </c>
      <c r="B496" s="94">
        <v>41436</v>
      </c>
      <c r="C496" s="20">
        <v>2013</v>
      </c>
      <c r="D496" s="10" t="s">
        <v>30</v>
      </c>
      <c r="E496" s="20">
        <v>6</v>
      </c>
      <c r="F496" s="59">
        <v>4.2629999999999999</v>
      </c>
      <c r="G496" s="50">
        <v>0.31968950000000002</v>
      </c>
    </row>
    <row r="497" spans="1:14">
      <c r="A497" s="20">
        <v>18</v>
      </c>
      <c r="B497" s="94">
        <v>41436</v>
      </c>
      <c r="C497" s="20">
        <v>2013</v>
      </c>
      <c r="D497" s="10" t="s">
        <v>30</v>
      </c>
      <c r="E497" s="20">
        <v>6</v>
      </c>
      <c r="F497" s="59">
        <v>5.8090000000000002</v>
      </c>
      <c r="G497" s="50">
        <v>7.8489624999999993E-2</v>
      </c>
      <c r="I497" s="50">
        <f>AVERAGE(F495:F497)</f>
        <v>4.5723333333333329</v>
      </c>
      <c r="J497" s="50">
        <f>AVERAGE(G495:G497)</f>
        <v>0.16797183333333332</v>
      </c>
      <c r="L497">
        <f>+J497/I497</f>
        <v>3.6736567762630311E-2</v>
      </c>
      <c r="M497">
        <f>+(L497-$L$913)/$L$914</f>
        <v>0.36652555509500462</v>
      </c>
      <c r="N497">
        <f>+N494+M497</f>
        <v>2.7459444081660589</v>
      </c>
    </row>
    <row r="498" spans="1:14">
      <c r="A498" s="20">
        <v>1</v>
      </c>
      <c r="B498" s="94">
        <v>41471</v>
      </c>
      <c r="C498" s="20">
        <v>2013</v>
      </c>
      <c r="D498" s="10" t="s">
        <v>31</v>
      </c>
      <c r="E498" s="20">
        <v>7</v>
      </c>
      <c r="F498" s="59">
        <v>5.0659999999999998</v>
      </c>
      <c r="G498" s="50">
        <v>0.15615937499999996</v>
      </c>
    </row>
    <row r="499" spans="1:14">
      <c r="A499" s="20">
        <v>17</v>
      </c>
      <c r="B499" s="94">
        <v>41471</v>
      </c>
      <c r="C499" s="20">
        <v>2013</v>
      </c>
      <c r="D499" s="10" t="s">
        <v>31</v>
      </c>
      <c r="E499" s="20">
        <v>7</v>
      </c>
      <c r="F499" s="59">
        <v>15.305</v>
      </c>
      <c r="G499" s="50">
        <v>0.32833449999999997</v>
      </c>
    </row>
    <row r="500" spans="1:14">
      <c r="A500" s="20">
        <v>18</v>
      </c>
      <c r="B500" s="94">
        <v>41471</v>
      </c>
      <c r="C500" s="20">
        <v>2013</v>
      </c>
      <c r="D500" s="10" t="s">
        <v>31</v>
      </c>
      <c r="E500" s="20">
        <v>7</v>
      </c>
      <c r="F500" s="59">
        <v>11.465999999999999</v>
      </c>
      <c r="G500" s="50">
        <v>0.27070987500000004</v>
      </c>
      <c r="I500" s="50">
        <f>AVERAGE(F498:F500)</f>
        <v>10.612333333333332</v>
      </c>
      <c r="J500" s="50">
        <f>AVERAGE(G498:G500)</f>
        <v>0.25173458333333332</v>
      </c>
      <c r="L500">
        <f>+J500/I500</f>
        <v>2.3720945754939222E-2</v>
      </c>
      <c r="M500">
        <f>+(L500-$L$913)/$L$914</f>
        <v>-1.7151428268744932E-2</v>
      </c>
      <c r="N500">
        <f>+N497+M500</f>
        <v>2.7287929798973138</v>
      </c>
    </row>
    <row r="501" spans="1:14">
      <c r="A501" s="20">
        <v>1</v>
      </c>
      <c r="B501" s="94">
        <v>41499</v>
      </c>
      <c r="C501" s="20">
        <v>2013</v>
      </c>
      <c r="D501" s="10" t="s">
        <v>32</v>
      </c>
      <c r="E501" s="20">
        <v>8</v>
      </c>
      <c r="F501" s="59">
        <v>5.7140000000000004</v>
      </c>
      <c r="G501" s="50">
        <v>0.51496850000000005</v>
      </c>
    </row>
    <row r="502" spans="1:14">
      <c r="A502" s="20">
        <v>17</v>
      </c>
      <c r="B502" s="94">
        <v>41499</v>
      </c>
      <c r="C502" s="20">
        <v>2013</v>
      </c>
      <c r="D502" s="10" t="s">
        <v>32</v>
      </c>
      <c r="E502" s="20">
        <v>8</v>
      </c>
      <c r="F502" s="59">
        <v>6.3680000000000003</v>
      </c>
      <c r="G502" s="50">
        <v>0.27802149999999992</v>
      </c>
    </row>
    <row r="503" spans="1:14">
      <c r="A503" s="20">
        <v>18</v>
      </c>
      <c r="B503" s="94">
        <v>41499</v>
      </c>
      <c r="C503" s="20">
        <v>2013</v>
      </c>
      <c r="D503" s="10" t="s">
        <v>32</v>
      </c>
      <c r="E503" s="20">
        <v>8</v>
      </c>
      <c r="F503" s="59">
        <v>8.7149999999999999</v>
      </c>
      <c r="G503" s="50">
        <v>0.37614550000000002</v>
      </c>
      <c r="I503" s="50">
        <f>AVERAGE(F501:F503)</f>
        <v>6.9323333333333332</v>
      </c>
      <c r="J503" s="50">
        <f>AVERAGE(G501:G503)</f>
        <v>0.38971183333333331</v>
      </c>
      <c r="L503">
        <f>+J503/I503</f>
        <v>5.6216545655623402E-2</v>
      </c>
      <c r="M503">
        <f>+(L503-$L$913)/$L$914</f>
        <v>0.94076005188352774</v>
      </c>
      <c r="N503">
        <f>+N500+M503</f>
        <v>3.6695530317808416</v>
      </c>
    </row>
    <row r="504" spans="1:14">
      <c r="A504" s="20">
        <v>1</v>
      </c>
      <c r="B504" s="94">
        <v>41533</v>
      </c>
      <c r="C504" s="20">
        <v>2013</v>
      </c>
      <c r="D504" s="10" t="s">
        <v>38</v>
      </c>
      <c r="E504" s="20">
        <v>9</v>
      </c>
      <c r="F504" s="59">
        <v>3.1379999999999999</v>
      </c>
      <c r="G504" s="50">
        <v>8.5963499999999998E-2</v>
      </c>
    </row>
    <row r="505" spans="1:14">
      <c r="A505" s="20">
        <v>17</v>
      </c>
      <c r="B505" s="94">
        <v>41533</v>
      </c>
      <c r="C505" s="20">
        <v>2013</v>
      </c>
      <c r="D505" s="10" t="s">
        <v>38</v>
      </c>
      <c r="E505" s="20">
        <v>9</v>
      </c>
      <c r="F505" s="59">
        <v>3.1459999999999999</v>
      </c>
      <c r="G505" s="50">
        <v>4.6196624999999998E-2</v>
      </c>
    </row>
    <row r="506" spans="1:14">
      <c r="A506" s="20">
        <v>18</v>
      </c>
      <c r="B506" s="94">
        <v>41533</v>
      </c>
      <c r="C506" s="20">
        <v>2013</v>
      </c>
      <c r="D506" s="10" t="s">
        <v>38</v>
      </c>
      <c r="E506" s="20">
        <v>9</v>
      </c>
      <c r="F506" s="59">
        <v>3.032</v>
      </c>
      <c r="G506" s="50">
        <v>3.8159374999999995E-2</v>
      </c>
      <c r="I506" s="50">
        <f>AVERAGE(F504:F506)</f>
        <v>3.1053333333333328</v>
      </c>
      <c r="J506" s="50">
        <f>AVERAGE(G504:G506)</f>
        <v>5.6773166666666659E-2</v>
      </c>
      <c r="L506">
        <f>+J506/I506</f>
        <v>1.8282471017604121E-2</v>
      </c>
      <c r="M506">
        <f>+(L506-$L$913)/$L$914</f>
        <v>-0.17746782191383423</v>
      </c>
      <c r="N506">
        <f>+N503+M506</f>
        <v>3.4920852098670072</v>
      </c>
    </row>
    <row r="507" spans="1:14">
      <c r="A507" s="20">
        <v>1</v>
      </c>
      <c r="B507" s="94">
        <v>41569</v>
      </c>
      <c r="C507" s="20">
        <v>2013</v>
      </c>
      <c r="D507" s="10" t="s">
        <v>34</v>
      </c>
      <c r="E507" s="20">
        <v>10</v>
      </c>
      <c r="F507" s="49">
        <v>1.3</v>
      </c>
      <c r="G507" s="54">
        <v>0</v>
      </c>
    </row>
    <row r="508" spans="1:14">
      <c r="A508" s="20">
        <v>17</v>
      </c>
      <c r="B508" s="94">
        <v>41569</v>
      </c>
      <c r="C508" s="20">
        <v>2013</v>
      </c>
      <c r="D508" s="10" t="s">
        <v>34</v>
      </c>
      <c r="E508" s="20">
        <v>10</v>
      </c>
      <c r="F508" s="49">
        <v>3.7040000000000002</v>
      </c>
      <c r="G508" s="50">
        <v>5.9057499999999992E-2</v>
      </c>
    </row>
    <row r="509" spans="1:14">
      <c r="A509" s="20">
        <v>18</v>
      </c>
      <c r="B509" s="94">
        <v>41569</v>
      </c>
      <c r="C509" s="20">
        <v>2013</v>
      </c>
      <c r="D509" s="10" t="s">
        <v>34</v>
      </c>
      <c r="E509" s="20">
        <v>10</v>
      </c>
      <c r="F509" s="49">
        <v>3.7650000000000001</v>
      </c>
      <c r="G509" s="50">
        <v>5.7607874999999996E-2</v>
      </c>
      <c r="I509" s="50">
        <f>AVERAGE(F507:F509)</f>
        <v>2.923</v>
      </c>
      <c r="J509" s="50">
        <f>AVERAGE(G507:G509)</f>
        <v>3.8888458333333327E-2</v>
      </c>
      <c r="L509">
        <f>+J509/I509</f>
        <v>1.3304296384992585E-2</v>
      </c>
      <c r="M509">
        <f>+(L509-$L$913)/$L$914</f>
        <v>-0.32421540144324035</v>
      </c>
      <c r="N509">
        <f>+N506+M509</f>
        <v>3.1678698084237666</v>
      </c>
    </row>
    <row r="510" spans="1:14">
      <c r="A510" s="20">
        <v>1</v>
      </c>
      <c r="B510" s="94">
        <v>41598</v>
      </c>
      <c r="C510" s="20">
        <v>2013</v>
      </c>
      <c r="D510" s="10" t="s">
        <v>35</v>
      </c>
      <c r="E510" s="20">
        <v>11</v>
      </c>
      <c r="F510" s="49">
        <v>2.0910000000000002</v>
      </c>
      <c r="G510" s="50">
        <v>2.3551625E-2</v>
      </c>
    </row>
    <row r="511" spans="1:14">
      <c r="A511" s="20">
        <v>17</v>
      </c>
      <c r="B511" s="94">
        <v>41598</v>
      </c>
      <c r="C511" s="20">
        <v>2013</v>
      </c>
      <c r="D511" s="10" t="s">
        <v>35</v>
      </c>
      <c r="E511" s="20">
        <v>11</v>
      </c>
      <c r="F511" s="49">
        <v>6.4530000000000003</v>
      </c>
      <c r="G511" s="50">
        <v>3.686275E-2</v>
      </c>
    </row>
    <row r="512" spans="1:14">
      <c r="A512" s="20">
        <v>18</v>
      </c>
      <c r="B512" s="94">
        <v>41598</v>
      </c>
      <c r="C512" s="20">
        <v>2013</v>
      </c>
      <c r="D512" s="10" t="s">
        <v>35</v>
      </c>
      <c r="E512" s="20">
        <v>11</v>
      </c>
      <c r="F512" s="49">
        <v>6.6760000000000002</v>
      </c>
      <c r="G512" s="50">
        <v>5.3113374999999997E-2</v>
      </c>
      <c r="I512" s="50">
        <f>AVERAGE(F510:F512)</f>
        <v>5.0733333333333333</v>
      </c>
      <c r="J512" s="50">
        <f>AVERAGE(G510:G512)</f>
        <v>3.7842583333333332E-2</v>
      </c>
      <c r="L512">
        <f>+J512/I512</f>
        <v>7.4591162943495404E-3</v>
      </c>
      <c r="M512">
        <f>+(L512-$L$913)/$L$914</f>
        <v>-0.49652073291879767</v>
      </c>
      <c r="N512">
        <f>+N509+M512</f>
        <v>2.6713490755049691</v>
      </c>
    </row>
    <row r="513" spans="1:14">
      <c r="A513" s="20">
        <v>1</v>
      </c>
      <c r="B513" s="94">
        <v>41624</v>
      </c>
      <c r="C513" s="20">
        <v>2013</v>
      </c>
      <c r="D513" s="10" t="s">
        <v>36</v>
      </c>
      <c r="E513" s="20">
        <v>12</v>
      </c>
      <c r="F513" s="49">
        <v>2.355</v>
      </c>
      <c r="G513" s="50">
        <v>0</v>
      </c>
    </row>
    <row r="514" spans="1:14">
      <c r="A514" s="20">
        <v>17</v>
      </c>
      <c r="B514" s="94">
        <v>41624</v>
      </c>
      <c r="C514" s="20">
        <v>2013</v>
      </c>
      <c r="D514" s="10" t="s">
        <v>36</v>
      </c>
      <c r="E514" s="20">
        <v>12</v>
      </c>
      <c r="F514" s="49">
        <v>11.252000000000001</v>
      </c>
      <c r="G514" s="50">
        <v>4.6198249999999989E-2</v>
      </c>
    </row>
    <row r="515" spans="1:14">
      <c r="A515" s="20">
        <v>18</v>
      </c>
      <c r="B515" s="94">
        <v>41624</v>
      </c>
      <c r="C515" s="20">
        <v>2013</v>
      </c>
      <c r="D515" s="10" t="s">
        <v>36</v>
      </c>
      <c r="E515" s="20">
        <v>12</v>
      </c>
      <c r="F515" s="49">
        <v>2.573</v>
      </c>
      <c r="G515" s="50">
        <v>0</v>
      </c>
      <c r="I515" s="50">
        <f>AVERAGE(F513:F515)</f>
        <v>5.3933333333333335</v>
      </c>
      <c r="J515" s="50">
        <f>AVERAGE(G513:G515)</f>
        <v>1.5399416666666664E-2</v>
      </c>
      <c r="L515">
        <f>+J515/I515</f>
        <v>2.8552688504326321E-3</v>
      </c>
      <c r="M515">
        <f>+(L515-$L$913)/$L$914</f>
        <v>-0.63223382431813047</v>
      </c>
      <c r="N515">
        <f>+N512+M515</f>
        <v>2.0391152511868387</v>
      </c>
    </row>
    <row r="516" spans="1:14">
      <c r="A516" s="43">
        <v>1</v>
      </c>
      <c r="B516" s="96">
        <v>41654</v>
      </c>
      <c r="C516" s="43">
        <v>2014</v>
      </c>
      <c r="D516" s="45" t="s">
        <v>37</v>
      </c>
      <c r="E516" s="43">
        <v>1</v>
      </c>
      <c r="F516" s="46">
        <v>2.0259999999999998</v>
      </c>
      <c r="G516" s="47">
        <v>3.1210749999999999E-2</v>
      </c>
    </row>
    <row r="517" spans="1:14">
      <c r="A517" s="20">
        <v>17</v>
      </c>
      <c r="B517" s="94">
        <v>41654</v>
      </c>
      <c r="C517" s="20">
        <v>2014</v>
      </c>
      <c r="D517" s="10" t="s">
        <v>37</v>
      </c>
      <c r="E517" s="20">
        <v>1</v>
      </c>
      <c r="F517" s="49">
        <v>6.6669999999999998</v>
      </c>
      <c r="G517" s="50">
        <v>0.10002274999999998</v>
      </c>
    </row>
    <row r="518" spans="1:14">
      <c r="A518" s="20">
        <v>18</v>
      </c>
      <c r="B518" s="94">
        <v>41654</v>
      </c>
      <c r="C518" s="20">
        <v>2014</v>
      </c>
      <c r="D518" s="10" t="s">
        <v>37</v>
      </c>
      <c r="E518" s="20">
        <v>1</v>
      </c>
      <c r="F518" s="49">
        <v>3.919</v>
      </c>
      <c r="G518" s="50">
        <v>8.6388374999999989E-2</v>
      </c>
      <c r="I518" s="50">
        <f>AVERAGE(F516:F518)</f>
        <v>4.2039999999999997</v>
      </c>
      <c r="J518" s="50">
        <f>AVERAGE(G516:G518)</f>
        <v>7.2540624999999984E-2</v>
      </c>
      <c r="L518">
        <f>+J518/I518</f>
        <v>1.7255143910561366E-2</v>
      </c>
      <c r="M518">
        <f>+(L518-$L$913)/$L$914</f>
        <v>-0.20775156595042787</v>
      </c>
      <c r="N518">
        <f>+N515+M518</f>
        <v>1.8313636852364108</v>
      </c>
    </row>
    <row r="519" spans="1:14">
      <c r="A519" s="20">
        <v>1</v>
      </c>
      <c r="B519" s="94">
        <v>41688</v>
      </c>
      <c r="C519" s="20">
        <v>2014</v>
      </c>
      <c r="D519" s="10" t="s">
        <v>26</v>
      </c>
      <c r="E519" s="20">
        <v>2</v>
      </c>
      <c r="F519" s="49">
        <v>6.2839999999999998</v>
      </c>
      <c r="G519" s="50">
        <v>0.5253486249999999</v>
      </c>
    </row>
    <row r="520" spans="1:14">
      <c r="A520" s="20">
        <v>17</v>
      </c>
      <c r="B520" s="94">
        <v>41688</v>
      </c>
      <c r="C520" s="20">
        <v>2014</v>
      </c>
      <c r="D520" s="10" t="s">
        <v>26</v>
      </c>
      <c r="E520" s="20">
        <v>2</v>
      </c>
      <c r="F520" s="49">
        <v>12.17</v>
      </c>
      <c r="G520" s="50">
        <v>1.266083375</v>
      </c>
    </row>
    <row r="521" spans="1:14">
      <c r="A521" s="20">
        <v>18</v>
      </c>
      <c r="B521" s="94">
        <v>41688</v>
      </c>
      <c r="C521" s="20">
        <v>2014</v>
      </c>
      <c r="D521" s="10" t="s">
        <v>26</v>
      </c>
      <c r="E521" s="20">
        <v>2</v>
      </c>
      <c r="F521" s="49">
        <v>8.2899999999999991</v>
      </c>
      <c r="G521" s="50">
        <v>0.70859637499999995</v>
      </c>
      <c r="I521" s="50">
        <f>AVERAGE(F519:F521)</f>
        <v>8.9146666666666672</v>
      </c>
      <c r="J521" s="50">
        <f>AVERAGE(G519:G521)</f>
        <v>0.83334279166666658</v>
      </c>
      <c r="L521">
        <f>+J521/I521</f>
        <v>9.3479972143284462E-2</v>
      </c>
      <c r="M521">
        <f>+(L521-$L$913)/$L$914</f>
        <v>2.0392184318314319</v>
      </c>
      <c r="N521">
        <f>+N518+M521</f>
        <v>3.8705821170678427</v>
      </c>
    </row>
    <row r="522" spans="1:14">
      <c r="A522" s="20">
        <v>1</v>
      </c>
      <c r="B522" s="94">
        <v>41719</v>
      </c>
      <c r="C522" s="20">
        <v>2014</v>
      </c>
      <c r="D522" s="10" t="s">
        <v>27</v>
      </c>
      <c r="E522" s="20">
        <v>3</v>
      </c>
      <c r="F522" s="49">
        <v>2.2229999999999999</v>
      </c>
      <c r="G522" s="50">
        <v>9.1020249999999997E-2</v>
      </c>
    </row>
    <row r="523" spans="1:14">
      <c r="A523" s="20">
        <v>17</v>
      </c>
      <c r="B523" s="94">
        <v>41719</v>
      </c>
      <c r="C523" s="20">
        <v>2014</v>
      </c>
      <c r="D523" s="10" t="s">
        <v>27</v>
      </c>
      <c r="E523" s="20">
        <v>3</v>
      </c>
      <c r="F523" s="49">
        <v>3.36</v>
      </c>
      <c r="G523" s="50">
        <v>0.11416299999999997</v>
      </c>
    </row>
    <row r="524" spans="1:14">
      <c r="A524" s="20">
        <v>18</v>
      </c>
      <c r="B524" s="94">
        <v>41719</v>
      </c>
      <c r="C524" s="20">
        <v>2014</v>
      </c>
      <c r="D524" s="10" t="s">
        <v>27</v>
      </c>
      <c r="E524" s="20">
        <v>3</v>
      </c>
      <c r="F524" s="49">
        <v>1.478</v>
      </c>
      <c r="G524" s="50">
        <v>5.0308625000000003E-2</v>
      </c>
      <c r="I524" s="50">
        <f>AVERAGE(F522:F524)</f>
        <v>2.3536666666666668</v>
      </c>
      <c r="J524" s="50">
        <f>AVERAGE(G522:G524)</f>
        <v>8.5163958333333331E-2</v>
      </c>
      <c r="L524">
        <f>+J524/I524</f>
        <v>3.6183525704574421E-2</v>
      </c>
      <c r="M524">
        <f>+(L524-$L$913)/$L$914</f>
        <v>0.35022287602344138</v>
      </c>
      <c r="N524">
        <f>+N521+M524</f>
        <v>4.2208049930912841</v>
      </c>
    </row>
    <row r="525" spans="1:14">
      <c r="A525" s="20">
        <v>1</v>
      </c>
      <c r="B525" s="94">
        <v>41747</v>
      </c>
      <c r="C525" s="20">
        <v>2014</v>
      </c>
      <c r="D525" s="10" t="s">
        <v>28</v>
      </c>
      <c r="E525" s="20">
        <v>4</v>
      </c>
      <c r="F525" s="60">
        <v>1.7649999999999999</v>
      </c>
      <c r="G525" s="50">
        <v>0</v>
      </c>
    </row>
    <row r="526" spans="1:14">
      <c r="A526" s="20">
        <v>17</v>
      </c>
      <c r="B526" s="94">
        <v>41747</v>
      </c>
      <c r="C526" s="20">
        <v>2014</v>
      </c>
      <c r="D526" s="10" t="s">
        <v>28</v>
      </c>
      <c r="E526" s="20">
        <v>4</v>
      </c>
      <c r="F526" s="60">
        <v>10.795999999999999</v>
      </c>
      <c r="G526" s="50">
        <v>4.3515249999999998E-2</v>
      </c>
    </row>
    <row r="527" spans="1:14">
      <c r="A527" s="20">
        <v>18</v>
      </c>
      <c r="B527" s="94">
        <v>41747</v>
      </c>
      <c r="C527" s="20">
        <v>2014</v>
      </c>
      <c r="D527" s="10" t="s">
        <v>28</v>
      </c>
      <c r="E527" s="20">
        <v>4</v>
      </c>
      <c r="F527" s="60">
        <v>7.5709999999999997</v>
      </c>
      <c r="G527" s="50">
        <v>3.2567124999999995E-2</v>
      </c>
      <c r="I527" s="50">
        <f>AVERAGE(F525:F527)</f>
        <v>6.7106666666666657</v>
      </c>
      <c r="J527" s="50">
        <f>AVERAGE(G525:G527)</f>
        <v>2.5360791666666663E-2</v>
      </c>
      <c r="L527">
        <f>+J527/I527</f>
        <v>3.779176187164713E-3</v>
      </c>
      <c r="M527">
        <f>+(L527-$L$913)/$L$914</f>
        <v>-0.60499870795907107</v>
      </c>
      <c r="N527">
        <f>+N524+M527</f>
        <v>3.615806285132213</v>
      </c>
    </row>
    <row r="528" spans="1:14">
      <c r="A528" s="20">
        <v>1</v>
      </c>
      <c r="B528" s="94">
        <v>41772</v>
      </c>
      <c r="C528" s="20">
        <v>2014</v>
      </c>
      <c r="D528" s="10" t="s">
        <v>29</v>
      </c>
      <c r="E528" s="20">
        <v>5</v>
      </c>
      <c r="F528" s="60">
        <v>0.57799999999999996</v>
      </c>
      <c r="G528" s="50">
        <v>2.1467875000000001E-2</v>
      </c>
    </row>
    <row r="529" spans="1:14">
      <c r="A529" s="20">
        <v>17</v>
      </c>
      <c r="B529" s="94">
        <v>41772</v>
      </c>
      <c r="C529" s="20">
        <v>2014</v>
      </c>
      <c r="D529" s="10" t="s">
        <v>29</v>
      </c>
      <c r="E529" s="20">
        <v>5</v>
      </c>
      <c r="F529" s="60">
        <v>2.113</v>
      </c>
      <c r="G529" s="50">
        <v>4.9856249999999998E-2</v>
      </c>
    </row>
    <row r="530" spans="1:14">
      <c r="A530" s="20">
        <v>18</v>
      </c>
      <c r="B530" s="94">
        <v>41772</v>
      </c>
      <c r="C530" s="20">
        <v>2014</v>
      </c>
      <c r="D530" s="10" t="s">
        <v>29</v>
      </c>
      <c r="E530" s="20">
        <v>5</v>
      </c>
      <c r="F530" s="60">
        <v>2.5150000000000001</v>
      </c>
      <c r="G530" s="50">
        <v>3.2593249999999997E-2</v>
      </c>
      <c r="I530" s="50">
        <f>AVERAGE(F528:F530)</f>
        <v>1.7353333333333332</v>
      </c>
      <c r="J530" s="50">
        <f>AVERAGE(G528:G530)</f>
        <v>3.4639125E-2</v>
      </c>
      <c r="L530">
        <f>+J530/I530</f>
        <v>1.9961078563196313E-2</v>
      </c>
      <c r="M530">
        <f>+(L530-$L$913)/$L$914</f>
        <v>-0.12798550912356826</v>
      </c>
      <c r="N530">
        <f>+N527+M530</f>
        <v>3.4878207760086446</v>
      </c>
    </row>
    <row r="531" spans="1:14">
      <c r="A531" s="20">
        <v>1</v>
      </c>
      <c r="B531" s="94">
        <v>41808</v>
      </c>
      <c r="C531" s="20">
        <v>2014</v>
      </c>
      <c r="D531" s="10" t="s">
        <v>30</v>
      </c>
      <c r="E531" s="20">
        <v>6</v>
      </c>
      <c r="F531" s="60">
        <v>5.7789999999999999</v>
      </c>
      <c r="G531" s="50">
        <v>0.38442537500000001</v>
      </c>
    </row>
    <row r="532" spans="1:14">
      <c r="A532" s="20">
        <v>17</v>
      </c>
      <c r="B532" s="94">
        <v>41808</v>
      </c>
      <c r="C532" s="20">
        <v>2014</v>
      </c>
      <c r="D532" s="10" t="s">
        <v>30</v>
      </c>
      <c r="E532" s="20">
        <v>6</v>
      </c>
      <c r="F532" s="60">
        <v>3.677</v>
      </c>
      <c r="G532" s="50">
        <v>0.25240412499999998</v>
      </c>
    </row>
    <row r="533" spans="1:14">
      <c r="A533" s="20">
        <v>18</v>
      </c>
      <c r="B533" s="94">
        <v>41808</v>
      </c>
      <c r="C533" s="20">
        <v>2014</v>
      </c>
      <c r="D533" s="10" t="s">
        <v>30</v>
      </c>
      <c r="E533" s="20">
        <v>6</v>
      </c>
      <c r="F533" s="60">
        <v>5.6159999999999997</v>
      </c>
      <c r="G533" s="50">
        <v>0.25820749999999992</v>
      </c>
      <c r="I533" s="50">
        <f>AVERAGE(F531:F533)</f>
        <v>5.024</v>
      </c>
      <c r="J533" s="50">
        <f>AVERAGE(G531:G533)</f>
        <v>0.29834566666666662</v>
      </c>
      <c r="L533">
        <f>+J533/I533</f>
        <v>5.9384089702760073E-2</v>
      </c>
      <c r="M533">
        <f>+(L533-$L$913)/$L$914</f>
        <v>1.0341335183194045</v>
      </c>
      <c r="N533">
        <f>+N530+M533</f>
        <v>4.5219542943280491</v>
      </c>
    </row>
    <row r="534" spans="1:14">
      <c r="A534" s="20">
        <v>1</v>
      </c>
      <c r="B534" s="94">
        <v>41834</v>
      </c>
      <c r="C534" s="20">
        <v>2014</v>
      </c>
      <c r="D534" s="10" t="s">
        <v>31</v>
      </c>
      <c r="E534" s="20">
        <v>7</v>
      </c>
      <c r="F534" s="60">
        <v>5.8869999999999996</v>
      </c>
      <c r="G534" s="50">
        <v>0.18227574999999999</v>
      </c>
    </row>
    <row r="535" spans="1:14">
      <c r="A535" s="20">
        <v>17</v>
      </c>
      <c r="B535" s="94">
        <v>41834</v>
      </c>
      <c r="C535" s="20">
        <v>2014</v>
      </c>
      <c r="D535" s="10" t="s">
        <v>31</v>
      </c>
      <c r="E535" s="20">
        <v>7</v>
      </c>
      <c r="F535" s="60">
        <v>5.673</v>
      </c>
      <c r="G535" s="50">
        <v>0.39825924999999995</v>
      </c>
    </row>
    <row r="536" spans="1:14">
      <c r="A536" s="20">
        <v>18</v>
      </c>
      <c r="B536" s="94">
        <v>41834</v>
      </c>
      <c r="C536" s="20">
        <v>2014</v>
      </c>
      <c r="D536" s="10" t="s">
        <v>31</v>
      </c>
      <c r="E536" s="20">
        <v>7</v>
      </c>
      <c r="F536" s="60">
        <v>10.291</v>
      </c>
      <c r="G536" s="50">
        <v>0.18247887499999998</v>
      </c>
      <c r="I536" s="50">
        <f>AVERAGE(F534:F536)</f>
        <v>7.2836666666666661</v>
      </c>
      <c r="J536" s="50">
        <f>AVERAGE(G534:G536)</f>
        <v>0.25433795833333334</v>
      </c>
      <c r="L536">
        <f>+J536/I536</f>
        <v>3.4918945357191894E-2</v>
      </c>
      <c r="M536">
        <f>+(L536-$L$913)/$L$914</f>
        <v>0.31294533580153688</v>
      </c>
      <c r="N536">
        <f>+N533+M536</f>
        <v>4.8348996301295859</v>
      </c>
    </row>
    <row r="537" spans="1:14">
      <c r="A537" s="20">
        <v>1</v>
      </c>
      <c r="B537" s="94">
        <v>41864</v>
      </c>
      <c r="C537" s="20">
        <v>2014</v>
      </c>
      <c r="D537" s="10" t="s">
        <v>32</v>
      </c>
      <c r="E537" s="20">
        <v>8</v>
      </c>
      <c r="F537" s="60">
        <v>3.1840000000000002</v>
      </c>
      <c r="G537" s="50">
        <v>0.14106724999999998</v>
      </c>
    </row>
    <row r="538" spans="1:14">
      <c r="A538" s="20">
        <v>17</v>
      </c>
      <c r="B538" s="94">
        <v>41864</v>
      </c>
      <c r="C538" s="20">
        <v>2014</v>
      </c>
      <c r="D538" s="10" t="s">
        <v>32</v>
      </c>
      <c r="E538" s="20">
        <v>8</v>
      </c>
      <c r="F538" s="60">
        <v>3.0710000000000002</v>
      </c>
      <c r="G538" s="50">
        <v>0.24018875000000001</v>
      </c>
    </row>
    <row r="539" spans="1:14">
      <c r="A539" s="20">
        <v>18</v>
      </c>
      <c r="B539" s="94">
        <v>41864</v>
      </c>
      <c r="C539" s="20">
        <v>2014</v>
      </c>
      <c r="D539" s="10" t="s">
        <v>32</v>
      </c>
      <c r="E539" s="20">
        <v>8</v>
      </c>
      <c r="F539" s="60">
        <v>4.3239999999999998</v>
      </c>
      <c r="G539" s="50">
        <v>0.26538275</v>
      </c>
      <c r="I539" s="50">
        <f>AVERAGE(F537:F539)</f>
        <v>3.5263333333333335</v>
      </c>
      <c r="J539" s="50">
        <f>AVERAGE(G537:G539)</f>
        <v>0.21554624999999997</v>
      </c>
      <c r="L539">
        <f>+J539/I539</f>
        <v>6.1124751866906121E-2</v>
      </c>
      <c r="M539">
        <f>+(L539-$L$913)/$L$914</f>
        <v>1.0854450889689156</v>
      </c>
      <c r="N539">
        <f>+N536+M539</f>
        <v>5.9203447190985017</v>
      </c>
    </row>
    <row r="540" spans="1:14">
      <c r="A540" s="20">
        <v>1</v>
      </c>
      <c r="B540" s="94">
        <v>41898</v>
      </c>
      <c r="C540" s="20">
        <v>2014</v>
      </c>
      <c r="D540" s="10" t="s">
        <v>38</v>
      </c>
      <c r="E540" s="20">
        <v>9</v>
      </c>
      <c r="F540" s="60">
        <v>5.444</v>
      </c>
      <c r="G540" s="50">
        <v>0.25300325000000001</v>
      </c>
    </row>
    <row r="541" spans="1:14">
      <c r="A541" s="20">
        <v>17</v>
      </c>
      <c r="B541" s="94">
        <v>41898</v>
      </c>
      <c r="C541" s="20">
        <v>2014</v>
      </c>
      <c r="D541" s="10" t="s">
        <v>38</v>
      </c>
      <c r="E541" s="20">
        <v>9</v>
      </c>
      <c r="F541" s="60">
        <v>6.3810000000000002</v>
      </c>
      <c r="G541" s="50">
        <v>0.15216499999999997</v>
      </c>
    </row>
    <row r="542" spans="1:14">
      <c r="A542" s="20">
        <v>18</v>
      </c>
      <c r="B542" s="94">
        <v>41898</v>
      </c>
      <c r="C542" s="20">
        <v>2014</v>
      </c>
      <c r="D542" s="10" t="s">
        <v>38</v>
      </c>
      <c r="E542" s="20">
        <v>9</v>
      </c>
      <c r="F542" s="60">
        <v>4.1369999999999996</v>
      </c>
      <c r="G542" s="50">
        <v>5.4727375000000002E-2</v>
      </c>
      <c r="I542" s="50">
        <f>AVERAGE(F540:F542)</f>
        <v>5.3206666666666669</v>
      </c>
      <c r="J542" s="50">
        <f>AVERAGE(G540:G542)</f>
        <v>0.15329854166666668</v>
      </c>
      <c r="L542">
        <f>+J542/I542</f>
        <v>2.8811904836486657E-2</v>
      </c>
      <c r="M542">
        <f>+(L542-$L$913)/$L$914</f>
        <v>0.13292083271749036</v>
      </c>
      <c r="N542">
        <f>+N539+M542</f>
        <v>6.0532655518159917</v>
      </c>
    </row>
    <row r="543" spans="1:14">
      <c r="A543" s="20">
        <v>1</v>
      </c>
      <c r="B543" s="94">
        <v>41929</v>
      </c>
      <c r="C543" s="20">
        <v>2014</v>
      </c>
      <c r="D543" s="10" t="s">
        <v>34</v>
      </c>
      <c r="E543" s="20">
        <v>10</v>
      </c>
      <c r="F543" s="49">
        <v>5.1669999999999998</v>
      </c>
      <c r="G543" s="50">
        <v>0.19353775000000001</v>
      </c>
    </row>
    <row r="544" spans="1:14">
      <c r="A544" s="20">
        <v>17</v>
      </c>
      <c r="B544" s="94">
        <v>41929</v>
      </c>
      <c r="C544" s="20">
        <v>2014</v>
      </c>
      <c r="D544" s="10" t="s">
        <v>34</v>
      </c>
      <c r="E544" s="20">
        <v>10</v>
      </c>
      <c r="F544" s="49">
        <v>5.8529999999999998</v>
      </c>
      <c r="G544" s="50">
        <v>0</v>
      </c>
    </row>
    <row r="545" spans="1:14">
      <c r="A545" s="20">
        <v>18</v>
      </c>
      <c r="B545" s="94">
        <v>41929</v>
      </c>
      <c r="C545" s="20">
        <v>2014</v>
      </c>
      <c r="D545" s="10" t="s">
        <v>34</v>
      </c>
      <c r="E545" s="20">
        <v>10</v>
      </c>
      <c r="F545" s="49">
        <v>1.976</v>
      </c>
      <c r="G545" s="50">
        <v>0</v>
      </c>
      <c r="I545" s="50">
        <f>AVERAGE(F543:F545)</f>
        <v>4.3319999999999999</v>
      </c>
      <c r="J545" s="50">
        <f>AVERAGE(G543:G545)</f>
        <v>6.4512583333333332E-2</v>
      </c>
      <c r="L545">
        <f>+J545/I545</f>
        <v>1.4892101415820253E-2</v>
      </c>
      <c r="M545">
        <f>+(L545-$L$913)/$L$914</f>
        <v>-0.2774097824695364</v>
      </c>
      <c r="N545">
        <f>+N542+M545</f>
        <v>5.7758557693464549</v>
      </c>
    </row>
    <row r="546" spans="1:14">
      <c r="A546" s="20">
        <v>1</v>
      </c>
      <c r="B546" s="94">
        <v>41953</v>
      </c>
      <c r="C546" s="20">
        <v>2014</v>
      </c>
      <c r="D546" s="10" t="s">
        <v>35</v>
      </c>
      <c r="E546" s="20">
        <v>11</v>
      </c>
      <c r="F546" s="49">
        <v>1.482</v>
      </c>
      <c r="G546" s="50">
        <v>0</v>
      </c>
    </row>
    <row r="547" spans="1:14">
      <c r="A547" s="20">
        <v>17</v>
      </c>
      <c r="B547" s="94">
        <v>41953</v>
      </c>
      <c r="C547" s="20">
        <v>2014</v>
      </c>
      <c r="D547" s="10" t="s">
        <v>35</v>
      </c>
      <c r="E547" s="20">
        <v>11</v>
      </c>
      <c r="F547" s="49">
        <v>2.7370000000000001</v>
      </c>
      <c r="G547" s="50">
        <v>0.142449875</v>
      </c>
    </row>
    <row r="548" spans="1:14">
      <c r="A548" s="20">
        <v>18</v>
      </c>
      <c r="B548" s="94">
        <v>41953</v>
      </c>
      <c r="C548" s="20">
        <v>2014</v>
      </c>
      <c r="D548" s="10" t="s">
        <v>35</v>
      </c>
      <c r="E548" s="20">
        <v>11</v>
      </c>
      <c r="F548" s="49">
        <v>2.847</v>
      </c>
      <c r="G548" s="50">
        <v>0</v>
      </c>
      <c r="I548" s="50">
        <f>AVERAGE(F546:F548)</f>
        <v>2.3553333333333337</v>
      </c>
      <c r="J548" s="50">
        <f>AVERAGE(G546:G548)</f>
        <v>4.748329166666667E-2</v>
      </c>
      <c r="L548">
        <f>+J548/I548</f>
        <v>2.0159903056892158E-2</v>
      </c>
      <c r="M548">
        <f>+(L548-$L$913)/$L$914</f>
        <v>-0.12212452284761702</v>
      </c>
      <c r="N548">
        <f>+N545+M548</f>
        <v>5.6537312464988378</v>
      </c>
    </row>
    <row r="549" spans="1:14">
      <c r="A549" s="20">
        <v>1</v>
      </c>
      <c r="B549" s="94">
        <v>41988</v>
      </c>
      <c r="C549" s="20">
        <v>2014</v>
      </c>
      <c r="D549" s="10" t="s">
        <v>36</v>
      </c>
      <c r="E549" s="20">
        <v>12</v>
      </c>
      <c r="F549" s="49">
        <v>2.58</v>
      </c>
      <c r="G549" s="50">
        <v>0.10850874999999999</v>
      </c>
    </row>
    <row r="550" spans="1:14">
      <c r="A550" s="20">
        <v>17</v>
      </c>
      <c r="B550" s="94">
        <v>41988</v>
      </c>
      <c r="C550" s="20">
        <v>2014</v>
      </c>
      <c r="D550" s="10" t="s">
        <v>36</v>
      </c>
      <c r="E550" s="20">
        <v>12</v>
      </c>
      <c r="F550" s="49">
        <v>3.4140000000000001</v>
      </c>
      <c r="G550" s="50">
        <v>6.8770250000000005E-2</v>
      </c>
    </row>
    <row r="551" spans="1:14">
      <c r="A551" s="20">
        <v>18</v>
      </c>
      <c r="B551" s="94">
        <v>41988</v>
      </c>
      <c r="C551" s="20">
        <v>2014</v>
      </c>
      <c r="D551" s="10" t="s">
        <v>36</v>
      </c>
      <c r="E551" s="20">
        <v>12</v>
      </c>
      <c r="F551" s="49">
        <v>2.956</v>
      </c>
      <c r="G551" s="50">
        <v>6.8377499999999994E-2</v>
      </c>
      <c r="I551" s="50">
        <f>AVERAGE(F549:F551)</f>
        <v>2.9833333333333329</v>
      </c>
      <c r="J551" s="50">
        <f>AVERAGE(G549:G551)</f>
        <v>8.18855E-2</v>
      </c>
      <c r="L551">
        <f>+J551/I551</f>
        <v>2.7447653631284919E-2</v>
      </c>
      <c r="M551">
        <f>+(L551-$L$913)/$L$914</f>
        <v>9.2705175974166054E-2</v>
      </c>
      <c r="N551">
        <f>+N548+M551</f>
        <v>5.7464364224730042</v>
      </c>
    </row>
    <row r="552" spans="1:14">
      <c r="A552" s="7">
        <v>1</v>
      </c>
      <c r="B552" s="86">
        <v>42014</v>
      </c>
      <c r="C552" s="20">
        <v>2015</v>
      </c>
      <c r="D552" s="10" t="s">
        <v>37</v>
      </c>
      <c r="E552" s="9">
        <v>1</v>
      </c>
      <c r="F552" s="41">
        <v>5.6390000000000002</v>
      </c>
      <c r="G552" s="41">
        <v>5.8999999999999997E-2</v>
      </c>
    </row>
    <row r="553" spans="1:14">
      <c r="A553" s="7">
        <v>17</v>
      </c>
      <c r="B553" s="86">
        <v>42009</v>
      </c>
      <c r="C553" s="20">
        <v>2015</v>
      </c>
      <c r="D553" s="10" t="s">
        <v>37</v>
      </c>
      <c r="E553" s="9">
        <v>1</v>
      </c>
      <c r="F553" s="109">
        <v>10.254</v>
      </c>
      <c r="G553" s="109">
        <v>0.05</v>
      </c>
    </row>
    <row r="554" spans="1:14">
      <c r="A554" s="7">
        <v>18</v>
      </c>
      <c r="B554" s="86">
        <v>42009</v>
      </c>
      <c r="C554" s="20">
        <v>2015</v>
      </c>
      <c r="D554" s="10" t="s">
        <v>26</v>
      </c>
      <c r="E554" s="9">
        <v>1</v>
      </c>
      <c r="F554" s="37">
        <v>8.5180000000000007</v>
      </c>
      <c r="G554" s="37">
        <v>4.3999999999999997E-2</v>
      </c>
      <c r="I554" s="50">
        <f>AVERAGE(F552:F554)</f>
        <v>8.1370000000000005</v>
      </c>
      <c r="J554" s="50">
        <f>AVERAGE(G552:G554)</f>
        <v>5.0999999999999997E-2</v>
      </c>
      <c r="L554">
        <f>+J554/I554</f>
        <v>6.2676662160501403E-3</v>
      </c>
      <c r="M554">
        <f>+(L554-$L$913)/$L$914</f>
        <v>-0.53164252514665211</v>
      </c>
      <c r="N554">
        <f>+N551+M554</f>
        <v>5.2147938973263521</v>
      </c>
    </row>
    <row r="555" spans="1:14">
      <c r="A555" s="7">
        <v>1</v>
      </c>
      <c r="B555" s="87">
        <v>42036</v>
      </c>
      <c r="C555" s="20">
        <v>2015</v>
      </c>
      <c r="D555" s="10" t="s">
        <v>26</v>
      </c>
      <c r="E555" s="11">
        <v>2</v>
      </c>
    </row>
    <row r="556" spans="1:14">
      <c r="A556" s="7">
        <v>17</v>
      </c>
      <c r="B556" s="87">
        <v>42036</v>
      </c>
      <c r="C556" s="20">
        <v>2015</v>
      </c>
      <c r="D556" s="10" t="s">
        <v>26</v>
      </c>
      <c r="E556" s="11">
        <v>2</v>
      </c>
    </row>
    <row r="557" spans="1:14">
      <c r="A557" s="7">
        <v>18</v>
      </c>
      <c r="B557" s="87">
        <v>42036</v>
      </c>
      <c r="C557" s="20">
        <v>2015</v>
      </c>
      <c r="D557" s="10" t="s">
        <v>27</v>
      </c>
      <c r="E557" s="11">
        <v>2</v>
      </c>
      <c r="I557" s="50"/>
      <c r="J557" s="50"/>
    </row>
    <row r="558" spans="1:14">
      <c r="A558" s="7">
        <v>1</v>
      </c>
      <c r="B558" s="87">
        <v>42064</v>
      </c>
      <c r="C558" s="20">
        <v>2015</v>
      </c>
      <c r="D558" s="10" t="s">
        <v>27</v>
      </c>
      <c r="E558" s="11">
        <v>3</v>
      </c>
      <c r="F558" s="110">
        <v>5.4649999999999999</v>
      </c>
      <c r="G558" s="110">
        <v>0.32700000000000001</v>
      </c>
    </row>
    <row r="559" spans="1:14">
      <c r="A559" s="7">
        <v>17</v>
      </c>
      <c r="B559" s="87">
        <v>42064</v>
      </c>
      <c r="C559" s="20">
        <v>2015</v>
      </c>
      <c r="D559" s="10" t="s">
        <v>27</v>
      </c>
      <c r="E559" s="11">
        <v>3</v>
      </c>
      <c r="F559" s="40">
        <v>8.9429999999999996</v>
      </c>
      <c r="G559" s="40">
        <v>0.54900000000000004</v>
      </c>
    </row>
    <row r="560" spans="1:14">
      <c r="A560" s="7">
        <v>18</v>
      </c>
      <c r="B560" s="87">
        <v>42064</v>
      </c>
      <c r="C560" s="20">
        <v>2015</v>
      </c>
      <c r="D560" s="10" t="s">
        <v>28</v>
      </c>
      <c r="E560" s="11">
        <v>3</v>
      </c>
      <c r="F560" s="40">
        <v>7.508</v>
      </c>
      <c r="G560" s="40">
        <v>0.27</v>
      </c>
      <c r="I560" s="50">
        <f>AVERAGE(F558:F560)</f>
        <v>7.3053333333333335</v>
      </c>
      <c r="J560" s="50">
        <f>AVERAGE(G558:G560)</f>
        <v>0.38200000000000006</v>
      </c>
      <c r="L560">
        <f>+J560/I560</f>
        <v>5.2290563971527655E-2</v>
      </c>
      <c r="M560">
        <f>+(L560-$L$913)/$L$914</f>
        <v>0.82502921639943849</v>
      </c>
      <c r="N560">
        <f>+N554+M560</f>
        <v>6.0398231137257907</v>
      </c>
    </row>
    <row r="561" spans="1:14">
      <c r="A561" s="7">
        <v>1</v>
      </c>
      <c r="B561" s="87">
        <v>42095</v>
      </c>
      <c r="C561" s="20">
        <v>2015</v>
      </c>
      <c r="D561" s="10" t="s">
        <v>28</v>
      </c>
      <c r="E561" s="11">
        <v>4</v>
      </c>
      <c r="F561" s="40">
        <v>1.93</v>
      </c>
      <c r="G561" s="40">
        <v>1.4E-2</v>
      </c>
    </row>
    <row r="562" spans="1:14">
      <c r="A562" s="7">
        <v>17</v>
      </c>
      <c r="B562" s="87">
        <v>42095</v>
      </c>
      <c r="C562" s="20">
        <v>2015</v>
      </c>
      <c r="D562" s="10" t="s">
        <v>28</v>
      </c>
      <c r="E562" s="11">
        <v>4</v>
      </c>
      <c r="F562" s="40">
        <v>6.766</v>
      </c>
      <c r="G562" s="40">
        <v>4.3999999999999997E-2</v>
      </c>
    </row>
    <row r="563" spans="1:14">
      <c r="A563" s="7">
        <v>18</v>
      </c>
      <c r="B563" s="87">
        <v>42095</v>
      </c>
      <c r="C563" s="20">
        <v>2015</v>
      </c>
      <c r="D563" s="10" t="s">
        <v>29</v>
      </c>
      <c r="E563" s="11">
        <v>4</v>
      </c>
      <c r="F563" s="40">
        <v>1.29</v>
      </c>
      <c r="G563" s="40">
        <v>2.4E-2</v>
      </c>
      <c r="I563" s="50">
        <f>AVERAGE(F561:F563)</f>
        <v>3.3286666666666669</v>
      </c>
      <c r="J563" s="50">
        <f>AVERAGE(G561:G563)</f>
        <v>2.7333333333333331E-2</v>
      </c>
      <c r="L563">
        <f>+J563/I563</f>
        <v>8.2114960945323442E-3</v>
      </c>
      <c r="M563">
        <f>+(L563-$L$913)/$L$914</f>
        <v>-0.47434193793632357</v>
      </c>
      <c r="N563">
        <f>+N560+M563</f>
        <v>5.5654811757894675</v>
      </c>
    </row>
    <row r="564" spans="1:14">
      <c r="A564" s="7">
        <v>1</v>
      </c>
      <c r="B564" s="87">
        <v>42125</v>
      </c>
      <c r="C564" s="20">
        <v>2015</v>
      </c>
      <c r="D564" s="10" t="s">
        <v>29</v>
      </c>
      <c r="E564" s="11">
        <v>5</v>
      </c>
      <c r="F564" s="40">
        <v>4.3570000000000002</v>
      </c>
      <c r="G564" s="40">
        <v>5.5E-2</v>
      </c>
    </row>
    <row r="565" spans="1:14">
      <c r="A565" s="7">
        <v>17</v>
      </c>
      <c r="B565" s="87">
        <v>42125</v>
      </c>
      <c r="C565" s="20">
        <v>2015</v>
      </c>
      <c r="D565" s="10" t="s">
        <v>29</v>
      </c>
      <c r="E565" s="11">
        <v>5</v>
      </c>
      <c r="F565" s="40">
        <v>4.9690000000000003</v>
      </c>
      <c r="G565" s="40">
        <v>0.10199999999999999</v>
      </c>
    </row>
    <row r="566" spans="1:14">
      <c r="A566" s="7">
        <v>18</v>
      </c>
      <c r="B566" s="87">
        <v>42125</v>
      </c>
      <c r="C566" s="20">
        <v>2015</v>
      </c>
      <c r="D566" s="10" t="s">
        <v>30</v>
      </c>
      <c r="E566" s="11">
        <v>5</v>
      </c>
      <c r="F566" s="40">
        <v>3.4609999999999999</v>
      </c>
      <c r="G566" s="40">
        <v>0.122</v>
      </c>
      <c r="I566" s="50">
        <f>AVERAGE(F564:F566)</f>
        <v>4.2623333333333333</v>
      </c>
      <c r="J566" s="50">
        <f>AVERAGE(G564:G566)</f>
        <v>9.3000000000000013E-2</v>
      </c>
      <c r="L566">
        <f>+J566/I566</f>
        <v>2.1819034957378591E-2</v>
      </c>
      <c r="M566">
        <f>+(L566-$L$913)/$L$914</f>
        <v>-7.3216316831412637E-2</v>
      </c>
      <c r="N566">
        <f>+N563+M566</f>
        <v>5.4922648589580545</v>
      </c>
    </row>
    <row r="567" spans="1:14">
      <c r="A567" s="7">
        <v>1</v>
      </c>
      <c r="B567" s="87">
        <v>42156</v>
      </c>
      <c r="C567" s="20">
        <v>2015</v>
      </c>
      <c r="D567" s="10" t="s">
        <v>30</v>
      </c>
      <c r="E567" s="11">
        <v>6</v>
      </c>
      <c r="F567" s="40">
        <v>5.9630000000000001</v>
      </c>
      <c r="G567" s="40">
        <v>0.34699999999999998</v>
      </c>
    </row>
    <row r="568" spans="1:14">
      <c r="A568" s="7">
        <v>17</v>
      </c>
      <c r="B568" s="87">
        <v>42156</v>
      </c>
      <c r="C568" s="20">
        <v>2015</v>
      </c>
      <c r="D568" s="10" t="s">
        <v>30</v>
      </c>
      <c r="E568" s="11">
        <v>6</v>
      </c>
      <c r="F568" s="40">
        <v>5.1790000000000003</v>
      </c>
      <c r="G568" s="40">
        <v>0.35</v>
      </c>
    </row>
    <row r="569" spans="1:14">
      <c r="A569" s="7">
        <v>18</v>
      </c>
      <c r="B569" s="87">
        <v>42156</v>
      </c>
      <c r="C569" s="20">
        <v>2015</v>
      </c>
      <c r="D569" s="10" t="s">
        <v>31</v>
      </c>
      <c r="E569" s="11">
        <v>6</v>
      </c>
      <c r="F569" s="40">
        <v>6.415</v>
      </c>
      <c r="G569" s="40">
        <v>0.22</v>
      </c>
      <c r="I569" s="50">
        <f>AVERAGE(F567:F569)</f>
        <v>5.8523333333333332</v>
      </c>
      <c r="J569" s="50">
        <f>AVERAGE(G567:G569)</f>
        <v>0.30566666666666664</v>
      </c>
      <c r="L569">
        <f>+J569/I569</f>
        <v>5.2229879820014806E-2</v>
      </c>
      <c r="M569">
        <f>+(L569-$L$913)/$L$914</f>
        <v>0.82324035742852797</v>
      </c>
      <c r="N569">
        <f>+N566+M569</f>
        <v>6.3155052163865824</v>
      </c>
    </row>
    <row r="570" spans="1:14">
      <c r="A570" s="7">
        <v>1</v>
      </c>
      <c r="B570" s="87">
        <v>42186</v>
      </c>
      <c r="C570" s="20">
        <v>2015</v>
      </c>
      <c r="D570" s="10" t="s">
        <v>31</v>
      </c>
      <c r="E570" s="11">
        <v>7</v>
      </c>
      <c r="F570" s="40">
        <v>5.8680000000000003</v>
      </c>
      <c r="G570" s="40">
        <v>0.27700000000000002</v>
      </c>
    </row>
    <row r="571" spans="1:14">
      <c r="A571" s="7">
        <v>17</v>
      </c>
      <c r="B571" s="87">
        <v>42186</v>
      </c>
      <c r="C571" s="20">
        <v>2015</v>
      </c>
      <c r="D571" s="10" t="s">
        <v>31</v>
      </c>
      <c r="E571" s="11">
        <v>7</v>
      </c>
      <c r="F571" s="40">
        <v>4.6139999999999999</v>
      </c>
      <c r="G571" s="40">
        <v>0.25</v>
      </c>
    </row>
    <row r="572" spans="1:14">
      <c r="A572" s="7">
        <v>18</v>
      </c>
      <c r="B572" s="87">
        <v>42186</v>
      </c>
      <c r="C572" s="20">
        <v>2015</v>
      </c>
      <c r="D572" s="10" t="s">
        <v>32</v>
      </c>
      <c r="E572" s="11">
        <v>7</v>
      </c>
      <c r="F572" s="40">
        <v>5.9109999999999996</v>
      </c>
      <c r="G572" s="40">
        <v>0.35699999999999998</v>
      </c>
      <c r="I572" s="50">
        <f>AVERAGE(F570:F572)</f>
        <v>5.4643333333333333</v>
      </c>
      <c r="J572" s="50">
        <f>AVERAGE(G570:G572)</f>
        <v>0.29466666666666669</v>
      </c>
      <c r="L572">
        <f>+J572/I572</f>
        <v>5.392545598731166E-2</v>
      </c>
      <c r="M572">
        <f>+(L572-$L$913)/$L$914</f>
        <v>0.87322287447976887</v>
      </c>
      <c r="N572">
        <f>+N569+M572</f>
        <v>7.1887280908663511</v>
      </c>
    </row>
    <row r="573" spans="1:14">
      <c r="A573" s="7">
        <v>1</v>
      </c>
      <c r="B573" s="87">
        <v>42217</v>
      </c>
      <c r="C573" s="20">
        <v>2015</v>
      </c>
      <c r="D573" s="10" t="s">
        <v>32</v>
      </c>
      <c r="E573" s="11">
        <v>8</v>
      </c>
      <c r="F573" s="40">
        <v>5.3529999999999998</v>
      </c>
      <c r="G573" s="40">
        <v>0.314</v>
      </c>
    </row>
    <row r="574" spans="1:14">
      <c r="A574" s="7">
        <v>17</v>
      </c>
      <c r="B574" s="87">
        <v>42217</v>
      </c>
      <c r="C574" s="20">
        <v>2015</v>
      </c>
      <c r="D574" s="10" t="s">
        <v>32</v>
      </c>
      <c r="E574" s="11">
        <v>8</v>
      </c>
      <c r="F574" s="40">
        <v>10.667999999999999</v>
      </c>
      <c r="G574" s="40">
        <v>1.4259999999999999</v>
      </c>
    </row>
    <row r="575" spans="1:14">
      <c r="A575" s="7">
        <v>18</v>
      </c>
      <c r="B575" s="87">
        <v>42217</v>
      </c>
      <c r="C575" s="20">
        <v>2015</v>
      </c>
      <c r="D575" s="10" t="s">
        <v>38</v>
      </c>
      <c r="E575" s="11">
        <v>8</v>
      </c>
      <c r="F575" s="40">
        <v>3.5880000000000001</v>
      </c>
      <c r="G575" s="40">
        <v>8.6999999999999994E-2</v>
      </c>
      <c r="I575" s="50">
        <f>AVERAGE(F573:F575)</f>
        <v>6.5363333333333342</v>
      </c>
      <c r="J575" s="50">
        <f>AVERAGE(G573:G575)</f>
        <v>0.60899999999999999</v>
      </c>
      <c r="L575">
        <f>+J575/I575</f>
        <v>9.3171502881329984E-2</v>
      </c>
      <c r="M575">
        <f>+(L575-$L$913)/$L$914</f>
        <v>2.0301253162033657</v>
      </c>
      <c r="N575">
        <f>+N572+M575</f>
        <v>9.2188534070697159</v>
      </c>
    </row>
    <row r="576" spans="1:14">
      <c r="A576" s="7">
        <v>1</v>
      </c>
      <c r="B576" s="87">
        <v>42248</v>
      </c>
      <c r="C576" s="20">
        <v>2015</v>
      </c>
      <c r="D576" s="10" t="s">
        <v>38</v>
      </c>
      <c r="E576" s="11">
        <v>9</v>
      </c>
      <c r="F576" s="40">
        <v>8.4789999999999992</v>
      </c>
      <c r="G576" s="40">
        <v>2.1000000000000001E-2</v>
      </c>
    </row>
    <row r="577" spans="1:14">
      <c r="A577" s="7">
        <v>17</v>
      </c>
      <c r="B577" s="87">
        <v>42248</v>
      </c>
      <c r="C577" s="20">
        <v>2015</v>
      </c>
      <c r="D577" s="10" t="s">
        <v>38</v>
      </c>
      <c r="E577" s="11">
        <v>9</v>
      </c>
      <c r="F577" s="40">
        <v>9.7989999999999995</v>
      </c>
      <c r="G577" s="40">
        <v>1.0999999999999999E-2</v>
      </c>
    </row>
    <row r="578" spans="1:14">
      <c r="A578" s="7">
        <v>18</v>
      </c>
      <c r="B578" s="87">
        <v>42248</v>
      </c>
      <c r="C578" s="20">
        <v>2015</v>
      </c>
      <c r="D578" s="10" t="s">
        <v>34</v>
      </c>
      <c r="E578" s="11">
        <v>9</v>
      </c>
      <c r="F578" s="40">
        <v>4.3929999999999998</v>
      </c>
      <c r="G578" s="40">
        <v>7.0000000000000001E-3</v>
      </c>
      <c r="I578" s="50">
        <f>AVERAGE(F576:F578)</f>
        <v>7.5569999999999995</v>
      </c>
      <c r="J578" s="50">
        <f>AVERAGE(G576:G578)</f>
        <v>1.2999999999999999E-2</v>
      </c>
      <c r="L578">
        <f>+J578/I578</f>
        <v>1.7202593621807596E-3</v>
      </c>
      <c r="M578">
        <f>+(L578-$L$913)/$L$914</f>
        <v>-0.66569185008780807</v>
      </c>
      <c r="N578">
        <f>+N575+M578</f>
        <v>8.5531615569819071</v>
      </c>
    </row>
    <row r="579" spans="1:14">
      <c r="A579" s="7">
        <v>1</v>
      </c>
      <c r="B579" s="87">
        <v>42278</v>
      </c>
      <c r="C579" s="20">
        <v>2015</v>
      </c>
      <c r="D579" s="10" t="s">
        <v>34</v>
      </c>
      <c r="E579" s="11">
        <v>10</v>
      </c>
      <c r="F579" s="40">
        <v>3.4430000000000001</v>
      </c>
      <c r="G579" s="40">
        <v>2.3E-2</v>
      </c>
    </row>
    <row r="580" spans="1:14">
      <c r="A580" s="7">
        <v>17</v>
      </c>
      <c r="B580" s="87">
        <v>42278</v>
      </c>
      <c r="C580" s="20">
        <v>2015</v>
      </c>
      <c r="D580" s="10" t="s">
        <v>34</v>
      </c>
      <c r="E580" s="11">
        <v>10</v>
      </c>
      <c r="F580" s="40">
        <v>6.5339999999999998</v>
      </c>
      <c r="G580" s="40">
        <v>8.5999999999999993E-2</v>
      </c>
    </row>
    <row r="581" spans="1:14">
      <c r="A581" s="7">
        <v>18</v>
      </c>
      <c r="B581" s="87">
        <v>42278</v>
      </c>
      <c r="C581" s="20">
        <v>2015</v>
      </c>
      <c r="D581" s="10" t="s">
        <v>35</v>
      </c>
      <c r="E581" s="11">
        <v>10</v>
      </c>
      <c r="F581" s="40">
        <v>6.9669999999999996</v>
      </c>
      <c r="G581" s="40">
        <v>9.0999999999999998E-2</v>
      </c>
      <c r="I581" s="50">
        <f>AVERAGE(F579:F581)</f>
        <v>5.6479999999999997</v>
      </c>
      <c r="J581" s="50">
        <f>AVERAGE(G579:G581)</f>
        <v>6.6666666666666666E-2</v>
      </c>
      <c r="L581">
        <f>+J581/I581</f>
        <v>1.1803588290840416E-2</v>
      </c>
      <c r="M581">
        <f>+(L581-$L$913)/$L$914</f>
        <v>-0.36845356033673204</v>
      </c>
      <c r="N581">
        <f>+N578+M581</f>
        <v>8.1847079966451748</v>
      </c>
    </row>
    <row r="582" spans="1:14">
      <c r="A582" s="7">
        <v>1</v>
      </c>
      <c r="B582" s="87">
        <v>42309</v>
      </c>
      <c r="C582" s="20">
        <v>2015</v>
      </c>
      <c r="D582" s="10" t="s">
        <v>35</v>
      </c>
      <c r="E582" s="11">
        <v>11</v>
      </c>
      <c r="F582" s="40">
        <v>2.74</v>
      </c>
      <c r="G582" s="40">
        <v>0.05</v>
      </c>
    </row>
    <row r="583" spans="1:14">
      <c r="A583" s="7">
        <v>17</v>
      </c>
      <c r="B583" s="87">
        <v>42309</v>
      </c>
      <c r="C583" s="20">
        <v>2015</v>
      </c>
      <c r="D583" s="10" t="s">
        <v>35</v>
      </c>
      <c r="E583" s="11">
        <v>11</v>
      </c>
      <c r="F583" s="40">
        <v>3.3090000000000002</v>
      </c>
      <c r="G583" s="40">
        <v>6.3E-2</v>
      </c>
    </row>
    <row r="584" spans="1:14">
      <c r="A584" s="7">
        <v>18</v>
      </c>
      <c r="B584" s="87">
        <v>42309</v>
      </c>
      <c r="C584" s="20">
        <v>2015</v>
      </c>
      <c r="D584" s="10" t="s">
        <v>36</v>
      </c>
      <c r="E584" s="11">
        <v>11</v>
      </c>
      <c r="F584" s="40">
        <v>2.7410000000000001</v>
      </c>
      <c r="G584" s="40">
        <v>5.6000000000000001E-2</v>
      </c>
      <c r="I584" s="50">
        <f>AVERAGE(F582:F584)</f>
        <v>2.93</v>
      </c>
      <c r="J584" s="50">
        <f>AVERAGE(G582:G584)</f>
        <v>5.6333333333333339E-2</v>
      </c>
      <c r="L584">
        <f>+J584/I584</f>
        <v>1.9226393629124004E-2</v>
      </c>
      <c r="M584">
        <f>+(L584-$L$913)/$L$914</f>
        <v>-0.14964269147421516</v>
      </c>
      <c r="N584">
        <f>+N581+M584</f>
        <v>8.03506530517096</v>
      </c>
    </row>
    <row r="585" spans="1:14">
      <c r="A585" s="7">
        <v>1</v>
      </c>
      <c r="B585" s="88">
        <v>42339</v>
      </c>
      <c r="C585" s="20">
        <v>2015</v>
      </c>
      <c r="D585" s="10" t="s">
        <v>36</v>
      </c>
      <c r="E585" s="11">
        <v>12</v>
      </c>
      <c r="F585" s="40">
        <v>2.1520000000000001</v>
      </c>
      <c r="G585" s="40">
        <v>8.7999999999999995E-2</v>
      </c>
    </row>
    <row r="586" spans="1:14">
      <c r="A586" s="7">
        <v>17</v>
      </c>
      <c r="B586" s="87">
        <v>42339</v>
      </c>
      <c r="C586" s="20">
        <v>2015</v>
      </c>
      <c r="D586" s="10" t="s">
        <v>36</v>
      </c>
      <c r="E586" s="11">
        <v>12</v>
      </c>
      <c r="F586" s="40">
        <v>2.6379999999999999</v>
      </c>
      <c r="G586" s="40">
        <v>2.1999999999999999E-2</v>
      </c>
    </row>
    <row r="587" spans="1:14">
      <c r="A587" s="7">
        <v>18</v>
      </c>
      <c r="B587" s="87">
        <v>42339</v>
      </c>
      <c r="C587" s="43">
        <v>2016</v>
      </c>
      <c r="D587" s="45" t="s">
        <v>37</v>
      </c>
      <c r="E587" s="11">
        <v>12</v>
      </c>
      <c r="F587" s="40">
        <v>2.2519999999999998</v>
      </c>
      <c r="G587" s="40">
        <v>2.8000000000000001E-2</v>
      </c>
      <c r="I587" s="50">
        <f>AVERAGE(F585:F587)</f>
        <v>2.3473333333333333</v>
      </c>
      <c r="J587" s="50">
        <f>AVERAGE(G585:G587)</f>
        <v>4.5999999999999992E-2</v>
      </c>
      <c r="L587">
        <f>+J587/I587</f>
        <v>1.9596705481397327E-2</v>
      </c>
      <c r="M587">
        <f>+(L587-$L$913)/$L$914</f>
        <v>-0.13872656819558013</v>
      </c>
      <c r="N587">
        <f>+N584+M587</f>
        <v>7.8963387369753795</v>
      </c>
    </row>
    <row r="588" spans="1:14">
      <c r="A588" s="7">
        <v>1</v>
      </c>
      <c r="B588" s="86">
        <v>42379</v>
      </c>
      <c r="C588" s="20">
        <v>2016</v>
      </c>
      <c r="D588" s="10" t="s">
        <v>37</v>
      </c>
      <c r="E588" s="9">
        <v>1</v>
      </c>
      <c r="F588" s="111">
        <v>3.944</v>
      </c>
      <c r="G588" s="111">
        <v>1.7000000000000001E-2</v>
      </c>
    </row>
    <row r="589" spans="1:14">
      <c r="A589" s="7">
        <v>17</v>
      </c>
      <c r="B589" s="86">
        <v>42374</v>
      </c>
      <c r="C589" s="20">
        <v>2016</v>
      </c>
      <c r="D589" s="10" t="s">
        <v>37</v>
      </c>
      <c r="E589" s="9">
        <v>1</v>
      </c>
      <c r="F589" s="112">
        <v>19.608000000000001</v>
      </c>
      <c r="G589" s="112">
        <v>5.5E-2</v>
      </c>
    </row>
    <row r="590" spans="1:14">
      <c r="A590" s="7">
        <v>18</v>
      </c>
      <c r="B590" s="86">
        <v>42374</v>
      </c>
      <c r="C590" s="20">
        <v>2016</v>
      </c>
      <c r="D590" s="10" t="s">
        <v>26</v>
      </c>
      <c r="E590" s="9">
        <v>1</v>
      </c>
      <c r="F590" s="112">
        <v>3.2839999999999998</v>
      </c>
      <c r="G590" s="112">
        <v>1.9E-2</v>
      </c>
      <c r="I590" s="50">
        <f>AVERAGE(F588:F590)</f>
        <v>8.9453333333333322</v>
      </c>
      <c r="J590" s="50">
        <f>AVERAGE(G588:G590)</f>
        <v>3.0333333333333337E-2</v>
      </c>
      <c r="L590">
        <f>+J590/I590</f>
        <v>3.3909673572812648E-3</v>
      </c>
      <c r="M590">
        <f>+(L590-$L$913)/$L$914</f>
        <v>-0.61644240175079601</v>
      </c>
      <c r="N590">
        <f>+N587+M590</f>
        <v>7.2798963352245831</v>
      </c>
    </row>
    <row r="591" spans="1:14">
      <c r="A591" s="7">
        <v>1</v>
      </c>
      <c r="B591" s="87">
        <v>42401</v>
      </c>
      <c r="C591" s="20">
        <v>2016</v>
      </c>
      <c r="D591" s="10" t="s">
        <v>26</v>
      </c>
      <c r="E591" s="11">
        <v>2</v>
      </c>
      <c r="F591" s="112">
        <v>3.3879999999999999</v>
      </c>
      <c r="G591" s="112">
        <v>6.3E-2</v>
      </c>
    </row>
    <row r="592" spans="1:14">
      <c r="A592" s="7">
        <v>17</v>
      </c>
      <c r="B592" s="87">
        <v>42401</v>
      </c>
      <c r="C592" s="20">
        <v>2016</v>
      </c>
      <c r="D592" s="10" t="s">
        <v>26</v>
      </c>
      <c r="E592" s="11">
        <v>2</v>
      </c>
      <c r="F592" s="112">
        <v>4.3040000000000003</v>
      </c>
      <c r="G592" s="112">
        <v>6.7000000000000004E-2</v>
      </c>
    </row>
    <row r="593" spans="1:14">
      <c r="A593" s="7">
        <v>18</v>
      </c>
      <c r="B593" s="87">
        <v>42401</v>
      </c>
      <c r="C593" s="20">
        <v>2016</v>
      </c>
      <c r="D593" s="10" t="s">
        <v>27</v>
      </c>
      <c r="E593" s="11">
        <v>2</v>
      </c>
      <c r="F593" s="112">
        <v>3.4849999999999999</v>
      </c>
      <c r="G593" s="112">
        <v>7.0999999999999994E-2</v>
      </c>
      <c r="I593" s="50">
        <f>AVERAGE(F591:F593)</f>
        <v>3.7256666666666667</v>
      </c>
      <c r="J593" s="50">
        <f>AVERAGE(G591:G593)</f>
        <v>6.7000000000000004E-2</v>
      </c>
      <c r="L593">
        <f>+J593/I593</f>
        <v>1.7983358683009754E-2</v>
      </c>
      <c r="M593">
        <f>+(L593-$L$913)/$L$914</f>
        <v>-0.18628511225587402</v>
      </c>
      <c r="N593">
        <f>+N590+M593</f>
        <v>7.0936112229687094</v>
      </c>
    </row>
    <row r="594" spans="1:14">
      <c r="A594" s="7">
        <v>1</v>
      </c>
      <c r="B594" s="87">
        <v>42430</v>
      </c>
      <c r="C594" s="20">
        <v>2016</v>
      </c>
      <c r="D594" s="10" t="s">
        <v>27</v>
      </c>
      <c r="E594" s="11">
        <v>3</v>
      </c>
      <c r="F594" s="112">
        <v>7.0460000000000003</v>
      </c>
      <c r="G594" s="112">
        <v>0.16300000000000001</v>
      </c>
    </row>
    <row r="595" spans="1:14">
      <c r="A595" s="7">
        <v>17</v>
      </c>
      <c r="B595" s="87">
        <v>42430</v>
      </c>
      <c r="C595" s="20">
        <v>2016</v>
      </c>
      <c r="D595" s="10" t="s">
        <v>27</v>
      </c>
      <c r="E595" s="11">
        <v>3</v>
      </c>
      <c r="F595" s="112">
        <v>8.2720000000000002</v>
      </c>
      <c r="G595" s="112">
        <v>6.4000000000000001E-2</v>
      </c>
    </row>
    <row r="596" spans="1:14">
      <c r="A596" s="7">
        <v>18</v>
      </c>
      <c r="B596" s="87">
        <v>42430</v>
      </c>
      <c r="C596" s="20">
        <v>2016</v>
      </c>
      <c r="D596" s="10" t="s">
        <v>28</v>
      </c>
      <c r="E596" s="11">
        <v>3</v>
      </c>
      <c r="F596" s="112">
        <v>6.73</v>
      </c>
      <c r="G596" s="112">
        <v>0.04</v>
      </c>
      <c r="I596" s="50">
        <f>AVERAGE(F594:F596)</f>
        <v>7.3493333333333339</v>
      </c>
      <c r="J596" s="50">
        <f>AVERAGE(G594:G596)</f>
        <v>8.900000000000001E-2</v>
      </c>
      <c r="L596">
        <f>+J596/I596</f>
        <v>1.2109941944847605E-2</v>
      </c>
      <c r="M596">
        <f>+(L596-$L$913)/$L$914</f>
        <v>-0.35942280900249052</v>
      </c>
      <c r="N596">
        <f>+N593+M596</f>
        <v>6.7341884139662191</v>
      </c>
    </row>
    <row r="597" spans="1:14">
      <c r="A597" s="7">
        <v>1</v>
      </c>
      <c r="B597" s="87">
        <v>42461</v>
      </c>
      <c r="C597" s="20">
        <v>2016</v>
      </c>
      <c r="D597" s="10" t="s">
        <v>28</v>
      </c>
      <c r="E597" s="11">
        <v>4</v>
      </c>
      <c r="F597" s="112">
        <v>4.5570000000000004</v>
      </c>
      <c r="G597" s="112">
        <v>6.3E-2</v>
      </c>
    </row>
    <row r="598" spans="1:14">
      <c r="A598" s="7">
        <v>17</v>
      </c>
      <c r="B598" s="87">
        <v>42461</v>
      </c>
      <c r="C598" s="20">
        <v>2016</v>
      </c>
      <c r="D598" s="10" t="s">
        <v>28</v>
      </c>
      <c r="E598" s="11">
        <v>4</v>
      </c>
      <c r="F598" s="112">
        <v>2.92</v>
      </c>
      <c r="G598" s="112">
        <v>3.9E-2</v>
      </c>
    </row>
    <row r="599" spans="1:14">
      <c r="A599" s="7">
        <v>18</v>
      </c>
      <c r="B599" s="87">
        <v>42461</v>
      </c>
      <c r="C599" s="20">
        <v>2016</v>
      </c>
      <c r="D599" s="10" t="s">
        <v>29</v>
      </c>
      <c r="E599" s="11">
        <v>4</v>
      </c>
      <c r="F599" s="112">
        <v>2.4020000000000001</v>
      </c>
      <c r="G599" s="112">
        <v>3.5000000000000003E-2</v>
      </c>
      <c r="I599" s="50">
        <f>AVERAGE(F597:F599)</f>
        <v>3.2930000000000006</v>
      </c>
      <c r="J599" s="50">
        <f>AVERAGE(G597:G599)</f>
        <v>4.5666666666666668E-2</v>
      </c>
      <c r="L599">
        <f>+J599/I599</f>
        <v>1.3867800384654315E-2</v>
      </c>
      <c r="M599">
        <f>+(L599-$L$913)/$L$914</f>
        <v>-0.30760432326535053</v>
      </c>
      <c r="N599">
        <f>+N596+M599</f>
        <v>6.4265840907008682</v>
      </c>
    </row>
    <row r="600" spans="1:14">
      <c r="A600" s="7">
        <v>1</v>
      </c>
      <c r="B600" s="87">
        <v>42491</v>
      </c>
      <c r="C600" s="20">
        <v>2016</v>
      </c>
      <c r="D600" s="10" t="s">
        <v>29</v>
      </c>
      <c r="E600" s="11">
        <v>5</v>
      </c>
      <c r="F600" s="112">
        <v>4.8899999999999997</v>
      </c>
      <c r="G600" s="112">
        <v>3.9E-2</v>
      </c>
    </row>
    <row r="601" spans="1:14">
      <c r="A601" s="7">
        <v>17</v>
      </c>
      <c r="B601" s="87">
        <v>42491</v>
      </c>
      <c r="C601" s="20">
        <v>2016</v>
      </c>
      <c r="D601" s="10" t="s">
        <v>29</v>
      </c>
      <c r="E601" s="11">
        <v>5</v>
      </c>
      <c r="F601" s="112">
        <v>7.2969999999999997</v>
      </c>
      <c r="G601" s="112">
        <v>0.14000000000000001</v>
      </c>
    </row>
    <row r="602" spans="1:14">
      <c r="A602" s="7">
        <v>18</v>
      </c>
      <c r="B602" s="87">
        <v>42491</v>
      </c>
      <c r="C602" s="20">
        <v>2016</v>
      </c>
      <c r="D602" s="10" t="s">
        <v>30</v>
      </c>
      <c r="E602" s="11">
        <v>5</v>
      </c>
      <c r="F602" s="112">
        <v>6.008</v>
      </c>
      <c r="G602" s="112">
        <v>0.128</v>
      </c>
      <c r="I602" s="50">
        <f>AVERAGE(F600:F602)</f>
        <v>6.0650000000000004</v>
      </c>
      <c r="J602" s="50">
        <f>AVERAGE(G600:G602)</f>
        <v>0.10233333333333335</v>
      </c>
      <c r="L602">
        <f>+J602/I602</f>
        <v>1.6872767243748282E-2</v>
      </c>
      <c r="M602">
        <f>+(L602-$L$913)/$L$914</f>
        <v>-0.21902333812887909</v>
      </c>
      <c r="N602">
        <f>+N599+M602</f>
        <v>6.2075607525719896</v>
      </c>
    </row>
    <row r="603" spans="1:14">
      <c r="A603" s="7">
        <v>1</v>
      </c>
      <c r="B603" s="87">
        <v>42522</v>
      </c>
      <c r="C603" s="20">
        <v>2016</v>
      </c>
      <c r="D603" s="10" t="s">
        <v>30</v>
      </c>
      <c r="E603" s="11">
        <v>6</v>
      </c>
      <c r="F603" s="112">
        <v>4.22</v>
      </c>
      <c r="G603" s="112">
        <v>0.33900000000000002</v>
      </c>
    </row>
    <row r="604" spans="1:14">
      <c r="A604" s="7">
        <v>17</v>
      </c>
      <c r="B604" s="87">
        <v>42522</v>
      </c>
      <c r="C604" s="20">
        <v>2016</v>
      </c>
      <c r="D604" s="10" t="s">
        <v>30</v>
      </c>
      <c r="E604" s="11">
        <v>6</v>
      </c>
      <c r="F604" s="112">
        <v>4.8220000000000001</v>
      </c>
      <c r="G604" s="112">
        <v>0.996</v>
      </c>
    </row>
    <row r="605" spans="1:14">
      <c r="A605" s="7">
        <v>18</v>
      </c>
      <c r="B605" s="87">
        <v>42522</v>
      </c>
      <c r="C605" s="20">
        <v>2016</v>
      </c>
      <c r="D605" s="10" t="s">
        <v>31</v>
      </c>
      <c r="E605" s="11">
        <v>6</v>
      </c>
      <c r="F605" s="112">
        <v>11.074999999999999</v>
      </c>
      <c r="G605" s="112">
        <v>0.12</v>
      </c>
      <c r="I605" s="50">
        <f>AVERAGE(F603:F605)</f>
        <v>6.7056666666666658</v>
      </c>
      <c r="J605" s="50">
        <f>AVERAGE(G603:G605)</f>
        <v>0.48500000000000004</v>
      </c>
      <c r="L605">
        <f>+J605/I605</f>
        <v>7.2326887706914561E-2</v>
      </c>
      <c r="M605">
        <f>+(L605-$L$913)/$L$914</f>
        <v>1.4156637818431892</v>
      </c>
      <c r="N605">
        <f>+N602+M605</f>
        <v>7.6232245344151792</v>
      </c>
    </row>
    <row r="606" spans="1:14">
      <c r="A606" s="7">
        <v>1</v>
      </c>
      <c r="B606" s="87">
        <v>42552</v>
      </c>
      <c r="C606" s="20">
        <v>2016</v>
      </c>
      <c r="D606" s="10" t="s">
        <v>31</v>
      </c>
      <c r="E606" s="11">
        <v>7</v>
      </c>
      <c r="F606" s="112">
        <v>4.2089999999999996</v>
      </c>
      <c r="G606" s="112">
        <v>0.38300000000000001</v>
      </c>
    </row>
    <row r="607" spans="1:14">
      <c r="A607" s="7">
        <v>17</v>
      </c>
      <c r="B607" s="87">
        <v>42552</v>
      </c>
      <c r="C607" s="20">
        <v>2016</v>
      </c>
      <c r="D607" s="10" t="s">
        <v>31</v>
      </c>
      <c r="E607" s="11">
        <v>7</v>
      </c>
      <c r="F607" s="112">
        <v>2.5550000000000002</v>
      </c>
      <c r="G607" s="112">
        <v>0.441</v>
      </c>
    </row>
    <row r="608" spans="1:14">
      <c r="A608" s="7">
        <v>18</v>
      </c>
      <c r="B608" s="87">
        <v>42552</v>
      </c>
      <c r="C608" s="20">
        <v>2016</v>
      </c>
      <c r="D608" s="10" t="s">
        <v>32</v>
      </c>
      <c r="E608" s="11">
        <v>7</v>
      </c>
      <c r="F608" s="112">
        <v>6.3220000000000001</v>
      </c>
      <c r="G608" s="112">
        <v>0.34100000000000003</v>
      </c>
      <c r="I608" s="50">
        <f>AVERAGE(F606:F608)</f>
        <v>4.3619999999999992</v>
      </c>
      <c r="J608" s="50">
        <f>AVERAGE(G606:G608)</f>
        <v>0.38833333333333336</v>
      </c>
      <c r="L608">
        <f>+J608/I608</f>
        <v>8.9026440470732104E-2</v>
      </c>
      <c r="M608">
        <f>+(L608-$L$913)/$L$914</f>
        <v>1.9079363773564249</v>
      </c>
      <c r="N608">
        <f>+N605+M608</f>
        <v>9.5311609117716038</v>
      </c>
    </row>
    <row r="609" spans="1:14">
      <c r="A609" s="7">
        <v>1</v>
      </c>
      <c r="B609" s="87">
        <v>42583</v>
      </c>
      <c r="C609" s="20">
        <v>2016</v>
      </c>
      <c r="D609" s="10" t="s">
        <v>32</v>
      </c>
      <c r="E609" s="11">
        <v>8</v>
      </c>
      <c r="F609" s="112">
        <v>5.8470000000000004</v>
      </c>
      <c r="G609" s="112">
        <v>6.7000000000000004E-2</v>
      </c>
    </row>
    <row r="610" spans="1:14">
      <c r="A610" s="7">
        <v>17</v>
      </c>
      <c r="B610" s="87">
        <v>42583</v>
      </c>
      <c r="C610" s="20">
        <v>2016</v>
      </c>
      <c r="D610" s="10" t="s">
        <v>32</v>
      </c>
      <c r="E610" s="11">
        <v>8</v>
      </c>
      <c r="F610" s="112">
        <v>4.2389999999999999</v>
      </c>
      <c r="G610" s="112">
        <v>7.1999999999999995E-2</v>
      </c>
    </row>
    <row r="611" spans="1:14">
      <c r="A611" s="7">
        <v>18</v>
      </c>
      <c r="B611" s="87">
        <v>42583</v>
      </c>
      <c r="C611" s="20">
        <v>2016</v>
      </c>
      <c r="D611" s="10" t="s">
        <v>38</v>
      </c>
      <c r="E611" s="11">
        <v>8</v>
      </c>
      <c r="F611" s="112">
        <v>5.7009999999999996</v>
      </c>
      <c r="G611" s="112">
        <v>0.114</v>
      </c>
      <c r="I611" s="50">
        <f>AVERAGE(F609:F611)</f>
        <v>5.2623333333333333</v>
      </c>
      <c r="J611" s="50">
        <f>AVERAGE(G609:G611)</f>
        <v>8.433333333333333E-2</v>
      </c>
      <c r="L611">
        <f>+J611/I611</f>
        <v>1.6025844048900995E-2</v>
      </c>
      <c r="M611">
        <f>+(L611-$L$913)/$L$914</f>
        <v>-0.24398910129776816</v>
      </c>
      <c r="N611">
        <f>+N608+M611</f>
        <v>9.2871718104738363</v>
      </c>
    </row>
    <row r="612" spans="1:14">
      <c r="A612" s="7">
        <v>1</v>
      </c>
      <c r="B612" s="87">
        <v>42614</v>
      </c>
      <c r="C612" s="20">
        <v>2016</v>
      </c>
      <c r="D612" s="10" t="s">
        <v>38</v>
      </c>
      <c r="E612" s="11">
        <v>9</v>
      </c>
      <c r="F612" s="112">
        <v>5.1619999999999999</v>
      </c>
      <c r="G612" s="112">
        <v>5.1999999999999998E-2</v>
      </c>
    </row>
    <row r="613" spans="1:14">
      <c r="A613" s="7">
        <v>17</v>
      </c>
      <c r="B613" s="87">
        <v>42614</v>
      </c>
      <c r="C613" s="20">
        <v>2016</v>
      </c>
      <c r="D613" s="10" t="s">
        <v>38</v>
      </c>
      <c r="E613" s="11">
        <v>9</v>
      </c>
      <c r="F613" s="112">
        <v>5.4169999999999998</v>
      </c>
      <c r="G613" s="112">
        <v>7.6999999999999999E-2</v>
      </c>
    </row>
    <row r="614" spans="1:14">
      <c r="A614" s="7">
        <v>18</v>
      </c>
      <c r="B614" s="87">
        <v>42614</v>
      </c>
      <c r="C614" s="20">
        <v>2016</v>
      </c>
      <c r="D614" s="10" t="s">
        <v>34</v>
      </c>
      <c r="E614" s="11">
        <v>9</v>
      </c>
      <c r="F614" s="112">
        <v>5.4269999999999996</v>
      </c>
      <c r="G614" s="112">
        <v>3.7999999999999999E-2</v>
      </c>
      <c r="I614" s="50">
        <f>AVERAGE(F612:F614)</f>
        <v>5.3353333333333337</v>
      </c>
      <c r="J614" s="50">
        <f>AVERAGE(G612:G614)</f>
        <v>5.566666666666667E-2</v>
      </c>
      <c r="L614">
        <f>+J614/I614</f>
        <v>1.0433587404723228E-2</v>
      </c>
      <c r="M614">
        <f>+(L614-$L$913)/$L$914</f>
        <v>-0.40883870726866517</v>
      </c>
      <c r="N614">
        <f>+N611+M614</f>
        <v>8.878333103205172</v>
      </c>
    </row>
    <row r="615" spans="1:14">
      <c r="A615" s="7">
        <v>1</v>
      </c>
      <c r="B615" s="87">
        <v>42644</v>
      </c>
      <c r="C615" s="20">
        <v>2016</v>
      </c>
      <c r="D615" s="10" t="s">
        <v>34</v>
      </c>
      <c r="E615" s="11">
        <v>10</v>
      </c>
      <c r="F615" s="112">
        <v>2.4830000000000001</v>
      </c>
      <c r="G615" s="112">
        <v>2.5000000000000001E-2</v>
      </c>
    </row>
    <row r="616" spans="1:14">
      <c r="A616" s="7">
        <v>17</v>
      </c>
      <c r="B616" s="87">
        <v>42644</v>
      </c>
      <c r="C616" s="20">
        <v>2016</v>
      </c>
      <c r="D616" s="10" t="s">
        <v>34</v>
      </c>
      <c r="E616" s="11">
        <v>10</v>
      </c>
      <c r="F616" s="112">
        <v>4.5149999999999997</v>
      </c>
      <c r="G616" s="112">
        <v>0.17899999999999999</v>
      </c>
    </row>
    <row r="617" spans="1:14">
      <c r="A617" s="7">
        <v>18</v>
      </c>
      <c r="B617" s="87">
        <v>42644</v>
      </c>
      <c r="C617" s="20">
        <v>2016</v>
      </c>
      <c r="D617" s="10" t="s">
        <v>35</v>
      </c>
      <c r="E617" s="11">
        <v>10</v>
      </c>
      <c r="F617" s="112">
        <v>2.0049999999999999</v>
      </c>
      <c r="G617" s="112">
        <v>4.1000000000000002E-2</v>
      </c>
      <c r="I617" s="50">
        <f>AVERAGE(F615:F617)</f>
        <v>3.0009999999999999</v>
      </c>
      <c r="J617" s="50">
        <f>AVERAGE(G615:G617)</f>
        <v>8.1666666666666665E-2</v>
      </c>
      <c r="L617">
        <f>+J617/I617</f>
        <v>2.7213151171831613E-2</v>
      </c>
      <c r="M617">
        <f>+(L617-$L$913)/$L$914</f>
        <v>8.5792467831500394E-2</v>
      </c>
      <c r="N617">
        <f>+N614+M617</f>
        <v>8.9641255710366732</v>
      </c>
    </row>
    <row r="618" spans="1:14">
      <c r="A618" s="7">
        <v>1</v>
      </c>
      <c r="B618" s="87">
        <v>42675</v>
      </c>
      <c r="C618" s="20">
        <v>2016</v>
      </c>
      <c r="D618" s="10" t="s">
        <v>35</v>
      </c>
      <c r="E618" s="11">
        <v>11</v>
      </c>
      <c r="F618" s="112">
        <v>2.766</v>
      </c>
      <c r="G618" s="112">
        <v>9.9989999999999996E-4</v>
      </c>
    </row>
    <row r="619" spans="1:14">
      <c r="A619" s="7">
        <v>17</v>
      </c>
      <c r="B619" s="87">
        <v>42675</v>
      </c>
      <c r="C619" s="20">
        <v>2016</v>
      </c>
      <c r="D619" s="10" t="s">
        <v>35</v>
      </c>
      <c r="E619" s="11">
        <v>11</v>
      </c>
      <c r="F619" s="112">
        <v>2.71</v>
      </c>
      <c r="G619" s="112">
        <v>1.9E-2</v>
      </c>
    </row>
    <row r="620" spans="1:14">
      <c r="A620" s="7">
        <v>18</v>
      </c>
      <c r="B620" s="87">
        <v>42675</v>
      </c>
      <c r="C620" s="20">
        <v>2016</v>
      </c>
      <c r="D620" s="10" t="s">
        <v>36</v>
      </c>
      <c r="E620" s="11">
        <v>11</v>
      </c>
      <c r="F620" s="112">
        <v>3.286</v>
      </c>
      <c r="G620" s="112">
        <v>2.5000000000000001E-2</v>
      </c>
      <c r="I620" s="50">
        <f>AVERAGE(F618:F620)</f>
        <v>2.920666666666667</v>
      </c>
      <c r="J620" s="50">
        <f>AVERAGE(G618:G620)</f>
        <v>1.4999966666666668E-2</v>
      </c>
      <c r="L620">
        <f>+J620/I620</f>
        <v>5.1358023282355629E-3</v>
      </c>
      <c r="M620">
        <f>+(L620-$L$913)/$L$914</f>
        <v>-0.56500782430780228</v>
      </c>
      <c r="N620">
        <f>+N617+M620</f>
        <v>8.3991177467288711</v>
      </c>
    </row>
    <row r="621" spans="1:14">
      <c r="A621" s="7">
        <v>1</v>
      </c>
      <c r="B621" s="88">
        <v>42705</v>
      </c>
      <c r="C621" s="20">
        <v>2016</v>
      </c>
      <c r="D621" s="10" t="s">
        <v>36</v>
      </c>
      <c r="E621" s="11">
        <v>12</v>
      </c>
      <c r="F621" s="112">
        <v>4.58</v>
      </c>
      <c r="G621" s="112">
        <v>0.127</v>
      </c>
    </row>
    <row r="622" spans="1:14">
      <c r="A622" s="7">
        <v>17</v>
      </c>
      <c r="B622" s="87">
        <v>42705</v>
      </c>
      <c r="C622" s="20">
        <v>2016</v>
      </c>
      <c r="D622" s="10" t="s">
        <v>36</v>
      </c>
      <c r="E622" s="11">
        <v>12</v>
      </c>
      <c r="F622" s="112">
        <v>6.3419999999999996</v>
      </c>
      <c r="G622" s="112">
        <v>0.126</v>
      </c>
    </row>
    <row r="623" spans="1:14">
      <c r="A623" s="7">
        <v>18</v>
      </c>
      <c r="B623" s="87">
        <v>42705</v>
      </c>
      <c r="C623" s="43">
        <v>2017</v>
      </c>
      <c r="D623" s="45" t="s">
        <v>37</v>
      </c>
      <c r="E623" s="11">
        <v>12</v>
      </c>
      <c r="F623" s="112">
        <v>7.3029999999999999</v>
      </c>
      <c r="G623" s="112">
        <v>0.14199999999999999</v>
      </c>
      <c r="I623" s="50">
        <f>AVERAGE(F621:F623)</f>
        <v>6.0750000000000002</v>
      </c>
      <c r="J623" s="50">
        <f>AVERAGE(G621:G623)</f>
        <v>0.13166666666666668</v>
      </c>
      <c r="L623">
        <f>+J623/I623</f>
        <v>2.1673525377229084E-2</v>
      </c>
      <c r="M623">
        <f>+(L623-$L$913)/$L$914</f>
        <v>-7.7505675936133001E-2</v>
      </c>
      <c r="N623">
        <f>+N620+M623</f>
        <v>8.3216120707927388</v>
      </c>
    </row>
    <row r="624" spans="1:14">
      <c r="A624" s="7">
        <v>1</v>
      </c>
      <c r="B624" s="86">
        <v>42745</v>
      </c>
      <c r="C624" s="20">
        <v>2017</v>
      </c>
      <c r="D624" s="10" t="s">
        <v>37</v>
      </c>
      <c r="E624" s="9">
        <v>1</v>
      </c>
    </row>
    <row r="625" spans="1:14">
      <c r="A625" s="7">
        <v>17</v>
      </c>
      <c r="B625" s="86">
        <v>42740</v>
      </c>
      <c r="C625" s="20">
        <v>2017</v>
      </c>
      <c r="D625" s="10" t="s">
        <v>37</v>
      </c>
      <c r="E625" s="9">
        <v>1</v>
      </c>
    </row>
    <row r="626" spans="1:14">
      <c r="A626" s="7">
        <v>18</v>
      </c>
      <c r="B626" s="86">
        <v>42740</v>
      </c>
      <c r="C626" s="20">
        <v>2017</v>
      </c>
      <c r="D626" s="10" t="s">
        <v>26</v>
      </c>
      <c r="E626" s="9">
        <v>1</v>
      </c>
      <c r="I626" s="50"/>
      <c r="J626" s="50"/>
    </row>
    <row r="627" spans="1:14">
      <c r="A627" s="7">
        <v>1</v>
      </c>
      <c r="B627" s="87">
        <v>42767</v>
      </c>
      <c r="C627" s="20">
        <v>2017</v>
      </c>
      <c r="D627" s="10" t="s">
        <v>26</v>
      </c>
      <c r="E627" s="11">
        <v>2</v>
      </c>
    </row>
    <row r="628" spans="1:14">
      <c r="A628" s="7">
        <v>17</v>
      </c>
      <c r="B628" s="87">
        <v>42767</v>
      </c>
      <c r="C628" s="20">
        <v>2017</v>
      </c>
      <c r="D628" s="10" t="s">
        <v>26</v>
      </c>
      <c r="E628" s="11">
        <v>2</v>
      </c>
    </row>
    <row r="629" spans="1:14">
      <c r="A629" s="7">
        <v>18</v>
      </c>
      <c r="B629" s="87">
        <v>42767</v>
      </c>
      <c r="C629" s="20">
        <v>2017</v>
      </c>
      <c r="D629" s="10" t="s">
        <v>27</v>
      </c>
      <c r="E629" s="11">
        <v>2</v>
      </c>
      <c r="I629" s="50"/>
      <c r="J629" s="50"/>
    </row>
    <row r="630" spans="1:14">
      <c r="A630" s="7">
        <v>1</v>
      </c>
      <c r="B630" s="87">
        <v>42795</v>
      </c>
      <c r="C630" s="20">
        <v>2017</v>
      </c>
      <c r="D630" s="10" t="s">
        <v>27</v>
      </c>
      <c r="E630" s="11">
        <v>3</v>
      </c>
      <c r="F630" s="111">
        <v>6.641</v>
      </c>
      <c r="G630" s="111">
        <v>0.13100000000000001</v>
      </c>
    </row>
    <row r="631" spans="1:14">
      <c r="A631" s="7">
        <v>17</v>
      </c>
      <c r="B631" s="87">
        <v>42795</v>
      </c>
      <c r="C631" s="20">
        <v>2017</v>
      </c>
      <c r="D631" s="10" t="s">
        <v>27</v>
      </c>
      <c r="E631" s="11">
        <v>3</v>
      </c>
      <c r="F631" s="112">
        <v>17.422999999999998</v>
      </c>
      <c r="G631" s="112">
        <v>0.123</v>
      </c>
    </row>
    <row r="632" spans="1:14">
      <c r="A632" s="7">
        <v>18</v>
      </c>
      <c r="B632" s="87">
        <v>42795</v>
      </c>
      <c r="C632" s="20">
        <v>2017</v>
      </c>
      <c r="D632" s="10" t="s">
        <v>28</v>
      </c>
      <c r="E632" s="11">
        <v>3</v>
      </c>
      <c r="F632" s="112">
        <v>11.77</v>
      </c>
      <c r="G632" s="112">
        <v>0.13300000000000001</v>
      </c>
      <c r="I632" s="50">
        <f>AVERAGE(F630:F632)</f>
        <v>11.944666666666668</v>
      </c>
      <c r="J632" s="50">
        <f>AVERAGE(G630:G632)</f>
        <v>0.129</v>
      </c>
      <c r="L632">
        <f>+J632/I632</f>
        <v>1.0799799073505608E-2</v>
      </c>
      <c r="M632">
        <f>+(L632-$L$913)/$L$914</f>
        <v>-0.39804344997953972</v>
      </c>
      <c r="N632">
        <f>+N623+M632</f>
        <v>7.9235686208131995</v>
      </c>
    </row>
    <row r="633" spans="1:14">
      <c r="A633" s="7">
        <v>1</v>
      </c>
      <c r="B633" s="87">
        <v>42826</v>
      </c>
      <c r="C633" s="20">
        <v>2017</v>
      </c>
      <c r="D633" s="10" t="s">
        <v>28</v>
      </c>
      <c r="E633" s="11">
        <v>4</v>
      </c>
    </row>
    <row r="634" spans="1:14">
      <c r="A634" s="7">
        <v>17</v>
      </c>
      <c r="B634" s="87">
        <v>42826</v>
      </c>
      <c r="C634" s="20">
        <v>2017</v>
      </c>
      <c r="D634" s="10" t="s">
        <v>28</v>
      </c>
      <c r="E634" s="11">
        <v>4</v>
      </c>
    </row>
    <row r="635" spans="1:14">
      <c r="A635" s="7">
        <v>18</v>
      </c>
      <c r="B635" s="87">
        <v>42826</v>
      </c>
      <c r="C635" s="20">
        <v>2017</v>
      </c>
      <c r="D635" s="10" t="s">
        <v>29</v>
      </c>
      <c r="E635" s="11">
        <v>4</v>
      </c>
      <c r="I635" s="50"/>
      <c r="J635" s="50"/>
    </row>
    <row r="636" spans="1:14">
      <c r="A636" s="7">
        <v>1</v>
      </c>
      <c r="B636" s="87">
        <v>42856</v>
      </c>
      <c r="C636" s="20">
        <v>2017</v>
      </c>
      <c r="D636" s="10" t="s">
        <v>29</v>
      </c>
      <c r="E636" s="11">
        <v>5</v>
      </c>
      <c r="F636" s="112">
        <v>5.1689999999999996</v>
      </c>
      <c r="G636" s="112">
        <v>0.59499999999999997</v>
      </c>
    </row>
    <row r="637" spans="1:14">
      <c r="A637" s="7">
        <v>17</v>
      </c>
      <c r="B637" s="87">
        <v>42856</v>
      </c>
      <c r="C637" s="20">
        <v>2017</v>
      </c>
      <c r="D637" s="10" t="s">
        <v>29</v>
      </c>
      <c r="E637" s="11">
        <v>5</v>
      </c>
      <c r="F637" s="112">
        <v>5.0330000000000004</v>
      </c>
      <c r="G637" s="112">
        <v>0.82599999999999996</v>
      </c>
    </row>
    <row r="638" spans="1:14">
      <c r="A638" s="7">
        <v>18</v>
      </c>
      <c r="B638" s="87">
        <v>42856</v>
      </c>
      <c r="C638" s="20">
        <v>2017</v>
      </c>
      <c r="D638" s="10" t="s">
        <v>30</v>
      </c>
      <c r="E638" s="11">
        <v>5</v>
      </c>
      <c r="F638" s="112">
        <v>4.53</v>
      </c>
      <c r="G638" s="112">
        <v>0.64600000000000002</v>
      </c>
      <c r="I638" s="50">
        <f>AVERAGE(F636:F638)</f>
        <v>4.9106666666666667</v>
      </c>
      <c r="J638" s="50">
        <f>AVERAGE(G636:G638)</f>
        <v>0.68899999999999995</v>
      </c>
      <c r="L638">
        <f>+J638/I638</f>
        <v>0.14030681509638879</v>
      </c>
      <c r="M638">
        <f>+(L638-$L$913)/$L$914</f>
        <v>3.4195890229625028</v>
      </c>
      <c r="N638">
        <f>+N632+M638</f>
        <v>11.343157643775703</v>
      </c>
    </row>
    <row r="639" spans="1:14">
      <c r="A639" s="7">
        <v>1</v>
      </c>
      <c r="B639" s="87">
        <v>42887</v>
      </c>
      <c r="C639" s="20">
        <v>2017</v>
      </c>
      <c r="D639" s="10" t="s">
        <v>30</v>
      </c>
      <c r="E639" s="11">
        <v>6</v>
      </c>
      <c r="F639" s="112">
        <v>4.7350000000000003</v>
      </c>
      <c r="G639" s="112">
        <v>4.5999999999999999E-2</v>
      </c>
    </row>
    <row r="640" spans="1:14">
      <c r="A640" s="7">
        <v>17</v>
      </c>
      <c r="B640" s="87">
        <v>42887</v>
      </c>
      <c r="C640" s="20">
        <v>2017</v>
      </c>
      <c r="D640" s="10" t="s">
        <v>30</v>
      </c>
      <c r="E640" s="11">
        <v>6</v>
      </c>
      <c r="F640" s="112">
        <v>8.4489999999999998</v>
      </c>
      <c r="G640" s="112">
        <v>4.7E-2</v>
      </c>
    </row>
    <row r="641" spans="1:14">
      <c r="A641" s="7">
        <v>18</v>
      </c>
      <c r="B641" s="87">
        <v>42887</v>
      </c>
      <c r="C641" s="20">
        <v>2017</v>
      </c>
      <c r="D641" s="10" t="s">
        <v>31</v>
      </c>
      <c r="E641" s="11">
        <v>6</v>
      </c>
      <c r="F641" s="112">
        <v>6.4909999999999997</v>
      </c>
      <c r="G641" s="112">
        <v>2.3E-2</v>
      </c>
      <c r="I641" s="50">
        <f>AVERAGE(F639:F641)</f>
        <v>6.5583333333333336</v>
      </c>
      <c r="J641" s="50">
        <f>AVERAGE(G639:G641)</f>
        <v>3.8666666666666662E-2</v>
      </c>
      <c r="L641">
        <f>+J641/I641</f>
        <v>5.895806861499364E-3</v>
      </c>
      <c r="M641">
        <f>+(L641-$L$913)/$L$914</f>
        <v>-0.54260426599202438</v>
      </c>
      <c r="N641">
        <f>+N638+M641</f>
        <v>10.800553377783679</v>
      </c>
    </row>
    <row r="642" spans="1:14">
      <c r="A642" s="7">
        <v>1</v>
      </c>
      <c r="B642" s="87">
        <v>42917</v>
      </c>
      <c r="C642" s="20">
        <v>2017</v>
      </c>
      <c r="D642" s="10" t="s">
        <v>31</v>
      </c>
      <c r="E642" s="11">
        <v>7</v>
      </c>
      <c r="F642" s="112">
        <v>8.9369999999999994</v>
      </c>
      <c r="G642" s="112">
        <v>0.17899999999999999</v>
      </c>
    </row>
    <row r="643" spans="1:14">
      <c r="A643" s="7">
        <v>17</v>
      </c>
      <c r="B643" s="87">
        <v>42917</v>
      </c>
      <c r="C643" s="20">
        <v>2017</v>
      </c>
      <c r="D643" s="10" t="s">
        <v>31</v>
      </c>
      <c r="E643" s="11">
        <v>7</v>
      </c>
      <c r="F643" s="112">
        <v>17.248000000000001</v>
      </c>
      <c r="G643" s="112">
        <v>9.5000000000000001E-2</v>
      </c>
    </row>
    <row r="644" spans="1:14">
      <c r="A644" s="7">
        <v>18</v>
      </c>
      <c r="B644" s="87">
        <v>42917</v>
      </c>
      <c r="C644" s="20">
        <v>2017</v>
      </c>
      <c r="D644" s="10" t="s">
        <v>32</v>
      </c>
      <c r="E644" s="11">
        <v>7</v>
      </c>
      <c r="F644" s="112">
        <v>24.001000000000001</v>
      </c>
      <c r="G644" s="112">
        <v>0.13600000000000001</v>
      </c>
      <c r="I644" s="50">
        <f>AVERAGE(F642:F644)</f>
        <v>16.728666666666669</v>
      </c>
      <c r="J644" s="50">
        <f>AVERAGE(G642:G644)</f>
        <v>0.13666666666666669</v>
      </c>
      <c r="L644">
        <f>+J644/I644</f>
        <v>8.1696090543179369E-3</v>
      </c>
      <c r="M644">
        <f>+(L644-$L$913)/$L$914</f>
        <v>-0.47557669208191899</v>
      </c>
      <c r="N644">
        <f>+N641+M644</f>
        <v>10.32497668570176</v>
      </c>
    </row>
    <row r="645" spans="1:14">
      <c r="A645" s="7">
        <v>1</v>
      </c>
      <c r="B645" s="87">
        <v>42948</v>
      </c>
      <c r="C645" s="20">
        <v>2017</v>
      </c>
      <c r="D645" s="10" t="s">
        <v>32</v>
      </c>
      <c r="E645" s="11">
        <v>8</v>
      </c>
    </row>
    <row r="646" spans="1:14">
      <c r="A646" s="7">
        <v>17</v>
      </c>
      <c r="B646" s="87">
        <v>42948</v>
      </c>
      <c r="C646" s="20">
        <v>2017</v>
      </c>
      <c r="D646" s="10" t="s">
        <v>32</v>
      </c>
      <c r="E646" s="11">
        <v>8</v>
      </c>
    </row>
    <row r="647" spans="1:14">
      <c r="A647" s="7">
        <v>18</v>
      </c>
      <c r="B647" s="87">
        <v>42948</v>
      </c>
      <c r="C647" s="20">
        <v>2017</v>
      </c>
      <c r="D647" s="10" t="s">
        <v>38</v>
      </c>
      <c r="E647" s="11">
        <v>8</v>
      </c>
      <c r="I647" s="50"/>
      <c r="J647" s="50"/>
    </row>
    <row r="648" spans="1:14">
      <c r="A648" s="7">
        <v>1</v>
      </c>
      <c r="B648" s="87">
        <v>42979</v>
      </c>
      <c r="C648" s="20">
        <v>2017</v>
      </c>
      <c r="D648" s="10" t="s">
        <v>38</v>
      </c>
      <c r="E648" s="11">
        <v>9</v>
      </c>
      <c r="F648" s="112">
        <v>2.262</v>
      </c>
      <c r="G648" s="112">
        <v>2.4E-2</v>
      </c>
    </row>
    <row r="649" spans="1:14">
      <c r="A649" s="7">
        <v>17</v>
      </c>
      <c r="B649" s="87">
        <v>42979</v>
      </c>
      <c r="C649" s="20">
        <v>2017</v>
      </c>
      <c r="D649" s="10" t="s">
        <v>38</v>
      </c>
      <c r="E649" s="11">
        <v>9</v>
      </c>
      <c r="F649" s="112">
        <v>1.5029999999999999</v>
      </c>
      <c r="G649" s="112">
        <v>3.3000000000000002E-2</v>
      </c>
    </row>
    <row r="650" spans="1:14">
      <c r="A650" s="7">
        <v>18</v>
      </c>
      <c r="B650" s="87">
        <v>42979</v>
      </c>
      <c r="C650" s="20">
        <v>2017</v>
      </c>
      <c r="D650" s="10" t="s">
        <v>34</v>
      </c>
      <c r="E650" s="11">
        <v>9</v>
      </c>
      <c r="F650" s="112">
        <v>2.94</v>
      </c>
      <c r="G650" s="112">
        <v>5.3999999999999999E-2</v>
      </c>
      <c r="I650" s="50">
        <f>AVERAGE(F648:F650)</f>
        <v>2.2349999999999999</v>
      </c>
      <c r="J650" s="50">
        <f>AVERAGE(G648:G650)</f>
        <v>3.6999999999999998E-2</v>
      </c>
      <c r="L650">
        <f>+J650/I650</f>
        <v>1.6554809843400447E-2</v>
      </c>
      <c r="M650">
        <f>+(L650-$L$913)/$L$914</f>
        <v>-0.22839614690678847</v>
      </c>
      <c r="N650">
        <f>+N644+M650</f>
        <v>10.096580538794971</v>
      </c>
    </row>
    <row r="651" spans="1:14">
      <c r="A651" s="7">
        <v>1</v>
      </c>
      <c r="B651" s="87">
        <v>43009</v>
      </c>
      <c r="C651" s="20">
        <v>2017</v>
      </c>
      <c r="D651" s="10" t="s">
        <v>34</v>
      </c>
      <c r="E651" s="11">
        <v>10</v>
      </c>
    </row>
    <row r="652" spans="1:14">
      <c r="A652" s="7">
        <v>17</v>
      </c>
      <c r="B652" s="87">
        <v>43009</v>
      </c>
      <c r="C652" s="20">
        <v>2017</v>
      </c>
      <c r="D652" s="10" t="s">
        <v>34</v>
      </c>
      <c r="E652" s="11">
        <v>10</v>
      </c>
    </row>
    <row r="653" spans="1:14">
      <c r="A653" s="7">
        <v>18</v>
      </c>
      <c r="B653" s="87">
        <v>43009</v>
      </c>
      <c r="C653" s="20">
        <v>2017</v>
      </c>
      <c r="D653" s="10" t="s">
        <v>35</v>
      </c>
      <c r="E653" s="11">
        <v>10</v>
      </c>
      <c r="I653" s="50"/>
      <c r="J653" s="50"/>
    </row>
    <row r="654" spans="1:14">
      <c r="A654" s="7">
        <v>1</v>
      </c>
      <c r="B654" s="87">
        <v>43040</v>
      </c>
      <c r="C654" s="20">
        <v>2017</v>
      </c>
      <c r="D654" s="10" t="s">
        <v>35</v>
      </c>
      <c r="E654" s="11">
        <v>11</v>
      </c>
      <c r="F654" s="112">
        <v>1.7549999999999999</v>
      </c>
      <c r="G654" s="112">
        <v>1.4999999999999999E-2</v>
      </c>
    </row>
    <row r="655" spans="1:14">
      <c r="A655" s="7">
        <v>17</v>
      </c>
      <c r="B655" s="87">
        <v>43040</v>
      </c>
      <c r="C655" s="20">
        <v>2017</v>
      </c>
      <c r="D655" s="10" t="s">
        <v>35</v>
      </c>
      <c r="E655" s="11">
        <v>11</v>
      </c>
      <c r="F655" s="112">
        <v>2.8220000000000001</v>
      </c>
      <c r="G655" s="112">
        <v>2.8000000000000001E-2</v>
      </c>
    </row>
    <row r="656" spans="1:14">
      <c r="A656" s="7">
        <v>18</v>
      </c>
      <c r="B656" s="87">
        <v>43040</v>
      </c>
      <c r="C656" s="20">
        <v>2017</v>
      </c>
      <c r="D656" s="10" t="s">
        <v>36</v>
      </c>
      <c r="E656" s="11">
        <v>11</v>
      </c>
      <c r="F656" s="112">
        <v>1.2250000000000001</v>
      </c>
      <c r="G656" s="112">
        <v>2.4E-2</v>
      </c>
      <c r="I656" s="50">
        <f>AVERAGE(F654:F656)</f>
        <v>1.9339999999999999</v>
      </c>
      <c r="J656" s="50">
        <f>AVERAGE(G654:G656)</f>
        <v>2.2333333333333334E-2</v>
      </c>
      <c r="L656">
        <f>+J656/I656</f>
        <v>1.1547742157876595E-2</v>
      </c>
      <c r="M656">
        <f>+(L656-$L$913)/$L$914</f>
        <v>-0.37599544135039659</v>
      </c>
      <c r="N656">
        <f>+N650+M656</f>
        <v>9.7205850974445749</v>
      </c>
    </row>
    <row r="657" spans="1:14">
      <c r="A657" s="7">
        <v>1</v>
      </c>
      <c r="B657" s="88">
        <v>43070</v>
      </c>
      <c r="C657" s="20">
        <v>2017</v>
      </c>
      <c r="D657" s="10" t="s">
        <v>36</v>
      </c>
      <c r="E657" s="11">
        <v>12</v>
      </c>
      <c r="F657" s="112">
        <v>2.6640000000000001</v>
      </c>
      <c r="G657" s="112">
        <v>2.4E-2</v>
      </c>
    </row>
    <row r="658" spans="1:14">
      <c r="A658" s="7">
        <v>17</v>
      </c>
      <c r="B658" s="87">
        <v>43070</v>
      </c>
      <c r="C658" s="20">
        <v>2017</v>
      </c>
      <c r="D658" s="10" t="s">
        <v>36</v>
      </c>
      <c r="E658" s="11">
        <v>12</v>
      </c>
      <c r="F658" s="112">
        <v>6.5140000000000002</v>
      </c>
      <c r="G658" s="112">
        <v>5.6000000000000001E-2</v>
      </c>
    </row>
    <row r="659" spans="1:14">
      <c r="A659" s="7">
        <v>18</v>
      </c>
      <c r="B659" s="87">
        <v>43070</v>
      </c>
      <c r="C659" s="43">
        <v>2018</v>
      </c>
      <c r="D659" s="45" t="s">
        <v>37</v>
      </c>
      <c r="E659" s="11">
        <v>12</v>
      </c>
      <c r="F659" s="112">
        <v>6.5640000000000001</v>
      </c>
      <c r="G659" s="112">
        <v>4.2999999999999997E-2</v>
      </c>
      <c r="I659" s="50">
        <f>AVERAGE(F657:F659)</f>
        <v>5.2473333333333336</v>
      </c>
      <c r="J659" s="50">
        <f>AVERAGE(G657:G659)</f>
        <v>4.1000000000000002E-2</v>
      </c>
      <c r="L659">
        <f>+J659/I659</f>
        <v>7.8134925676534104E-3</v>
      </c>
      <c r="M659">
        <f>+(L659-$L$913)/$L$914</f>
        <v>-0.48607436167072565</v>
      </c>
      <c r="N659">
        <f>+N656+M659</f>
        <v>9.2345107357738492</v>
      </c>
    </row>
    <row r="660" spans="1:14" ht="18">
      <c r="A660" s="7">
        <v>1</v>
      </c>
      <c r="B660" s="86">
        <v>43110</v>
      </c>
      <c r="C660" s="20">
        <v>2018</v>
      </c>
      <c r="D660" s="10" t="s">
        <v>37</v>
      </c>
      <c r="E660" s="9">
        <v>1</v>
      </c>
      <c r="F660" s="100">
        <v>3.177</v>
      </c>
      <c r="G660" s="100">
        <v>0.06</v>
      </c>
      <c r="I660" s="102"/>
      <c r="J660" s="102"/>
    </row>
    <row r="661" spans="1:14" ht="18">
      <c r="A661" s="7">
        <v>17</v>
      </c>
      <c r="B661" s="86">
        <v>43105</v>
      </c>
      <c r="C661" s="20">
        <v>2018</v>
      </c>
      <c r="D661" s="10" t="s">
        <v>37</v>
      </c>
      <c r="E661" s="9">
        <v>1</v>
      </c>
      <c r="F661" s="100">
        <v>3.9380000000000002</v>
      </c>
      <c r="G661" s="100">
        <v>0.14000000000000001</v>
      </c>
      <c r="I661" s="102"/>
      <c r="J661" s="102"/>
    </row>
    <row r="662" spans="1:14">
      <c r="A662" s="7">
        <v>18</v>
      </c>
      <c r="B662" s="86">
        <v>43105</v>
      </c>
      <c r="C662" s="20">
        <v>2018</v>
      </c>
      <c r="D662" s="10" t="s">
        <v>26</v>
      </c>
      <c r="E662" s="9">
        <v>1</v>
      </c>
      <c r="F662" s="100">
        <v>3.1120000000000001</v>
      </c>
      <c r="G662" s="100">
        <v>3.5999999999999997E-2</v>
      </c>
      <c r="I662" s="50">
        <v>3.4090000000000003</v>
      </c>
      <c r="J662" s="50">
        <v>7.8666666666666676E-2</v>
      </c>
      <c r="L662">
        <v>2.3076170920113426E-2</v>
      </c>
      <c r="M662">
        <f>+(L662-$L$913)/$L$914</f>
        <v>-3.6158223597361448E-2</v>
      </c>
      <c r="N662">
        <f>+N659+M662</f>
        <v>9.1983525121764877</v>
      </c>
    </row>
    <row r="663" spans="1:14">
      <c r="A663" s="7">
        <v>1</v>
      </c>
      <c r="B663" s="87">
        <v>43132</v>
      </c>
      <c r="C663" s="20">
        <v>2018</v>
      </c>
      <c r="D663" s="10" t="s">
        <v>26</v>
      </c>
      <c r="E663" s="11">
        <v>2</v>
      </c>
      <c r="F663" s="100">
        <v>7.0629999999999997</v>
      </c>
      <c r="G663" s="100">
        <v>0.02</v>
      </c>
    </row>
    <row r="664" spans="1:14">
      <c r="A664" s="7">
        <v>17</v>
      </c>
      <c r="B664" s="87">
        <v>43132</v>
      </c>
      <c r="C664" s="20">
        <v>2018</v>
      </c>
      <c r="D664" s="10" t="s">
        <v>26</v>
      </c>
      <c r="E664" s="11">
        <v>2</v>
      </c>
      <c r="F664" s="100">
        <v>19.202999999999999</v>
      </c>
      <c r="G664" s="100">
        <v>5.8000000000000003E-2</v>
      </c>
    </row>
    <row r="665" spans="1:14">
      <c r="A665" s="7">
        <v>18</v>
      </c>
      <c r="B665" s="87">
        <v>43132</v>
      </c>
      <c r="C665" s="20">
        <v>2018</v>
      </c>
      <c r="D665" s="10" t="s">
        <v>27</v>
      </c>
      <c r="E665" s="11">
        <v>2</v>
      </c>
      <c r="F665" s="100">
        <v>3.625</v>
      </c>
      <c r="G665" s="100">
        <v>6.0999999999999999E-2</v>
      </c>
      <c r="I665" s="50">
        <v>9.9636666666666667</v>
      </c>
      <c r="J665" s="50">
        <v>4.6333333333333337E-2</v>
      </c>
      <c r="L665">
        <v>4.6502291659696899E-3</v>
      </c>
      <c r="M665">
        <f>+(L665-$L$913)/$L$914</f>
        <v>-0.57932164242502149</v>
      </c>
      <c r="N665">
        <f>+N662+M665</f>
        <v>8.6190308697514659</v>
      </c>
    </row>
    <row r="666" spans="1:14">
      <c r="A666" s="7">
        <v>1</v>
      </c>
      <c r="B666" s="87">
        <v>43160</v>
      </c>
      <c r="C666" s="20">
        <v>2018</v>
      </c>
      <c r="D666" s="10" t="s">
        <v>27</v>
      </c>
      <c r="E666" s="11">
        <v>3</v>
      </c>
      <c r="F666" s="100">
        <v>11.032</v>
      </c>
      <c r="G666" s="100">
        <v>6.8000000000000005E-2</v>
      </c>
    </row>
    <row r="667" spans="1:14">
      <c r="A667" s="7">
        <v>17</v>
      </c>
      <c r="B667" s="87">
        <v>43160</v>
      </c>
      <c r="C667" s="20">
        <v>2018</v>
      </c>
      <c r="D667" s="10" t="s">
        <v>27</v>
      </c>
      <c r="E667" s="11">
        <v>3</v>
      </c>
      <c r="F667" s="100">
        <v>15.913</v>
      </c>
      <c r="G667" s="100">
        <v>0.17299999999999999</v>
      </c>
    </row>
    <row r="668" spans="1:14">
      <c r="A668" s="7">
        <v>18</v>
      </c>
      <c r="B668" s="87">
        <v>43160</v>
      </c>
      <c r="C668" s="20">
        <v>2018</v>
      </c>
      <c r="D668" s="10" t="s">
        <v>28</v>
      </c>
      <c r="E668" s="11">
        <v>3</v>
      </c>
      <c r="F668" s="100">
        <v>13.196999999999999</v>
      </c>
      <c r="G668" s="100">
        <v>7.9000000000000001E-2</v>
      </c>
      <c r="I668" s="50">
        <v>13.380666666666665</v>
      </c>
      <c r="J668" s="50">
        <v>0.10666666666666667</v>
      </c>
      <c r="L668">
        <v>7.9717004633550904E-3</v>
      </c>
      <c r="M668">
        <f>+(L668-$L$913)/$L$914</f>
        <v>-0.48141067920274383</v>
      </c>
      <c r="N668">
        <f>+N665+M668</f>
        <v>8.1376201905487218</v>
      </c>
    </row>
    <row r="669" spans="1:14">
      <c r="A669" s="7">
        <v>1</v>
      </c>
      <c r="B669" s="87">
        <v>43191</v>
      </c>
      <c r="C669" s="20">
        <v>2018</v>
      </c>
      <c r="D669" s="10" t="s">
        <v>28</v>
      </c>
      <c r="E669" s="11">
        <v>4</v>
      </c>
      <c r="F669" s="100">
        <v>1.7310000000000001</v>
      </c>
      <c r="G669" s="100">
        <v>9.9989999999999996E-4</v>
      </c>
    </row>
    <row r="670" spans="1:14">
      <c r="A670" s="7">
        <v>17</v>
      </c>
      <c r="B670" s="87">
        <v>43191</v>
      </c>
      <c r="C670" s="20">
        <v>2018</v>
      </c>
      <c r="D670" s="10" t="s">
        <v>28</v>
      </c>
      <c r="E670" s="11">
        <v>4</v>
      </c>
      <c r="F670" s="101">
        <v>2.2810000000000001</v>
      </c>
      <c r="G670" s="101">
        <v>9.9989999999999996E-4</v>
      </c>
    </row>
    <row r="671" spans="1:14">
      <c r="A671" s="7">
        <v>18</v>
      </c>
      <c r="B671" s="87">
        <v>43191</v>
      </c>
      <c r="C671" s="20">
        <v>2018</v>
      </c>
      <c r="D671" s="10" t="s">
        <v>29</v>
      </c>
      <c r="E671" s="11">
        <v>4</v>
      </c>
      <c r="F671" s="101">
        <v>0.98299999999999998</v>
      </c>
      <c r="G671" s="101">
        <v>9.9989999999999996E-4</v>
      </c>
      <c r="I671" s="50">
        <v>1.665</v>
      </c>
      <c r="J671" s="50">
        <v>9.9989999999999996E-4</v>
      </c>
      <c r="L671">
        <v>6.0054054054054049E-4</v>
      </c>
      <c r="M671">
        <f>+(L671-$L$913)/$L$914</f>
        <v>-0.69869913467617972</v>
      </c>
      <c r="N671">
        <f>+N668+M671</f>
        <v>7.4389210558725418</v>
      </c>
    </row>
    <row r="672" spans="1:14">
      <c r="A672" s="7">
        <v>1</v>
      </c>
      <c r="B672" s="87">
        <v>43221</v>
      </c>
      <c r="C672" s="20">
        <v>2018</v>
      </c>
      <c r="D672" s="10" t="s">
        <v>29</v>
      </c>
      <c r="E672" s="11">
        <v>5</v>
      </c>
      <c r="F672" s="101">
        <v>7.7859999999999996</v>
      </c>
      <c r="G672" s="101">
        <v>6.9000000000000006E-2</v>
      </c>
    </row>
    <row r="673" spans="1:14">
      <c r="A673" s="7">
        <v>17</v>
      </c>
      <c r="B673" s="87">
        <v>43221</v>
      </c>
      <c r="C673" s="20">
        <v>2018</v>
      </c>
      <c r="D673" s="10" t="s">
        <v>29</v>
      </c>
      <c r="E673" s="11">
        <v>5</v>
      </c>
      <c r="F673" s="101">
        <v>7.8879999999999999</v>
      </c>
      <c r="G673" s="101">
        <v>0.28199999999999997</v>
      </c>
    </row>
    <row r="674" spans="1:14">
      <c r="A674" s="7">
        <v>18</v>
      </c>
      <c r="B674" s="87">
        <v>43221</v>
      </c>
      <c r="C674" s="20">
        <v>2018</v>
      </c>
      <c r="D674" s="10" t="s">
        <v>30</v>
      </c>
      <c r="E674" s="11">
        <v>5</v>
      </c>
      <c r="F674" s="101">
        <v>10.387</v>
      </c>
      <c r="G674" s="101">
        <v>9.2999999999999999E-2</v>
      </c>
      <c r="I674" s="50">
        <v>8.6869999999999994</v>
      </c>
      <c r="J674" s="50">
        <v>0.14799999999999999</v>
      </c>
      <c r="L674">
        <v>1.7036951767008174E-2</v>
      </c>
      <c r="M674">
        <f>+(L674-$L$913)/$L$914</f>
        <v>-0.21418347549594868</v>
      </c>
      <c r="N674">
        <f>+N671+M674</f>
        <v>7.2247375803765932</v>
      </c>
    </row>
    <row r="675" spans="1:14">
      <c r="A675" s="7">
        <v>1</v>
      </c>
      <c r="B675" s="87">
        <v>43252</v>
      </c>
      <c r="C675" s="20">
        <v>2018</v>
      </c>
      <c r="D675" s="10" t="s">
        <v>30</v>
      </c>
      <c r="E675" s="11">
        <v>6</v>
      </c>
      <c r="F675" s="101">
        <v>14.132999999999999</v>
      </c>
      <c r="G675" s="101">
        <v>4.2000000000000003E-2</v>
      </c>
    </row>
    <row r="676" spans="1:14">
      <c r="A676" s="7">
        <v>17</v>
      </c>
      <c r="B676" s="87">
        <v>43252</v>
      </c>
      <c r="C676" s="20">
        <v>2018</v>
      </c>
      <c r="D676" s="10" t="s">
        <v>30</v>
      </c>
      <c r="E676" s="11">
        <v>6</v>
      </c>
      <c r="F676" s="101">
        <v>7.4669999999999996</v>
      </c>
      <c r="G676" s="101">
        <v>0.20699999999999999</v>
      </c>
    </row>
    <row r="677" spans="1:14">
      <c r="A677" s="7">
        <v>18</v>
      </c>
      <c r="B677" s="87">
        <v>43252</v>
      </c>
      <c r="C677" s="20">
        <v>2018</v>
      </c>
      <c r="D677" s="10" t="s">
        <v>31</v>
      </c>
      <c r="E677" s="11">
        <v>6</v>
      </c>
      <c r="F677" s="101">
        <v>4.8140000000000001</v>
      </c>
      <c r="G677" s="101">
        <v>0.28199999999999997</v>
      </c>
      <c r="I677" s="50">
        <v>8.804666666666666</v>
      </c>
      <c r="J677" s="50">
        <v>0.17699999999999996</v>
      </c>
      <c r="L677">
        <v>2.0102975694707349E-2</v>
      </c>
      <c r="M677">
        <f>+(L677-$L$913)/$L$914</f>
        <v>-0.12380263846752487</v>
      </c>
      <c r="N677">
        <f>+N674+M677</f>
        <v>7.1009349419090686</v>
      </c>
    </row>
    <row r="678" spans="1:14">
      <c r="A678" s="7">
        <v>1</v>
      </c>
      <c r="B678" s="87">
        <v>43282</v>
      </c>
      <c r="C678" s="20">
        <v>2018</v>
      </c>
      <c r="D678" s="10" t="s">
        <v>31</v>
      </c>
      <c r="E678" s="11">
        <v>7</v>
      </c>
      <c r="F678" s="101">
        <v>24.436</v>
      </c>
      <c r="G678" s="101">
        <v>0.152</v>
      </c>
    </row>
    <row r="679" spans="1:14">
      <c r="A679" s="7">
        <v>17</v>
      </c>
      <c r="B679" s="87">
        <v>43282</v>
      </c>
      <c r="C679" s="20">
        <v>2018</v>
      </c>
      <c r="D679" s="10" t="s">
        <v>31</v>
      </c>
      <c r="E679" s="11">
        <v>7</v>
      </c>
      <c r="F679" s="101">
        <v>19.725000000000001</v>
      </c>
      <c r="G679" s="101">
        <v>0.16800000000000001</v>
      </c>
    </row>
    <row r="680" spans="1:14">
      <c r="A680" s="7">
        <v>18</v>
      </c>
      <c r="B680" s="87">
        <v>43282</v>
      </c>
      <c r="C680" s="20">
        <v>2018</v>
      </c>
      <c r="D680" s="10" t="s">
        <v>32</v>
      </c>
      <c r="E680" s="11">
        <v>7</v>
      </c>
      <c r="F680" s="101">
        <v>17.449000000000002</v>
      </c>
      <c r="G680" s="101">
        <v>7.1999999999999995E-2</v>
      </c>
      <c r="I680" s="50">
        <v>20.536666666666665</v>
      </c>
      <c r="J680" s="50">
        <v>0.13066666666666668</v>
      </c>
      <c r="L680">
        <v>6.3626034734621017E-3</v>
      </c>
      <c r="M680">
        <f>+(L680-$L$913)/$L$914</f>
        <v>-0.52884394659918632</v>
      </c>
      <c r="N680">
        <f>+N677+M680</f>
        <v>6.5720909953098818</v>
      </c>
    </row>
    <row r="681" spans="1:14">
      <c r="A681" s="7">
        <v>1</v>
      </c>
      <c r="B681" s="87">
        <v>43313</v>
      </c>
      <c r="C681" s="20">
        <v>2018</v>
      </c>
      <c r="D681" s="10" t="s">
        <v>32</v>
      </c>
      <c r="E681" s="11">
        <v>8</v>
      </c>
      <c r="F681" s="101">
        <v>7.9960000000000004</v>
      </c>
      <c r="G681" s="101">
        <v>0.13600000000000001</v>
      </c>
    </row>
    <row r="682" spans="1:14">
      <c r="A682" s="7">
        <v>17</v>
      </c>
      <c r="B682" s="87">
        <v>43313</v>
      </c>
      <c r="C682" s="20">
        <v>2018</v>
      </c>
      <c r="D682" s="10" t="s">
        <v>32</v>
      </c>
      <c r="E682" s="11">
        <v>8</v>
      </c>
      <c r="F682" s="101">
        <v>6.9889999999999999</v>
      </c>
      <c r="G682" s="101">
        <v>0.16200000000000001</v>
      </c>
    </row>
    <row r="683" spans="1:14">
      <c r="A683" s="7">
        <v>18</v>
      </c>
      <c r="B683" s="87">
        <v>43313</v>
      </c>
      <c r="C683" s="20">
        <v>2018</v>
      </c>
      <c r="D683" s="10" t="s">
        <v>38</v>
      </c>
      <c r="E683" s="11">
        <v>8</v>
      </c>
      <c r="F683" s="101">
        <v>8.8940000000000001</v>
      </c>
      <c r="G683" s="101">
        <v>0.10299999999999999</v>
      </c>
      <c r="I683" s="50">
        <v>7.9596666666666662</v>
      </c>
      <c r="J683" s="50">
        <v>0.13366666666666668</v>
      </c>
      <c r="L683">
        <v>1.6792998031743375E-2</v>
      </c>
      <c r="M683">
        <f>+(L683-$L$913)/$L$914</f>
        <v>-0.2213747901462518</v>
      </c>
      <c r="N683">
        <f>+N680+M683</f>
        <v>6.3507162051636303</v>
      </c>
    </row>
    <row r="684" spans="1:14">
      <c r="A684" s="7">
        <v>1</v>
      </c>
      <c r="B684" s="87">
        <v>43344</v>
      </c>
      <c r="C684" s="20">
        <v>2018</v>
      </c>
      <c r="D684" s="10" t="s">
        <v>38</v>
      </c>
      <c r="E684" s="11">
        <v>9</v>
      </c>
      <c r="F684" s="101">
        <v>3.6890000000000001</v>
      </c>
      <c r="G684" s="101">
        <v>1.7999999999999999E-2</v>
      </c>
    </row>
    <row r="685" spans="1:14">
      <c r="A685" s="7">
        <v>17</v>
      </c>
      <c r="B685" s="87">
        <v>43344</v>
      </c>
      <c r="C685" s="20">
        <v>2018</v>
      </c>
      <c r="D685" s="10" t="s">
        <v>38</v>
      </c>
      <c r="E685" s="11">
        <v>9</v>
      </c>
      <c r="F685" s="101">
        <v>5.0949999999999998</v>
      </c>
      <c r="G685" s="101">
        <v>4.3999999999999997E-2</v>
      </c>
    </row>
    <row r="686" spans="1:14">
      <c r="A686" s="7">
        <v>18</v>
      </c>
      <c r="B686" s="87">
        <v>43344</v>
      </c>
      <c r="C686" s="20">
        <v>2018</v>
      </c>
      <c r="D686" s="10" t="s">
        <v>34</v>
      </c>
      <c r="E686" s="11">
        <v>9</v>
      </c>
      <c r="F686" s="101">
        <v>10.029999999999999</v>
      </c>
      <c r="G686" s="101">
        <v>0.05</v>
      </c>
      <c r="I686" s="50">
        <v>6.2713333333333336</v>
      </c>
      <c r="J686" s="50">
        <v>3.7333333333333336E-2</v>
      </c>
      <c r="L686">
        <v>5.9530137131923039E-3</v>
      </c>
      <c r="M686">
        <f>+(L686-$L$913)/$L$914</f>
        <v>-0.5409179115271886</v>
      </c>
      <c r="N686">
        <f>+N683+M686</f>
        <v>5.8097982936364421</v>
      </c>
    </row>
    <row r="687" spans="1:14">
      <c r="A687" s="7">
        <v>1</v>
      </c>
      <c r="B687" s="87">
        <v>43374</v>
      </c>
      <c r="C687" s="20">
        <v>2018</v>
      </c>
      <c r="D687" s="10" t="s">
        <v>34</v>
      </c>
      <c r="E687" s="11">
        <v>10</v>
      </c>
      <c r="F687" s="101">
        <v>1.6359999999999999</v>
      </c>
      <c r="G687" s="101">
        <v>9.9989999999999996E-4</v>
      </c>
    </row>
    <row r="688" spans="1:14">
      <c r="A688" s="7">
        <v>17</v>
      </c>
      <c r="B688" s="87">
        <v>43374</v>
      </c>
      <c r="C688" s="20">
        <v>2018</v>
      </c>
      <c r="D688" s="10" t="s">
        <v>34</v>
      </c>
      <c r="E688" s="11">
        <v>10</v>
      </c>
      <c r="F688" s="101">
        <v>3.3069999999999999</v>
      </c>
      <c r="G688" s="101">
        <v>2.4E-2</v>
      </c>
    </row>
    <row r="689" spans="1:14">
      <c r="A689" s="7">
        <v>18</v>
      </c>
      <c r="B689" s="87">
        <v>43374</v>
      </c>
      <c r="C689" s="20">
        <v>2018</v>
      </c>
      <c r="D689" s="10" t="s">
        <v>35</v>
      </c>
      <c r="E689" s="11">
        <v>10</v>
      </c>
      <c r="F689" s="101">
        <v>2.2839999999999998</v>
      </c>
      <c r="G689" s="101">
        <v>1.4E-2</v>
      </c>
      <c r="I689" s="50">
        <v>2.4089999999999998</v>
      </c>
      <c r="J689" s="50">
        <v>1.2999966666666668E-2</v>
      </c>
      <c r="L689">
        <v>5.396416216964163E-3</v>
      </c>
      <c r="M689">
        <f>+(L689-$L$913)/$L$914</f>
        <v>-0.55732539848205231</v>
      </c>
      <c r="N689">
        <f>+N686+M689</f>
        <v>5.2524728951543898</v>
      </c>
    </row>
    <row r="690" spans="1:14">
      <c r="A690" s="7">
        <v>1</v>
      </c>
      <c r="B690" s="87">
        <v>43405</v>
      </c>
      <c r="C690" s="20">
        <v>2018</v>
      </c>
      <c r="D690" s="10" t="s">
        <v>35</v>
      </c>
      <c r="E690" s="11">
        <v>11</v>
      </c>
      <c r="F690" s="101">
        <v>3.88</v>
      </c>
      <c r="G690" s="101">
        <v>9.6000000000000002E-2</v>
      </c>
    </row>
    <row r="691" spans="1:14">
      <c r="A691" s="7">
        <v>17</v>
      </c>
      <c r="B691" s="87">
        <v>43405</v>
      </c>
      <c r="C691" s="20">
        <v>2018</v>
      </c>
      <c r="D691" s="10" t="s">
        <v>35</v>
      </c>
      <c r="E691" s="11">
        <v>11</v>
      </c>
      <c r="F691" s="101">
        <v>7.8689999999999998</v>
      </c>
      <c r="G691" s="101">
        <v>4.7E-2</v>
      </c>
    </row>
    <row r="692" spans="1:14">
      <c r="A692" s="7">
        <v>18</v>
      </c>
      <c r="B692" s="87">
        <v>43405</v>
      </c>
      <c r="C692" s="20">
        <v>2018</v>
      </c>
      <c r="D692" s="10" t="s">
        <v>36</v>
      </c>
      <c r="E692" s="11">
        <v>11</v>
      </c>
      <c r="F692" s="101">
        <v>5.1040000000000001</v>
      </c>
      <c r="G692" s="101">
        <v>0.02</v>
      </c>
      <c r="I692" s="50">
        <v>5.6176666666666657</v>
      </c>
      <c r="J692" s="50">
        <v>5.4333333333333338E-2</v>
      </c>
      <c r="L692">
        <v>9.6718685100575588E-3</v>
      </c>
      <c r="M692">
        <f>+(L692-$L$913)/$L$914</f>
        <v>-0.43129280185621521</v>
      </c>
      <c r="N692">
        <f>+N689+M692</f>
        <v>4.8211800932981745</v>
      </c>
    </row>
    <row r="693" spans="1:14">
      <c r="A693" s="7">
        <v>1</v>
      </c>
      <c r="B693" s="88">
        <v>43435</v>
      </c>
      <c r="C693" s="20">
        <v>2018</v>
      </c>
      <c r="D693" s="10" t="s">
        <v>36</v>
      </c>
      <c r="E693" s="11">
        <v>12</v>
      </c>
    </row>
    <row r="694" spans="1:14">
      <c r="A694" s="7">
        <v>17</v>
      </c>
      <c r="B694" s="87">
        <v>43435</v>
      </c>
      <c r="C694" s="20">
        <v>2018</v>
      </c>
      <c r="D694" s="10" t="s">
        <v>36</v>
      </c>
      <c r="E694" s="11">
        <v>12</v>
      </c>
    </row>
    <row r="695" spans="1:14">
      <c r="A695" s="7">
        <v>18</v>
      </c>
      <c r="B695" s="87">
        <v>43435</v>
      </c>
      <c r="C695" s="48">
        <v>2019</v>
      </c>
      <c r="D695" s="45" t="s">
        <v>37</v>
      </c>
      <c r="E695" s="11">
        <v>12</v>
      </c>
    </row>
    <row r="696" spans="1:14">
      <c r="A696" s="7">
        <v>1</v>
      </c>
      <c r="B696" s="86">
        <v>43475</v>
      </c>
      <c r="C696" s="20">
        <v>2019</v>
      </c>
      <c r="D696" s="10" t="s">
        <v>37</v>
      </c>
      <c r="E696" s="9">
        <v>1</v>
      </c>
    </row>
    <row r="697" spans="1:14">
      <c r="A697" s="7">
        <v>17</v>
      </c>
      <c r="B697" s="86">
        <v>43470</v>
      </c>
      <c r="C697" s="20">
        <v>2019</v>
      </c>
      <c r="D697" s="10" t="s">
        <v>37</v>
      </c>
      <c r="E697" s="9">
        <v>1</v>
      </c>
    </row>
    <row r="698" spans="1:14">
      <c r="A698" s="7">
        <v>18</v>
      </c>
      <c r="B698" s="86">
        <v>43470</v>
      </c>
      <c r="C698" s="20">
        <v>2019</v>
      </c>
      <c r="D698" s="10" t="s">
        <v>26</v>
      </c>
      <c r="E698" s="9">
        <v>1</v>
      </c>
    </row>
    <row r="699" spans="1:14">
      <c r="A699" s="7">
        <v>1</v>
      </c>
      <c r="B699" s="87">
        <v>43497</v>
      </c>
      <c r="C699" s="20">
        <v>2019</v>
      </c>
      <c r="D699" s="10" t="s">
        <v>26</v>
      </c>
      <c r="E699" s="11">
        <v>2</v>
      </c>
    </row>
    <row r="700" spans="1:14">
      <c r="A700" s="7">
        <v>17</v>
      </c>
      <c r="B700" s="87">
        <v>43497</v>
      </c>
      <c r="C700" s="20">
        <v>2019</v>
      </c>
      <c r="D700" s="10" t="s">
        <v>26</v>
      </c>
      <c r="E700" s="11">
        <v>2</v>
      </c>
    </row>
    <row r="701" spans="1:14">
      <c r="A701" s="7">
        <v>18</v>
      </c>
      <c r="B701" s="87">
        <v>43497</v>
      </c>
      <c r="C701" s="20">
        <v>2019</v>
      </c>
      <c r="D701" s="10" t="s">
        <v>27</v>
      </c>
      <c r="E701" s="11">
        <v>2</v>
      </c>
    </row>
    <row r="702" spans="1:14">
      <c r="A702" s="7">
        <v>1</v>
      </c>
      <c r="B702" s="87">
        <v>43525</v>
      </c>
      <c r="C702" s="20">
        <v>2019</v>
      </c>
      <c r="D702" s="10" t="s">
        <v>27</v>
      </c>
      <c r="E702" s="11">
        <v>3</v>
      </c>
      <c r="F702" s="113">
        <v>3.4420000000000002</v>
      </c>
      <c r="G702" s="114">
        <v>5.2999999999999999E-2</v>
      </c>
    </row>
    <row r="703" spans="1:14">
      <c r="A703" s="7">
        <v>17</v>
      </c>
      <c r="B703" s="87">
        <v>43525</v>
      </c>
      <c r="C703" s="20">
        <v>2019</v>
      </c>
      <c r="D703" s="10" t="s">
        <v>27</v>
      </c>
      <c r="E703" s="11">
        <v>3</v>
      </c>
      <c r="F703" s="113">
        <v>3.88</v>
      </c>
      <c r="G703" s="114">
        <v>5.5E-2</v>
      </c>
    </row>
    <row r="704" spans="1:14">
      <c r="A704" s="7">
        <v>18</v>
      </c>
      <c r="B704" s="87">
        <v>43525</v>
      </c>
      <c r="C704" s="20">
        <v>2019</v>
      </c>
      <c r="D704" s="10" t="s">
        <v>28</v>
      </c>
      <c r="E704" s="11">
        <v>3</v>
      </c>
      <c r="F704" s="113">
        <v>2.6160000000000001</v>
      </c>
      <c r="G704" s="114">
        <v>4.9000000000000002E-2</v>
      </c>
      <c r="I704" s="50">
        <f>AVERAGE(F702:F704)</f>
        <v>3.3126666666666669</v>
      </c>
      <c r="J704" s="50">
        <f>AVERAGE(G702:G704)</f>
        <v>5.2333333333333336E-2</v>
      </c>
      <c r="L704">
        <f>+J704/I704</f>
        <v>1.5797947273093176E-2</v>
      </c>
      <c r="M704">
        <f>+(L704-$L$913)/$L$914</f>
        <v>-0.25070708584038931</v>
      </c>
      <c r="N704">
        <f>+N692+M704</f>
        <v>4.5704730074577853</v>
      </c>
    </row>
    <row r="705" spans="1:14">
      <c r="A705" s="7">
        <v>1</v>
      </c>
      <c r="B705" s="87">
        <v>43556</v>
      </c>
      <c r="C705" s="20">
        <v>2019</v>
      </c>
      <c r="D705" s="10" t="s">
        <v>28</v>
      </c>
      <c r="E705" s="11">
        <v>4</v>
      </c>
      <c r="F705" s="105">
        <v>3.0710000000000002</v>
      </c>
      <c r="G705" s="114">
        <v>1.7000000000000001E-2</v>
      </c>
    </row>
    <row r="706" spans="1:14">
      <c r="A706" s="7">
        <v>17</v>
      </c>
      <c r="B706" s="87">
        <v>43556</v>
      </c>
      <c r="C706" s="20">
        <v>2019</v>
      </c>
      <c r="D706" s="10" t="s">
        <v>28</v>
      </c>
      <c r="E706" s="11">
        <v>4</v>
      </c>
      <c r="F706" s="105">
        <v>2.8340000000000001</v>
      </c>
      <c r="G706" s="114">
        <v>1.9E-2</v>
      </c>
    </row>
    <row r="707" spans="1:14">
      <c r="A707" s="7">
        <v>18</v>
      </c>
      <c r="B707" s="87">
        <v>43556</v>
      </c>
      <c r="C707" s="20">
        <v>2019</v>
      </c>
      <c r="D707" s="10" t="s">
        <v>29</v>
      </c>
      <c r="E707" s="11">
        <v>4</v>
      </c>
      <c r="F707" s="105">
        <v>2.6230000000000002</v>
      </c>
      <c r="G707" s="114">
        <v>1.0999999999999999E-2</v>
      </c>
      <c r="I707" s="50">
        <f>AVERAGE(F705:F707)</f>
        <v>2.8426666666666667</v>
      </c>
      <c r="J707" s="50">
        <f>AVERAGE(G705:G707)</f>
        <v>1.5666666666666666E-2</v>
      </c>
      <c r="L707">
        <f>+J707/I707</f>
        <v>5.5112570356472788E-3</v>
      </c>
      <c r="M707">
        <f>+(L707-$L$913)/$L$914</f>
        <v>-0.55394009896633778</v>
      </c>
      <c r="N707">
        <f>+N704+M707</f>
        <v>4.0165329084914472</v>
      </c>
    </row>
    <row r="708" spans="1:14">
      <c r="A708" s="7">
        <v>1</v>
      </c>
      <c r="B708" s="87">
        <v>43586</v>
      </c>
      <c r="C708" s="20">
        <v>2019</v>
      </c>
      <c r="D708" s="10" t="s">
        <v>29</v>
      </c>
      <c r="E708" s="11">
        <v>5</v>
      </c>
      <c r="F708" s="105">
        <v>5.8780000000000001</v>
      </c>
      <c r="G708" s="114">
        <v>0.52700000000000002</v>
      </c>
    </row>
    <row r="709" spans="1:14">
      <c r="A709" s="7">
        <v>17</v>
      </c>
      <c r="B709" s="87">
        <v>43586</v>
      </c>
      <c r="C709" s="20">
        <v>2019</v>
      </c>
      <c r="D709" s="10" t="s">
        <v>29</v>
      </c>
      <c r="E709" s="11">
        <v>5</v>
      </c>
      <c r="F709" s="105">
        <v>6.8109999999999999</v>
      </c>
      <c r="G709" s="114">
        <v>0.61199999999999999</v>
      </c>
    </row>
    <row r="710" spans="1:14">
      <c r="A710" s="7">
        <v>18</v>
      </c>
      <c r="B710" s="87">
        <v>43586</v>
      </c>
      <c r="C710" s="20">
        <v>2019</v>
      </c>
      <c r="D710" s="10" t="s">
        <v>30</v>
      </c>
      <c r="E710" s="11">
        <v>5</v>
      </c>
      <c r="F710" s="105">
        <v>3.9129999999999998</v>
      </c>
      <c r="G710" s="116">
        <v>0.16600000000000001</v>
      </c>
      <c r="I710" s="50">
        <f>AVERAGE(F708:F710)</f>
        <v>5.5339999999999998</v>
      </c>
      <c r="J710" s="50">
        <f>AVERAGE(G708:G710)</f>
        <v>0.435</v>
      </c>
      <c r="L710">
        <f>+J710/I710</f>
        <v>7.8604987350921585E-2</v>
      </c>
      <c r="M710">
        <f>+(L710-$L$913)/$L$914</f>
        <v>1.6007307983289383</v>
      </c>
      <c r="N710">
        <f>+N707+M710</f>
        <v>5.6172637068203857</v>
      </c>
    </row>
    <row r="711" spans="1:14">
      <c r="A711" s="7">
        <v>1</v>
      </c>
      <c r="B711" s="87">
        <v>43617</v>
      </c>
      <c r="C711" s="20">
        <v>2019</v>
      </c>
      <c r="D711" s="10" t="s">
        <v>30</v>
      </c>
      <c r="E711" s="11">
        <v>6</v>
      </c>
      <c r="F711" s="105">
        <v>5.2069999999999999</v>
      </c>
      <c r="G711" s="116">
        <v>5.3999999999999999E-2</v>
      </c>
    </row>
    <row r="712" spans="1:14">
      <c r="A712" s="7">
        <v>17</v>
      </c>
      <c r="B712" s="87">
        <v>43617</v>
      </c>
      <c r="C712" s="20">
        <v>2019</v>
      </c>
      <c r="D712" s="10" t="s">
        <v>30</v>
      </c>
      <c r="E712" s="11">
        <v>6</v>
      </c>
      <c r="F712" s="107">
        <v>4.3520000000000003</v>
      </c>
      <c r="G712" s="101">
        <v>0.23200000000000001</v>
      </c>
    </row>
    <row r="713" spans="1:14">
      <c r="A713" s="7">
        <v>18</v>
      </c>
      <c r="B713" s="87">
        <v>43617</v>
      </c>
      <c r="C713" s="20">
        <v>2019</v>
      </c>
      <c r="D713" s="10" t="s">
        <v>31</v>
      </c>
      <c r="E713" s="11">
        <v>6</v>
      </c>
      <c r="F713" s="107">
        <v>6.5030000000000001</v>
      </c>
      <c r="G713" s="101">
        <v>5.5E-2</v>
      </c>
      <c r="I713" s="50">
        <f>AVERAGE(F711:F713)</f>
        <v>5.3540000000000001</v>
      </c>
      <c r="J713" s="50">
        <f>AVERAGE(G711:G713)</f>
        <v>0.11366666666666668</v>
      </c>
      <c r="L713">
        <f>+J713/I713</f>
        <v>2.1230232847715105E-2</v>
      </c>
      <c r="M713">
        <f>+(L713-$L$913)/$L$914</f>
        <v>-9.0573137512007476E-2</v>
      </c>
      <c r="N713">
        <f>+N710+M713</f>
        <v>5.5266905693083785</v>
      </c>
    </row>
    <row r="714" spans="1:14">
      <c r="A714" s="7">
        <v>1</v>
      </c>
      <c r="B714" s="87">
        <v>43647</v>
      </c>
      <c r="C714" s="20">
        <v>2019</v>
      </c>
      <c r="D714" s="10" t="s">
        <v>31</v>
      </c>
      <c r="E714" s="11">
        <v>7</v>
      </c>
      <c r="F714" s="107">
        <v>1.7410000000000001</v>
      </c>
      <c r="G714" s="101">
        <v>0.15</v>
      </c>
    </row>
    <row r="715" spans="1:14">
      <c r="A715" s="7">
        <v>17</v>
      </c>
      <c r="B715" s="87">
        <v>43647</v>
      </c>
      <c r="C715" s="20">
        <v>2019</v>
      </c>
      <c r="D715" s="10" t="s">
        <v>31</v>
      </c>
      <c r="E715" s="11">
        <v>7</v>
      </c>
      <c r="F715" s="107">
        <v>3.8460000000000001</v>
      </c>
      <c r="G715" s="101">
        <v>0.41299999999999998</v>
      </c>
    </row>
    <row r="716" spans="1:14">
      <c r="A716" s="7">
        <v>18</v>
      </c>
      <c r="B716" s="87">
        <v>43647</v>
      </c>
      <c r="C716" s="20">
        <v>2019</v>
      </c>
      <c r="D716" s="10" t="s">
        <v>32</v>
      </c>
      <c r="E716" s="11">
        <v>7</v>
      </c>
      <c r="F716" s="107">
        <v>3.38</v>
      </c>
      <c r="G716" s="101">
        <v>0.25</v>
      </c>
      <c r="I716" s="50">
        <f>AVERAGE(F714:F716)</f>
        <v>2.9889999999999994</v>
      </c>
      <c r="J716" s="50">
        <f>AVERAGE(G714:G716)</f>
        <v>0.27099999999999996</v>
      </c>
      <c r="L716">
        <f>+J716/I716</f>
        <v>9.0665774506523925E-2</v>
      </c>
      <c r="M716">
        <f>+(L716-$L$913)/$L$914</f>
        <v>1.9562609781481854</v>
      </c>
      <c r="N716">
        <f>+N713+M716</f>
        <v>7.4829515474565635</v>
      </c>
    </row>
    <row r="717" spans="1:14">
      <c r="A717" s="7">
        <v>1</v>
      </c>
      <c r="B717" s="87">
        <v>43678</v>
      </c>
      <c r="C717" s="20">
        <v>2019</v>
      </c>
      <c r="D717" s="10" t="s">
        <v>32</v>
      </c>
      <c r="E717" s="11">
        <v>8</v>
      </c>
    </row>
    <row r="718" spans="1:14">
      <c r="A718" s="7">
        <v>17</v>
      </c>
      <c r="B718" s="87">
        <v>43678</v>
      </c>
      <c r="C718" s="20">
        <v>2019</v>
      </c>
      <c r="D718" s="10" t="s">
        <v>32</v>
      </c>
      <c r="E718" s="11">
        <v>8</v>
      </c>
    </row>
    <row r="719" spans="1:14">
      <c r="A719" s="7">
        <v>18</v>
      </c>
      <c r="B719" s="87">
        <v>43678</v>
      </c>
      <c r="C719" s="20">
        <v>2019</v>
      </c>
      <c r="D719" s="10" t="s">
        <v>38</v>
      </c>
      <c r="E719" s="11">
        <v>8</v>
      </c>
      <c r="I719" s="50"/>
      <c r="J719" s="50"/>
    </row>
    <row r="720" spans="1:14">
      <c r="A720" s="7">
        <v>1</v>
      </c>
      <c r="B720" s="87">
        <v>43709</v>
      </c>
      <c r="C720" s="20">
        <v>2019</v>
      </c>
      <c r="D720" s="10" t="s">
        <v>38</v>
      </c>
      <c r="E720" s="11">
        <v>9</v>
      </c>
      <c r="F720" s="101">
        <v>4.3940000000000001</v>
      </c>
      <c r="G720" s="101">
        <v>3.3000000000000002E-2</v>
      </c>
    </row>
    <row r="721" spans="1:14">
      <c r="A721" s="7">
        <v>17</v>
      </c>
      <c r="B721" s="87">
        <v>43709</v>
      </c>
      <c r="C721" s="20">
        <v>2019</v>
      </c>
      <c r="D721" s="10" t="s">
        <v>38</v>
      </c>
      <c r="E721" s="11">
        <v>9</v>
      </c>
      <c r="F721" s="101">
        <v>7.6769999999999996</v>
      </c>
      <c r="G721" s="101">
        <v>6.2E-2</v>
      </c>
    </row>
    <row r="722" spans="1:14">
      <c r="A722" s="7">
        <v>18</v>
      </c>
      <c r="B722" s="87">
        <v>43709</v>
      </c>
      <c r="C722" s="20">
        <v>2019</v>
      </c>
      <c r="D722" s="10" t="s">
        <v>34</v>
      </c>
      <c r="E722" s="11">
        <v>9</v>
      </c>
      <c r="F722" s="101">
        <v>4.37</v>
      </c>
      <c r="G722" s="101">
        <v>2.7E-2</v>
      </c>
      <c r="I722" s="50">
        <f>AVERAGE(F720:F722)</f>
        <v>5.4803333333333333</v>
      </c>
      <c r="J722" s="50">
        <f>AVERAGE(G720:G722)</f>
        <v>4.0666666666666663E-2</v>
      </c>
      <c r="L722">
        <f>+J722/I722</f>
        <v>7.4204732072258375E-3</v>
      </c>
      <c r="M722">
        <f>+(L722-$L$913)/$L$914</f>
        <v>-0.49765986119762473</v>
      </c>
      <c r="N722">
        <f>+N716+M722</f>
        <v>6.9852916862589387</v>
      </c>
    </row>
    <row r="723" spans="1:14">
      <c r="A723" s="7">
        <v>1</v>
      </c>
      <c r="B723" s="87">
        <v>43739</v>
      </c>
      <c r="C723" s="20">
        <v>2019</v>
      </c>
      <c r="D723" s="10" t="s">
        <v>34</v>
      </c>
      <c r="E723" s="11">
        <v>10</v>
      </c>
      <c r="F723" s="101">
        <v>1.605</v>
      </c>
      <c r="G723" s="101">
        <v>9.9989999999999996E-4</v>
      </c>
    </row>
    <row r="724" spans="1:14">
      <c r="A724" s="7">
        <v>17</v>
      </c>
      <c r="B724" s="87">
        <v>43739</v>
      </c>
      <c r="C724" s="20">
        <v>2019</v>
      </c>
      <c r="D724" s="10" t="s">
        <v>34</v>
      </c>
      <c r="E724" s="11">
        <v>10</v>
      </c>
      <c r="F724" s="101">
        <v>2.254</v>
      </c>
      <c r="G724" s="101">
        <v>9.9989999999999996E-4</v>
      </c>
    </row>
    <row r="725" spans="1:14">
      <c r="A725" s="7">
        <v>18</v>
      </c>
      <c r="B725" s="87">
        <v>43739</v>
      </c>
      <c r="C725" s="20">
        <v>2019</v>
      </c>
      <c r="D725" s="10" t="s">
        <v>35</v>
      </c>
      <c r="E725" s="11">
        <v>10</v>
      </c>
      <c r="F725" s="101">
        <v>2.4710000000000001</v>
      </c>
      <c r="G725" s="101">
        <v>9.9989999999999996E-4</v>
      </c>
      <c r="I725" s="50">
        <f>AVERAGE(F723:F725)</f>
        <v>2.11</v>
      </c>
      <c r="J725" s="50">
        <f>AVERAGE(G723:G725)</f>
        <v>9.9989999999999996E-4</v>
      </c>
      <c r="L725">
        <f>+J725/I725</f>
        <v>4.738862559241706E-4</v>
      </c>
      <c r="M725">
        <f>+(L725-$L$913)/$L$914</f>
        <v>-0.70243267378963792</v>
      </c>
      <c r="N725">
        <f>+N722+M725</f>
        <v>6.2828590124693005</v>
      </c>
    </row>
    <row r="726" spans="1:14">
      <c r="A726" s="7">
        <v>1</v>
      </c>
      <c r="B726" s="87">
        <v>43770</v>
      </c>
      <c r="C726" s="20">
        <v>2019</v>
      </c>
      <c r="D726" s="10" t="s">
        <v>35</v>
      </c>
      <c r="E726" s="11">
        <v>11</v>
      </c>
    </row>
    <row r="727" spans="1:14">
      <c r="A727" s="7">
        <v>17</v>
      </c>
      <c r="B727" s="87">
        <v>43770</v>
      </c>
      <c r="C727" s="20">
        <v>2019</v>
      </c>
      <c r="D727" s="10" t="s">
        <v>35</v>
      </c>
      <c r="E727" s="11">
        <v>11</v>
      </c>
    </row>
    <row r="728" spans="1:14">
      <c r="A728" s="7">
        <v>18</v>
      </c>
      <c r="B728" s="87">
        <v>43770</v>
      </c>
      <c r="C728" s="20">
        <v>2019</v>
      </c>
      <c r="D728" s="10" t="s">
        <v>36</v>
      </c>
      <c r="E728" s="11">
        <v>11</v>
      </c>
      <c r="I728" s="50"/>
      <c r="J728" s="50"/>
    </row>
    <row r="729" spans="1:14">
      <c r="A729" s="7">
        <v>1</v>
      </c>
      <c r="B729" s="88">
        <v>43800</v>
      </c>
      <c r="C729" s="20">
        <v>2019</v>
      </c>
      <c r="D729" s="10" t="s">
        <v>36</v>
      </c>
      <c r="E729" s="11">
        <v>12</v>
      </c>
      <c r="F729" s="101">
        <v>1.0720000000000001</v>
      </c>
      <c r="G729" s="101">
        <v>1.6E-2</v>
      </c>
    </row>
    <row r="730" spans="1:14">
      <c r="A730" s="7">
        <v>17</v>
      </c>
      <c r="B730" s="87">
        <v>43800</v>
      </c>
      <c r="C730" s="20">
        <v>2019</v>
      </c>
      <c r="D730" s="10" t="s">
        <v>36</v>
      </c>
      <c r="E730" s="11">
        <v>12</v>
      </c>
      <c r="F730" s="101">
        <v>1.008</v>
      </c>
      <c r="G730" s="101">
        <v>1.0999999999999999E-2</v>
      </c>
    </row>
    <row r="731" spans="1:14">
      <c r="A731" s="7">
        <v>18</v>
      </c>
      <c r="B731" s="87">
        <v>43800</v>
      </c>
      <c r="E731" s="11">
        <v>12</v>
      </c>
      <c r="F731" s="101">
        <v>0.77</v>
      </c>
      <c r="G731" s="101">
        <v>9.9989999999999996E-4</v>
      </c>
      <c r="I731" s="50">
        <f>AVERAGE(F729:F731)</f>
        <v>0.95000000000000007</v>
      </c>
      <c r="J731" s="50">
        <f>AVERAGE(G729:G731)</f>
        <v>9.333300000000001E-3</v>
      </c>
      <c r="L731">
        <f>+J731/I731</f>
        <v>9.8245263157894745E-3</v>
      </c>
      <c r="M731">
        <f>+(L731-$L$913)/$L$914</f>
        <v>-0.42679272599694851</v>
      </c>
      <c r="N731">
        <f>+N725+M731</f>
        <v>5.8560662864723518</v>
      </c>
    </row>
    <row r="732" spans="1:14">
      <c r="A732" s="120">
        <v>1</v>
      </c>
      <c r="B732" s="126">
        <v>43840</v>
      </c>
      <c r="C732" s="48">
        <v>2020</v>
      </c>
      <c r="D732" s="45" t="s">
        <v>37</v>
      </c>
      <c r="E732" s="43">
        <v>1</v>
      </c>
      <c r="G732" s="13"/>
    </row>
    <row r="733" spans="1:14">
      <c r="A733" s="7">
        <v>17</v>
      </c>
      <c r="B733" s="89">
        <v>43835</v>
      </c>
      <c r="C733">
        <v>2020</v>
      </c>
      <c r="D733" s="10" t="s">
        <v>37</v>
      </c>
      <c r="E733" s="20">
        <v>1</v>
      </c>
      <c r="G733" s="13"/>
    </row>
    <row r="734" spans="1:14">
      <c r="A734" s="7">
        <v>18</v>
      </c>
      <c r="B734" s="89">
        <v>43835</v>
      </c>
      <c r="C734">
        <v>2020</v>
      </c>
      <c r="D734" s="10" t="s">
        <v>37</v>
      </c>
      <c r="E734" s="20">
        <v>1</v>
      </c>
      <c r="G734" s="13"/>
      <c r="I734" s="50"/>
      <c r="J734" s="50"/>
    </row>
    <row r="735" spans="1:14">
      <c r="A735" s="7">
        <v>1</v>
      </c>
      <c r="B735" s="87">
        <v>43862</v>
      </c>
      <c r="C735">
        <v>2020</v>
      </c>
      <c r="D735" s="10" t="s">
        <v>26</v>
      </c>
      <c r="E735" s="20">
        <v>2</v>
      </c>
      <c r="F735" s="119">
        <v>3.0129999999999999</v>
      </c>
      <c r="G735" s="119">
        <v>3.3000000000000002E-2</v>
      </c>
    </row>
    <row r="736" spans="1:14">
      <c r="A736" s="7">
        <v>17</v>
      </c>
      <c r="B736" s="87">
        <v>43862</v>
      </c>
      <c r="C736">
        <v>2020</v>
      </c>
      <c r="D736" s="10" t="s">
        <v>26</v>
      </c>
      <c r="E736" s="20">
        <v>2</v>
      </c>
      <c r="F736" s="119">
        <v>4.5599999999999996</v>
      </c>
      <c r="G736" s="119">
        <v>3.5999999999999997E-2</v>
      </c>
    </row>
    <row r="737" spans="1:14">
      <c r="A737" s="7">
        <v>18</v>
      </c>
      <c r="B737" s="87">
        <v>43862</v>
      </c>
      <c r="C737">
        <v>2020</v>
      </c>
      <c r="D737" s="10" t="s">
        <v>26</v>
      </c>
      <c r="E737" s="20">
        <v>2</v>
      </c>
      <c r="F737" s="119">
        <v>2.5190000000000001</v>
      </c>
      <c r="G737" s="119">
        <v>2.1999999999999999E-2</v>
      </c>
      <c r="I737" s="50">
        <f>-AVERAGE(F735:F737)</f>
        <v>-3.3639999999999994</v>
      </c>
      <c r="J737" s="50">
        <f>AVERAGE(G735:G737)</f>
        <v>3.0333333333333334E-2</v>
      </c>
      <c r="L737">
        <f>+J737/I737</f>
        <v>-9.0170432025366652E-3</v>
      </c>
      <c r="M737">
        <f>+(L737-$L$913)/$L$914</f>
        <v>-0.98220809918141883</v>
      </c>
      <c r="N737">
        <f>+N731+M737</f>
        <v>4.8738581872909332</v>
      </c>
    </row>
    <row r="738" spans="1:14">
      <c r="A738" s="7">
        <v>1</v>
      </c>
      <c r="B738" s="87">
        <v>43891</v>
      </c>
      <c r="C738">
        <v>2020</v>
      </c>
      <c r="D738" s="10" t="s">
        <v>27</v>
      </c>
      <c r="E738" s="20">
        <v>3</v>
      </c>
      <c r="G738" s="13"/>
    </row>
    <row r="739" spans="1:14">
      <c r="A739" s="7">
        <v>17</v>
      </c>
      <c r="B739" s="87">
        <v>43891</v>
      </c>
      <c r="C739">
        <v>2020</v>
      </c>
      <c r="D739" s="10" t="s">
        <v>27</v>
      </c>
      <c r="E739" s="20">
        <v>3</v>
      </c>
      <c r="G739" s="13"/>
    </row>
    <row r="740" spans="1:14">
      <c r="A740" s="7">
        <v>18</v>
      </c>
      <c r="B740" s="87">
        <v>43891</v>
      </c>
      <c r="C740">
        <v>2020</v>
      </c>
      <c r="D740" s="10" t="s">
        <v>27</v>
      </c>
      <c r="E740" s="20">
        <v>3</v>
      </c>
      <c r="G740" s="13"/>
    </row>
    <row r="741" spans="1:14">
      <c r="A741" s="7">
        <v>1</v>
      </c>
      <c r="B741" s="87">
        <v>43922</v>
      </c>
      <c r="C741">
        <v>2020</v>
      </c>
      <c r="D741" s="10" t="s">
        <v>28</v>
      </c>
      <c r="E741" s="20">
        <v>4</v>
      </c>
      <c r="G741" s="13"/>
    </row>
    <row r="742" spans="1:14">
      <c r="A742" s="7">
        <v>17</v>
      </c>
      <c r="B742" s="87">
        <v>43922</v>
      </c>
      <c r="C742">
        <v>2020</v>
      </c>
      <c r="D742" s="10" t="s">
        <v>28</v>
      </c>
      <c r="E742" s="20">
        <v>4</v>
      </c>
      <c r="G742" s="13"/>
    </row>
    <row r="743" spans="1:14">
      <c r="A743" s="7">
        <v>18</v>
      </c>
      <c r="B743" s="87">
        <v>43922</v>
      </c>
      <c r="C743">
        <v>2020</v>
      </c>
      <c r="D743" s="10" t="s">
        <v>28</v>
      </c>
      <c r="E743" s="20">
        <v>4</v>
      </c>
      <c r="G743" s="13"/>
    </row>
    <row r="744" spans="1:14">
      <c r="A744" s="7">
        <v>1</v>
      </c>
      <c r="B744" s="87">
        <v>43952</v>
      </c>
      <c r="C744">
        <v>2020</v>
      </c>
      <c r="D744" s="10" t="s">
        <v>29</v>
      </c>
      <c r="E744" s="20">
        <v>5</v>
      </c>
      <c r="G744" s="13"/>
    </row>
    <row r="745" spans="1:14">
      <c r="A745" s="7">
        <v>17</v>
      </c>
      <c r="B745" s="87">
        <v>43952</v>
      </c>
      <c r="C745">
        <v>2020</v>
      </c>
      <c r="D745" s="10" t="s">
        <v>29</v>
      </c>
      <c r="E745" s="20">
        <v>5</v>
      </c>
      <c r="G745" s="13"/>
    </row>
    <row r="746" spans="1:14">
      <c r="A746" s="7">
        <v>18</v>
      </c>
      <c r="B746" s="87">
        <v>43952</v>
      </c>
      <c r="C746">
        <v>2020</v>
      </c>
      <c r="D746" s="10" t="s">
        <v>29</v>
      </c>
      <c r="E746" s="20">
        <v>5</v>
      </c>
      <c r="G746" s="13"/>
    </row>
    <row r="747" spans="1:14">
      <c r="A747" s="7">
        <v>1</v>
      </c>
      <c r="B747" s="87">
        <v>43983</v>
      </c>
      <c r="C747">
        <v>2020</v>
      </c>
      <c r="D747" s="10" t="s">
        <v>30</v>
      </c>
      <c r="E747" s="20">
        <v>6</v>
      </c>
      <c r="F747" s="119">
        <v>4.1429999999999998</v>
      </c>
      <c r="G747" s="119">
        <v>5.8999999999999997E-2</v>
      </c>
    </row>
    <row r="748" spans="1:14">
      <c r="A748" s="7">
        <v>17</v>
      </c>
      <c r="B748" s="87">
        <v>43983</v>
      </c>
      <c r="C748">
        <v>2020</v>
      </c>
      <c r="D748" s="10" t="s">
        <v>30</v>
      </c>
      <c r="E748" s="20">
        <v>6</v>
      </c>
      <c r="F748" s="119">
        <v>4.7350000000000003</v>
      </c>
      <c r="G748" s="119">
        <v>4.1000000000000002E-2</v>
      </c>
    </row>
    <row r="749" spans="1:14">
      <c r="A749" s="7">
        <v>18</v>
      </c>
      <c r="B749" s="87">
        <v>43983</v>
      </c>
      <c r="C749">
        <v>2020</v>
      </c>
      <c r="D749" s="10" t="s">
        <v>30</v>
      </c>
      <c r="E749" s="20">
        <v>6</v>
      </c>
      <c r="F749" s="122">
        <v>4.9610000000000003</v>
      </c>
      <c r="G749" s="13">
        <v>1.9E-2</v>
      </c>
      <c r="H749" s="121" t="s">
        <v>92</v>
      </c>
      <c r="I749" s="50">
        <f>AVERAGE(F747:F749)</f>
        <v>4.6130000000000004</v>
      </c>
      <c r="J749" s="50">
        <f>AVERAGE(G747:G749)</f>
        <v>3.966666666666667E-2</v>
      </c>
      <c r="L749">
        <f>+J749/I749</f>
        <v>8.5988872028325749E-3</v>
      </c>
      <c r="M749">
        <f>+(L749-$L$913)/$L$914</f>
        <v>-0.46292234909710078</v>
      </c>
      <c r="N749">
        <f>+N737+M749</f>
        <v>4.4109358381938328</v>
      </c>
    </row>
    <row r="750" spans="1:14">
      <c r="A750" s="7">
        <v>1</v>
      </c>
      <c r="B750" s="87">
        <v>44013</v>
      </c>
      <c r="C750">
        <v>2020</v>
      </c>
      <c r="D750" s="10" t="s">
        <v>31</v>
      </c>
      <c r="E750" s="20">
        <v>7</v>
      </c>
      <c r="F750" s="119">
        <v>3.556</v>
      </c>
      <c r="G750" s="119">
        <v>0.22800000000000001</v>
      </c>
    </row>
    <row r="751" spans="1:14">
      <c r="A751" s="7">
        <v>17</v>
      </c>
      <c r="B751" s="87">
        <v>44013</v>
      </c>
      <c r="C751">
        <v>2020</v>
      </c>
      <c r="D751" s="10" t="s">
        <v>31</v>
      </c>
      <c r="E751" s="20">
        <v>7</v>
      </c>
      <c r="F751" s="119">
        <v>6.7679999999999998</v>
      </c>
      <c r="G751" s="119">
        <v>0.59299999999999997</v>
      </c>
    </row>
    <row r="752" spans="1:14">
      <c r="A752" s="7">
        <v>18</v>
      </c>
      <c r="B752" s="87">
        <v>44013</v>
      </c>
      <c r="C752">
        <v>2020</v>
      </c>
      <c r="D752" s="10" t="s">
        <v>31</v>
      </c>
      <c r="E752" s="20">
        <v>7</v>
      </c>
      <c r="F752" s="119">
        <v>7.6539999999999999</v>
      </c>
      <c r="G752" s="119">
        <v>0.126</v>
      </c>
      <c r="I752" s="50">
        <f>AVERAGE(F750:F752)</f>
        <v>5.9926666666666675</v>
      </c>
      <c r="J752" s="50">
        <f>AVERAGE(G750:G752)</f>
        <v>0.31566666666666665</v>
      </c>
      <c r="L752">
        <f>+J752/I752</f>
        <v>5.2675492268327948E-2</v>
      </c>
      <c r="M752">
        <f>+(L752-$L$913)/$L$914</f>
        <v>0.83637620601241369</v>
      </c>
      <c r="N752">
        <f>+N749+M752</f>
        <v>5.2473120442062466</v>
      </c>
    </row>
    <row r="753" spans="1:14">
      <c r="A753" s="7">
        <v>1</v>
      </c>
      <c r="B753" s="87">
        <v>44044</v>
      </c>
      <c r="C753">
        <v>2020</v>
      </c>
      <c r="D753" s="10" t="s">
        <v>32</v>
      </c>
      <c r="E753" s="20">
        <v>8</v>
      </c>
      <c r="F753" s="119">
        <v>6.8250000000000002</v>
      </c>
      <c r="G753" s="119">
        <v>0.124</v>
      </c>
    </row>
    <row r="754" spans="1:14">
      <c r="A754" s="7">
        <v>17</v>
      </c>
      <c r="B754" s="87">
        <v>44044</v>
      </c>
      <c r="C754">
        <v>2020</v>
      </c>
      <c r="D754" s="10" t="s">
        <v>32</v>
      </c>
      <c r="E754" s="20">
        <v>8</v>
      </c>
      <c r="F754" s="119">
        <v>6.4219999999999997</v>
      </c>
      <c r="G754" s="119">
        <v>9.9989999999999996E-4</v>
      </c>
    </row>
    <row r="755" spans="1:14">
      <c r="A755" s="7">
        <v>18</v>
      </c>
      <c r="B755" s="87">
        <v>44044</v>
      </c>
      <c r="C755">
        <v>2020</v>
      </c>
      <c r="D755" s="10" t="s">
        <v>32</v>
      </c>
      <c r="E755" s="20">
        <v>8</v>
      </c>
      <c r="F755" s="119">
        <v>6.14</v>
      </c>
      <c r="G755" s="119">
        <v>9.9989999999999996E-4</v>
      </c>
      <c r="I755" s="50">
        <f t="shared" ref="I755:J755" si="0">AVERAGE(F753:F755)</f>
        <v>6.4623333333333335</v>
      </c>
      <c r="J755" s="50">
        <f t="shared" si="0"/>
        <v>4.1999933333333329E-2</v>
      </c>
      <c r="L755">
        <f t="shared" ref="L755" si="1">+J755/I755</f>
        <v>6.4991901789859174E-3</v>
      </c>
      <c r="M755">
        <f t="shared" ref="M755" si="2">+(L755-$L$913)/$L$914</f>
        <v>-0.52481761769135504</v>
      </c>
      <c r="N755">
        <f t="shared" ref="N755" si="3">+N752+M755</f>
        <v>4.722494426514892</v>
      </c>
    </row>
    <row r="756" spans="1:14">
      <c r="A756" s="7">
        <v>1</v>
      </c>
      <c r="B756" s="87">
        <v>44075</v>
      </c>
      <c r="C756">
        <v>2020</v>
      </c>
      <c r="D756" s="10" t="s">
        <v>38</v>
      </c>
      <c r="E756" s="20">
        <v>9</v>
      </c>
      <c r="F756" s="119">
        <v>8.0709999999999997</v>
      </c>
      <c r="G756" s="119">
        <v>0.36</v>
      </c>
    </row>
    <row r="757" spans="1:14">
      <c r="A757" s="7">
        <v>17</v>
      </c>
      <c r="B757" s="87">
        <v>44075</v>
      </c>
      <c r="C757">
        <v>2020</v>
      </c>
      <c r="D757" s="10" t="s">
        <v>38</v>
      </c>
      <c r="E757" s="20">
        <v>9</v>
      </c>
      <c r="F757" s="119">
        <v>8.1790000000000003</v>
      </c>
      <c r="G757" s="119">
        <v>0.31900000000000001</v>
      </c>
    </row>
    <row r="758" spans="1:14">
      <c r="A758" s="7">
        <v>18</v>
      </c>
      <c r="B758" s="87">
        <v>44075</v>
      </c>
      <c r="C758">
        <v>2020</v>
      </c>
      <c r="D758" s="10" t="s">
        <v>38</v>
      </c>
      <c r="E758" s="20">
        <v>9</v>
      </c>
      <c r="F758" s="119">
        <v>7.8460000000000001</v>
      </c>
      <c r="G758" s="119">
        <v>0.16600000000000001</v>
      </c>
      <c r="I758" s="50">
        <f t="shared" ref="I758:J758" si="4">AVERAGE(F756:F758)</f>
        <v>8.032</v>
      </c>
      <c r="J758" s="50">
        <f t="shared" si="4"/>
        <v>0.28166666666666668</v>
      </c>
      <c r="L758">
        <f t="shared" ref="L758" si="5">+J758/I758</f>
        <v>3.5068061088977427E-2</v>
      </c>
      <c r="M758">
        <f t="shared" ref="M758" si="6">+(L758-$L$913)/$L$914</f>
        <v>0.31734099773069735</v>
      </c>
      <c r="N758">
        <f t="shared" ref="N758" si="7">+N755+M758</f>
        <v>5.0398354242455898</v>
      </c>
    </row>
    <row r="759" spans="1:14">
      <c r="A759" s="7">
        <v>1</v>
      </c>
      <c r="B759" s="87">
        <v>44105</v>
      </c>
      <c r="C759">
        <v>2020</v>
      </c>
      <c r="D759" s="10" t="s">
        <v>34</v>
      </c>
      <c r="E759" s="20">
        <v>10</v>
      </c>
      <c r="F759" s="119">
        <v>4.915</v>
      </c>
      <c r="G759" s="119">
        <v>6.2E-2</v>
      </c>
    </row>
    <row r="760" spans="1:14">
      <c r="A760" s="7">
        <v>17</v>
      </c>
      <c r="B760" s="87">
        <v>44105</v>
      </c>
      <c r="C760">
        <v>2020</v>
      </c>
      <c r="D760" s="10" t="s">
        <v>34</v>
      </c>
      <c r="E760" s="20">
        <v>10</v>
      </c>
      <c r="F760" s="119">
        <v>1.9590000000000001</v>
      </c>
      <c r="G760" s="119">
        <v>2.9000000000000001E-2</v>
      </c>
    </row>
    <row r="761" spans="1:14">
      <c r="A761" s="7">
        <v>18</v>
      </c>
      <c r="B761" s="87">
        <v>44105</v>
      </c>
      <c r="C761">
        <v>2020</v>
      </c>
      <c r="D761" s="10" t="s">
        <v>34</v>
      </c>
      <c r="E761" s="20">
        <v>10</v>
      </c>
      <c r="F761" s="119">
        <v>1.0349999999999999</v>
      </c>
      <c r="G761" s="119">
        <v>9.9989999999999996E-4</v>
      </c>
      <c r="I761" s="50">
        <f t="shared" ref="I761:J761" si="8">AVERAGE(F759:F761)</f>
        <v>2.6363333333333334</v>
      </c>
      <c r="J761" s="50">
        <f t="shared" si="8"/>
        <v>3.0666633333333332E-2</v>
      </c>
      <c r="L761">
        <f t="shared" ref="L761" si="9">+J761/I761</f>
        <v>1.1632304969022631E-2</v>
      </c>
      <c r="M761">
        <f t="shared" ref="M761" si="10">+(L761-$L$913)/$L$914</f>
        <v>-0.37350268270497056</v>
      </c>
      <c r="N761">
        <f t="shared" ref="N761" si="11">+N758+M761</f>
        <v>4.6663327415406197</v>
      </c>
    </row>
    <row r="762" spans="1:14">
      <c r="A762" s="7">
        <v>1</v>
      </c>
      <c r="B762" s="87">
        <v>44136</v>
      </c>
      <c r="C762">
        <v>2020</v>
      </c>
      <c r="D762" s="10" t="s">
        <v>35</v>
      </c>
      <c r="E762" s="20">
        <v>11</v>
      </c>
      <c r="F762" s="124">
        <v>1.3220000000000001</v>
      </c>
      <c r="G762" s="13">
        <v>9.9989999999999996E-4</v>
      </c>
      <c r="H762" s="123" t="s">
        <v>92</v>
      </c>
    </row>
    <row r="763" spans="1:14">
      <c r="A763" s="7">
        <v>17</v>
      </c>
      <c r="B763" s="87">
        <v>44136</v>
      </c>
      <c r="C763">
        <v>2020</v>
      </c>
      <c r="D763" s="10" t="s">
        <v>35</v>
      </c>
      <c r="E763" s="20">
        <v>11</v>
      </c>
      <c r="F763" s="119">
        <v>1.0820000000000001</v>
      </c>
      <c r="G763" s="119">
        <v>9.9989999999999996E-4</v>
      </c>
    </row>
    <row r="764" spans="1:14">
      <c r="A764" s="7">
        <v>18</v>
      </c>
      <c r="B764" s="87">
        <v>44136</v>
      </c>
      <c r="C764">
        <v>2020</v>
      </c>
      <c r="D764" s="10" t="s">
        <v>35</v>
      </c>
      <c r="E764" s="20">
        <v>11</v>
      </c>
      <c r="F764" s="119">
        <v>1.601</v>
      </c>
      <c r="G764" s="119">
        <v>9.9989999999999996E-4</v>
      </c>
      <c r="I764" s="50">
        <f t="shared" ref="I764:J764" si="12">AVERAGE(F762:F764)</f>
        <v>1.335</v>
      </c>
      <c r="J764" s="50">
        <f t="shared" si="12"/>
        <v>9.9989999999999996E-4</v>
      </c>
      <c r="L764">
        <f t="shared" ref="L764" si="13">+J764/I764</f>
        <v>7.4898876404494376E-4</v>
      </c>
      <c r="M764">
        <f t="shared" ref="M764" si="14">+(L764-$L$913)/$L$914</f>
        <v>-0.69432314968320574</v>
      </c>
      <c r="N764">
        <f t="shared" ref="N764" si="15">+N761+M764</f>
        <v>3.9720095918574141</v>
      </c>
    </row>
    <row r="765" spans="1:14">
      <c r="A765" s="7">
        <v>1</v>
      </c>
      <c r="B765" s="88">
        <v>44166</v>
      </c>
      <c r="C765">
        <v>2020</v>
      </c>
      <c r="D765" s="10" t="s">
        <v>36</v>
      </c>
      <c r="E765" s="20">
        <v>12</v>
      </c>
      <c r="G765" s="13"/>
    </row>
    <row r="766" spans="1:14">
      <c r="A766" s="7">
        <v>17</v>
      </c>
      <c r="B766" s="87">
        <v>44166</v>
      </c>
      <c r="C766">
        <v>2020</v>
      </c>
      <c r="D766" s="10" t="s">
        <v>36</v>
      </c>
      <c r="E766" s="20">
        <v>12</v>
      </c>
      <c r="G766" s="13"/>
    </row>
    <row r="767" spans="1:14">
      <c r="A767" s="7">
        <v>18</v>
      </c>
      <c r="B767" s="87">
        <v>44166</v>
      </c>
      <c r="C767">
        <v>2020</v>
      </c>
      <c r="D767" s="10" t="s">
        <v>36</v>
      </c>
      <c r="E767" s="20">
        <v>12</v>
      </c>
      <c r="G767" s="13"/>
    </row>
    <row r="768" spans="1:14">
      <c r="A768" s="120">
        <v>1</v>
      </c>
      <c r="B768" s="126">
        <v>44206</v>
      </c>
      <c r="C768" s="48">
        <v>2021</v>
      </c>
      <c r="D768" s="45" t="s">
        <v>37</v>
      </c>
      <c r="E768" s="43">
        <v>1</v>
      </c>
      <c r="G768" s="50"/>
    </row>
    <row r="769" spans="1:14">
      <c r="A769" s="7">
        <v>17</v>
      </c>
      <c r="B769" s="89">
        <v>44201</v>
      </c>
      <c r="C769">
        <v>2021</v>
      </c>
      <c r="D769" s="10" t="s">
        <v>37</v>
      </c>
      <c r="E769" s="20">
        <v>1</v>
      </c>
      <c r="G769" s="50"/>
    </row>
    <row r="770" spans="1:14">
      <c r="A770" s="7">
        <v>18</v>
      </c>
      <c r="B770" s="89">
        <v>44201</v>
      </c>
      <c r="C770">
        <v>2021</v>
      </c>
      <c r="D770" s="10" t="s">
        <v>37</v>
      </c>
      <c r="E770" s="20">
        <v>1</v>
      </c>
      <c r="G770" s="50"/>
    </row>
    <row r="771" spans="1:14">
      <c r="A771" s="7">
        <v>1</v>
      </c>
      <c r="B771" s="87">
        <v>44228</v>
      </c>
      <c r="C771">
        <v>2021</v>
      </c>
      <c r="D771" s="10" t="s">
        <v>26</v>
      </c>
      <c r="E771" s="20">
        <v>2</v>
      </c>
      <c r="F771" s="127">
        <v>6.33</v>
      </c>
      <c r="G771" s="13">
        <v>2.5999999999999999E-2</v>
      </c>
    </row>
    <row r="772" spans="1:14">
      <c r="A772" s="7">
        <v>17</v>
      </c>
      <c r="B772" s="87">
        <v>44228</v>
      </c>
      <c r="C772">
        <v>2021</v>
      </c>
      <c r="D772" s="10" t="s">
        <v>26</v>
      </c>
      <c r="E772" s="20">
        <v>2</v>
      </c>
      <c r="F772" s="127">
        <v>11.077999999999999</v>
      </c>
      <c r="G772" s="13">
        <v>2.1000000000000001E-2</v>
      </c>
    </row>
    <row r="773" spans="1:14">
      <c r="A773" s="7">
        <v>18</v>
      </c>
      <c r="B773" s="87">
        <v>44228</v>
      </c>
      <c r="C773">
        <v>2021</v>
      </c>
      <c r="D773" s="10" t="s">
        <v>26</v>
      </c>
      <c r="E773" s="20">
        <v>2</v>
      </c>
      <c r="F773" s="127">
        <v>7.7409999999999997</v>
      </c>
      <c r="G773" s="13">
        <v>2.5000000000000001E-2</v>
      </c>
      <c r="I773" s="50">
        <f>AVERAGE(F771:F773)</f>
        <v>8.3830000000000009</v>
      </c>
      <c r="J773" s="50">
        <f>AVERAGE(G771:G773)</f>
        <v>2.4000000000000004E-2</v>
      </c>
      <c r="L773">
        <f>+J773/I773</f>
        <v>2.8629368960992486E-3</v>
      </c>
      <c r="M773">
        <f>+(L773-$L$913)/$L$914</f>
        <v>-0.63200778420818227</v>
      </c>
      <c r="N773">
        <f>+N764+M773</f>
        <v>3.3400018076492319</v>
      </c>
    </row>
    <row r="774" spans="1:14">
      <c r="A774" s="7">
        <v>1</v>
      </c>
      <c r="B774" s="87">
        <v>44256</v>
      </c>
      <c r="C774">
        <v>2021</v>
      </c>
      <c r="D774" s="10" t="s">
        <v>27</v>
      </c>
      <c r="E774" s="20">
        <v>3</v>
      </c>
      <c r="F774" s="127">
        <v>4.3760000000000003</v>
      </c>
      <c r="G774" s="13">
        <v>0.01</v>
      </c>
    </row>
    <row r="775" spans="1:14">
      <c r="A775" s="7">
        <v>17</v>
      </c>
      <c r="B775" s="87">
        <v>44256</v>
      </c>
      <c r="C775">
        <v>2021</v>
      </c>
      <c r="D775" s="10" t="s">
        <v>27</v>
      </c>
      <c r="E775" s="20">
        <v>3</v>
      </c>
      <c r="F775" s="127">
        <v>10.173</v>
      </c>
      <c r="G775" s="13">
        <v>0.11</v>
      </c>
    </row>
    <row r="776" spans="1:14">
      <c r="A776" s="7">
        <v>18</v>
      </c>
      <c r="B776" s="87">
        <v>44256</v>
      </c>
      <c r="C776">
        <v>2021</v>
      </c>
      <c r="D776" s="10" t="s">
        <v>27</v>
      </c>
      <c r="E776" s="20">
        <v>3</v>
      </c>
      <c r="F776" s="127">
        <v>3.8740000000000001</v>
      </c>
      <c r="G776" s="13">
        <v>1.2999999999999999E-2</v>
      </c>
      <c r="I776" s="50">
        <f>AVERAGE(F774:F776)</f>
        <v>6.1409999999999991</v>
      </c>
      <c r="J776" s="50">
        <f>AVERAGE(G774:G776)</f>
        <v>4.4333333333333336E-2</v>
      </c>
      <c r="L776">
        <f>+J776/I776</f>
        <v>7.219236823535799E-3</v>
      </c>
      <c r="M776">
        <f>+(L776-$L$913)/$L$914</f>
        <v>-0.5035919456259832</v>
      </c>
      <c r="N776">
        <f>+N773+M776</f>
        <v>2.836409862023249</v>
      </c>
    </row>
    <row r="777" spans="1:14">
      <c r="A777" s="7">
        <v>1</v>
      </c>
      <c r="B777" s="87">
        <v>44287</v>
      </c>
      <c r="C777">
        <v>2021</v>
      </c>
      <c r="D777" s="10" t="s">
        <v>28</v>
      </c>
      <c r="E777" s="20">
        <v>4</v>
      </c>
      <c r="F777" s="127">
        <v>0.76900000000000002</v>
      </c>
      <c r="G777" s="13">
        <v>1.2E-2</v>
      </c>
    </row>
    <row r="778" spans="1:14">
      <c r="A778" s="7">
        <v>17</v>
      </c>
      <c r="B778" s="87">
        <v>44287</v>
      </c>
      <c r="C778">
        <v>2021</v>
      </c>
      <c r="D778" s="10" t="s">
        <v>28</v>
      </c>
      <c r="E778" s="20">
        <v>4</v>
      </c>
      <c r="F778" s="127">
        <v>3.6040000000000001</v>
      </c>
      <c r="G778" s="13">
        <v>0.02</v>
      </c>
    </row>
    <row r="779" spans="1:14">
      <c r="A779" s="7">
        <v>18</v>
      </c>
      <c r="B779" s="87">
        <v>44287</v>
      </c>
      <c r="C779">
        <v>2021</v>
      </c>
      <c r="D779" s="10" t="s">
        <v>28</v>
      </c>
      <c r="E779" s="20">
        <v>4</v>
      </c>
      <c r="F779" s="127">
        <v>0.92900000000000005</v>
      </c>
      <c r="G779" s="13">
        <v>0.04</v>
      </c>
      <c r="I779" s="50">
        <f t="shared" ref="I779:J779" si="16">AVERAGE(F777:F779)</f>
        <v>1.7673333333333334</v>
      </c>
      <c r="J779" s="50">
        <f t="shared" si="16"/>
        <v>2.4000000000000004E-2</v>
      </c>
      <c r="L779">
        <f t="shared" ref="L779" si="17">+J779/I779</f>
        <v>1.3579781214635989E-2</v>
      </c>
      <c r="M779">
        <f t="shared" ref="M779" si="18">+(L779-$L$913)/$L$914</f>
        <v>-0.31609460719018045</v>
      </c>
      <c r="N779">
        <f t="shared" ref="N779" si="19">+N776+M779</f>
        <v>2.5203152548330685</v>
      </c>
    </row>
    <row r="780" spans="1:14">
      <c r="A780" s="7">
        <v>1</v>
      </c>
      <c r="B780" s="87">
        <v>44317</v>
      </c>
      <c r="C780">
        <v>2021</v>
      </c>
      <c r="D780" s="10" t="s">
        <v>29</v>
      </c>
      <c r="E780" s="20">
        <v>5</v>
      </c>
      <c r="F780" s="127">
        <v>2.7440000000000002</v>
      </c>
      <c r="G780" s="13">
        <v>0.23699999999999999</v>
      </c>
    </row>
    <row r="781" spans="1:14">
      <c r="A781" s="7">
        <v>17</v>
      </c>
      <c r="B781" s="87">
        <v>44317</v>
      </c>
      <c r="C781">
        <v>2021</v>
      </c>
      <c r="D781" s="10" t="s">
        <v>29</v>
      </c>
      <c r="E781" s="20">
        <v>5</v>
      </c>
      <c r="F781" s="127">
        <v>3.0289999999999999</v>
      </c>
      <c r="G781" s="13">
        <v>6.4000000000000001E-2</v>
      </c>
    </row>
    <row r="782" spans="1:14">
      <c r="A782" s="7">
        <v>18</v>
      </c>
      <c r="B782" s="87">
        <v>44317</v>
      </c>
      <c r="C782">
        <v>2021</v>
      </c>
      <c r="D782" s="10" t="s">
        <v>29</v>
      </c>
      <c r="E782" s="20">
        <v>5</v>
      </c>
      <c r="F782" s="127">
        <v>4.306</v>
      </c>
      <c r="G782" s="13">
        <v>3.5000000000000003E-2</v>
      </c>
      <c r="I782" s="50">
        <f t="shared" ref="I782:J782" si="20">AVERAGE(F780:F782)</f>
        <v>3.359666666666667</v>
      </c>
      <c r="J782" s="50">
        <f t="shared" si="20"/>
        <v>0.11199999999999999</v>
      </c>
      <c r="L782">
        <f t="shared" ref="L782" si="21">+J782/I782</f>
        <v>3.3336640539736076E-2</v>
      </c>
      <c r="M782">
        <f t="shared" ref="M782" si="22">+(L782-$L$913)/$L$914</f>
        <v>0.26630185316469956</v>
      </c>
      <c r="N782">
        <f t="shared" ref="N782" si="23">+N779+M782</f>
        <v>2.7866171079977682</v>
      </c>
    </row>
    <row r="783" spans="1:14">
      <c r="A783" s="7">
        <v>1</v>
      </c>
      <c r="B783" s="87">
        <v>44348</v>
      </c>
      <c r="C783">
        <v>2021</v>
      </c>
      <c r="D783" s="10" t="s">
        <v>30</v>
      </c>
      <c r="E783" s="20">
        <v>6</v>
      </c>
      <c r="F783" s="127">
        <v>6.8220000000000001</v>
      </c>
      <c r="G783" s="13">
        <v>0.16200000000000001</v>
      </c>
    </row>
    <row r="784" spans="1:14">
      <c r="A784" s="7">
        <v>17</v>
      </c>
      <c r="B784" s="87">
        <v>44348</v>
      </c>
      <c r="C784">
        <v>2021</v>
      </c>
      <c r="D784" s="10" t="s">
        <v>30</v>
      </c>
      <c r="E784" s="20">
        <v>6</v>
      </c>
      <c r="F784" s="127">
        <v>5.68</v>
      </c>
      <c r="G784" s="13">
        <v>0.11700000000000001</v>
      </c>
    </row>
    <row r="785" spans="1:14">
      <c r="A785" s="7">
        <v>18</v>
      </c>
      <c r="B785" s="87">
        <v>44348</v>
      </c>
      <c r="C785">
        <v>2021</v>
      </c>
      <c r="D785" s="10" t="s">
        <v>30</v>
      </c>
      <c r="E785" s="20">
        <v>6</v>
      </c>
      <c r="F785" s="127">
        <v>6.3579999999999997</v>
      </c>
      <c r="G785" s="13">
        <v>0.112</v>
      </c>
      <c r="I785" s="50">
        <f t="shared" ref="I785:J785" si="24">AVERAGE(F783:F785)</f>
        <v>6.2866666666666662</v>
      </c>
      <c r="J785" s="50">
        <f t="shared" si="24"/>
        <v>0.13033333333333333</v>
      </c>
      <c r="L785">
        <f t="shared" ref="L785" si="25">+J785/I785</f>
        <v>2.0731707317073172E-2</v>
      </c>
      <c r="M785">
        <f t="shared" ref="M785" si="26">+(L785-$L$913)/$L$914</f>
        <v>-0.1052687680099955</v>
      </c>
      <c r="N785">
        <f t="shared" ref="N785" si="27">+N782+M785</f>
        <v>2.6813483399877729</v>
      </c>
    </row>
    <row r="786" spans="1:14">
      <c r="A786" s="7">
        <v>1</v>
      </c>
      <c r="B786" s="87">
        <v>44378</v>
      </c>
      <c r="C786">
        <v>2021</v>
      </c>
      <c r="D786" s="10" t="s">
        <v>31</v>
      </c>
      <c r="E786" s="20">
        <v>7</v>
      </c>
      <c r="G786" s="13"/>
      <c r="H786" s="123" t="s">
        <v>93</v>
      </c>
    </row>
    <row r="787" spans="1:14">
      <c r="A787" s="7">
        <v>17</v>
      </c>
      <c r="B787" s="87">
        <v>44378</v>
      </c>
      <c r="C787">
        <v>2021</v>
      </c>
      <c r="D787" s="10" t="s">
        <v>31</v>
      </c>
      <c r="E787" s="20">
        <v>7</v>
      </c>
      <c r="G787" s="13"/>
      <c r="H787" s="123" t="s">
        <v>94</v>
      </c>
    </row>
    <row r="788" spans="1:14">
      <c r="A788" s="7">
        <v>18</v>
      </c>
      <c r="B788" s="87">
        <v>44378</v>
      </c>
      <c r="C788">
        <v>2021</v>
      </c>
      <c r="D788" s="10" t="s">
        <v>31</v>
      </c>
      <c r="E788" s="20">
        <v>7</v>
      </c>
      <c r="G788" s="13"/>
    </row>
    <row r="789" spans="1:14">
      <c r="A789" s="7">
        <v>1</v>
      </c>
      <c r="B789" s="87">
        <v>44409</v>
      </c>
      <c r="C789">
        <v>2021</v>
      </c>
      <c r="D789" s="10" t="s">
        <v>32</v>
      </c>
      <c r="E789" s="20">
        <v>8</v>
      </c>
      <c r="F789" s="127">
        <v>4.8929999999999998</v>
      </c>
      <c r="G789" s="13">
        <v>8.1000000000000003E-2</v>
      </c>
    </row>
    <row r="790" spans="1:14">
      <c r="A790" s="7">
        <v>17</v>
      </c>
      <c r="B790" s="87">
        <v>44409</v>
      </c>
      <c r="C790">
        <v>2021</v>
      </c>
      <c r="D790" s="10" t="s">
        <v>32</v>
      </c>
      <c r="E790" s="20">
        <v>8</v>
      </c>
      <c r="F790" s="127">
        <v>4.8949999999999996</v>
      </c>
      <c r="G790" s="13">
        <v>0.06</v>
      </c>
    </row>
    <row r="791" spans="1:14">
      <c r="A791" s="7">
        <v>18</v>
      </c>
      <c r="B791" s="87">
        <v>44409</v>
      </c>
      <c r="C791">
        <v>2021</v>
      </c>
      <c r="D791" s="10" t="s">
        <v>32</v>
      </c>
      <c r="E791" s="20">
        <v>8</v>
      </c>
      <c r="F791" s="127">
        <v>4.5140000000000002</v>
      </c>
      <c r="G791" s="13">
        <v>4.8000000000000001E-2</v>
      </c>
      <c r="I791" s="50">
        <f>AVERAGE(F789:F791)</f>
        <v>4.7673333333333332</v>
      </c>
      <c r="J791" s="50">
        <f>AVERAGE(G789:G791)</f>
        <v>6.3E-2</v>
      </c>
      <c r="L791">
        <f>+J791/I791</f>
        <v>1.3214934974129493E-2</v>
      </c>
      <c r="M791">
        <f>+(L791-$L$913)/$L$914</f>
        <v>-0.32684961412464886</v>
      </c>
      <c r="N791">
        <f>+N785+M791</f>
        <v>2.3544987258631238</v>
      </c>
    </row>
    <row r="792" spans="1:14">
      <c r="A792" s="7">
        <v>1</v>
      </c>
      <c r="B792" s="87">
        <v>44440</v>
      </c>
      <c r="C792">
        <v>2021</v>
      </c>
      <c r="D792" s="10" t="s">
        <v>38</v>
      </c>
      <c r="E792" s="20">
        <v>9</v>
      </c>
      <c r="F792" s="127">
        <v>5.4139999999999997</v>
      </c>
      <c r="G792" s="13">
        <v>0.115</v>
      </c>
    </row>
    <row r="793" spans="1:14">
      <c r="A793" s="7">
        <v>17</v>
      </c>
      <c r="B793" s="87">
        <v>44440</v>
      </c>
      <c r="C793">
        <v>2021</v>
      </c>
      <c r="D793" s="10" t="s">
        <v>38</v>
      </c>
      <c r="E793" s="20">
        <v>9</v>
      </c>
      <c r="F793" s="127">
        <v>7.3550000000000004</v>
      </c>
      <c r="G793" s="13">
        <v>0.17299999999999999</v>
      </c>
    </row>
    <row r="794" spans="1:14">
      <c r="A794" s="7">
        <v>18</v>
      </c>
      <c r="B794" s="87">
        <v>44440</v>
      </c>
      <c r="C794">
        <v>2021</v>
      </c>
      <c r="D794" s="10" t="s">
        <v>38</v>
      </c>
      <c r="E794" s="20">
        <v>9</v>
      </c>
      <c r="F794" s="127">
        <v>3.3109999999999999</v>
      </c>
      <c r="G794" s="13">
        <v>5.8999999999999997E-2</v>
      </c>
      <c r="I794" s="50">
        <f>AVERAGE(F792:F794)</f>
        <v>5.3599999999999994</v>
      </c>
      <c r="J794" s="50">
        <f>AVERAGE(G792:G794)</f>
        <v>0.11566666666666665</v>
      </c>
      <c r="L794">
        <f>+J794/I794</f>
        <v>2.1579601990049751E-2</v>
      </c>
      <c r="M794">
        <f>+(L794-$L$913)/$L$914</f>
        <v>-8.0274367423868107E-2</v>
      </c>
      <c r="N794">
        <f>+N791+M794</f>
        <v>2.2742243584392559</v>
      </c>
    </row>
    <row r="795" spans="1:14">
      <c r="A795" s="7">
        <v>1</v>
      </c>
      <c r="B795" s="87">
        <v>44470</v>
      </c>
      <c r="C795">
        <v>2021</v>
      </c>
      <c r="D795" s="10" t="s">
        <v>34</v>
      </c>
      <c r="E795" s="20">
        <v>10</v>
      </c>
      <c r="F795" s="127">
        <v>0.98599999999999999</v>
      </c>
      <c r="G795" s="13">
        <v>9.9989999999999996E-4</v>
      </c>
    </row>
    <row r="796" spans="1:14">
      <c r="A796" s="7">
        <v>17</v>
      </c>
      <c r="B796" s="87">
        <v>44470</v>
      </c>
      <c r="C796">
        <v>2021</v>
      </c>
      <c r="D796" s="10" t="s">
        <v>34</v>
      </c>
      <c r="E796" s="20">
        <v>10</v>
      </c>
      <c r="F796" s="127">
        <v>1.036</v>
      </c>
      <c r="G796" s="13">
        <v>9.9989999999999996E-4</v>
      </c>
    </row>
    <row r="797" spans="1:14">
      <c r="A797" s="7">
        <v>18</v>
      </c>
      <c r="B797" s="87">
        <v>44470</v>
      </c>
      <c r="C797">
        <v>2021</v>
      </c>
      <c r="D797" s="10" t="s">
        <v>34</v>
      </c>
      <c r="E797" s="20">
        <v>10</v>
      </c>
      <c r="F797" s="127">
        <v>1.01</v>
      </c>
      <c r="G797" s="13">
        <v>9.9989999999999996E-4</v>
      </c>
      <c r="I797" s="50">
        <f t="shared" ref="I797:J797" si="28">AVERAGE(F795:F797)</f>
        <v>1.0106666666666666</v>
      </c>
      <c r="J797" s="50">
        <f t="shared" si="28"/>
        <v>9.9989999999999996E-4</v>
      </c>
      <c r="L797">
        <f t="shared" ref="L797" si="29">+J797/I797</f>
        <v>9.8934696569920842E-4</v>
      </c>
      <c r="M797">
        <f t="shared" ref="M797" si="30">+(L797-$L$913)/$L$914</f>
        <v>-0.687237824857166</v>
      </c>
      <c r="N797">
        <f t="shared" ref="N797" si="31">+N794+M797</f>
        <v>1.5869865335820899</v>
      </c>
    </row>
    <row r="798" spans="1:14">
      <c r="A798" s="7">
        <v>1</v>
      </c>
      <c r="B798" s="87">
        <v>44501</v>
      </c>
      <c r="C798">
        <v>2021</v>
      </c>
      <c r="D798" s="10" t="s">
        <v>35</v>
      </c>
      <c r="E798" s="20">
        <v>11</v>
      </c>
      <c r="F798" s="127">
        <v>0.96499999999999997</v>
      </c>
      <c r="G798" s="13">
        <v>9.9989999999999996E-4</v>
      </c>
    </row>
    <row r="799" spans="1:14">
      <c r="A799" s="7">
        <v>17</v>
      </c>
      <c r="B799" s="87">
        <v>44501</v>
      </c>
      <c r="C799">
        <v>2021</v>
      </c>
      <c r="D799" s="10" t="s">
        <v>35</v>
      </c>
      <c r="E799" s="20">
        <v>11</v>
      </c>
      <c r="F799" s="127">
        <v>1.0660000000000001</v>
      </c>
      <c r="G799" s="13">
        <v>9.9989999999999996E-4</v>
      </c>
    </row>
    <row r="800" spans="1:14">
      <c r="A800" s="7">
        <v>18</v>
      </c>
      <c r="B800" s="87">
        <v>44501</v>
      </c>
      <c r="C800">
        <v>2021</v>
      </c>
      <c r="D800" s="10" t="s">
        <v>35</v>
      </c>
      <c r="E800" s="20">
        <v>11</v>
      </c>
      <c r="F800" s="127">
        <v>0.88800000000000001</v>
      </c>
      <c r="G800" s="13">
        <v>9.9989999999999996E-4</v>
      </c>
      <c r="I800" s="50">
        <f t="shared" ref="I800:J800" si="32">AVERAGE(F798:F800)</f>
        <v>0.97299999999999998</v>
      </c>
      <c r="J800" s="50">
        <f t="shared" si="32"/>
        <v>9.9989999999999996E-4</v>
      </c>
      <c r="L800">
        <f t="shared" ref="L800" si="33">+J800/I800</f>
        <v>1.0276464542651592E-3</v>
      </c>
      <c r="M800">
        <f t="shared" ref="M800" si="34">+(L800-$L$913)/$L$914</f>
        <v>-0.68610882524203609</v>
      </c>
      <c r="N800">
        <f t="shared" ref="N800" si="35">+N797+M800</f>
        <v>0.90087770834005376</v>
      </c>
    </row>
    <row r="801" spans="1:14">
      <c r="A801" s="7">
        <v>1</v>
      </c>
      <c r="B801" s="88">
        <v>44531</v>
      </c>
      <c r="C801">
        <v>2021</v>
      </c>
      <c r="D801" s="10" t="s">
        <v>36</v>
      </c>
      <c r="E801" s="20">
        <v>12</v>
      </c>
      <c r="F801" s="127">
        <v>1.1200000000000001</v>
      </c>
      <c r="G801" s="13">
        <v>9.9989999999999996E-4</v>
      </c>
    </row>
    <row r="802" spans="1:14">
      <c r="A802" s="7">
        <v>17</v>
      </c>
      <c r="B802" s="87">
        <v>44531</v>
      </c>
      <c r="C802">
        <v>2021</v>
      </c>
      <c r="D802" s="10" t="s">
        <v>36</v>
      </c>
      <c r="E802" s="20">
        <v>12</v>
      </c>
      <c r="F802" s="127">
        <v>0.84899999999999998</v>
      </c>
      <c r="G802" s="13">
        <v>9.9989999999999996E-4</v>
      </c>
    </row>
    <row r="803" spans="1:14">
      <c r="A803" s="7">
        <v>18</v>
      </c>
      <c r="B803" s="87">
        <v>44531</v>
      </c>
      <c r="C803">
        <v>2021</v>
      </c>
      <c r="D803" s="10" t="s">
        <v>36</v>
      </c>
      <c r="E803" s="20">
        <v>12</v>
      </c>
      <c r="F803" s="127">
        <v>1.1419999999999999</v>
      </c>
      <c r="G803" s="13">
        <v>9.9989999999999996E-4</v>
      </c>
      <c r="I803" s="50">
        <f t="shared" ref="I803:J803" si="36">AVERAGE(F801:F803)</f>
        <v>1.0369999999999999</v>
      </c>
      <c r="J803" s="50">
        <f t="shared" si="36"/>
        <v>9.9989999999999996E-4</v>
      </c>
      <c r="L803">
        <f t="shared" ref="L803" si="37">+J803/I803</f>
        <v>9.6422372227579565E-4</v>
      </c>
      <c r="M803">
        <f t="shared" ref="M803" si="38">+(L803-$L$913)/$L$914</f>
        <v>-0.6879784126095847</v>
      </c>
      <c r="N803">
        <f t="shared" ref="N803" si="39">+N800+M803</f>
        <v>0.21289929573046906</v>
      </c>
    </row>
    <row r="804" spans="1:14">
      <c r="A804" s="120">
        <v>1</v>
      </c>
      <c r="B804" s="126">
        <v>44571</v>
      </c>
      <c r="C804" s="48">
        <v>2022</v>
      </c>
      <c r="D804" s="45" t="s">
        <v>37</v>
      </c>
      <c r="E804" s="43">
        <v>1</v>
      </c>
      <c r="G804" s="50"/>
      <c r="H804" s="123" t="s">
        <v>99</v>
      </c>
    </row>
    <row r="805" spans="1:14">
      <c r="A805" s="7">
        <v>17</v>
      </c>
      <c r="B805" s="89">
        <v>44566</v>
      </c>
      <c r="C805">
        <v>2022</v>
      </c>
      <c r="D805" s="10" t="s">
        <v>37</v>
      </c>
      <c r="E805" s="20">
        <v>1</v>
      </c>
      <c r="G805" s="50"/>
      <c r="H805" s="123" t="s">
        <v>95</v>
      </c>
    </row>
    <row r="806" spans="1:14">
      <c r="A806" s="7">
        <v>18</v>
      </c>
      <c r="B806" s="89">
        <v>44566</v>
      </c>
      <c r="C806">
        <v>2022</v>
      </c>
      <c r="D806" s="10" t="s">
        <v>37</v>
      </c>
      <c r="E806" s="20">
        <v>1</v>
      </c>
      <c r="G806" s="50"/>
      <c r="H806" s="123" t="s">
        <v>96</v>
      </c>
    </row>
    <row r="807" spans="1:14">
      <c r="A807" s="7">
        <v>1</v>
      </c>
      <c r="B807" s="87">
        <v>44593</v>
      </c>
      <c r="C807">
        <v>2022</v>
      </c>
      <c r="D807" s="10" t="s">
        <v>26</v>
      </c>
      <c r="E807" s="20">
        <v>2</v>
      </c>
      <c r="G807" s="50"/>
    </row>
    <row r="808" spans="1:14">
      <c r="A808" s="7">
        <v>17</v>
      </c>
      <c r="B808" s="87">
        <v>44593</v>
      </c>
      <c r="C808">
        <v>2022</v>
      </c>
      <c r="D808" s="10" t="s">
        <v>26</v>
      </c>
      <c r="E808" s="20">
        <v>2</v>
      </c>
      <c r="G808" s="50"/>
    </row>
    <row r="809" spans="1:14">
      <c r="A809" s="7">
        <v>18</v>
      </c>
      <c r="B809" s="87">
        <v>44593</v>
      </c>
      <c r="C809">
        <v>2022</v>
      </c>
      <c r="D809" s="10" t="s">
        <v>26</v>
      </c>
      <c r="E809" s="20">
        <v>2</v>
      </c>
      <c r="G809" s="50"/>
    </row>
    <row r="810" spans="1:14">
      <c r="A810" s="7">
        <v>1</v>
      </c>
      <c r="B810" s="87">
        <v>44621</v>
      </c>
      <c r="C810">
        <v>2022</v>
      </c>
      <c r="D810" s="10" t="s">
        <v>27</v>
      </c>
      <c r="E810" s="20">
        <v>3</v>
      </c>
      <c r="G810" s="50"/>
    </row>
    <row r="811" spans="1:14">
      <c r="A811" s="7">
        <v>17</v>
      </c>
      <c r="B811" s="87">
        <v>44621</v>
      </c>
      <c r="C811">
        <v>2022</v>
      </c>
      <c r="D811" s="10" t="s">
        <v>27</v>
      </c>
      <c r="E811" s="20">
        <v>3</v>
      </c>
      <c r="G811" s="50"/>
    </row>
    <row r="812" spans="1:14">
      <c r="A812" s="7">
        <v>18</v>
      </c>
      <c r="B812" s="87">
        <v>44621</v>
      </c>
      <c r="C812">
        <v>2022</v>
      </c>
      <c r="D812" s="10" t="s">
        <v>27</v>
      </c>
      <c r="E812" s="20">
        <v>3</v>
      </c>
      <c r="G812" s="50"/>
    </row>
    <row r="813" spans="1:14">
      <c r="A813" s="7">
        <v>1</v>
      </c>
      <c r="B813" s="87">
        <v>44652</v>
      </c>
      <c r="C813">
        <v>2022</v>
      </c>
      <c r="D813" s="10" t="s">
        <v>28</v>
      </c>
      <c r="E813" s="20">
        <v>4</v>
      </c>
      <c r="G813" s="50"/>
    </row>
    <row r="814" spans="1:14">
      <c r="A814" s="7">
        <v>17</v>
      </c>
      <c r="B814" s="87">
        <v>44652</v>
      </c>
      <c r="C814">
        <v>2022</v>
      </c>
      <c r="D814" s="10" t="s">
        <v>28</v>
      </c>
      <c r="E814" s="20">
        <v>4</v>
      </c>
      <c r="G814" s="50"/>
    </row>
    <row r="815" spans="1:14">
      <c r="A815" s="7">
        <v>18</v>
      </c>
      <c r="B815" s="87">
        <v>44652</v>
      </c>
      <c r="C815">
        <v>2022</v>
      </c>
      <c r="D815" s="10" t="s">
        <v>28</v>
      </c>
      <c r="E815" s="20">
        <v>4</v>
      </c>
      <c r="G815" s="50"/>
    </row>
    <row r="816" spans="1:14">
      <c r="A816" s="7">
        <v>1</v>
      </c>
      <c r="B816" s="87">
        <v>44682</v>
      </c>
      <c r="C816">
        <v>2022</v>
      </c>
      <c r="D816" s="10" t="s">
        <v>29</v>
      </c>
      <c r="E816" s="20">
        <v>5</v>
      </c>
      <c r="G816" s="50"/>
    </row>
    <row r="817" spans="1:7">
      <c r="A817" s="7">
        <v>17</v>
      </c>
      <c r="B817" s="87">
        <v>44682</v>
      </c>
      <c r="C817">
        <v>2022</v>
      </c>
      <c r="D817" s="10" t="s">
        <v>29</v>
      </c>
      <c r="E817" s="20">
        <v>5</v>
      </c>
      <c r="G817" s="50"/>
    </row>
    <row r="818" spans="1:7">
      <c r="A818" s="7">
        <v>18</v>
      </c>
      <c r="B818" s="87">
        <v>44682</v>
      </c>
      <c r="C818">
        <v>2022</v>
      </c>
      <c r="D818" s="10" t="s">
        <v>29</v>
      </c>
      <c r="E818" s="20">
        <v>5</v>
      </c>
      <c r="G818" s="50"/>
    </row>
    <row r="819" spans="1:7">
      <c r="A819" s="7">
        <v>1</v>
      </c>
      <c r="B819" s="87">
        <v>44713</v>
      </c>
      <c r="C819">
        <v>2022</v>
      </c>
      <c r="D819" s="10" t="s">
        <v>30</v>
      </c>
      <c r="E819" s="20">
        <v>6</v>
      </c>
      <c r="G819" s="50"/>
    </row>
    <row r="820" spans="1:7">
      <c r="A820" s="7">
        <v>17</v>
      </c>
      <c r="B820" s="87">
        <v>44713</v>
      </c>
      <c r="C820">
        <v>2022</v>
      </c>
      <c r="D820" s="10" t="s">
        <v>30</v>
      </c>
      <c r="E820" s="20">
        <v>6</v>
      </c>
      <c r="G820" s="50"/>
    </row>
    <row r="821" spans="1:7">
      <c r="A821" s="7">
        <v>18</v>
      </c>
      <c r="B821" s="87">
        <v>44713</v>
      </c>
      <c r="C821">
        <v>2022</v>
      </c>
      <c r="D821" s="10" t="s">
        <v>30</v>
      </c>
      <c r="E821" s="20">
        <v>6</v>
      </c>
      <c r="G821" s="50"/>
    </row>
    <row r="822" spans="1:7">
      <c r="A822" s="7">
        <v>1</v>
      </c>
      <c r="B822" s="87">
        <v>44743</v>
      </c>
      <c r="C822">
        <v>2022</v>
      </c>
      <c r="D822" s="10" t="s">
        <v>31</v>
      </c>
      <c r="E822" s="20">
        <v>7</v>
      </c>
      <c r="G822" s="50"/>
    </row>
    <row r="823" spans="1:7">
      <c r="A823" s="7">
        <v>17</v>
      </c>
      <c r="B823" s="87">
        <v>44743</v>
      </c>
      <c r="C823">
        <v>2022</v>
      </c>
      <c r="D823" s="10" t="s">
        <v>31</v>
      </c>
      <c r="E823" s="20">
        <v>7</v>
      </c>
      <c r="G823" s="50"/>
    </row>
    <row r="824" spans="1:7">
      <c r="A824" s="7">
        <v>18</v>
      </c>
      <c r="B824" s="87">
        <v>44743</v>
      </c>
      <c r="C824">
        <v>2022</v>
      </c>
      <c r="D824" s="10" t="s">
        <v>31</v>
      </c>
      <c r="E824" s="20">
        <v>7</v>
      </c>
      <c r="G824" s="50"/>
    </row>
    <row r="825" spans="1:7">
      <c r="A825" s="7">
        <v>1</v>
      </c>
      <c r="B825" s="87">
        <v>44774</v>
      </c>
      <c r="C825">
        <v>2022</v>
      </c>
      <c r="D825" s="10" t="s">
        <v>32</v>
      </c>
      <c r="E825" s="20">
        <v>8</v>
      </c>
      <c r="G825" s="50"/>
    </row>
    <row r="826" spans="1:7">
      <c r="A826" s="7">
        <v>17</v>
      </c>
      <c r="B826" s="87">
        <v>44774</v>
      </c>
      <c r="C826">
        <v>2022</v>
      </c>
      <c r="D826" s="10" t="s">
        <v>32</v>
      </c>
      <c r="E826" s="20">
        <v>8</v>
      </c>
      <c r="G826" s="50"/>
    </row>
    <row r="827" spans="1:7">
      <c r="A827" s="7">
        <v>18</v>
      </c>
      <c r="B827" s="87">
        <v>44774</v>
      </c>
      <c r="C827">
        <v>2022</v>
      </c>
      <c r="D827" s="10" t="s">
        <v>32</v>
      </c>
      <c r="E827" s="20">
        <v>8</v>
      </c>
      <c r="G827" s="50"/>
    </row>
    <row r="828" spans="1:7">
      <c r="A828" s="7">
        <v>1</v>
      </c>
      <c r="B828" s="87">
        <v>44805</v>
      </c>
      <c r="C828">
        <v>2022</v>
      </c>
      <c r="D828" s="10" t="s">
        <v>38</v>
      </c>
      <c r="E828" s="20">
        <v>9</v>
      </c>
      <c r="G828" s="50"/>
    </row>
    <row r="829" spans="1:7">
      <c r="A829" s="7">
        <v>17</v>
      </c>
      <c r="B829" s="87">
        <v>44805</v>
      </c>
      <c r="C829">
        <v>2022</v>
      </c>
      <c r="D829" s="10" t="s">
        <v>38</v>
      </c>
      <c r="E829" s="20">
        <v>9</v>
      </c>
      <c r="G829" s="50"/>
    </row>
    <row r="830" spans="1:7">
      <c r="A830" s="7">
        <v>18</v>
      </c>
      <c r="B830" s="87">
        <v>44805</v>
      </c>
      <c r="C830">
        <v>2022</v>
      </c>
      <c r="D830" s="10" t="s">
        <v>38</v>
      </c>
      <c r="E830" s="20">
        <v>9</v>
      </c>
      <c r="G830" s="50"/>
    </row>
    <row r="831" spans="1:7">
      <c r="A831" s="7">
        <v>1</v>
      </c>
      <c r="B831" s="87">
        <v>44835</v>
      </c>
      <c r="C831">
        <v>2022</v>
      </c>
      <c r="D831" s="10" t="s">
        <v>34</v>
      </c>
      <c r="E831" s="20">
        <v>10</v>
      </c>
      <c r="G831" s="50"/>
    </row>
    <row r="832" spans="1:7">
      <c r="A832" s="7">
        <v>17</v>
      </c>
      <c r="B832" s="87">
        <v>44835</v>
      </c>
      <c r="C832">
        <v>2022</v>
      </c>
      <c r="D832" s="10" t="s">
        <v>34</v>
      </c>
      <c r="E832" s="20">
        <v>10</v>
      </c>
      <c r="G832" s="50"/>
    </row>
    <row r="833" spans="1:14">
      <c r="A833" s="7">
        <v>18</v>
      </c>
      <c r="B833" s="87">
        <v>44835</v>
      </c>
      <c r="C833">
        <v>2022</v>
      </c>
      <c r="D833" s="10" t="s">
        <v>34</v>
      </c>
      <c r="E833" s="20">
        <v>10</v>
      </c>
      <c r="G833" s="50"/>
    </row>
    <row r="834" spans="1:14">
      <c r="A834" s="7">
        <v>1</v>
      </c>
      <c r="B834" s="87">
        <v>44866</v>
      </c>
      <c r="C834">
        <v>2022</v>
      </c>
      <c r="D834" s="10" t="s">
        <v>35</v>
      </c>
      <c r="E834" s="20">
        <v>11</v>
      </c>
      <c r="G834" s="50"/>
    </row>
    <row r="835" spans="1:14">
      <c r="A835" s="7">
        <v>17</v>
      </c>
      <c r="B835" s="87">
        <v>44866</v>
      </c>
      <c r="C835">
        <v>2022</v>
      </c>
      <c r="D835" s="10" t="s">
        <v>35</v>
      </c>
      <c r="E835" s="20">
        <v>11</v>
      </c>
      <c r="G835" s="50"/>
    </row>
    <row r="836" spans="1:14">
      <c r="A836" s="7">
        <v>18</v>
      </c>
      <c r="B836" s="87">
        <v>44866</v>
      </c>
      <c r="C836">
        <v>2022</v>
      </c>
      <c r="D836" s="10" t="s">
        <v>35</v>
      </c>
      <c r="E836" s="20">
        <v>11</v>
      </c>
      <c r="G836" s="50"/>
    </row>
    <row r="837" spans="1:14">
      <c r="A837" s="7">
        <v>1</v>
      </c>
      <c r="B837" s="88">
        <v>44896</v>
      </c>
      <c r="C837">
        <v>2022</v>
      </c>
      <c r="D837" s="10" t="s">
        <v>36</v>
      </c>
      <c r="E837" s="20">
        <v>12</v>
      </c>
      <c r="G837" s="50"/>
    </row>
    <row r="838" spans="1:14">
      <c r="A838" s="7">
        <v>17</v>
      </c>
      <c r="B838" s="87">
        <v>44896</v>
      </c>
      <c r="C838">
        <v>2022</v>
      </c>
      <c r="D838" s="10" t="s">
        <v>36</v>
      </c>
      <c r="E838" s="20">
        <v>12</v>
      </c>
      <c r="G838" s="50"/>
    </row>
    <row r="839" spans="1:14">
      <c r="A839" s="7">
        <v>18</v>
      </c>
      <c r="B839" s="87">
        <v>44896</v>
      </c>
      <c r="C839">
        <v>2022</v>
      </c>
      <c r="D839" s="10" t="s">
        <v>36</v>
      </c>
      <c r="E839" s="20">
        <v>12</v>
      </c>
      <c r="G839" s="50"/>
    </row>
    <row r="840" spans="1:14">
      <c r="A840" s="120">
        <v>1</v>
      </c>
      <c r="B840" s="126">
        <v>44936</v>
      </c>
      <c r="C840" s="48">
        <v>2023</v>
      </c>
      <c r="D840" s="45" t="s">
        <v>37</v>
      </c>
      <c r="E840" s="43">
        <v>1</v>
      </c>
      <c r="F840" s="128">
        <v>3.77</v>
      </c>
      <c r="G840" s="127">
        <v>4.1000000000000002E-2</v>
      </c>
    </row>
    <row r="841" spans="1:14">
      <c r="A841" s="7">
        <v>17</v>
      </c>
      <c r="B841" s="89">
        <v>44931</v>
      </c>
      <c r="C841">
        <v>2023</v>
      </c>
      <c r="D841" s="10" t="s">
        <v>37</v>
      </c>
      <c r="E841" s="20">
        <v>1</v>
      </c>
      <c r="F841" s="128">
        <v>3.8769999999999998</v>
      </c>
      <c r="G841" s="127">
        <v>8.1000000000000003E-2</v>
      </c>
    </row>
    <row r="842" spans="1:14">
      <c r="A842" s="7">
        <v>18</v>
      </c>
      <c r="B842" s="89">
        <v>44931</v>
      </c>
      <c r="C842">
        <v>2023</v>
      </c>
      <c r="D842" s="10" t="s">
        <v>37</v>
      </c>
      <c r="E842" s="20">
        <v>1</v>
      </c>
      <c r="F842" s="128">
        <v>3.2709999999999999</v>
      </c>
      <c r="G842" s="127">
        <v>0.09</v>
      </c>
      <c r="I842" s="50">
        <f>AVERAGE(F840:F842)</f>
        <v>3.6393333333333331</v>
      </c>
      <c r="J842" s="50">
        <f>AVERAGE(G840:G842)</f>
        <v>7.0666666666666669E-2</v>
      </c>
      <c r="L842">
        <f>+J842/I842</f>
        <v>1.9417475728155342E-2</v>
      </c>
      <c r="M842">
        <f>+(L842-$L$913)/$L$914</f>
        <v>-0.14400993698212597</v>
      </c>
      <c r="N842">
        <f>+N803+M842</f>
        <v>6.8889358748343094E-2</v>
      </c>
    </row>
    <row r="843" spans="1:14">
      <c r="A843" s="7">
        <v>1</v>
      </c>
      <c r="B843" s="87">
        <v>44958</v>
      </c>
      <c r="C843">
        <v>2023</v>
      </c>
      <c r="D843" s="10" t="s">
        <v>26</v>
      </c>
      <c r="E843" s="20">
        <v>2</v>
      </c>
      <c r="F843" s="129">
        <v>2.9430000000000001</v>
      </c>
      <c r="G843" s="13">
        <v>0.16300000000000001</v>
      </c>
    </row>
    <row r="844" spans="1:14">
      <c r="A844" s="7">
        <v>17</v>
      </c>
      <c r="B844" s="87">
        <v>44958</v>
      </c>
      <c r="C844">
        <v>2023</v>
      </c>
      <c r="D844" s="10" t="s">
        <v>26</v>
      </c>
      <c r="E844" s="20">
        <v>2</v>
      </c>
      <c r="F844" s="129">
        <v>2.625</v>
      </c>
      <c r="G844" s="13">
        <v>0.128</v>
      </c>
    </row>
    <row r="845" spans="1:14">
      <c r="A845" s="7">
        <v>18</v>
      </c>
      <c r="B845" s="87">
        <v>44958</v>
      </c>
      <c r="C845">
        <v>2023</v>
      </c>
      <c r="D845" s="10" t="s">
        <v>26</v>
      </c>
      <c r="E845" s="20">
        <v>2</v>
      </c>
      <c r="F845" s="129">
        <v>2.3980000000000001</v>
      </c>
      <c r="G845" s="13">
        <v>0.105</v>
      </c>
      <c r="I845">
        <f>AVERAGE(F843:F845)</f>
        <v>2.6553333333333331</v>
      </c>
      <c r="J845" s="50">
        <f>AVERAGE(G843:G845)</f>
        <v>0.13200000000000001</v>
      </c>
      <c r="L845">
        <f>+J845/I845</f>
        <v>4.971127290986694E-2</v>
      </c>
      <c r="M845">
        <f>+(L845-$L$913)/$L$914</f>
        <v>0.7489963834568184</v>
      </c>
      <c r="N845">
        <f>+N842+M845</f>
        <v>0.81788574220516153</v>
      </c>
    </row>
    <row r="846" spans="1:14">
      <c r="A846" s="7">
        <v>1</v>
      </c>
      <c r="B846" s="87">
        <v>44986</v>
      </c>
      <c r="C846">
        <v>2023</v>
      </c>
      <c r="D846" s="10" t="s">
        <v>27</v>
      </c>
      <c r="E846" s="20">
        <v>3</v>
      </c>
      <c r="F846" s="129">
        <v>1.3979999999999999</v>
      </c>
      <c r="G846" s="13">
        <v>5.3999999999999999E-2</v>
      </c>
    </row>
    <row r="847" spans="1:14">
      <c r="A847" s="7">
        <v>17</v>
      </c>
      <c r="B847" s="87">
        <v>44986</v>
      </c>
      <c r="C847">
        <v>2023</v>
      </c>
      <c r="D847" s="10" t="s">
        <v>27</v>
      </c>
      <c r="E847" s="20">
        <v>3</v>
      </c>
      <c r="F847" s="129">
        <v>1.9</v>
      </c>
      <c r="G847" s="13">
        <v>1E-3</v>
      </c>
    </row>
    <row r="848" spans="1:14">
      <c r="A848" s="7">
        <v>18</v>
      </c>
      <c r="B848" s="87">
        <v>44986</v>
      </c>
      <c r="C848">
        <v>2023</v>
      </c>
      <c r="D848" s="10" t="s">
        <v>27</v>
      </c>
      <c r="E848" s="20">
        <v>3</v>
      </c>
      <c r="F848" s="129">
        <v>2.2679999999999998</v>
      </c>
      <c r="G848" s="13">
        <v>1E-3</v>
      </c>
      <c r="I848">
        <f t="shared" ref="I848:J848" si="40">AVERAGE(F846:F848)</f>
        <v>1.8553333333333333</v>
      </c>
      <c r="J848" s="50">
        <f t="shared" si="40"/>
        <v>1.8666666666666668E-2</v>
      </c>
      <c r="L848">
        <f t="shared" ref="L848" si="41">+J848/I848</f>
        <v>1.006108515989939E-2</v>
      </c>
      <c r="M848">
        <f t="shared" ref="M848" si="42">+(L848-$L$913)/$L$914</f>
        <v>-0.41981939935589552</v>
      </c>
      <c r="N848">
        <f t="shared" ref="N848" si="43">+N845+M848</f>
        <v>0.39806634284926601</v>
      </c>
    </row>
    <row r="849" spans="1:14">
      <c r="A849" s="7">
        <v>1</v>
      </c>
      <c r="B849" s="87">
        <v>45017</v>
      </c>
      <c r="C849">
        <v>2023</v>
      </c>
      <c r="D849" s="10" t="s">
        <v>28</v>
      </c>
      <c r="E849" s="20">
        <v>4</v>
      </c>
      <c r="F849" s="129">
        <v>1.302</v>
      </c>
      <c r="G849" s="13">
        <v>5.3999999999999999E-2</v>
      </c>
    </row>
    <row r="850" spans="1:14">
      <c r="A850" s="7">
        <v>17</v>
      </c>
      <c r="B850" s="87">
        <v>45017</v>
      </c>
      <c r="C850">
        <v>2023</v>
      </c>
      <c r="D850" s="10" t="s">
        <v>28</v>
      </c>
      <c r="E850" s="20">
        <v>4</v>
      </c>
      <c r="F850" s="129">
        <v>3.2050000000000001</v>
      </c>
      <c r="G850" s="13">
        <v>1E-3</v>
      </c>
    </row>
    <row r="851" spans="1:14">
      <c r="A851" s="7">
        <v>18</v>
      </c>
      <c r="B851" s="87">
        <v>45017</v>
      </c>
      <c r="C851">
        <v>2023</v>
      </c>
      <c r="D851" s="10" t="s">
        <v>28</v>
      </c>
      <c r="E851" s="20">
        <v>4</v>
      </c>
      <c r="F851" s="129">
        <v>2.0609999999999999</v>
      </c>
      <c r="G851" s="13">
        <v>1.2999999999999999E-2</v>
      </c>
      <c r="I851">
        <f t="shared" ref="I851:J851" si="44">AVERAGE(F849:F851)</f>
        <v>2.1893333333333334</v>
      </c>
      <c r="J851" s="50">
        <f t="shared" si="44"/>
        <v>2.2666666666666668E-2</v>
      </c>
      <c r="L851">
        <f t="shared" ref="L851" si="45">+J851/I851</f>
        <v>1.0353227771010963E-2</v>
      </c>
      <c r="M851">
        <f t="shared" ref="M851" si="46">+(L851-$L$913)/$L$914</f>
        <v>-0.41120756384952767</v>
      </c>
      <c r="N851">
        <f t="shared" ref="N851" si="47">+N848+M851</f>
        <v>-1.314122100026166E-2</v>
      </c>
    </row>
    <row r="852" spans="1:14">
      <c r="A852" s="7">
        <v>1</v>
      </c>
      <c r="B852" s="87">
        <v>45047</v>
      </c>
      <c r="C852">
        <v>2023</v>
      </c>
      <c r="D852" s="10" t="s">
        <v>29</v>
      </c>
      <c r="E852" s="20">
        <v>5</v>
      </c>
      <c r="F852" s="129">
        <v>1.4450000000000001</v>
      </c>
      <c r="G852" s="13">
        <v>9.9989999999999996E-4</v>
      </c>
    </row>
    <row r="853" spans="1:14">
      <c r="A853" s="7">
        <v>17</v>
      </c>
      <c r="B853" s="87">
        <v>45047</v>
      </c>
      <c r="C853">
        <v>2023</v>
      </c>
      <c r="D853" s="10" t="s">
        <v>29</v>
      </c>
      <c r="E853" s="20">
        <v>5</v>
      </c>
      <c r="F853" s="129">
        <v>3.4039999999999999</v>
      </c>
      <c r="G853" s="13">
        <v>0.25</v>
      </c>
    </row>
    <row r="854" spans="1:14">
      <c r="A854" s="7">
        <v>18</v>
      </c>
      <c r="B854" s="87">
        <v>45047</v>
      </c>
      <c r="C854">
        <v>2023</v>
      </c>
      <c r="D854" s="10" t="s">
        <v>29</v>
      </c>
      <c r="E854" s="20">
        <v>5</v>
      </c>
      <c r="F854" s="129">
        <v>3.3319999999999999</v>
      </c>
      <c r="G854" s="13">
        <v>4.4999999999999998E-2</v>
      </c>
      <c r="I854">
        <f t="shared" ref="I854:J854" si="48">AVERAGE(F852:F854)</f>
        <v>2.7270000000000003</v>
      </c>
      <c r="J854" s="50">
        <f t="shared" si="48"/>
        <v>9.8666633333333323E-2</v>
      </c>
      <c r="L854">
        <f t="shared" ref="L854" si="49">+J854/I854</f>
        <v>3.6181383693924943E-2</v>
      </c>
      <c r="M854">
        <f t="shared" ref="M854" si="50">+(L854-$L$913)/$L$914</f>
        <v>0.35015973342573542</v>
      </c>
      <c r="N854">
        <f t="shared" ref="N854" si="51">+N851+M854</f>
        <v>0.33701851242547376</v>
      </c>
    </row>
    <row r="855" spans="1:14">
      <c r="A855" s="7">
        <v>1</v>
      </c>
      <c r="B855" s="87">
        <v>45078</v>
      </c>
      <c r="C855">
        <v>2023</v>
      </c>
      <c r="D855" s="10" t="s">
        <v>30</v>
      </c>
      <c r="E855" s="20">
        <v>6</v>
      </c>
      <c r="F855" s="129">
        <v>3.5129999999999999</v>
      </c>
      <c r="G855" s="13">
        <v>0.10299999999999999</v>
      </c>
    </row>
    <row r="856" spans="1:14">
      <c r="A856" s="7">
        <v>17</v>
      </c>
      <c r="B856" s="87">
        <v>45078</v>
      </c>
      <c r="C856">
        <v>2023</v>
      </c>
      <c r="D856" s="10" t="s">
        <v>30</v>
      </c>
      <c r="E856" s="20">
        <v>6</v>
      </c>
      <c r="F856" s="129">
        <v>2.95</v>
      </c>
      <c r="G856" s="13">
        <v>0.123</v>
      </c>
    </row>
    <row r="857" spans="1:14">
      <c r="A857" s="7">
        <v>18</v>
      </c>
      <c r="B857" s="87">
        <v>45078</v>
      </c>
      <c r="C857">
        <v>2023</v>
      </c>
      <c r="D857" s="10" t="s">
        <v>30</v>
      </c>
      <c r="E857" s="20">
        <v>6</v>
      </c>
      <c r="F857" s="129">
        <v>5.883</v>
      </c>
      <c r="G857" s="13">
        <v>0.15</v>
      </c>
      <c r="I857">
        <f t="shared" ref="I857:J857" si="52">AVERAGE(F855:F857)</f>
        <v>4.1153333333333331</v>
      </c>
      <c r="J857" s="50">
        <f t="shared" si="52"/>
        <v>0.12533333333333332</v>
      </c>
      <c r="L857">
        <f t="shared" ref="L857" si="53">+J857/I857</f>
        <v>3.0455208164587719E-2</v>
      </c>
      <c r="M857">
        <f t="shared" ref="M857" si="54">+(L857-$L$913)/$L$914</f>
        <v>0.18136244106358837</v>
      </c>
      <c r="N857">
        <f t="shared" ref="N857" si="55">+N854+M857</f>
        <v>0.5183809534890621</v>
      </c>
    </row>
    <row r="858" spans="1:14">
      <c r="A858" s="7">
        <v>1</v>
      </c>
      <c r="B858" s="87">
        <v>45108</v>
      </c>
      <c r="C858">
        <v>2023</v>
      </c>
      <c r="D858" s="10" t="s">
        <v>31</v>
      </c>
      <c r="E858" s="20">
        <v>7</v>
      </c>
      <c r="F858" s="129">
        <v>7.6829999999999998</v>
      </c>
      <c r="G858" s="13">
        <v>0.33800000000000002</v>
      </c>
    </row>
    <row r="859" spans="1:14">
      <c r="A859" s="7">
        <v>17</v>
      </c>
      <c r="B859" s="87">
        <v>45108</v>
      </c>
      <c r="C859">
        <v>2023</v>
      </c>
      <c r="D859" s="10" t="s">
        <v>31</v>
      </c>
      <c r="E859" s="20">
        <v>7</v>
      </c>
      <c r="F859" s="129">
        <v>3.7709999999999999</v>
      </c>
      <c r="G859" s="13">
        <v>0.10199999999999999</v>
      </c>
    </row>
    <row r="860" spans="1:14">
      <c r="A860" s="7">
        <v>18</v>
      </c>
      <c r="B860" s="87">
        <v>45108</v>
      </c>
      <c r="C860">
        <v>2023</v>
      </c>
      <c r="D860" s="10" t="s">
        <v>31</v>
      </c>
      <c r="E860" s="20">
        <v>7</v>
      </c>
      <c r="F860" s="129">
        <v>6.3120000000000003</v>
      </c>
      <c r="G860" s="13">
        <v>0.104</v>
      </c>
      <c r="I860">
        <f t="shared" ref="I860:J860" si="56">AVERAGE(F858:F860)</f>
        <v>5.9220000000000006</v>
      </c>
      <c r="J860" s="50">
        <f t="shared" si="56"/>
        <v>0.18133333333333335</v>
      </c>
      <c r="L860">
        <f t="shared" ref="L860" si="57">+J860/I860</f>
        <v>3.0620285939434874E-2</v>
      </c>
      <c r="M860">
        <f t="shared" ref="M860" si="58">+(L860-$L$913)/$L$914</f>
        <v>0.18622863513685897</v>
      </c>
      <c r="N860">
        <f t="shared" ref="N860" si="59">+N857+M860</f>
        <v>0.70460958862592105</v>
      </c>
    </row>
    <row r="861" spans="1:14">
      <c r="A861" s="7">
        <v>1</v>
      </c>
      <c r="B861" s="87">
        <v>45139</v>
      </c>
      <c r="C861">
        <v>2023</v>
      </c>
      <c r="D861" s="10" t="s">
        <v>32</v>
      </c>
      <c r="E861" s="20">
        <v>8</v>
      </c>
      <c r="F861" s="129">
        <v>5.4450000000000003</v>
      </c>
      <c r="G861" s="13">
        <v>0.2</v>
      </c>
    </row>
    <row r="862" spans="1:14">
      <c r="A862" s="7">
        <v>17</v>
      </c>
      <c r="B862" s="87">
        <v>45139</v>
      </c>
      <c r="C862">
        <v>2023</v>
      </c>
      <c r="D862" s="10" t="s">
        <v>32</v>
      </c>
      <c r="E862" s="20">
        <v>8</v>
      </c>
      <c r="F862" s="129">
        <v>2.98</v>
      </c>
      <c r="G862" s="13">
        <v>0.247</v>
      </c>
    </row>
    <row r="863" spans="1:14">
      <c r="A863" s="7">
        <v>18</v>
      </c>
      <c r="B863" s="87">
        <v>45139</v>
      </c>
      <c r="C863">
        <v>2023</v>
      </c>
      <c r="D863" s="10" t="s">
        <v>32</v>
      </c>
      <c r="E863" s="20">
        <v>8</v>
      </c>
      <c r="F863" s="129">
        <v>2.6909999999999998</v>
      </c>
      <c r="G863" s="13">
        <v>0.20899999999999999</v>
      </c>
      <c r="I863">
        <f t="shared" ref="I863:J863" si="60">AVERAGE(F861:F863)</f>
        <v>3.7053333333333334</v>
      </c>
      <c r="J863" s="50">
        <f t="shared" si="60"/>
        <v>0.21866666666666668</v>
      </c>
      <c r="L863">
        <f t="shared" ref="L863" si="61">+J863/I863</f>
        <v>5.9014033825116947E-2</v>
      </c>
      <c r="M863">
        <f t="shared" ref="M863" si="62">+(L863-$L$913)/$L$914</f>
        <v>1.0232249407096488</v>
      </c>
      <c r="N863">
        <f t="shared" ref="N863" si="63">+N860+M863</f>
        <v>1.7278345293355697</v>
      </c>
    </row>
    <row r="864" spans="1:14">
      <c r="A864" s="7">
        <v>1</v>
      </c>
      <c r="B864" s="87">
        <v>45170</v>
      </c>
      <c r="C864">
        <v>2023</v>
      </c>
      <c r="D864" s="10" t="s">
        <v>38</v>
      </c>
      <c r="E864" s="20">
        <v>9</v>
      </c>
      <c r="F864" s="129">
        <v>1.9710000000000001</v>
      </c>
      <c r="G864" s="13">
        <v>0.02</v>
      </c>
    </row>
    <row r="865" spans="1:14">
      <c r="A865" s="7">
        <v>17</v>
      </c>
      <c r="B865" s="87">
        <v>45170</v>
      </c>
      <c r="C865">
        <v>2023</v>
      </c>
      <c r="D865" s="10" t="s">
        <v>38</v>
      </c>
      <c r="E865" s="20">
        <v>9</v>
      </c>
      <c r="F865" s="129">
        <v>2.63</v>
      </c>
      <c r="G865" s="13">
        <v>4.4999999999999998E-2</v>
      </c>
    </row>
    <row r="866" spans="1:14">
      <c r="A866" s="7">
        <v>18</v>
      </c>
      <c r="B866" s="87">
        <v>45170</v>
      </c>
      <c r="C866">
        <v>2023</v>
      </c>
      <c r="D866" s="10" t="s">
        <v>38</v>
      </c>
      <c r="E866" s="20">
        <v>9</v>
      </c>
      <c r="F866" s="129">
        <v>1.3939999999999999</v>
      </c>
      <c r="G866" s="13">
        <v>9.9989999999999996E-4</v>
      </c>
      <c r="I866">
        <f t="shared" ref="I866:J866" si="64">AVERAGE(F864:F866)</f>
        <v>1.9983333333333333</v>
      </c>
      <c r="J866" s="50">
        <f t="shared" si="64"/>
        <v>2.1999966666666666E-2</v>
      </c>
      <c r="L866">
        <f t="shared" ref="L866" si="65">+J866/I866</f>
        <v>1.1009157631359467E-2</v>
      </c>
      <c r="M866">
        <f t="shared" ref="M866" si="66">+(L866-$L$913)/$L$914</f>
        <v>-0.39187193855493879</v>
      </c>
      <c r="N866">
        <f t="shared" ref="N866" si="67">+N863+M866</f>
        <v>1.335962590780631</v>
      </c>
    </row>
    <row r="867" spans="1:14">
      <c r="A867" s="7">
        <v>1</v>
      </c>
      <c r="B867" s="87">
        <v>45200</v>
      </c>
      <c r="C867">
        <v>2023</v>
      </c>
      <c r="D867" s="10" t="s">
        <v>34</v>
      </c>
      <c r="E867" s="20">
        <v>10</v>
      </c>
      <c r="F867" s="130">
        <v>0.83199999999999996</v>
      </c>
      <c r="G867" s="13">
        <v>0.02</v>
      </c>
    </row>
    <row r="868" spans="1:14">
      <c r="A868" s="7">
        <v>17</v>
      </c>
      <c r="B868" s="87">
        <v>45200</v>
      </c>
      <c r="C868">
        <v>2023</v>
      </c>
      <c r="D868" s="10" t="s">
        <v>34</v>
      </c>
      <c r="E868" s="20">
        <v>10</v>
      </c>
      <c r="F868" s="129">
        <v>2.8140000000000001</v>
      </c>
      <c r="G868" s="13">
        <v>7.6999999999999999E-2</v>
      </c>
    </row>
    <row r="869" spans="1:14">
      <c r="A869" s="7">
        <v>18</v>
      </c>
      <c r="B869" s="87">
        <v>45200</v>
      </c>
      <c r="C869">
        <v>2023</v>
      </c>
      <c r="D869" s="10" t="s">
        <v>34</v>
      </c>
      <c r="E869" s="20">
        <v>10</v>
      </c>
      <c r="F869" s="129">
        <v>0.46300000000000002</v>
      </c>
      <c r="G869" s="13">
        <v>9.9989999999999996E-4</v>
      </c>
      <c r="I869">
        <f t="shared" ref="I869:J869" si="68">AVERAGE(F867:F869)</f>
        <v>1.3696666666666666</v>
      </c>
      <c r="J869" s="50">
        <f t="shared" si="68"/>
        <v>3.2666633333333334E-2</v>
      </c>
      <c r="L869">
        <f t="shared" ref="L869" si="69">+J869/I869</f>
        <v>2.385006084205403E-2</v>
      </c>
      <c r="M869">
        <f t="shared" ref="M869" si="70">+(L869-$L$913)/$L$914</f>
        <v>-1.3345349150767767E-2</v>
      </c>
      <c r="N869">
        <f t="shared" ref="N869" si="71">+N866+M869</f>
        <v>1.3226172416298632</v>
      </c>
    </row>
    <row r="870" spans="1:14">
      <c r="A870" s="7">
        <v>1</v>
      </c>
      <c r="B870" s="87">
        <v>45231</v>
      </c>
      <c r="C870">
        <v>2023</v>
      </c>
      <c r="D870" s="10" t="s">
        <v>35</v>
      </c>
      <c r="E870" s="20">
        <v>11</v>
      </c>
      <c r="F870" s="129">
        <v>2.1419999999999999</v>
      </c>
      <c r="G870" s="13">
        <v>7.5999999999999998E-2</v>
      </c>
    </row>
    <row r="871" spans="1:14">
      <c r="A871" s="7">
        <v>17</v>
      </c>
      <c r="B871" s="87">
        <v>45231</v>
      </c>
      <c r="C871">
        <v>2023</v>
      </c>
      <c r="D871" s="10" t="s">
        <v>35</v>
      </c>
      <c r="E871" s="20">
        <v>11</v>
      </c>
      <c r="F871" s="129">
        <v>5.0279999999999996</v>
      </c>
      <c r="G871" s="13">
        <v>0.107</v>
      </c>
    </row>
    <row r="872" spans="1:14">
      <c r="A872" s="7">
        <v>18</v>
      </c>
      <c r="B872" s="87">
        <v>45231</v>
      </c>
      <c r="C872">
        <v>2023</v>
      </c>
      <c r="D872" s="10" t="s">
        <v>35</v>
      </c>
      <c r="E872" s="20">
        <v>11</v>
      </c>
      <c r="F872" s="129">
        <v>0.878</v>
      </c>
      <c r="G872" s="13">
        <v>9.9989999999999996E-4</v>
      </c>
      <c r="I872">
        <f t="shared" ref="I872:J872" si="72">AVERAGE(F870:F872)</f>
        <v>2.6826666666666665</v>
      </c>
      <c r="J872" s="50">
        <f t="shared" si="72"/>
        <v>6.13333E-2</v>
      </c>
      <c r="L872">
        <f t="shared" ref="L872" si="73">+J872/I872</f>
        <v>2.2862810636182902E-2</v>
      </c>
      <c r="M872">
        <f t="shared" ref="M872" si="74">+(L872-$L$913)/$L$914</f>
        <v>-4.2447698665070373E-2</v>
      </c>
      <c r="N872">
        <f t="shared" ref="N872" si="75">+N869+M872</f>
        <v>1.2801695429647928</v>
      </c>
    </row>
    <row r="873" spans="1:14">
      <c r="A873" s="7">
        <v>1</v>
      </c>
      <c r="B873" s="88">
        <v>45261</v>
      </c>
      <c r="C873">
        <v>2023</v>
      </c>
      <c r="D873" s="10" t="s">
        <v>36</v>
      </c>
      <c r="E873" s="20">
        <v>12</v>
      </c>
      <c r="F873" s="129">
        <v>0.93799999999999994</v>
      </c>
      <c r="G873" s="13">
        <v>1.6E-2</v>
      </c>
    </row>
    <row r="874" spans="1:14">
      <c r="A874" s="7">
        <v>17</v>
      </c>
      <c r="B874" s="87">
        <v>45261</v>
      </c>
      <c r="C874">
        <v>2023</v>
      </c>
      <c r="D874" s="10" t="s">
        <v>36</v>
      </c>
      <c r="E874" s="20">
        <v>12</v>
      </c>
      <c r="F874" s="129">
        <v>6.0389999999999997</v>
      </c>
      <c r="G874" s="13">
        <v>7.6999999999999999E-2</v>
      </c>
    </row>
    <row r="875" spans="1:14">
      <c r="A875" s="7">
        <v>18</v>
      </c>
      <c r="B875" s="87">
        <v>45261</v>
      </c>
      <c r="C875">
        <v>2023</v>
      </c>
      <c r="D875" s="10" t="s">
        <v>36</v>
      </c>
      <c r="E875" s="20">
        <v>12</v>
      </c>
      <c r="F875" s="129">
        <v>5.2060000000000004</v>
      </c>
      <c r="G875" s="13">
        <v>0.08</v>
      </c>
      <c r="I875">
        <f t="shared" ref="I875:J875" si="76">AVERAGE(F873:F875)</f>
        <v>4.0609999999999999</v>
      </c>
      <c r="J875" s="50">
        <f t="shared" si="76"/>
        <v>5.7666666666666665E-2</v>
      </c>
      <c r="L875">
        <f t="shared" ref="L875" si="77">+J875/I875</f>
        <v>1.4200114914224739E-2</v>
      </c>
      <c r="M875">
        <f t="shared" ref="M875" si="78">+(L875-$L$913)/$L$914</f>
        <v>-0.29780829229901012</v>
      </c>
      <c r="N875">
        <f t="shared" ref="N875" si="79">+N872+M875</f>
        <v>0.98236125066578261</v>
      </c>
    </row>
    <row r="876" spans="1:14">
      <c r="A876" s="120">
        <v>1</v>
      </c>
      <c r="B876" s="126">
        <v>45292</v>
      </c>
      <c r="C876" s="48">
        <v>2024</v>
      </c>
      <c r="D876" s="45" t="s">
        <v>37</v>
      </c>
      <c r="E876" s="43">
        <v>1</v>
      </c>
      <c r="F876" s="129">
        <v>4.8380000000000001</v>
      </c>
      <c r="G876" s="13">
        <v>0.121</v>
      </c>
    </row>
    <row r="877" spans="1:14">
      <c r="A877" s="7">
        <v>17</v>
      </c>
      <c r="B877" s="89">
        <v>45292</v>
      </c>
      <c r="C877">
        <v>2024</v>
      </c>
      <c r="D877" s="10" t="s">
        <v>37</v>
      </c>
      <c r="E877" s="20">
        <v>1</v>
      </c>
      <c r="F877" s="129">
        <v>8.4130000000000003</v>
      </c>
      <c r="G877" s="13">
        <v>0.09</v>
      </c>
    </row>
    <row r="878" spans="1:14">
      <c r="A878" s="7">
        <v>18</v>
      </c>
      <c r="B878" s="89">
        <v>45292</v>
      </c>
      <c r="C878">
        <v>2024</v>
      </c>
      <c r="D878" s="10" t="s">
        <v>37</v>
      </c>
      <c r="E878" s="20">
        <v>1</v>
      </c>
      <c r="F878" s="129">
        <v>3.944</v>
      </c>
      <c r="G878" s="13">
        <v>0.10100000000000001</v>
      </c>
      <c r="I878">
        <f t="shared" ref="I878:J878" si="80">AVERAGE(F876:F878)</f>
        <v>5.7316666666666665</v>
      </c>
      <c r="J878" s="50">
        <f t="shared" si="80"/>
        <v>0.104</v>
      </c>
      <c r="L878">
        <f t="shared" ref="L878" si="81">+J878/I878</f>
        <v>1.8144809537656296E-2</v>
      </c>
      <c r="M878">
        <f t="shared" ref="M878" si="82">+(L878-$L$913)/$L$914</f>
        <v>-0.18152583322674423</v>
      </c>
      <c r="N878">
        <f t="shared" ref="N878" si="83">+N875+M878</f>
        <v>0.80083541743903841</v>
      </c>
    </row>
    <row r="879" spans="1:14">
      <c r="A879" s="7">
        <v>1</v>
      </c>
      <c r="B879" s="87">
        <v>45323</v>
      </c>
      <c r="C879">
        <v>2024</v>
      </c>
      <c r="D879" s="10" t="s">
        <v>26</v>
      </c>
      <c r="E879" s="20">
        <v>2</v>
      </c>
      <c r="F879" s="129">
        <v>2.024</v>
      </c>
      <c r="G879" s="13">
        <v>2.1999999999999999E-2</v>
      </c>
    </row>
    <row r="880" spans="1:14">
      <c r="A880" s="7">
        <v>17</v>
      </c>
      <c r="B880" s="87">
        <v>45323</v>
      </c>
      <c r="C880">
        <v>2024</v>
      </c>
      <c r="D880" s="10" t="s">
        <v>26</v>
      </c>
      <c r="E880" s="20">
        <v>2</v>
      </c>
      <c r="F880" s="129">
        <v>5.1210000000000004</v>
      </c>
      <c r="G880" s="13">
        <v>4.2000000000000003E-2</v>
      </c>
    </row>
    <row r="881" spans="1:14">
      <c r="A881" s="7">
        <v>18</v>
      </c>
      <c r="B881" s="87">
        <v>45323</v>
      </c>
      <c r="C881">
        <v>2024</v>
      </c>
      <c r="D881" s="10" t="s">
        <v>26</v>
      </c>
      <c r="E881" s="20">
        <v>2</v>
      </c>
      <c r="F881" s="129">
        <v>5.274</v>
      </c>
      <c r="G881" s="13">
        <v>4.2000000000000003E-2</v>
      </c>
      <c r="I881">
        <f t="shared" ref="I881:J881" si="84">AVERAGE(F879:F881)</f>
        <v>4.1396666666666668</v>
      </c>
      <c r="J881" s="50">
        <f t="shared" si="84"/>
        <v>3.5333333333333335E-2</v>
      </c>
      <c r="L881">
        <f t="shared" ref="L881" si="85">+J881/I881</f>
        <v>8.5353088010306794E-3</v>
      </c>
      <c r="M881">
        <f t="shared" ref="M881" si="86">+(L881-$L$913)/$L$914</f>
        <v>-0.46479652532901838</v>
      </c>
      <c r="N881">
        <f t="shared" ref="N881" si="87">+N878+M881</f>
        <v>0.33603889211002003</v>
      </c>
    </row>
    <row r="882" spans="1:14">
      <c r="A882" s="7">
        <v>1</v>
      </c>
      <c r="B882" s="87">
        <v>45352</v>
      </c>
      <c r="C882">
        <v>2024</v>
      </c>
      <c r="D882" s="10" t="s">
        <v>27</v>
      </c>
      <c r="E882" s="20">
        <v>3</v>
      </c>
      <c r="G882" s="13"/>
    </row>
    <row r="883" spans="1:14">
      <c r="A883" s="7">
        <v>17</v>
      </c>
      <c r="B883" s="87">
        <v>45352</v>
      </c>
      <c r="C883">
        <v>2024</v>
      </c>
      <c r="D883" s="10" t="s">
        <v>27</v>
      </c>
      <c r="E883" s="20">
        <v>3</v>
      </c>
      <c r="G883" s="13"/>
    </row>
    <row r="884" spans="1:14">
      <c r="A884" s="7">
        <v>18</v>
      </c>
      <c r="B884" s="87">
        <v>45352</v>
      </c>
      <c r="C884">
        <v>2024</v>
      </c>
      <c r="D884" s="10" t="s">
        <v>27</v>
      </c>
      <c r="E884" s="20">
        <v>3</v>
      </c>
      <c r="G884" s="13"/>
      <c r="J884" s="50"/>
    </row>
    <row r="885" spans="1:14">
      <c r="A885" s="7">
        <v>1</v>
      </c>
      <c r="B885" s="87">
        <v>45383</v>
      </c>
      <c r="C885">
        <v>2024</v>
      </c>
      <c r="D885" s="10" t="s">
        <v>28</v>
      </c>
      <c r="E885" s="20">
        <v>4</v>
      </c>
      <c r="F885" s="129">
        <v>1.026</v>
      </c>
      <c r="G885" s="13">
        <v>9.9989999999999996E-4</v>
      </c>
    </row>
    <row r="886" spans="1:14">
      <c r="A886" s="7">
        <v>17</v>
      </c>
      <c r="B886" s="87">
        <v>45383</v>
      </c>
      <c r="C886">
        <v>2024</v>
      </c>
      <c r="D886" s="10" t="s">
        <v>28</v>
      </c>
      <c r="E886" s="20">
        <v>4</v>
      </c>
      <c r="F886" s="129">
        <v>1.849</v>
      </c>
      <c r="G886" s="13">
        <v>3.4000000000000002E-2</v>
      </c>
    </row>
    <row r="887" spans="1:14">
      <c r="A887" s="7">
        <v>18</v>
      </c>
      <c r="B887" s="87">
        <v>45383</v>
      </c>
      <c r="C887">
        <v>2024</v>
      </c>
      <c r="D887" s="10" t="s">
        <v>28</v>
      </c>
      <c r="E887" s="20">
        <v>4</v>
      </c>
      <c r="F887" s="129">
        <v>1.62</v>
      </c>
      <c r="G887" s="13">
        <v>2.3E-2</v>
      </c>
      <c r="I887">
        <f t="shared" ref="I887:J887" si="88">AVERAGE(F885:F887)</f>
        <v>1.4983333333333333</v>
      </c>
      <c r="J887" s="50">
        <f t="shared" si="88"/>
        <v>1.9333300000000001E-2</v>
      </c>
      <c r="L887">
        <f t="shared" ref="L887" si="89">+J887/I887</f>
        <v>1.2903203559510568E-2</v>
      </c>
      <c r="M887">
        <f t="shared" ref="M887" si="90">+(L887-$L$913)/$L$914</f>
        <v>-0.33603889210998278</v>
      </c>
      <c r="N887">
        <f>+N881+M887</f>
        <v>3.7247982476174002E-14</v>
      </c>
    </row>
    <row r="888" spans="1:14">
      <c r="A888" s="7">
        <v>1</v>
      </c>
      <c r="B888" s="87">
        <v>45413</v>
      </c>
      <c r="C888">
        <v>2024</v>
      </c>
      <c r="D888" s="10" t="s">
        <v>29</v>
      </c>
      <c r="E888" s="20">
        <v>5</v>
      </c>
      <c r="G888" s="13"/>
    </row>
    <row r="889" spans="1:14">
      <c r="A889" s="7">
        <v>17</v>
      </c>
      <c r="B889" s="87">
        <v>45413</v>
      </c>
      <c r="C889">
        <v>2024</v>
      </c>
      <c r="D889" s="10" t="s">
        <v>29</v>
      </c>
      <c r="E889" s="20">
        <v>5</v>
      </c>
      <c r="G889" s="13"/>
    </row>
    <row r="890" spans="1:14">
      <c r="A890" s="7">
        <v>18</v>
      </c>
      <c r="B890" s="87">
        <v>45413</v>
      </c>
      <c r="C890">
        <v>2024</v>
      </c>
      <c r="D890" s="10" t="s">
        <v>29</v>
      </c>
      <c r="E890" s="20">
        <v>5</v>
      </c>
      <c r="G890" s="13"/>
    </row>
    <row r="891" spans="1:14">
      <c r="A891" s="7">
        <v>1</v>
      </c>
      <c r="B891" s="87">
        <v>45444</v>
      </c>
      <c r="C891">
        <v>2024</v>
      </c>
      <c r="D891" s="10" t="s">
        <v>30</v>
      </c>
      <c r="E891" s="20">
        <v>6</v>
      </c>
      <c r="G891" s="13"/>
      <c r="H891" s="123" t="s">
        <v>97</v>
      </c>
    </row>
    <row r="892" spans="1:14">
      <c r="A892" s="7">
        <v>17</v>
      </c>
      <c r="B892" s="87">
        <v>45444</v>
      </c>
      <c r="C892">
        <v>2024</v>
      </c>
      <c r="D892" s="10" t="s">
        <v>30</v>
      </c>
      <c r="E892" s="20">
        <v>6</v>
      </c>
      <c r="G892" s="13"/>
      <c r="H892" s="123" t="s">
        <v>98</v>
      </c>
    </row>
    <row r="893" spans="1:14">
      <c r="A893" s="7">
        <v>18</v>
      </c>
      <c r="B893" s="87">
        <v>45444</v>
      </c>
      <c r="C893">
        <v>2024</v>
      </c>
      <c r="D893" s="10" t="s">
        <v>30</v>
      </c>
      <c r="E893" s="20">
        <v>6</v>
      </c>
      <c r="G893" s="13"/>
    </row>
    <row r="894" spans="1:14">
      <c r="A894" s="7">
        <v>1</v>
      </c>
      <c r="B894" s="87">
        <v>45474</v>
      </c>
      <c r="C894">
        <v>2024</v>
      </c>
      <c r="D894" s="10" t="s">
        <v>31</v>
      </c>
      <c r="E894" s="20">
        <v>7</v>
      </c>
      <c r="G894" s="13"/>
    </row>
    <row r="895" spans="1:14">
      <c r="A895" s="7">
        <v>17</v>
      </c>
      <c r="B895" s="87">
        <v>45474</v>
      </c>
      <c r="C895">
        <v>2024</v>
      </c>
      <c r="D895" s="10" t="s">
        <v>31</v>
      </c>
      <c r="E895" s="20">
        <v>7</v>
      </c>
      <c r="G895" s="13"/>
    </row>
    <row r="896" spans="1:14">
      <c r="A896" s="7">
        <v>18</v>
      </c>
      <c r="B896" s="87">
        <v>45474</v>
      </c>
      <c r="C896">
        <v>2024</v>
      </c>
      <c r="D896" s="10" t="s">
        <v>31</v>
      </c>
      <c r="E896" s="20">
        <v>7</v>
      </c>
      <c r="G896" s="13"/>
    </row>
    <row r="897" spans="1:7">
      <c r="A897" s="7">
        <v>1</v>
      </c>
      <c r="B897" s="87">
        <v>45505</v>
      </c>
      <c r="C897">
        <v>2024</v>
      </c>
      <c r="D897" s="10" t="s">
        <v>32</v>
      </c>
      <c r="E897" s="20">
        <v>8</v>
      </c>
      <c r="G897" s="13"/>
    </row>
    <row r="898" spans="1:7">
      <c r="A898" s="7">
        <v>17</v>
      </c>
      <c r="B898" s="87">
        <v>45505</v>
      </c>
      <c r="C898">
        <v>2024</v>
      </c>
      <c r="D898" s="10" t="s">
        <v>32</v>
      </c>
      <c r="E898" s="20">
        <v>8</v>
      </c>
      <c r="G898" s="13"/>
    </row>
    <row r="899" spans="1:7">
      <c r="A899" s="7">
        <v>18</v>
      </c>
      <c r="B899" s="87">
        <v>45505</v>
      </c>
      <c r="C899">
        <v>2024</v>
      </c>
      <c r="D899" s="10" t="s">
        <v>32</v>
      </c>
      <c r="E899" s="20">
        <v>8</v>
      </c>
      <c r="G899" s="13"/>
    </row>
    <row r="900" spans="1:7">
      <c r="A900" s="7">
        <v>1</v>
      </c>
      <c r="B900" s="87">
        <v>45536</v>
      </c>
      <c r="C900">
        <v>2024</v>
      </c>
      <c r="D900" s="10" t="s">
        <v>38</v>
      </c>
      <c r="E900" s="20">
        <v>9</v>
      </c>
      <c r="G900" s="13"/>
    </row>
    <row r="901" spans="1:7">
      <c r="A901" s="7">
        <v>17</v>
      </c>
      <c r="B901" s="87">
        <v>45536</v>
      </c>
      <c r="C901">
        <v>2024</v>
      </c>
      <c r="D901" s="10" t="s">
        <v>38</v>
      </c>
      <c r="E901" s="20">
        <v>9</v>
      </c>
      <c r="G901" s="13"/>
    </row>
    <row r="902" spans="1:7">
      <c r="A902" s="7">
        <v>18</v>
      </c>
      <c r="B902" s="87">
        <v>45536</v>
      </c>
      <c r="C902">
        <v>2024</v>
      </c>
      <c r="D902" s="10" t="s">
        <v>38</v>
      </c>
      <c r="E902" s="20">
        <v>9</v>
      </c>
      <c r="G902" s="13"/>
    </row>
    <row r="903" spans="1:7">
      <c r="A903" s="7">
        <v>1</v>
      </c>
      <c r="B903" s="87">
        <v>45566</v>
      </c>
      <c r="C903">
        <v>2024</v>
      </c>
      <c r="D903" s="10" t="s">
        <v>34</v>
      </c>
      <c r="E903" s="20">
        <v>10</v>
      </c>
      <c r="G903" s="13"/>
    </row>
    <row r="904" spans="1:7">
      <c r="A904" s="7">
        <v>17</v>
      </c>
      <c r="B904" s="87">
        <v>45566</v>
      </c>
      <c r="C904">
        <v>2024</v>
      </c>
      <c r="D904" s="10" t="s">
        <v>34</v>
      </c>
      <c r="E904" s="20">
        <v>10</v>
      </c>
      <c r="G904" s="13"/>
    </row>
    <row r="905" spans="1:7">
      <c r="A905" s="7">
        <v>18</v>
      </c>
      <c r="B905" s="87">
        <v>45566</v>
      </c>
      <c r="C905">
        <v>2024</v>
      </c>
      <c r="D905" s="10" t="s">
        <v>34</v>
      </c>
      <c r="E905" s="20">
        <v>10</v>
      </c>
      <c r="G905" s="13"/>
    </row>
    <row r="906" spans="1:7">
      <c r="A906" s="7">
        <v>1</v>
      </c>
      <c r="B906" s="87">
        <v>45597</v>
      </c>
      <c r="C906">
        <v>2024</v>
      </c>
      <c r="D906" s="10" t="s">
        <v>35</v>
      </c>
      <c r="E906" s="20">
        <v>11</v>
      </c>
      <c r="G906" s="13"/>
    </row>
    <row r="907" spans="1:7">
      <c r="A907" s="7">
        <v>17</v>
      </c>
      <c r="B907" s="87">
        <v>45597</v>
      </c>
      <c r="C907">
        <v>2024</v>
      </c>
      <c r="D907" s="10" t="s">
        <v>35</v>
      </c>
      <c r="E907" s="20">
        <v>11</v>
      </c>
      <c r="G907" s="13"/>
    </row>
    <row r="908" spans="1:7">
      <c r="A908" s="7">
        <v>18</v>
      </c>
      <c r="B908" s="87">
        <v>45597</v>
      </c>
      <c r="C908">
        <v>2024</v>
      </c>
      <c r="D908" s="10" t="s">
        <v>35</v>
      </c>
      <c r="E908" s="20">
        <v>11</v>
      </c>
      <c r="G908" s="13"/>
    </row>
    <row r="909" spans="1:7">
      <c r="A909" s="7">
        <v>1</v>
      </c>
      <c r="B909" s="88">
        <v>45627</v>
      </c>
      <c r="C909">
        <v>2024</v>
      </c>
      <c r="D909" s="10" t="s">
        <v>36</v>
      </c>
      <c r="E909" s="20">
        <v>12</v>
      </c>
      <c r="G909" s="13"/>
    </row>
    <row r="910" spans="1:7">
      <c r="A910" s="7">
        <v>17</v>
      </c>
      <c r="B910" s="87">
        <v>45627</v>
      </c>
      <c r="C910">
        <v>2024</v>
      </c>
      <c r="D910" s="10" t="s">
        <v>36</v>
      </c>
      <c r="E910" s="20">
        <v>12</v>
      </c>
      <c r="G910" s="13"/>
    </row>
    <row r="911" spans="1:7">
      <c r="A911" s="7">
        <v>18</v>
      </c>
      <c r="B911" s="87">
        <v>45627</v>
      </c>
      <c r="C911">
        <v>2024</v>
      </c>
      <c r="D911" s="10" t="s">
        <v>36</v>
      </c>
      <c r="E911" s="20">
        <v>12</v>
      </c>
      <c r="G911" s="13"/>
    </row>
    <row r="913" spans="11:12">
      <c r="K913" s="118" t="s">
        <v>89</v>
      </c>
      <c r="L913" s="118">
        <f>AVERAGE(L5:L911)</f>
        <v>2.4302780258747259E-2</v>
      </c>
    </row>
    <row r="914" spans="11:12">
      <c r="K914" s="118" t="s">
        <v>90</v>
      </c>
      <c r="L914" s="118">
        <f>+STDEV(L5:L911)</f>
        <v>3.3923384961957626E-2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6"/>
  <sheetViews>
    <sheetView workbookViewId="0">
      <pane ySplit="2" topLeftCell="A551" activePane="bottomLeft" state="frozen"/>
      <selection pane="bottomLeft" activeCell="A3" sqref="A3:XFD3"/>
    </sheetView>
  </sheetViews>
  <sheetFormatPr defaultColWidth="8.85546875" defaultRowHeight="15"/>
  <cols>
    <col min="2" max="2" width="10.7109375" customWidth="1"/>
  </cols>
  <sheetData>
    <row r="1" spans="1:12" ht="18">
      <c r="F1" s="61" t="s">
        <v>40</v>
      </c>
      <c r="G1" s="61" t="s">
        <v>41</v>
      </c>
      <c r="H1" s="61" t="s">
        <v>41</v>
      </c>
      <c r="I1" s="61" t="s">
        <v>41</v>
      </c>
      <c r="J1" s="61" t="s">
        <v>41</v>
      </c>
      <c r="K1" s="61" t="s">
        <v>41</v>
      </c>
    </row>
    <row r="2" spans="1:12" ht="25.5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</row>
    <row r="3" spans="1:12">
      <c r="A3" s="7">
        <v>1</v>
      </c>
      <c r="B3" s="8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0</v>
      </c>
      <c r="H3" s="13">
        <v>0</v>
      </c>
      <c r="I3" s="13">
        <v>1.1568978946666666</v>
      </c>
      <c r="J3" s="13">
        <v>5.1218945833333328E-2</v>
      </c>
      <c r="K3" s="14" t="s">
        <v>13</v>
      </c>
    </row>
    <row r="4" spans="1:12">
      <c r="A4" s="7">
        <v>17</v>
      </c>
      <c r="B4" s="8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0</v>
      </c>
      <c r="H4" s="13">
        <v>0</v>
      </c>
      <c r="I4" s="13">
        <v>0.4691034825</v>
      </c>
      <c r="J4" s="13">
        <v>2.9348091666666663E-2</v>
      </c>
      <c r="K4" s="14" t="s">
        <v>13</v>
      </c>
    </row>
    <row r="5" spans="1:12">
      <c r="A5" s="7">
        <v>18</v>
      </c>
      <c r="B5" s="8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0</v>
      </c>
      <c r="H5" s="13">
        <v>0</v>
      </c>
      <c r="I5" s="13">
        <v>0.44464733350000002</v>
      </c>
      <c r="J5" s="13">
        <v>4.9732094666666657E-2</v>
      </c>
      <c r="K5" s="14" t="s">
        <v>13</v>
      </c>
    </row>
    <row r="6" spans="1:12">
      <c r="A6" s="7">
        <v>1</v>
      </c>
      <c r="B6" s="8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3.4725412666666663E-2</v>
      </c>
      <c r="H6" s="13">
        <v>4.2626281666666668E-2</v>
      </c>
      <c r="I6" s="13">
        <v>2.4758319551666665</v>
      </c>
      <c r="J6" s="13">
        <v>1.9754374000000002E-2</v>
      </c>
      <c r="K6" s="14" t="s">
        <v>13</v>
      </c>
    </row>
    <row r="7" spans="1:12">
      <c r="A7" s="7">
        <v>17</v>
      </c>
      <c r="B7" s="8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5.8268882666666667E-2</v>
      </c>
      <c r="H7" s="13">
        <v>1.7341949333333332E-2</v>
      </c>
      <c r="I7" s="13">
        <v>2.6896251763333332</v>
      </c>
      <c r="J7" s="13">
        <v>1.1786306833333333E-2</v>
      </c>
      <c r="K7" s="14" t="s">
        <v>13</v>
      </c>
    </row>
    <row r="8" spans="1:12">
      <c r="A8" s="7">
        <v>18</v>
      </c>
      <c r="B8" s="8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2.1890667666666669E-2</v>
      </c>
      <c r="H8" s="13">
        <v>0</v>
      </c>
      <c r="I8" s="13">
        <v>0.83411878699999997</v>
      </c>
      <c r="J8" s="13">
        <v>0</v>
      </c>
      <c r="K8" s="14" t="s">
        <v>13</v>
      </c>
    </row>
    <row r="9" spans="1:12">
      <c r="A9" s="7">
        <v>1</v>
      </c>
      <c r="B9" s="8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0</v>
      </c>
      <c r="H9" s="13">
        <v>1.5577709166666669E-2</v>
      </c>
      <c r="I9" s="13">
        <v>1.0874235866666668</v>
      </c>
      <c r="J9" s="13">
        <v>1.6792098499999998E-2</v>
      </c>
      <c r="K9" s="14" t="s">
        <v>13</v>
      </c>
    </row>
    <row r="10" spans="1:12">
      <c r="A10" s="7">
        <v>17</v>
      </c>
      <c r="B10" s="8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0</v>
      </c>
      <c r="H10" s="13">
        <v>5.4440271666666665E-2</v>
      </c>
      <c r="I10" s="13">
        <v>2.6562816303333334</v>
      </c>
      <c r="J10" s="13">
        <v>2.0369674000000001E-2</v>
      </c>
      <c r="K10" s="14" t="s">
        <v>13</v>
      </c>
    </row>
    <row r="11" spans="1:12">
      <c r="A11" s="7">
        <v>18</v>
      </c>
      <c r="B11" s="8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1.3768809999999999E-2</v>
      </c>
      <c r="H11" s="13">
        <v>1.0104675333333334E-2</v>
      </c>
      <c r="I11" s="13">
        <v>0.81558897116666673</v>
      </c>
      <c r="J11" s="13">
        <v>1.0519081500000001E-2</v>
      </c>
      <c r="K11" s="14" t="s">
        <v>13</v>
      </c>
    </row>
    <row r="12" spans="1:12">
      <c r="A12" s="15">
        <v>1</v>
      </c>
      <c r="B12" s="16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7.2831700333333332E-2</v>
      </c>
      <c r="H12" s="13">
        <v>2.7557643166666666E-2</v>
      </c>
      <c r="I12" s="13">
        <v>2.4044992666666665</v>
      </c>
      <c r="J12" s="13">
        <v>1.7847350833333334E-2</v>
      </c>
      <c r="K12" s="14" t="s">
        <v>13</v>
      </c>
    </row>
    <row r="13" spans="1:12">
      <c r="A13" s="7">
        <v>17</v>
      </c>
      <c r="B13" s="8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9.7400714333333346E-2</v>
      </c>
      <c r="H13" s="13">
        <v>3.4628692666666669E-2</v>
      </c>
      <c r="I13" s="13">
        <v>3.7408711100000001</v>
      </c>
      <c r="J13" s="13">
        <v>1.5823924100000001E-2</v>
      </c>
      <c r="K13" s="14" t="s">
        <v>13</v>
      </c>
    </row>
    <row r="14" spans="1:12">
      <c r="A14" s="7">
        <v>18</v>
      </c>
      <c r="B14" s="8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5.8004388166666671E-2</v>
      </c>
      <c r="H14" s="13">
        <v>2.6812907166666667E-2</v>
      </c>
      <c r="I14" s="13">
        <v>1.292444669</v>
      </c>
      <c r="J14" s="13">
        <v>3.5574038499999995E-2</v>
      </c>
      <c r="K14" s="14" t="s">
        <v>13</v>
      </c>
    </row>
    <row r="15" spans="1:12">
      <c r="A15" s="7">
        <v>1</v>
      </c>
      <c r="B15" s="8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4.0706993000000004E-2</v>
      </c>
      <c r="H15" s="13">
        <v>0</v>
      </c>
      <c r="I15" s="13">
        <v>1.1431695503333335</v>
      </c>
      <c r="J15" s="13">
        <v>2.2316815166666667E-2</v>
      </c>
      <c r="K15" s="14" t="s">
        <v>13</v>
      </c>
    </row>
    <row r="16" spans="1:12">
      <c r="A16" s="7">
        <v>17</v>
      </c>
      <c r="B16" s="8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4.0290909499999999E-2</v>
      </c>
      <c r="H16" s="13">
        <v>0</v>
      </c>
      <c r="I16" s="13">
        <v>1.9322673478333332</v>
      </c>
      <c r="J16" s="13">
        <v>1.6001550333333333E-2</v>
      </c>
      <c r="K16" s="14" t="s">
        <v>13</v>
      </c>
    </row>
    <row r="17" spans="1:11">
      <c r="A17" s="7">
        <v>18</v>
      </c>
      <c r="B17" s="8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4.2523649833333337E-2</v>
      </c>
      <c r="H17" s="13">
        <v>0</v>
      </c>
      <c r="I17" s="13">
        <v>1.6192548279999999</v>
      </c>
      <c r="J17" s="13">
        <v>3.6751002333333331E-2</v>
      </c>
      <c r="K17" s="14" t="s">
        <v>13</v>
      </c>
    </row>
    <row r="18" spans="1:11">
      <c r="A18" s="7">
        <v>1</v>
      </c>
      <c r="B18" s="8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1.8527928833333332E-2</v>
      </c>
      <c r="H18" s="13">
        <v>0</v>
      </c>
      <c r="I18" s="13">
        <v>0.24491488316666668</v>
      </c>
      <c r="J18" s="13">
        <v>2.4382136666666665E-2</v>
      </c>
      <c r="K18" s="14" t="s">
        <v>13</v>
      </c>
    </row>
    <row r="19" spans="1:11">
      <c r="A19" s="7">
        <v>17</v>
      </c>
      <c r="B19" s="8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0</v>
      </c>
      <c r="H19" s="13">
        <v>0</v>
      </c>
      <c r="I19" s="13">
        <v>0.30906449650000006</v>
      </c>
      <c r="J19" s="13">
        <v>2.6908305499999997E-2</v>
      </c>
      <c r="K19" s="14" t="s">
        <v>13</v>
      </c>
    </row>
    <row r="20" spans="1:11">
      <c r="A20" s="7">
        <v>18</v>
      </c>
      <c r="B20" s="8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0</v>
      </c>
      <c r="H20" s="13">
        <v>0</v>
      </c>
      <c r="I20" s="13">
        <v>0.36477051866666665</v>
      </c>
      <c r="J20" s="13">
        <v>5.2763979499999995E-2</v>
      </c>
      <c r="K20" s="14" t="s">
        <v>13</v>
      </c>
    </row>
    <row r="21" spans="1:11">
      <c r="A21" s="7">
        <v>1</v>
      </c>
      <c r="B21" s="8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9.3269063499999999E-2</v>
      </c>
      <c r="H21" s="13">
        <v>4.896377116666667E-2</v>
      </c>
      <c r="I21" s="13">
        <v>1.1490816261666668</v>
      </c>
      <c r="J21" s="13">
        <v>0</v>
      </c>
      <c r="K21" s="14" t="s">
        <v>13</v>
      </c>
    </row>
    <row r="22" spans="1:11">
      <c r="A22" s="7">
        <v>17</v>
      </c>
      <c r="B22" s="8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0.14257905900000001</v>
      </c>
      <c r="H22" s="13">
        <v>9.6336135000000003E-2</v>
      </c>
      <c r="I22" s="13">
        <v>2.3740648773333333</v>
      </c>
      <c r="J22" s="13">
        <v>0</v>
      </c>
      <c r="K22" s="14" t="s">
        <v>13</v>
      </c>
    </row>
    <row r="23" spans="1:11">
      <c r="A23" s="7">
        <v>18</v>
      </c>
      <c r="B23" s="8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4.2519980666666665E-2</v>
      </c>
      <c r="H23" s="13">
        <v>2.6262637000000005E-2</v>
      </c>
      <c r="I23" s="13">
        <v>0.46551587616666668</v>
      </c>
      <c r="J23" s="13">
        <v>0</v>
      </c>
      <c r="K23" s="14" t="s">
        <v>13</v>
      </c>
    </row>
    <row r="24" spans="1:11">
      <c r="A24" s="7">
        <v>1</v>
      </c>
      <c r="B24" s="8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0.10724754016666666</v>
      </c>
      <c r="H24" s="13">
        <v>2.2302452999999996E-2</v>
      </c>
      <c r="I24" s="13">
        <v>0.38746976583333337</v>
      </c>
      <c r="J24" s="13">
        <v>1.3712199999999999E-2</v>
      </c>
      <c r="K24" s="14" t="s">
        <v>13</v>
      </c>
    </row>
    <row r="25" spans="1:11">
      <c r="A25" s="7">
        <v>17</v>
      </c>
      <c r="B25" s="8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2.4801155500000002E-2</v>
      </c>
      <c r="H25" s="13">
        <v>1.6117915333333333E-2</v>
      </c>
      <c r="I25" s="13">
        <v>0.22699519733333337</v>
      </c>
      <c r="J25" s="13">
        <v>1.6943687499999999E-2</v>
      </c>
      <c r="K25" s="14" t="s">
        <v>13</v>
      </c>
    </row>
    <row r="26" spans="1:11">
      <c r="A26" s="7">
        <v>18</v>
      </c>
      <c r="B26" s="8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0</v>
      </c>
      <c r="H26" s="13">
        <v>0</v>
      </c>
      <c r="I26" s="13">
        <v>0.23555903233333336</v>
      </c>
      <c r="J26" s="13">
        <v>2.0333368500000001E-2</v>
      </c>
      <c r="K26" s="14" t="s">
        <v>13</v>
      </c>
    </row>
    <row r="27" spans="1:11">
      <c r="A27" s="7">
        <v>1</v>
      </c>
      <c r="B27" s="8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0.18157972</v>
      </c>
      <c r="H27" s="13">
        <v>2.8967022499999998E-2</v>
      </c>
      <c r="I27" s="13">
        <v>1.2477857738333331</v>
      </c>
      <c r="J27" s="13">
        <v>2.5473556500000001E-2</v>
      </c>
      <c r="K27" s="14" t="s">
        <v>13</v>
      </c>
    </row>
    <row r="28" spans="1:11">
      <c r="A28" s="7">
        <v>17</v>
      </c>
      <c r="B28" s="8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0.17323299483333332</v>
      </c>
      <c r="H28" s="13">
        <v>0</v>
      </c>
      <c r="I28" s="13">
        <v>1.7163875239999999</v>
      </c>
      <c r="J28" s="13">
        <v>1.9808363166666666E-2</v>
      </c>
      <c r="K28" s="14" t="s">
        <v>13</v>
      </c>
    </row>
    <row r="29" spans="1:11">
      <c r="A29" s="7">
        <v>18</v>
      </c>
      <c r="B29" s="8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0.11840683883333333</v>
      </c>
      <c r="H29" s="13">
        <v>0</v>
      </c>
      <c r="I29" s="13">
        <v>0.93326554099999992</v>
      </c>
      <c r="J29" s="13">
        <v>2.4309067833333337E-2</v>
      </c>
      <c r="K29" s="14" t="s">
        <v>13</v>
      </c>
    </row>
    <row r="30" spans="1:11">
      <c r="A30" s="7">
        <v>1</v>
      </c>
      <c r="B30" s="8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9.059245883333332E-2</v>
      </c>
      <c r="H30" s="13">
        <v>2.86066055E-2</v>
      </c>
      <c r="I30" s="13">
        <v>1.2147724991666666</v>
      </c>
      <c r="J30" s="13">
        <v>6.9119132666666666E-2</v>
      </c>
      <c r="K30" s="14" t="s">
        <v>13</v>
      </c>
    </row>
    <row r="31" spans="1:11">
      <c r="A31" s="7">
        <v>17</v>
      </c>
      <c r="B31" s="8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3.2898167666666665E-2</v>
      </c>
      <c r="H31" s="13">
        <v>1.5377163000000001E-2</v>
      </c>
      <c r="I31" s="13">
        <v>1.1845732656666668</v>
      </c>
      <c r="J31" s="13">
        <v>8.6650830333333331E-2</v>
      </c>
      <c r="K31" s="14" t="s">
        <v>13</v>
      </c>
    </row>
    <row r="32" spans="1:11">
      <c r="A32" s="7">
        <v>18</v>
      </c>
      <c r="B32" s="8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5.7772182333333338E-2</v>
      </c>
      <c r="H32" s="13">
        <v>2.1171825499999998E-2</v>
      </c>
      <c r="I32" s="13">
        <v>0.90408308599999987</v>
      </c>
      <c r="J32" s="13">
        <v>0.20840048966666669</v>
      </c>
      <c r="K32" s="14" t="s">
        <v>13</v>
      </c>
    </row>
    <row r="33" spans="1:11">
      <c r="A33" s="7">
        <v>1</v>
      </c>
      <c r="B33" s="8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7.7435561E-2</v>
      </c>
      <c r="H33" s="13">
        <v>0</v>
      </c>
      <c r="I33" s="13">
        <v>0.82375286700000006</v>
      </c>
      <c r="J33" s="13">
        <v>8.5341462000000007E-2</v>
      </c>
      <c r="K33" s="14" t="s">
        <v>13</v>
      </c>
    </row>
    <row r="34" spans="1:11">
      <c r="A34" s="7">
        <v>17</v>
      </c>
      <c r="B34" s="8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3.1779700833333334E-2</v>
      </c>
      <c r="H34" s="13">
        <v>0</v>
      </c>
      <c r="I34" s="13">
        <v>1.2595760643333334</v>
      </c>
      <c r="J34" s="13">
        <v>7.8761073666666667E-2</v>
      </c>
      <c r="K34" s="14" t="s">
        <v>13</v>
      </c>
    </row>
    <row r="35" spans="1:11">
      <c r="A35" s="7">
        <v>18</v>
      </c>
      <c r="B35" s="8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4.6145431833333327E-2</v>
      </c>
      <c r="H35" s="13">
        <v>0</v>
      </c>
      <c r="I35" s="13">
        <v>1.240844654</v>
      </c>
      <c r="J35" s="13">
        <v>0.23296063333333333</v>
      </c>
      <c r="K35" s="14" t="s">
        <v>13</v>
      </c>
    </row>
    <row r="36" spans="1:11">
      <c r="A36" s="7">
        <v>1</v>
      </c>
      <c r="B36" s="8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0</v>
      </c>
      <c r="H36" s="13">
        <v>0</v>
      </c>
      <c r="I36" s="13">
        <v>1.0862118181666667</v>
      </c>
      <c r="J36" s="13">
        <v>4.1984072666666664E-2</v>
      </c>
      <c r="K36" s="14" t="s">
        <v>13</v>
      </c>
    </row>
    <row r="37" spans="1:11">
      <c r="A37" s="7">
        <v>17</v>
      </c>
      <c r="B37" s="8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0.21209963866666665</v>
      </c>
      <c r="H37" s="13">
        <v>1.6065708333333331E-2</v>
      </c>
      <c r="I37" s="13">
        <v>6.3669349818333343</v>
      </c>
      <c r="J37" s="13">
        <v>6.0506445333333339E-2</v>
      </c>
      <c r="K37" s="14" t="s">
        <v>13</v>
      </c>
    </row>
    <row r="38" spans="1:11">
      <c r="A38" s="7">
        <v>18</v>
      </c>
      <c r="B38" s="8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0</v>
      </c>
      <c r="H38" s="13">
        <v>0</v>
      </c>
      <c r="I38" s="13">
        <v>0.40892631866666668</v>
      </c>
      <c r="J38" s="13">
        <v>3.0606406166666669E-2</v>
      </c>
      <c r="K38" s="14" t="s">
        <v>13</v>
      </c>
    </row>
    <row r="39" spans="1:11">
      <c r="A39" s="7">
        <v>1</v>
      </c>
      <c r="B39" s="8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4.2298467833333332E-2</v>
      </c>
      <c r="H39" s="14">
        <v>0</v>
      </c>
      <c r="I39" s="14">
        <v>0.4486195733333333</v>
      </c>
      <c r="J39" s="14">
        <v>0</v>
      </c>
      <c r="K39" s="14" t="s">
        <v>13</v>
      </c>
    </row>
    <row r="40" spans="1:11">
      <c r="A40" s="7">
        <v>17</v>
      </c>
      <c r="B40" s="8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7.2980668499999998E-2</v>
      </c>
      <c r="H40" s="14">
        <v>2.6778836333333333E-2</v>
      </c>
      <c r="I40" s="14">
        <v>0.94293526283333318</v>
      </c>
      <c r="J40" s="14">
        <v>8.3667273666666667E-3</v>
      </c>
      <c r="K40" s="14" t="s">
        <v>13</v>
      </c>
    </row>
    <row r="41" spans="1:11">
      <c r="A41" s="7">
        <v>18</v>
      </c>
      <c r="B41" s="8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4.6119642833333335E-2</v>
      </c>
      <c r="H41" s="14">
        <v>2.1627011833333334E-2</v>
      </c>
      <c r="I41" s="14">
        <v>0.7824163498333333</v>
      </c>
      <c r="J41" s="14">
        <v>1.5177245833333332E-2</v>
      </c>
      <c r="K41" s="14" t="s">
        <v>13</v>
      </c>
    </row>
    <row r="42" spans="1:11">
      <c r="A42" s="7">
        <v>1</v>
      </c>
      <c r="B42" s="8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</v>
      </c>
      <c r="H42" s="14">
        <v>0</v>
      </c>
      <c r="I42" s="14">
        <v>0.77882947733333341</v>
      </c>
      <c r="J42" s="14">
        <v>0</v>
      </c>
      <c r="K42" s="14" t="s">
        <v>13</v>
      </c>
    </row>
    <row r="43" spans="1:11">
      <c r="A43" s="7">
        <v>17</v>
      </c>
      <c r="B43" s="8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0</v>
      </c>
      <c r="H43" s="14">
        <v>2.0661811333333332E-2</v>
      </c>
      <c r="I43" s="14">
        <v>2.2248801396666664</v>
      </c>
      <c r="J43" s="14">
        <v>2.6562565166666666E-2</v>
      </c>
      <c r="K43" s="14" t="s">
        <v>13</v>
      </c>
    </row>
    <row r="44" spans="1:11">
      <c r="A44" s="7">
        <v>18</v>
      </c>
      <c r="B44" s="8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0</v>
      </c>
      <c r="H44" s="14">
        <v>0</v>
      </c>
      <c r="I44" s="14">
        <v>2.0446618901666667</v>
      </c>
      <c r="J44" s="14">
        <v>2.4626817666666665E-2</v>
      </c>
      <c r="K44" s="14" t="s">
        <v>13</v>
      </c>
    </row>
    <row r="45" spans="1:11">
      <c r="A45" s="7">
        <v>1</v>
      </c>
      <c r="B45" s="8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3.7036673166666666E-2</v>
      </c>
      <c r="H45" s="14">
        <v>1.5363953999999999E-2</v>
      </c>
      <c r="I45" s="14">
        <v>0.94188776816666675</v>
      </c>
      <c r="J45" s="14">
        <v>8.2784786666666669E-3</v>
      </c>
      <c r="K45" s="14" t="s">
        <v>13</v>
      </c>
    </row>
    <row r="46" spans="1:11">
      <c r="A46" s="7">
        <v>17</v>
      </c>
      <c r="B46" s="8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11">
      <c r="A47" s="7">
        <v>18</v>
      </c>
      <c r="B47" s="8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8.0871788E-2</v>
      </c>
      <c r="H47" s="14">
        <v>0</v>
      </c>
      <c r="I47" s="14">
        <v>0.56399609983333332</v>
      </c>
      <c r="J47" s="14">
        <v>1.0883272500000001E-2</v>
      </c>
      <c r="K47" s="14" t="s">
        <v>13</v>
      </c>
    </row>
    <row r="48" spans="1:11">
      <c r="A48" s="15">
        <v>1</v>
      </c>
      <c r="B48" s="16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7.485309666666666E-2</v>
      </c>
      <c r="H48" s="14">
        <v>0</v>
      </c>
      <c r="I48" s="14">
        <v>0.89162028966666673</v>
      </c>
      <c r="J48" s="14">
        <v>0</v>
      </c>
      <c r="K48" s="14" t="s">
        <v>13</v>
      </c>
    </row>
    <row r="49" spans="1:11">
      <c r="A49" s="7">
        <v>17</v>
      </c>
      <c r="B49" s="8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0.11741647833333334</v>
      </c>
      <c r="H49" s="14">
        <v>0</v>
      </c>
      <c r="I49" s="14">
        <v>1.268746465</v>
      </c>
      <c r="J49" s="14">
        <v>0</v>
      </c>
      <c r="K49" s="14" t="s">
        <v>13</v>
      </c>
    </row>
    <row r="50" spans="1:11">
      <c r="A50" s="7">
        <v>18</v>
      </c>
      <c r="B50" s="8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7.1778334999999999E-2</v>
      </c>
      <c r="H50" s="14">
        <v>0</v>
      </c>
      <c r="I50" s="14">
        <v>0.88599755383333334</v>
      </c>
      <c r="J50" s="14">
        <v>0</v>
      </c>
      <c r="K50" s="14" t="s">
        <v>13</v>
      </c>
    </row>
    <row r="51" spans="1:11">
      <c r="A51" s="11">
        <v>1</v>
      </c>
      <c r="B51" s="8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2.3373220666666663E-2</v>
      </c>
      <c r="H51" s="14">
        <v>0</v>
      </c>
      <c r="I51" s="14">
        <v>2.5528479731666662</v>
      </c>
      <c r="J51" s="14">
        <v>3.5239515333333332E-2</v>
      </c>
      <c r="K51" s="14" t="s">
        <v>13</v>
      </c>
    </row>
    <row r="52" spans="1:11">
      <c r="A52" s="11">
        <v>17</v>
      </c>
      <c r="B52" s="8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4.7317783000000002E-2</v>
      </c>
      <c r="H52" s="14">
        <v>9.934635666666667E-3</v>
      </c>
      <c r="I52" s="14">
        <v>2.668438569333333</v>
      </c>
      <c r="J52" s="14">
        <v>2.9764175166666663E-2</v>
      </c>
      <c r="K52" s="14" t="s">
        <v>13</v>
      </c>
    </row>
    <row r="53" spans="1:11">
      <c r="A53" s="11">
        <v>18</v>
      </c>
      <c r="B53" s="8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5.1588064000000003E-2</v>
      </c>
      <c r="H53" s="14">
        <v>0</v>
      </c>
      <c r="I53" s="14">
        <v>2.439197317833333</v>
      </c>
      <c r="J53" s="14">
        <v>3.7874081833333337E-2</v>
      </c>
      <c r="K53" s="14" t="s">
        <v>13</v>
      </c>
    </row>
    <row r="54" spans="1:11">
      <c r="A54" s="7">
        <v>1</v>
      </c>
      <c r="B54" s="8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0</v>
      </c>
      <c r="H54" s="14">
        <v>0</v>
      </c>
      <c r="I54" s="14">
        <v>1.4099300228333334</v>
      </c>
      <c r="J54" s="14">
        <v>0</v>
      </c>
      <c r="K54" s="14" t="s">
        <v>13</v>
      </c>
    </row>
    <row r="55" spans="1:11">
      <c r="A55" s="7">
        <v>17</v>
      </c>
      <c r="B55" s="8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0</v>
      </c>
      <c r="H55" s="14">
        <v>9.1552474999999994E-2</v>
      </c>
      <c r="I55" s="14">
        <v>3.1661668126666664</v>
      </c>
      <c r="J55" s="14">
        <v>0</v>
      </c>
      <c r="K55" s="14" t="s">
        <v>13</v>
      </c>
    </row>
    <row r="56" spans="1:11">
      <c r="A56" s="7">
        <v>18</v>
      </c>
      <c r="B56" s="8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0</v>
      </c>
      <c r="H56" s="14">
        <v>0</v>
      </c>
      <c r="I56" s="14">
        <v>1.1463316381666666</v>
      </c>
      <c r="J56" s="14">
        <v>0</v>
      </c>
      <c r="K56" s="14" t="s">
        <v>13</v>
      </c>
    </row>
    <row r="57" spans="1:11">
      <c r="A57" s="7">
        <v>1</v>
      </c>
      <c r="B57" s="8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0</v>
      </c>
      <c r="H57" s="14">
        <v>7.0551051166666656E-2</v>
      </c>
      <c r="I57" s="14">
        <v>0.53010369283333325</v>
      </c>
      <c r="J57" s="14">
        <v>2.2217118666666664E-2</v>
      </c>
      <c r="K57" s="14" t="s">
        <v>13</v>
      </c>
    </row>
    <row r="58" spans="1:11">
      <c r="A58" s="7">
        <v>17</v>
      </c>
      <c r="B58" s="8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0</v>
      </c>
      <c r="H58" s="14">
        <v>2.1250345666666667E-2</v>
      </c>
      <c r="I58" s="14">
        <v>0.1751295346666667</v>
      </c>
      <c r="J58" s="14">
        <v>0</v>
      </c>
      <c r="K58" s="14" t="s">
        <v>13</v>
      </c>
    </row>
    <row r="59" spans="1:11">
      <c r="A59" s="7">
        <v>18</v>
      </c>
      <c r="B59" s="8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0</v>
      </c>
      <c r="H59" s="14">
        <v>0</v>
      </c>
      <c r="I59" s="14">
        <v>4.8456692333333329E-2</v>
      </c>
      <c r="J59" s="14">
        <v>0</v>
      </c>
      <c r="K59" s="14" t="s">
        <v>13</v>
      </c>
    </row>
    <row r="60" spans="1:11">
      <c r="A60" s="7">
        <v>1</v>
      </c>
      <c r="B60" s="8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0.40370215916666669</v>
      </c>
      <c r="H60" s="14">
        <v>1.9410311000000003E-2</v>
      </c>
      <c r="I60" s="14">
        <v>0.90488631899999983</v>
      </c>
      <c r="J60" s="14">
        <v>1.839783066666667E-2</v>
      </c>
      <c r="K60" s="14" t="s">
        <v>13</v>
      </c>
    </row>
    <row r="61" spans="1:11">
      <c r="A61" s="7">
        <v>17</v>
      </c>
      <c r="B61" s="8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7.967595416666666E-2</v>
      </c>
      <c r="H61" s="14">
        <v>0</v>
      </c>
      <c r="I61" s="14">
        <v>0.2221281001666667</v>
      </c>
      <c r="J61" s="14">
        <v>1.2195785833333332E-2</v>
      </c>
      <c r="K61" s="14" t="s">
        <v>13</v>
      </c>
    </row>
    <row r="62" spans="1:11">
      <c r="A62" s="7">
        <v>18</v>
      </c>
      <c r="B62" s="8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4.1764866166666664E-2</v>
      </c>
      <c r="H62" s="14">
        <v>0</v>
      </c>
      <c r="I62" s="14">
        <v>0.111656306</v>
      </c>
      <c r="J62" s="14">
        <v>0</v>
      </c>
      <c r="K62" s="14" t="s">
        <v>13</v>
      </c>
    </row>
    <row r="63" spans="1:11">
      <c r="A63" s="7">
        <v>1</v>
      </c>
      <c r="B63" s="8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0.93148452749999988</v>
      </c>
      <c r="H63" s="14">
        <v>0.69461727999999989</v>
      </c>
      <c r="I63" s="14">
        <v>2.7677656366666668</v>
      </c>
      <c r="J63" s="14">
        <v>0.19438259566666666</v>
      </c>
      <c r="K63" s="14" t="s">
        <v>13</v>
      </c>
    </row>
    <row r="64" spans="1:11">
      <c r="A64" s="7">
        <v>17</v>
      </c>
      <c r="B64" s="8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0.79478028833333336</v>
      </c>
      <c r="H64" s="14">
        <v>8.5789624500000009E-2</v>
      </c>
      <c r="I64" s="14">
        <v>0.44414088366666671</v>
      </c>
      <c r="J64" s="14">
        <v>5.4107418666666671E-2</v>
      </c>
      <c r="K64" s="14" t="s">
        <v>13</v>
      </c>
    </row>
    <row r="65" spans="1:11">
      <c r="A65" s="7">
        <v>18</v>
      </c>
      <c r="B65" s="8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9.6149569000000004E-2</v>
      </c>
      <c r="H65" s="14">
        <v>4.4599097184999996</v>
      </c>
      <c r="I65" s="14">
        <v>9.0555100426666684</v>
      </c>
      <c r="J65" s="14">
        <v>0.58571043783333332</v>
      </c>
      <c r="K65" s="14" t="s">
        <v>13</v>
      </c>
    </row>
    <row r="66" spans="1:11">
      <c r="A66" s="7">
        <v>1</v>
      </c>
      <c r="B66" s="8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1.4971131968333333</v>
      </c>
      <c r="H66" s="14">
        <v>6.2093097833333333E-2</v>
      </c>
      <c r="I66" s="14">
        <v>1.6051353505000001</v>
      </c>
      <c r="J66" s="14">
        <v>0.43885927550000003</v>
      </c>
      <c r="K66" s="14" t="s">
        <v>13</v>
      </c>
    </row>
    <row r="67" spans="1:11">
      <c r="A67" s="7">
        <v>17</v>
      </c>
      <c r="B67" s="8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0.16873019350000004</v>
      </c>
      <c r="H67" s="14">
        <v>2.0420275333333331E-2</v>
      </c>
      <c r="I67" s="14">
        <v>2.3529446445</v>
      </c>
      <c r="J67" s="14">
        <v>0.59547430000000001</v>
      </c>
      <c r="K67" s="14" t="s">
        <v>13</v>
      </c>
    </row>
    <row r="68" spans="1:11">
      <c r="A68" s="7">
        <v>18</v>
      </c>
      <c r="B68" s="8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0.10119928583333335</v>
      </c>
      <c r="H68" s="14">
        <v>0</v>
      </c>
      <c r="I68" s="14">
        <v>1.506902848</v>
      </c>
      <c r="J68" s="14">
        <v>0.45883914599999998</v>
      </c>
      <c r="K68" s="14" t="s">
        <v>13</v>
      </c>
    </row>
    <row r="69" spans="1:11">
      <c r="A69" s="7">
        <v>1</v>
      </c>
      <c r="B69" s="8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0.35985677066666666</v>
      </c>
      <c r="H69" s="14">
        <v>0</v>
      </c>
      <c r="I69" s="14">
        <v>1.3101216656666665</v>
      </c>
      <c r="J69" s="14">
        <v>0.10570292583333334</v>
      </c>
      <c r="K69" s="14" t="s">
        <v>13</v>
      </c>
    </row>
    <row r="70" spans="1:11">
      <c r="A70" s="7">
        <v>17</v>
      </c>
      <c r="B70" s="8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0.39571270600000008</v>
      </c>
      <c r="H70" s="14">
        <v>0</v>
      </c>
      <c r="I70" s="14">
        <v>1.1914174146666667</v>
      </c>
      <c r="J70" s="14">
        <v>9.0785771500000015E-2</v>
      </c>
      <c r="K70" s="14" t="s">
        <v>13</v>
      </c>
    </row>
    <row r="71" spans="1:11">
      <c r="A71" s="7">
        <v>18</v>
      </c>
      <c r="B71" s="8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0.21954311983333333</v>
      </c>
      <c r="H71" s="14">
        <v>0</v>
      </c>
      <c r="I71" s="14">
        <v>0.383847879</v>
      </c>
      <c r="J71" s="14">
        <v>5.2656420500000002E-2</v>
      </c>
      <c r="K71" s="14" t="s">
        <v>13</v>
      </c>
    </row>
    <row r="72" spans="1:11">
      <c r="A72" s="7">
        <v>1</v>
      </c>
      <c r="B72" s="8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0.12233421</v>
      </c>
      <c r="H72" s="14">
        <v>0</v>
      </c>
      <c r="I72" s="14">
        <v>1.4716511720000001</v>
      </c>
      <c r="J72" s="14">
        <v>4.4387586499999993E-2</v>
      </c>
      <c r="K72" s="14" t="s">
        <v>13</v>
      </c>
    </row>
    <row r="73" spans="1:11">
      <c r="A73" s="7">
        <v>17</v>
      </c>
      <c r="B73" s="8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0.14286770533333334</v>
      </c>
      <c r="H73" s="14">
        <v>4.6307609E-2</v>
      </c>
      <c r="I73" s="14">
        <v>2.2884607176666667</v>
      </c>
      <c r="J73" s="14">
        <v>3.5900699166666668E-2</v>
      </c>
      <c r="K73" s="14" t="s">
        <v>13</v>
      </c>
    </row>
    <row r="74" spans="1:11">
      <c r="A74" s="7">
        <v>18</v>
      </c>
      <c r="B74" s="8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3.7373922000000004E-2</v>
      </c>
      <c r="H74" s="14">
        <v>0</v>
      </c>
      <c r="I74" s="14">
        <v>0.4057778591666667</v>
      </c>
      <c r="J74" s="14">
        <v>2.6567911666666662E-2</v>
      </c>
      <c r="K74" s="14" t="s">
        <v>13</v>
      </c>
    </row>
    <row r="75" spans="1:11">
      <c r="A75" s="7">
        <v>1</v>
      </c>
      <c r="B75" s="8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13">
        <v>4.6953268400178418E-2</v>
      </c>
      <c r="H75" s="24">
        <v>1.6636572853277739E-2</v>
      </c>
      <c r="I75" s="13">
        <v>0.82569903811506462</v>
      </c>
      <c r="J75" s="13">
        <v>3.1295771012687122E-2</v>
      </c>
      <c r="K75" s="14" t="s">
        <v>25</v>
      </c>
    </row>
    <row r="76" spans="1:11">
      <c r="A76" s="7">
        <v>17</v>
      </c>
      <c r="B76" s="8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13">
        <v>6.7892347832630082E-2</v>
      </c>
      <c r="H76" s="24">
        <v>3.5328058678657667E-2</v>
      </c>
      <c r="I76" s="13">
        <v>1.181810602287344</v>
      </c>
      <c r="J76" s="13">
        <v>4.8589114410041281E-2</v>
      </c>
      <c r="K76" s="14" t="s">
        <v>25</v>
      </c>
    </row>
    <row r="77" spans="1:11">
      <c r="A77" s="7">
        <v>18</v>
      </c>
      <c r="B77" s="8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13">
        <v>6.285149164133412E-2</v>
      </c>
      <c r="H77" s="24">
        <v>3.310642420076302E-2</v>
      </c>
      <c r="I77" s="13">
        <v>0.74997303219837153</v>
      </c>
      <c r="J77" s="13">
        <v>4.8080077681441562E-2</v>
      </c>
      <c r="K77" s="14" t="s">
        <v>25</v>
      </c>
    </row>
    <row r="78" spans="1:11">
      <c r="A78" s="7">
        <v>1</v>
      </c>
      <c r="B78" s="8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13">
        <v>2.6322419916725841E-2</v>
      </c>
      <c r="H78" s="24">
        <v>1.5416244251338534E-2</v>
      </c>
      <c r="I78" s="13">
        <v>1.5262381322783052</v>
      </c>
      <c r="J78" s="13">
        <v>2.2063385401799279E-2</v>
      </c>
      <c r="K78" s="14" t="s">
        <v>25</v>
      </c>
    </row>
    <row r="79" spans="1:11">
      <c r="A79" s="7">
        <v>17</v>
      </c>
      <c r="B79" s="8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13">
        <v>3.2166416184600054E-2</v>
      </c>
      <c r="H79" s="24">
        <v>2.6160391787787392E-2</v>
      </c>
      <c r="I79" s="13">
        <v>2.1356888294449785</v>
      </c>
      <c r="J79" s="13">
        <v>3.1610899182750091E-2</v>
      </c>
      <c r="K79" s="14" t="s">
        <v>25</v>
      </c>
    </row>
    <row r="80" spans="1:11">
      <c r="A80" s="7">
        <v>18</v>
      </c>
      <c r="B80" s="8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13">
        <v>3.4574808761011384E-2</v>
      </c>
      <c r="H80" s="24">
        <v>3.1313205704229685E-2</v>
      </c>
      <c r="I80" s="13">
        <v>2.2645899101524396</v>
      </c>
      <c r="J80" s="13">
        <v>3.5765968819275337E-2</v>
      </c>
      <c r="K80" s="14" t="s">
        <v>25</v>
      </c>
    </row>
    <row r="81" spans="1:11">
      <c r="A81" s="7">
        <v>1</v>
      </c>
      <c r="B81" s="8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13">
        <v>8.5843078550772917E-2</v>
      </c>
      <c r="H81" s="24">
        <v>4.8309744266764765E-2</v>
      </c>
      <c r="I81" s="13">
        <v>3.0810266013421472</v>
      </c>
      <c r="J81" s="13">
        <v>3.3330518924422049E-2</v>
      </c>
      <c r="K81" s="14" t="s">
        <v>25</v>
      </c>
    </row>
    <row r="82" spans="1:11">
      <c r="A82" s="7">
        <v>17</v>
      </c>
      <c r="B82" s="8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13">
        <v>7.674940100650722E-2</v>
      </c>
      <c r="H82" s="24">
        <v>7.8682622421913886E-2</v>
      </c>
      <c r="I82" s="13">
        <v>3.8650756561175412</v>
      </c>
      <c r="J82" s="13">
        <v>3.6119718934291833E-2</v>
      </c>
      <c r="K82" s="14" t="s">
        <v>25</v>
      </c>
    </row>
    <row r="83" spans="1:11">
      <c r="A83" s="7">
        <v>18</v>
      </c>
      <c r="B83" s="8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13">
        <v>7.5386720999256654E-2</v>
      </c>
      <c r="H83" s="24">
        <v>5.3101919303999691E-2</v>
      </c>
      <c r="I83" s="13">
        <v>3.790612637443425</v>
      </c>
      <c r="J83" s="13">
        <v>4.0895457887683735E-2</v>
      </c>
      <c r="K83" s="14" t="s">
        <v>25</v>
      </c>
    </row>
    <row r="84" spans="1:11">
      <c r="A84" s="15">
        <v>1</v>
      </c>
      <c r="B84" s="16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13">
        <v>3.9186985425232114E-2</v>
      </c>
      <c r="H84" s="24">
        <v>1.0671651698058029E-2</v>
      </c>
      <c r="I84" s="13">
        <v>0.70797627888853154</v>
      </c>
      <c r="J84" s="13">
        <v>1.091003650262189E-2</v>
      </c>
      <c r="K84" s="14" t="s">
        <v>25</v>
      </c>
    </row>
    <row r="85" spans="1:11">
      <c r="A85" s="7">
        <v>17</v>
      </c>
      <c r="B85" s="8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13">
        <v>0.36252292811031933</v>
      </c>
      <c r="H85" s="24">
        <v>1.3942938343304323E-2</v>
      </c>
      <c r="I85" s="13">
        <v>0.58175198134096318</v>
      </c>
      <c r="J85" s="13">
        <v>2.0306489017141435E-2</v>
      </c>
      <c r="K85" s="14" t="s">
        <v>25</v>
      </c>
    </row>
    <row r="86" spans="1:11">
      <c r="A86" s="7">
        <v>18</v>
      </c>
      <c r="B86" s="8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13">
        <v>0.42781098146188362</v>
      </c>
      <c r="H86" s="24">
        <v>2.245341532265608E-2</v>
      </c>
      <c r="I86" s="13">
        <v>0.62292521440927617</v>
      </c>
      <c r="J86" s="13">
        <v>2.8538574176033303E-2</v>
      </c>
      <c r="K86" s="14" t="s">
        <v>25</v>
      </c>
    </row>
    <row r="87" spans="1:11">
      <c r="A87" s="7">
        <v>1</v>
      </c>
      <c r="B87" s="8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13">
        <v>7.0767699199537445E-2</v>
      </c>
      <c r="H87" s="24">
        <v>2.3401141668673815E-2</v>
      </c>
      <c r="I87" s="13">
        <v>1.2095619652277292</v>
      </c>
      <c r="J87" s="13">
        <v>2.0722494012503666E-2</v>
      </c>
      <c r="K87" s="14" t="s">
        <v>25</v>
      </c>
    </row>
    <row r="88" spans="1:11">
      <c r="A88" s="7">
        <v>17</v>
      </c>
      <c r="B88" s="8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13">
        <v>7.4246780395660628E-2</v>
      </c>
      <c r="H88" s="24">
        <v>4.5284374133266948E-2</v>
      </c>
      <c r="I88" s="13">
        <v>1.6934650357351597</v>
      </c>
      <c r="J88" s="13">
        <v>1.809359349514602E-2</v>
      </c>
      <c r="K88" s="14" t="s">
        <v>25</v>
      </c>
    </row>
    <row r="89" spans="1:11">
      <c r="A89" s="7">
        <v>18</v>
      </c>
      <c r="B89" s="8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13">
        <v>6.105456792713336E-2</v>
      </c>
      <c r="H89" s="24">
        <v>6.5386664810612241E-2</v>
      </c>
      <c r="I89" s="13">
        <v>1.898618446273276</v>
      </c>
      <c r="J89" s="13">
        <v>1.8994084637978512E-2</v>
      </c>
      <c r="K89" s="14" t="s">
        <v>25</v>
      </c>
    </row>
    <row r="90" spans="1:11">
      <c r="A90" s="7">
        <v>1</v>
      </c>
      <c r="B90" s="25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13">
        <v>7.9765279993133278E-2</v>
      </c>
      <c r="H90" s="24">
        <v>2.3124230645309968E-2</v>
      </c>
      <c r="I90" s="13">
        <v>0.79773325346699064</v>
      </c>
      <c r="J90" s="13">
        <v>1.6105928070757045E-2</v>
      </c>
      <c r="K90" s="14" t="s">
        <v>25</v>
      </c>
    </row>
    <row r="91" spans="1:11">
      <c r="A91" s="7">
        <v>17</v>
      </c>
      <c r="B91" s="25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13">
        <v>0.10698402594247108</v>
      </c>
      <c r="H91" s="24">
        <v>5.6486841036476623E-2</v>
      </c>
      <c r="I91" s="13">
        <v>1.1592846420851777</v>
      </c>
      <c r="J91" s="13">
        <v>2.1514077937907432E-2</v>
      </c>
      <c r="K91" s="14" t="s">
        <v>25</v>
      </c>
    </row>
    <row r="92" spans="1:11">
      <c r="A92" s="7">
        <v>18</v>
      </c>
      <c r="B92" s="25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13">
        <v>0.10508375347483513</v>
      </c>
      <c r="H92" s="24">
        <v>5.1578296273171904E-2</v>
      </c>
      <c r="I92" s="13">
        <v>1.1168437637369917</v>
      </c>
      <c r="J92" s="13">
        <v>2.1769986107948721E-2</v>
      </c>
      <c r="K92" s="14" t="s">
        <v>25</v>
      </c>
    </row>
    <row r="93" spans="1:11">
      <c r="A93" s="7">
        <v>1</v>
      </c>
      <c r="B93" s="25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13">
        <v>5.4071097387193616E-2</v>
      </c>
      <c r="H93" s="24">
        <v>2.7582169021093471E-2</v>
      </c>
      <c r="I93" s="13">
        <v>0.47947363384260738</v>
      </c>
      <c r="J93" s="13">
        <v>2.4076675769377377E-2</v>
      </c>
      <c r="K93" s="14" t="s">
        <v>25</v>
      </c>
    </row>
    <row r="94" spans="1:11">
      <c r="A94" s="7">
        <v>17</v>
      </c>
      <c r="B94" s="25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13">
        <v>5.9102424401419523E-2</v>
      </c>
      <c r="H94" s="24">
        <v>6.5803622651776777E-2</v>
      </c>
      <c r="I94" s="13">
        <v>1.3825127619310027</v>
      </c>
      <c r="J94" s="13">
        <v>2.7247170646775076E-2</v>
      </c>
      <c r="K94" s="14" t="s">
        <v>25</v>
      </c>
    </row>
    <row r="95" spans="1:11">
      <c r="A95" s="7">
        <v>18</v>
      </c>
      <c r="B95" s="25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13">
        <v>4.564338365268119E-2</v>
      </c>
      <c r="H95" s="24">
        <v>5.55368569967159E-2</v>
      </c>
      <c r="I95" s="13">
        <v>0.66444882137443573</v>
      </c>
      <c r="J95" s="13">
        <v>2.4773284479232296E-2</v>
      </c>
      <c r="K95" s="14" t="s">
        <v>25</v>
      </c>
    </row>
    <row r="96" spans="1:11">
      <c r="A96" s="7">
        <v>1</v>
      </c>
      <c r="B96" s="25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26"/>
      <c r="H96" s="13">
        <v>0.17066009204609991</v>
      </c>
      <c r="I96" s="26"/>
      <c r="J96" s="26"/>
      <c r="K96" s="14" t="s">
        <v>25</v>
      </c>
    </row>
    <row r="97" spans="1:11">
      <c r="A97" s="7">
        <v>17</v>
      </c>
      <c r="B97" s="25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26"/>
      <c r="H97" s="13">
        <v>8.7581782461342655E-2</v>
      </c>
      <c r="I97" s="26"/>
      <c r="J97" s="26"/>
      <c r="K97" s="14" t="s">
        <v>25</v>
      </c>
    </row>
    <row r="98" spans="1:11">
      <c r="A98" s="7">
        <v>18</v>
      </c>
      <c r="B98" s="25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26"/>
      <c r="H98" s="13">
        <v>0.11894565526673036</v>
      </c>
      <c r="I98" s="26"/>
      <c r="J98" s="26"/>
      <c r="K98" s="14" t="s">
        <v>25</v>
      </c>
    </row>
    <row r="99" spans="1:11">
      <c r="A99" s="7">
        <v>1</v>
      </c>
      <c r="B99" s="25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26"/>
      <c r="H99" s="13">
        <v>0.70446526003579824</v>
      </c>
      <c r="I99" s="26"/>
      <c r="J99" s="26"/>
      <c r="K99" s="14" t="s">
        <v>25</v>
      </c>
    </row>
    <row r="100" spans="1:11">
      <c r="A100" s="7">
        <v>17</v>
      </c>
      <c r="B100" s="25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26"/>
      <c r="H100" s="13">
        <v>0.5149388184673388</v>
      </c>
      <c r="I100" s="26"/>
      <c r="J100" s="26"/>
      <c r="K100" s="14" t="s">
        <v>25</v>
      </c>
    </row>
    <row r="101" spans="1:11">
      <c r="A101" s="7">
        <v>18</v>
      </c>
      <c r="B101" s="25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26"/>
      <c r="H101" s="13">
        <v>1.0873586941967854</v>
      </c>
      <c r="I101" s="26"/>
      <c r="J101" s="26"/>
      <c r="K101" s="14" t="s">
        <v>25</v>
      </c>
    </row>
    <row r="102" spans="1:11">
      <c r="A102" s="7">
        <v>1</v>
      </c>
      <c r="B102" s="25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26"/>
      <c r="H102" s="13">
        <v>5.0371645276625639E-2</v>
      </c>
      <c r="I102" s="26"/>
      <c r="J102" s="26"/>
      <c r="K102" s="14" t="s">
        <v>25</v>
      </c>
    </row>
    <row r="103" spans="1:11">
      <c r="A103" s="7">
        <v>17</v>
      </c>
      <c r="B103" s="25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26"/>
      <c r="H103" s="13">
        <v>0</v>
      </c>
      <c r="I103" s="26"/>
      <c r="J103" s="26"/>
      <c r="K103" s="14" t="s">
        <v>25</v>
      </c>
    </row>
    <row r="104" spans="1:11">
      <c r="A104" s="7">
        <v>18</v>
      </c>
      <c r="B104" s="25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26"/>
      <c r="H104" s="13">
        <v>0</v>
      </c>
      <c r="I104" s="26"/>
      <c r="J104" s="26"/>
      <c r="K104" s="14" t="s">
        <v>25</v>
      </c>
    </row>
    <row r="105" spans="1:11">
      <c r="A105" s="7">
        <v>1</v>
      </c>
      <c r="B105" s="25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26"/>
      <c r="H105" s="13">
        <v>2.1818651282363044E-2</v>
      </c>
      <c r="I105" s="26"/>
      <c r="J105" s="26"/>
      <c r="K105" s="14" t="s">
        <v>25</v>
      </c>
    </row>
    <row r="106" spans="1:11">
      <c r="A106" s="7">
        <v>17</v>
      </c>
      <c r="B106" s="25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26"/>
      <c r="H106" s="13">
        <v>0</v>
      </c>
      <c r="I106" s="26"/>
      <c r="J106" s="26"/>
      <c r="K106" s="14" t="s">
        <v>25</v>
      </c>
    </row>
    <row r="107" spans="1:11">
      <c r="A107" s="7">
        <v>18</v>
      </c>
      <c r="B107" s="25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26"/>
      <c r="H107" s="13">
        <v>2.7283835169759151E-2</v>
      </c>
      <c r="I107" s="26"/>
      <c r="J107" s="26"/>
      <c r="K107" s="14" t="s">
        <v>25</v>
      </c>
    </row>
    <row r="108" spans="1:11">
      <c r="A108" s="7">
        <v>1</v>
      </c>
      <c r="B108" s="25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26"/>
      <c r="H108" s="13">
        <v>1.2857572114177247E-2</v>
      </c>
      <c r="I108" s="26"/>
      <c r="J108" s="26"/>
      <c r="K108" s="14" t="s">
        <v>25</v>
      </c>
    </row>
    <row r="109" spans="1:11">
      <c r="A109" s="7">
        <v>17</v>
      </c>
      <c r="B109" s="25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26"/>
      <c r="H109" s="13">
        <v>0</v>
      </c>
      <c r="I109" s="26"/>
      <c r="J109" s="26"/>
      <c r="K109" s="14" t="s">
        <v>25</v>
      </c>
    </row>
    <row r="110" spans="1:11">
      <c r="A110" s="7">
        <v>18</v>
      </c>
      <c r="B110" s="25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26"/>
      <c r="H110" s="13">
        <v>0</v>
      </c>
      <c r="I110" s="26"/>
      <c r="J110" s="26"/>
      <c r="K110" s="14" t="s">
        <v>25</v>
      </c>
    </row>
    <row r="111" spans="1:11">
      <c r="A111" s="7">
        <v>1</v>
      </c>
      <c r="B111" s="25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2.7499309104189181E-2</v>
      </c>
      <c r="H111" s="14">
        <v>0</v>
      </c>
      <c r="I111" s="14">
        <v>1.0808035892027348</v>
      </c>
      <c r="J111" s="14">
        <v>3.4210125811342258E-2</v>
      </c>
      <c r="K111" s="14">
        <v>0</v>
      </c>
    </row>
    <row r="112" spans="1:11">
      <c r="A112" s="7">
        <v>17</v>
      </c>
      <c r="B112" s="25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4.67648436334498E-2</v>
      </c>
      <c r="H112" s="14">
        <v>0</v>
      </c>
      <c r="I112" s="14">
        <v>1.4701115154884159</v>
      </c>
      <c r="J112" s="14">
        <v>3.8598187329351122E-2</v>
      </c>
      <c r="K112" s="14">
        <v>0</v>
      </c>
    </row>
    <row r="113" spans="1:11">
      <c r="A113" s="7">
        <v>18</v>
      </c>
      <c r="B113" s="25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3.3891911354148652E-2</v>
      </c>
      <c r="H113" s="14">
        <v>2.0906942703693018E-2</v>
      </c>
      <c r="I113" s="14">
        <v>0.99808327800798946</v>
      </c>
      <c r="J113" s="14">
        <v>4.2752515306874427E-2</v>
      </c>
      <c r="K113" s="14">
        <v>0</v>
      </c>
    </row>
    <row r="114" spans="1:11">
      <c r="A114" s="7">
        <v>1</v>
      </c>
      <c r="B114" s="25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0</v>
      </c>
      <c r="H114" s="14">
        <v>0</v>
      </c>
      <c r="I114" s="14">
        <v>0.81381941661818868</v>
      </c>
      <c r="J114" s="14">
        <v>2.7631836011564093E-2</v>
      </c>
      <c r="K114" s="14">
        <v>0</v>
      </c>
    </row>
    <row r="115" spans="1:11">
      <c r="A115" s="7">
        <v>17</v>
      </c>
      <c r="B115" s="25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0</v>
      </c>
      <c r="H115" s="14">
        <v>0</v>
      </c>
      <c r="I115" s="14">
        <v>0.19721288429029568</v>
      </c>
      <c r="J115" s="14">
        <v>1.098171896672461E-2</v>
      </c>
      <c r="K115" s="14">
        <v>0</v>
      </c>
    </row>
    <row r="116" spans="1:11">
      <c r="A116" s="7">
        <v>18</v>
      </c>
      <c r="B116" s="25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1.8485553835205878E-2</v>
      </c>
      <c r="H116" s="14">
        <v>0</v>
      </c>
      <c r="I116" s="14">
        <v>0.13005761294376023</v>
      </c>
      <c r="J116" s="14">
        <v>6.2182062227179166E-3</v>
      </c>
      <c r="K116" s="14">
        <v>0</v>
      </c>
    </row>
    <row r="117" spans="1:11">
      <c r="A117" s="7">
        <v>1</v>
      </c>
      <c r="B117" s="25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4.7415036826671197E-2</v>
      </c>
      <c r="H117" s="14">
        <v>0</v>
      </c>
      <c r="I117" s="14">
        <v>1.0924131535775445</v>
      </c>
      <c r="J117" s="14">
        <v>1.7445145268340127E-2</v>
      </c>
      <c r="K117" s="14">
        <v>0</v>
      </c>
    </row>
    <row r="118" spans="1:11">
      <c r="A118" s="7">
        <v>17</v>
      </c>
      <c r="B118" s="25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2.9368421123804403E-2</v>
      </c>
      <c r="H118" s="14">
        <v>0</v>
      </c>
      <c r="I118" s="14">
        <v>1.0703397406973014</v>
      </c>
      <c r="J118" s="14">
        <v>8.2621725366448621E-3</v>
      </c>
      <c r="K118" s="14">
        <v>0</v>
      </c>
    </row>
    <row r="119" spans="1:11">
      <c r="A119" s="7">
        <v>18</v>
      </c>
      <c r="B119" s="25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2.7860427435446367E-2</v>
      </c>
      <c r="H119" s="14">
        <v>0</v>
      </c>
      <c r="I119" s="14">
        <v>0.79155505156003214</v>
      </c>
      <c r="J119" s="14">
        <v>8.1457191968927825E-3</v>
      </c>
      <c r="K119" s="14">
        <v>0</v>
      </c>
    </row>
    <row r="120" spans="1:11">
      <c r="A120" s="15">
        <v>1</v>
      </c>
      <c r="B120" s="27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0.11724747111380061</v>
      </c>
      <c r="H120" s="14">
        <v>0</v>
      </c>
      <c r="I120" s="14">
        <v>3.6681125457786239</v>
      </c>
      <c r="J120" s="14">
        <v>4.7880341769359742E-2</v>
      </c>
      <c r="K120" s="14">
        <v>0</v>
      </c>
    </row>
    <row r="121" spans="1:11">
      <c r="A121" s="7">
        <v>17</v>
      </c>
      <c r="B121" s="25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0.14266270268504888</v>
      </c>
      <c r="H121" s="14">
        <v>0</v>
      </c>
      <c r="I121" s="14">
        <v>5.0276073641592349</v>
      </c>
      <c r="J121" s="14">
        <v>1.7476919642323344E-2</v>
      </c>
      <c r="K121" s="14">
        <v>0</v>
      </c>
    </row>
    <row r="122" spans="1:11">
      <c r="A122" s="7">
        <v>18</v>
      </c>
      <c r="B122" s="25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8.6835808121785152E-2</v>
      </c>
      <c r="H122" s="14">
        <v>0</v>
      </c>
      <c r="I122" s="14">
        <v>1.6377250996486694</v>
      </c>
      <c r="J122" s="14">
        <v>2.8697034885507223E-2</v>
      </c>
      <c r="K122" s="14">
        <v>0</v>
      </c>
    </row>
    <row r="123" spans="1:11">
      <c r="A123" s="7">
        <v>1</v>
      </c>
      <c r="B123" s="25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0</v>
      </c>
      <c r="H123" s="14">
        <v>0</v>
      </c>
      <c r="I123" s="14">
        <v>2.991642475638244</v>
      </c>
      <c r="J123" s="14">
        <v>6.05200292066971E-2</v>
      </c>
      <c r="K123" s="14">
        <v>0</v>
      </c>
    </row>
    <row r="124" spans="1:11">
      <c r="A124" s="7">
        <v>17</v>
      </c>
      <c r="B124" s="25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0.46986151406795917</v>
      </c>
      <c r="H124" s="14">
        <v>0</v>
      </c>
      <c r="I124" s="14">
        <v>2.3869621598480975</v>
      </c>
      <c r="J124" s="14">
        <v>6.4811223523123559E-2</v>
      </c>
      <c r="K124" s="14">
        <v>0</v>
      </c>
    </row>
    <row r="125" spans="1:11">
      <c r="A125" s="7">
        <v>18</v>
      </c>
      <c r="B125" s="25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0</v>
      </c>
      <c r="H125" s="14">
        <v>0</v>
      </c>
      <c r="I125" s="14">
        <v>2.8203222851129932</v>
      </c>
      <c r="J125" s="14">
        <v>0.12799104568608827</v>
      </c>
      <c r="K125" s="14">
        <v>0</v>
      </c>
    </row>
    <row r="126" spans="1:11">
      <c r="A126" s="7">
        <v>1</v>
      </c>
      <c r="B126" s="25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2.4566752093623408E-2</v>
      </c>
      <c r="H126" s="14">
        <v>0</v>
      </c>
      <c r="I126" s="14">
        <v>1.7159641088972755</v>
      </c>
      <c r="J126" s="14">
        <v>3.2707897722215377E-2</v>
      </c>
      <c r="K126" s="14">
        <v>0</v>
      </c>
    </row>
    <row r="127" spans="1:11">
      <c r="A127" s="7">
        <v>17</v>
      </c>
      <c r="B127" s="25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9.9616355330487683E-2</v>
      </c>
      <c r="H127" s="14">
        <v>0</v>
      </c>
      <c r="I127" s="14">
        <v>2.2360741720950688</v>
      </c>
      <c r="J127" s="14">
        <v>1.7511192095921529E-2</v>
      </c>
      <c r="K127" s="14">
        <v>0</v>
      </c>
    </row>
    <row r="128" spans="1:11">
      <c r="A128" s="7">
        <v>18</v>
      </c>
      <c r="B128" s="25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0.16764391122635239</v>
      </c>
      <c r="H128" s="14">
        <v>0</v>
      </c>
      <c r="I128" s="14">
        <v>3.0773441517920643</v>
      </c>
      <c r="J128" s="14">
        <v>2.2825069604538527E-2</v>
      </c>
      <c r="K128" s="14">
        <v>0</v>
      </c>
    </row>
    <row r="129" spans="1:11">
      <c r="A129" s="7">
        <v>1</v>
      </c>
      <c r="B129" s="25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0.32935266785205974</v>
      </c>
      <c r="H129" s="14">
        <v>0.13300942815764913</v>
      </c>
      <c r="I129" s="14">
        <v>3.5622354921758275</v>
      </c>
      <c r="J129" s="14">
        <v>4.6541582357934735E-2</v>
      </c>
      <c r="K129" s="14">
        <v>0</v>
      </c>
    </row>
    <row r="130" spans="1:11">
      <c r="A130" s="7">
        <v>17</v>
      </c>
      <c r="B130" s="25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0.13036997989864649</v>
      </c>
      <c r="H130" s="14">
        <v>0.10797724273443191</v>
      </c>
      <c r="I130" s="14">
        <v>3.8256534094928196</v>
      </c>
      <c r="J130" s="14">
        <v>4.0855856468416017E-2</v>
      </c>
      <c r="K130" s="14">
        <v>0</v>
      </c>
    </row>
    <row r="131" spans="1:11">
      <c r="A131" s="7">
        <v>18</v>
      </c>
      <c r="B131" s="25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9.0474111726259132E-2</v>
      </c>
      <c r="H131" s="14">
        <v>0.12445558623295776</v>
      </c>
      <c r="I131" s="14">
        <v>3.285540422813868</v>
      </c>
      <c r="J131" s="14">
        <v>6.1826315308258162E-2</v>
      </c>
      <c r="K131" s="14">
        <v>0</v>
      </c>
    </row>
    <row r="132" spans="1:11">
      <c r="A132" s="7">
        <v>1</v>
      </c>
      <c r="B132" s="25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5.0216371050484092E-2</v>
      </c>
      <c r="H132" s="14">
        <v>0</v>
      </c>
      <c r="I132" s="14">
        <v>1.2345106151857184</v>
      </c>
      <c r="J132" s="14">
        <v>1.6773955876107079E-2</v>
      </c>
      <c r="K132" s="14">
        <v>0</v>
      </c>
    </row>
    <row r="133" spans="1:11">
      <c r="A133" s="7">
        <v>17</v>
      </c>
      <c r="B133" s="25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1.9026340628380777E-2</v>
      </c>
      <c r="H133" s="14">
        <v>0</v>
      </c>
      <c r="I133" s="14">
        <v>0.28745902855080696</v>
      </c>
      <c r="J133" s="14">
        <v>1.1959565444067127E-2</v>
      </c>
      <c r="K133" s="14">
        <v>0</v>
      </c>
    </row>
    <row r="134" spans="1:11">
      <c r="A134" s="7">
        <v>18</v>
      </c>
      <c r="B134" s="25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2.5340226513572532E-2</v>
      </c>
      <c r="H134" s="14">
        <v>0</v>
      </c>
      <c r="I134" s="14">
        <v>0.13144228894855209</v>
      </c>
      <c r="J134" s="14">
        <v>1.0347259159708785E-2</v>
      </c>
      <c r="K134" s="14">
        <v>0</v>
      </c>
    </row>
    <row r="135" spans="1:11">
      <c r="A135" s="7">
        <v>1</v>
      </c>
      <c r="B135" s="25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8.6565052506908199E-2</v>
      </c>
      <c r="H135" s="14">
        <v>4.915216666957814E-2</v>
      </c>
      <c r="I135" s="14">
        <v>1.1029110793370536</v>
      </c>
      <c r="J135" s="14">
        <v>4.7902777407395875E-2</v>
      </c>
      <c r="K135" s="14">
        <v>0</v>
      </c>
    </row>
    <row r="136" spans="1:11">
      <c r="A136" s="7">
        <v>17</v>
      </c>
      <c r="B136" s="25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9.6952774864613803E-2</v>
      </c>
      <c r="H136" s="14">
        <v>0</v>
      </c>
      <c r="I136" s="14">
        <v>1.7161706868354145</v>
      </c>
      <c r="J136" s="14">
        <v>4.7396867117932777E-2</v>
      </c>
      <c r="K136" s="14">
        <v>0</v>
      </c>
    </row>
    <row r="137" spans="1:11">
      <c r="A137" s="7">
        <v>18</v>
      </c>
      <c r="B137" s="25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6.3897508673652958E-2</v>
      </c>
      <c r="H137" s="14">
        <v>6.1259409337830875E-2</v>
      </c>
      <c r="I137" s="14">
        <v>1.6146090919034441</v>
      </c>
      <c r="J137" s="14">
        <v>5.415253881859701E-2</v>
      </c>
      <c r="K137" s="14">
        <v>0</v>
      </c>
    </row>
    <row r="138" spans="1:11">
      <c r="A138" s="7">
        <v>1</v>
      </c>
      <c r="B138" s="25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0.65389926835444967</v>
      </c>
      <c r="H138" s="14">
        <v>0.10496801419124108</v>
      </c>
      <c r="I138" s="14">
        <v>2.0073807880158876</v>
      </c>
      <c r="J138" s="14">
        <v>0.78246833496506984</v>
      </c>
      <c r="K138" s="14">
        <v>0</v>
      </c>
    </row>
    <row r="139" spans="1:11">
      <c r="A139" s="7">
        <v>17</v>
      </c>
      <c r="B139" s="25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0.20026383087999475</v>
      </c>
      <c r="H139" s="14">
        <v>8.9453088607300016E-2</v>
      </c>
      <c r="I139" s="14">
        <v>1.2283792152213608</v>
      </c>
      <c r="J139" s="14">
        <v>0.14978463333407904</v>
      </c>
      <c r="K139" s="14">
        <v>0</v>
      </c>
    </row>
    <row r="140" spans="1:11">
      <c r="A140" s="7">
        <v>18</v>
      </c>
      <c r="B140" s="25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0.38915712038318057</v>
      </c>
      <c r="H140" s="14">
        <v>6.9861849813594626E-2</v>
      </c>
      <c r="I140" s="14">
        <v>1.8453596024720285</v>
      </c>
      <c r="J140" s="14">
        <v>0.91735553259209757</v>
      </c>
      <c r="K140" s="14">
        <v>0</v>
      </c>
    </row>
    <row r="141" spans="1:11">
      <c r="A141" s="7">
        <v>1</v>
      </c>
      <c r="B141" s="25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0.20565275871632116</v>
      </c>
      <c r="H141" s="14">
        <v>0</v>
      </c>
      <c r="I141" s="14">
        <v>2.2105005871700221</v>
      </c>
      <c r="J141" s="14">
        <v>0.45236609946757922</v>
      </c>
      <c r="K141" s="14">
        <v>0</v>
      </c>
    </row>
    <row r="142" spans="1:11">
      <c r="A142" s="7">
        <v>17</v>
      </c>
      <c r="B142" s="25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7.7937886222838273E-2</v>
      </c>
      <c r="H142" s="14">
        <v>0</v>
      </c>
      <c r="I142" s="14">
        <v>3.3210499328355594</v>
      </c>
      <c r="J142" s="14">
        <v>1.043523264787384</v>
      </c>
      <c r="K142" s="14">
        <v>0</v>
      </c>
    </row>
    <row r="143" spans="1:11">
      <c r="A143" s="7">
        <v>18</v>
      </c>
      <c r="B143" s="25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5.4650444573958311E-2</v>
      </c>
      <c r="H143" s="14">
        <v>0</v>
      </c>
      <c r="I143" s="14">
        <v>2.2076417240526185</v>
      </c>
      <c r="J143" s="14">
        <v>1.3459960061176393</v>
      </c>
      <c r="K143" s="14">
        <v>0</v>
      </c>
    </row>
    <row r="144" spans="1:11">
      <c r="A144" s="7">
        <v>1</v>
      </c>
      <c r="B144" s="25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2.6764907222375994E-2</v>
      </c>
      <c r="H144" s="14">
        <v>0</v>
      </c>
      <c r="I144" s="14">
        <v>0.86202656168784342</v>
      </c>
      <c r="J144" s="14">
        <v>9.8761824797969522E-2</v>
      </c>
      <c r="K144" s="14">
        <v>0</v>
      </c>
    </row>
    <row r="145" spans="1:11">
      <c r="A145" s="7">
        <v>17</v>
      </c>
      <c r="B145" s="25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2.2545310540432361E-2</v>
      </c>
      <c r="H145" s="14">
        <v>0</v>
      </c>
      <c r="I145" s="14">
        <v>0.78818302994497058</v>
      </c>
      <c r="J145" s="14">
        <v>0.18709622377790835</v>
      </c>
      <c r="K145" s="14">
        <v>0</v>
      </c>
    </row>
    <row r="146" spans="1:11">
      <c r="A146" s="7">
        <v>18</v>
      </c>
      <c r="B146" s="25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</v>
      </c>
      <c r="H146" s="14">
        <v>0</v>
      </c>
      <c r="I146" s="14">
        <v>0.59783652231287976</v>
      </c>
      <c r="J146" s="14">
        <v>0.32439882814873988</v>
      </c>
      <c r="K146" s="14">
        <v>0</v>
      </c>
    </row>
    <row r="147" spans="1:11">
      <c r="A147" s="7">
        <v>1</v>
      </c>
      <c r="B147" s="25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0.11108180125415432</v>
      </c>
      <c r="H147" s="14">
        <v>0</v>
      </c>
      <c r="I147" s="14">
        <v>1.0691742447871821</v>
      </c>
      <c r="J147" s="14">
        <v>7.3152826693757736E-2</v>
      </c>
      <c r="K147" s="14">
        <v>0</v>
      </c>
    </row>
    <row r="148" spans="1:11">
      <c r="A148" s="7">
        <v>17</v>
      </c>
      <c r="B148" s="25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0.12969576763380547</v>
      </c>
      <c r="H148" s="14">
        <v>0</v>
      </c>
      <c r="I148" s="14">
        <v>1.15792251487951</v>
      </c>
      <c r="J148" s="14">
        <v>7.2804110334706212E-2</v>
      </c>
      <c r="K148" s="14">
        <v>0</v>
      </c>
    </row>
    <row r="149" spans="1:11">
      <c r="A149" s="7">
        <v>18</v>
      </c>
      <c r="B149" s="25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8.5508629520886462E-2</v>
      </c>
      <c r="H149" s="14">
        <v>0</v>
      </c>
      <c r="I149" s="14">
        <v>1.2496985641201162</v>
      </c>
      <c r="J149" s="14">
        <v>6.7782295375090701E-2</v>
      </c>
      <c r="K149" s="14">
        <v>0</v>
      </c>
    </row>
    <row r="150" spans="1:11">
      <c r="A150" s="7">
        <v>1</v>
      </c>
      <c r="B150" s="25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0.10726751721696216</v>
      </c>
      <c r="H150" s="14">
        <v>0</v>
      </c>
      <c r="I150" s="14">
        <v>0.82309091360233</v>
      </c>
      <c r="J150" s="14">
        <v>3.4889958469863286E-2</v>
      </c>
      <c r="K150" s="14">
        <v>0</v>
      </c>
    </row>
    <row r="151" spans="1:11">
      <c r="A151" s="7">
        <v>17</v>
      </c>
      <c r="B151" s="25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8.7578644460486521E-2</v>
      </c>
      <c r="H151" s="14">
        <v>0</v>
      </c>
      <c r="I151" s="14">
        <v>1.167623900256844</v>
      </c>
      <c r="J151" s="14">
        <v>3.3417182924667249E-2</v>
      </c>
      <c r="K151" s="14">
        <v>0</v>
      </c>
    </row>
    <row r="152" spans="1:11">
      <c r="A152" s="7">
        <v>18</v>
      </c>
      <c r="B152" s="25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8.325303795345132E-2</v>
      </c>
      <c r="H152" s="14">
        <v>0</v>
      </c>
      <c r="I152" s="14">
        <v>0.97499896595778923</v>
      </c>
      <c r="J152" s="14">
        <v>3.3058412046403418E-2</v>
      </c>
      <c r="K152" s="14">
        <v>0</v>
      </c>
    </row>
    <row r="153" spans="1:11">
      <c r="A153" s="7">
        <v>1</v>
      </c>
      <c r="B153" s="25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5.4484188700624207E-2</v>
      </c>
      <c r="H153" s="14">
        <v>0</v>
      </c>
      <c r="I153" s="14">
        <v>0.77949021890261738</v>
      </c>
      <c r="J153" s="14">
        <v>2.1929073791060669E-2</v>
      </c>
      <c r="K153" s="14">
        <v>0</v>
      </c>
    </row>
    <row r="154" spans="1:11">
      <c r="A154" s="7">
        <v>17</v>
      </c>
      <c r="B154" s="25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5.8198227938951276E-2</v>
      </c>
      <c r="H154" s="14">
        <v>0</v>
      </c>
      <c r="I154" s="14">
        <v>0.9769440370609912</v>
      </c>
      <c r="J154" s="14">
        <v>2.7123343798999527E-2</v>
      </c>
      <c r="K154" s="14">
        <v>0</v>
      </c>
    </row>
    <row r="155" spans="1:11">
      <c r="A155" s="7">
        <v>18</v>
      </c>
      <c r="B155" s="25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0.11817869999240026</v>
      </c>
      <c r="H155" s="14">
        <v>0</v>
      </c>
      <c r="I155" s="14">
        <v>1.7911745218354929</v>
      </c>
      <c r="J155" s="14">
        <v>5.3230516165298641E-2</v>
      </c>
      <c r="K155" s="14">
        <v>0</v>
      </c>
    </row>
    <row r="156" spans="1:11">
      <c r="A156" s="15">
        <v>1</v>
      </c>
      <c r="B156" s="27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5.7181426633508933E-2</v>
      </c>
      <c r="H156" s="13">
        <v>0</v>
      </c>
      <c r="I156" s="13">
        <v>1.0869788141957915</v>
      </c>
      <c r="J156" s="13">
        <v>1.7139663584445856E-2</v>
      </c>
      <c r="K156" s="13">
        <v>0</v>
      </c>
    </row>
    <row r="157" spans="1:11">
      <c r="A157" s="7">
        <v>17</v>
      </c>
      <c r="B157" s="25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4.7723046411364649E-2</v>
      </c>
      <c r="H157" s="13">
        <v>0</v>
      </c>
      <c r="I157" s="13">
        <v>1.3484814433056989</v>
      </c>
      <c r="J157" s="13">
        <v>9.9524948578637289E-3</v>
      </c>
      <c r="K157" s="13">
        <v>0</v>
      </c>
    </row>
    <row r="158" spans="1:11">
      <c r="A158" s="7">
        <v>18</v>
      </c>
      <c r="B158" s="25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4.7310094836880985E-2</v>
      </c>
      <c r="H158" s="13">
        <v>0</v>
      </c>
      <c r="I158" s="13">
        <v>1.4418633647349492</v>
      </c>
      <c r="J158" s="13">
        <v>1.0501561551751915E-2</v>
      </c>
      <c r="K158" s="13">
        <v>0</v>
      </c>
    </row>
    <row r="159" spans="1:11">
      <c r="A159" s="7">
        <v>1</v>
      </c>
      <c r="B159" s="25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0.23028101623552541</v>
      </c>
      <c r="H159" s="13">
        <v>0</v>
      </c>
      <c r="I159" s="13">
        <v>1.4663460503525523</v>
      </c>
      <c r="J159" s="13">
        <v>1.9321537053466658E-2</v>
      </c>
      <c r="K159" s="13">
        <v>0</v>
      </c>
    </row>
    <row r="160" spans="1:11">
      <c r="A160" s="7">
        <v>17</v>
      </c>
      <c r="B160" s="25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0.26667877067665563</v>
      </c>
      <c r="H160" s="13">
        <v>0</v>
      </c>
      <c r="I160" s="13">
        <v>2.6299191793291179</v>
      </c>
      <c r="J160" s="13">
        <v>1.818081686237473E-2</v>
      </c>
      <c r="K160" s="13">
        <v>0</v>
      </c>
    </row>
    <row r="161" spans="1:11">
      <c r="A161" s="7">
        <v>18</v>
      </c>
      <c r="B161" s="25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0.18463491196357548</v>
      </c>
      <c r="H161" s="13">
        <v>0</v>
      </c>
      <c r="I161" s="13">
        <v>3.9458469817959436</v>
      </c>
      <c r="J161" s="13">
        <v>4.4113944243573969E-2</v>
      </c>
      <c r="K161" s="13">
        <v>0</v>
      </c>
    </row>
    <row r="162" spans="1:11">
      <c r="A162" s="7">
        <v>1</v>
      </c>
      <c r="B162" s="25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0.44333509554273914</v>
      </c>
      <c r="H162" s="13">
        <v>2.2231653036254306E-2</v>
      </c>
      <c r="I162" s="13">
        <v>2.3611276894887103</v>
      </c>
      <c r="J162" s="13">
        <v>3.3264147973075635E-2</v>
      </c>
      <c r="K162" s="13">
        <v>0</v>
      </c>
    </row>
    <row r="163" spans="1:11">
      <c r="A163" s="7">
        <v>17</v>
      </c>
      <c r="B163" s="25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6.4080939439411497E-2</v>
      </c>
      <c r="H163" s="28">
        <v>0</v>
      </c>
      <c r="I163" s="28">
        <v>2.54471829537226</v>
      </c>
      <c r="J163" s="28">
        <v>2.6659008288636592E-2</v>
      </c>
      <c r="K163" s="28">
        <v>0</v>
      </c>
    </row>
    <row r="164" spans="1:11">
      <c r="A164" s="7">
        <v>18</v>
      </c>
      <c r="B164" s="25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9.2607320194602771E-2</v>
      </c>
      <c r="H164" s="29">
        <v>0</v>
      </c>
      <c r="I164" s="29">
        <v>2.2310141375255119</v>
      </c>
      <c r="J164" s="29">
        <v>2.3946599701365888E-2</v>
      </c>
      <c r="K164" s="28">
        <v>0</v>
      </c>
    </row>
    <row r="165" spans="1:11">
      <c r="A165" s="7">
        <v>1</v>
      </c>
      <c r="B165" s="25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9.1554596736506094E-2</v>
      </c>
      <c r="H165" s="31">
        <v>0.12650181358928714</v>
      </c>
      <c r="I165" s="31">
        <v>2.5373220945061892</v>
      </c>
      <c r="J165" s="31">
        <v>5.1168402974852978E-2</v>
      </c>
      <c r="K165" s="28">
        <v>0</v>
      </c>
    </row>
    <row r="166" spans="1:11">
      <c r="A166" s="7">
        <v>17</v>
      </c>
      <c r="B166" s="25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4.5129829501571565E-2</v>
      </c>
      <c r="H166" s="31">
        <v>6.3280667845824201E-2</v>
      </c>
      <c r="I166" s="31">
        <v>1.2385680410483269</v>
      </c>
      <c r="J166" s="31">
        <v>2.8473401545721561E-2</v>
      </c>
      <c r="K166" s="28">
        <v>0</v>
      </c>
    </row>
    <row r="167" spans="1:11">
      <c r="A167" s="7">
        <v>18</v>
      </c>
      <c r="B167" s="25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4.5563052353382844E-2</v>
      </c>
      <c r="H167" s="31">
        <v>0</v>
      </c>
      <c r="I167" s="31">
        <v>1.3133153077520763</v>
      </c>
      <c r="J167" s="31">
        <v>4.7572593338341712E-2</v>
      </c>
      <c r="K167" s="28">
        <v>0</v>
      </c>
    </row>
    <row r="168" spans="1:11">
      <c r="A168" s="7">
        <v>1</v>
      </c>
      <c r="B168" s="25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7.8392877831130234E-2</v>
      </c>
      <c r="H168" s="31">
        <v>0</v>
      </c>
      <c r="I168" s="31">
        <v>0.21795530180189979</v>
      </c>
      <c r="J168" s="31">
        <v>1.7751584517868832E-2</v>
      </c>
      <c r="K168" s="28">
        <v>0</v>
      </c>
    </row>
    <row r="169" spans="1:11">
      <c r="A169" s="7">
        <v>17</v>
      </c>
      <c r="B169" s="25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0.34402029518038801</v>
      </c>
      <c r="H169" s="31">
        <v>8.785759001379961E-3</v>
      </c>
      <c r="I169" s="31">
        <v>0.37185885889893977</v>
      </c>
      <c r="J169" s="31">
        <v>1.6548487455140731E-2</v>
      </c>
      <c r="K169" s="28">
        <v>0</v>
      </c>
    </row>
    <row r="170" spans="1:11">
      <c r="A170" s="7">
        <v>18</v>
      </c>
      <c r="B170" s="25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3.2182692028390872E-2</v>
      </c>
      <c r="H170" s="31">
        <v>1.8641220542613232E-2</v>
      </c>
      <c r="I170" s="31">
        <v>0.51089149012309787</v>
      </c>
      <c r="J170" s="31">
        <v>3.0920181617472998E-2</v>
      </c>
      <c r="K170" s="28">
        <v>0</v>
      </c>
    </row>
    <row r="171" spans="1:11">
      <c r="A171" s="7">
        <v>1</v>
      </c>
      <c r="B171" s="25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0.12767806818518168</v>
      </c>
      <c r="H171" s="31">
        <v>0.64646444089204691</v>
      </c>
      <c r="I171" s="31">
        <v>4.0517504625167104</v>
      </c>
      <c r="J171" s="31">
        <v>1.7314011284883875</v>
      </c>
      <c r="K171" s="28">
        <v>0</v>
      </c>
    </row>
    <row r="172" spans="1:11">
      <c r="A172" s="7">
        <v>17</v>
      </c>
      <c r="B172" s="25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0.13026652739383895</v>
      </c>
      <c r="H172" s="31">
        <v>1.0740535550137336</v>
      </c>
      <c r="I172" s="31">
        <v>4.5875752136068284</v>
      </c>
      <c r="J172" s="31">
        <v>1.529415505099661</v>
      </c>
      <c r="K172" s="13">
        <v>1.8992340158595748E-2</v>
      </c>
    </row>
    <row r="173" spans="1:11">
      <c r="A173" s="7">
        <v>18</v>
      </c>
      <c r="B173" s="25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7.3672753938117841E-2</v>
      </c>
      <c r="H173" s="31">
        <v>0.23018762475801702</v>
      </c>
      <c r="I173" s="31">
        <v>1.267956800518488</v>
      </c>
      <c r="J173" s="31">
        <v>1.2337489508164765</v>
      </c>
      <c r="K173" s="28">
        <v>0</v>
      </c>
    </row>
    <row r="174" spans="1:11">
      <c r="A174" s="7">
        <v>1</v>
      </c>
      <c r="B174" s="25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0.10327718647260119</v>
      </c>
      <c r="H174" s="31">
        <v>0</v>
      </c>
      <c r="I174" s="31">
        <v>2.1282170851293927</v>
      </c>
      <c r="J174" s="31">
        <v>1.3332949233854376</v>
      </c>
      <c r="K174" s="28">
        <v>0</v>
      </c>
    </row>
    <row r="175" spans="1:11">
      <c r="A175" s="7">
        <v>17</v>
      </c>
      <c r="B175" s="25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0.12484569541061681</v>
      </c>
      <c r="H175" s="31">
        <v>0</v>
      </c>
      <c r="I175" s="31">
        <v>2.1637376391497267</v>
      </c>
      <c r="J175" s="31">
        <v>1.5186453666052768</v>
      </c>
      <c r="K175" s="28">
        <v>0</v>
      </c>
    </row>
    <row r="176" spans="1:11">
      <c r="A176" s="7">
        <v>18</v>
      </c>
      <c r="B176" s="25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0.17896759173328067</v>
      </c>
      <c r="H176" s="31">
        <v>0</v>
      </c>
      <c r="I176" s="31">
        <v>2.6685921533960988</v>
      </c>
      <c r="J176" s="31">
        <v>2.1206143029446376</v>
      </c>
      <c r="K176" s="28">
        <v>0</v>
      </c>
    </row>
    <row r="177" spans="1:11">
      <c r="A177" s="7">
        <v>1</v>
      </c>
      <c r="B177" s="25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  <c r="H177" s="32"/>
      <c r="I177" s="32"/>
      <c r="J177" s="32"/>
      <c r="K177" s="26"/>
    </row>
    <row r="178" spans="1:11">
      <c r="A178" s="7">
        <v>17</v>
      </c>
      <c r="B178" s="25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  <c r="H178" s="32"/>
      <c r="I178" s="32"/>
      <c r="J178" s="32"/>
      <c r="K178" s="26"/>
    </row>
    <row r="179" spans="1:11">
      <c r="A179" s="7">
        <v>18</v>
      </c>
      <c r="B179" s="25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H179" s="32"/>
      <c r="I179" s="32"/>
      <c r="J179" s="32"/>
      <c r="K179" s="26"/>
    </row>
    <row r="180" spans="1:11">
      <c r="A180" s="7">
        <v>1</v>
      </c>
      <c r="B180" s="25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2.8385155143239502E-2</v>
      </c>
      <c r="H180" s="31">
        <v>0</v>
      </c>
      <c r="I180" s="31">
        <v>4.2466678666492745</v>
      </c>
      <c r="J180" s="31">
        <v>0.28192225064015186</v>
      </c>
      <c r="K180" s="28">
        <v>0</v>
      </c>
    </row>
    <row r="181" spans="1:11">
      <c r="A181" s="7">
        <v>17</v>
      </c>
      <c r="B181" s="25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4.1118330113070298E-2</v>
      </c>
      <c r="H181" s="31">
        <v>0</v>
      </c>
      <c r="I181" s="31">
        <v>2.8443523089570117</v>
      </c>
      <c r="J181" s="31">
        <v>0.31586262300889834</v>
      </c>
      <c r="K181" s="28">
        <v>0</v>
      </c>
    </row>
    <row r="182" spans="1:11">
      <c r="A182" s="7">
        <v>18</v>
      </c>
      <c r="B182" s="25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1.4058686372391316E-2</v>
      </c>
      <c r="H182" s="31">
        <v>0</v>
      </c>
      <c r="I182" s="31">
        <v>2.6264797441076335</v>
      </c>
      <c r="J182" s="31">
        <v>0.21566404201587061</v>
      </c>
      <c r="K182" s="28">
        <v>0</v>
      </c>
    </row>
    <row r="183" spans="1:11">
      <c r="A183" s="7">
        <v>1</v>
      </c>
      <c r="B183" s="25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3.8623679256134663E-2</v>
      </c>
      <c r="H183" s="33">
        <v>0</v>
      </c>
      <c r="I183" s="33">
        <v>2.2102603639539948</v>
      </c>
      <c r="J183" s="33">
        <v>0.11793478574782618</v>
      </c>
      <c r="K183" s="14">
        <v>0</v>
      </c>
    </row>
    <row r="184" spans="1:11">
      <c r="A184" s="7">
        <v>17</v>
      </c>
      <c r="B184" s="25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3.9960941071331663E-2</v>
      </c>
      <c r="H184" s="33">
        <v>0</v>
      </c>
      <c r="I184" s="33">
        <v>3.6649733788077179</v>
      </c>
      <c r="J184" s="33">
        <v>0.12377559661840422</v>
      </c>
      <c r="K184" s="14">
        <v>0</v>
      </c>
    </row>
    <row r="185" spans="1:11">
      <c r="A185" s="7">
        <v>18</v>
      </c>
      <c r="B185" s="25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5.6823488686817102E-2</v>
      </c>
      <c r="H185" s="33">
        <v>0</v>
      </c>
      <c r="I185" s="33">
        <v>2.2137942013240961</v>
      </c>
      <c r="J185" s="33">
        <v>9.5072222707622375E-2</v>
      </c>
      <c r="K185" s="14">
        <v>0</v>
      </c>
    </row>
    <row r="186" spans="1:11">
      <c r="A186" s="7">
        <v>1</v>
      </c>
      <c r="B186" s="25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2.5792125822646481E-2</v>
      </c>
      <c r="H186" s="33">
        <v>0</v>
      </c>
      <c r="I186" s="33">
        <v>1.9589990740219922</v>
      </c>
      <c r="J186" s="33">
        <v>2.4319080009713834E-2</v>
      </c>
      <c r="K186" s="14">
        <v>0</v>
      </c>
    </row>
    <row r="187" spans="1:11">
      <c r="A187" s="7">
        <v>17</v>
      </c>
      <c r="B187" s="25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2.4321698910637134E-2</v>
      </c>
      <c r="H187" s="33">
        <v>0</v>
      </c>
      <c r="I187" s="33">
        <v>2.1777082707999416</v>
      </c>
      <c r="J187" s="33">
        <v>2.2728019694697097E-2</v>
      </c>
      <c r="K187" s="14">
        <v>0</v>
      </c>
    </row>
    <row r="188" spans="1:11">
      <c r="A188" s="7">
        <v>18</v>
      </c>
      <c r="B188" s="25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5.548803372171357E-2</v>
      </c>
      <c r="H188" s="33">
        <v>0</v>
      </c>
      <c r="I188" s="33">
        <v>4.1689127704022901</v>
      </c>
      <c r="J188" s="33">
        <v>4.2110162271842305E-2</v>
      </c>
      <c r="K188" s="14">
        <v>0</v>
      </c>
    </row>
    <row r="189" spans="1:11">
      <c r="A189" s="7">
        <v>1</v>
      </c>
      <c r="B189" s="25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9.0031862302589971E-2</v>
      </c>
      <c r="H189" s="33">
        <v>0</v>
      </c>
      <c r="I189" s="33">
        <v>1.3037250280622812</v>
      </c>
      <c r="J189" s="33">
        <v>9.7552531545915481E-3</v>
      </c>
      <c r="K189" s="14">
        <v>0</v>
      </c>
    </row>
    <row r="190" spans="1:11">
      <c r="A190" s="7">
        <v>17</v>
      </c>
      <c r="B190" s="25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6.9098409513271702E-2</v>
      </c>
      <c r="H190" s="33">
        <v>0</v>
      </c>
      <c r="I190" s="33">
        <v>2.6484010026724731</v>
      </c>
      <c r="J190" s="33">
        <v>1.9284967014744789E-2</v>
      </c>
      <c r="K190" s="14">
        <v>0</v>
      </c>
    </row>
    <row r="191" spans="1:11">
      <c r="A191" s="7">
        <v>18</v>
      </c>
      <c r="B191" s="25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8.7980728251653012E-2</v>
      </c>
      <c r="H191" s="33">
        <v>0</v>
      </c>
      <c r="I191" s="33">
        <v>1.3082743839531161</v>
      </c>
      <c r="J191" s="33">
        <v>1.1937627218222049E-2</v>
      </c>
      <c r="K191" s="14">
        <v>0</v>
      </c>
    </row>
    <row r="192" spans="1:11">
      <c r="A192" s="15">
        <v>1</v>
      </c>
      <c r="B192" s="34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3.942765423739239E-2</v>
      </c>
      <c r="H192" s="33">
        <v>0</v>
      </c>
      <c r="I192" s="33">
        <v>3.9331440400833095</v>
      </c>
      <c r="J192" s="33">
        <v>2.4478702834014134E-2</v>
      </c>
      <c r="K192" s="14">
        <v>0</v>
      </c>
    </row>
    <row r="193" spans="1:11">
      <c r="A193" s="7">
        <v>17</v>
      </c>
      <c r="B193" s="35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0.10382198143910661</v>
      </c>
      <c r="H193" s="33">
        <v>0</v>
      </c>
      <c r="I193" s="33">
        <v>7.1476368224923235</v>
      </c>
      <c r="J193" s="33">
        <v>1.7478671686910228E-2</v>
      </c>
      <c r="K193" s="14">
        <v>0</v>
      </c>
    </row>
    <row r="194" spans="1:11">
      <c r="A194" s="7">
        <v>18</v>
      </c>
      <c r="B194" s="35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8.7142557070893509E-2</v>
      </c>
      <c r="H194" s="33">
        <v>0</v>
      </c>
      <c r="I194" s="33">
        <v>4.8347613662764255</v>
      </c>
      <c r="J194" s="33">
        <v>1.7519539163208055E-2</v>
      </c>
      <c r="K194" s="14">
        <v>0</v>
      </c>
    </row>
    <row r="195" spans="1:11">
      <c r="A195" s="7">
        <v>1</v>
      </c>
      <c r="B195" s="35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0.17731153488382229</v>
      </c>
      <c r="H195" s="33">
        <v>0</v>
      </c>
      <c r="I195" s="33">
        <v>1.1240888012582275</v>
      </c>
      <c r="J195" s="33">
        <v>2.2348948123955527E-2</v>
      </c>
      <c r="K195" s="14">
        <v>0</v>
      </c>
    </row>
    <row r="196" spans="1:11">
      <c r="A196" s="7">
        <v>17</v>
      </c>
      <c r="B196" s="35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7.0618577698514443E-2</v>
      </c>
      <c r="H196" s="33">
        <v>0</v>
      </c>
      <c r="I196" s="33">
        <v>0.98782078404224183</v>
      </c>
      <c r="J196" s="33">
        <v>2.0277299660653173E-2</v>
      </c>
      <c r="K196" s="14">
        <v>0</v>
      </c>
    </row>
    <row r="197" spans="1:11">
      <c r="A197" s="7">
        <v>18</v>
      </c>
      <c r="B197" s="35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0.11682435578888031</v>
      </c>
      <c r="H197" s="33">
        <v>0</v>
      </c>
      <c r="I197" s="33">
        <v>0.74414334487293265</v>
      </c>
      <c r="J197" s="33">
        <v>2.2351950969689244E-2</v>
      </c>
      <c r="K197" s="14">
        <v>0</v>
      </c>
    </row>
    <row r="198" spans="1:11">
      <c r="A198" s="7">
        <v>1</v>
      </c>
      <c r="B198" s="35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0.19161527776995715</v>
      </c>
      <c r="H198" s="33">
        <v>0</v>
      </c>
      <c r="I198" s="33">
        <v>0.31271094940345462</v>
      </c>
      <c r="J198" s="33">
        <v>0</v>
      </c>
      <c r="K198" s="14">
        <v>0</v>
      </c>
    </row>
    <row r="199" spans="1:11">
      <c r="A199" s="7">
        <v>17</v>
      </c>
      <c r="B199" s="35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0.30438104358161089</v>
      </c>
      <c r="H199" s="33">
        <v>0</v>
      </c>
      <c r="I199" s="33">
        <v>0.47636551102085034</v>
      </c>
      <c r="J199" s="33">
        <v>4.4500288135462772E-3</v>
      </c>
      <c r="K199" s="14">
        <v>0</v>
      </c>
    </row>
    <row r="200" spans="1:11">
      <c r="A200" s="7">
        <v>18</v>
      </c>
      <c r="B200" s="35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6.3523600905272093E-2</v>
      </c>
      <c r="H200" s="33">
        <v>0</v>
      </c>
      <c r="I200" s="33">
        <v>0.19095549593552683</v>
      </c>
      <c r="J200" s="33">
        <v>4.1321743148649542E-3</v>
      </c>
      <c r="K200" s="14">
        <v>0</v>
      </c>
    </row>
    <row r="201" spans="1:11">
      <c r="A201" s="7">
        <v>1</v>
      </c>
      <c r="B201" s="35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1.5265617083735689E-2</v>
      </c>
      <c r="H201" s="33">
        <v>4.2270710489593862E-2</v>
      </c>
      <c r="I201" s="33">
        <v>0.78926696478881142</v>
      </c>
      <c r="J201" s="33">
        <v>3.2732812874604479E-2</v>
      </c>
      <c r="K201" s="14">
        <v>0</v>
      </c>
    </row>
    <row r="202" spans="1:11">
      <c r="A202" s="7">
        <v>17</v>
      </c>
      <c r="B202" s="35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2.1946541392721685E-2</v>
      </c>
      <c r="H202" s="33">
        <v>4.3141928196414041E-2</v>
      </c>
      <c r="I202" s="33">
        <v>1.0714390296885241</v>
      </c>
      <c r="J202" s="33">
        <v>2.9852623631612337E-2</v>
      </c>
      <c r="K202" s="14">
        <v>0</v>
      </c>
    </row>
    <row r="203" spans="1:11">
      <c r="A203" s="7">
        <v>18</v>
      </c>
      <c r="B203" s="35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1.5100066786806388E-2</v>
      </c>
      <c r="H203" s="33">
        <v>6.2376936714501945E-2</v>
      </c>
      <c r="I203" s="33">
        <v>1.2478810965676568</v>
      </c>
      <c r="J203" s="33">
        <v>4.0970052682279733E-2</v>
      </c>
      <c r="K203" s="14">
        <v>0</v>
      </c>
    </row>
    <row r="204" spans="1:11">
      <c r="A204" s="7">
        <v>1</v>
      </c>
      <c r="B204" s="35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2.2690446850081817E-2</v>
      </c>
      <c r="H204" s="33">
        <v>0</v>
      </c>
      <c r="I204" s="33">
        <v>0.22252003392008535</v>
      </c>
      <c r="J204" s="33">
        <v>8.1722331188550986E-3</v>
      </c>
      <c r="K204" s="14">
        <v>0</v>
      </c>
    </row>
    <row r="205" spans="1:11">
      <c r="A205" s="7">
        <v>17</v>
      </c>
      <c r="B205" s="35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1.9463838431956454E-2</v>
      </c>
      <c r="H205" s="33">
        <v>1.5786149854345111E-2</v>
      </c>
      <c r="I205" s="33">
        <v>0.24022387043009072</v>
      </c>
      <c r="J205" s="33">
        <v>3.5187640491699201E-2</v>
      </c>
      <c r="K205" s="14">
        <v>0</v>
      </c>
    </row>
    <row r="206" spans="1:11">
      <c r="A206" s="7">
        <v>18</v>
      </c>
      <c r="B206" s="35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1.2535995246123673E-2</v>
      </c>
      <c r="H206" s="33">
        <v>0.11327981540544728</v>
      </c>
      <c r="I206" s="33">
        <v>0.67969422069058072</v>
      </c>
      <c r="J206" s="33">
        <v>1.4765206889460109E-2</v>
      </c>
      <c r="K206" s="14">
        <v>0</v>
      </c>
    </row>
    <row r="207" spans="1:11">
      <c r="A207" s="7">
        <v>1</v>
      </c>
      <c r="B207" s="35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0.50032834909106827</v>
      </c>
      <c r="H207" s="33">
        <v>2.2089836020201981</v>
      </c>
      <c r="I207" s="33">
        <v>7.7061745198636675</v>
      </c>
      <c r="J207" s="33">
        <v>0.76109140239355721</v>
      </c>
      <c r="K207" s="14">
        <v>2.1577396438882523E-2</v>
      </c>
    </row>
    <row r="208" spans="1:11">
      <c r="A208" s="7">
        <v>17</v>
      </c>
      <c r="B208" s="35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0.24531523204428421</v>
      </c>
      <c r="H208" s="33">
        <v>3.4072797683435484E-2</v>
      </c>
      <c r="I208" s="33">
        <v>0.62317432742282886</v>
      </c>
      <c r="J208" s="33">
        <v>4.5431753428739882E-2</v>
      </c>
      <c r="K208" s="14">
        <v>0</v>
      </c>
    </row>
    <row r="209" spans="1:11">
      <c r="A209" s="7">
        <v>18</v>
      </c>
      <c r="B209" s="35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0.14406973557243741</v>
      </c>
      <c r="H209" s="33">
        <v>3.3618942970986812</v>
      </c>
      <c r="I209" s="33">
        <v>11.767582959550102</v>
      </c>
      <c r="J209" s="33">
        <v>0.75171062103616748</v>
      </c>
      <c r="K209" s="14">
        <v>3.4340218573243868E-2</v>
      </c>
    </row>
    <row r="210" spans="1:11">
      <c r="A210" s="7">
        <v>1</v>
      </c>
      <c r="B210" s="35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0.34182052119754419</v>
      </c>
      <c r="H210" s="33">
        <v>0</v>
      </c>
      <c r="I210" s="33">
        <v>1.5048791884227728</v>
      </c>
      <c r="J210" s="33">
        <v>0.69038174754876269</v>
      </c>
      <c r="K210" s="14">
        <v>0</v>
      </c>
    </row>
    <row r="211" spans="1:11">
      <c r="A211" s="7">
        <v>17</v>
      </c>
      <c r="B211" s="35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0.1069653556683722</v>
      </c>
      <c r="H211" s="33">
        <v>0</v>
      </c>
      <c r="I211" s="33">
        <v>0.77672065141323354</v>
      </c>
      <c r="J211" s="33">
        <v>4.4073939608212133E-2</v>
      </c>
      <c r="K211" s="14">
        <v>0</v>
      </c>
    </row>
    <row r="212" spans="1:11">
      <c r="A212" s="7">
        <v>18</v>
      </c>
      <c r="B212" s="35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0.1980363053684735</v>
      </c>
      <c r="H212" s="33">
        <v>0</v>
      </c>
      <c r="I212" s="33">
        <v>1.7295755124923482</v>
      </c>
      <c r="J212" s="33">
        <v>0.8504600092132083</v>
      </c>
      <c r="K212" s="14">
        <v>0</v>
      </c>
    </row>
    <row r="213" spans="1:11">
      <c r="A213" s="7">
        <v>1</v>
      </c>
      <c r="B213" s="35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0.32441203826532772</v>
      </c>
      <c r="H213" s="33">
        <v>4.603649899556881E-2</v>
      </c>
      <c r="I213" s="33">
        <v>1.8376152714099325</v>
      </c>
      <c r="J213" s="33">
        <v>0.35701993203612914</v>
      </c>
      <c r="K213" s="14">
        <v>0</v>
      </c>
    </row>
    <row r="214" spans="1:11">
      <c r="A214" s="7">
        <v>17</v>
      </c>
      <c r="B214" s="35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0.3208824771941996</v>
      </c>
      <c r="H214" s="33">
        <v>4.3064255964993858E-2</v>
      </c>
      <c r="I214" s="33">
        <v>1.7262347368241708</v>
      </c>
      <c r="J214" s="33">
        <v>0.28202812460153071</v>
      </c>
      <c r="K214" s="14">
        <v>0</v>
      </c>
    </row>
    <row r="215" spans="1:11">
      <c r="A215" s="7">
        <v>18</v>
      </c>
      <c r="B215" s="35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0.21652931951600438</v>
      </c>
      <c r="H215" s="33">
        <v>5.8959500304213347E-2</v>
      </c>
      <c r="I215" s="33">
        <v>3.0671446934322777</v>
      </c>
      <c r="J215" s="33">
        <v>0.4657155760926181</v>
      </c>
      <c r="K215" s="14">
        <v>0</v>
      </c>
    </row>
    <row r="216" spans="1:11">
      <c r="A216" s="7">
        <v>1</v>
      </c>
      <c r="B216" s="35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0.21295731291037179</v>
      </c>
      <c r="H216" s="33">
        <v>0</v>
      </c>
      <c r="I216" s="33">
        <v>1.7095599870543905</v>
      </c>
      <c r="J216" s="33">
        <v>0.12668012066686996</v>
      </c>
      <c r="K216" s="14">
        <v>0</v>
      </c>
    </row>
    <row r="217" spans="1:11">
      <c r="A217" s="7">
        <v>17</v>
      </c>
      <c r="B217" s="35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0.33660669722909453</v>
      </c>
      <c r="H217" s="33">
        <v>2.8124566122548565E-2</v>
      </c>
      <c r="I217" s="33">
        <v>2.3565382160043651</v>
      </c>
      <c r="J217" s="33">
        <v>0.1794301891484118</v>
      </c>
      <c r="K217" s="14">
        <v>0</v>
      </c>
    </row>
    <row r="218" spans="1:11">
      <c r="A218" s="7">
        <v>18</v>
      </c>
      <c r="B218" s="35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9.0230615789289953E-2</v>
      </c>
      <c r="H218" s="33">
        <v>3.6120394801067164E-2</v>
      </c>
      <c r="I218" s="33">
        <v>3.1767480408853555</v>
      </c>
      <c r="J218" s="33">
        <v>0.79928005398263124</v>
      </c>
      <c r="K218" s="14">
        <v>0</v>
      </c>
    </row>
    <row r="219" spans="1:11">
      <c r="A219" s="7">
        <v>1</v>
      </c>
      <c r="B219" s="35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3.7400000000000003E-2</v>
      </c>
      <c r="H219" s="33">
        <v>1E-4</v>
      </c>
      <c r="I219" s="33">
        <v>0.63290000000000002</v>
      </c>
      <c r="J219" s="33">
        <v>8.3500000000000005E-2</v>
      </c>
      <c r="K219" s="14">
        <v>1E-4</v>
      </c>
    </row>
    <row r="220" spans="1:11">
      <c r="A220" s="7">
        <v>17</v>
      </c>
      <c r="B220" s="35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3.6200000000000003E-2</v>
      </c>
      <c r="H220" s="33">
        <v>1E-4</v>
      </c>
      <c r="I220" s="33">
        <v>0.84279999999999999</v>
      </c>
      <c r="J220" s="33">
        <v>9.8699999999999996E-2</v>
      </c>
      <c r="K220" s="14">
        <v>1E-4</v>
      </c>
    </row>
    <row r="221" spans="1:11">
      <c r="A221" s="7">
        <v>18</v>
      </c>
      <c r="B221" s="35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1.78E-2</v>
      </c>
      <c r="H221" s="33">
        <v>1E-4</v>
      </c>
      <c r="I221" s="33">
        <v>0.9345</v>
      </c>
      <c r="J221" s="33">
        <v>9.8599999999999993E-2</v>
      </c>
      <c r="K221" s="14">
        <v>1E-4</v>
      </c>
    </row>
    <row r="222" spans="1:11">
      <c r="A222" s="7">
        <v>1</v>
      </c>
      <c r="B222" s="35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2.3199999999999998E-2</v>
      </c>
      <c r="H222" s="33">
        <v>1E-4</v>
      </c>
      <c r="I222" s="33">
        <v>0.49640000000000001</v>
      </c>
      <c r="J222" s="33">
        <v>1.7999999999999999E-2</v>
      </c>
      <c r="K222" s="14">
        <v>1E-4</v>
      </c>
    </row>
    <row r="223" spans="1:11">
      <c r="A223" s="7">
        <v>17</v>
      </c>
      <c r="B223" s="35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1.66E-2</v>
      </c>
      <c r="H223" s="33">
        <v>1E-4</v>
      </c>
      <c r="I223" s="33">
        <v>1.1418999999999999</v>
      </c>
      <c r="J223" s="33">
        <v>3.0599999999999999E-2</v>
      </c>
      <c r="K223" s="14">
        <v>1E-4</v>
      </c>
    </row>
    <row r="224" spans="1:11">
      <c r="A224" s="7">
        <v>18</v>
      </c>
      <c r="B224" s="35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1.3100000000000001E-2</v>
      </c>
      <c r="H224" s="33">
        <v>1E-4</v>
      </c>
      <c r="I224" s="33">
        <v>1.0449999999999999</v>
      </c>
      <c r="J224" s="33">
        <v>2.4500000000000001E-2</v>
      </c>
      <c r="K224" s="14">
        <v>1E-4</v>
      </c>
    </row>
    <row r="225" spans="1:11">
      <c r="A225" s="7">
        <v>1</v>
      </c>
      <c r="B225" s="35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5.0299999999999997E-2</v>
      </c>
      <c r="H225" s="33">
        <v>1E-4</v>
      </c>
      <c r="I225" s="33">
        <v>2.7671000000000001</v>
      </c>
      <c r="J225" s="33">
        <v>1.17E-2</v>
      </c>
      <c r="K225" s="14">
        <v>1E-4</v>
      </c>
    </row>
    <row r="226" spans="1:11">
      <c r="A226" s="7">
        <v>17</v>
      </c>
      <c r="B226" s="35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6.0299999999999999E-2</v>
      </c>
      <c r="H226" s="33">
        <v>1E-4</v>
      </c>
      <c r="I226" s="33">
        <v>3.8075000000000001</v>
      </c>
      <c r="J226" s="33">
        <v>1.38E-2</v>
      </c>
      <c r="K226" s="14">
        <v>1E-4</v>
      </c>
    </row>
    <row r="227" spans="1:11">
      <c r="A227" s="7">
        <v>18</v>
      </c>
      <c r="B227" s="35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5.9200000000000003E-2</v>
      </c>
      <c r="H227" s="33">
        <v>1E-4</v>
      </c>
      <c r="I227" s="33">
        <v>3.5575999999999999</v>
      </c>
      <c r="J227" s="33">
        <v>1.34E-2</v>
      </c>
      <c r="K227" s="14">
        <v>1E-4</v>
      </c>
    </row>
    <row r="228" spans="1:11">
      <c r="A228" s="17">
        <v>1</v>
      </c>
      <c r="B228" s="34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0.34489999999999998</v>
      </c>
      <c r="H228" s="33">
        <v>1E-4</v>
      </c>
      <c r="I228" s="33">
        <v>3.8887</v>
      </c>
      <c r="J228" s="33">
        <v>1.6299999999999999E-2</v>
      </c>
      <c r="K228" s="14">
        <v>1E-4</v>
      </c>
    </row>
    <row r="229" spans="1:11">
      <c r="A229" s="11">
        <v>17</v>
      </c>
      <c r="B229" s="35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0.31990000000000002</v>
      </c>
      <c r="H229" s="33">
        <v>1E-4</v>
      </c>
      <c r="I229" s="33">
        <v>9.0748999999999995</v>
      </c>
      <c r="J229" s="33">
        <v>1.78E-2</v>
      </c>
      <c r="K229" s="14">
        <v>1E-4</v>
      </c>
    </row>
    <row r="230" spans="1:11">
      <c r="A230" s="11">
        <v>18</v>
      </c>
      <c r="B230" s="35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0.30020000000000002</v>
      </c>
      <c r="H230" s="33">
        <v>1E-4</v>
      </c>
      <c r="I230" s="33">
        <v>5.0305</v>
      </c>
      <c r="J230" s="33">
        <v>1.9099999999999999E-2</v>
      </c>
      <c r="K230" s="14">
        <v>1E-4</v>
      </c>
    </row>
    <row r="231" spans="1:11">
      <c r="A231" s="11">
        <v>1</v>
      </c>
      <c r="B231" s="35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3.8600000000000002E-2</v>
      </c>
      <c r="H231" s="33">
        <v>1E-4</v>
      </c>
      <c r="I231" s="33">
        <v>2.9098999999999999</v>
      </c>
      <c r="J231" s="33">
        <v>1.8200000000000001E-2</v>
      </c>
      <c r="K231" s="14">
        <v>1E-4</v>
      </c>
    </row>
    <row r="232" spans="1:11">
      <c r="A232" s="11">
        <v>17</v>
      </c>
      <c r="B232" s="35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4.2599999999999999E-2</v>
      </c>
      <c r="H232" s="33">
        <v>1E-4</v>
      </c>
      <c r="I232" s="33">
        <v>4.0843999999999996</v>
      </c>
      <c r="J232" s="33">
        <v>3.1699999999999999E-2</v>
      </c>
      <c r="K232" s="14">
        <v>1E-4</v>
      </c>
    </row>
    <row r="233" spans="1:11">
      <c r="A233" s="11">
        <v>18</v>
      </c>
      <c r="B233" s="35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4.6300000000000001E-2</v>
      </c>
      <c r="H233" s="33">
        <v>1E-4</v>
      </c>
      <c r="I233" s="33">
        <v>3.1713</v>
      </c>
      <c r="J233" s="33">
        <v>5.0099999999999999E-2</v>
      </c>
      <c r="K233" s="14">
        <v>1E-4</v>
      </c>
    </row>
    <row r="234" spans="1:11">
      <c r="A234" s="11">
        <v>1</v>
      </c>
      <c r="B234" s="35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1E-4</v>
      </c>
      <c r="H234" s="33">
        <v>4.1700000000000001E-2</v>
      </c>
      <c r="I234" s="33">
        <v>2.6951000000000001</v>
      </c>
      <c r="J234" s="33">
        <v>4.9299999999999997E-2</v>
      </c>
      <c r="K234" s="14">
        <v>1E-4</v>
      </c>
    </row>
    <row r="235" spans="1:11">
      <c r="A235" s="11">
        <v>17</v>
      </c>
      <c r="B235" s="35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1.15E-2</v>
      </c>
      <c r="H235" s="33">
        <v>1E-4</v>
      </c>
      <c r="I235" s="33">
        <v>3.7907999999999999</v>
      </c>
      <c r="J235" s="33">
        <v>2.98E-2</v>
      </c>
      <c r="K235" s="14">
        <v>1E-4</v>
      </c>
    </row>
    <row r="236" spans="1:11">
      <c r="A236" s="11">
        <v>18</v>
      </c>
      <c r="B236" s="35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1.7899999999999999E-2</v>
      </c>
      <c r="H236" s="33">
        <v>8.7800000000000003E-2</v>
      </c>
      <c r="I236" s="33">
        <v>2.9695</v>
      </c>
      <c r="J236" s="33">
        <v>4.2000000000000003E-2</v>
      </c>
      <c r="K236" s="14">
        <v>1E-4</v>
      </c>
    </row>
    <row r="237" spans="1:11">
      <c r="A237" s="11">
        <v>1</v>
      </c>
      <c r="B237" s="8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3.1699999999999999E-2</v>
      </c>
      <c r="H237" s="33">
        <v>4.3400000000000001E-2</v>
      </c>
      <c r="I237" s="33">
        <v>1.1950000000000001</v>
      </c>
      <c r="J237" s="33">
        <v>2.6200000000000001E-2</v>
      </c>
      <c r="K237" s="14">
        <v>1E-4</v>
      </c>
    </row>
    <row r="238" spans="1:11">
      <c r="A238" s="11">
        <v>17</v>
      </c>
      <c r="B238" s="8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2.3300000000000001E-2</v>
      </c>
      <c r="H238" s="33">
        <v>4.4499999999999998E-2</v>
      </c>
      <c r="I238" s="33">
        <v>1.4914000000000001</v>
      </c>
      <c r="J238" s="33">
        <v>2.7300000000000001E-2</v>
      </c>
      <c r="K238" s="14">
        <v>1E-4</v>
      </c>
    </row>
    <row r="239" spans="1:11">
      <c r="A239" s="11">
        <v>18</v>
      </c>
      <c r="B239" s="8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2.01E-2</v>
      </c>
      <c r="H239" s="33">
        <v>3.4799999999999998E-2</v>
      </c>
      <c r="I239" s="33">
        <v>1.3039000000000001</v>
      </c>
      <c r="J239" s="33">
        <v>2.5899999999999999E-2</v>
      </c>
      <c r="K239" s="14">
        <v>1E-4</v>
      </c>
    </row>
    <row r="240" spans="1:11">
      <c r="A240" s="11">
        <v>1</v>
      </c>
      <c r="B240" s="8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4.5600000000000002E-2</v>
      </c>
      <c r="H240" s="33">
        <v>1E-4</v>
      </c>
      <c r="I240" s="33">
        <v>0.2316</v>
      </c>
      <c r="J240" s="33">
        <v>6.7999999999999996E-3</v>
      </c>
      <c r="K240" s="14">
        <v>1E-4</v>
      </c>
    </row>
    <row r="241" spans="1:11">
      <c r="A241" s="11">
        <v>17</v>
      </c>
      <c r="B241" s="8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0.15060000000000001</v>
      </c>
      <c r="H241" s="33">
        <v>1E-4</v>
      </c>
      <c r="I241" s="33">
        <v>0.80420000000000003</v>
      </c>
      <c r="J241" s="33">
        <v>1.7999999999999999E-2</v>
      </c>
      <c r="K241" s="14">
        <v>1E-4</v>
      </c>
    </row>
    <row r="242" spans="1:11">
      <c r="A242" s="11">
        <v>18</v>
      </c>
      <c r="B242" s="8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7.9100000000000004E-2</v>
      </c>
      <c r="H242" s="33">
        <v>1E-4</v>
      </c>
      <c r="I242" s="33">
        <v>0.64019999999999999</v>
      </c>
      <c r="J242" s="33">
        <v>1.6500000000000001E-2</v>
      </c>
      <c r="K242" s="14">
        <v>1E-4</v>
      </c>
    </row>
    <row r="243" spans="1:11">
      <c r="A243" s="11">
        <v>1</v>
      </c>
      <c r="B243" s="8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0.1462</v>
      </c>
      <c r="H243" s="33">
        <v>7.8799999999999995E-2</v>
      </c>
      <c r="I243" s="33">
        <v>0.82899999999999996</v>
      </c>
      <c r="J243" s="33">
        <v>5.6300000000000003E-2</v>
      </c>
      <c r="K243" s="14">
        <v>1E-4</v>
      </c>
    </row>
    <row r="244" spans="1:11">
      <c r="A244" s="11">
        <v>17</v>
      </c>
      <c r="B244" s="8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0.47049999999999997</v>
      </c>
      <c r="H244" s="33">
        <v>2.7400000000000001E-2</v>
      </c>
      <c r="I244" s="33">
        <v>0.34399999999999997</v>
      </c>
      <c r="J244" s="33">
        <v>5.3600000000000002E-2</v>
      </c>
      <c r="K244" s="14">
        <v>1E-4</v>
      </c>
    </row>
    <row r="245" spans="1:11">
      <c r="A245" s="11">
        <v>18</v>
      </c>
      <c r="B245" s="8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0.16650000000000001</v>
      </c>
      <c r="H245" s="33">
        <v>0.1757</v>
      </c>
      <c r="I245" s="33">
        <v>1.3217000000000001</v>
      </c>
      <c r="J245" s="33">
        <v>8.9800000000000005E-2</v>
      </c>
      <c r="K245" s="14">
        <v>1E-4</v>
      </c>
    </row>
    <row r="246" spans="1:11">
      <c r="A246" s="11">
        <v>1</v>
      </c>
      <c r="B246" s="8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0.19739999999999999</v>
      </c>
      <c r="H246" s="33">
        <v>1E-4</v>
      </c>
      <c r="I246" s="33">
        <v>1.3371</v>
      </c>
      <c r="J246" s="33">
        <v>8.1500000000000003E-2</v>
      </c>
      <c r="K246" s="14">
        <v>1E-4</v>
      </c>
    </row>
    <row r="247" spans="1:11">
      <c r="A247" s="11">
        <v>17</v>
      </c>
      <c r="B247" s="8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0.59470000000000001</v>
      </c>
      <c r="H247" s="33">
        <v>1E-4</v>
      </c>
      <c r="I247" s="33">
        <v>2.1821000000000002</v>
      </c>
      <c r="J247" s="33">
        <v>0.1298</v>
      </c>
      <c r="K247" s="14">
        <v>1E-4</v>
      </c>
    </row>
    <row r="248" spans="1:11">
      <c r="A248" s="11">
        <v>18</v>
      </c>
      <c r="B248" s="8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4.3999999999999997E-2</v>
      </c>
      <c r="H248" s="33">
        <v>1E-4</v>
      </c>
      <c r="I248" s="33">
        <v>2.0392000000000001</v>
      </c>
      <c r="J248" s="33">
        <v>0.68630000000000002</v>
      </c>
      <c r="K248" s="14">
        <v>1E-4</v>
      </c>
    </row>
    <row r="249" spans="1:11">
      <c r="A249" s="11">
        <v>1</v>
      </c>
      <c r="B249" s="8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0.4929</v>
      </c>
      <c r="H249" s="33">
        <v>1E-4</v>
      </c>
      <c r="I249" s="33">
        <v>2.823</v>
      </c>
      <c r="J249" s="33">
        <v>0.1452</v>
      </c>
      <c r="K249" s="14">
        <v>1E-4</v>
      </c>
    </row>
    <row r="250" spans="1:11">
      <c r="A250" s="11">
        <v>17</v>
      </c>
      <c r="B250" s="8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0.2114</v>
      </c>
      <c r="H250" s="33">
        <v>1E-4</v>
      </c>
      <c r="I250" s="33">
        <v>3.8163</v>
      </c>
      <c r="J250" s="33">
        <v>0.32969999999999999</v>
      </c>
      <c r="K250" s="14">
        <v>1E-4</v>
      </c>
    </row>
    <row r="251" spans="1:11">
      <c r="A251" s="11">
        <v>18</v>
      </c>
      <c r="B251" s="8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0.154</v>
      </c>
      <c r="H251" s="33">
        <v>1E-4</v>
      </c>
      <c r="I251" s="33">
        <v>2.7448000000000001</v>
      </c>
      <c r="J251" s="33">
        <v>1.6313</v>
      </c>
      <c r="K251" s="14">
        <v>1E-4</v>
      </c>
    </row>
    <row r="252" spans="1:11">
      <c r="A252" s="11">
        <v>1</v>
      </c>
      <c r="B252" s="8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4.6800000000000001E-2</v>
      </c>
      <c r="H252" s="33">
        <v>1E-4</v>
      </c>
      <c r="I252" s="33">
        <v>1.3063</v>
      </c>
      <c r="J252" s="33">
        <v>4.07E-2</v>
      </c>
      <c r="K252" s="14">
        <v>1E-4</v>
      </c>
    </row>
    <row r="253" spans="1:11">
      <c r="A253" s="11">
        <v>17</v>
      </c>
      <c r="B253" s="8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3.6600000000000001E-2</v>
      </c>
      <c r="H253" s="33">
        <v>1E-4</v>
      </c>
      <c r="I253" s="33">
        <v>1.7504</v>
      </c>
      <c r="J253" s="33">
        <v>6.83E-2</v>
      </c>
      <c r="K253" s="14">
        <v>1E-4</v>
      </c>
    </row>
    <row r="254" spans="1:11">
      <c r="A254" s="11">
        <v>18</v>
      </c>
      <c r="B254" s="8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3.2800000000000003E-2</v>
      </c>
      <c r="H254" s="33">
        <v>1E-4</v>
      </c>
      <c r="I254" s="33">
        <v>1.8442000000000001</v>
      </c>
      <c r="J254" s="33">
        <v>7.2599999999999998E-2</v>
      </c>
      <c r="K254" s="14">
        <v>1E-4</v>
      </c>
    </row>
    <row r="255" spans="1:11">
      <c r="A255" s="11">
        <v>1</v>
      </c>
      <c r="B255" s="8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4.9000000000000002E-2</v>
      </c>
      <c r="H255" s="33">
        <v>9.9989999999999996E-4</v>
      </c>
      <c r="I255" s="33">
        <v>0.32300000000000001</v>
      </c>
      <c r="J255" s="33">
        <v>2.8000000000000001E-2</v>
      </c>
      <c r="K255" s="14">
        <v>9.9989999999999996E-4</v>
      </c>
    </row>
    <row r="256" spans="1:11">
      <c r="A256" s="11">
        <v>17</v>
      </c>
      <c r="B256" s="8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4.5999999999999999E-2</v>
      </c>
      <c r="H256" s="33">
        <v>3.3000000000000002E-2</v>
      </c>
      <c r="I256" s="33">
        <v>0.72</v>
      </c>
      <c r="J256" s="33">
        <v>6.3E-2</v>
      </c>
      <c r="K256" s="14">
        <v>9.9989999999999996E-4</v>
      </c>
    </row>
    <row r="257" spans="1:11">
      <c r="A257" s="11">
        <v>18</v>
      </c>
      <c r="B257" s="8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9.9989999999999996E-4</v>
      </c>
      <c r="H257" s="33">
        <v>9.9989999999999996E-4</v>
      </c>
      <c r="I257" s="33">
        <v>0.42</v>
      </c>
      <c r="J257" s="33">
        <v>3.1E-2</v>
      </c>
      <c r="K257" s="14">
        <v>9.9989999999999996E-4</v>
      </c>
    </row>
    <row r="258" spans="1:11">
      <c r="A258" s="11">
        <v>1</v>
      </c>
      <c r="B258" s="8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0.14099999999999999</v>
      </c>
      <c r="H258" s="33">
        <v>9.9989999999999996E-4</v>
      </c>
      <c r="I258" s="33">
        <v>0.86799999999999999</v>
      </c>
      <c r="J258" s="33">
        <v>2.1000000000000001E-2</v>
      </c>
      <c r="K258" s="14">
        <v>9.9989999999999996E-4</v>
      </c>
    </row>
    <row r="259" spans="1:11">
      <c r="A259" s="11">
        <v>17</v>
      </c>
      <c r="B259" s="8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5.2999999999999999E-2</v>
      </c>
      <c r="H259" s="33">
        <v>9.9989999999999996E-4</v>
      </c>
      <c r="I259" s="33">
        <v>0.70099999999999996</v>
      </c>
      <c r="J259" s="33">
        <v>2.1000000000000001E-2</v>
      </c>
      <c r="K259" s="14">
        <v>9.9989999999999996E-4</v>
      </c>
    </row>
    <row r="260" spans="1:11">
      <c r="A260" s="11">
        <v>18</v>
      </c>
      <c r="B260" s="8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3.3000000000000002E-2</v>
      </c>
      <c r="H260" s="33">
        <v>9.9989999999999996E-4</v>
      </c>
      <c r="I260" s="33">
        <v>0.44700000000000001</v>
      </c>
      <c r="J260" s="33">
        <v>2.1999999999999999E-2</v>
      </c>
      <c r="K260" s="14">
        <v>9.9989999999999996E-4</v>
      </c>
    </row>
    <row r="261" spans="1:11">
      <c r="A261" s="11">
        <v>1</v>
      </c>
      <c r="B261" s="35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8.7999999999999995E-2</v>
      </c>
      <c r="H261" s="33">
        <v>9.9989999999999996E-4</v>
      </c>
      <c r="I261" s="33">
        <v>1.921</v>
      </c>
      <c r="J261" s="33">
        <v>9.2999999999999999E-2</v>
      </c>
      <c r="K261" s="14">
        <v>9.9989999999999996E-4</v>
      </c>
    </row>
    <row r="262" spans="1:11">
      <c r="A262" s="11">
        <v>17</v>
      </c>
      <c r="B262" s="35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8.6999999999999994E-2</v>
      </c>
      <c r="H262" s="33">
        <v>9.9989999999999996E-4</v>
      </c>
      <c r="I262" s="33">
        <v>2.9279999999999999</v>
      </c>
      <c r="J262" s="33">
        <v>1.6E-2</v>
      </c>
      <c r="K262" s="14">
        <v>9.9989999999999996E-4</v>
      </c>
    </row>
    <row r="263" spans="1:11">
      <c r="A263" s="11">
        <v>18</v>
      </c>
      <c r="B263" s="35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8.7999999999999995E-2</v>
      </c>
      <c r="H263" s="33">
        <v>9.9989999999999996E-4</v>
      </c>
      <c r="I263" s="33">
        <v>3.1230000000000002</v>
      </c>
      <c r="J263" s="33">
        <v>1.7999999999999999E-2</v>
      </c>
      <c r="K263" s="14">
        <v>9.9989999999999996E-4</v>
      </c>
    </row>
    <row r="264" spans="1:11">
      <c r="A264" s="23">
        <v>1</v>
      </c>
      <c r="B264" s="34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0.66100000000000003</v>
      </c>
      <c r="H264" s="33">
        <v>0.153</v>
      </c>
      <c r="I264" s="33">
        <v>3.4620000000000002</v>
      </c>
      <c r="J264" s="33">
        <v>0.105</v>
      </c>
      <c r="K264" s="14">
        <v>9.9989999999999996E-4</v>
      </c>
    </row>
    <row r="265" spans="1:11">
      <c r="A265" s="20">
        <v>17</v>
      </c>
      <c r="B265" s="35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0.57499999999999996</v>
      </c>
      <c r="H265" s="33">
        <v>0.10199999999999999</v>
      </c>
      <c r="I265" s="33">
        <v>3.3410000000000002</v>
      </c>
      <c r="J265" s="33">
        <v>3.5000000000000003E-2</v>
      </c>
      <c r="K265" s="14">
        <v>9.9989999999999996E-4</v>
      </c>
    </row>
    <row r="266" spans="1:11">
      <c r="A266" s="20">
        <v>18</v>
      </c>
      <c r="B266" s="35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0.48499999999999999</v>
      </c>
      <c r="H266" s="33">
        <v>0.38100000000000001</v>
      </c>
      <c r="I266" s="33">
        <v>4.8120000000000003</v>
      </c>
      <c r="J266" s="33">
        <v>0.26200000000000001</v>
      </c>
      <c r="K266" s="14">
        <v>9.9989999999999996E-4</v>
      </c>
    </row>
    <row r="267" spans="1:11">
      <c r="A267" s="20">
        <v>1</v>
      </c>
      <c r="B267" s="35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0.04</v>
      </c>
      <c r="H267" s="33">
        <v>9.9989999999999996E-4</v>
      </c>
      <c r="I267" s="33">
        <v>2.4209999999999998</v>
      </c>
      <c r="J267" s="33">
        <v>1.4999999999999999E-2</v>
      </c>
      <c r="K267" s="14">
        <v>9.9989999999999996E-4</v>
      </c>
    </row>
    <row r="268" spans="1:11">
      <c r="A268" s="20">
        <v>17</v>
      </c>
      <c r="B268" s="35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5.6000000000000001E-2</v>
      </c>
      <c r="H268" s="33">
        <v>8.1000000000000003E-2</v>
      </c>
      <c r="I268" s="33">
        <v>4.6379999999999999</v>
      </c>
      <c r="J268" s="33">
        <v>2.5000000000000001E-2</v>
      </c>
      <c r="K268" s="14">
        <v>9.9989999999999996E-4</v>
      </c>
    </row>
    <row r="269" spans="1:11">
      <c r="A269" s="20">
        <v>18</v>
      </c>
      <c r="B269" s="35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5.0999999999999997E-2</v>
      </c>
      <c r="H269" s="33">
        <v>9.9989999999999996E-4</v>
      </c>
      <c r="I269" s="33">
        <v>2.3820000000000001</v>
      </c>
      <c r="J269" s="33">
        <v>4.1000000000000002E-2</v>
      </c>
      <c r="K269" s="14">
        <v>9.9989999999999996E-4</v>
      </c>
    </row>
    <row r="270" spans="1:11">
      <c r="A270" s="20">
        <v>1</v>
      </c>
      <c r="B270" s="35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7.1999999999999995E-2</v>
      </c>
      <c r="H270" s="33">
        <v>9.9989999999999996E-4</v>
      </c>
      <c r="I270" s="33">
        <v>2.1219999999999999</v>
      </c>
      <c r="J270" s="33">
        <v>3.1E-2</v>
      </c>
      <c r="K270" s="14">
        <v>9.9989999999999996E-4</v>
      </c>
    </row>
    <row r="271" spans="1:11">
      <c r="A271" s="20">
        <v>17</v>
      </c>
      <c r="B271" s="35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8.6999999999999994E-2</v>
      </c>
      <c r="H271" s="33">
        <v>9.9989999999999996E-4</v>
      </c>
      <c r="I271" s="33">
        <v>1.7569999999999999</v>
      </c>
      <c r="J271" s="33">
        <v>2.4E-2</v>
      </c>
      <c r="K271" s="14">
        <v>9.9989999999999996E-4</v>
      </c>
    </row>
    <row r="272" spans="1:11">
      <c r="A272" s="20">
        <v>18</v>
      </c>
      <c r="B272" s="35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5.6000000000000001E-2</v>
      </c>
      <c r="H272" s="33">
        <v>9.9989999999999992E-3</v>
      </c>
      <c r="I272" s="33">
        <v>1.2669999999999999</v>
      </c>
      <c r="J272" s="33">
        <v>3.9E-2</v>
      </c>
      <c r="K272" s="14">
        <v>9.9989999999999996E-4</v>
      </c>
    </row>
    <row r="273" spans="1:11">
      <c r="A273" s="20">
        <v>1</v>
      </c>
      <c r="B273" s="35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3.1E-2</v>
      </c>
      <c r="H273" s="33">
        <v>9.9989999999999996E-4</v>
      </c>
      <c r="I273" s="33">
        <v>1.772</v>
      </c>
      <c r="J273" s="33">
        <v>1.0999999999999999E-2</v>
      </c>
      <c r="K273" s="14">
        <v>9.9989999999999996E-4</v>
      </c>
    </row>
    <row r="274" spans="1:11">
      <c r="A274" s="20">
        <v>17</v>
      </c>
      <c r="B274" s="35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3.2000000000000001E-2</v>
      </c>
      <c r="H274" s="33">
        <v>9.9989999999999996E-4</v>
      </c>
      <c r="I274" s="33">
        <v>3.5470000000000002</v>
      </c>
      <c r="J274" s="33">
        <v>2.8000000000000001E-2</v>
      </c>
      <c r="K274" s="14">
        <v>9.9989999999999996E-4</v>
      </c>
    </row>
    <row r="275" spans="1:11">
      <c r="A275" s="20">
        <v>18</v>
      </c>
      <c r="B275" s="35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3.1E-2</v>
      </c>
      <c r="H275" s="33">
        <v>9.9989999999999996E-4</v>
      </c>
      <c r="I275" s="33">
        <v>3.8740000000000001</v>
      </c>
      <c r="J275" s="33">
        <v>2.9000000000000001E-2</v>
      </c>
      <c r="K275" s="14">
        <v>9.9989999999999996E-4</v>
      </c>
    </row>
    <row r="276" spans="1:11">
      <c r="A276" s="20">
        <v>1</v>
      </c>
      <c r="B276" s="35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1.7000000000000001E-2</v>
      </c>
      <c r="H276" s="33">
        <v>9.9989999999999996E-4</v>
      </c>
      <c r="I276" s="33">
        <v>0.60299999999999998</v>
      </c>
      <c r="J276" s="33">
        <v>2.1000000000000001E-2</v>
      </c>
      <c r="K276" s="14">
        <v>9.9989999999999996E-4</v>
      </c>
    </row>
    <row r="277" spans="1:11">
      <c r="A277" s="20">
        <v>17</v>
      </c>
      <c r="B277" s="35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1.7999999999999999E-2</v>
      </c>
      <c r="H277" s="33">
        <v>0.35199999999999998</v>
      </c>
      <c r="I277" s="33">
        <v>1.5880000000000001</v>
      </c>
      <c r="J277" s="33">
        <v>4.4999999999999998E-2</v>
      </c>
      <c r="K277" s="14">
        <v>9.9989999999999996E-4</v>
      </c>
    </row>
    <row r="278" spans="1:11">
      <c r="A278" s="20">
        <v>18</v>
      </c>
      <c r="B278" s="35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1.6E-2</v>
      </c>
      <c r="H278" s="33">
        <v>0.54700000000000004</v>
      </c>
      <c r="I278" s="33">
        <v>1.52</v>
      </c>
      <c r="J278" s="33">
        <v>4.5999999999999999E-2</v>
      </c>
      <c r="K278" s="14">
        <v>9.9989999999999996E-4</v>
      </c>
    </row>
    <row r="279" spans="1:11">
      <c r="A279" s="20">
        <v>1</v>
      </c>
      <c r="B279" s="35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3.5999999999999997E-2</v>
      </c>
      <c r="H279" s="33">
        <v>0.62</v>
      </c>
      <c r="I279" s="33">
        <v>3.0049999999999999</v>
      </c>
      <c r="J279" s="33">
        <v>0.14199999999999999</v>
      </c>
      <c r="K279" s="14">
        <v>9.9989999999999996E-4</v>
      </c>
    </row>
    <row r="280" spans="1:11">
      <c r="A280" s="20">
        <v>17</v>
      </c>
      <c r="B280" s="35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1.9E-2</v>
      </c>
      <c r="H280" s="33">
        <v>6.2E-2</v>
      </c>
      <c r="I280" s="33">
        <v>0.44400000000000001</v>
      </c>
      <c r="J280" s="33">
        <v>7.0999999999999994E-2</v>
      </c>
      <c r="K280" s="14">
        <v>9.9989999999999996E-4</v>
      </c>
    </row>
    <row r="281" spans="1:11">
      <c r="A281" s="20">
        <v>18</v>
      </c>
      <c r="B281" s="35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5.1999999999999998E-2</v>
      </c>
      <c r="H281" s="33">
        <v>0.27</v>
      </c>
      <c r="I281" s="33">
        <v>1.5289999999999999</v>
      </c>
      <c r="J281" s="33">
        <v>0.16</v>
      </c>
      <c r="K281" s="14">
        <v>9.9989999999999996E-4</v>
      </c>
    </row>
    <row r="282" spans="1:11">
      <c r="A282" s="20">
        <v>1</v>
      </c>
      <c r="B282" s="35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0.114</v>
      </c>
      <c r="H282" s="33">
        <v>9.9989999999999996E-4</v>
      </c>
      <c r="I282" s="33">
        <v>1.1100000000000001</v>
      </c>
      <c r="J282" s="33">
        <v>0.39700000000000002</v>
      </c>
      <c r="K282" s="14">
        <v>9.9989999999999996E-4</v>
      </c>
    </row>
    <row r="283" spans="1:11">
      <c r="A283" s="20">
        <v>17</v>
      </c>
      <c r="B283" s="35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0.10199999999999999</v>
      </c>
      <c r="H283" s="33">
        <v>0.03</v>
      </c>
      <c r="I283" s="33">
        <v>1.339</v>
      </c>
      <c r="J283" s="33">
        <v>0.13300000000000001</v>
      </c>
      <c r="K283" s="14">
        <v>9.9989999999999996E-4</v>
      </c>
    </row>
    <row r="284" spans="1:11">
      <c r="A284" s="20">
        <v>18</v>
      </c>
      <c r="B284" s="35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0.17199999999999999</v>
      </c>
      <c r="H284" s="33">
        <v>4.1000000000000002E-2</v>
      </c>
      <c r="I284" s="33">
        <v>1.5169999999999999</v>
      </c>
      <c r="J284" s="33">
        <v>1.522</v>
      </c>
      <c r="K284" s="14">
        <v>9.9989999999999996E-4</v>
      </c>
    </row>
    <row r="285" spans="1:11">
      <c r="A285" s="20">
        <v>1</v>
      </c>
      <c r="B285" s="35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0.193</v>
      </c>
      <c r="H285" s="36">
        <v>0.248</v>
      </c>
      <c r="I285" s="36">
        <v>3.7</v>
      </c>
      <c r="J285" s="36">
        <v>0.28899999999999998</v>
      </c>
      <c r="K285" s="14">
        <v>9.9989999999999996E-4</v>
      </c>
    </row>
    <row r="286" spans="1:11">
      <c r="A286" s="20">
        <v>17</v>
      </c>
      <c r="B286" s="35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0.115</v>
      </c>
      <c r="H286" s="14">
        <v>0.214</v>
      </c>
      <c r="I286" s="14">
        <v>2.94</v>
      </c>
      <c r="J286" s="14">
        <v>0.27500000000000002</v>
      </c>
      <c r="K286" s="14">
        <v>9.9989999999999996E-4</v>
      </c>
    </row>
    <row r="287" spans="1:11">
      <c r="A287" s="20">
        <v>18</v>
      </c>
      <c r="B287" s="35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0.126</v>
      </c>
      <c r="H287" s="14">
        <v>0.27900000000000003</v>
      </c>
      <c r="I287" s="14">
        <v>3.2269999999999999</v>
      </c>
      <c r="J287" s="14">
        <v>0.379</v>
      </c>
      <c r="K287" s="14">
        <v>9.9989999999999996E-4</v>
      </c>
    </row>
    <row r="288" spans="1:11">
      <c r="A288" s="20">
        <v>1</v>
      </c>
      <c r="B288" s="35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9.9989999999999996E-4</v>
      </c>
      <c r="H288" s="14">
        <v>9.9989999999999996E-4</v>
      </c>
      <c r="I288" s="14">
        <v>2.109</v>
      </c>
      <c r="J288" s="14">
        <v>0.156</v>
      </c>
      <c r="K288" s="14">
        <v>9.9989999999999996E-4</v>
      </c>
    </row>
    <row r="289" spans="1:11">
      <c r="A289" s="20">
        <v>17</v>
      </c>
      <c r="B289" s="35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9.2999999999999999E-2</v>
      </c>
      <c r="H289" s="14">
        <v>9.9989999999999996E-4</v>
      </c>
      <c r="I289" s="14">
        <v>3.839</v>
      </c>
      <c r="J289" s="14">
        <v>0.115</v>
      </c>
      <c r="K289" s="14">
        <v>9.9989999999999996E-4</v>
      </c>
    </row>
    <row r="290" spans="1:11">
      <c r="A290" s="20">
        <v>18</v>
      </c>
      <c r="B290" s="35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5.2999999999999999E-2</v>
      </c>
      <c r="H290" s="14">
        <v>9.9989999999999996E-4</v>
      </c>
      <c r="I290" s="14">
        <v>2.085</v>
      </c>
      <c r="J290" s="14">
        <v>1.0229999999999999</v>
      </c>
      <c r="K290" s="14">
        <v>9.9989999999999996E-4</v>
      </c>
    </row>
    <row r="291" spans="1:11">
      <c r="A291" s="20">
        <v>1</v>
      </c>
      <c r="B291" s="35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6.4000000000000001E-2</v>
      </c>
      <c r="H291" s="14">
        <v>9.9989999999999996E-4</v>
      </c>
      <c r="I291" s="14">
        <v>1.1499999999999999</v>
      </c>
      <c r="J291" s="14">
        <v>6.8000000000000005E-2</v>
      </c>
      <c r="K291" s="14">
        <v>9.9989999999999996E-4</v>
      </c>
    </row>
    <row r="292" spans="1:11">
      <c r="A292" s="20">
        <v>17</v>
      </c>
      <c r="B292" s="35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4.4999999999999998E-2</v>
      </c>
      <c r="H292" s="14">
        <v>9.9989999999999996E-4</v>
      </c>
      <c r="I292" s="14">
        <v>1.972</v>
      </c>
      <c r="J292" s="14">
        <v>0.1</v>
      </c>
      <c r="K292" s="14">
        <v>9.9989999999999996E-4</v>
      </c>
    </row>
    <row r="293" spans="1:11">
      <c r="A293" s="20">
        <v>18</v>
      </c>
      <c r="B293" s="35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1.2999999999999999E-2</v>
      </c>
      <c r="H293" s="14">
        <v>9.9989999999999996E-4</v>
      </c>
      <c r="I293" s="14">
        <v>0.34</v>
      </c>
      <c r="J293" s="14">
        <v>2.9000000000000001E-2</v>
      </c>
      <c r="K293" s="14">
        <v>9.9989999999999996E-4</v>
      </c>
    </row>
    <row r="294" spans="1:11">
      <c r="A294" s="20">
        <v>1</v>
      </c>
      <c r="B294" s="35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9.9989999999999996E-4</v>
      </c>
      <c r="H294" s="14">
        <v>9.9989999999999996E-4</v>
      </c>
      <c r="I294" s="14">
        <v>0.47799999999999998</v>
      </c>
      <c r="J294" s="14">
        <v>1.0999999999999999E-2</v>
      </c>
      <c r="K294" s="14">
        <v>9.9989999999999996E-4</v>
      </c>
    </row>
    <row r="295" spans="1:11">
      <c r="A295" s="20">
        <v>17</v>
      </c>
      <c r="B295" s="35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1.2999999999999999E-2</v>
      </c>
      <c r="H295" s="14">
        <v>9.9989999999999996E-4</v>
      </c>
      <c r="I295" s="14">
        <v>0.76400000000000001</v>
      </c>
      <c r="J295" s="14">
        <v>1.7999999999999999E-2</v>
      </c>
      <c r="K295" s="14">
        <v>9.9989999999999996E-4</v>
      </c>
    </row>
    <row r="296" spans="1:11">
      <c r="A296" s="20">
        <v>18</v>
      </c>
      <c r="B296" s="35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1.0999999999999999E-2</v>
      </c>
      <c r="H296" s="14">
        <v>9.9989999999999996E-4</v>
      </c>
      <c r="I296" s="14">
        <v>0.751</v>
      </c>
      <c r="J296" s="14">
        <v>1.4E-2</v>
      </c>
      <c r="K296" s="14">
        <v>9.9989999999999996E-4</v>
      </c>
    </row>
    <row r="297" spans="1:11">
      <c r="A297" s="20">
        <v>1</v>
      </c>
      <c r="B297" s="35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9.9000000000000005E-2</v>
      </c>
      <c r="H297" s="37">
        <v>9.9989999999999996E-4</v>
      </c>
      <c r="I297" s="37">
        <v>1.5329999999999999</v>
      </c>
      <c r="J297" s="37">
        <v>7.0000000000000001E-3</v>
      </c>
      <c r="K297" s="37">
        <v>9.9989999999999996E-4</v>
      </c>
    </row>
    <row r="298" spans="1:11">
      <c r="A298" s="20">
        <v>17</v>
      </c>
      <c r="B298" s="35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7.4999999999999997E-2</v>
      </c>
      <c r="H298" s="14">
        <v>9.9989999999999996E-4</v>
      </c>
      <c r="I298" s="14">
        <v>1.835</v>
      </c>
      <c r="J298" s="14">
        <v>7.0000000000000001E-3</v>
      </c>
      <c r="K298" s="14">
        <v>9.9989999999999996E-4</v>
      </c>
    </row>
    <row r="299" spans="1:11">
      <c r="A299" s="20">
        <v>18</v>
      </c>
      <c r="B299" s="35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0.06</v>
      </c>
      <c r="H299" s="14">
        <v>9.9989999999999996E-4</v>
      </c>
      <c r="I299" s="14">
        <v>1.8640000000000001</v>
      </c>
      <c r="J299" s="14">
        <v>7.0000000000000001E-3</v>
      </c>
      <c r="K299" s="14">
        <v>9.9989999999999996E-4</v>
      </c>
    </row>
    <row r="300" spans="1:11">
      <c r="A300" s="23">
        <v>1</v>
      </c>
      <c r="B300" s="34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6.5000000000000002E-2</v>
      </c>
      <c r="H300" s="37">
        <v>9.9989999999999996E-4</v>
      </c>
      <c r="I300" s="37">
        <v>3.3919999999999999</v>
      </c>
      <c r="J300" s="37">
        <v>2.1000000000000001E-2</v>
      </c>
      <c r="K300" s="37">
        <v>9.9989999999999996E-4</v>
      </c>
    </row>
    <row r="301" spans="1:11">
      <c r="A301" s="20">
        <v>17</v>
      </c>
      <c r="B301" s="35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7.3999999999999996E-2</v>
      </c>
      <c r="H301" s="37">
        <v>9.9989999999999996E-4</v>
      </c>
      <c r="I301" s="37">
        <v>4.0199999999999996</v>
      </c>
      <c r="J301" s="37">
        <v>0.01</v>
      </c>
      <c r="K301" s="37">
        <v>9.9989999999999996E-4</v>
      </c>
    </row>
    <row r="302" spans="1:11">
      <c r="A302" s="20">
        <v>18</v>
      </c>
      <c r="B302" s="35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7.3999999999999996E-2</v>
      </c>
      <c r="H302" s="37">
        <v>9.9989999999999996E-4</v>
      </c>
      <c r="I302" s="37">
        <v>3.4489999999999998</v>
      </c>
      <c r="J302" s="37">
        <v>0.01</v>
      </c>
      <c r="K302" s="37">
        <v>9.9989999999999996E-4</v>
      </c>
    </row>
    <row r="303" spans="1:11">
      <c r="A303" s="20">
        <v>1</v>
      </c>
      <c r="B303" s="35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0.1</v>
      </c>
      <c r="H303" s="37">
        <v>7.1999999999999995E-2</v>
      </c>
      <c r="I303" s="37">
        <v>1.024</v>
      </c>
      <c r="J303" s="37">
        <v>0.10199999999999999</v>
      </c>
      <c r="K303" s="37">
        <v>9.9989999999999996E-4</v>
      </c>
    </row>
    <row r="304" spans="1:11">
      <c r="A304" s="20">
        <v>17</v>
      </c>
      <c r="B304" s="35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0.31</v>
      </c>
      <c r="H304" s="37">
        <v>9.9989999999999996E-4</v>
      </c>
      <c r="I304" s="37">
        <v>2.0670000000000002</v>
      </c>
      <c r="J304" s="37">
        <v>8.9999999999999993E-3</v>
      </c>
      <c r="K304" s="37">
        <v>9.9989999999999996E-4</v>
      </c>
    </row>
    <row r="305" spans="1:11">
      <c r="A305" s="20">
        <v>18</v>
      </c>
      <c r="B305" s="35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0.20200000000000001</v>
      </c>
      <c r="H305" s="37">
        <v>9.9989999999999996E-4</v>
      </c>
      <c r="I305" s="37">
        <v>1.1619999999999999</v>
      </c>
      <c r="J305" s="37">
        <v>0.02</v>
      </c>
      <c r="K305" s="37">
        <v>9.9989999999999996E-4</v>
      </c>
    </row>
    <row r="306" spans="1:11">
      <c r="A306" s="20">
        <v>1</v>
      </c>
      <c r="B306" s="35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5.7000000000000002E-2</v>
      </c>
      <c r="H306" s="37">
        <v>9.9989999999999996E-4</v>
      </c>
      <c r="I306" s="37">
        <v>0.872</v>
      </c>
      <c r="J306" s="37">
        <v>1.6E-2</v>
      </c>
      <c r="K306" s="37">
        <v>9.9989999999999996E-4</v>
      </c>
    </row>
    <row r="307" spans="1:11">
      <c r="A307" s="20">
        <v>17</v>
      </c>
      <c r="B307" s="35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6.0999999999999999E-2</v>
      </c>
      <c r="H307" s="37">
        <v>9.9989999999999996E-4</v>
      </c>
      <c r="I307" s="37">
        <v>0.73599999999999999</v>
      </c>
      <c r="J307" s="37">
        <v>2.5000000000000001E-2</v>
      </c>
      <c r="K307" s="37">
        <v>9.9989999999999996E-4</v>
      </c>
    </row>
    <row r="308" spans="1:11">
      <c r="A308" s="20">
        <v>18</v>
      </c>
      <c r="B308" s="35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3.7999999999999999E-2</v>
      </c>
      <c r="H308" s="37">
        <v>9.9989999999999996E-4</v>
      </c>
      <c r="I308" s="37">
        <v>0.42399999999999999</v>
      </c>
      <c r="J308" s="37">
        <v>0.02</v>
      </c>
      <c r="K308" s="37">
        <v>9.9989999999999996E-4</v>
      </c>
    </row>
    <row r="309" spans="1:11">
      <c r="A309" s="20">
        <v>1</v>
      </c>
      <c r="B309" s="35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3.2000000000000001E-2</v>
      </c>
      <c r="H309" s="37">
        <v>9.9989999999999996E-4</v>
      </c>
      <c r="I309" s="37">
        <v>0.996</v>
      </c>
      <c r="J309" s="37">
        <v>8.9999999999999993E-3</v>
      </c>
      <c r="K309" s="37">
        <v>9.9989999999999996E-4</v>
      </c>
    </row>
    <row r="310" spans="1:11">
      <c r="A310" s="20">
        <v>17</v>
      </c>
      <c r="B310" s="35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4.1000000000000002E-2</v>
      </c>
      <c r="H310" s="37">
        <v>9.9989999999999996E-4</v>
      </c>
      <c r="I310" s="37">
        <v>0.74199999999999999</v>
      </c>
      <c r="J310" s="37">
        <v>1.2999999999999999E-2</v>
      </c>
      <c r="K310" s="37">
        <v>9.9989999999999996E-4</v>
      </c>
    </row>
    <row r="311" spans="1:11">
      <c r="A311" s="20">
        <v>18</v>
      </c>
      <c r="B311" s="35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9.9989999999999996E-4</v>
      </c>
      <c r="H311" s="37">
        <v>9.9989999999999996E-4</v>
      </c>
      <c r="I311" s="37">
        <v>0.318</v>
      </c>
      <c r="J311" s="37">
        <v>5.0000000000000001E-3</v>
      </c>
      <c r="K311" s="37">
        <v>9.9989999999999996E-4</v>
      </c>
    </row>
    <row r="312" spans="1:11">
      <c r="A312" s="20">
        <v>1</v>
      </c>
      <c r="B312" s="35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3.9E-2</v>
      </c>
      <c r="H312" s="37">
        <v>9.9989999999999996E-4</v>
      </c>
      <c r="I312" s="37">
        <v>0.20699999999999999</v>
      </c>
      <c r="J312" s="37">
        <v>2.1000000000000001E-2</v>
      </c>
      <c r="K312" s="37">
        <v>9.9989999999999996E-4</v>
      </c>
    </row>
    <row r="313" spans="1:11">
      <c r="A313" s="20">
        <v>17</v>
      </c>
      <c r="B313" s="35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3.9E-2</v>
      </c>
      <c r="H313" s="37">
        <v>9.9989999999999996E-4</v>
      </c>
      <c r="I313" s="37">
        <v>0.16400000000000001</v>
      </c>
      <c r="J313" s="37">
        <v>1.2999999999999999E-2</v>
      </c>
      <c r="K313" s="37">
        <v>9.9989999999999996E-4</v>
      </c>
    </row>
    <row r="314" spans="1:11">
      <c r="A314" s="20">
        <v>18</v>
      </c>
      <c r="B314" s="35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4.7E-2</v>
      </c>
      <c r="H314" s="37">
        <v>9.9989999999999996E-4</v>
      </c>
      <c r="I314" s="37">
        <v>0.14499999999999999</v>
      </c>
      <c r="J314" s="37">
        <v>1.4999999999999999E-2</v>
      </c>
      <c r="K314" s="37">
        <v>9.9989999999999996E-4</v>
      </c>
    </row>
    <row r="315" spans="1:11">
      <c r="A315" s="20">
        <v>1</v>
      </c>
      <c r="B315" s="35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5.5E-2</v>
      </c>
      <c r="H315" s="37">
        <v>9.9989999999999996E-4</v>
      </c>
      <c r="I315" s="37">
        <v>0.24199999999999999</v>
      </c>
      <c r="J315" s="37">
        <v>0.121</v>
      </c>
      <c r="K315" s="37">
        <v>9.9989999999999996E-4</v>
      </c>
    </row>
    <row r="316" spans="1:11">
      <c r="A316" s="20">
        <v>17</v>
      </c>
      <c r="B316" s="35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2.1999999999999999E-2</v>
      </c>
      <c r="H316" s="37">
        <v>9.9989999999999996E-4</v>
      </c>
      <c r="I316" s="37">
        <v>0.53400000000000003</v>
      </c>
      <c r="J316" s="37">
        <v>0.26500000000000001</v>
      </c>
      <c r="K316" s="37">
        <v>9.9989999999999996E-4</v>
      </c>
    </row>
    <row r="317" spans="1:11">
      <c r="A317" s="20">
        <v>18</v>
      </c>
      <c r="B317" s="35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8.1000000000000003E-2</v>
      </c>
      <c r="H317" s="37">
        <v>9.9989999999999996E-4</v>
      </c>
      <c r="I317" s="37">
        <v>0.95499999999999996</v>
      </c>
      <c r="J317" s="37">
        <v>0.60099999999999998</v>
      </c>
      <c r="K317" s="37">
        <v>9.9989999999999996E-4</v>
      </c>
    </row>
    <row r="318" spans="1:11">
      <c r="A318" s="20">
        <v>1</v>
      </c>
      <c r="B318" s="35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0.16900000000000001</v>
      </c>
      <c r="H318" s="37">
        <v>6.0999999999999999E-2</v>
      </c>
      <c r="I318" s="37">
        <v>0.93200000000000005</v>
      </c>
      <c r="J318" s="37">
        <v>0.125</v>
      </c>
      <c r="K318" s="37">
        <v>9.9989999999999996E-4</v>
      </c>
    </row>
    <row r="319" spans="1:11">
      <c r="A319" s="20">
        <v>17</v>
      </c>
      <c r="B319" s="35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4.3999999999999997E-2</v>
      </c>
      <c r="H319" s="37">
        <v>9.9989999999999996E-4</v>
      </c>
      <c r="I319" s="37">
        <v>0.48599999999999999</v>
      </c>
      <c r="J319" s="37">
        <v>0.11899999999999999</v>
      </c>
      <c r="K319" s="37">
        <v>9.9989999999999996E-4</v>
      </c>
    </row>
    <row r="320" spans="1:11">
      <c r="A320" s="20">
        <v>18</v>
      </c>
      <c r="B320" s="35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8.5000000000000006E-2</v>
      </c>
      <c r="H320" s="37">
        <v>9.9989999999999996E-4</v>
      </c>
      <c r="I320" s="37">
        <v>0.71599999999999997</v>
      </c>
      <c r="J320" s="37">
        <v>0.34100000000000003</v>
      </c>
      <c r="K320" s="37">
        <v>9.9989999999999996E-4</v>
      </c>
    </row>
    <row r="321" spans="1:11">
      <c r="A321" s="20">
        <v>1</v>
      </c>
      <c r="B321" s="35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0.67300000000000004</v>
      </c>
      <c r="H321" s="37">
        <v>0.29199999999999998</v>
      </c>
      <c r="I321" s="37">
        <v>4.3109999999999999</v>
      </c>
      <c r="J321" s="37">
        <v>0.22800000000000001</v>
      </c>
      <c r="K321" s="37">
        <v>9.9989999999999996E-4</v>
      </c>
    </row>
    <row r="322" spans="1:11">
      <c r="A322" s="20">
        <v>17</v>
      </c>
      <c r="B322" s="35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0.53700000000000003</v>
      </c>
      <c r="H322" s="37">
        <v>9.9989999999999996E-4</v>
      </c>
      <c r="I322" s="37">
        <v>1.6850000000000001</v>
      </c>
      <c r="J322" s="37">
        <v>0.19700000000000001</v>
      </c>
      <c r="K322" s="37">
        <v>9.9989999999999996E-4</v>
      </c>
    </row>
    <row r="323" spans="1:11">
      <c r="A323" s="20">
        <v>18</v>
      </c>
      <c r="B323" s="35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0.17</v>
      </c>
      <c r="H323" s="37">
        <v>9.9989999999999996E-4</v>
      </c>
      <c r="I323" s="37">
        <v>0.875</v>
      </c>
      <c r="J323" s="37">
        <v>0.17299999999999999</v>
      </c>
      <c r="K323" s="37">
        <v>9.9989999999999996E-4</v>
      </c>
    </row>
    <row r="324" spans="1:11">
      <c r="A324" s="20">
        <v>1</v>
      </c>
      <c r="B324" s="35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0.13100000000000001</v>
      </c>
      <c r="H324" s="37">
        <v>0.53300000000000003</v>
      </c>
      <c r="I324" s="37">
        <v>6.4340000000000002</v>
      </c>
      <c r="J324" s="37">
        <v>0.39400000000000002</v>
      </c>
      <c r="K324" s="37">
        <v>9.9989999999999996E-4</v>
      </c>
    </row>
    <row r="325" spans="1:11">
      <c r="A325" s="20">
        <v>17</v>
      </c>
      <c r="B325" s="35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0.08</v>
      </c>
      <c r="H325" s="37">
        <v>0.23799999999999999</v>
      </c>
      <c r="I325" s="37">
        <v>5.0359999999999996</v>
      </c>
      <c r="J325" s="37">
        <v>0.315</v>
      </c>
      <c r="K325" s="37">
        <v>9.9989999999999996E-4</v>
      </c>
    </row>
    <row r="326" spans="1:11">
      <c r="A326" s="20">
        <v>18</v>
      </c>
      <c r="B326" s="35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2.5999999999999999E-2</v>
      </c>
      <c r="H326" s="37">
        <v>0.192</v>
      </c>
      <c r="I326" s="37">
        <v>2.7589999999999999</v>
      </c>
      <c r="J326" s="37">
        <v>0.20300000000000001</v>
      </c>
      <c r="K326" s="37">
        <v>9.9989999999999996E-4</v>
      </c>
    </row>
    <row r="327" spans="1:11">
      <c r="A327" s="20">
        <v>1</v>
      </c>
      <c r="B327" s="35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0.108</v>
      </c>
      <c r="H327" s="37">
        <v>4.1000000000000002E-2</v>
      </c>
      <c r="I327" s="37">
        <v>1.399</v>
      </c>
      <c r="J327" s="37">
        <v>2.9000000000000001E-2</v>
      </c>
      <c r="K327" s="37">
        <v>3.7999999999999999E-2</v>
      </c>
    </row>
    <row r="328" spans="1:11">
      <c r="A328" s="20">
        <v>17</v>
      </c>
      <c r="B328" s="35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7.4999999999999997E-2</v>
      </c>
      <c r="H328" s="37">
        <v>0.20100000000000001</v>
      </c>
      <c r="I328" s="37">
        <v>2.0089999999999999</v>
      </c>
      <c r="J328" s="37">
        <v>3.5999999999999997E-2</v>
      </c>
      <c r="K328" s="37">
        <v>0.19600000000000001</v>
      </c>
    </row>
    <row r="329" spans="1:11">
      <c r="A329" s="20">
        <v>18</v>
      </c>
      <c r="B329" s="35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7.6999999999999999E-2</v>
      </c>
      <c r="H329" s="37">
        <v>0.14499999999999999</v>
      </c>
      <c r="I329" s="37">
        <v>1.8109999999999999</v>
      </c>
      <c r="J329" s="37">
        <v>4.2000000000000003E-2</v>
      </c>
      <c r="K329" s="37">
        <v>0.153</v>
      </c>
    </row>
    <row r="330" spans="1:11">
      <c r="A330" s="20">
        <v>1</v>
      </c>
      <c r="B330" s="35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9.9989999999999996E-4</v>
      </c>
      <c r="H330" s="37">
        <v>9.9989999999999996E-4</v>
      </c>
      <c r="I330" s="37">
        <v>0.55500000000000005</v>
      </c>
      <c r="J330" s="37">
        <v>1.7999999999999999E-2</v>
      </c>
      <c r="K330" s="37">
        <v>9.9989999999999996E-4</v>
      </c>
    </row>
    <row r="331" spans="1:11">
      <c r="A331" s="20">
        <v>17</v>
      </c>
      <c r="B331" s="35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1.4E-2</v>
      </c>
      <c r="H331" s="37">
        <v>9.9989999999999996E-4</v>
      </c>
      <c r="I331" s="37">
        <v>0.65200000000000002</v>
      </c>
      <c r="J331" s="37">
        <v>1.4E-2</v>
      </c>
      <c r="K331" s="37">
        <v>9.9989999999999996E-4</v>
      </c>
    </row>
    <row r="332" spans="1:11">
      <c r="A332" s="20">
        <v>18</v>
      </c>
      <c r="B332" s="35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9.9989999999999996E-4</v>
      </c>
      <c r="H332" s="37">
        <v>9.9989999999999996E-4</v>
      </c>
      <c r="I332" s="37">
        <v>0.109</v>
      </c>
      <c r="J332" s="37">
        <v>5.0000000000000001E-3</v>
      </c>
      <c r="K332" s="37">
        <v>9.9989999999999996E-4</v>
      </c>
    </row>
    <row r="333" spans="1:11">
      <c r="A333" s="20">
        <v>1</v>
      </c>
      <c r="B333" s="35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6.5000000000000002E-2</v>
      </c>
      <c r="H333" s="37">
        <v>9.9989999999999996E-4</v>
      </c>
      <c r="I333" s="37">
        <v>2.1619999999999999</v>
      </c>
      <c r="J333" s="37">
        <v>1.6E-2</v>
      </c>
      <c r="K333" s="37">
        <v>9.9989999999999996E-4</v>
      </c>
    </row>
    <row r="334" spans="1:11">
      <c r="A334" s="20">
        <v>17</v>
      </c>
      <c r="B334" s="35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5.8000000000000003E-2</v>
      </c>
      <c r="H334" s="37">
        <v>9.9989999999999996E-4</v>
      </c>
      <c r="I334" s="37">
        <v>4.12</v>
      </c>
      <c r="J334" s="37">
        <v>2.4E-2</v>
      </c>
      <c r="K334" s="37">
        <v>9.9989999999999996E-4</v>
      </c>
    </row>
    <row r="335" spans="1:11">
      <c r="A335" s="20">
        <v>18</v>
      </c>
      <c r="B335" s="35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6.4000000000000001E-2</v>
      </c>
      <c r="H335" s="37">
        <v>9.9989999999999996E-4</v>
      </c>
      <c r="I335" s="37">
        <v>3.7090000000000001</v>
      </c>
      <c r="J335" s="37">
        <v>2.1000000000000001E-2</v>
      </c>
      <c r="K335" s="37">
        <v>9.9989999999999996E-4</v>
      </c>
    </row>
    <row r="336" spans="1:11">
      <c r="A336" s="23">
        <v>1</v>
      </c>
      <c r="B336" s="34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7.8E-2</v>
      </c>
      <c r="H336" s="37">
        <v>0.02</v>
      </c>
      <c r="I336" s="37">
        <v>3.4260000000000002</v>
      </c>
      <c r="J336" s="37">
        <v>1.7999999999999999E-2</v>
      </c>
      <c r="K336" s="37">
        <v>9.9989999999999996E-4</v>
      </c>
    </row>
    <row r="337" spans="1:11">
      <c r="A337" s="20">
        <v>17</v>
      </c>
      <c r="B337" s="35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0.114</v>
      </c>
      <c r="H337" s="37">
        <v>9.9989999999999996E-4</v>
      </c>
      <c r="I337" s="37">
        <v>6.4569999999999999</v>
      </c>
      <c r="J337" s="37">
        <v>2.4E-2</v>
      </c>
      <c r="K337" s="37">
        <v>9.9989999999999996E-4</v>
      </c>
    </row>
    <row r="338" spans="1:11">
      <c r="A338" s="20">
        <v>18</v>
      </c>
      <c r="B338" s="35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0.112</v>
      </c>
      <c r="H338" s="37">
        <v>9.9989999999999996E-4</v>
      </c>
      <c r="I338" s="37">
        <v>5.8940000000000001</v>
      </c>
      <c r="J338" s="37">
        <v>2.3E-2</v>
      </c>
      <c r="K338" s="37">
        <v>9.9989999999999996E-4</v>
      </c>
    </row>
    <row r="339" spans="1:11">
      <c r="A339" s="11">
        <v>1</v>
      </c>
      <c r="B339" s="35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1E-3</v>
      </c>
      <c r="H339" s="39">
        <v>1E-3</v>
      </c>
      <c r="I339" s="39">
        <v>3.7229999999999999</v>
      </c>
      <c r="J339" s="39">
        <v>4.2999999999999997E-2</v>
      </c>
      <c r="K339" s="39">
        <v>9.9989999999999996E-4</v>
      </c>
    </row>
    <row r="340" spans="1:11">
      <c r="A340" s="11">
        <v>17</v>
      </c>
      <c r="B340" s="35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2.7E-2</v>
      </c>
      <c r="H340" s="37">
        <v>1E-3</v>
      </c>
      <c r="I340" s="37">
        <v>4.3250000000000002</v>
      </c>
      <c r="J340" s="37">
        <v>3.2000000000000001E-2</v>
      </c>
      <c r="K340" s="37">
        <v>9.9989999999999996E-4</v>
      </c>
    </row>
    <row r="341" spans="1:11">
      <c r="A341" s="11">
        <v>18</v>
      </c>
      <c r="B341" s="35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3.5000000000000003E-2</v>
      </c>
      <c r="H341" s="37">
        <v>1E-3</v>
      </c>
      <c r="I341" s="37">
        <v>3.5409999999999999</v>
      </c>
      <c r="J341" s="37">
        <v>3.5000000000000003E-2</v>
      </c>
      <c r="K341" s="37">
        <v>9.9989999999999996E-4</v>
      </c>
    </row>
    <row r="342" spans="1:11">
      <c r="A342" s="11">
        <v>1</v>
      </c>
      <c r="B342" s="35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1.6E-2</v>
      </c>
      <c r="H342" s="39">
        <v>1E-3</v>
      </c>
      <c r="I342" s="39">
        <v>1.546</v>
      </c>
      <c r="J342" s="39">
        <v>1.7000000000000001E-2</v>
      </c>
      <c r="K342" s="39">
        <v>9.9989999999999996E-4</v>
      </c>
    </row>
    <row r="343" spans="1:11">
      <c r="A343" s="11">
        <v>17</v>
      </c>
      <c r="B343" s="35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2.1000000000000001E-2</v>
      </c>
      <c r="H343" s="39">
        <v>1E-3</v>
      </c>
      <c r="I343" s="39">
        <v>2.8130000000000002</v>
      </c>
      <c r="J343" s="39">
        <v>1.7999999999999999E-2</v>
      </c>
      <c r="K343" s="39">
        <v>9.9989999999999996E-4</v>
      </c>
    </row>
    <row r="344" spans="1:11">
      <c r="A344" s="11">
        <v>18</v>
      </c>
      <c r="B344" s="35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1.7999999999999999E-2</v>
      </c>
      <c r="H344" s="39">
        <v>1E-3</v>
      </c>
      <c r="I344" s="39">
        <v>1.9259999999999999</v>
      </c>
      <c r="J344" s="39">
        <v>2.4E-2</v>
      </c>
      <c r="K344" s="39">
        <v>9.9989999999999996E-4</v>
      </c>
    </row>
    <row r="345" spans="1:11">
      <c r="A345" s="11">
        <v>1</v>
      </c>
      <c r="B345" s="35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1.0999999999999999E-2</v>
      </c>
      <c r="H345" s="39">
        <v>1E-3</v>
      </c>
      <c r="I345" s="39">
        <v>0.77600000000000002</v>
      </c>
      <c r="J345" s="39">
        <v>1.2999999999999999E-2</v>
      </c>
      <c r="K345" s="39">
        <v>9.9989999999999996E-4</v>
      </c>
    </row>
    <row r="346" spans="1:11">
      <c r="A346" s="11">
        <v>17</v>
      </c>
      <c r="B346" s="35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2.1000000000000001E-2</v>
      </c>
      <c r="H346" s="39">
        <v>1E-3</v>
      </c>
      <c r="I346" s="39">
        <v>2.2450000000000001</v>
      </c>
      <c r="J346" s="39">
        <v>1.9E-2</v>
      </c>
      <c r="K346" s="39">
        <v>9.9989999999999996E-4</v>
      </c>
    </row>
    <row r="347" spans="1:11">
      <c r="A347" s="11">
        <v>18</v>
      </c>
      <c r="B347" s="35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1.6E-2</v>
      </c>
      <c r="H347" s="39">
        <v>1E-3</v>
      </c>
      <c r="I347" s="39">
        <v>1.0529999999999999</v>
      </c>
      <c r="J347" s="39">
        <v>1.9E-2</v>
      </c>
      <c r="K347" s="39">
        <v>9.9989999999999996E-4</v>
      </c>
    </row>
    <row r="348" spans="1:11">
      <c r="A348" s="11">
        <v>1</v>
      </c>
      <c r="B348" s="35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9.9989999999999996E-4</v>
      </c>
      <c r="H348" s="39">
        <v>9.9989999999999996E-4</v>
      </c>
      <c r="I348" s="39">
        <v>0.34100000000000003</v>
      </c>
      <c r="J348" s="39">
        <v>8.9999999999999993E-3</v>
      </c>
      <c r="K348" s="39">
        <v>9.9989999999999996E-4</v>
      </c>
    </row>
    <row r="349" spans="1:11">
      <c r="A349" s="11">
        <v>17</v>
      </c>
      <c r="B349" s="35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3.5000000000000003E-2</v>
      </c>
      <c r="H349" s="39">
        <v>1E-3</v>
      </c>
      <c r="I349" s="39">
        <v>0.88500000000000001</v>
      </c>
      <c r="J349" s="39">
        <v>1.2999999999999999E-2</v>
      </c>
      <c r="K349" s="39">
        <v>9.9989999999999996E-4</v>
      </c>
    </row>
    <row r="350" spans="1:11">
      <c r="A350" s="11">
        <v>18</v>
      </c>
      <c r="B350" s="35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9.9989999999999996E-4</v>
      </c>
      <c r="H350" s="39">
        <v>9.9989999999999996E-4</v>
      </c>
      <c r="I350" s="39">
        <v>9.4E-2</v>
      </c>
      <c r="J350" s="39">
        <v>4.0000000000000001E-3</v>
      </c>
      <c r="K350" s="39">
        <v>9.9989999999999996E-4</v>
      </c>
    </row>
    <row r="351" spans="1:11">
      <c r="A351" s="20">
        <v>1</v>
      </c>
      <c r="B351" s="35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5.3999999999999999E-2</v>
      </c>
      <c r="H351" s="39">
        <v>1E-3</v>
      </c>
      <c r="I351" s="39">
        <v>0.80900000000000005</v>
      </c>
      <c r="J351" s="39">
        <v>4.3999999999999997E-2</v>
      </c>
      <c r="K351" s="39">
        <v>9.9989999999999996E-4</v>
      </c>
    </row>
    <row r="352" spans="1:11">
      <c r="A352" s="20">
        <v>17</v>
      </c>
      <c r="B352" s="35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0.13400000000000001</v>
      </c>
      <c r="H352" s="39">
        <v>4.4999999999999998E-2</v>
      </c>
      <c r="I352" s="39">
        <v>0.65</v>
      </c>
      <c r="J352" s="39">
        <v>4.7E-2</v>
      </c>
      <c r="K352" s="39">
        <v>9.9989999999999996E-4</v>
      </c>
    </row>
    <row r="353" spans="1:11">
      <c r="A353" s="20">
        <v>18</v>
      </c>
      <c r="B353" s="35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2.5999999999999999E-2</v>
      </c>
      <c r="H353" s="39">
        <v>1E-3</v>
      </c>
      <c r="I353" s="39">
        <v>0.29599999999999999</v>
      </c>
      <c r="J353" s="39">
        <v>2.1000000000000001E-2</v>
      </c>
      <c r="K353" s="39">
        <v>9.9989999999999996E-4</v>
      </c>
    </row>
    <row r="354" spans="1:11">
      <c r="A354" s="20">
        <v>1</v>
      </c>
      <c r="B354" s="35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0.27300000000000002</v>
      </c>
      <c r="H354" s="39">
        <v>1E-3</v>
      </c>
      <c r="I354" s="39">
        <v>0.89400000000000002</v>
      </c>
      <c r="J354" s="39">
        <v>0.17199999999999999</v>
      </c>
      <c r="K354" s="39">
        <v>9.9989999999999996E-4</v>
      </c>
    </row>
    <row r="355" spans="1:11">
      <c r="A355" s="20">
        <v>17</v>
      </c>
      <c r="B355" s="35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6.7000000000000004E-2</v>
      </c>
      <c r="H355" s="39">
        <v>1E-3</v>
      </c>
      <c r="I355" s="39">
        <v>1.3879999999999999</v>
      </c>
      <c r="J355" s="39">
        <v>0.46300000000000002</v>
      </c>
      <c r="K355" s="39">
        <v>9.9989999999999996E-4</v>
      </c>
    </row>
    <row r="356" spans="1:11">
      <c r="A356" s="20">
        <v>18</v>
      </c>
      <c r="B356" s="35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5.7000000000000002E-2</v>
      </c>
      <c r="H356" s="39">
        <v>2.1000000000000001E-2</v>
      </c>
      <c r="I356" s="39">
        <v>0.97599999999999998</v>
      </c>
      <c r="J356" s="39">
        <v>0.97099999999999997</v>
      </c>
      <c r="K356" s="39">
        <v>9.9989999999999996E-4</v>
      </c>
    </row>
    <row r="357" spans="1:11">
      <c r="A357" s="20">
        <v>1</v>
      </c>
      <c r="B357" s="35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0.26300000000000001</v>
      </c>
      <c r="H357" s="39">
        <v>1E-3</v>
      </c>
      <c r="I357" s="39">
        <v>2.202</v>
      </c>
      <c r="J357" s="39">
        <v>0.7</v>
      </c>
      <c r="K357" s="39">
        <v>9.9989999999999996E-4</v>
      </c>
    </row>
    <row r="358" spans="1:11">
      <c r="A358" s="20">
        <v>17</v>
      </c>
      <c r="B358" s="35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0.19600000000000001</v>
      </c>
      <c r="H358" s="39">
        <v>1E-3</v>
      </c>
      <c r="I358" s="39">
        <v>3.2229999999999999</v>
      </c>
      <c r="J358" s="39">
        <v>0.877</v>
      </c>
      <c r="K358" s="39">
        <v>9.9989999999999996E-4</v>
      </c>
    </row>
    <row r="359" spans="1:11">
      <c r="A359" s="20">
        <v>18</v>
      </c>
      <c r="B359" s="35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0.17299999999999999</v>
      </c>
      <c r="H359" s="39">
        <v>9.9989999999999996E-4</v>
      </c>
      <c r="I359" s="39">
        <v>1.397</v>
      </c>
      <c r="J359" s="39">
        <v>0.77900000000000003</v>
      </c>
      <c r="K359" s="39">
        <v>9.9989999999999996E-4</v>
      </c>
    </row>
    <row r="360" spans="1:11">
      <c r="A360" s="20">
        <v>1</v>
      </c>
      <c r="B360" s="35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0.155</v>
      </c>
      <c r="H360" s="39">
        <v>9.9989999999999996E-4</v>
      </c>
      <c r="I360" s="39">
        <v>1.298</v>
      </c>
      <c r="J360" s="39">
        <v>4.7E-2</v>
      </c>
      <c r="K360" s="39">
        <v>9.9989999999999996E-4</v>
      </c>
    </row>
    <row r="361" spans="1:11">
      <c r="A361" s="20">
        <v>17</v>
      </c>
      <c r="B361" s="35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0.215</v>
      </c>
      <c r="H361" s="39">
        <v>9.9989999999999996E-4</v>
      </c>
      <c r="I361" s="39">
        <v>1.9259999999999999</v>
      </c>
      <c r="J361" s="39">
        <v>0.17399999999999999</v>
      </c>
      <c r="K361" s="39">
        <v>9.9989999999999996E-4</v>
      </c>
    </row>
    <row r="362" spans="1:11">
      <c r="A362" s="20">
        <v>18</v>
      </c>
      <c r="B362" s="35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0.14399999999999999</v>
      </c>
      <c r="H362" s="39">
        <v>9.9989999999999996E-4</v>
      </c>
      <c r="I362" s="39">
        <v>1.55</v>
      </c>
      <c r="J362" s="39">
        <v>6.5000000000000002E-2</v>
      </c>
      <c r="K362" s="39">
        <v>9.9989999999999996E-4</v>
      </c>
    </row>
    <row r="363" spans="1:11">
      <c r="A363" s="20">
        <v>1</v>
      </c>
      <c r="B363" s="35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3.5000000000000003E-2</v>
      </c>
      <c r="H363" s="39">
        <v>9.9989999999999996E-4</v>
      </c>
      <c r="I363" s="39">
        <v>0.66700000000000004</v>
      </c>
      <c r="J363" s="39">
        <v>0.113</v>
      </c>
      <c r="K363" s="39">
        <v>9.9989999999999996E-4</v>
      </c>
    </row>
    <row r="364" spans="1:11">
      <c r="A364" s="20">
        <v>17</v>
      </c>
      <c r="B364" s="35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2.4E-2</v>
      </c>
      <c r="H364" s="39">
        <v>9.9989999999999996E-4</v>
      </c>
      <c r="I364" s="39">
        <v>0.71199999999999997</v>
      </c>
      <c r="J364" s="39">
        <v>0.106</v>
      </c>
      <c r="K364" s="39">
        <v>9.9989999999999996E-4</v>
      </c>
    </row>
    <row r="365" spans="1:11">
      <c r="A365" s="20">
        <v>18</v>
      </c>
      <c r="B365" s="35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1.4999999999999999E-2</v>
      </c>
      <c r="H365" s="39">
        <v>9.9989999999999996E-4</v>
      </c>
      <c r="I365" s="39">
        <v>0.312</v>
      </c>
      <c r="J365" s="39">
        <v>5.8000000000000003E-2</v>
      </c>
      <c r="K365" s="39">
        <v>9.9989999999999996E-4</v>
      </c>
    </row>
    <row r="366" spans="1:11">
      <c r="A366" s="20">
        <v>1</v>
      </c>
      <c r="B366" s="35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1.0960000000000001</v>
      </c>
      <c r="H366" s="39">
        <v>1E-3</v>
      </c>
      <c r="I366" s="39">
        <v>0.83599999999999997</v>
      </c>
      <c r="J366" s="39">
        <v>3.3000000000000002E-2</v>
      </c>
      <c r="K366" s="39">
        <v>9.9989999999999996E-4</v>
      </c>
    </row>
    <row r="367" spans="1:11">
      <c r="A367" s="20">
        <v>17</v>
      </c>
      <c r="B367" s="35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1.512</v>
      </c>
      <c r="H367" s="39">
        <v>1E-3</v>
      </c>
      <c r="I367" s="39">
        <v>0.497</v>
      </c>
      <c r="J367" s="39">
        <v>2.5000000000000001E-2</v>
      </c>
      <c r="K367" s="39">
        <v>9.9989999999999996E-4</v>
      </c>
    </row>
    <row r="368" spans="1:11">
      <c r="A368" s="20">
        <v>18</v>
      </c>
      <c r="B368" s="35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0.34499999999999997</v>
      </c>
      <c r="H368" s="39">
        <v>9.9989999999999996E-4</v>
      </c>
      <c r="I368" s="39">
        <v>0.47399999999999998</v>
      </c>
      <c r="J368" s="39">
        <v>2.9000000000000001E-2</v>
      </c>
      <c r="K368" s="39">
        <v>9.9989999999999996E-4</v>
      </c>
    </row>
    <row r="369" spans="1:12">
      <c r="A369" s="20">
        <v>1</v>
      </c>
      <c r="B369" s="35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9.1999999999999998E-2</v>
      </c>
      <c r="H369" s="39">
        <v>9.9989999999999996E-4</v>
      </c>
      <c r="I369" s="39">
        <v>1.4330000000000001</v>
      </c>
      <c r="J369" s="39">
        <v>1.6E-2</v>
      </c>
      <c r="K369" s="39">
        <v>9.9989999999999996E-4</v>
      </c>
    </row>
    <row r="370" spans="1:12">
      <c r="A370" s="20">
        <v>17</v>
      </c>
      <c r="B370" s="35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4.7E-2</v>
      </c>
      <c r="H370" s="42">
        <v>9.9989999999999996E-4</v>
      </c>
      <c r="I370" s="42">
        <v>1.643</v>
      </c>
      <c r="J370" s="42">
        <v>1.7999999999999999E-2</v>
      </c>
      <c r="K370" s="39">
        <v>9.9989999999999996E-4</v>
      </c>
    </row>
    <row r="371" spans="1:12">
      <c r="A371" s="20">
        <v>18</v>
      </c>
      <c r="B371" s="35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0.03</v>
      </c>
      <c r="H371" s="39">
        <v>9.9989999999999996E-4</v>
      </c>
      <c r="I371" s="39">
        <v>1.7130000000000001</v>
      </c>
      <c r="J371" s="39">
        <v>0.02</v>
      </c>
      <c r="K371" s="39">
        <v>9.9989999999999996E-4</v>
      </c>
      <c r="L371" s="6"/>
    </row>
    <row r="372" spans="1:12">
      <c r="A372" s="43">
        <v>1</v>
      </c>
      <c r="B372" s="44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0.11821637499999998</v>
      </c>
      <c r="H372" s="47">
        <v>0</v>
      </c>
      <c r="I372" s="47">
        <v>1.6018285000000001</v>
      </c>
      <c r="J372" s="47">
        <v>9.9383749999999993E-3</v>
      </c>
      <c r="K372" s="47">
        <v>0</v>
      </c>
      <c r="L372" s="48"/>
    </row>
    <row r="373" spans="1:12">
      <c r="A373" s="20">
        <v>17</v>
      </c>
      <c r="B373" s="25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0.14178137499999999</v>
      </c>
      <c r="H373" s="50">
        <v>0</v>
      </c>
      <c r="I373" s="50">
        <v>4.0140238749999995</v>
      </c>
      <c r="J373" s="50">
        <v>1.3779125E-2</v>
      </c>
      <c r="K373" s="50">
        <v>0</v>
      </c>
    </row>
    <row r="374" spans="1:12">
      <c r="A374" s="20">
        <v>18</v>
      </c>
      <c r="B374" s="25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0.13307887500000001</v>
      </c>
      <c r="H374" s="50">
        <v>0</v>
      </c>
      <c r="I374" s="50">
        <v>3.1431434999999994</v>
      </c>
      <c r="J374" s="50">
        <v>1.3148875000000001E-2</v>
      </c>
      <c r="K374" s="50">
        <v>0</v>
      </c>
    </row>
    <row r="375" spans="1:12">
      <c r="A375" s="20">
        <v>1</v>
      </c>
      <c r="B375" s="25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2.2751881250000001</v>
      </c>
      <c r="H375" s="50">
        <v>0</v>
      </c>
      <c r="I375" s="50">
        <v>1.2419696250000001</v>
      </c>
      <c r="J375" s="50">
        <v>1.5066125E-2</v>
      </c>
      <c r="K375" s="50">
        <v>0</v>
      </c>
    </row>
    <row r="376" spans="1:12">
      <c r="A376" s="20">
        <v>17</v>
      </c>
      <c r="B376" s="25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6.4709312499999978</v>
      </c>
      <c r="H376" s="50">
        <v>0</v>
      </c>
      <c r="I376" s="50">
        <v>3.119885</v>
      </c>
      <c r="J376" s="50">
        <v>2.4088999999999992E-2</v>
      </c>
      <c r="K376" s="50">
        <v>0</v>
      </c>
    </row>
    <row r="377" spans="1:12">
      <c r="A377" s="20">
        <v>18</v>
      </c>
      <c r="B377" s="25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1.8415249999999999</v>
      </c>
      <c r="H377" s="50">
        <v>0</v>
      </c>
      <c r="I377" s="50">
        <v>1.3952260000000003</v>
      </c>
      <c r="J377" s="50">
        <v>0</v>
      </c>
      <c r="K377" s="50">
        <v>0</v>
      </c>
    </row>
    <row r="378" spans="1:12">
      <c r="A378" s="20">
        <v>1</v>
      </c>
      <c r="B378" s="25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3.1214499999999996E-2</v>
      </c>
      <c r="H378" s="50">
        <v>0</v>
      </c>
      <c r="I378" s="50">
        <v>0.33486050000000001</v>
      </c>
      <c r="J378" s="50">
        <v>8.0541499999999988E-2</v>
      </c>
      <c r="K378" s="50">
        <v>0</v>
      </c>
    </row>
    <row r="379" spans="1:12">
      <c r="A379" s="20">
        <v>17</v>
      </c>
      <c r="B379" s="25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6.7443874999999986E-2</v>
      </c>
      <c r="H379" s="50">
        <v>0</v>
      </c>
      <c r="I379" s="50">
        <v>1.041084125</v>
      </c>
      <c r="J379" s="50">
        <v>1.5839375000000003E-2</v>
      </c>
      <c r="K379" s="50">
        <v>0</v>
      </c>
    </row>
    <row r="380" spans="1:12">
      <c r="A380" s="20">
        <v>17</v>
      </c>
      <c r="B380" s="25">
        <v>40254</v>
      </c>
      <c r="C380" s="20">
        <v>2010</v>
      </c>
      <c r="D380" s="10" t="s">
        <v>27</v>
      </c>
      <c r="E380" s="20">
        <v>3</v>
      </c>
      <c r="F380" s="49">
        <v>2.8690000000000002</v>
      </c>
      <c r="G380" s="50">
        <v>7.7796375000000001E-2</v>
      </c>
      <c r="H380" s="50">
        <v>0</v>
      </c>
      <c r="I380" s="50">
        <v>1.2711963749999999</v>
      </c>
      <c r="J380" s="50">
        <v>1.8191374999999999E-2</v>
      </c>
      <c r="K380" s="50">
        <v>0</v>
      </c>
      <c r="L380" t="s">
        <v>39</v>
      </c>
    </row>
    <row r="381" spans="1:12">
      <c r="A381" s="20">
        <v>18</v>
      </c>
      <c r="B381" s="25">
        <v>40254</v>
      </c>
      <c r="C381" s="20">
        <v>2010</v>
      </c>
      <c r="D381" s="10" t="s">
        <v>27</v>
      </c>
      <c r="E381" s="20">
        <v>3</v>
      </c>
      <c r="F381" s="49">
        <v>3.1829999999999998</v>
      </c>
      <c r="G381" s="50">
        <v>6.7752750000000014E-2</v>
      </c>
      <c r="H381" s="50">
        <v>0</v>
      </c>
      <c r="I381" s="50">
        <v>1.448157125</v>
      </c>
      <c r="J381" s="50">
        <v>2.0600125E-2</v>
      </c>
      <c r="K381" s="50">
        <v>0</v>
      </c>
    </row>
    <row r="382" spans="1:12">
      <c r="A382" s="20">
        <v>1</v>
      </c>
      <c r="B382" s="25">
        <v>40282</v>
      </c>
      <c r="C382" s="20">
        <v>2010</v>
      </c>
      <c r="D382" s="10" t="s">
        <v>28</v>
      </c>
      <c r="E382" s="20">
        <v>4</v>
      </c>
      <c r="F382" s="49">
        <v>3.3370000000000002</v>
      </c>
      <c r="G382" s="50">
        <v>5.9109124999999992E-2</v>
      </c>
      <c r="H382" s="50">
        <v>0</v>
      </c>
      <c r="I382" s="50">
        <v>1.3341902499999998</v>
      </c>
      <c r="J382" s="50">
        <v>2.3836875000000004E-2</v>
      </c>
      <c r="K382" s="50">
        <v>0</v>
      </c>
    </row>
    <row r="383" spans="1:12">
      <c r="A383" s="20">
        <v>17</v>
      </c>
      <c r="B383" s="25">
        <v>40282</v>
      </c>
      <c r="C383" s="20">
        <v>2010</v>
      </c>
      <c r="D383" s="10" t="s">
        <v>28</v>
      </c>
      <c r="E383" s="20">
        <v>4</v>
      </c>
      <c r="F383" s="49">
        <v>4.6260000000000003</v>
      </c>
      <c r="G383" s="50">
        <v>4.4080499999999995E-2</v>
      </c>
      <c r="H383" s="50">
        <v>0</v>
      </c>
      <c r="I383" s="50">
        <v>2.403057</v>
      </c>
      <c r="J383" s="50">
        <v>2.9251124999999996E-2</v>
      </c>
      <c r="K383" s="50">
        <v>0</v>
      </c>
    </row>
    <row r="384" spans="1:12">
      <c r="A384" s="20">
        <v>18</v>
      </c>
      <c r="B384" s="25">
        <v>40282</v>
      </c>
      <c r="C384" s="20">
        <v>2010</v>
      </c>
      <c r="D384" s="10" t="s">
        <v>28</v>
      </c>
      <c r="E384" s="20">
        <v>4</v>
      </c>
      <c r="F384" s="51">
        <v>3.17</v>
      </c>
      <c r="G384" s="50">
        <v>3.7747250000000003E-2</v>
      </c>
      <c r="H384" s="50">
        <v>0</v>
      </c>
      <c r="I384" s="50">
        <v>1.5308736249999999</v>
      </c>
      <c r="J384" s="50">
        <v>3.0602624999999998E-2</v>
      </c>
      <c r="K384" s="50">
        <v>0</v>
      </c>
    </row>
    <row r="385" spans="1:12">
      <c r="A385" s="20">
        <v>1</v>
      </c>
      <c r="B385" s="35">
        <v>40315</v>
      </c>
      <c r="C385" s="20">
        <v>2010</v>
      </c>
      <c r="D385" s="10" t="s">
        <v>29</v>
      </c>
      <c r="E385" s="20">
        <v>5</v>
      </c>
      <c r="F385" s="52">
        <v>0.67200000000000004</v>
      </c>
      <c r="G385" s="50">
        <v>2.9017999999999995E-2</v>
      </c>
      <c r="H385" s="50">
        <v>0</v>
      </c>
      <c r="I385" s="50">
        <v>0.20917487500000001</v>
      </c>
      <c r="J385" s="50">
        <v>1.7032749999999999E-2</v>
      </c>
      <c r="K385" s="50">
        <v>0</v>
      </c>
    </row>
    <row r="386" spans="1:12">
      <c r="A386" s="20">
        <v>1</v>
      </c>
      <c r="B386" s="35">
        <v>40315</v>
      </c>
      <c r="C386" s="20">
        <v>2010</v>
      </c>
      <c r="D386" s="10" t="s">
        <v>29</v>
      </c>
      <c r="E386" s="20">
        <v>5</v>
      </c>
      <c r="F386" s="52">
        <v>0.67200000000000004</v>
      </c>
      <c r="G386" s="50">
        <v>1.8233375E-2</v>
      </c>
      <c r="H386" s="50">
        <v>0</v>
      </c>
      <c r="I386" s="50">
        <v>0.16776799999999997</v>
      </c>
      <c r="J386" s="50">
        <v>1.7949624999999997E-2</v>
      </c>
      <c r="K386" s="50">
        <v>0</v>
      </c>
      <c r="L386" t="s">
        <v>39</v>
      </c>
    </row>
    <row r="387" spans="1:12">
      <c r="A387" s="20">
        <v>17</v>
      </c>
      <c r="B387" s="35">
        <v>40315</v>
      </c>
      <c r="C387" s="20">
        <v>2010</v>
      </c>
      <c r="D387" s="10" t="s">
        <v>29</v>
      </c>
      <c r="E387" s="20">
        <v>5</v>
      </c>
      <c r="F387" s="52">
        <v>1.71</v>
      </c>
      <c r="G387" s="50">
        <v>0</v>
      </c>
      <c r="H387" s="50">
        <v>0</v>
      </c>
      <c r="I387" s="50">
        <v>0.72932387499999995</v>
      </c>
      <c r="J387" s="50">
        <v>4.4653499999999999E-2</v>
      </c>
      <c r="K387" s="50">
        <v>0</v>
      </c>
    </row>
    <row r="388" spans="1:12">
      <c r="A388" s="20">
        <v>18</v>
      </c>
      <c r="B388" s="35">
        <v>40315</v>
      </c>
      <c r="C388" s="20">
        <v>2010</v>
      </c>
      <c r="D388" s="10" t="s">
        <v>29</v>
      </c>
      <c r="E388" s="20">
        <v>5</v>
      </c>
      <c r="F388" s="52">
        <v>0.433</v>
      </c>
      <c r="G388" s="50">
        <v>0</v>
      </c>
      <c r="H388" s="50">
        <v>0</v>
      </c>
      <c r="I388" s="50">
        <v>0.13274887499999999</v>
      </c>
      <c r="J388" s="50">
        <v>1.8049375000000003E-2</v>
      </c>
      <c r="K388" s="50">
        <v>0</v>
      </c>
    </row>
    <row r="389" spans="1:12">
      <c r="A389" s="20">
        <v>1</v>
      </c>
      <c r="B389" s="35">
        <v>40344</v>
      </c>
      <c r="C389" s="20">
        <v>2010</v>
      </c>
      <c r="D389" s="10" t="s">
        <v>30</v>
      </c>
      <c r="E389" s="20">
        <v>6</v>
      </c>
      <c r="F389" s="52">
        <v>2.6179999999999999</v>
      </c>
      <c r="G389" s="50">
        <v>9.415262499999999E-2</v>
      </c>
      <c r="H389" s="50">
        <v>0</v>
      </c>
      <c r="I389" s="50">
        <v>0.68824137500000004</v>
      </c>
      <c r="J389" s="50">
        <v>0.19022587499999999</v>
      </c>
      <c r="K389" s="50">
        <v>0</v>
      </c>
    </row>
    <row r="390" spans="1:12">
      <c r="A390" s="20">
        <v>17</v>
      </c>
      <c r="B390" s="35">
        <v>40344</v>
      </c>
      <c r="C390" s="20">
        <v>2010</v>
      </c>
      <c r="D390" s="10" t="s">
        <v>30</v>
      </c>
      <c r="E390" s="20">
        <v>6</v>
      </c>
      <c r="F390" s="52">
        <v>2.0750000000000002</v>
      </c>
      <c r="G390" s="50">
        <v>0.14132937500000001</v>
      </c>
      <c r="H390" s="50">
        <v>0</v>
      </c>
      <c r="I390" s="50">
        <v>0.49353124999999992</v>
      </c>
      <c r="J390" s="50">
        <v>0.25558637499999992</v>
      </c>
      <c r="K390" s="50">
        <v>0</v>
      </c>
    </row>
    <row r="391" spans="1:12">
      <c r="A391" s="20">
        <v>18</v>
      </c>
      <c r="B391" s="35">
        <v>40344</v>
      </c>
      <c r="C391" s="20">
        <v>2010</v>
      </c>
      <c r="D391" s="10" t="s">
        <v>30</v>
      </c>
      <c r="E391" s="20">
        <v>6</v>
      </c>
      <c r="F391" s="52">
        <v>3.0760000000000001</v>
      </c>
      <c r="G391" s="50">
        <v>0.16089775000000001</v>
      </c>
      <c r="H391" s="50">
        <v>0</v>
      </c>
      <c r="I391" s="50">
        <v>1.0960773749999997</v>
      </c>
      <c r="J391" s="50">
        <v>0.26170262500000002</v>
      </c>
      <c r="K391" s="50">
        <v>0</v>
      </c>
    </row>
    <row r="392" spans="1:12">
      <c r="A392" s="20">
        <v>1</v>
      </c>
      <c r="B392" s="35">
        <v>40371</v>
      </c>
      <c r="C392" s="20">
        <v>2010</v>
      </c>
      <c r="D392" s="10" t="s">
        <v>31</v>
      </c>
      <c r="E392" s="20">
        <v>7</v>
      </c>
      <c r="F392" s="52">
        <v>7.69</v>
      </c>
      <c r="G392" s="50">
        <v>0.29006025000000002</v>
      </c>
      <c r="H392" s="50">
        <v>0</v>
      </c>
      <c r="I392" s="50">
        <v>2.5592174999999995</v>
      </c>
      <c r="J392" s="50">
        <v>0.12024099999999999</v>
      </c>
      <c r="K392" s="50">
        <v>0</v>
      </c>
    </row>
    <row r="393" spans="1:12">
      <c r="A393" s="20">
        <v>17</v>
      </c>
      <c r="B393" s="35">
        <v>40371</v>
      </c>
      <c r="C393" s="20">
        <v>2010</v>
      </c>
      <c r="D393" s="10" t="s">
        <v>31</v>
      </c>
      <c r="E393" s="20">
        <v>7</v>
      </c>
      <c r="F393" s="52">
        <v>5.4009999999999998</v>
      </c>
      <c r="G393" s="50">
        <v>0.27021625000000005</v>
      </c>
      <c r="H393" s="50">
        <v>1.6423E-2</v>
      </c>
      <c r="I393" s="50">
        <v>2.7198604999999998</v>
      </c>
      <c r="J393" s="50">
        <v>0.13698674999999999</v>
      </c>
      <c r="K393" s="50">
        <v>0</v>
      </c>
    </row>
    <row r="394" spans="1:12">
      <c r="A394" s="20">
        <v>18</v>
      </c>
      <c r="B394" s="35">
        <v>40371</v>
      </c>
      <c r="C394" s="20">
        <v>2010</v>
      </c>
      <c r="D394" s="10" t="s">
        <v>31</v>
      </c>
      <c r="E394" s="20">
        <v>7</v>
      </c>
      <c r="F394" s="52">
        <v>4.92</v>
      </c>
      <c r="G394" s="50">
        <v>0.10162674999999999</v>
      </c>
      <c r="H394" s="50">
        <v>0</v>
      </c>
      <c r="I394" s="50">
        <v>1.8677595</v>
      </c>
      <c r="J394" s="50">
        <v>0.10277812499999997</v>
      </c>
      <c r="K394" s="50">
        <v>0</v>
      </c>
    </row>
    <row r="395" spans="1:12">
      <c r="A395" s="20">
        <v>1</v>
      </c>
      <c r="B395" s="35">
        <v>40407</v>
      </c>
      <c r="C395" s="20">
        <v>2010</v>
      </c>
      <c r="D395" s="10" t="s">
        <v>32</v>
      </c>
      <c r="E395" s="20">
        <v>8</v>
      </c>
      <c r="F395" s="52">
        <v>11.997</v>
      </c>
      <c r="G395" s="50">
        <v>0.31553487499999999</v>
      </c>
      <c r="H395" s="50">
        <v>0</v>
      </c>
      <c r="I395" s="50">
        <v>4.3482081250000002</v>
      </c>
      <c r="J395" s="50">
        <v>0.40655499999999994</v>
      </c>
      <c r="K395" s="50">
        <v>0</v>
      </c>
    </row>
    <row r="396" spans="1:12">
      <c r="A396" s="20">
        <v>17</v>
      </c>
      <c r="B396" s="35">
        <v>40407</v>
      </c>
      <c r="C396" s="20">
        <v>2010</v>
      </c>
      <c r="D396" s="10" t="s">
        <v>32</v>
      </c>
      <c r="E396" s="20">
        <v>8</v>
      </c>
      <c r="F396" s="52">
        <v>12.503</v>
      </c>
      <c r="G396" s="50">
        <v>0.36192612499999999</v>
      </c>
      <c r="H396" s="50">
        <v>0</v>
      </c>
      <c r="I396" s="50">
        <v>4.9808801249999997</v>
      </c>
      <c r="J396" s="50">
        <v>0.62758599999999998</v>
      </c>
      <c r="K396" s="50">
        <v>0</v>
      </c>
    </row>
    <row r="397" spans="1:12">
      <c r="A397" s="20">
        <v>18</v>
      </c>
      <c r="B397" s="35">
        <v>40407</v>
      </c>
      <c r="C397" s="20">
        <v>2010</v>
      </c>
      <c r="D397" s="10" t="s">
        <v>32</v>
      </c>
      <c r="E397" s="20">
        <v>8</v>
      </c>
      <c r="F397" s="52">
        <v>8.4649999999999999</v>
      </c>
      <c r="G397" s="50">
        <v>0.27212950000000002</v>
      </c>
      <c r="H397" s="50">
        <v>0</v>
      </c>
      <c r="I397" s="50">
        <v>3.2072715000000001</v>
      </c>
      <c r="J397" s="50">
        <v>0.34550162500000003</v>
      </c>
      <c r="K397" s="50">
        <v>0</v>
      </c>
    </row>
    <row r="398" spans="1:12">
      <c r="A398" s="20">
        <v>1</v>
      </c>
      <c r="B398" s="35">
        <v>40436</v>
      </c>
      <c r="C398" s="20">
        <v>2010</v>
      </c>
      <c r="D398" s="10" t="s">
        <v>38</v>
      </c>
      <c r="E398" s="20">
        <v>9</v>
      </c>
      <c r="F398" s="52">
        <v>9.1959999999999997</v>
      </c>
      <c r="G398" s="50">
        <v>0.18705250000000001</v>
      </c>
      <c r="H398" s="50">
        <v>0</v>
      </c>
      <c r="I398" s="50">
        <v>4.0326351249999997</v>
      </c>
      <c r="J398" s="50">
        <v>0.26796224999999996</v>
      </c>
      <c r="K398" s="50">
        <v>0</v>
      </c>
    </row>
    <row r="399" spans="1:12">
      <c r="A399" s="20">
        <v>17</v>
      </c>
      <c r="B399" s="35">
        <v>40436</v>
      </c>
      <c r="C399" s="20">
        <v>2010</v>
      </c>
      <c r="D399" s="10" t="s">
        <v>38</v>
      </c>
      <c r="E399" s="20">
        <v>9</v>
      </c>
      <c r="F399" s="52">
        <v>6.9210000000000003</v>
      </c>
      <c r="G399" s="50">
        <v>0.16507375000000002</v>
      </c>
      <c r="H399" s="50">
        <v>5.1129250000000001E-2</v>
      </c>
      <c r="I399" s="50">
        <v>3.4665370000000002</v>
      </c>
      <c r="J399" s="50">
        <v>0.274526875</v>
      </c>
      <c r="K399" s="50">
        <v>2.4745874999999994E-2</v>
      </c>
    </row>
    <row r="400" spans="1:12">
      <c r="A400" s="20">
        <v>18</v>
      </c>
      <c r="B400" s="35">
        <v>40436</v>
      </c>
      <c r="C400" s="20">
        <v>2010</v>
      </c>
      <c r="D400" s="10" t="s">
        <v>38</v>
      </c>
      <c r="E400" s="20">
        <v>9</v>
      </c>
      <c r="F400" s="52">
        <v>7.9589999999999996</v>
      </c>
      <c r="G400" s="50">
        <v>7.7819749999999979E-2</v>
      </c>
      <c r="H400" s="50">
        <v>0</v>
      </c>
      <c r="I400" s="50">
        <v>3.5391910000000006</v>
      </c>
      <c r="J400" s="50">
        <v>0.18405575000000002</v>
      </c>
      <c r="K400" s="50">
        <v>0</v>
      </c>
    </row>
    <row r="401" spans="1:12">
      <c r="A401" s="20">
        <v>1</v>
      </c>
      <c r="B401" s="35">
        <v>40464</v>
      </c>
      <c r="C401" s="20">
        <v>2010</v>
      </c>
      <c r="D401" s="10" t="s">
        <v>34</v>
      </c>
      <c r="E401" s="20">
        <v>10</v>
      </c>
      <c r="F401" s="49">
        <v>4.5039999999999996</v>
      </c>
      <c r="G401" s="50">
        <v>2.9886374999999996E-2</v>
      </c>
      <c r="H401" s="50">
        <v>0</v>
      </c>
      <c r="I401" s="50">
        <v>1.0632567500000001</v>
      </c>
      <c r="J401" s="50">
        <v>0.12532937499999997</v>
      </c>
      <c r="K401" s="50">
        <v>0</v>
      </c>
    </row>
    <row r="402" spans="1:12">
      <c r="A402" s="20">
        <v>17</v>
      </c>
      <c r="B402" s="35">
        <v>40464</v>
      </c>
      <c r="C402" s="20">
        <v>2010</v>
      </c>
      <c r="D402" s="10" t="s">
        <v>34</v>
      </c>
      <c r="E402" s="20">
        <v>10</v>
      </c>
      <c r="F402" s="49">
        <v>6.1580000000000004</v>
      </c>
      <c r="G402" s="50">
        <v>0.1008705</v>
      </c>
      <c r="H402" s="50">
        <v>0</v>
      </c>
      <c r="I402" s="50">
        <v>1.8059571249999995</v>
      </c>
      <c r="J402" s="50">
        <v>0.17949624999999997</v>
      </c>
      <c r="K402" s="50">
        <v>0</v>
      </c>
    </row>
    <row r="403" spans="1:12">
      <c r="A403" s="20">
        <v>18</v>
      </c>
      <c r="B403" s="35">
        <v>40464</v>
      </c>
      <c r="C403" s="20">
        <v>2010</v>
      </c>
      <c r="D403" s="10" t="s">
        <v>34</v>
      </c>
      <c r="E403" s="20">
        <v>10</v>
      </c>
      <c r="F403" s="49">
        <v>4.7140000000000004</v>
      </c>
      <c r="G403" s="50">
        <v>3.3566749999999999E-2</v>
      </c>
      <c r="H403" s="50">
        <v>0</v>
      </c>
      <c r="I403" s="50">
        <v>1.3676026249999997</v>
      </c>
      <c r="J403" s="50">
        <v>0.13498549999999998</v>
      </c>
      <c r="K403" s="50">
        <v>0</v>
      </c>
    </row>
    <row r="404" spans="1:12">
      <c r="A404" s="20">
        <v>1</v>
      </c>
      <c r="B404" s="35">
        <v>40498</v>
      </c>
      <c r="C404" s="20">
        <v>2010</v>
      </c>
      <c r="D404" s="10" t="s">
        <v>35</v>
      </c>
      <c r="E404" s="20">
        <v>11</v>
      </c>
      <c r="F404" s="49">
        <v>1.141</v>
      </c>
      <c r="G404" s="50">
        <v>0</v>
      </c>
      <c r="H404" s="50">
        <v>1.3963124999999996E-2</v>
      </c>
      <c r="I404" s="50">
        <v>0.20565662499999998</v>
      </c>
      <c r="J404" s="50">
        <v>2.4174999999999999E-2</v>
      </c>
      <c r="K404" s="50">
        <v>0</v>
      </c>
    </row>
    <row r="405" spans="1:12">
      <c r="A405" s="20">
        <v>17</v>
      </c>
      <c r="B405" s="35">
        <v>40498</v>
      </c>
      <c r="C405" s="20">
        <v>2010</v>
      </c>
      <c r="D405" s="10" t="s">
        <v>35</v>
      </c>
      <c r="E405" s="20">
        <v>11</v>
      </c>
      <c r="F405" s="49">
        <v>1.087</v>
      </c>
      <c r="G405" s="50">
        <v>0</v>
      </c>
      <c r="H405" s="50">
        <v>0</v>
      </c>
      <c r="I405" s="50">
        <v>0.33632387499999994</v>
      </c>
      <c r="J405" s="50">
        <v>1.4288624999999999E-2</v>
      </c>
      <c r="K405" s="50">
        <v>0</v>
      </c>
    </row>
    <row r="406" spans="1:12">
      <c r="A406" s="20">
        <v>18</v>
      </c>
      <c r="B406" s="35">
        <v>40498</v>
      </c>
      <c r="C406" s="20">
        <v>2010</v>
      </c>
      <c r="D406" s="10" t="s">
        <v>35</v>
      </c>
      <c r="E406" s="20">
        <v>11</v>
      </c>
      <c r="F406" s="49">
        <v>0.95199999999999996</v>
      </c>
      <c r="G406" s="50">
        <v>8.4670000000000006E-3</v>
      </c>
      <c r="H406" s="50">
        <v>0</v>
      </c>
      <c r="I406" s="50">
        <v>0.18444037499999996</v>
      </c>
      <c r="J406" s="50">
        <v>1.0761875000000001E-2</v>
      </c>
      <c r="K406" s="50">
        <v>0</v>
      </c>
    </row>
    <row r="407" spans="1:12">
      <c r="A407" s="20">
        <v>1</v>
      </c>
      <c r="B407" s="35">
        <v>40520</v>
      </c>
      <c r="C407" s="20">
        <v>2010</v>
      </c>
      <c r="D407" s="10" t="s">
        <v>36</v>
      </c>
      <c r="E407" s="20">
        <v>12</v>
      </c>
      <c r="F407" s="49">
        <v>2.4660000000000002</v>
      </c>
      <c r="G407" s="50">
        <v>2.7976250000000001E-2</v>
      </c>
      <c r="H407" s="50">
        <v>0</v>
      </c>
      <c r="I407" s="50">
        <v>0.64702512499999998</v>
      </c>
      <c r="J407" s="50">
        <v>9.0875874999999981E-2</v>
      </c>
      <c r="K407" s="50">
        <v>0</v>
      </c>
    </row>
    <row r="408" spans="1:12">
      <c r="A408" s="20">
        <v>17</v>
      </c>
      <c r="B408" s="35">
        <v>40520</v>
      </c>
      <c r="C408" s="20">
        <v>2010</v>
      </c>
      <c r="D408" s="10" t="s">
        <v>36</v>
      </c>
      <c r="E408" s="20">
        <v>12</v>
      </c>
      <c r="F408" s="49">
        <v>7.1849999999999996</v>
      </c>
      <c r="G408" s="50">
        <v>3.0201250000000002E-2</v>
      </c>
      <c r="H408" s="50">
        <v>0</v>
      </c>
      <c r="I408" s="50">
        <v>3.11772625</v>
      </c>
      <c r="J408" s="50">
        <v>6.7865999999999996E-2</v>
      </c>
      <c r="K408" s="50">
        <v>0</v>
      </c>
    </row>
    <row r="409" spans="1:12">
      <c r="A409" s="20">
        <v>18</v>
      </c>
      <c r="B409" s="35">
        <v>40520</v>
      </c>
      <c r="C409" s="20">
        <v>2010</v>
      </c>
      <c r="D409" s="10" t="s">
        <v>36</v>
      </c>
      <c r="E409" s="20">
        <v>12</v>
      </c>
      <c r="F409" s="49">
        <v>8.9269999999999996</v>
      </c>
      <c r="G409" s="50">
        <v>3.7949999999999991E-2</v>
      </c>
      <c r="H409" s="50">
        <v>0</v>
      </c>
      <c r="I409" s="50">
        <v>3.88593075</v>
      </c>
      <c r="J409" s="50">
        <v>7.3558125000000002E-2</v>
      </c>
      <c r="K409" s="50">
        <v>0</v>
      </c>
    </row>
    <row r="410" spans="1:12">
      <c r="A410" s="20">
        <v>18</v>
      </c>
      <c r="B410" s="35">
        <v>40520</v>
      </c>
      <c r="C410" s="20">
        <v>2010</v>
      </c>
      <c r="D410" s="10" t="s">
        <v>36</v>
      </c>
      <c r="E410" s="20">
        <v>12</v>
      </c>
      <c r="F410" s="49">
        <v>8.9269999999999996</v>
      </c>
      <c r="G410" s="50">
        <v>3.1392125E-2</v>
      </c>
      <c r="H410" s="50">
        <v>5.4832624999999996E-2</v>
      </c>
      <c r="I410" s="50">
        <v>3.3136613750000001</v>
      </c>
      <c r="J410" s="50">
        <v>7.1033874999999996E-2</v>
      </c>
      <c r="K410" s="50">
        <v>0</v>
      </c>
      <c r="L410" t="s">
        <v>39</v>
      </c>
    </row>
    <row r="411" spans="1:12">
      <c r="A411" s="43">
        <v>1</v>
      </c>
      <c r="B411" s="53">
        <v>40562</v>
      </c>
      <c r="C411" s="43">
        <v>2011</v>
      </c>
      <c r="D411" s="45" t="s">
        <v>37</v>
      </c>
      <c r="E411" s="43">
        <v>1</v>
      </c>
      <c r="F411" s="46">
        <v>6.3860000000000001</v>
      </c>
      <c r="G411" s="47">
        <v>3.6332999999999997E-2</v>
      </c>
      <c r="H411" s="47">
        <v>0</v>
      </c>
      <c r="I411" s="47">
        <v>2.6281466249999998</v>
      </c>
      <c r="J411" s="47">
        <v>2.0014125000000001E-2</v>
      </c>
      <c r="K411" s="47">
        <v>0</v>
      </c>
      <c r="L411" s="48"/>
    </row>
    <row r="412" spans="1:12">
      <c r="A412" s="20">
        <v>17</v>
      </c>
      <c r="B412" s="35">
        <v>40562</v>
      </c>
      <c r="C412" s="20">
        <v>2011</v>
      </c>
      <c r="D412" s="10" t="s">
        <v>37</v>
      </c>
      <c r="E412" s="20">
        <v>1</v>
      </c>
      <c r="F412" s="49">
        <v>13.541</v>
      </c>
      <c r="G412" s="50">
        <v>9.8297624999999986E-2</v>
      </c>
      <c r="H412" s="50">
        <v>0.11314362499999998</v>
      </c>
      <c r="I412" s="50">
        <v>6.4535622500000001</v>
      </c>
      <c r="J412" s="50">
        <v>4.3029625000000002E-2</v>
      </c>
      <c r="K412" s="50">
        <v>0</v>
      </c>
    </row>
    <row r="413" spans="1:12">
      <c r="A413" s="20">
        <v>18</v>
      </c>
      <c r="B413" s="35">
        <v>40562</v>
      </c>
      <c r="C413" s="20">
        <v>2011</v>
      </c>
      <c r="D413" s="10" t="s">
        <v>37</v>
      </c>
      <c r="E413" s="20">
        <v>1</v>
      </c>
      <c r="F413" s="49">
        <v>15.566000000000001</v>
      </c>
      <c r="G413" s="50">
        <v>0.11720075000000001</v>
      </c>
      <c r="H413" s="50">
        <v>0</v>
      </c>
      <c r="I413" s="50">
        <v>7.3969151249999996</v>
      </c>
      <c r="J413" s="50">
        <v>5.8347125E-2</v>
      </c>
      <c r="K413" s="50">
        <v>0</v>
      </c>
    </row>
    <row r="414" spans="1:12">
      <c r="A414" s="20">
        <v>1</v>
      </c>
      <c r="B414" s="35">
        <v>40591</v>
      </c>
      <c r="C414" s="20">
        <v>2011</v>
      </c>
      <c r="D414" s="10" t="s">
        <v>26</v>
      </c>
      <c r="E414" s="20">
        <v>2</v>
      </c>
      <c r="F414" s="49">
        <v>4.093</v>
      </c>
      <c r="G414" s="50">
        <v>0.23641999999999996</v>
      </c>
      <c r="H414" s="50">
        <v>0</v>
      </c>
      <c r="I414" s="50">
        <v>0.89400599999999986</v>
      </c>
      <c r="J414" s="50">
        <v>2.6999749999999999E-2</v>
      </c>
      <c r="K414" s="50">
        <v>0</v>
      </c>
    </row>
    <row r="415" spans="1:12">
      <c r="A415" s="20">
        <v>17</v>
      </c>
      <c r="B415" s="35">
        <v>40591</v>
      </c>
      <c r="C415" s="20">
        <v>2011</v>
      </c>
      <c r="D415" s="10" t="s">
        <v>26</v>
      </c>
      <c r="E415" s="20">
        <v>2</v>
      </c>
      <c r="F415" s="49">
        <v>3.5270000000000001</v>
      </c>
      <c r="G415" s="50">
        <v>0.1639515</v>
      </c>
      <c r="H415" s="50">
        <v>0</v>
      </c>
      <c r="I415" s="50">
        <v>1.4924513749999995</v>
      </c>
      <c r="J415" s="50">
        <v>1.1761999999999998E-2</v>
      </c>
      <c r="K415" s="50">
        <v>0</v>
      </c>
    </row>
    <row r="416" spans="1:12">
      <c r="A416" s="20">
        <v>18</v>
      </c>
      <c r="B416" s="35">
        <v>40591</v>
      </c>
      <c r="C416" s="20">
        <v>2011</v>
      </c>
      <c r="D416" s="10" t="s">
        <v>26</v>
      </c>
      <c r="E416" s="20">
        <v>2</v>
      </c>
      <c r="F416" s="49">
        <v>3.7469999999999999</v>
      </c>
      <c r="G416" s="50">
        <v>0.1410515</v>
      </c>
      <c r="H416" s="50">
        <v>0</v>
      </c>
      <c r="I416" s="50">
        <v>1.5328010000000001</v>
      </c>
      <c r="J416" s="50">
        <v>2.4427875000000002E-2</v>
      </c>
      <c r="K416" s="50">
        <v>0</v>
      </c>
    </row>
    <row r="417" spans="1:11">
      <c r="A417" s="20">
        <v>1</v>
      </c>
      <c r="B417" s="35">
        <v>40619</v>
      </c>
      <c r="C417" s="20">
        <v>2011</v>
      </c>
      <c r="D417" s="10" t="s">
        <v>27</v>
      </c>
      <c r="E417" s="20">
        <v>3</v>
      </c>
      <c r="F417" s="49">
        <v>7.6820000000000004</v>
      </c>
      <c r="G417" s="50">
        <v>0</v>
      </c>
      <c r="H417" s="50">
        <v>0</v>
      </c>
      <c r="I417" s="50">
        <v>3.6667293749999996</v>
      </c>
      <c r="J417" s="50">
        <v>2.6990874999999998E-2</v>
      </c>
      <c r="K417" s="50">
        <v>0</v>
      </c>
    </row>
    <row r="418" spans="1:11">
      <c r="A418" s="20">
        <v>17</v>
      </c>
      <c r="B418" s="35">
        <v>40619</v>
      </c>
      <c r="C418" s="20">
        <v>2011</v>
      </c>
      <c r="D418" s="10" t="s">
        <v>27</v>
      </c>
      <c r="E418" s="20">
        <v>3</v>
      </c>
      <c r="F418" s="49">
        <v>8.2309999999999999</v>
      </c>
      <c r="G418" s="50">
        <v>4.0121249999999997E-2</v>
      </c>
      <c r="H418" s="50">
        <v>0</v>
      </c>
      <c r="I418" s="50">
        <v>4.1253609999999989</v>
      </c>
      <c r="J418" s="50">
        <v>2.336825E-2</v>
      </c>
      <c r="K418" s="50">
        <v>0</v>
      </c>
    </row>
    <row r="419" spans="1:11">
      <c r="A419" s="20">
        <v>18</v>
      </c>
      <c r="B419" s="35">
        <v>40619</v>
      </c>
      <c r="C419" s="20">
        <v>2011</v>
      </c>
      <c r="D419" s="10" t="s">
        <v>27</v>
      </c>
      <c r="E419" s="20">
        <v>3</v>
      </c>
      <c r="F419" s="49">
        <v>7.8819999999999997</v>
      </c>
      <c r="G419" s="50">
        <v>3.4324750000000001E-2</v>
      </c>
      <c r="H419" s="50">
        <v>0</v>
      </c>
      <c r="I419" s="50">
        <v>3.8264543750000004</v>
      </c>
      <c r="J419" s="50">
        <v>3.6292875000000002E-2</v>
      </c>
      <c r="K419" s="50">
        <v>0</v>
      </c>
    </row>
    <row r="420" spans="1:11">
      <c r="A420" s="20">
        <v>1</v>
      </c>
      <c r="B420" s="35">
        <v>40646</v>
      </c>
      <c r="C420" s="20">
        <v>2011</v>
      </c>
      <c r="D420" s="10" t="s">
        <v>28</v>
      </c>
      <c r="E420" s="20">
        <v>4</v>
      </c>
      <c r="F420" s="49">
        <v>4.5759999999999996</v>
      </c>
      <c r="G420" s="50">
        <v>6.0753124999999991E-2</v>
      </c>
      <c r="H420" s="50">
        <v>0</v>
      </c>
      <c r="I420" s="50">
        <v>1.5868854999999999</v>
      </c>
      <c r="J420" s="50">
        <v>2.7311874999999992E-2</v>
      </c>
      <c r="K420" s="50">
        <v>0</v>
      </c>
    </row>
    <row r="421" spans="1:11">
      <c r="A421" s="20">
        <v>17</v>
      </c>
      <c r="B421" s="35">
        <v>40646</v>
      </c>
      <c r="C421" s="20">
        <v>2011</v>
      </c>
      <c r="D421" s="10" t="s">
        <v>28</v>
      </c>
      <c r="E421" s="20">
        <v>4</v>
      </c>
      <c r="F421" s="49">
        <v>3.1059999999999999</v>
      </c>
      <c r="G421" s="50">
        <v>2.6166624999999999E-2</v>
      </c>
      <c r="H421" s="50">
        <v>0</v>
      </c>
      <c r="I421" s="50">
        <v>1.3206114999999998</v>
      </c>
      <c r="J421" s="50">
        <v>0</v>
      </c>
      <c r="K421" s="50">
        <v>0</v>
      </c>
    </row>
    <row r="422" spans="1:11">
      <c r="A422" s="20">
        <v>18</v>
      </c>
      <c r="B422" s="35">
        <v>40646</v>
      </c>
      <c r="C422" s="20">
        <v>2011</v>
      </c>
      <c r="D422" s="10" t="s">
        <v>28</v>
      </c>
      <c r="E422" s="20">
        <v>4</v>
      </c>
      <c r="F422" s="49">
        <v>2.5750000000000002</v>
      </c>
      <c r="G422" s="50">
        <v>0</v>
      </c>
      <c r="H422" s="50">
        <v>0</v>
      </c>
      <c r="I422" s="50">
        <v>0.9442895</v>
      </c>
      <c r="J422" s="50">
        <v>0</v>
      </c>
      <c r="K422" s="50">
        <v>0</v>
      </c>
    </row>
    <row r="423" spans="1:11">
      <c r="A423" s="20">
        <v>1</v>
      </c>
      <c r="B423" s="35">
        <v>40681</v>
      </c>
      <c r="C423" s="20">
        <v>2011</v>
      </c>
      <c r="D423" s="10" t="s">
        <v>29</v>
      </c>
      <c r="E423" s="20">
        <v>5</v>
      </c>
      <c r="F423" s="49">
        <v>1.44</v>
      </c>
      <c r="G423" s="50">
        <v>0.15962125000000002</v>
      </c>
      <c r="H423" s="50">
        <v>0</v>
      </c>
      <c r="I423" s="50">
        <v>0.202071375</v>
      </c>
      <c r="J423" s="50">
        <v>2.3752125000000002E-2</v>
      </c>
      <c r="K423" s="50">
        <v>0</v>
      </c>
    </row>
    <row r="424" spans="1:11">
      <c r="A424" s="20">
        <v>17</v>
      </c>
      <c r="B424" s="35">
        <v>40681</v>
      </c>
      <c r="C424" s="20">
        <v>2011</v>
      </c>
      <c r="D424" s="10" t="s">
        <v>29</v>
      </c>
      <c r="E424" s="20">
        <v>5</v>
      </c>
      <c r="F424" s="49">
        <v>1.978</v>
      </c>
      <c r="G424" s="50">
        <v>0.28656237499999998</v>
      </c>
      <c r="H424" s="50">
        <v>0</v>
      </c>
      <c r="I424" s="50">
        <v>0.43863787500000001</v>
      </c>
      <c r="J424" s="50">
        <v>2.4803624999999996E-2</v>
      </c>
      <c r="K424" s="50">
        <v>0</v>
      </c>
    </row>
    <row r="425" spans="1:11">
      <c r="A425" s="20">
        <v>18</v>
      </c>
      <c r="B425" s="35">
        <v>40681</v>
      </c>
      <c r="C425" s="20">
        <v>2011</v>
      </c>
      <c r="D425" s="10" t="s">
        <v>29</v>
      </c>
      <c r="E425" s="20">
        <v>5</v>
      </c>
      <c r="F425" s="49">
        <v>1.7989999999999999</v>
      </c>
      <c r="G425" s="50">
        <v>0.25574750000000002</v>
      </c>
      <c r="H425" s="50">
        <v>0</v>
      </c>
      <c r="I425" s="50">
        <v>0.39948137499999997</v>
      </c>
      <c r="J425" s="50">
        <v>3.0446250000000001E-2</v>
      </c>
      <c r="K425" s="50">
        <v>0</v>
      </c>
    </row>
    <row r="426" spans="1:11">
      <c r="A426" s="20">
        <v>1</v>
      </c>
      <c r="B426" s="35">
        <v>40708</v>
      </c>
      <c r="C426" s="20">
        <v>2011</v>
      </c>
      <c r="D426" s="10" t="s">
        <v>30</v>
      </c>
      <c r="E426" s="20">
        <v>6</v>
      </c>
      <c r="F426" s="49">
        <v>3.72</v>
      </c>
      <c r="G426" s="50">
        <v>0.22857875</v>
      </c>
      <c r="H426" s="50">
        <v>0</v>
      </c>
      <c r="I426" s="50">
        <v>0.63096912500000002</v>
      </c>
      <c r="J426" s="50">
        <v>0.15833187500000004</v>
      </c>
      <c r="K426" s="50">
        <v>0</v>
      </c>
    </row>
    <row r="427" spans="1:11">
      <c r="A427" s="20">
        <v>17</v>
      </c>
      <c r="B427" s="35">
        <v>40708</v>
      </c>
      <c r="C427" s="20">
        <v>2011</v>
      </c>
      <c r="D427" s="10" t="s">
        <v>30</v>
      </c>
      <c r="E427" s="20">
        <v>6</v>
      </c>
      <c r="F427" s="49">
        <v>2.9140000000000001</v>
      </c>
      <c r="G427" s="50">
        <v>0.25150525000000007</v>
      </c>
      <c r="H427" s="50">
        <v>0</v>
      </c>
      <c r="I427" s="50">
        <v>0.77571975000000004</v>
      </c>
      <c r="J427" s="50">
        <v>0.18229324999999993</v>
      </c>
      <c r="K427" s="50">
        <v>0</v>
      </c>
    </row>
    <row r="428" spans="1:11">
      <c r="A428" s="20">
        <v>18</v>
      </c>
      <c r="B428" s="35">
        <v>40708</v>
      </c>
      <c r="C428" s="20">
        <v>2011</v>
      </c>
      <c r="D428" s="10" t="s">
        <v>30</v>
      </c>
      <c r="E428" s="20">
        <v>6</v>
      </c>
      <c r="F428" s="49">
        <v>3.8250000000000002</v>
      </c>
      <c r="G428" s="50">
        <v>0.42403437499999996</v>
      </c>
      <c r="H428" s="50">
        <v>0</v>
      </c>
      <c r="I428" s="50">
        <v>1.0586201249999998</v>
      </c>
      <c r="J428" s="50">
        <v>0.19649912499999997</v>
      </c>
      <c r="K428" s="50">
        <v>0</v>
      </c>
    </row>
    <row r="429" spans="1:11">
      <c r="A429" s="20">
        <v>1</v>
      </c>
      <c r="B429" s="35">
        <v>40735</v>
      </c>
      <c r="C429" s="20">
        <v>2011</v>
      </c>
      <c r="D429" s="10" t="s">
        <v>31</v>
      </c>
      <c r="E429" s="20">
        <v>7</v>
      </c>
      <c r="F429" s="49">
        <v>13.347</v>
      </c>
      <c r="G429" s="50">
        <v>1.2932572499999997</v>
      </c>
      <c r="H429" s="50">
        <v>0</v>
      </c>
      <c r="I429" s="50">
        <v>2.4587737500000006</v>
      </c>
      <c r="J429" s="50">
        <v>0.37248424999999996</v>
      </c>
      <c r="K429" s="50">
        <v>0</v>
      </c>
    </row>
    <row r="430" spans="1:11">
      <c r="A430" s="20">
        <v>17</v>
      </c>
      <c r="B430" s="35">
        <v>40735</v>
      </c>
      <c r="C430" s="20">
        <v>2011</v>
      </c>
      <c r="D430" s="10" t="s">
        <v>31</v>
      </c>
      <c r="E430" s="20">
        <v>7</v>
      </c>
      <c r="F430" s="49">
        <v>8.2550000000000008</v>
      </c>
      <c r="G430" s="50">
        <v>0.11710787499999999</v>
      </c>
      <c r="H430" s="50">
        <v>0</v>
      </c>
      <c r="I430" s="50">
        <v>2.0910592499999998</v>
      </c>
      <c r="J430" s="50">
        <v>0.98744712499999998</v>
      </c>
      <c r="K430" s="50">
        <v>2.4930124999999997E-2</v>
      </c>
    </row>
    <row r="431" spans="1:11">
      <c r="A431" s="20">
        <v>18</v>
      </c>
      <c r="B431" s="35">
        <v>40735</v>
      </c>
      <c r="C431" s="20">
        <v>2011</v>
      </c>
      <c r="D431" s="10" t="s">
        <v>31</v>
      </c>
      <c r="E431" s="20">
        <v>7</v>
      </c>
      <c r="F431" s="49">
        <v>5.2439999999999998</v>
      </c>
      <c r="G431" s="50">
        <v>5.9084374999999995E-2</v>
      </c>
      <c r="H431" s="50">
        <v>0</v>
      </c>
      <c r="I431" s="50">
        <v>0.96602524999999984</v>
      </c>
      <c r="J431" s="50">
        <v>0.79101824999999992</v>
      </c>
      <c r="K431" s="50">
        <v>4.4640999999999993E-2</v>
      </c>
    </row>
    <row r="432" spans="1:11">
      <c r="A432" s="20">
        <v>1</v>
      </c>
      <c r="B432" s="35">
        <v>40771</v>
      </c>
      <c r="C432" s="20">
        <v>2011</v>
      </c>
      <c r="D432" s="10" t="s">
        <v>32</v>
      </c>
      <c r="E432" s="20">
        <v>8</v>
      </c>
      <c r="F432" s="49">
        <v>12.743</v>
      </c>
      <c r="G432" s="50">
        <v>0.41199112499999996</v>
      </c>
      <c r="H432" s="50">
        <v>0</v>
      </c>
      <c r="I432" s="50">
        <v>1.6918343749999998</v>
      </c>
      <c r="J432" s="50">
        <v>0.27486937499999997</v>
      </c>
      <c r="K432" s="50">
        <v>0</v>
      </c>
    </row>
    <row r="433" spans="1:12">
      <c r="A433" s="20">
        <v>17</v>
      </c>
      <c r="B433" s="35">
        <v>40771</v>
      </c>
      <c r="C433" s="20">
        <v>2011</v>
      </c>
      <c r="D433" s="10" t="s">
        <v>32</v>
      </c>
      <c r="E433" s="20">
        <v>8</v>
      </c>
      <c r="F433" s="49">
        <v>6.6539999999999999</v>
      </c>
      <c r="G433" s="50">
        <v>0.54271550000000002</v>
      </c>
      <c r="H433" s="50">
        <v>0</v>
      </c>
      <c r="I433" s="50">
        <v>1.4597007499999999</v>
      </c>
      <c r="J433" s="50">
        <v>0.10035400000000003</v>
      </c>
      <c r="K433" s="50">
        <v>0</v>
      </c>
    </row>
    <row r="434" spans="1:12">
      <c r="A434" s="20">
        <v>18</v>
      </c>
      <c r="B434" s="35">
        <v>40771</v>
      </c>
      <c r="C434" s="20">
        <v>2011</v>
      </c>
      <c r="D434" s="10" t="s">
        <v>32</v>
      </c>
      <c r="E434" s="20">
        <v>8</v>
      </c>
      <c r="F434" s="49">
        <v>8.76</v>
      </c>
      <c r="G434" s="50">
        <v>0.5389267499999999</v>
      </c>
      <c r="H434" s="50">
        <v>0</v>
      </c>
      <c r="I434" s="50">
        <v>1.9488198750000003</v>
      </c>
      <c r="J434" s="50">
        <v>1.0001374999999999</v>
      </c>
      <c r="K434" s="50">
        <v>0</v>
      </c>
    </row>
    <row r="435" spans="1:12">
      <c r="A435" s="20">
        <v>1</v>
      </c>
      <c r="B435" s="35">
        <v>40799</v>
      </c>
      <c r="C435" s="20">
        <v>2011</v>
      </c>
      <c r="D435" s="10" t="s">
        <v>38</v>
      </c>
      <c r="E435" s="20">
        <v>9</v>
      </c>
      <c r="F435" s="49">
        <v>9.2149999999999999</v>
      </c>
      <c r="G435" s="50">
        <v>1.0692600000000001</v>
      </c>
      <c r="H435" s="50">
        <v>0</v>
      </c>
      <c r="I435" s="50">
        <v>1.7171538749999999</v>
      </c>
      <c r="J435" s="50">
        <v>0.2211765</v>
      </c>
      <c r="K435" s="50">
        <v>0</v>
      </c>
    </row>
    <row r="436" spans="1:12">
      <c r="A436" s="20">
        <v>17</v>
      </c>
      <c r="B436" s="35">
        <v>40799</v>
      </c>
      <c r="C436" s="20">
        <v>2011</v>
      </c>
      <c r="D436" s="10" t="s">
        <v>38</v>
      </c>
      <c r="E436" s="20">
        <v>9</v>
      </c>
      <c r="F436" s="49">
        <v>5.7110000000000003</v>
      </c>
      <c r="G436" s="50">
        <v>0.62089987499999999</v>
      </c>
      <c r="H436" s="50">
        <v>0</v>
      </c>
      <c r="I436" s="50">
        <v>1.3902466249999998</v>
      </c>
      <c r="J436" s="50">
        <v>0.246921375</v>
      </c>
      <c r="K436" s="50">
        <v>0</v>
      </c>
    </row>
    <row r="437" spans="1:12">
      <c r="A437" s="20">
        <v>18</v>
      </c>
      <c r="B437" s="35">
        <v>40799</v>
      </c>
      <c r="C437" s="20">
        <v>2011</v>
      </c>
      <c r="D437" s="10" t="s">
        <v>38</v>
      </c>
      <c r="E437" s="20">
        <v>9</v>
      </c>
      <c r="F437" s="49">
        <v>5.6609999999999996</v>
      </c>
      <c r="G437" s="50">
        <v>0.42867787499999993</v>
      </c>
      <c r="H437" s="50">
        <v>0</v>
      </c>
      <c r="I437" s="50">
        <v>1.5611623750000001</v>
      </c>
      <c r="J437" s="50">
        <v>0.35634374999999996</v>
      </c>
      <c r="K437" s="50">
        <v>0</v>
      </c>
    </row>
    <row r="438" spans="1:12">
      <c r="A438" s="20">
        <v>1</v>
      </c>
      <c r="B438" s="35">
        <v>40827</v>
      </c>
      <c r="C438" s="20">
        <v>2011</v>
      </c>
      <c r="D438" s="10" t="s">
        <v>34</v>
      </c>
      <c r="E438" s="20">
        <v>10</v>
      </c>
      <c r="F438" s="52">
        <v>19.387</v>
      </c>
      <c r="G438" s="54">
        <v>0.34101025000000001</v>
      </c>
      <c r="H438" s="54">
        <v>0</v>
      </c>
      <c r="I438" s="54">
        <v>7.6462517500000002</v>
      </c>
      <c r="J438" s="54">
        <v>0.112805</v>
      </c>
      <c r="K438" s="54">
        <v>0</v>
      </c>
    </row>
    <row r="439" spans="1:12">
      <c r="A439" s="20">
        <v>17</v>
      </c>
      <c r="B439" s="35">
        <v>40827</v>
      </c>
      <c r="C439" s="20">
        <v>2011</v>
      </c>
      <c r="D439" s="10" t="s">
        <v>34</v>
      </c>
      <c r="E439" s="20">
        <v>10</v>
      </c>
      <c r="F439" s="52">
        <v>30.335999999999999</v>
      </c>
      <c r="G439" s="50">
        <v>0.28854475000000002</v>
      </c>
      <c r="H439" s="50">
        <v>0</v>
      </c>
      <c r="I439" s="50">
        <v>15.150415499999998</v>
      </c>
      <c r="J439" s="50">
        <v>0.17064674999999999</v>
      </c>
      <c r="K439" s="50">
        <v>0</v>
      </c>
    </row>
    <row r="440" spans="1:12">
      <c r="A440" s="20">
        <v>18</v>
      </c>
      <c r="B440" s="35">
        <v>40827</v>
      </c>
      <c r="C440" s="20">
        <v>2011</v>
      </c>
      <c r="D440" s="10" t="s">
        <v>34</v>
      </c>
      <c r="E440" s="20">
        <v>10</v>
      </c>
      <c r="F440" s="52">
        <v>9.0340000000000007</v>
      </c>
      <c r="G440" s="50">
        <v>0.2316955</v>
      </c>
      <c r="H440" s="50">
        <v>0</v>
      </c>
      <c r="I440" s="50">
        <v>3.5095037499999995</v>
      </c>
      <c r="J440" s="50">
        <v>8.6405250000000003E-2</v>
      </c>
      <c r="K440" s="50">
        <v>0</v>
      </c>
    </row>
    <row r="441" spans="1:12">
      <c r="A441" s="20">
        <v>1</v>
      </c>
      <c r="B441" s="55">
        <v>40862</v>
      </c>
      <c r="C441" s="20">
        <v>2011</v>
      </c>
      <c r="D441" s="10" t="s">
        <v>35</v>
      </c>
      <c r="E441" s="20">
        <v>11</v>
      </c>
      <c r="F441" s="52">
        <v>2.7909999999999999</v>
      </c>
      <c r="G441" s="50">
        <v>4.7099124999999999E-2</v>
      </c>
      <c r="H441" s="50">
        <v>0</v>
      </c>
      <c r="I441" s="50">
        <v>0.82970712499999988</v>
      </c>
      <c r="J441" s="50">
        <v>3.049025E-2</v>
      </c>
      <c r="K441" s="50">
        <v>0</v>
      </c>
    </row>
    <row r="442" spans="1:12">
      <c r="A442" s="20">
        <v>17</v>
      </c>
      <c r="B442" s="55">
        <v>40862</v>
      </c>
      <c r="C442" s="20">
        <v>2011</v>
      </c>
      <c r="D442" s="10" t="s">
        <v>35</v>
      </c>
      <c r="E442" s="20">
        <v>11</v>
      </c>
      <c r="F442" s="52">
        <v>5.7450000000000001</v>
      </c>
      <c r="G442" s="50">
        <v>3.0206624999999997E-2</v>
      </c>
      <c r="H442" s="50">
        <v>5.6936874999999991E-2</v>
      </c>
      <c r="I442" s="50">
        <v>2.5973988749999997</v>
      </c>
      <c r="J442" s="50">
        <v>3.7591375000000003E-2</v>
      </c>
      <c r="K442" s="50">
        <v>0</v>
      </c>
    </row>
    <row r="443" spans="1:12">
      <c r="A443" s="20">
        <v>18</v>
      </c>
      <c r="B443" s="55">
        <v>40862</v>
      </c>
      <c r="C443" s="20">
        <v>2011</v>
      </c>
      <c r="D443" s="10" t="s">
        <v>35</v>
      </c>
      <c r="E443" s="20">
        <v>11</v>
      </c>
      <c r="F443" s="52">
        <v>5.6529999999999996</v>
      </c>
      <c r="G443" s="50">
        <v>4.0707125000000004E-2</v>
      </c>
      <c r="H443" s="50">
        <v>3.5767749999999994E-2</v>
      </c>
      <c r="I443" s="50">
        <v>2.4395321249999999</v>
      </c>
      <c r="J443" s="50">
        <v>3.9612874999999999E-2</v>
      </c>
      <c r="K443" s="50">
        <v>0</v>
      </c>
    </row>
    <row r="444" spans="1:12">
      <c r="A444" s="20">
        <v>1</v>
      </c>
      <c r="B444" s="55">
        <v>40890</v>
      </c>
      <c r="C444" s="20">
        <v>2011</v>
      </c>
      <c r="D444" s="10" t="s">
        <v>36</v>
      </c>
      <c r="E444" s="20">
        <v>12</v>
      </c>
      <c r="F444" s="52">
        <v>2.3290000000000002</v>
      </c>
      <c r="G444" s="50">
        <v>5.8415874999999999E-2</v>
      </c>
      <c r="H444" s="50">
        <v>0</v>
      </c>
      <c r="I444" s="50">
        <v>0.557828875</v>
      </c>
      <c r="J444" s="50">
        <v>2.0709374999999999E-2</v>
      </c>
      <c r="K444" s="50">
        <v>0</v>
      </c>
    </row>
    <row r="445" spans="1:12">
      <c r="A445" s="20">
        <v>17</v>
      </c>
      <c r="B445" s="55">
        <v>40890</v>
      </c>
      <c r="C445" s="20">
        <v>2011</v>
      </c>
      <c r="D445" s="10" t="s">
        <v>36</v>
      </c>
      <c r="E445" s="20">
        <v>12</v>
      </c>
      <c r="F445" s="52">
        <v>4.0019999999999998</v>
      </c>
      <c r="G445" s="50">
        <v>9.9813249999999992E-2</v>
      </c>
      <c r="H445" s="50">
        <v>0</v>
      </c>
      <c r="I445" s="50">
        <v>1.6900222499999999</v>
      </c>
      <c r="J445" s="50">
        <v>2.5033749999999994E-2</v>
      </c>
      <c r="K445" s="50">
        <v>0</v>
      </c>
    </row>
    <row r="446" spans="1:12">
      <c r="A446" s="20">
        <v>18</v>
      </c>
      <c r="B446" s="55">
        <v>40890</v>
      </c>
      <c r="C446" s="20">
        <v>2011</v>
      </c>
      <c r="D446" s="10" t="s">
        <v>36</v>
      </c>
      <c r="E446" s="20">
        <v>12</v>
      </c>
      <c r="F446" s="52">
        <v>1.9750000000000001</v>
      </c>
      <c r="G446" s="50">
        <v>6.1688500000000007E-2</v>
      </c>
      <c r="H446" s="50">
        <v>0</v>
      </c>
      <c r="I446" s="50">
        <v>0.65601837499999993</v>
      </c>
      <c r="J446" s="50">
        <v>1.7874375000000001E-2</v>
      </c>
      <c r="K446" s="50">
        <v>0</v>
      </c>
    </row>
    <row r="447" spans="1:12">
      <c r="A447" s="43">
        <v>1</v>
      </c>
      <c r="B447" s="53">
        <v>40917</v>
      </c>
      <c r="C447" s="43">
        <v>2012</v>
      </c>
      <c r="D447" s="45" t="s">
        <v>37</v>
      </c>
      <c r="E447" s="43">
        <v>1</v>
      </c>
      <c r="F447" s="56">
        <v>4.7460000000000004</v>
      </c>
      <c r="G447" s="47">
        <v>6.1985749999999978E-2</v>
      </c>
      <c r="H447" s="47">
        <v>0</v>
      </c>
      <c r="I447" s="47">
        <v>1.3407332499999998</v>
      </c>
      <c r="J447" s="47">
        <v>4.5291499999999991E-2</v>
      </c>
      <c r="K447" s="47">
        <v>0</v>
      </c>
      <c r="L447" s="48"/>
    </row>
    <row r="448" spans="1:12">
      <c r="A448" s="20">
        <v>17</v>
      </c>
      <c r="B448" s="35">
        <v>40917</v>
      </c>
      <c r="C448" s="20">
        <v>2012</v>
      </c>
      <c r="D448" s="10" t="s">
        <v>37</v>
      </c>
      <c r="E448" s="20">
        <v>1</v>
      </c>
      <c r="F448" s="57">
        <v>10.285</v>
      </c>
      <c r="G448" s="50">
        <v>7.5661875000000003E-2</v>
      </c>
      <c r="H448" s="50">
        <v>5.1193624999999993E-2</v>
      </c>
      <c r="I448" s="50">
        <v>5.1590927499999992</v>
      </c>
      <c r="J448" s="50">
        <v>1.8464624999999998E-2</v>
      </c>
      <c r="K448" s="50">
        <v>0</v>
      </c>
    </row>
    <row r="449" spans="1:11">
      <c r="A449" s="20">
        <v>18</v>
      </c>
      <c r="B449" s="35">
        <v>40917</v>
      </c>
      <c r="C449" s="20">
        <v>2012</v>
      </c>
      <c r="D449" s="10" t="s">
        <v>37</v>
      </c>
      <c r="E449" s="20">
        <v>1</v>
      </c>
      <c r="F449" s="57">
        <v>3.9940000000000002</v>
      </c>
      <c r="G449" s="50">
        <v>5.8260624999999996E-2</v>
      </c>
      <c r="H449" s="50">
        <v>0</v>
      </c>
      <c r="I449" s="50">
        <v>1.8027686249999997</v>
      </c>
      <c r="J449" s="50">
        <v>2.0099124999999995E-2</v>
      </c>
      <c r="K449" s="50">
        <v>0</v>
      </c>
    </row>
    <row r="450" spans="1:11">
      <c r="A450" s="20">
        <v>1</v>
      </c>
      <c r="B450" s="35">
        <v>40962</v>
      </c>
      <c r="C450" s="20">
        <v>2012</v>
      </c>
      <c r="D450" s="10" t="s">
        <v>26</v>
      </c>
      <c r="E450" s="20">
        <v>2</v>
      </c>
      <c r="F450" s="57">
        <v>11.262</v>
      </c>
      <c r="G450" s="50">
        <v>9.442749999999997E-2</v>
      </c>
      <c r="H450" s="50">
        <v>0.14214737499999999</v>
      </c>
      <c r="I450" s="50">
        <v>7.1280816250000001</v>
      </c>
      <c r="J450" s="50">
        <v>6.2926999999999997E-2</v>
      </c>
      <c r="K450" s="50">
        <v>0</v>
      </c>
    </row>
    <row r="451" spans="1:11">
      <c r="A451" s="20">
        <v>17</v>
      </c>
      <c r="B451" s="35">
        <v>40962</v>
      </c>
      <c r="C451" s="20">
        <v>2012</v>
      </c>
      <c r="D451" s="10" t="s">
        <v>26</v>
      </c>
      <c r="E451" s="20">
        <v>2</v>
      </c>
      <c r="F451" s="57">
        <v>22.803999999999998</v>
      </c>
      <c r="G451" s="50">
        <v>0.21427433333333329</v>
      </c>
      <c r="H451" s="50">
        <v>0.45448483333333328</v>
      </c>
      <c r="I451" s="50">
        <v>14.744191166666667</v>
      </c>
      <c r="J451" s="50">
        <v>6.4279166666666665E-2</v>
      </c>
      <c r="K451" s="50">
        <v>0</v>
      </c>
    </row>
    <row r="452" spans="1:11">
      <c r="A452" s="20">
        <v>18</v>
      </c>
      <c r="B452" s="35">
        <v>40962</v>
      </c>
      <c r="C452" s="20">
        <v>2012</v>
      </c>
      <c r="D452" s="10" t="s">
        <v>26</v>
      </c>
      <c r="E452" s="20">
        <v>2</v>
      </c>
      <c r="F452" s="57">
        <v>16.109000000000002</v>
      </c>
      <c r="G452" s="50">
        <v>0.15991012499999999</v>
      </c>
      <c r="H452" s="50">
        <v>0.27555825</v>
      </c>
      <c r="I452" s="50">
        <v>10.292261999999997</v>
      </c>
      <c r="J452" s="50">
        <v>6.4516249999999997E-2</v>
      </c>
      <c r="K452" s="50">
        <v>0</v>
      </c>
    </row>
    <row r="453" spans="1:11">
      <c r="A453" s="20">
        <v>1</v>
      </c>
      <c r="B453" s="35">
        <v>40980</v>
      </c>
      <c r="C453" s="20">
        <v>2012</v>
      </c>
      <c r="D453" s="10" t="s">
        <v>27</v>
      </c>
      <c r="E453" s="20">
        <v>3</v>
      </c>
      <c r="F453" s="57">
        <v>5.2960000000000003</v>
      </c>
      <c r="G453" s="50">
        <v>0.10889562499999998</v>
      </c>
      <c r="H453" s="50">
        <v>4.9259624999999994E-2</v>
      </c>
      <c r="I453" s="50">
        <v>3.1396644999999999</v>
      </c>
      <c r="J453" s="50">
        <v>6.4036124999999999E-2</v>
      </c>
      <c r="K453" s="50">
        <v>0</v>
      </c>
    </row>
    <row r="454" spans="1:11">
      <c r="A454" s="20">
        <v>17</v>
      </c>
      <c r="B454" s="35">
        <v>40980</v>
      </c>
      <c r="C454" s="20">
        <v>2012</v>
      </c>
      <c r="D454" s="10" t="s">
        <v>27</v>
      </c>
      <c r="E454" s="20">
        <v>3</v>
      </c>
      <c r="F454" s="57">
        <v>12.057</v>
      </c>
      <c r="G454" s="50">
        <v>0.15609824999999999</v>
      </c>
      <c r="H454" s="50">
        <v>9.3612000000000001E-2</v>
      </c>
      <c r="I454" s="50">
        <v>8.6592324999999999</v>
      </c>
      <c r="J454" s="50">
        <v>4.3167124999999994E-2</v>
      </c>
      <c r="K454" s="50">
        <v>0</v>
      </c>
    </row>
    <row r="455" spans="1:11">
      <c r="A455" s="20">
        <v>18</v>
      </c>
      <c r="B455" s="35">
        <v>40980</v>
      </c>
      <c r="C455" s="20">
        <v>2012</v>
      </c>
      <c r="D455" s="10" t="s">
        <v>27</v>
      </c>
      <c r="E455" s="20">
        <v>3</v>
      </c>
      <c r="F455" s="57">
        <v>3.456</v>
      </c>
      <c r="G455" s="50">
        <v>4.0761625000000003E-2</v>
      </c>
      <c r="H455" s="50">
        <v>0</v>
      </c>
      <c r="I455" s="50">
        <v>1.4487775000000001</v>
      </c>
      <c r="J455" s="50">
        <v>6.7637375E-2</v>
      </c>
      <c r="K455" s="50">
        <v>0</v>
      </c>
    </row>
    <row r="456" spans="1:11">
      <c r="A456" s="20">
        <v>1</v>
      </c>
      <c r="B456" s="35">
        <v>41015</v>
      </c>
      <c r="C456" s="20">
        <v>2012</v>
      </c>
      <c r="D456" s="10" t="s">
        <v>28</v>
      </c>
      <c r="E456" s="20">
        <v>4</v>
      </c>
      <c r="F456" s="49">
        <v>1.6080000000000001</v>
      </c>
      <c r="G456" s="50">
        <v>0</v>
      </c>
      <c r="H456" s="50">
        <v>0</v>
      </c>
      <c r="I456" s="50">
        <v>0.6772062499999999</v>
      </c>
      <c r="J456" s="50">
        <v>1.8827750000000004E-2</v>
      </c>
      <c r="K456" s="50">
        <v>0</v>
      </c>
    </row>
    <row r="457" spans="1:11">
      <c r="A457" s="20">
        <v>17</v>
      </c>
      <c r="B457" s="35">
        <v>41015</v>
      </c>
      <c r="C457" s="20">
        <v>2012</v>
      </c>
      <c r="D457" s="10" t="s">
        <v>28</v>
      </c>
      <c r="E457" s="20">
        <v>4</v>
      </c>
      <c r="F457" s="49">
        <v>1.4930000000000001</v>
      </c>
      <c r="G457" s="50">
        <v>0</v>
      </c>
      <c r="H457" s="50">
        <v>0</v>
      </c>
      <c r="I457" s="50">
        <v>0.64273950000000002</v>
      </c>
      <c r="J457" s="50">
        <v>1.9624625E-2</v>
      </c>
      <c r="K457" s="50">
        <v>0</v>
      </c>
    </row>
    <row r="458" spans="1:11">
      <c r="A458" s="20">
        <v>18</v>
      </c>
      <c r="B458" s="35">
        <v>41015</v>
      </c>
      <c r="C458" s="20">
        <v>2012</v>
      </c>
      <c r="D458" s="10" t="s">
        <v>28</v>
      </c>
      <c r="E458" s="20">
        <v>4</v>
      </c>
      <c r="F458" s="49">
        <v>1.5089999999999999</v>
      </c>
      <c r="G458" s="50">
        <v>0</v>
      </c>
      <c r="H458" s="50">
        <v>0</v>
      </c>
      <c r="I458" s="50">
        <v>0.47751887499999995</v>
      </c>
      <c r="J458" s="50">
        <v>2.8880874999999997E-2</v>
      </c>
      <c r="K458" s="50">
        <v>0</v>
      </c>
    </row>
    <row r="459" spans="1:11">
      <c r="A459" s="20">
        <v>1</v>
      </c>
      <c r="B459" s="35">
        <v>41045</v>
      </c>
      <c r="C459" s="20">
        <v>2012</v>
      </c>
      <c r="D459" s="10" t="s">
        <v>29</v>
      </c>
      <c r="E459" s="20">
        <v>5</v>
      </c>
      <c r="F459" s="49">
        <v>4.4130000000000003</v>
      </c>
      <c r="G459" s="50">
        <v>3.7142124999999991E-2</v>
      </c>
      <c r="H459" s="50">
        <v>0.10824612499999998</v>
      </c>
      <c r="I459" s="50">
        <v>2.1236721250000001</v>
      </c>
      <c r="J459" s="50">
        <v>4.6744249999999994E-2</v>
      </c>
      <c r="K459" s="50">
        <v>0</v>
      </c>
    </row>
    <row r="460" spans="1:11">
      <c r="A460" s="20">
        <v>17</v>
      </c>
      <c r="B460" s="35">
        <v>41045</v>
      </c>
      <c r="C460" s="20">
        <v>2012</v>
      </c>
      <c r="D460" s="10" t="s">
        <v>29</v>
      </c>
      <c r="E460" s="20">
        <v>5</v>
      </c>
      <c r="F460" s="49">
        <v>4.45</v>
      </c>
      <c r="G460" s="50">
        <v>5.6777499999999995E-2</v>
      </c>
      <c r="H460" s="50">
        <v>0.25750137499999998</v>
      </c>
      <c r="I460" s="50">
        <v>2.2567783749999997</v>
      </c>
      <c r="J460" s="50">
        <v>4.8279500000000003E-2</v>
      </c>
      <c r="K460" s="50">
        <v>0</v>
      </c>
    </row>
    <row r="461" spans="1:11">
      <c r="A461" s="20">
        <v>18</v>
      </c>
      <c r="B461" s="35">
        <v>41045</v>
      </c>
      <c r="C461" s="20">
        <v>2012</v>
      </c>
      <c r="D461" s="10" t="s">
        <v>29</v>
      </c>
      <c r="E461" s="20">
        <v>5</v>
      </c>
      <c r="F461" s="49">
        <v>5.343</v>
      </c>
      <c r="G461" s="50">
        <v>9.3169500000000016E-2</v>
      </c>
      <c r="H461" s="50">
        <v>0.155727375</v>
      </c>
      <c r="I461" s="50">
        <v>2.5379732499999998</v>
      </c>
      <c r="J461" s="50">
        <v>6.8983000000000003E-2</v>
      </c>
      <c r="K461" s="50">
        <v>0</v>
      </c>
    </row>
    <row r="462" spans="1:11">
      <c r="A462" s="20">
        <v>1</v>
      </c>
      <c r="B462" s="35">
        <v>41073</v>
      </c>
      <c r="C462" s="20">
        <v>2012</v>
      </c>
      <c r="D462" s="10" t="s">
        <v>30</v>
      </c>
      <c r="E462" s="20">
        <v>6</v>
      </c>
      <c r="F462" s="49">
        <v>5.7510000000000003</v>
      </c>
      <c r="G462" s="50">
        <v>0.12935374999999999</v>
      </c>
      <c r="H462" s="50">
        <v>4.422425E-2</v>
      </c>
      <c r="I462" s="50">
        <v>1.8353336250000003</v>
      </c>
      <c r="J462" s="50">
        <v>0.33436587499999998</v>
      </c>
      <c r="K462" s="50">
        <v>0</v>
      </c>
    </row>
    <row r="463" spans="1:11">
      <c r="A463" s="20">
        <v>17</v>
      </c>
      <c r="B463" s="35">
        <v>41073</v>
      </c>
      <c r="C463" s="20">
        <v>2012</v>
      </c>
      <c r="D463" s="10" t="s">
        <v>30</v>
      </c>
      <c r="E463" s="20">
        <v>6</v>
      </c>
      <c r="F463" s="49">
        <v>5.8970000000000002</v>
      </c>
      <c r="G463" s="50">
        <v>0.42449962499999999</v>
      </c>
      <c r="H463" s="50">
        <v>8.0149750000000006E-2</v>
      </c>
      <c r="I463" s="50">
        <v>2.8512401249999995</v>
      </c>
      <c r="J463" s="50">
        <v>6.4409750000000002E-2</v>
      </c>
      <c r="K463" s="50">
        <v>0</v>
      </c>
    </row>
    <row r="464" spans="1:11">
      <c r="A464" s="20">
        <v>18</v>
      </c>
      <c r="B464" s="35">
        <v>41073</v>
      </c>
      <c r="C464" s="20">
        <v>2012</v>
      </c>
      <c r="D464" s="10" t="s">
        <v>30</v>
      </c>
      <c r="E464" s="20">
        <v>6</v>
      </c>
      <c r="F464" s="49">
        <v>8.2430000000000003</v>
      </c>
      <c r="G464" s="50">
        <v>8.4842374999999984E-2</v>
      </c>
      <c r="H464" s="50">
        <v>0</v>
      </c>
      <c r="I464" s="50">
        <v>3.0141598749999998</v>
      </c>
      <c r="J464" s="50">
        <v>0.31920874999999999</v>
      </c>
      <c r="K464" s="50">
        <v>0</v>
      </c>
    </row>
    <row r="465" spans="1:11">
      <c r="A465" s="20">
        <v>1</v>
      </c>
      <c r="B465" s="35">
        <v>41107</v>
      </c>
      <c r="C465" s="20">
        <v>2012</v>
      </c>
      <c r="D465" s="10" t="s">
        <v>31</v>
      </c>
      <c r="E465" s="20">
        <v>7</v>
      </c>
      <c r="F465" s="49">
        <v>8.2539999999999996</v>
      </c>
      <c r="G465" s="50">
        <v>9.472812500000001E-2</v>
      </c>
      <c r="H465" s="50">
        <v>0</v>
      </c>
      <c r="I465" s="50">
        <v>2.9198668749999999</v>
      </c>
      <c r="J465" s="50">
        <v>0.239925375</v>
      </c>
      <c r="K465" s="50">
        <v>0</v>
      </c>
    </row>
    <row r="466" spans="1:11">
      <c r="A466" s="20">
        <v>17</v>
      </c>
      <c r="B466" s="35">
        <v>41107</v>
      </c>
      <c r="C466" s="20">
        <v>2012</v>
      </c>
      <c r="D466" s="10" t="s">
        <v>31</v>
      </c>
      <c r="E466" s="20">
        <v>7</v>
      </c>
      <c r="F466" s="49">
        <v>8.0850000000000009</v>
      </c>
      <c r="G466" s="50">
        <v>0.19788887499999999</v>
      </c>
      <c r="H466" s="50">
        <v>0</v>
      </c>
      <c r="I466" s="50">
        <v>2.9509516250000001</v>
      </c>
      <c r="J466" s="50">
        <v>2.6998749999999996E-3</v>
      </c>
      <c r="K466" s="50">
        <v>0</v>
      </c>
    </row>
    <row r="467" spans="1:11">
      <c r="A467" s="20">
        <v>18</v>
      </c>
      <c r="B467" s="35">
        <v>41107</v>
      </c>
      <c r="C467" s="20">
        <v>2012</v>
      </c>
      <c r="D467" s="10" t="s">
        <v>31</v>
      </c>
      <c r="E467" s="20">
        <v>7</v>
      </c>
      <c r="F467" s="49">
        <v>5.4820000000000002</v>
      </c>
      <c r="G467" s="50">
        <v>0.12186524999999999</v>
      </c>
      <c r="H467" s="50">
        <v>0</v>
      </c>
      <c r="I467" s="50">
        <v>1.9052411250000001</v>
      </c>
      <c r="J467" s="50">
        <v>0.25436950000000003</v>
      </c>
      <c r="K467" s="50">
        <v>0</v>
      </c>
    </row>
    <row r="468" spans="1:11">
      <c r="A468" s="20">
        <v>1</v>
      </c>
      <c r="B468" s="35">
        <v>41135</v>
      </c>
      <c r="C468" s="20">
        <v>2012</v>
      </c>
      <c r="D468" s="10" t="s">
        <v>32</v>
      </c>
      <c r="E468" s="20">
        <v>8</v>
      </c>
      <c r="F468" s="49">
        <v>11.004</v>
      </c>
      <c r="G468" s="50">
        <v>0.72191875000000005</v>
      </c>
      <c r="H468" s="50">
        <v>0</v>
      </c>
      <c r="I468" s="50">
        <v>3.7693638749999994</v>
      </c>
      <c r="J468" s="50">
        <v>0.49703550000000002</v>
      </c>
      <c r="K468" s="50">
        <v>0</v>
      </c>
    </row>
    <row r="469" spans="1:11">
      <c r="A469" s="20">
        <v>17</v>
      </c>
      <c r="B469" s="35">
        <v>41135</v>
      </c>
      <c r="C469" s="20">
        <v>2012</v>
      </c>
      <c r="D469" s="10" t="s">
        <v>32</v>
      </c>
      <c r="E469" s="20">
        <v>8</v>
      </c>
      <c r="F469" s="49">
        <v>11.523999999999999</v>
      </c>
      <c r="G469" s="50">
        <v>0.49924887499999998</v>
      </c>
      <c r="H469" s="50">
        <v>0</v>
      </c>
      <c r="I469" s="50">
        <v>4.9662823749999987</v>
      </c>
      <c r="J469" s="50">
        <v>0.58554012499999997</v>
      </c>
      <c r="K469" s="50">
        <v>0</v>
      </c>
    </row>
    <row r="470" spans="1:11">
      <c r="A470" s="20">
        <v>18</v>
      </c>
      <c r="B470" s="35">
        <v>41135</v>
      </c>
      <c r="C470" s="20">
        <v>2012</v>
      </c>
      <c r="D470" s="10" t="s">
        <v>32</v>
      </c>
      <c r="E470" s="20">
        <v>8</v>
      </c>
      <c r="F470" s="49">
        <v>12.27</v>
      </c>
      <c r="G470" s="50">
        <v>0.18151512499999997</v>
      </c>
      <c r="H470" s="50">
        <v>0</v>
      </c>
      <c r="I470" s="50">
        <v>4.1902286249999996</v>
      </c>
      <c r="J470" s="50">
        <v>1.5350522499999997</v>
      </c>
      <c r="K470" s="50">
        <v>4.8723500000000003E-2</v>
      </c>
    </row>
    <row r="471" spans="1:11">
      <c r="A471" s="20">
        <v>1</v>
      </c>
      <c r="B471" s="35">
        <v>41164</v>
      </c>
      <c r="C471" s="20">
        <v>2012</v>
      </c>
      <c r="D471" s="10" t="s">
        <v>38</v>
      </c>
      <c r="E471" s="20">
        <v>9</v>
      </c>
      <c r="F471" s="49">
        <v>9.9719999999999995</v>
      </c>
      <c r="G471" s="50">
        <v>7.7073499999999989E-2</v>
      </c>
      <c r="H471" s="50">
        <v>0</v>
      </c>
      <c r="I471" s="50">
        <v>4.575053875</v>
      </c>
      <c r="J471" s="50">
        <v>0.34494412499999993</v>
      </c>
      <c r="K471" s="50">
        <v>0</v>
      </c>
    </row>
    <row r="472" spans="1:11">
      <c r="A472" s="20">
        <v>17</v>
      </c>
      <c r="B472" s="35">
        <v>41164</v>
      </c>
      <c r="C472" s="20">
        <v>2012</v>
      </c>
      <c r="D472" s="10" t="s">
        <v>38</v>
      </c>
      <c r="E472" s="20">
        <v>9</v>
      </c>
      <c r="F472" s="49">
        <v>12.736000000000001</v>
      </c>
      <c r="G472" s="50">
        <v>0</v>
      </c>
      <c r="H472" s="50">
        <v>0</v>
      </c>
      <c r="I472" s="50">
        <v>6.8171262499999985</v>
      </c>
      <c r="J472" s="50">
        <v>0.30021662500000001</v>
      </c>
      <c r="K472" s="50">
        <v>0</v>
      </c>
    </row>
    <row r="473" spans="1:11">
      <c r="A473" s="20">
        <v>18</v>
      </c>
      <c r="B473" s="35">
        <v>41164</v>
      </c>
      <c r="C473" s="20">
        <v>2012</v>
      </c>
      <c r="D473" s="10" t="s">
        <v>38</v>
      </c>
      <c r="E473" s="20">
        <v>9</v>
      </c>
      <c r="F473" s="49">
        <v>9.218</v>
      </c>
      <c r="G473" s="50">
        <v>0</v>
      </c>
      <c r="H473" s="50">
        <v>0</v>
      </c>
      <c r="I473" s="50">
        <v>4.5910902499999997</v>
      </c>
      <c r="J473" s="50">
        <v>0.28028087499999993</v>
      </c>
      <c r="K473" s="50">
        <v>0</v>
      </c>
    </row>
    <row r="474" spans="1:11">
      <c r="A474" s="20">
        <v>1</v>
      </c>
      <c r="B474" s="35">
        <v>41200</v>
      </c>
      <c r="C474" s="20">
        <v>2012</v>
      </c>
      <c r="D474" s="10" t="s">
        <v>34</v>
      </c>
      <c r="E474" s="20">
        <v>10</v>
      </c>
      <c r="F474" s="49">
        <v>3.069</v>
      </c>
      <c r="G474" s="50">
        <v>4.5039374999999993E-2</v>
      </c>
      <c r="H474" s="50">
        <v>0</v>
      </c>
      <c r="I474" s="50">
        <v>1.0714341249999997</v>
      </c>
      <c r="J474" s="50">
        <v>4.6839874999999996E-2</v>
      </c>
      <c r="K474" s="50">
        <v>0</v>
      </c>
    </row>
    <row r="475" spans="1:11">
      <c r="A475" s="20">
        <v>17</v>
      </c>
      <c r="B475" s="35">
        <v>41200</v>
      </c>
      <c r="C475" s="20">
        <v>2012</v>
      </c>
      <c r="D475" s="10" t="s">
        <v>34</v>
      </c>
      <c r="E475" s="20">
        <v>10</v>
      </c>
      <c r="F475" s="49">
        <v>7.125</v>
      </c>
      <c r="G475" s="50">
        <v>0.16978837499999996</v>
      </c>
      <c r="H475" s="50">
        <v>6.9665749999999985E-2</v>
      </c>
      <c r="I475" s="50">
        <v>3.0422444999999994</v>
      </c>
      <c r="J475" s="50">
        <v>9.4490624999999995E-2</v>
      </c>
      <c r="K475" s="50">
        <v>0</v>
      </c>
    </row>
    <row r="476" spans="1:11">
      <c r="A476" s="20">
        <v>18</v>
      </c>
      <c r="B476" s="35">
        <v>41200</v>
      </c>
      <c r="C476" s="20">
        <v>2012</v>
      </c>
      <c r="D476" s="10" t="s">
        <v>34</v>
      </c>
      <c r="E476" s="20">
        <v>10</v>
      </c>
      <c r="F476" s="49">
        <v>2.956</v>
      </c>
      <c r="G476" s="50">
        <v>5.484687500000001E-2</v>
      </c>
      <c r="H476" s="50">
        <v>0</v>
      </c>
      <c r="I476" s="50">
        <v>1.1764652499999999</v>
      </c>
      <c r="J476" s="50">
        <v>4.987225E-2</v>
      </c>
      <c r="K476" s="50">
        <v>0</v>
      </c>
    </row>
    <row r="477" spans="1:11">
      <c r="A477" s="20">
        <v>1</v>
      </c>
      <c r="B477" s="35">
        <v>41226</v>
      </c>
      <c r="C477" s="20">
        <v>2012</v>
      </c>
      <c r="D477" s="10" t="s">
        <v>35</v>
      </c>
      <c r="E477" s="20">
        <v>11</v>
      </c>
      <c r="F477" s="49">
        <v>1.71</v>
      </c>
      <c r="G477" s="50">
        <v>0</v>
      </c>
      <c r="H477" s="50">
        <v>0</v>
      </c>
      <c r="I477" s="50">
        <v>0.40672887499999999</v>
      </c>
      <c r="J477" s="50">
        <v>0</v>
      </c>
      <c r="K477" s="50">
        <v>0</v>
      </c>
    </row>
    <row r="478" spans="1:11">
      <c r="A478" s="20">
        <v>17</v>
      </c>
      <c r="B478" s="35">
        <v>41226</v>
      </c>
      <c r="C478" s="20">
        <v>2012</v>
      </c>
      <c r="D478" s="10" t="s">
        <v>35</v>
      </c>
      <c r="E478" s="20">
        <v>11</v>
      </c>
      <c r="F478" s="49">
        <v>2.6160000000000001</v>
      </c>
      <c r="G478" s="50">
        <v>0</v>
      </c>
      <c r="H478" s="50">
        <v>0</v>
      </c>
      <c r="I478" s="50">
        <v>1.0638682500000003</v>
      </c>
      <c r="J478" s="50">
        <v>2.422175E-2</v>
      </c>
      <c r="K478" s="50">
        <v>0</v>
      </c>
    </row>
    <row r="479" spans="1:11">
      <c r="A479" s="20">
        <v>18</v>
      </c>
      <c r="B479" s="35">
        <v>41226</v>
      </c>
      <c r="C479" s="20">
        <v>2012</v>
      </c>
      <c r="D479" s="10" t="s">
        <v>35</v>
      </c>
      <c r="E479" s="20">
        <v>11</v>
      </c>
      <c r="F479" s="49">
        <v>3.024</v>
      </c>
      <c r="G479" s="50">
        <v>0</v>
      </c>
      <c r="H479" s="50">
        <v>0</v>
      </c>
      <c r="I479" s="50">
        <v>1.29346575</v>
      </c>
      <c r="J479" s="50">
        <v>3.410912499999999E-2</v>
      </c>
      <c r="K479" s="50">
        <v>0</v>
      </c>
    </row>
    <row r="480" spans="1:11">
      <c r="A480" s="20">
        <v>1</v>
      </c>
      <c r="B480" s="35">
        <v>41254</v>
      </c>
      <c r="C480" s="20">
        <v>2012</v>
      </c>
      <c r="D480" s="10" t="s">
        <v>36</v>
      </c>
      <c r="E480" s="20">
        <v>12</v>
      </c>
      <c r="F480" s="49">
        <v>7.4009999999999998</v>
      </c>
      <c r="G480" s="50">
        <v>6.1071624999999997E-2</v>
      </c>
      <c r="H480" s="50">
        <v>0</v>
      </c>
      <c r="I480" s="50">
        <v>3.1005207499999994</v>
      </c>
      <c r="J480" s="50">
        <v>0</v>
      </c>
      <c r="K480" s="50">
        <v>0</v>
      </c>
    </row>
    <row r="481" spans="1:12">
      <c r="A481" s="20">
        <v>17</v>
      </c>
      <c r="B481" s="35">
        <v>41254</v>
      </c>
      <c r="C481" s="20">
        <v>2012</v>
      </c>
      <c r="D481" s="10" t="s">
        <v>36</v>
      </c>
      <c r="E481" s="20">
        <v>12</v>
      </c>
      <c r="F481" s="49">
        <v>8.8949999999999996</v>
      </c>
      <c r="G481" s="50">
        <v>0</v>
      </c>
      <c r="H481" s="50">
        <v>0</v>
      </c>
      <c r="I481" s="50">
        <v>4.1434813749999995</v>
      </c>
      <c r="J481" s="50">
        <v>1.6306749999999998E-2</v>
      </c>
      <c r="K481" s="50">
        <v>0</v>
      </c>
    </row>
    <row r="482" spans="1:12">
      <c r="A482" s="20">
        <v>18</v>
      </c>
      <c r="B482" s="35">
        <v>41254</v>
      </c>
      <c r="C482" s="20">
        <v>2012</v>
      </c>
      <c r="D482" s="10" t="s">
        <v>36</v>
      </c>
      <c r="E482" s="20">
        <v>12</v>
      </c>
      <c r="F482" s="49">
        <v>2.5960000000000001</v>
      </c>
      <c r="G482" s="50">
        <v>0</v>
      </c>
      <c r="H482" s="50">
        <v>0</v>
      </c>
      <c r="I482" s="50">
        <v>1.1786571249999998</v>
      </c>
      <c r="J482" s="50">
        <v>7.6324999999999987E-3</v>
      </c>
      <c r="K482" s="50">
        <v>0</v>
      </c>
    </row>
    <row r="483" spans="1:12">
      <c r="A483" s="43">
        <v>1</v>
      </c>
      <c r="B483" s="53">
        <v>41288</v>
      </c>
      <c r="C483" s="43">
        <v>2013</v>
      </c>
      <c r="D483" s="45" t="s">
        <v>37</v>
      </c>
      <c r="E483" s="43">
        <v>1</v>
      </c>
      <c r="F483" s="46">
        <v>3.7519999999999998</v>
      </c>
      <c r="G483" s="47">
        <v>4.5629625E-2</v>
      </c>
      <c r="H483" s="47">
        <v>0</v>
      </c>
      <c r="I483" s="47">
        <v>1.4045683750000002</v>
      </c>
      <c r="J483" s="47">
        <v>0</v>
      </c>
      <c r="K483" s="47">
        <v>0</v>
      </c>
      <c r="L483" s="48"/>
    </row>
    <row r="484" spans="1:12">
      <c r="A484" s="20">
        <v>17</v>
      </c>
      <c r="B484" s="35">
        <v>41288</v>
      </c>
      <c r="C484" s="20">
        <v>2013</v>
      </c>
      <c r="D484" s="10" t="s">
        <v>37</v>
      </c>
      <c r="E484" s="20">
        <v>1</v>
      </c>
      <c r="F484" s="49">
        <v>8.4710000000000001</v>
      </c>
      <c r="G484" s="50">
        <v>8.1469874999999983E-2</v>
      </c>
      <c r="H484" s="50">
        <v>0</v>
      </c>
      <c r="I484" s="50">
        <v>3.7026131250000001</v>
      </c>
      <c r="J484" s="50">
        <v>1.38215E-2</v>
      </c>
      <c r="K484" s="50">
        <v>0</v>
      </c>
    </row>
    <row r="485" spans="1:12">
      <c r="A485" s="20">
        <v>18</v>
      </c>
      <c r="B485" s="35">
        <v>41288</v>
      </c>
      <c r="C485" s="20">
        <v>2013</v>
      </c>
      <c r="D485" s="10" t="s">
        <v>37</v>
      </c>
      <c r="E485" s="20">
        <v>1</v>
      </c>
      <c r="F485" s="51">
        <v>5.609</v>
      </c>
      <c r="G485" s="50">
        <v>6.5756750000000017E-2</v>
      </c>
      <c r="H485" s="50">
        <v>0</v>
      </c>
      <c r="I485" s="50">
        <v>2.4509699999999999</v>
      </c>
      <c r="J485" s="50">
        <v>0</v>
      </c>
      <c r="K485" s="50">
        <v>0</v>
      </c>
    </row>
    <row r="486" spans="1:12">
      <c r="A486" s="20">
        <v>1</v>
      </c>
      <c r="B486" s="35">
        <v>41318</v>
      </c>
      <c r="C486" s="20">
        <v>2013</v>
      </c>
      <c r="D486" s="10" t="s">
        <v>26</v>
      </c>
      <c r="E486" s="20">
        <v>2</v>
      </c>
      <c r="F486" s="58">
        <v>6.1440000000000001</v>
      </c>
      <c r="G486" s="50">
        <v>0.29896125000000001</v>
      </c>
      <c r="H486" s="50">
        <v>0</v>
      </c>
      <c r="I486" s="50">
        <v>2.8635459999999999</v>
      </c>
      <c r="J486" s="50">
        <v>1.4628875E-2</v>
      </c>
      <c r="K486" s="50">
        <v>0</v>
      </c>
    </row>
    <row r="487" spans="1:12">
      <c r="A487" s="20">
        <v>17</v>
      </c>
      <c r="B487" s="35">
        <v>41318</v>
      </c>
      <c r="C487" s="20">
        <v>2013</v>
      </c>
      <c r="D487" s="10" t="s">
        <v>26</v>
      </c>
      <c r="E487" s="20">
        <v>2</v>
      </c>
      <c r="F487" s="58">
        <v>7.3550000000000004</v>
      </c>
      <c r="G487" s="50">
        <v>0.26643549999999999</v>
      </c>
      <c r="H487" s="50">
        <v>0</v>
      </c>
      <c r="I487" s="50">
        <v>3.0407433749999995</v>
      </c>
      <c r="J487" s="50">
        <v>1.5055249999999997E-2</v>
      </c>
      <c r="K487" s="50">
        <v>0</v>
      </c>
    </row>
    <row r="488" spans="1:12">
      <c r="A488" s="20">
        <v>18</v>
      </c>
      <c r="B488" s="35">
        <v>41318</v>
      </c>
      <c r="C488" s="20">
        <v>2013</v>
      </c>
      <c r="D488" s="10" t="s">
        <v>26</v>
      </c>
      <c r="E488" s="20">
        <v>2</v>
      </c>
      <c r="F488" s="58">
        <v>7.8769999999999998</v>
      </c>
      <c r="G488" s="50">
        <v>0.29558050000000002</v>
      </c>
      <c r="H488" s="50">
        <v>0</v>
      </c>
      <c r="I488" s="50">
        <v>3.3651889999999995</v>
      </c>
      <c r="J488" s="50">
        <v>1.6976499999999999E-2</v>
      </c>
      <c r="K488" s="50">
        <v>0</v>
      </c>
    </row>
    <row r="489" spans="1:12">
      <c r="A489" s="20">
        <v>1</v>
      </c>
      <c r="B489" s="35">
        <v>41344</v>
      </c>
      <c r="C489" s="20">
        <v>2013</v>
      </c>
      <c r="D489" s="10" t="s">
        <v>27</v>
      </c>
      <c r="E489" s="20">
        <v>3</v>
      </c>
      <c r="F489" s="58">
        <v>6.5209999999999999</v>
      </c>
      <c r="G489" s="50">
        <v>0.161067875</v>
      </c>
      <c r="H489" s="50">
        <v>0</v>
      </c>
      <c r="I489" s="50">
        <v>2.9342406249999997</v>
      </c>
      <c r="J489" s="50">
        <v>3.1136750000000001E-2</v>
      </c>
      <c r="K489" s="50">
        <v>0</v>
      </c>
    </row>
    <row r="490" spans="1:12">
      <c r="A490" s="20">
        <v>17</v>
      </c>
      <c r="B490" s="35">
        <v>41344</v>
      </c>
      <c r="C490" s="20">
        <v>2013</v>
      </c>
      <c r="D490" s="10" t="s">
        <v>27</v>
      </c>
      <c r="E490" s="20">
        <v>3</v>
      </c>
      <c r="F490" s="58">
        <v>8.843</v>
      </c>
      <c r="G490" s="50">
        <v>0.37071549999999992</v>
      </c>
      <c r="H490" s="50">
        <v>0</v>
      </c>
      <c r="I490" s="50">
        <v>3.8189104999999999</v>
      </c>
      <c r="J490" s="50">
        <v>2.5451000000000001E-2</v>
      </c>
      <c r="K490" s="50">
        <v>0</v>
      </c>
    </row>
    <row r="491" spans="1:12">
      <c r="A491" s="20">
        <v>18</v>
      </c>
      <c r="B491" s="35">
        <v>41344</v>
      </c>
      <c r="C491" s="20">
        <v>2013</v>
      </c>
      <c r="D491" s="10" t="s">
        <v>27</v>
      </c>
      <c r="E491" s="20">
        <v>3</v>
      </c>
      <c r="F491" s="58">
        <v>8.5359999999999996</v>
      </c>
      <c r="G491" s="50">
        <v>0.20401875</v>
      </c>
      <c r="H491" s="50">
        <v>0</v>
      </c>
      <c r="I491" s="50">
        <v>3.8739868750000004</v>
      </c>
      <c r="J491" s="50">
        <v>3.0235499999999998E-2</v>
      </c>
      <c r="K491" s="50">
        <v>0</v>
      </c>
    </row>
    <row r="492" spans="1:12">
      <c r="A492" s="20">
        <v>1</v>
      </c>
      <c r="B492" s="35">
        <v>41381</v>
      </c>
      <c r="C492" s="20">
        <v>2013</v>
      </c>
      <c r="D492" s="10" t="s">
        <v>28</v>
      </c>
      <c r="E492" s="20">
        <v>4</v>
      </c>
      <c r="F492" s="59">
        <v>0.47099999999999997</v>
      </c>
      <c r="G492" s="50">
        <v>0</v>
      </c>
      <c r="H492" s="50">
        <v>0</v>
      </c>
      <c r="I492" s="50">
        <v>0.27236074999999998</v>
      </c>
      <c r="J492" s="50">
        <v>5.5519999999999996E-3</v>
      </c>
      <c r="K492" s="50">
        <v>0</v>
      </c>
    </row>
    <row r="493" spans="1:12">
      <c r="A493" s="20">
        <v>17</v>
      </c>
      <c r="B493" s="35">
        <v>41381</v>
      </c>
      <c r="C493" s="20">
        <v>2013</v>
      </c>
      <c r="D493" s="10" t="s">
        <v>28</v>
      </c>
      <c r="E493" s="20">
        <v>4</v>
      </c>
      <c r="F493" s="59">
        <v>0.59899999999999998</v>
      </c>
      <c r="G493" s="50">
        <v>0</v>
      </c>
      <c r="H493" s="50">
        <v>0</v>
      </c>
      <c r="I493" s="50">
        <v>0.345777375</v>
      </c>
      <c r="J493" s="50">
        <v>1.5762499999999995E-2</v>
      </c>
      <c r="K493" s="50">
        <v>0</v>
      </c>
    </row>
    <row r="494" spans="1:12">
      <c r="A494" s="20">
        <v>18</v>
      </c>
      <c r="B494" s="35">
        <v>41381</v>
      </c>
      <c r="C494" s="20">
        <v>2013</v>
      </c>
      <c r="D494" s="10" t="s">
        <v>28</v>
      </c>
      <c r="E494" s="20">
        <v>4</v>
      </c>
      <c r="F494" s="59">
        <v>0.45400000000000001</v>
      </c>
      <c r="G494" s="50">
        <v>0</v>
      </c>
      <c r="H494" s="50">
        <v>0</v>
      </c>
      <c r="I494" s="50">
        <v>0.27816337500000005</v>
      </c>
      <c r="J494" s="50">
        <v>9.5130000000000006E-3</v>
      </c>
      <c r="K494" s="50">
        <v>0</v>
      </c>
    </row>
    <row r="495" spans="1:12">
      <c r="A495" s="20">
        <v>1</v>
      </c>
      <c r="B495" s="35">
        <v>41408</v>
      </c>
      <c r="C495" s="20">
        <v>2013</v>
      </c>
      <c r="D495" s="10" t="s">
        <v>29</v>
      </c>
      <c r="E495" s="20">
        <v>5</v>
      </c>
      <c r="F495" s="59">
        <v>0.88300000000000001</v>
      </c>
      <c r="G495" s="50">
        <v>2.0032374999999998E-2</v>
      </c>
      <c r="H495" s="50">
        <v>0</v>
      </c>
      <c r="I495" s="50">
        <v>0.307779625</v>
      </c>
      <c r="J495" s="50">
        <v>2.1122499999999999E-2</v>
      </c>
      <c r="K495" s="50">
        <v>0</v>
      </c>
    </row>
    <row r="496" spans="1:12">
      <c r="A496" s="20">
        <v>17</v>
      </c>
      <c r="B496" s="35">
        <v>41408</v>
      </c>
      <c r="C496" s="20">
        <v>2013</v>
      </c>
      <c r="D496" s="10" t="s">
        <v>29</v>
      </c>
      <c r="E496" s="20">
        <v>5</v>
      </c>
      <c r="F496" s="59">
        <v>2.5680000000000001</v>
      </c>
      <c r="G496" s="50">
        <v>5.2784249999999998E-2</v>
      </c>
      <c r="H496" s="50">
        <v>0</v>
      </c>
      <c r="I496" s="50">
        <v>1.3019626249999998</v>
      </c>
      <c r="J496" s="50">
        <v>2.5832250000000005E-2</v>
      </c>
      <c r="K496" s="50">
        <v>0</v>
      </c>
    </row>
    <row r="497" spans="1:12">
      <c r="A497" s="20">
        <v>18</v>
      </c>
      <c r="B497" s="35">
        <v>41408</v>
      </c>
      <c r="C497" s="20">
        <v>2013</v>
      </c>
      <c r="D497" s="10" t="s">
        <v>29</v>
      </c>
      <c r="E497" s="20">
        <v>5</v>
      </c>
      <c r="F497" s="59">
        <v>0.84699999999999998</v>
      </c>
      <c r="G497" s="50">
        <v>0</v>
      </c>
      <c r="H497" s="50">
        <v>0</v>
      </c>
      <c r="I497" s="50">
        <v>0.30319237500000001</v>
      </c>
      <c r="J497" s="50">
        <v>1.5079499999999997E-2</v>
      </c>
      <c r="K497" s="50">
        <v>0</v>
      </c>
    </row>
    <row r="498" spans="1:12">
      <c r="A498" s="20">
        <v>1</v>
      </c>
      <c r="B498" s="35">
        <v>41436</v>
      </c>
      <c r="C498" s="20">
        <v>2013</v>
      </c>
      <c r="D498" s="10" t="s">
        <v>30</v>
      </c>
      <c r="E498" s="20">
        <v>6</v>
      </c>
      <c r="F498" s="59">
        <v>3.645</v>
      </c>
      <c r="G498" s="50">
        <v>0.10573637499999998</v>
      </c>
      <c r="H498" s="50">
        <v>0</v>
      </c>
      <c r="I498" s="50">
        <v>0.78359250000000003</v>
      </c>
      <c r="J498" s="50">
        <v>4.44815E-2</v>
      </c>
      <c r="K498" s="50">
        <v>0</v>
      </c>
    </row>
    <row r="499" spans="1:12">
      <c r="A499" s="20">
        <v>17</v>
      </c>
      <c r="B499" s="35">
        <v>41436</v>
      </c>
      <c r="C499" s="20">
        <v>2013</v>
      </c>
      <c r="D499" s="10" t="s">
        <v>30</v>
      </c>
      <c r="E499" s="20">
        <v>6</v>
      </c>
      <c r="F499" s="59">
        <v>4.2629999999999999</v>
      </c>
      <c r="G499" s="50">
        <v>0.31968950000000002</v>
      </c>
      <c r="H499" s="50">
        <v>0</v>
      </c>
      <c r="I499" s="50">
        <v>1.7517778749999997</v>
      </c>
      <c r="J499" s="50">
        <v>6.0755374999999993E-2</v>
      </c>
      <c r="K499" s="50">
        <v>0</v>
      </c>
    </row>
    <row r="500" spans="1:12">
      <c r="A500" s="20">
        <v>18</v>
      </c>
      <c r="B500" s="35">
        <v>41436</v>
      </c>
      <c r="C500" s="20">
        <v>2013</v>
      </c>
      <c r="D500" s="10" t="s">
        <v>30</v>
      </c>
      <c r="E500" s="20">
        <v>6</v>
      </c>
      <c r="F500" s="59">
        <v>5.8090000000000002</v>
      </c>
      <c r="G500" s="50">
        <v>7.8489624999999993E-2</v>
      </c>
      <c r="H500" s="50">
        <v>2.3334749999999998E-2</v>
      </c>
      <c r="I500" s="50">
        <v>1.7458698749999999</v>
      </c>
      <c r="J500" s="50">
        <v>0.13472087499999996</v>
      </c>
      <c r="K500" s="50">
        <v>0</v>
      </c>
    </row>
    <row r="501" spans="1:12">
      <c r="A501" s="20">
        <v>1</v>
      </c>
      <c r="B501" s="35">
        <v>41471</v>
      </c>
      <c r="C501" s="20">
        <v>2013</v>
      </c>
      <c r="D501" s="10" t="s">
        <v>31</v>
      </c>
      <c r="E501" s="20">
        <v>7</v>
      </c>
      <c r="F501" s="59">
        <v>5.0659999999999998</v>
      </c>
      <c r="G501" s="50">
        <v>0.15615937499999996</v>
      </c>
      <c r="H501" s="50">
        <v>0</v>
      </c>
      <c r="I501" s="50">
        <v>1.6308466249999998</v>
      </c>
      <c r="J501" s="50">
        <v>0.11054924999999997</v>
      </c>
      <c r="K501" s="50">
        <v>0</v>
      </c>
    </row>
    <row r="502" spans="1:12">
      <c r="A502" s="20">
        <v>17</v>
      </c>
      <c r="B502" s="35">
        <v>41471</v>
      </c>
      <c r="C502" s="20">
        <v>2013</v>
      </c>
      <c r="D502" s="10" t="s">
        <v>31</v>
      </c>
      <c r="E502" s="20">
        <v>7</v>
      </c>
      <c r="F502" s="59">
        <v>15.305</v>
      </c>
      <c r="G502" s="50">
        <v>0.32833449999999997</v>
      </c>
      <c r="H502" s="50">
        <v>0</v>
      </c>
      <c r="I502" s="50">
        <v>7.1338674999999983</v>
      </c>
      <c r="J502" s="50">
        <v>0.30220249999999999</v>
      </c>
      <c r="K502" s="50">
        <v>0</v>
      </c>
    </row>
    <row r="503" spans="1:12">
      <c r="A503" s="20">
        <v>18</v>
      </c>
      <c r="B503" s="35">
        <v>41471</v>
      </c>
      <c r="C503" s="20">
        <v>2013</v>
      </c>
      <c r="D503" s="10" t="s">
        <v>31</v>
      </c>
      <c r="E503" s="20">
        <v>7</v>
      </c>
      <c r="F503" s="59">
        <v>11.465999999999999</v>
      </c>
      <c r="G503" s="50">
        <v>0.27070987500000004</v>
      </c>
      <c r="H503" s="50">
        <v>0</v>
      </c>
      <c r="I503" s="50">
        <v>4.1815727499999999</v>
      </c>
      <c r="J503" s="50">
        <v>0.35071687499999998</v>
      </c>
      <c r="K503" s="50">
        <v>0</v>
      </c>
    </row>
    <row r="504" spans="1:12">
      <c r="A504" s="20">
        <v>1</v>
      </c>
      <c r="B504" s="35">
        <v>41499</v>
      </c>
      <c r="C504" s="20">
        <v>2013</v>
      </c>
      <c r="D504" s="10" t="s">
        <v>32</v>
      </c>
      <c r="E504" s="20">
        <v>8</v>
      </c>
      <c r="F504" s="59">
        <v>5.7140000000000004</v>
      </c>
      <c r="G504" s="50">
        <v>0.51496850000000005</v>
      </c>
      <c r="H504" s="50">
        <v>0</v>
      </c>
      <c r="I504" s="50">
        <v>1.5962015000000001</v>
      </c>
      <c r="J504" s="50">
        <v>0.17590112499999996</v>
      </c>
      <c r="K504" s="50">
        <v>0</v>
      </c>
    </row>
    <row r="505" spans="1:12">
      <c r="A505" s="20">
        <v>17</v>
      </c>
      <c r="B505" s="35">
        <v>41499</v>
      </c>
      <c r="C505" s="20">
        <v>2013</v>
      </c>
      <c r="D505" s="10" t="s">
        <v>32</v>
      </c>
      <c r="E505" s="20">
        <v>8</v>
      </c>
      <c r="F505" s="59">
        <v>6.3680000000000003</v>
      </c>
      <c r="G505" s="50">
        <v>0.27802149999999992</v>
      </c>
      <c r="H505" s="50">
        <v>0</v>
      </c>
      <c r="I505" s="50">
        <v>2.7716478749999998</v>
      </c>
      <c r="J505" s="50">
        <v>0.16898712499999999</v>
      </c>
      <c r="K505" s="50">
        <v>0</v>
      </c>
    </row>
    <row r="506" spans="1:12">
      <c r="A506" s="20">
        <v>18</v>
      </c>
      <c r="B506" s="35">
        <v>41499</v>
      </c>
      <c r="C506" s="20">
        <v>2013</v>
      </c>
      <c r="D506" s="10" t="s">
        <v>32</v>
      </c>
      <c r="E506" s="20">
        <v>8</v>
      </c>
      <c r="F506" s="59">
        <v>8.7149999999999999</v>
      </c>
      <c r="G506" s="50">
        <v>0.37614550000000002</v>
      </c>
      <c r="H506" s="50">
        <v>0</v>
      </c>
      <c r="I506" s="50">
        <v>3.0767417500000001</v>
      </c>
      <c r="J506" s="50">
        <v>0.23121449999999999</v>
      </c>
      <c r="K506" s="50">
        <v>0</v>
      </c>
    </row>
    <row r="507" spans="1:12">
      <c r="A507" s="20">
        <v>1</v>
      </c>
      <c r="B507" s="35">
        <v>41533</v>
      </c>
      <c r="C507" s="20">
        <v>2013</v>
      </c>
      <c r="D507" s="10" t="s">
        <v>38</v>
      </c>
      <c r="E507" s="20">
        <v>9</v>
      </c>
      <c r="F507" s="59">
        <v>3.1379999999999999</v>
      </c>
      <c r="G507" s="50">
        <v>8.5963499999999998E-2</v>
      </c>
      <c r="H507" s="50">
        <v>0</v>
      </c>
      <c r="I507" s="50">
        <v>0.76333024999999999</v>
      </c>
      <c r="J507" s="50">
        <v>5.4569125000000003E-2</v>
      </c>
      <c r="K507" s="50">
        <v>0</v>
      </c>
    </row>
    <row r="508" spans="1:12">
      <c r="A508" s="20">
        <v>17</v>
      </c>
      <c r="B508" s="35">
        <v>41533</v>
      </c>
      <c r="C508" s="20">
        <v>2013</v>
      </c>
      <c r="D508" s="10" t="s">
        <v>38</v>
      </c>
      <c r="E508" s="20">
        <v>9</v>
      </c>
      <c r="F508" s="59">
        <v>3.1459999999999999</v>
      </c>
      <c r="G508" s="50">
        <v>4.6196624999999998E-2</v>
      </c>
      <c r="H508" s="50">
        <v>0</v>
      </c>
      <c r="I508" s="50">
        <v>1.2813613749999997</v>
      </c>
      <c r="J508" s="50">
        <v>5.0449374999999998E-2</v>
      </c>
      <c r="K508" s="50">
        <v>0</v>
      </c>
    </row>
    <row r="509" spans="1:12">
      <c r="A509" s="20">
        <v>18</v>
      </c>
      <c r="B509" s="35">
        <v>41533</v>
      </c>
      <c r="C509" s="20">
        <v>2013</v>
      </c>
      <c r="D509" s="10" t="s">
        <v>38</v>
      </c>
      <c r="E509" s="20">
        <v>9</v>
      </c>
      <c r="F509" s="59">
        <v>3.032</v>
      </c>
      <c r="G509" s="50">
        <v>3.8159374999999995E-2</v>
      </c>
      <c r="H509" s="50">
        <v>0</v>
      </c>
      <c r="I509" s="50">
        <v>1.064082</v>
      </c>
      <c r="J509" s="50">
        <v>3.5412625000000003E-2</v>
      </c>
      <c r="K509" s="50">
        <v>0</v>
      </c>
    </row>
    <row r="510" spans="1:12">
      <c r="A510" s="20">
        <v>1</v>
      </c>
      <c r="B510" s="35">
        <v>41569</v>
      </c>
      <c r="C510" s="20">
        <v>2013</v>
      </c>
      <c r="D510" s="10" t="s">
        <v>34</v>
      </c>
      <c r="E510" s="20">
        <v>10</v>
      </c>
      <c r="F510" s="49">
        <v>1.3</v>
      </c>
      <c r="G510" s="54">
        <v>0</v>
      </c>
      <c r="H510" s="54">
        <v>0</v>
      </c>
      <c r="I510" s="54">
        <v>0.33221499999999998</v>
      </c>
      <c r="J510" s="54">
        <v>1.2742500000000002E-2</v>
      </c>
      <c r="K510" s="54">
        <v>0</v>
      </c>
    </row>
    <row r="511" spans="1:12">
      <c r="A511" s="20">
        <v>17</v>
      </c>
      <c r="B511" s="35">
        <v>41569</v>
      </c>
      <c r="C511" s="20">
        <v>2013</v>
      </c>
      <c r="D511" s="10" t="s">
        <v>34</v>
      </c>
      <c r="E511" s="20">
        <v>10</v>
      </c>
      <c r="F511" s="49">
        <v>3.7040000000000002</v>
      </c>
      <c r="G511" s="50">
        <v>5.9057499999999992E-2</v>
      </c>
      <c r="H511" s="50">
        <v>0</v>
      </c>
      <c r="I511" s="50">
        <v>1.4726443749999998</v>
      </c>
      <c r="J511" s="50">
        <v>3.2357999999999998E-2</v>
      </c>
      <c r="K511" s="50">
        <v>0</v>
      </c>
    </row>
    <row r="512" spans="1:12">
      <c r="A512" s="20">
        <v>17</v>
      </c>
      <c r="B512" s="35">
        <v>41569</v>
      </c>
      <c r="C512" s="20">
        <v>2013</v>
      </c>
      <c r="D512" s="10" t="s">
        <v>34</v>
      </c>
      <c r="E512" s="20">
        <v>10</v>
      </c>
      <c r="F512" s="49">
        <v>3.7040000000000002</v>
      </c>
      <c r="G512" s="50">
        <v>7.0696124999999999E-2</v>
      </c>
      <c r="H512" s="50">
        <v>0</v>
      </c>
      <c r="I512" s="50">
        <v>2.0526812499999996</v>
      </c>
      <c r="J512" s="50">
        <v>3.9215750000000001E-2</v>
      </c>
      <c r="K512" s="50">
        <v>0</v>
      </c>
      <c r="L512" t="s">
        <v>39</v>
      </c>
    </row>
    <row r="513" spans="1:12">
      <c r="A513" s="20">
        <v>18</v>
      </c>
      <c r="B513" s="35">
        <v>41569</v>
      </c>
      <c r="C513" s="20">
        <v>2013</v>
      </c>
      <c r="D513" s="10" t="s">
        <v>34</v>
      </c>
      <c r="E513" s="20">
        <v>10</v>
      </c>
      <c r="F513" s="49">
        <v>3.7650000000000001</v>
      </c>
      <c r="G513" s="50">
        <v>5.7607874999999996E-2</v>
      </c>
      <c r="H513" s="50">
        <v>0</v>
      </c>
      <c r="I513" s="50">
        <v>1.4408166249999999</v>
      </c>
      <c r="J513" s="50">
        <v>3.7083499999999998E-2</v>
      </c>
      <c r="K513" s="50">
        <v>0</v>
      </c>
    </row>
    <row r="514" spans="1:12">
      <c r="A514" s="20">
        <v>1</v>
      </c>
      <c r="B514" s="35">
        <v>41598</v>
      </c>
      <c r="C514" s="20">
        <v>2013</v>
      </c>
      <c r="D514" s="10" t="s">
        <v>35</v>
      </c>
      <c r="E514" s="20">
        <v>11</v>
      </c>
      <c r="F514" s="49">
        <v>2.0910000000000002</v>
      </c>
      <c r="G514" s="50">
        <v>2.3551625E-2</v>
      </c>
      <c r="H514" s="50">
        <v>0</v>
      </c>
      <c r="I514" s="50">
        <v>0.78841649999999985</v>
      </c>
      <c r="J514" s="50">
        <v>1.6012624999999999E-2</v>
      </c>
      <c r="K514" s="50">
        <v>0</v>
      </c>
    </row>
    <row r="515" spans="1:12">
      <c r="A515" s="20">
        <v>17</v>
      </c>
      <c r="B515" s="35">
        <v>41598</v>
      </c>
      <c r="C515" s="20">
        <v>2013</v>
      </c>
      <c r="D515" s="10" t="s">
        <v>35</v>
      </c>
      <c r="E515" s="20">
        <v>11</v>
      </c>
      <c r="F515" s="49">
        <v>6.4530000000000003</v>
      </c>
      <c r="G515" s="50">
        <v>3.686275E-2</v>
      </c>
      <c r="H515" s="50">
        <v>0</v>
      </c>
      <c r="I515" s="50">
        <v>3.3456804999999989</v>
      </c>
      <c r="J515" s="50">
        <v>3.3987375E-2</v>
      </c>
      <c r="K515" s="50">
        <v>0</v>
      </c>
    </row>
    <row r="516" spans="1:12">
      <c r="A516" s="20">
        <v>18</v>
      </c>
      <c r="B516" s="35">
        <v>41598</v>
      </c>
      <c r="C516" s="20">
        <v>2013</v>
      </c>
      <c r="D516" s="10" t="s">
        <v>35</v>
      </c>
      <c r="E516" s="20">
        <v>11</v>
      </c>
      <c r="F516" s="49">
        <v>6.6760000000000002</v>
      </c>
      <c r="G516" s="50">
        <v>5.3113374999999997E-2</v>
      </c>
      <c r="H516" s="50">
        <v>0</v>
      </c>
      <c r="I516" s="50">
        <v>3.3863778750000004</v>
      </c>
      <c r="J516" s="50">
        <v>3.2067125000000002E-2</v>
      </c>
      <c r="K516" s="50">
        <v>0</v>
      </c>
    </row>
    <row r="517" spans="1:12">
      <c r="A517" s="20">
        <v>1</v>
      </c>
      <c r="B517" s="35">
        <v>41624</v>
      </c>
      <c r="C517" s="20">
        <v>2013</v>
      </c>
      <c r="D517" s="10" t="s">
        <v>36</v>
      </c>
      <c r="E517" s="20">
        <v>12</v>
      </c>
      <c r="F517" s="49">
        <v>2.355</v>
      </c>
      <c r="G517" s="50">
        <v>0</v>
      </c>
      <c r="H517" s="50">
        <v>0</v>
      </c>
      <c r="I517" s="50">
        <v>1.089415</v>
      </c>
      <c r="J517" s="50">
        <v>1.1933250000000001E-2</v>
      </c>
      <c r="K517" s="50">
        <v>0</v>
      </c>
    </row>
    <row r="518" spans="1:12">
      <c r="A518" s="20">
        <v>17</v>
      </c>
      <c r="B518" s="35">
        <v>41624</v>
      </c>
      <c r="C518" s="20">
        <v>2013</v>
      </c>
      <c r="D518" s="10" t="s">
        <v>36</v>
      </c>
      <c r="E518" s="20">
        <v>12</v>
      </c>
      <c r="F518" s="49">
        <v>11.252000000000001</v>
      </c>
      <c r="G518" s="50">
        <v>4.6198249999999989E-2</v>
      </c>
      <c r="H518" s="50">
        <v>0</v>
      </c>
      <c r="I518" s="50">
        <v>6.1435919999999991</v>
      </c>
      <c r="J518" s="50">
        <v>4.1646249999999996E-2</v>
      </c>
      <c r="K518" s="50">
        <v>0</v>
      </c>
    </row>
    <row r="519" spans="1:12">
      <c r="A519" s="20">
        <v>18</v>
      </c>
      <c r="B519" s="35">
        <v>41624</v>
      </c>
      <c r="C519" s="20">
        <v>2013</v>
      </c>
      <c r="D519" s="10" t="s">
        <v>36</v>
      </c>
      <c r="E519" s="20">
        <v>12</v>
      </c>
      <c r="F519" s="49">
        <v>2.573</v>
      </c>
      <c r="G519" s="50">
        <v>0</v>
      </c>
      <c r="H519" s="50">
        <v>0</v>
      </c>
      <c r="I519" s="50">
        <v>1.1612604999999998</v>
      </c>
      <c r="J519" s="50">
        <v>0</v>
      </c>
      <c r="K519" s="50">
        <v>0</v>
      </c>
    </row>
    <row r="520" spans="1:12">
      <c r="A520" s="43">
        <v>1</v>
      </c>
      <c r="B520" s="53">
        <v>41654</v>
      </c>
      <c r="C520" s="43">
        <v>2014</v>
      </c>
      <c r="D520" s="45" t="s">
        <v>37</v>
      </c>
      <c r="E520" s="43">
        <v>1</v>
      </c>
      <c r="F520" s="46">
        <v>2.0259999999999998</v>
      </c>
      <c r="G520" s="47">
        <v>3.1210749999999999E-2</v>
      </c>
      <c r="H520" s="47">
        <v>0</v>
      </c>
      <c r="I520" s="47">
        <v>0.85740625000000004</v>
      </c>
      <c r="J520" s="47">
        <v>1.7601624999999996E-2</v>
      </c>
      <c r="K520" s="47">
        <v>0</v>
      </c>
      <c r="L520" s="48"/>
    </row>
    <row r="521" spans="1:12">
      <c r="A521" s="20">
        <v>1</v>
      </c>
      <c r="B521" s="35">
        <v>41654</v>
      </c>
      <c r="C521" s="20">
        <v>2014</v>
      </c>
      <c r="D521" s="10" t="s">
        <v>37</v>
      </c>
      <c r="E521" s="20">
        <v>1</v>
      </c>
      <c r="F521" s="49">
        <v>2.0259999999999998</v>
      </c>
      <c r="G521" s="50">
        <v>6.1816125000000006E-2</v>
      </c>
      <c r="H521" s="50">
        <v>0</v>
      </c>
      <c r="I521" s="50">
        <v>1.0799438750000001</v>
      </c>
      <c r="J521" s="50">
        <v>1.7782249999999999E-2</v>
      </c>
      <c r="K521" s="50">
        <v>0</v>
      </c>
      <c r="L521" t="s">
        <v>39</v>
      </c>
    </row>
    <row r="522" spans="1:12">
      <c r="A522" s="20">
        <v>17</v>
      </c>
      <c r="B522" s="35">
        <v>41654</v>
      </c>
      <c r="C522" s="20">
        <v>2014</v>
      </c>
      <c r="D522" s="10" t="s">
        <v>37</v>
      </c>
      <c r="E522" s="20">
        <v>1</v>
      </c>
      <c r="F522" s="49">
        <v>6.6669999999999998</v>
      </c>
      <c r="G522" s="50">
        <v>0.10002274999999998</v>
      </c>
      <c r="H522" s="50">
        <v>0</v>
      </c>
      <c r="I522" s="50">
        <v>3.4234799999999992</v>
      </c>
      <c r="J522" s="50">
        <v>2.4910624999999992E-2</v>
      </c>
      <c r="K522" s="50">
        <v>0</v>
      </c>
    </row>
    <row r="523" spans="1:12">
      <c r="A523" s="20">
        <v>18</v>
      </c>
      <c r="B523" s="35">
        <v>41654</v>
      </c>
      <c r="C523" s="20">
        <v>2014</v>
      </c>
      <c r="D523" s="10" t="s">
        <v>37</v>
      </c>
      <c r="E523" s="20">
        <v>1</v>
      </c>
      <c r="F523" s="49">
        <v>3.919</v>
      </c>
      <c r="G523" s="50">
        <v>8.6388374999999989E-2</v>
      </c>
      <c r="H523" s="50">
        <v>0</v>
      </c>
      <c r="I523" s="50">
        <v>1.8140702499999997</v>
      </c>
      <c r="J523" s="50">
        <v>2.2062374999999999E-2</v>
      </c>
      <c r="K523" s="50">
        <v>0</v>
      </c>
    </row>
    <row r="524" spans="1:12">
      <c r="A524" s="20">
        <v>1</v>
      </c>
      <c r="B524" s="35">
        <v>41688</v>
      </c>
      <c r="C524" s="20">
        <v>2014</v>
      </c>
      <c r="D524" s="10" t="s">
        <v>26</v>
      </c>
      <c r="E524" s="20">
        <v>2</v>
      </c>
      <c r="F524" s="49">
        <v>6.2839999999999998</v>
      </c>
      <c r="G524" s="50">
        <v>0.5253486249999999</v>
      </c>
      <c r="H524" s="50">
        <v>0</v>
      </c>
      <c r="I524" s="50">
        <v>2.5800456249999995</v>
      </c>
      <c r="J524" s="50">
        <v>0</v>
      </c>
      <c r="K524" s="50">
        <v>0</v>
      </c>
    </row>
    <row r="525" spans="1:12">
      <c r="A525" s="20">
        <v>17</v>
      </c>
      <c r="B525" s="35">
        <v>41688</v>
      </c>
      <c r="C525" s="20">
        <v>2014</v>
      </c>
      <c r="D525" s="10" t="s">
        <v>26</v>
      </c>
      <c r="E525" s="20">
        <v>2</v>
      </c>
      <c r="F525" s="49">
        <v>12.17</v>
      </c>
      <c r="G525" s="50">
        <v>1.266083375</v>
      </c>
      <c r="H525" s="50">
        <v>0</v>
      </c>
      <c r="I525" s="50">
        <v>4.810481124999999</v>
      </c>
      <c r="J525" s="50">
        <v>0</v>
      </c>
      <c r="K525" s="50">
        <v>0</v>
      </c>
    </row>
    <row r="526" spans="1:12">
      <c r="A526" s="20">
        <v>18</v>
      </c>
      <c r="B526" s="35">
        <v>41688</v>
      </c>
      <c r="C526" s="20">
        <v>2014</v>
      </c>
      <c r="D526" s="10" t="s">
        <v>26</v>
      </c>
      <c r="E526" s="20">
        <v>2</v>
      </c>
      <c r="F526" s="49">
        <v>8.2899999999999991</v>
      </c>
      <c r="G526" s="50">
        <v>0.70859637499999995</v>
      </c>
      <c r="H526" s="50">
        <v>0</v>
      </c>
      <c r="I526" s="50">
        <v>3.5166008750000004</v>
      </c>
      <c r="J526" s="50">
        <v>2.1240249999999995E-2</v>
      </c>
      <c r="K526" s="50">
        <v>0</v>
      </c>
    </row>
    <row r="527" spans="1:12">
      <c r="A527" s="20">
        <v>1</v>
      </c>
      <c r="B527" s="35">
        <v>41719</v>
      </c>
      <c r="C527" s="20">
        <v>2014</v>
      </c>
      <c r="D527" s="10" t="s">
        <v>27</v>
      </c>
      <c r="E527" s="20">
        <v>3</v>
      </c>
      <c r="F527" s="49">
        <v>2.2229999999999999</v>
      </c>
      <c r="G527" s="50">
        <v>9.1020249999999997E-2</v>
      </c>
      <c r="H527" s="50">
        <v>0</v>
      </c>
      <c r="I527" s="50">
        <v>0.73633824999999997</v>
      </c>
      <c r="J527" s="50">
        <v>5.1310624999999992E-2</v>
      </c>
      <c r="K527" s="50">
        <v>0</v>
      </c>
    </row>
    <row r="528" spans="1:12">
      <c r="A528" s="20">
        <v>17</v>
      </c>
      <c r="B528" s="35">
        <v>41719</v>
      </c>
      <c r="C528" s="20">
        <v>2014</v>
      </c>
      <c r="D528" s="10" t="s">
        <v>27</v>
      </c>
      <c r="E528" s="20">
        <v>3</v>
      </c>
      <c r="F528" s="49">
        <v>3.36</v>
      </c>
      <c r="G528" s="50">
        <v>0.11416299999999997</v>
      </c>
      <c r="H528" s="50">
        <v>0</v>
      </c>
      <c r="I528" s="50">
        <v>1.3272784999999998</v>
      </c>
      <c r="J528" s="50">
        <v>6.6218250000000006E-2</v>
      </c>
      <c r="K528" s="50">
        <v>0</v>
      </c>
    </row>
    <row r="529" spans="1:11">
      <c r="A529" s="20">
        <v>18</v>
      </c>
      <c r="B529" s="35">
        <v>41719</v>
      </c>
      <c r="C529" s="20">
        <v>2014</v>
      </c>
      <c r="D529" s="10" t="s">
        <v>27</v>
      </c>
      <c r="E529" s="20">
        <v>3</v>
      </c>
      <c r="F529" s="49">
        <v>1.478</v>
      </c>
      <c r="G529" s="50">
        <v>5.0308625000000003E-2</v>
      </c>
      <c r="H529" s="50">
        <v>0</v>
      </c>
      <c r="I529" s="50">
        <v>0.61183112500000003</v>
      </c>
      <c r="J529" s="50">
        <v>3.4429374999999991E-2</v>
      </c>
      <c r="K529" s="50">
        <v>0</v>
      </c>
    </row>
    <row r="530" spans="1:11">
      <c r="A530" s="20">
        <v>1</v>
      </c>
      <c r="B530" s="35">
        <v>41747</v>
      </c>
      <c r="C530" s="20">
        <v>2014</v>
      </c>
      <c r="D530" s="10" t="s">
        <v>28</v>
      </c>
      <c r="E530" s="20">
        <v>4</v>
      </c>
      <c r="F530" s="60">
        <v>1.7649999999999999</v>
      </c>
      <c r="G530" s="50">
        <v>0</v>
      </c>
      <c r="H530" s="50">
        <v>4.6301874999999999E-2</v>
      </c>
      <c r="I530" s="50">
        <v>0.81133599999999995</v>
      </c>
      <c r="J530" s="50">
        <v>9.987374999999998E-3</v>
      </c>
      <c r="K530" s="50">
        <v>0</v>
      </c>
    </row>
    <row r="531" spans="1:11">
      <c r="A531" s="20">
        <v>17</v>
      </c>
      <c r="B531" s="35">
        <v>41747</v>
      </c>
      <c r="C531" s="20">
        <v>2014</v>
      </c>
      <c r="D531" s="10" t="s">
        <v>28</v>
      </c>
      <c r="E531" s="20">
        <v>4</v>
      </c>
      <c r="F531" s="60">
        <v>10.795999999999999</v>
      </c>
      <c r="G531" s="50">
        <v>4.3515249999999998E-2</v>
      </c>
      <c r="H531" s="50">
        <v>0.1279255</v>
      </c>
      <c r="I531" s="50">
        <v>6.2337277499999981</v>
      </c>
      <c r="J531" s="50">
        <v>2.7901124999999999E-2</v>
      </c>
      <c r="K531" s="50">
        <v>0</v>
      </c>
    </row>
    <row r="532" spans="1:11">
      <c r="A532" s="20">
        <v>18</v>
      </c>
      <c r="B532" s="35">
        <v>41747</v>
      </c>
      <c r="C532" s="20">
        <v>2014</v>
      </c>
      <c r="D532" s="10" t="s">
        <v>28</v>
      </c>
      <c r="E532" s="20">
        <v>4</v>
      </c>
      <c r="F532" s="60">
        <v>7.5709999999999997</v>
      </c>
      <c r="G532" s="50">
        <v>3.2567124999999995E-2</v>
      </c>
      <c r="H532" s="50">
        <v>9.3062249999999999E-2</v>
      </c>
      <c r="I532" s="50">
        <v>4.0594927500000004</v>
      </c>
      <c r="J532" s="50">
        <v>2.1391499999999997E-2</v>
      </c>
      <c r="K532" s="50">
        <v>0</v>
      </c>
    </row>
    <row r="533" spans="1:11">
      <c r="A533" s="20">
        <v>1</v>
      </c>
      <c r="B533" s="35">
        <v>41772</v>
      </c>
      <c r="C533" s="20">
        <v>2014</v>
      </c>
      <c r="D533" s="10" t="s">
        <v>29</v>
      </c>
      <c r="E533" s="20">
        <v>5</v>
      </c>
      <c r="F533" s="60">
        <v>0.57799999999999996</v>
      </c>
      <c r="G533" s="50">
        <v>2.1467875000000001E-2</v>
      </c>
      <c r="H533" s="50">
        <v>0</v>
      </c>
      <c r="I533" s="50">
        <v>0.17857087499999999</v>
      </c>
      <c r="J533" s="50">
        <v>8.2109999999999978E-3</v>
      </c>
      <c r="K533" s="50">
        <v>0</v>
      </c>
    </row>
    <row r="534" spans="1:11">
      <c r="A534" s="20">
        <v>17</v>
      </c>
      <c r="B534" s="35">
        <v>41772</v>
      </c>
      <c r="C534" s="20">
        <v>2014</v>
      </c>
      <c r="D534" s="10" t="s">
        <v>29</v>
      </c>
      <c r="E534" s="20">
        <v>5</v>
      </c>
      <c r="F534" s="60">
        <v>2.113</v>
      </c>
      <c r="G534" s="50">
        <v>4.9856249999999998E-2</v>
      </c>
      <c r="H534" s="50">
        <v>0</v>
      </c>
      <c r="I534" s="50">
        <v>1.2076974999999999</v>
      </c>
      <c r="J534" s="50">
        <v>2.7023749999999999E-2</v>
      </c>
      <c r="K534" s="50">
        <v>0</v>
      </c>
    </row>
    <row r="535" spans="1:11">
      <c r="A535" s="20">
        <v>18</v>
      </c>
      <c r="B535" s="35">
        <v>41772</v>
      </c>
      <c r="C535" s="20">
        <v>2014</v>
      </c>
      <c r="D535" s="10" t="s">
        <v>29</v>
      </c>
      <c r="E535" s="20">
        <v>5</v>
      </c>
      <c r="F535" s="60">
        <v>2.5150000000000001</v>
      </c>
      <c r="G535" s="50">
        <v>3.2593249999999997E-2</v>
      </c>
      <c r="H535" s="50">
        <v>0</v>
      </c>
      <c r="I535" s="50">
        <v>0.49580012499999992</v>
      </c>
      <c r="J535" s="50">
        <v>3.5469624999999998E-2</v>
      </c>
      <c r="K535" s="50">
        <v>0</v>
      </c>
    </row>
    <row r="536" spans="1:11">
      <c r="A536" s="20">
        <v>1</v>
      </c>
      <c r="B536" s="35">
        <v>41808</v>
      </c>
      <c r="C536" s="20">
        <v>2014</v>
      </c>
      <c r="D536" s="10" t="s">
        <v>30</v>
      </c>
      <c r="E536" s="20">
        <v>6</v>
      </c>
      <c r="F536" s="60">
        <v>5.7789999999999999</v>
      </c>
      <c r="G536" s="50">
        <v>0.38442537500000001</v>
      </c>
      <c r="H536" s="50">
        <v>0</v>
      </c>
      <c r="I536" s="50">
        <v>1.0847207499999998</v>
      </c>
      <c r="J536" s="50">
        <v>0.22862987500000001</v>
      </c>
      <c r="K536" s="50">
        <v>0</v>
      </c>
    </row>
    <row r="537" spans="1:11">
      <c r="A537" s="20">
        <v>17</v>
      </c>
      <c r="B537" s="35">
        <v>41808</v>
      </c>
      <c r="C537" s="20">
        <v>2014</v>
      </c>
      <c r="D537" s="10" t="s">
        <v>30</v>
      </c>
      <c r="E537" s="20">
        <v>6</v>
      </c>
      <c r="F537" s="60">
        <v>3.677</v>
      </c>
      <c r="G537" s="50">
        <v>0.25240412499999998</v>
      </c>
      <c r="H537" s="50">
        <v>7.1646000000000001E-2</v>
      </c>
      <c r="I537" s="50">
        <v>1.1807458749999997</v>
      </c>
      <c r="J537" s="50">
        <v>0.15547549999999999</v>
      </c>
      <c r="K537" s="50">
        <v>0</v>
      </c>
    </row>
    <row r="538" spans="1:11">
      <c r="A538" s="20">
        <v>18</v>
      </c>
      <c r="B538" s="35">
        <v>41808</v>
      </c>
      <c r="C538" s="20">
        <v>2014</v>
      </c>
      <c r="D538" s="10" t="s">
        <v>30</v>
      </c>
      <c r="E538" s="20">
        <v>6</v>
      </c>
      <c r="F538" s="60">
        <v>5.6159999999999997</v>
      </c>
      <c r="G538" s="50">
        <v>0.25820749999999992</v>
      </c>
      <c r="H538" s="50">
        <v>0</v>
      </c>
      <c r="I538" s="50">
        <v>1.35758775</v>
      </c>
      <c r="J538" s="50">
        <v>0.28106112499999997</v>
      </c>
      <c r="K538" s="50">
        <v>0</v>
      </c>
    </row>
    <row r="539" spans="1:11">
      <c r="A539" s="20">
        <v>1</v>
      </c>
      <c r="B539" s="35">
        <v>41834</v>
      </c>
      <c r="C539" s="20">
        <v>2014</v>
      </c>
      <c r="D539" s="10" t="s">
        <v>31</v>
      </c>
      <c r="E539" s="20">
        <v>7</v>
      </c>
      <c r="F539" s="60">
        <v>5.8869999999999996</v>
      </c>
      <c r="G539" s="50">
        <v>0.18227574999999999</v>
      </c>
      <c r="H539" s="50">
        <v>0</v>
      </c>
      <c r="I539" s="50">
        <v>1.6630996250000003</v>
      </c>
      <c r="J539" s="50">
        <v>0.19788362499999995</v>
      </c>
      <c r="K539" s="50">
        <v>0</v>
      </c>
    </row>
    <row r="540" spans="1:11">
      <c r="A540" s="20">
        <v>17</v>
      </c>
      <c r="B540" s="35">
        <v>41834</v>
      </c>
      <c r="C540" s="20">
        <v>2014</v>
      </c>
      <c r="D540" s="10" t="s">
        <v>31</v>
      </c>
      <c r="E540" s="20">
        <v>7</v>
      </c>
      <c r="F540" s="60">
        <v>5.673</v>
      </c>
      <c r="G540" s="50">
        <v>0.39825924999999995</v>
      </c>
      <c r="H540" s="50">
        <v>0.12969924999999999</v>
      </c>
      <c r="I540" s="50">
        <v>2.5622486249999996</v>
      </c>
      <c r="J540" s="50">
        <v>3.5649E-2</v>
      </c>
      <c r="K540" s="50">
        <v>6.6682249999999998E-2</v>
      </c>
    </row>
    <row r="541" spans="1:11">
      <c r="A541" s="20">
        <v>18</v>
      </c>
      <c r="B541" s="35">
        <v>41834</v>
      </c>
      <c r="C541" s="20">
        <v>2014</v>
      </c>
      <c r="D541" s="10" t="s">
        <v>31</v>
      </c>
      <c r="E541" s="20">
        <v>7</v>
      </c>
      <c r="F541" s="60">
        <v>10.291</v>
      </c>
      <c r="G541" s="50">
        <v>0.18247887499999998</v>
      </c>
      <c r="H541" s="50">
        <v>0</v>
      </c>
      <c r="I541" s="50">
        <v>3.286181875</v>
      </c>
      <c r="J541" s="50">
        <v>0.77497699999999992</v>
      </c>
      <c r="K541" s="50">
        <v>0</v>
      </c>
    </row>
    <row r="542" spans="1:11">
      <c r="A542" s="20">
        <v>1</v>
      </c>
      <c r="B542" s="35">
        <v>41864</v>
      </c>
      <c r="C542" s="20">
        <v>2014</v>
      </c>
      <c r="D542" s="10" t="s">
        <v>32</v>
      </c>
      <c r="E542" s="20">
        <v>8</v>
      </c>
      <c r="F542" s="60">
        <v>3.1840000000000002</v>
      </c>
      <c r="G542" s="50">
        <v>0.14106724999999998</v>
      </c>
      <c r="H542" s="50">
        <v>0</v>
      </c>
      <c r="I542" s="50">
        <v>0.88406862500000005</v>
      </c>
      <c r="J542" s="50">
        <v>7.0996249999999983E-2</v>
      </c>
      <c r="K542" s="50">
        <v>0</v>
      </c>
    </row>
    <row r="543" spans="1:11">
      <c r="A543" s="20">
        <v>17</v>
      </c>
      <c r="B543" s="35">
        <v>41864</v>
      </c>
      <c r="C543" s="20">
        <v>2014</v>
      </c>
      <c r="D543" s="10" t="s">
        <v>32</v>
      </c>
      <c r="E543" s="20">
        <v>8</v>
      </c>
      <c r="F543" s="60">
        <v>3.0710000000000002</v>
      </c>
      <c r="G543" s="50">
        <v>0.24018875000000001</v>
      </c>
      <c r="H543" s="50">
        <v>0</v>
      </c>
      <c r="I543" s="50">
        <v>1.4077078750000001</v>
      </c>
      <c r="J543" s="50">
        <v>6.5885624999999989E-2</v>
      </c>
      <c r="K543" s="50">
        <v>0</v>
      </c>
    </row>
    <row r="544" spans="1:11">
      <c r="A544" s="20">
        <v>18</v>
      </c>
      <c r="B544" s="35">
        <v>41864</v>
      </c>
      <c r="C544" s="20">
        <v>2014</v>
      </c>
      <c r="D544" s="10" t="s">
        <v>32</v>
      </c>
      <c r="E544" s="20">
        <v>8</v>
      </c>
      <c r="F544" s="60">
        <v>4.3239999999999998</v>
      </c>
      <c r="G544" s="50">
        <v>0.26538275</v>
      </c>
      <c r="H544" s="50">
        <v>0</v>
      </c>
      <c r="I544" s="50">
        <v>1.8860201249999997</v>
      </c>
      <c r="J544" s="50">
        <v>9.2953999999999995E-2</v>
      </c>
      <c r="K544" s="50">
        <v>0</v>
      </c>
    </row>
    <row r="545" spans="1:11">
      <c r="A545" s="20">
        <v>1</v>
      </c>
      <c r="B545" s="35">
        <v>41898</v>
      </c>
      <c r="C545" s="20">
        <v>2014</v>
      </c>
      <c r="D545" s="10" t="s">
        <v>38</v>
      </c>
      <c r="E545" s="20">
        <v>9</v>
      </c>
      <c r="F545" s="60">
        <v>5.444</v>
      </c>
      <c r="G545" s="50">
        <v>0.25300325000000001</v>
      </c>
      <c r="H545" s="50">
        <v>0</v>
      </c>
      <c r="I545" s="50">
        <v>1.916975125</v>
      </c>
      <c r="J545" s="50">
        <v>7.1622249999999985E-2</v>
      </c>
      <c r="K545" s="50">
        <v>0</v>
      </c>
    </row>
    <row r="546" spans="1:11">
      <c r="A546" s="20">
        <v>17</v>
      </c>
      <c r="B546" s="35">
        <v>41898</v>
      </c>
      <c r="C546" s="20">
        <v>2014</v>
      </c>
      <c r="D546" s="10" t="s">
        <v>38</v>
      </c>
      <c r="E546" s="20">
        <v>9</v>
      </c>
      <c r="F546" s="60">
        <v>6.3810000000000002</v>
      </c>
      <c r="G546" s="50">
        <v>0.15216499999999997</v>
      </c>
      <c r="H546" s="50">
        <v>0</v>
      </c>
      <c r="I546" s="50">
        <v>2.6762051249999996</v>
      </c>
      <c r="J546" s="50">
        <v>0.11867324999999999</v>
      </c>
      <c r="K546" s="50">
        <v>0</v>
      </c>
    </row>
    <row r="547" spans="1:11">
      <c r="A547" s="20">
        <v>18</v>
      </c>
      <c r="B547" s="35">
        <v>41898</v>
      </c>
      <c r="C547" s="20">
        <v>2014</v>
      </c>
      <c r="D547" s="10" t="s">
        <v>38</v>
      </c>
      <c r="E547" s="20">
        <v>9</v>
      </c>
      <c r="F547" s="60">
        <v>4.1369999999999996</v>
      </c>
      <c r="G547" s="50">
        <v>5.4727375000000002E-2</v>
      </c>
      <c r="H547" s="50">
        <v>0</v>
      </c>
      <c r="I547" s="50">
        <v>1.5670120000000003</v>
      </c>
      <c r="J547" s="50">
        <v>5.2089249999999997E-2</v>
      </c>
      <c r="K547" s="50">
        <v>0</v>
      </c>
    </row>
    <row r="548" spans="1:11">
      <c r="A548" s="20">
        <v>1</v>
      </c>
      <c r="B548" s="35">
        <v>41929</v>
      </c>
      <c r="C548" s="20">
        <v>2014</v>
      </c>
      <c r="D548" s="10" t="s">
        <v>34</v>
      </c>
      <c r="E548" s="20">
        <v>10</v>
      </c>
      <c r="F548" s="49">
        <v>5.1669999999999998</v>
      </c>
      <c r="G548" s="50">
        <v>0.19353775000000001</v>
      </c>
      <c r="H548" s="50">
        <v>0</v>
      </c>
      <c r="I548" s="50">
        <v>1.051970625</v>
      </c>
      <c r="J548" s="50">
        <v>6.3552625000000001E-2</v>
      </c>
      <c r="K548" s="50">
        <v>0</v>
      </c>
    </row>
    <row r="549" spans="1:11">
      <c r="A549" s="20">
        <v>17</v>
      </c>
      <c r="B549" s="35">
        <v>41929</v>
      </c>
      <c r="C549" s="20">
        <v>2014</v>
      </c>
      <c r="D549" s="10" t="s">
        <v>34</v>
      </c>
      <c r="E549" s="20">
        <v>10</v>
      </c>
      <c r="F549" s="49">
        <v>5.8529999999999998</v>
      </c>
      <c r="G549" s="50">
        <v>0</v>
      </c>
      <c r="H549" s="50">
        <v>0</v>
      </c>
      <c r="I549" s="50">
        <v>2.8919573750000001</v>
      </c>
      <c r="J549" s="50">
        <v>0.119685875</v>
      </c>
      <c r="K549" s="50">
        <v>0</v>
      </c>
    </row>
    <row r="550" spans="1:11">
      <c r="A550" s="20">
        <v>18</v>
      </c>
      <c r="B550" s="35">
        <v>41929</v>
      </c>
      <c r="C550" s="20">
        <v>2014</v>
      </c>
      <c r="D550" s="10" t="s">
        <v>34</v>
      </c>
      <c r="E550" s="20">
        <v>10</v>
      </c>
      <c r="F550" s="49">
        <v>1.976</v>
      </c>
      <c r="G550" s="50">
        <v>0</v>
      </c>
      <c r="H550" s="50">
        <v>0</v>
      </c>
      <c r="I550" s="50">
        <v>0.36464024999999994</v>
      </c>
      <c r="J550" s="50">
        <v>9.5457499999999987E-3</v>
      </c>
      <c r="K550" s="50">
        <v>0</v>
      </c>
    </row>
    <row r="551" spans="1:11">
      <c r="A551" s="20">
        <v>1</v>
      </c>
      <c r="B551" s="35">
        <v>41953</v>
      </c>
      <c r="C551" s="20">
        <v>2014</v>
      </c>
      <c r="D551" s="10" t="s">
        <v>35</v>
      </c>
      <c r="E551" s="20">
        <v>11</v>
      </c>
      <c r="F551" s="49">
        <v>1.482</v>
      </c>
      <c r="G551" s="50">
        <v>0</v>
      </c>
      <c r="H551" s="50">
        <v>0</v>
      </c>
      <c r="I551" s="50">
        <v>0.451974125</v>
      </c>
      <c r="J551" s="50">
        <v>1.4412625000000002E-2</v>
      </c>
      <c r="K551" s="50">
        <v>0</v>
      </c>
    </row>
    <row r="552" spans="1:11">
      <c r="A552" s="20">
        <v>17</v>
      </c>
      <c r="B552" s="35">
        <v>41953</v>
      </c>
      <c r="C552" s="20">
        <v>2014</v>
      </c>
      <c r="D552" s="10" t="s">
        <v>35</v>
      </c>
      <c r="E552" s="20">
        <v>11</v>
      </c>
      <c r="F552" s="49">
        <v>2.7370000000000001</v>
      </c>
      <c r="G552" s="50">
        <v>0.142449875</v>
      </c>
      <c r="H552" s="50">
        <v>0</v>
      </c>
      <c r="I552" s="50">
        <v>0.99353762499999976</v>
      </c>
      <c r="J552" s="50">
        <v>2.7099125000000002E-2</v>
      </c>
      <c r="K552" s="50">
        <v>0</v>
      </c>
    </row>
    <row r="553" spans="1:11">
      <c r="A553" s="20">
        <v>18</v>
      </c>
      <c r="B553" s="35">
        <v>41953</v>
      </c>
      <c r="C553" s="20">
        <v>2014</v>
      </c>
      <c r="D553" s="10" t="s">
        <v>35</v>
      </c>
      <c r="E553" s="20">
        <v>11</v>
      </c>
      <c r="F553" s="49">
        <v>2.847</v>
      </c>
      <c r="G553" s="50">
        <v>0</v>
      </c>
      <c r="H553" s="50">
        <v>0</v>
      </c>
      <c r="I553" s="50">
        <v>1.1359189999999997</v>
      </c>
      <c r="J553" s="50">
        <v>2.4824124999999996E-2</v>
      </c>
      <c r="K553" s="50">
        <v>0</v>
      </c>
    </row>
    <row r="554" spans="1:11">
      <c r="A554" s="20">
        <v>1</v>
      </c>
      <c r="B554" s="35">
        <v>41988</v>
      </c>
      <c r="C554" s="20">
        <v>2014</v>
      </c>
      <c r="D554" s="10" t="s">
        <v>36</v>
      </c>
      <c r="E554" s="20">
        <v>12</v>
      </c>
      <c r="F554" s="49">
        <v>2.58</v>
      </c>
      <c r="G554" s="50">
        <v>0.10850874999999999</v>
      </c>
      <c r="H554" s="50">
        <v>0</v>
      </c>
      <c r="I554" s="50">
        <v>0.92408599999999996</v>
      </c>
      <c r="J554" s="50">
        <v>1.1093875000000001E-2</v>
      </c>
      <c r="K554" s="50">
        <v>0</v>
      </c>
    </row>
    <row r="555" spans="1:11">
      <c r="A555" s="20">
        <v>17</v>
      </c>
      <c r="B555" s="35">
        <v>41988</v>
      </c>
      <c r="C555" s="20">
        <v>2014</v>
      </c>
      <c r="D555" s="10" t="s">
        <v>36</v>
      </c>
      <c r="E555" s="20">
        <v>12</v>
      </c>
      <c r="F555" s="49">
        <v>3.4140000000000001</v>
      </c>
      <c r="G555" s="50">
        <v>6.8770250000000005E-2</v>
      </c>
      <c r="H555" s="50">
        <v>0</v>
      </c>
      <c r="I555" s="50">
        <v>1.5273686250000003</v>
      </c>
      <c r="J555" s="50">
        <v>1.19825E-2</v>
      </c>
      <c r="K555" s="50">
        <v>0</v>
      </c>
    </row>
    <row r="556" spans="1:11">
      <c r="A556" s="20">
        <v>18</v>
      </c>
      <c r="B556" s="35">
        <v>41988</v>
      </c>
      <c r="C556" s="20">
        <v>2014</v>
      </c>
      <c r="D556" s="10" t="s">
        <v>36</v>
      </c>
      <c r="E556" s="20">
        <v>12</v>
      </c>
      <c r="F556" s="49">
        <v>2.956</v>
      </c>
      <c r="G556" s="50">
        <v>6.8377499999999994E-2</v>
      </c>
      <c r="H556" s="50">
        <v>0</v>
      </c>
      <c r="I556" s="50">
        <v>1.3082948750000001</v>
      </c>
      <c r="J556" s="50">
        <v>1.0276499999999999E-2</v>
      </c>
      <c r="K556" s="5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1"/>
  <sheetViews>
    <sheetView workbookViewId="0">
      <selection sqref="A1:J1048576"/>
    </sheetView>
  </sheetViews>
  <sheetFormatPr defaultColWidth="8.85546875" defaultRowHeight="15"/>
  <sheetData>
    <row r="1" spans="1:12" ht="18">
      <c r="F1" s="61" t="s">
        <v>40</v>
      </c>
      <c r="G1" s="61" t="s">
        <v>41</v>
      </c>
      <c r="H1" s="61" t="s">
        <v>41</v>
      </c>
      <c r="I1" s="61" t="s">
        <v>41</v>
      </c>
      <c r="J1" s="61" t="s">
        <v>41</v>
      </c>
      <c r="K1" s="61" t="s">
        <v>41</v>
      </c>
    </row>
    <row r="2" spans="1:12" ht="25.5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</row>
    <row r="3" spans="1:12">
      <c r="A3" s="7">
        <v>1</v>
      </c>
      <c r="B3" s="8">
        <v>36445</v>
      </c>
      <c r="C3" s="9">
        <v>1999</v>
      </c>
      <c r="D3" s="10" t="s">
        <v>12</v>
      </c>
      <c r="E3" s="11">
        <v>10</v>
      </c>
      <c r="F3" s="12">
        <v>4.1054377192600242</v>
      </c>
      <c r="G3" s="13">
        <v>0</v>
      </c>
      <c r="H3" s="13">
        <v>0</v>
      </c>
      <c r="I3" s="13">
        <v>1.1568978946666666</v>
      </c>
      <c r="J3" s="13">
        <v>5.1218945833333328E-2</v>
      </c>
      <c r="K3" s="14" t="s">
        <v>76</v>
      </c>
    </row>
    <row r="4" spans="1:12">
      <c r="A4" s="7">
        <v>17</v>
      </c>
      <c r="B4" s="8">
        <v>36445</v>
      </c>
      <c r="C4" s="9">
        <v>1999</v>
      </c>
      <c r="D4" s="10" t="s">
        <v>12</v>
      </c>
      <c r="E4" s="11">
        <v>10</v>
      </c>
      <c r="F4" s="12">
        <v>1.3152841711087548</v>
      </c>
      <c r="G4" s="13">
        <v>0</v>
      </c>
      <c r="H4" s="13">
        <v>0</v>
      </c>
      <c r="I4" s="13">
        <v>0.4691034825</v>
      </c>
      <c r="J4" s="13">
        <v>2.9348091666666663E-2</v>
      </c>
      <c r="K4" s="14" t="s">
        <v>13</v>
      </c>
    </row>
    <row r="5" spans="1:12">
      <c r="A5" s="7">
        <v>18</v>
      </c>
      <c r="B5" s="8">
        <v>36445</v>
      </c>
      <c r="C5" s="9">
        <v>1999</v>
      </c>
      <c r="D5" s="10" t="s">
        <v>12</v>
      </c>
      <c r="E5" s="11">
        <v>10</v>
      </c>
      <c r="F5" s="12">
        <v>1.7936776708933075</v>
      </c>
      <c r="G5" s="13">
        <v>0</v>
      </c>
      <c r="H5" s="13">
        <v>0</v>
      </c>
      <c r="I5" s="13">
        <v>0.44464733350000002</v>
      </c>
      <c r="J5" s="13">
        <v>4.9732094666666657E-2</v>
      </c>
      <c r="K5" s="14" t="s">
        <v>13</v>
      </c>
    </row>
    <row r="6" spans="1:12">
      <c r="A6" s="7">
        <v>1</v>
      </c>
      <c r="B6" s="8">
        <v>36472</v>
      </c>
      <c r="C6" s="9">
        <v>1999</v>
      </c>
      <c r="D6" s="10" t="s">
        <v>14</v>
      </c>
      <c r="E6" s="9">
        <v>11</v>
      </c>
      <c r="F6" s="12">
        <v>7.2264695933613181</v>
      </c>
      <c r="G6" s="13">
        <v>3.4725412666666663E-2</v>
      </c>
      <c r="H6" s="13">
        <v>4.2626281666666668E-2</v>
      </c>
      <c r="I6" s="13">
        <v>2.4758319551666665</v>
      </c>
      <c r="J6" s="13">
        <v>1.9754374000000002E-2</v>
      </c>
      <c r="K6" s="14" t="s">
        <v>13</v>
      </c>
    </row>
    <row r="7" spans="1:12">
      <c r="A7" s="7">
        <v>17</v>
      </c>
      <c r="B7" s="8">
        <v>36472</v>
      </c>
      <c r="C7" s="9">
        <v>1999</v>
      </c>
      <c r="D7" s="10" t="s">
        <v>14</v>
      </c>
      <c r="E7" s="9">
        <v>11</v>
      </c>
      <c r="F7" s="12">
        <v>6.7147332800766897</v>
      </c>
      <c r="G7" s="13">
        <v>5.8268882666666667E-2</v>
      </c>
      <c r="H7" s="13">
        <v>1.7341949333333332E-2</v>
      </c>
      <c r="I7" s="13">
        <v>2.6896251763333332</v>
      </c>
      <c r="J7" s="13">
        <v>1.1786306833333333E-2</v>
      </c>
      <c r="K7" s="14" t="s">
        <v>13</v>
      </c>
    </row>
    <row r="8" spans="1:12">
      <c r="A8" s="7">
        <v>18</v>
      </c>
      <c r="B8" s="8">
        <v>36472</v>
      </c>
      <c r="C8" s="9">
        <v>1999</v>
      </c>
      <c r="D8" s="10" t="s">
        <v>14</v>
      </c>
      <c r="E8" s="9">
        <v>11</v>
      </c>
      <c r="F8" s="12">
        <v>2.3875243891220883</v>
      </c>
      <c r="G8" s="13">
        <v>2.1890667666666669E-2</v>
      </c>
      <c r="H8" s="13">
        <v>0</v>
      </c>
      <c r="I8" s="13">
        <v>0.83411878699999997</v>
      </c>
      <c r="J8" s="13">
        <v>0</v>
      </c>
      <c r="K8" s="14" t="s">
        <v>13</v>
      </c>
    </row>
    <row r="9" spans="1:12">
      <c r="A9" s="7">
        <v>1</v>
      </c>
      <c r="B9" s="8">
        <v>36501</v>
      </c>
      <c r="C9" s="9">
        <v>1999</v>
      </c>
      <c r="D9" s="10" t="s">
        <v>15</v>
      </c>
      <c r="E9" s="9">
        <v>12</v>
      </c>
      <c r="F9" s="12">
        <v>3.7867370162723257</v>
      </c>
      <c r="G9" s="13">
        <v>0</v>
      </c>
      <c r="H9" s="13">
        <v>1.5577709166666669E-2</v>
      </c>
      <c r="I9" s="13">
        <v>1.0874235866666668</v>
      </c>
      <c r="J9" s="13">
        <v>1.6792098499999998E-2</v>
      </c>
      <c r="K9" s="14" t="s">
        <v>13</v>
      </c>
    </row>
    <row r="10" spans="1:12">
      <c r="A10" s="7">
        <v>17</v>
      </c>
      <c r="B10" s="8">
        <v>36501</v>
      </c>
      <c r="C10" s="9">
        <v>1999</v>
      </c>
      <c r="D10" s="10" t="s">
        <v>15</v>
      </c>
      <c r="E10" s="9">
        <v>12</v>
      </c>
      <c r="F10" s="12">
        <v>6.1417226035720685</v>
      </c>
      <c r="G10" s="13">
        <v>0</v>
      </c>
      <c r="H10" s="13">
        <v>5.4440271666666665E-2</v>
      </c>
      <c r="I10" s="13">
        <v>2.6562816303333334</v>
      </c>
      <c r="J10" s="13">
        <v>2.0369674000000001E-2</v>
      </c>
      <c r="K10" s="14" t="s">
        <v>13</v>
      </c>
    </row>
    <row r="11" spans="1:12">
      <c r="A11" s="7">
        <v>18</v>
      </c>
      <c r="B11" s="8">
        <v>36501</v>
      </c>
      <c r="C11" s="9">
        <v>1999</v>
      </c>
      <c r="D11" s="10" t="s">
        <v>15</v>
      </c>
      <c r="E11" s="9">
        <v>12</v>
      </c>
      <c r="F11" s="12">
        <v>2.4132429601979211</v>
      </c>
      <c r="G11" s="13">
        <v>1.3768809999999999E-2</v>
      </c>
      <c r="H11" s="13">
        <v>1.0104675333333334E-2</v>
      </c>
      <c r="I11" s="13">
        <v>0.81558897116666673</v>
      </c>
      <c r="J11" s="13">
        <v>1.0519081500000001E-2</v>
      </c>
      <c r="K11" s="14" t="s">
        <v>13</v>
      </c>
    </row>
    <row r="12" spans="1:12">
      <c r="A12" s="15">
        <v>1</v>
      </c>
      <c r="B12" s="16">
        <v>36530</v>
      </c>
      <c r="C12" s="17">
        <v>2000</v>
      </c>
      <c r="D12" s="18" t="s">
        <v>16</v>
      </c>
      <c r="E12" s="19">
        <v>1</v>
      </c>
      <c r="F12" s="12">
        <v>7.4807579945484566</v>
      </c>
      <c r="G12" s="13">
        <v>7.2831700333333332E-2</v>
      </c>
      <c r="H12" s="13">
        <v>2.7557643166666666E-2</v>
      </c>
      <c r="I12" s="13">
        <v>2.4044992666666665</v>
      </c>
      <c r="J12" s="13">
        <v>1.7847350833333334E-2</v>
      </c>
      <c r="K12" s="14" t="s">
        <v>13</v>
      </c>
    </row>
    <row r="13" spans="1:12">
      <c r="A13" s="7">
        <v>17</v>
      </c>
      <c r="B13" s="8">
        <v>36530</v>
      </c>
      <c r="C13" s="11">
        <v>2000</v>
      </c>
      <c r="D13" s="10" t="s">
        <v>16</v>
      </c>
      <c r="E13" s="9">
        <v>1</v>
      </c>
      <c r="F13" s="12">
        <v>9.6936534273555157</v>
      </c>
      <c r="G13" s="13">
        <v>9.7400714333333346E-2</v>
      </c>
      <c r="H13" s="13">
        <v>3.4628692666666669E-2</v>
      </c>
      <c r="I13" s="13">
        <v>3.7408711100000001</v>
      </c>
      <c r="J13" s="13">
        <v>1.5823924100000001E-2</v>
      </c>
      <c r="K13" s="14" t="s">
        <v>13</v>
      </c>
    </row>
    <row r="14" spans="1:12">
      <c r="A14" s="7">
        <v>18</v>
      </c>
      <c r="B14" s="8">
        <v>36530</v>
      </c>
      <c r="C14" s="11">
        <v>2000</v>
      </c>
      <c r="D14" s="10" t="s">
        <v>16</v>
      </c>
      <c r="E14" s="9">
        <v>1</v>
      </c>
      <c r="F14" s="12">
        <v>3.9422607813233785</v>
      </c>
      <c r="G14" s="13">
        <v>5.8004388166666671E-2</v>
      </c>
      <c r="H14" s="13">
        <v>2.6812907166666667E-2</v>
      </c>
      <c r="I14" s="13">
        <v>1.292444669</v>
      </c>
      <c r="J14" s="13">
        <v>3.5574038499999995E-2</v>
      </c>
      <c r="K14" s="14" t="s">
        <v>13</v>
      </c>
    </row>
    <row r="15" spans="1:12">
      <c r="A15" s="7">
        <v>1</v>
      </c>
      <c r="B15" s="8">
        <v>36579</v>
      </c>
      <c r="C15" s="11">
        <v>2000</v>
      </c>
      <c r="D15" s="10" t="s">
        <v>17</v>
      </c>
      <c r="E15" s="11">
        <v>2</v>
      </c>
      <c r="F15" s="12">
        <v>3.3677456714452401</v>
      </c>
      <c r="G15" s="13">
        <v>4.0706993000000004E-2</v>
      </c>
      <c r="H15" s="13">
        <v>0</v>
      </c>
      <c r="I15" s="13">
        <v>1.1431695503333335</v>
      </c>
      <c r="J15" s="13">
        <v>2.2316815166666667E-2</v>
      </c>
      <c r="K15" s="14" t="s">
        <v>13</v>
      </c>
    </row>
    <row r="16" spans="1:12">
      <c r="A16" s="7">
        <v>17</v>
      </c>
      <c r="B16" s="8">
        <v>36579</v>
      </c>
      <c r="C16" s="11">
        <v>2000</v>
      </c>
      <c r="D16" s="10" t="s">
        <v>17</v>
      </c>
      <c r="E16" s="11">
        <v>2</v>
      </c>
      <c r="F16" s="12">
        <v>4.5413000910204468</v>
      </c>
      <c r="G16" s="13">
        <v>4.0290909499999999E-2</v>
      </c>
      <c r="H16" s="13">
        <v>0</v>
      </c>
      <c r="I16" s="13">
        <v>1.9322673478333332</v>
      </c>
      <c r="J16" s="13">
        <v>1.6001550333333333E-2</v>
      </c>
      <c r="K16" s="14" t="s">
        <v>13</v>
      </c>
    </row>
    <row r="17" spans="1:11">
      <c r="A17" s="7">
        <v>18</v>
      </c>
      <c r="B17" s="8">
        <v>36579</v>
      </c>
      <c r="C17" s="11">
        <v>2000</v>
      </c>
      <c r="D17" s="10" t="s">
        <v>17</v>
      </c>
      <c r="E17" s="11">
        <v>2</v>
      </c>
      <c r="F17" s="12">
        <v>3.8491250993720558</v>
      </c>
      <c r="G17" s="13">
        <v>4.2523649833333337E-2</v>
      </c>
      <c r="H17" s="13">
        <v>0</v>
      </c>
      <c r="I17" s="13">
        <v>1.6192548279999999</v>
      </c>
      <c r="J17" s="13">
        <v>3.6751002333333331E-2</v>
      </c>
      <c r="K17" s="14" t="s">
        <v>13</v>
      </c>
    </row>
    <row r="18" spans="1:11">
      <c r="A18" s="7">
        <v>1</v>
      </c>
      <c r="B18" s="8">
        <v>36600</v>
      </c>
      <c r="C18" s="11">
        <v>2000</v>
      </c>
      <c r="D18" s="10" t="s">
        <v>18</v>
      </c>
      <c r="E18" s="11">
        <v>3</v>
      </c>
      <c r="F18" s="12">
        <v>1.0722764876759285</v>
      </c>
      <c r="G18" s="13">
        <v>1.8527928833333332E-2</v>
      </c>
      <c r="H18" s="13">
        <v>0</v>
      </c>
      <c r="I18" s="13">
        <v>0.24491488316666668</v>
      </c>
      <c r="J18" s="13">
        <v>2.4382136666666665E-2</v>
      </c>
      <c r="K18" s="14" t="s">
        <v>13</v>
      </c>
    </row>
    <row r="19" spans="1:11">
      <c r="A19" s="7">
        <v>17</v>
      </c>
      <c r="B19" s="8">
        <v>36600</v>
      </c>
      <c r="C19" s="11">
        <v>2000</v>
      </c>
      <c r="D19" s="10" t="s">
        <v>18</v>
      </c>
      <c r="E19" s="11">
        <v>3</v>
      </c>
      <c r="F19" s="12">
        <v>1.3796554830135515</v>
      </c>
      <c r="G19" s="13">
        <v>0</v>
      </c>
      <c r="H19" s="13">
        <v>0</v>
      </c>
      <c r="I19" s="13">
        <v>0.30906449650000006</v>
      </c>
      <c r="J19" s="13">
        <v>2.6908305499999997E-2</v>
      </c>
      <c r="K19" s="14" t="s">
        <v>13</v>
      </c>
    </row>
    <row r="20" spans="1:11">
      <c r="A20" s="7">
        <v>18</v>
      </c>
      <c r="B20" s="8">
        <v>36600</v>
      </c>
      <c r="C20" s="11">
        <v>2000</v>
      </c>
      <c r="D20" s="10" t="s">
        <v>18</v>
      </c>
      <c r="E20" s="11">
        <v>3</v>
      </c>
      <c r="F20" s="12">
        <v>1.5369724798714095</v>
      </c>
      <c r="G20" s="13">
        <v>0</v>
      </c>
      <c r="H20" s="13">
        <v>0</v>
      </c>
      <c r="I20" s="13">
        <v>0.36477051866666665</v>
      </c>
      <c r="J20" s="13">
        <v>5.2763979499999995E-2</v>
      </c>
      <c r="K20" s="14" t="s">
        <v>13</v>
      </c>
    </row>
    <row r="21" spans="1:11">
      <c r="A21" s="7">
        <v>1</v>
      </c>
      <c r="B21" s="8">
        <v>36628</v>
      </c>
      <c r="C21" s="11">
        <v>2000</v>
      </c>
      <c r="D21" s="20" t="s">
        <v>19</v>
      </c>
      <c r="E21" s="11">
        <v>4</v>
      </c>
      <c r="F21" s="12">
        <v>3.6884687659467335</v>
      </c>
      <c r="G21" s="13">
        <v>9.3269063499999999E-2</v>
      </c>
      <c r="H21" s="13">
        <v>4.896377116666667E-2</v>
      </c>
      <c r="I21" s="13">
        <v>1.1490816261666668</v>
      </c>
      <c r="J21" s="13">
        <v>0</v>
      </c>
      <c r="K21" s="14" t="s">
        <v>13</v>
      </c>
    </row>
    <row r="22" spans="1:11">
      <c r="A22" s="7">
        <v>17</v>
      </c>
      <c r="B22" s="8">
        <v>36628</v>
      </c>
      <c r="C22" s="11">
        <v>2000</v>
      </c>
      <c r="D22" s="20" t="s">
        <v>19</v>
      </c>
      <c r="E22" s="11">
        <v>4</v>
      </c>
      <c r="F22" s="12">
        <v>6.1856518300435255</v>
      </c>
      <c r="G22" s="13">
        <v>0.14257905900000001</v>
      </c>
      <c r="H22" s="13">
        <v>9.6336135000000003E-2</v>
      </c>
      <c r="I22" s="13">
        <v>2.3740648773333333</v>
      </c>
      <c r="J22" s="13">
        <v>0</v>
      </c>
      <c r="K22" s="14" t="s">
        <v>13</v>
      </c>
    </row>
    <row r="23" spans="1:11">
      <c r="A23" s="7">
        <v>18</v>
      </c>
      <c r="B23" s="8">
        <v>36628</v>
      </c>
      <c r="C23" s="11">
        <v>2000</v>
      </c>
      <c r="D23" s="20" t="s">
        <v>19</v>
      </c>
      <c r="E23" s="11">
        <v>4</v>
      </c>
      <c r="F23" s="12">
        <v>1.61312059080984</v>
      </c>
      <c r="G23" s="13">
        <v>4.2519980666666665E-2</v>
      </c>
      <c r="H23" s="13">
        <v>2.6262637000000005E-2</v>
      </c>
      <c r="I23" s="13">
        <v>0.46551587616666668</v>
      </c>
      <c r="J23" s="13">
        <v>0</v>
      </c>
      <c r="K23" s="14" t="s">
        <v>13</v>
      </c>
    </row>
    <row r="24" spans="1:11">
      <c r="A24" s="7">
        <v>1</v>
      </c>
      <c r="B24" s="8">
        <v>36661</v>
      </c>
      <c r="C24" s="11">
        <v>2000</v>
      </c>
      <c r="D24" s="20" t="s">
        <v>20</v>
      </c>
      <c r="E24" s="11">
        <v>5</v>
      </c>
      <c r="F24" s="12">
        <v>2.477884391252354</v>
      </c>
      <c r="G24" s="13">
        <v>0.10724754016666666</v>
      </c>
      <c r="H24" s="13">
        <v>2.2302452999999996E-2</v>
      </c>
      <c r="I24" s="13">
        <v>0.38746976583333337</v>
      </c>
      <c r="J24" s="13">
        <v>1.3712199999999999E-2</v>
      </c>
      <c r="K24" s="14" t="s">
        <v>13</v>
      </c>
    </row>
    <row r="25" spans="1:11">
      <c r="A25" s="7">
        <v>17</v>
      </c>
      <c r="B25" s="8">
        <v>36661</v>
      </c>
      <c r="C25" s="11">
        <v>2000</v>
      </c>
      <c r="D25" s="20" t="s">
        <v>20</v>
      </c>
      <c r="E25" s="11">
        <v>5</v>
      </c>
      <c r="F25" s="12">
        <v>0.75205921945126275</v>
      </c>
      <c r="G25" s="13">
        <v>2.4801155500000002E-2</v>
      </c>
      <c r="H25" s="13">
        <v>1.6117915333333333E-2</v>
      </c>
      <c r="I25" s="13">
        <v>0.22699519733333337</v>
      </c>
      <c r="J25" s="13">
        <v>1.6943687499999999E-2</v>
      </c>
      <c r="K25" s="14" t="s">
        <v>13</v>
      </c>
    </row>
    <row r="26" spans="1:11">
      <c r="A26" s="7">
        <v>18</v>
      </c>
      <c r="B26" s="8">
        <v>36661</v>
      </c>
      <c r="C26" s="11">
        <v>2000</v>
      </c>
      <c r="D26" s="20" t="s">
        <v>20</v>
      </c>
      <c r="E26" s="11">
        <v>5</v>
      </c>
      <c r="F26" s="12">
        <v>0.83340984957418884</v>
      </c>
      <c r="G26" s="13">
        <v>0</v>
      </c>
      <c r="H26" s="13">
        <v>0</v>
      </c>
      <c r="I26" s="13">
        <v>0.23555903233333336</v>
      </c>
      <c r="J26" s="13">
        <v>2.0333368500000001E-2</v>
      </c>
      <c r="K26" s="14" t="s">
        <v>13</v>
      </c>
    </row>
    <row r="27" spans="1:11">
      <c r="A27" s="7">
        <v>1</v>
      </c>
      <c r="B27" s="8">
        <v>36691</v>
      </c>
      <c r="C27" s="11">
        <v>2000</v>
      </c>
      <c r="D27" s="20" t="s">
        <v>21</v>
      </c>
      <c r="E27" s="11">
        <v>6</v>
      </c>
      <c r="F27" s="12">
        <v>3.7237127675541162</v>
      </c>
      <c r="G27" s="13">
        <v>0.18157972</v>
      </c>
      <c r="H27" s="13">
        <v>2.8967022499999998E-2</v>
      </c>
      <c r="I27" s="13">
        <v>1.2477857738333331</v>
      </c>
      <c r="J27" s="13">
        <v>2.5473556500000001E-2</v>
      </c>
      <c r="K27" s="14" t="s">
        <v>13</v>
      </c>
    </row>
    <row r="28" spans="1:11">
      <c r="A28" s="7">
        <v>17</v>
      </c>
      <c r="B28" s="8">
        <v>36691</v>
      </c>
      <c r="C28" s="11">
        <v>2000</v>
      </c>
      <c r="D28" s="20" t="s">
        <v>21</v>
      </c>
      <c r="E28" s="11">
        <v>6</v>
      </c>
      <c r="F28" s="12">
        <v>4.2387693842079521</v>
      </c>
      <c r="G28" s="13">
        <v>0.17323299483333332</v>
      </c>
      <c r="H28" s="13">
        <v>0</v>
      </c>
      <c r="I28" s="13">
        <v>1.7163875239999999</v>
      </c>
      <c r="J28" s="13">
        <v>1.9808363166666666E-2</v>
      </c>
      <c r="K28" s="14" t="s">
        <v>13</v>
      </c>
    </row>
    <row r="29" spans="1:11">
      <c r="A29" s="7">
        <v>18</v>
      </c>
      <c r="B29" s="8">
        <v>36691</v>
      </c>
      <c r="C29" s="11">
        <v>2000</v>
      </c>
      <c r="D29" s="20" t="s">
        <v>21</v>
      </c>
      <c r="E29" s="11">
        <v>6</v>
      </c>
      <c r="F29" s="12">
        <v>2.6579876589831857</v>
      </c>
      <c r="G29" s="13">
        <v>0.11840683883333333</v>
      </c>
      <c r="H29" s="13">
        <v>0</v>
      </c>
      <c r="I29" s="13">
        <v>0.93326554099999992</v>
      </c>
      <c r="J29" s="13">
        <v>2.4309067833333337E-2</v>
      </c>
      <c r="K29" s="14" t="s">
        <v>13</v>
      </c>
    </row>
    <row r="30" spans="1:11">
      <c r="A30" s="7">
        <v>1</v>
      </c>
      <c r="B30" s="8">
        <v>36720</v>
      </c>
      <c r="C30" s="11">
        <v>2000</v>
      </c>
      <c r="D30" s="20" t="s">
        <v>22</v>
      </c>
      <c r="E30" s="11">
        <v>7</v>
      </c>
      <c r="F30" s="12">
        <v>4.1364277249245944</v>
      </c>
      <c r="G30" s="13">
        <v>9.059245883333332E-2</v>
      </c>
      <c r="H30" s="13">
        <v>2.86066055E-2</v>
      </c>
      <c r="I30" s="13">
        <v>1.2147724991666666</v>
      </c>
      <c r="J30" s="13">
        <v>6.9119132666666666E-2</v>
      </c>
      <c r="K30" s="14" t="s">
        <v>13</v>
      </c>
    </row>
    <row r="31" spans="1:11">
      <c r="A31" s="7">
        <v>17</v>
      </c>
      <c r="B31" s="8">
        <v>36720</v>
      </c>
      <c r="C31" s="11">
        <v>2000</v>
      </c>
      <c r="D31" s="20" t="s">
        <v>22</v>
      </c>
      <c r="E31" s="11">
        <v>7</v>
      </c>
      <c r="F31" s="12">
        <v>3.7223265416587985</v>
      </c>
      <c r="G31" s="13">
        <v>3.2898167666666665E-2</v>
      </c>
      <c r="H31" s="13">
        <v>1.5377163000000001E-2</v>
      </c>
      <c r="I31" s="13">
        <v>1.1845732656666668</v>
      </c>
      <c r="J31" s="13">
        <v>8.6650830333333331E-2</v>
      </c>
      <c r="K31" s="14" t="s">
        <v>13</v>
      </c>
    </row>
    <row r="32" spans="1:11">
      <c r="A32" s="7">
        <v>18</v>
      </c>
      <c r="B32" s="8">
        <v>36720</v>
      </c>
      <c r="C32" s="11">
        <v>2000</v>
      </c>
      <c r="D32" s="20" t="s">
        <v>22</v>
      </c>
      <c r="E32" s="11">
        <v>7</v>
      </c>
      <c r="F32" s="12">
        <v>4.8747285305523693</v>
      </c>
      <c r="G32" s="13">
        <v>5.7772182333333338E-2</v>
      </c>
      <c r="H32" s="13">
        <v>2.1171825499999998E-2</v>
      </c>
      <c r="I32" s="13">
        <v>0.90408308599999987</v>
      </c>
      <c r="J32" s="13">
        <v>0.20840048966666669</v>
      </c>
      <c r="K32" s="14" t="s">
        <v>13</v>
      </c>
    </row>
    <row r="33" spans="1:11">
      <c r="A33" s="7">
        <v>1</v>
      </c>
      <c r="B33" s="8">
        <v>36754</v>
      </c>
      <c r="C33" s="11">
        <v>2000</v>
      </c>
      <c r="D33" s="20" t="s">
        <v>23</v>
      </c>
      <c r="E33" s="11">
        <v>8</v>
      </c>
      <c r="F33" s="12">
        <v>3.7916475814221458</v>
      </c>
      <c r="G33" s="13">
        <v>7.7435561E-2</v>
      </c>
      <c r="H33" s="13">
        <v>0</v>
      </c>
      <c r="I33" s="13">
        <v>0.82375286700000006</v>
      </c>
      <c r="J33" s="13">
        <v>8.5341462000000007E-2</v>
      </c>
      <c r="K33" s="14" t="s">
        <v>13</v>
      </c>
    </row>
    <row r="34" spans="1:11">
      <c r="A34" s="7">
        <v>17</v>
      </c>
      <c r="B34" s="8">
        <v>36754</v>
      </c>
      <c r="C34" s="11">
        <v>2000</v>
      </c>
      <c r="D34" s="20" t="s">
        <v>23</v>
      </c>
      <c r="E34" s="11">
        <v>8</v>
      </c>
      <c r="F34" s="12">
        <v>3.8795620764281251</v>
      </c>
      <c r="G34" s="13">
        <v>3.1779700833333334E-2</v>
      </c>
      <c r="H34" s="13">
        <v>0</v>
      </c>
      <c r="I34" s="13">
        <v>1.2595760643333334</v>
      </c>
      <c r="J34" s="13">
        <v>7.8761073666666667E-2</v>
      </c>
      <c r="K34" s="14" t="s">
        <v>13</v>
      </c>
    </row>
    <row r="35" spans="1:11">
      <c r="A35" s="7">
        <v>18</v>
      </c>
      <c r="B35" s="8">
        <v>36754</v>
      </c>
      <c r="C35" s="11">
        <v>2000</v>
      </c>
      <c r="D35" s="20" t="s">
        <v>23</v>
      </c>
      <c r="E35" s="11">
        <v>8</v>
      </c>
      <c r="F35" s="12">
        <v>4.6497972388850961</v>
      </c>
      <c r="G35" s="13">
        <v>4.6145431833333327E-2</v>
      </c>
      <c r="H35" s="13">
        <v>0</v>
      </c>
      <c r="I35" s="13">
        <v>1.240844654</v>
      </c>
      <c r="J35" s="13">
        <v>0.23296063333333333</v>
      </c>
      <c r="K35" s="14" t="s">
        <v>13</v>
      </c>
    </row>
    <row r="36" spans="1:11">
      <c r="A36" s="7">
        <v>1</v>
      </c>
      <c r="B36" s="8">
        <v>36782</v>
      </c>
      <c r="C36" s="11">
        <v>2000</v>
      </c>
      <c r="D36" s="20" t="s">
        <v>24</v>
      </c>
      <c r="E36" s="11">
        <v>9</v>
      </c>
      <c r="F36" s="12">
        <v>4.4552624216280075</v>
      </c>
      <c r="G36" s="13">
        <v>0</v>
      </c>
      <c r="H36" s="13">
        <v>0</v>
      </c>
      <c r="I36" s="13">
        <v>1.0862118181666667</v>
      </c>
      <c r="J36" s="13">
        <v>4.1984072666666664E-2</v>
      </c>
      <c r="K36" s="14" t="s">
        <v>13</v>
      </c>
    </row>
    <row r="37" spans="1:11">
      <c r="A37" s="7">
        <v>17</v>
      </c>
      <c r="B37" s="8">
        <v>36782</v>
      </c>
      <c r="C37" s="11">
        <v>2000</v>
      </c>
      <c r="D37" s="20" t="s">
        <v>24</v>
      </c>
      <c r="E37" s="11">
        <v>9</v>
      </c>
      <c r="F37" s="12">
        <v>16.335958781584822</v>
      </c>
      <c r="G37" s="13">
        <v>0.21209963866666665</v>
      </c>
      <c r="H37" s="13">
        <v>1.6065708333333331E-2</v>
      </c>
      <c r="I37" s="13">
        <v>6.3669349818333343</v>
      </c>
      <c r="J37" s="13">
        <v>6.0506445333333339E-2</v>
      </c>
      <c r="K37" s="14" t="s">
        <v>13</v>
      </c>
    </row>
    <row r="38" spans="1:11">
      <c r="A38" s="7">
        <v>18</v>
      </c>
      <c r="B38" s="8">
        <v>36782</v>
      </c>
      <c r="C38" s="11">
        <v>2000</v>
      </c>
      <c r="D38" s="20" t="s">
        <v>24</v>
      </c>
      <c r="E38" s="11">
        <v>9</v>
      </c>
      <c r="F38" s="12">
        <v>2.0178970904927205</v>
      </c>
      <c r="G38" s="13">
        <v>0</v>
      </c>
      <c r="H38" s="13">
        <v>0</v>
      </c>
      <c r="I38" s="13">
        <v>0.40892631866666668</v>
      </c>
      <c r="J38" s="13">
        <v>3.0606406166666669E-2</v>
      </c>
      <c r="K38" s="14" t="s">
        <v>13</v>
      </c>
    </row>
    <row r="39" spans="1:11">
      <c r="A39" s="7">
        <v>1</v>
      </c>
      <c r="B39" s="8">
        <v>36818</v>
      </c>
      <c r="C39" s="11">
        <v>2000</v>
      </c>
      <c r="D39" s="20" t="s">
        <v>12</v>
      </c>
      <c r="E39" s="11">
        <v>10</v>
      </c>
      <c r="F39" s="21">
        <v>2.0098416843758211</v>
      </c>
      <c r="G39" s="14">
        <v>4.2298467833333332E-2</v>
      </c>
      <c r="H39" s="14">
        <v>0</v>
      </c>
      <c r="I39" s="14">
        <v>0.4486195733333333</v>
      </c>
      <c r="J39" s="14">
        <v>0</v>
      </c>
      <c r="K39" s="14" t="s">
        <v>13</v>
      </c>
    </row>
    <row r="40" spans="1:11">
      <c r="A40" s="7">
        <v>17</v>
      </c>
      <c r="B40" s="8">
        <v>36818</v>
      </c>
      <c r="C40" s="11">
        <v>2000</v>
      </c>
      <c r="D40" s="20" t="s">
        <v>12</v>
      </c>
      <c r="E40" s="11">
        <v>10</v>
      </c>
      <c r="F40" s="21">
        <v>2.7716064775873948</v>
      </c>
      <c r="G40" s="14">
        <v>7.2980668499999998E-2</v>
      </c>
      <c r="H40" s="14">
        <v>2.6778836333333333E-2</v>
      </c>
      <c r="I40" s="14">
        <v>0.94293526283333318</v>
      </c>
      <c r="J40" s="14">
        <v>8.3667273666666667E-3</v>
      </c>
      <c r="K40" s="14" t="s">
        <v>13</v>
      </c>
    </row>
    <row r="41" spans="1:11">
      <c r="A41" s="7">
        <v>18</v>
      </c>
      <c r="B41" s="8">
        <v>36818</v>
      </c>
      <c r="C41" s="11">
        <v>2000</v>
      </c>
      <c r="D41" s="20" t="s">
        <v>12</v>
      </c>
      <c r="E41" s="11">
        <v>10</v>
      </c>
      <c r="F41" s="21">
        <v>2.3520360303259973</v>
      </c>
      <c r="G41" s="14">
        <v>4.6119642833333335E-2</v>
      </c>
      <c r="H41" s="14">
        <v>2.1627011833333334E-2</v>
      </c>
      <c r="I41" s="14">
        <v>0.7824163498333333</v>
      </c>
      <c r="J41" s="14">
        <v>1.5177245833333332E-2</v>
      </c>
      <c r="K41" s="14" t="s">
        <v>13</v>
      </c>
    </row>
    <row r="42" spans="1:11">
      <c r="A42" s="7">
        <v>1</v>
      </c>
      <c r="B42" s="8">
        <v>36845</v>
      </c>
      <c r="C42" s="11">
        <v>2000</v>
      </c>
      <c r="D42" s="20" t="s">
        <v>14</v>
      </c>
      <c r="E42" s="11">
        <v>11</v>
      </c>
      <c r="F42" s="21">
        <v>2.3623148100538462</v>
      </c>
      <c r="G42" s="14">
        <v>0</v>
      </c>
      <c r="H42" s="14">
        <v>0</v>
      </c>
      <c r="I42" s="14">
        <v>0.77882947733333341</v>
      </c>
      <c r="J42" s="14">
        <v>0</v>
      </c>
      <c r="K42" s="14" t="s">
        <v>13</v>
      </c>
    </row>
    <row r="43" spans="1:11">
      <c r="A43" s="7">
        <v>17</v>
      </c>
      <c r="B43" s="8">
        <v>36845</v>
      </c>
      <c r="C43" s="11">
        <v>2000</v>
      </c>
      <c r="D43" s="20" t="s">
        <v>14</v>
      </c>
      <c r="E43" s="11">
        <v>11</v>
      </c>
      <c r="F43" s="21">
        <v>5.4873305615411674</v>
      </c>
      <c r="G43" s="14">
        <v>0</v>
      </c>
      <c r="H43" s="14">
        <v>2.0661811333333332E-2</v>
      </c>
      <c r="I43" s="14">
        <v>2.2248801396666664</v>
      </c>
      <c r="J43" s="14">
        <v>2.6562565166666666E-2</v>
      </c>
      <c r="K43" s="14" t="s">
        <v>13</v>
      </c>
    </row>
    <row r="44" spans="1:11">
      <c r="A44" s="7">
        <v>18</v>
      </c>
      <c r="B44" s="8">
        <v>36845</v>
      </c>
      <c r="C44" s="11">
        <v>2000</v>
      </c>
      <c r="D44" s="20" t="s">
        <v>14</v>
      </c>
      <c r="E44" s="11">
        <v>11</v>
      </c>
      <c r="F44" s="21">
        <v>4.9230928873598749</v>
      </c>
      <c r="G44" s="14">
        <v>0</v>
      </c>
      <c r="H44" s="14">
        <v>0</v>
      </c>
      <c r="I44" s="14">
        <v>2.0446618901666667</v>
      </c>
      <c r="J44" s="14">
        <v>2.4626817666666665E-2</v>
      </c>
      <c r="K44" s="14" t="s">
        <v>13</v>
      </c>
    </row>
    <row r="45" spans="1:11">
      <c r="A45" s="7">
        <v>1</v>
      </c>
      <c r="B45" s="8">
        <v>36875</v>
      </c>
      <c r="C45" s="11">
        <v>2000</v>
      </c>
      <c r="D45" s="20" t="s">
        <v>15</v>
      </c>
      <c r="E45" s="11">
        <v>12</v>
      </c>
      <c r="F45" s="21">
        <v>3.1646030278937745</v>
      </c>
      <c r="G45" s="14">
        <v>3.7036673166666666E-2</v>
      </c>
      <c r="H45" s="14">
        <v>1.5363953999999999E-2</v>
      </c>
      <c r="I45" s="14">
        <v>0.94188776816666675</v>
      </c>
      <c r="J45" s="14">
        <v>8.2784786666666669E-3</v>
      </c>
      <c r="K45" s="14" t="s">
        <v>13</v>
      </c>
    </row>
    <row r="46" spans="1:11">
      <c r="A46" s="7">
        <v>17</v>
      </c>
      <c r="B46" s="8">
        <v>36875</v>
      </c>
      <c r="C46" s="11">
        <v>2000</v>
      </c>
      <c r="D46" s="20" t="s">
        <v>15</v>
      </c>
      <c r="E46" s="11">
        <v>12</v>
      </c>
      <c r="F46" s="22">
        <v>1.7729309077984674</v>
      </c>
    </row>
    <row r="47" spans="1:11">
      <c r="A47" s="7">
        <v>18</v>
      </c>
      <c r="B47" s="8">
        <v>36875</v>
      </c>
      <c r="C47" s="11">
        <v>2000</v>
      </c>
      <c r="D47" s="20" t="s">
        <v>15</v>
      </c>
      <c r="E47" s="11">
        <v>12</v>
      </c>
      <c r="F47" s="21">
        <v>2.126530714112338</v>
      </c>
      <c r="G47" s="14">
        <v>8.0871788E-2</v>
      </c>
      <c r="H47" s="14">
        <v>0</v>
      </c>
      <c r="I47" s="14">
        <v>0.56399609983333332</v>
      </c>
      <c r="J47" s="14">
        <v>1.0883272500000001E-2</v>
      </c>
      <c r="K47" s="14" t="s">
        <v>13</v>
      </c>
    </row>
    <row r="48" spans="1:11">
      <c r="A48" s="15">
        <v>1</v>
      </c>
      <c r="B48" s="16">
        <v>36901</v>
      </c>
      <c r="C48" s="17">
        <v>2001</v>
      </c>
      <c r="D48" s="23" t="s">
        <v>16</v>
      </c>
      <c r="E48" s="17">
        <v>1</v>
      </c>
      <c r="F48" s="21">
        <v>3.146205666681527</v>
      </c>
      <c r="G48" s="14">
        <v>7.485309666666666E-2</v>
      </c>
      <c r="H48" s="14">
        <v>0</v>
      </c>
      <c r="I48" s="14">
        <v>0.89162028966666673</v>
      </c>
      <c r="J48" s="14">
        <v>0</v>
      </c>
      <c r="K48" s="14" t="s">
        <v>13</v>
      </c>
    </row>
    <row r="49" spans="1:11">
      <c r="A49" s="7">
        <v>17</v>
      </c>
      <c r="B49" s="8">
        <v>36901</v>
      </c>
      <c r="C49" s="11">
        <v>2001</v>
      </c>
      <c r="D49" s="20" t="s">
        <v>16</v>
      </c>
      <c r="E49" s="11">
        <v>1</v>
      </c>
      <c r="F49" s="21">
        <v>3.5771314095991045</v>
      </c>
      <c r="G49" s="14">
        <v>0.11741647833333334</v>
      </c>
      <c r="H49" s="14">
        <v>0</v>
      </c>
      <c r="I49" s="14">
        <v>1.268746465</v>
      </c>
      <c r="J49" s="14">
        <v>0</v>
      </c>
      <c r="K49" s="14" t="s">
        <v>13</v>
      </c>
    </row>
    <row r="50" spans="1:11">
      <c r="A50" s="7">
        <v>18</v>
      </c>
      <c r="B50" s="8">
        <v>36901</v>
      </c>
      <c r="C50" s="11">
        <v>2001</v>
      </c>
      <c r="D50" s="20" t="s">
        <v>16</v>
      </c>
      <c r="E50" s="11">
        <v>1</v>
      </c>
      <c r="F50" s="21">
        <v>2.6683955519063964</v>
      </c>
      <c r="G50" s="14">
        <v>7.1778334999999999E-2</v>
      </c>
      <c r="H50" s="14">
        <v>0</v>
      </c>
      <c r="I50" s="14">
        <v>0.88599755383333334</v>
      </c>
      <c r="J50" s="14">
        <v>0</v>
      </c>
      <c r="K50" s="14" t="s">
        <v>13</v>
      </c>
    </row>
    <row r="51" spans="1:11">
      <c r="A51" s="11">
        <v>1</v>
      </c>
      <c r="B51" s="8">
        <v>36928</v>
      </c>
      <c r="C51" s="11">
        <v>2001</v>
      </c>
      <c r="D51" s="10" t="s">
        <v>17</v>
      </c>
      <c r="E51" s="11">
        <v>2</v>
      </c>
      <c r="F51" s="21">
        <v>6.3365548738563344</v>
      </c>
      <c r="G51" s="14">
        <v>2.3373220666666663E-2</v>
      </c>
      <c r="H51" s="14">
        <v>0</v>
      </c>
      <c r="I51" s="14">
        <v>2.5528479731666662</v>
      </c>
      <c r="J51" s="14">
        <v>3.5239515333333332E-2</v>
      </c>
      <c r="K51" s="14" t="s">
        <v>13</v>
      </c>
    </row>
    <row r="52" spans="1:11">
      <c r="A52" s="11">
        <v>17</v>
      </c>
      <c r="B52" s="8">
        <v>36928</v>
      </c>
      <c r="C52" s="11">
        <v>2001</v>
      </c>
      <c r="D52" s="10" t="s">
        <v>17</v>
      </c>
      <c r="E52" s="11">
        <v>2</v>
      </c>
      <c r="F52" s="21">
        <v>6.4619987355911892</v>
      </c>
      <c r="G52" s="14">
        <v>4.7317783000000002E-2</v>
      </c>
      <c r="H52" s="14">
        <v>9.934635666666667E-3</v>
      </c>
      <c r="I52" s="14">
        <v>2.668438569333333</v>
      </c>
      <c r="J52" s="14">
        <v>2.9764175166666663E-2</v>
      </c>
      <c r="K52" s="14" t="s">
        <v>13</v>
      </c>
    </row>
    <row r="53" spans="1:11">
      <c r="A53" s="11">
        <v>18</v>
      </c>
      <c r="B53" s="8">
        <v>36928</v>
      </c>
      <c r="C53" s="11">
        <v>2001</v>
      </c>
      <c r="D53" s="10" t="s">
        <v>17</v>
      </c>
      <c r="E53" s="11">
        <v>2</v>
      </c>
      <c r="F53" s="21">
        <v>5.9887109224611512</v>
      </c>
      <c r="G53" s="14">
        <v>5.1588064000000003E-2</v>
      </c>
      <c r="H53" s="14">
        <v>0</v>
      </c>
      <c r="I53" s="14">
        <v>2.439197317833333</v>
      </c>
      <c r="J53" s="14">
        <v>3.7874081833333337E-2</v>
      </c>
      <c r="K53" s="14" t="s">
        <v>13</v>
      </c>
    </row>
    <row r="54" spans="1:11">
      <c r="A54" s="7">
        <v>1</v>
      </c>
      <c r="B54" s="8">
        <v>36963</v>
      </c>
      <c r="C54" s="11">
        <v>2001</v>
      </c>
      <c r="D54" s="10" t="s">
        <v>18</v>
      </c>
      <c r="E54" s="11">
        <v>3</v>
      </c>
      <c r="F54" s="21">
        <v>3.780304706672017</v>
      </c>
      <c r="G54" s="14">
        <v>0</v>
      </c>
      <c r="H54" s="14">
        <v>0</v>
      </c>
      <c r="I54" s="14">
        <v>1.4099300228333334</v>
      </c>
      <c r="J54" s="14">
        <v>0</v>
      </c>
      <c r="K54" s="14" t="s">
        <v>13</v>
      </c>
    </row>
    <row r="55" spans="1:11">
      <c r="A55" s="7">
        <v>17</v>
      </c>
      <c r="B55" s="8">
        <v>36963</v>
      </c>
      <c r="C55" s="11">
        <v>2001</v>
      </c>
      <c r="D55" s="10" t="s">
        <v>18</v>
      </c>
      <c r="E55" s="11">
        <v>3</v>
      </c>
      <c r="F55" s="21">
        <v>7.4817150213252903</v>
      </c>
      <c r="G55" s="14">
        <v>0</v>
      </c>
      <c r="H55" s="14">
        <v>9.1552474999999994E-2</v>
      </c>
      <c r="I55" s="14">
        <v>3.1661668126666664</v>
      </c>
      <c r="J55" s="14">
        <v>0</v>
      </c>
      <c r="K55" s="14" t="s">
        <v>13</v>
      </c>
    </row>
    <row r="56" spans="1:11">
      <c r="A56" s="7">
        <v>18</v>
      </c>
      <c r="B56" s="8">
        <v>36963</v>
      </c>
      <c r="C56" s="11">
        <v>2001</v>
      </c>
      <c r="D56" s="10" t="s">
        <v>18</v>
      </c>
      <c r="E56" s="11">
        <v>3</v>
      </c>
      <c r="F56" s="21">
        <v>3.2464615483497052</v>
      </c>
      <c r="G56" s="14">
        <v>0</v>
      </c>
      <c r="H56" s="14">
        <v>0</v>
      </c>
      <c r="I56" s="14">
        <v>1.1463316381666666</v>
      </c>
      <c r="J56" s="14">
        <v>0</v>
      </c>
      <c r="K56" s="14" t="s">
        <v>13</v>
      </c>
    </row>
    <row r="57" spans="1:11">
      <c r="A57" s="7">
        <v>1</v>
      </c>
      <c r="B57" s="8">
        <v>37000</v>
      </c>
      <c r="C57" s="11">
        <v>2001</v>
      </c>
      <c r="D57" s="20" t="s">
        <v>19</v>
      </c>
      <c r="E57" s="11">
        <v>4</v>
      </c>
      <c r="F57" s="21">
        <v>1.6264904675216598</v>
      </c>
      <c r="G57" s="14">
        <v>0</v>
      </c>
      <c r="H57" s="14">
        <v>7.0551051166666656E-2</v>
      </c>
      <c r="I57" s="14">
        <v>0.53010369283333325</v>
      </c>
      <c r="J57" s="14">
        <v>2.2217118666666664E-2</v>
      </c>
      <c r="K57" s="14" t="s">
        <v>13</v>
      </c>
    </row>
    <row r="58" spans="1:11">
      <c r="A58" s="7">
        <v>17</v>
      </c>
      <c r="B58" s="8">
        <v>37000</v>
      </c>
      <c r="C58" s="11">
        <v>2001</v>
      </c>
      <c r="D58" s="20" t="s">
        <v>19</v>
      </c>
      <c r="E58" s="11">
        <v>4</v>
      </c>
      <c r="F58" s="21">
        <v>0.60367227539096358</v>
      </c>
      <c r="G58" s="14">
        <v>0</v>
      </c>
      <c r="H58" s="14">
        <v>2.1250345666666667E-2</v>
      </c>
      <c r="I58" s="14">
        <v>0.1751295346666667</v>
      </c>
      <c r="J58" s="14">
        <v>0</v>
      </c>
      <c r="K58" s="14" t="s">
        <v>13</v>
      </c>
    </row>
    <row r="59" spans="1:11">
      <c r="A59" s="7">
        <v>18</v>
      </c>
      <c r="B59" s="8">
        <v>37000</v>
      </c>
      <c r="C59" s="11">
        <v>2001</v>
      </c>
      <c r="D59" s="20" t="s">
        <v>19</v>
      </c>
      <c r="E59" s="11">
        <v>4</v>
      </c>
      <c r="F59" s="21">
        <v>0.26047307738033315</v>
      </c>
      <c r="G59" s="14">
        <v>0</v>
      </c>
      <c r="H59" s="14">
        <v>0</v>
      </c>
      <c r="I59" s="14">
        <v>4.8456692333333329E-2</v>
      </c>
      <c r="J59" s="14">
        <v>0</v>
      </c>
      <c r="K59" s="14" t="s">
        <v>13</v>
      </c>
    </row>
    <row r="60" spans="1:11">
      <c r="A60" s="7">
        <v>1</v>
      </c>
      <c r="B60" s="8">
        <v>37028</v>
      </c>
      <c r="C60" s="11">
        <v>2001</v>
      </c>
      <c r="D60" s="20" t="s">
        <v>20</v>
      </c>
      <c r="E60" s="11">
        <v>5</v>
      </c>
      <c r="F60" s="21">
        <v>4.0775620684786977</v>
      </c>
      <c r="G60" s="14">
        <v>0.40370215916666669</v>
      </c>
      <c r="H60" s="14">
        <v>1.9410311000000003E-2</v>
      </c>
      <c r="I60" s="14">
        <v>0.90488631899999983</v>
      </c>
      <c r="J60" s="14">
        <v>1.839783066666667E-2</v>
      </c>
      <c r="K60" s="14" t="s">
        <v>13</v>
      </c>
    </row>
    <row r="61" spans="1:11">
      <c r="A61" s="7">
        <v>17</v>
      </c>
      <c r="B61" s="8">
        <v>37028</v>
      </c>
      <c r="C61" s="11">
        <v>2001</v>
      </c>
      <c r="D61" s="20" t="s">
        <v>20</v>
      </c>
      <c r="E61" s="11">
        <v>5</v>
      </c>
      <c r="F61" s="21">
        <v>0.92898604147161834</v>
      </c>
      <c r="G61" s="14">
        <v>7.967595416666666E-2</v>
      </c>
      <c r="H61" s="14">
        <v>0</v>
      </c>
      <c r="I61" s="14">
        <v>0.2221281001666667</v>
      </c>
      <c r="J61" s="14">
        <v>1.2195785833333332E-2</v>
      </c>
      <c r="K61" s="14" t="s">
        <v>13</v>
      </c>
    </row>
    <row r="62" spans="1:11">
      <c r="A62" s="7">
        <v>18</v>
      </c>
      <c r="B62" s="8">
        <v>37028</v>
      </c>
      <c r="C62" s="11">
        <v>2001</v>
      </c>
      <c r="D62" s="20" t="s">
        <v>20</v>
      </c>
      <c r="E62" s="11">
        <v>5</v>
      </c>
      <c r="F62" s="21">
        <v>0.6466039175620315</v>
      </c>
      <c r="G62" s="14">
        <v>4.1764866166666664E-2</v>
      </c>
      <c r="H62" s="14">
        <v>0</v>
      </c>
      <c r="I62" s="14">
        <v>0.111656306</v>
      </c>
      <c r="J62" s="14">
        <v>0</v>
      </c>
      <c r="K62" s="14" t="s">
        <v>13</v>
      </c>
    </row>
    <row r="63" spans="1:11">
      <c r="A63" s="7">
        <v>1</v>
      </c>
      <c r="B63" s="8">
        <v>37058</v>
      </c>
      <c r="C63" s="11">
        <v>2001</v>
      </c>
      <c r="D63" s="20" t="s">
        <v>21</v>
      </c>
      <c r="E63" s="11">
        <v>6</v>
      </c>
      <c r="F63" s="21">
        <v>8.7157709839849797</v>
      </c>
      <c r="G63" s="14">
        <v>0.93148452749999988</v>
      </c>
      <c r="H63" s="14">
        <v>0.69461727999999989</v>
      </c>
      <c r="I63" s="14">
        <v>2.7677656366666668</v>
      </c>
      <c r="J63" s="14">
        <v>0.19438259566666666</v>
      </c>
      <c r="K63" s="14" t="s">
        <v>13</v>
      </c>
    </row>
    <row r="64" spans="1:11">
      <c r="A64" s="7">
        <v>17</v>
      </c>
      <c r="B64" s="8">
        <v>37058</v>
      </c>
      <c r="C64" s="11">
        <v>2001</v>
      </c>
      <c r="D64" s="20" t="s">
        <v>21</v>
      </c>
      <c r="E64" s="11">
        <v>6</v>
      </c>
      <c r="F64" s="21">
        <v>2.7333174077266396</v>
      </c>
      <c r="G64" s="14">
        <v>0.79478028833333336</v>
      </c>
      <c r="H64" s="14">
        <v>8.5789624500000009E-2</v>
      </c>
      <c r="I64" s="14">
        <v>0.44414088366666671</v>
      </c>
      <c r="J64" s="14">
        <v>5.4107418666666671E-2</v>
      </c>
      <c r="K64" s="14" t="s">
        <v>13</v>
      </c>
    </row>
    <row r="65" spans="1:11">
      <c r="A65" s="7">
        <v>18</v>
      </c>
      <c r="B65" s="8">
        <v>37058</v>
      </c>
      <c r="C65" s="11">
        <v>2001</v>
      </c>
      <c r="D65" s="20" t="s">
        <v>21</v>
      </c>
      <c r="E65" s="11">
        <v>6</v>
      </c>
      <c r="F65" s="21">
        <v>25.312903742204263</v>
      </c>
      <c r="G65" s="14">
        <v>9.6149569000000004E-2</v>
      </c>
      <c r="H65" s="14">
        <v>4.4599097184999996</v>
      </c>
      <c r="I65" s="14">
        <v>9.0555100426666684</v>
      </c>
      <c r="J65" s="14">
        <v>0.58571043783333332</v>
      </c>
      <c r="K65" s="14" t="s">
        <v>13</v>
      </c>
    </row>
    <row r="66" spans="1:11">
      <c r="A66" s="7">
        <v>1</v>
      </c>
      <c r="B66" s="8">
        <v>37089</v>
      </c>
      <c r="C66" s="11">
        <v>2001</v>
      </c>
      <c r="D66" s="20" t="s">
        <v>22</v>
      </c>
      <c r="E66" s="11">
        <v>7</v>
      </c>
      <c r="F66" s="21">
        <v>16.401915241017868</v>
      </c>
      <c r="G66" s="14">
        <v>1.4971131968333333</v>
      </c>
      <c r="H66" s="14">
        <v>6.2093097833333333E-2</v>
      </c>
      <c r="I66" s="14">
        <v>1.6051353505000001</v>
      </c>
      <c r="J66" s="14">
        <v>0.43885927550000003</v>
      </c>
      <c r="K66" s="14" t="s">
        <v>13</v>
      </c>
    </row>
    <row r="67" spans="1:11">
      <c r="A67" s="7">
        <v>17</v>
      </c>
      <c r="B67" s="8">
        <v>37089</v>
      </c>
      <c r="C67" s="11">
        <v>2001</v>
      </c>
      <c r="D67" s="20" t="s">
        <v>22</v>
      </c>
      <c r="E67" s="11">
        <v>7</v>
      </c>
      <c r="F67" s="21">
        <v>9.7769763943172183</v>
      </c>
      <c r="G67" s="14">
        <v>0.16873019350000004</v>
      </c>
      <c r="H67" s="14">
        <v>2.0420275333333331E-2</v>
      </c>
      <c r="I67" s="14">
        <v>2.3529446445</v>
      </c>
      <c r="J67" s="14">
        <v>0.59547430000000001</v>
      </c>
      <c r="K67" s="14" t="s">
        <v>13</v>
      </c>
    </row>
    <row r="68" spans="1:11">
      <c r="A68" s="7">
        <v>18</v>
      </c>
      <c r="B68" s="8">
        <v>37089</v>
      </c>
      <c r="C68" s="11">
        <v>2001</v>
      </c>
      <c r="D68" s="20" t="s">
        <v>22</v>
      </c>
      <c r="E68" s="11">
        <v>7</v>
      </c>
      <c r="F68" s="21">
        <v>6.509773608902627</v>
      </c>
      <c r="G68" s="14">
        <v>0.10119928583333335</v>
      </c>
      <c r="H68" s="14">
        <v>0</v>
      </c>
      <c r="I68" s="14">
        <v>1.506902848</v>
      </c>
      <c r="J68" s="14">
        <v>0.45883914599999998</v>
      </c>
      <c r="K68" s="14" t="s">
        <v>13</v>
      </c>
    </row>
    <row r="69" spans="1:11">
      <c r="A69" s="7">
        <v>1</v>
      </c>
      <c r="B69" s="8">
        <v>37119</v>
      </c>
      <c r="C69" s="11">
        <v>2001</v>
      </c>
      <c r="D69" s="20" t="s">
        <v>23</v>
      </c>
      <c r="E69" s="11">
        <v>8</v>
      </c>
      <c r="F69" s="21">
        <v>8.2814764161130991</v>
      </c>
      <c r="G69" s="14">
        <v>0.35985677066666666</v>
      </c>
      <c r="H69" s="14">
        <v>0</v>
      </c>
      <c r="I69" s="14">
        <v>1.3101216656666665</v>
      </c>
      <c r="J69" s="14">
        <v>0.10570292583333334</v>
      </c>
      <c r="K69" s="14" t="s">
        <v>13</v>
      </c>
    </row>
    <row r="70" spans="1:11">
      <c r="A70" s="7">
        <v>17</v>
      </c>
      <c r="B70" s="8">
        <v>37119</v>
      </c>
      <c r="C70" s="11">
        <v>2001</v>
      </c>
      <c r="D70" s="20" t="s">
        <v>23</v>
      </c>
      <c r="E70" s="11">
        <v>8</v>
      </c>
      <c r="F70" s="21">
        <v>5.0817030987303893</v>
      </c>
      <c r="G70" s="14">
        <v>0.39571270600000008</v>
      </c>
      <c r="H70" s="14">
        <v>0</v>
      </c>
      <c r="I70" s="14">
        <v>1.1914174146666667</v>
      </c>
      <c r="J70" s="14">
        <v>9.0785771500000015E-2</v>
      </c>
      <c r="K70" s="14" t="s">
        <v>13</v>
      </c>
    </row>
    <row r="71" spans="1:11">
      <c r="A71" s="7">
        <v>18</v>
      </c>
      <c r="B71" s="8">
        <v>37119</v>
      </c>
      <c r="C71" s="11">
        <v>2001</v>
      </c>
      <c r="D71" s="20" t="s">
        <v>23</v>
      </c>
      <c r="E71" s="11">
        <v>8</v>
      </c>
      <c r="F71" s="21">
        <v>2.5398850997904625</v>
      </c>
      <c r="G71" s="14">
        <v>0.21954311983333333</v>
      </c>
      <c r="H71" s="14">
        <v>0</v>
      </c>
      <c r="I71" s="14">
        <v>0.383847879</v>
      </c>
      <c r="J71" s="14">
        <v>5.2656420500000002E-2</v>
      </c>
      <c r="K71" s="14" t="s">
        <v>13</v>
      </c>
    </row>
    <row r="72" spans="1:11">
      <c r="A72" s="7">
        <v>1</v>
      </c>
      <c r="B72" s="8">
        <v>37152</v>
      </c>
      <c r="C72" s="11">
        <v>2001</v>
      </c>
      <c r="D72" s="20" t="s">
        <v>24</v>
      </c>
      <c r="E72" s="11">
        <v>9</v>
      </c>
      <c r="F72" s="21">
        <v>5.5072334871429076</v>
      </c>
      <c r="G72" s="14">
        <v>0.12233421</v>
      </c>
      <c r="H72" s="14">
        <v>0</v>
      </c>
      <c r="I72" s="14">
        <v>1.4716511720000001</v>
      </c>
      <c r="J72" s="14">
        <v>4.4387586499999993E-2</v>
      </c>
      <c r="K72" s="14" t="s">
        <v>13</v>
      </c>
    </row>
    <row r="73" spans="1:11">
      <c r="A73" s="7">
        <v>17</v>
      </c>
      <c r="B73" s="8">
        <v>37152</v>
      </c>
      <c r="C73" s="11">
        <v>2001</v>
      </c>
      <c r="D73" s="20" t="s">
        <v>24</v>
      </c>
      <c r="E73" s="11">
        <v>9</v>
      </c>
      <c r="F73" s="21">
        <v>6.3978901088803353</v>
      </c>
      <c r="G73" s="14">
        <v>0.14286770533333334</v>
      </c>
      <c r="H73" s="14">
        <v>4.6307609E-2</v>
      </c>
      <c r="I73" s="14">
        <v>2.2884607176666667</v>
      </c>
      <c r="J73" s="14">
        <v>3.5900699166666668E-2</v>
      </c>
      <c r="K73" s="14" t="s">
        <v>13</v>
      </c>
    </row>
    <row r="74" spans="1:11">
      <c r="A74" s="7">
        <v>18</v>
      </c>
      <c r="B74" s="8">
        <v>37152</v>
      </c>
      <c r="C74" s="11">
        <v>2001</v>
      </c>
      <c r="D74" s="20" t="s">
        <v>24</v>
      </c>
      <c r="E74" s="11">
        <v>9</v>
      </c>
      <c r="F74" s="21">
        <v>1.5267954335151308</v>
      </c>
      <c r="G74" s="14">
        <v>3.7373922000000004E-2</v>
      </c>
      <c r="H74" s="14">
        <v>0</v>
      </c>
      <c r="I74" s="14">
        <v>0.4057778591666667</v>
      </c>
      <c r="J74" s="14">
        <v>2.6567911666666662E-2</v>
      </c>
      <c r="K74" s="14" t="s">
        <v>13</v>
      </c>
    </row>
    <row r="75" spans="1:11">
      <c r="A75" s="7">
        <v>1</v>
      </c>
      <c r="B75" s="8">
        <v>37181</v>
      </c>
      <c r="C75" s="11">
        <v>2001</v>
      </c>
      <c r="D75" s="20" t="s">
        <v>12</v>
      </c>
      <c r="E75" s="11">
        <v>10</v>
      </c>
      <c r="F75" s="12">
        <v>3.6576681660544041</v>
      </c>
      <c r="G75" s="13">
        <v>4.6953268400178418E-2</v>
      </c>
      <c r="H75" s="24">
        <v>1.6636572853277739E-2</v>
      </c>
      <c r="I75" s="13">
        <v>0.82569903811506462</v>
      </c>
      <c r="J75" s="13">
        <v>3.1295771012687122E-2</v>
      </c>
      <c r="K75" s="14" t="s">
        <v>25</v>
      </c>
    </row>
    <row r="76" spans="1:11">
      <c r="A76" s="7">
        <v>17</v>
      </c>
      <c r="B76" s="8">
        <v>37181</v>
      </c>
      <c r="C76" s="11">
        <v>2001</v>
      </c>
      <c r="D76" s="20" t="s">
        <v>12</v>
      </c>
      <c r="E76" s="11">
        <v>10</v>
      </c>
      <c r="F76" s="12">
        <v>3.6781477548934913</v>
      </c>
      <c r="G76" s="13">
        <v>6.7892347832630082E-2</v>
      </c>
      <c r="H76" s="24">
        <v>3.5328058678657667E-2</v>
      </c>
      <c r="I76" s="13">
        <v>1.181810602287344</v>
      </c>
      <c r="J76" s="13">
        <v>4.8589114410041281E-2</v>
      </c>
      <c r="K76" s="14" t="s">
        <v>25</v>
      </c>
    </row>
    <row r="77" spans="1:11">
      <c r="A77" s="7">
        <v>18</v>
      </c>
      <c r="B77" s="8">
        <v>37181</v>
      </c>
      <c r="C77" s="11">
        <v>2001</v>
      </c>
      <c r="D77" s="20" t="s">
        <v>12</v>
      </c>
      <c r="E77" s="11">
        <v>10</v>
      </c>
      <c r="F77" s="12">
        <v>2.4342636813677441</v>
      </c>
      <c r="G77" s="13">
        <v>6.285149164133412E-2</v>
      </c>
      <c r="H77" s="24">
        <v>3.310642420076302E-2</v>
      </c>
      <c r="I77" s="13">
        <v>0.74997303219837153</v>
      </c>
      <c r="J77" s="13">
        <v>4.8080077681441562E-2</v>
      </c>
      <c r="K77" s="14" t="s">
        <v>25</v>
      </c>
    </row>
    <row r="78" spans="1:11">
      <c r="A78" s="7">
        <v>1</v>
      </c>
      <c r="B78" s="8">
        <v>37203</v>
      </c>
      <c r="C78" s="11">
        <v>2001</v>
      </c>
      <c r="D78" s="20" t="s">
        <v>14</v>
      </c>
      <c r="E78" s="11">
        <v>11</v>
      </c>
      <c r="F78" s="12">
        <v>5.3141218566424371</v>
      </c>
      <c r="G78" s="13">
        <v>2.6322419916725841E-2</v>
      </c>
      <c r="H78" s="24">
        <v>1.5416244251338534E-2</v>
      </c>
      <c r="I78" s="13">
        <v>1.5262381322783052</v>
      </c>
      <c r="J78" s="13">
        <v>2.2063385401799279E-2</v>
      </c>
      <c r="K78" s="14" t="s">
        <v>25</v>
      </c>
    </row>
    <row r="79" spans="1:11">
      <c r="A79" s="7">
        <v>17</v>
      </c>
      <c r="B79" s="8">
        <v>37203</v>
      </c>
      <c r="C79" s="11">
        <v>2001</v>
      </c>
      <c r="D79" s="20" t="s">
        <v>14</v>
      </c>
      <c r="E79" s="11">
        <v>11</v>
      </c>
      <c r="F79" s="12">
        <v>5.233395826582937</v>
      </c>
      <c r="G79" s="13">
        <v>3.2166416184600054E-2</v>
      </c>
      <c r="H79" s="24">
        <v>2.6160391787787392E-2</v>
      </c>
      <c r="I79" s="13">
        <v>2.1356888294449785</v>
      </c>
      <c r="J79" s="13">
        <v>3.1610899182750091E-2</v>
      </c>
      <c r="K79" s="14" t="s">
        <v>25</v>
      </c>
    </row>
    <row r="80" spans="1:11">
      <c r="A80" s="7">
        <v>18</v>
      </c>
      <c r="B80" s="8">
        <v>37203</v>
      </c>
      <c r="C80" s="11">
        <v>2001</v>
      </c>
      <c r="D80" s="20" t="s">
        <v>14</v>
      </c>
      <c r="E80" s="11">
        <v>11</v>
      </c>
      <c r="F80" s="12">
        <v>5.5073664934105464</v>
      </c>
      <c r="G80" s="13">
        <v>3.4574808761011384E-2</v>
      </c>
      <c r="H80" s="24">
        <v>3.1313205704229685E-2</v>
      </c>
      <c r="I80" s="13">
        <v>2.2645899101524396</v>
      </c>
      <c r="J80" s="13">
        <v>3.5765968819275337E-2</v>
      </c>
      <c r="K80" s="14" t="s">
        <v>25</v>
      </c>
    </row>
    <row r="81" spans="1:11">
      <c r="A81" s="7">
        <v>1</v>
      </c>
      <c r="B81" s="8">
        <v>37228</v>
      </c>
      <c r="C81" s="11">
        <v>2001</v>
      </c>
      <c r="D81" s="20" t="s">
        <v>15</v>
      </c>
      <c r="E81" s="11">
        <v>12</v>
      </c>
      <c r="F81" s="12">
        <v>6.4563632706722078</v>
      </c>
      <c r="G81" s="13">
        <v>8.5843078550772917E-2</v>
      </c>
      <c r="H81" s="24">
        <v>4.8309744266764765E-2</v>
      </c>
      <c r="I81" s="13">
        <v>3.0810266013421472</v>
      </c>
      <c r="J81" s="13">
        <v>3.3330518924422049E-2</v>
      </c>
      <c r="K81" s="14" t="s">
        <v>25</v>
      </c>
    </row>
    <row r="82" spans="1:11">
      <c r="A82" s="7">
        <v>17</v>
      </c>
      <c r="B82" s="8">
        <v>37228</v>
      </c>
      <c r="C82" s="11">
        <v>2001</v>
      </c>
      <c r="D82" s="20" t="s">
        <v>15</v>
      </c>
      <c r="E82" s="11">
        <v>12</v>
      </c>
      <c r="F82" s="12">
        <v>6.9381431282667299</v>
      </c>
      <c r="G82" s="13">
        <v>7.674940100650722E-2</v>
      </c>
      <c r="H82" s="24">
        <v>7.8682622421913886E-2</v>
      </c>
      <c r="I82" s="13">
        <v>3.8650756561175412</v>
      </c>
      <c r="J82" s="13">
        <v>3.6119718934291833E-2</v>
      </c>
      <c r="K82" s="14" t="s">
        <v>25</v>
      </c>
    </row>
    <row r="83" spans="1:11">
      <c r="A83" s="7">
        <v>18</v>
      </c>
      <c r="B83" s="8">
        <v>37228</v>
      </c>
      <c r="C83" s="11">
        <v>2001</v>
      </c>
      <c r="D83" s="20" t="s">
        <v>15</v>
      </c>
      <c r="E83" s="11">
        <v>12</v>
      </c>
      <c r="F83" s="12">
        <v>7.3543702503633321</v>
      </c>
      <c r="G83" s="13">
        <v>7.5386720999256654E-2</v>
      </c>
      <c r="H83" s="24">
        <v>5.3101919303999691E-2</v>
      </c>
      <c r="I83" s="13">
        <v>3.790612637443425</v>
      </c>
      <c r="J83" s="13">
        <v>4.0895457887683735E-2</v>
      </c>
      <c r="K83" s="14" t="s">
        <v>25</v>
      </c>
    </row>
    <row r="84" spans="1:11">
      <c r="A84" s="15">
        <v>1</v>
      </c>
      <c r="B84" s="16">
        <v>37270</v>
      </c>
      <c r="C84" s="17">
        <v>2002</v>
      </c>
      <c r="D84" s="23" t="s">
        <v>16</v>
      </c>
      <c r="E84" s="17">
        <v>1</v>
      </c>
      <c r="F84" s="12">
        <v>2.1763560631400756</v>
      </c>
      <c r="G84" s="13">
        <v>3.9186985425232114E-2</v>
      </c>
      <c r="H84" s="24">
        <v>1.0671651698058029E-2</v>
      </c>
      <c r="I84" s="13">
        <v>0.70797627888853154</v>
      </c>
      <c r="J84" s="13">
        <v>1.091003650262189E-2</v>
      </c>
      <c r="K84" s="14" t="s">
        <v>25</v>
      </c>
    </row>
    <row r="85" spans="1:11">
      <c r="A85" s="7">
        <v>17</v>
      </c>
      <c r="B85" s="8">
        <v>37270</v>
      </c>
      <c r="C85" s="11">
        <v>2002</v>
      </c>
      <c r="D85" s="20" t="s">
        <v>16</v>
      </c>
      <c r="E85" s="11">
        <v>1</v>
      </c>
      <c r="F85" s="12">
        <v>2.8683063138136613</v>
      </c>
      <c r="G85" s="13">
        <v>0.36252292811031933</v>
      </c>
      <c r="H85" s="24">
        <v>1.3942938343304323E-2</v>
      </c>
      <c r="I85" s="13">
        <v>0.58175198134096318</v>
      </c>
      <c r="J85" s="13">
        <v>2.0306489017141435E-2</v>
      </c>
      <c r="K85" s="14" t="s">
        <v>25</v>
      </c>
    </row>
    <row r="86" spans="1:11">
      <c r="A86" s="7">
        <v>18</v>
      </c>
      <c r="B86" s="8">
        <v>37270</v>
      </c>
      <c r="C86" s="11">
        <v>2002</v>
      </c>
      <c r="D86" s="20" t="s">
        <v>16</v>
      </c>
      <c r="E86" s="11">
        <v>1</v>
      </c>
      <c r="F86" s="12">
        <v>3.6317491247511926</v>
      </c>
      <c r="G86" s="13">
        <v>0.42781098146188362</v>
      </c>
      <c r="H86" s="24">
        <v>2.245341532265608E-2</v>
      </c>
      <c r="I86" s="13">
        <v>0.62292521440927617</v>
      </c>
      <c r="J86" s="13">
        <v>2.8538574176033303E-2</v>
      </c>
      <c r="K86" s="14" t="s">
        <v>25</v>
      </c>
    </row>
    <row r="87" spans="1:11">
      <c r="A87" s="7">
        <v>1</v>
      </c>
      <c r="B87" s="8">
        <v>37300</v>
      </c>
      <c r="C87" s="11">
        <v>2002</v>
      </c>
      <c r="D87" s="10" t="s">
        <v>17</v>
      </c>
      <c r="E87" s="11">
        <v>2</v>
      </c>
      <c r="F87" s="12">
        <v>3.3470006946726891</v>
      </c>
      <c r="G87" s="13">
        <v>7.0767699199537445E-2</v>
      </c>
      <c r="H87" s="24">
        <v>2.3401141668673815E-2</v>
      </c>
      <c r="I87" s="13">
        <v>1.2095619652277292</v>
      </c>
      <c r="J87" s="13">
        <v>2.0722494012503666E-2</v>
      </c>
      <c r="K87" s="14" t="s">
        <v>25</v>
      </c>
    </row>
    <row r="88" spans="1:11">
      <c r="A88" s="7">
        <v>17</v>
      </c>
      <c r="B88" s="8">
        <v>37300</v>
      </c>
      <c r="C88" s="11">
        <v>2002</v>
      </c>
      <c r="D88" s="10" t="s">
        <v>17</v>
      </c>
      <c r="E88" s="11">
        <v>2</v>
      </c>
      <c r="F88" s="12">
        <v>3.8245683993248143</v>
      </c>
      <c r="G88" s="13">
        <v>7.4246780395660628E-2</v>
      </c>
      <c r="H88" s="24">
        <v>4.5284374133266948E-2</v>
      </c>
      <c r="I88" s="13">
        <v>1.6934650357351597</v>
      </c>
      <c r="J88" s="13">
        <v>1.809359349514602E-2</v>
      </c>
      <c r="K88" s="14" t="s">
        <v>25</v>
      </c>
    </row>
    <row r="89" spans="1:11">
      <c r="A89" s="7">
        <v>18</v>
      </c>
      <c r="B89" s="8">
        <v>37300</v>
      </c>
      <c r="C89" s="11">
        <v>2002</v>
      </c>
      <c r="D89" s="10" t="s">
        <v>17</v>
      </c>
      <c r="E89" s="11">
        <v>2</v>
      </c>
      <c r="F89" s="12">
        <v>4.2593089916726532</v>
      </c>
      <c r="G89" s="13">
        <v>6.105456792713336E-2</v>
      </c>
      <c r="H89" s="24">
        <v>6.5386664810612241E-2</v>
      </c>
      <c r="I89" s="13">
        <v>1.898618446273276</v>
      </c>
      <c r="J89" s="13">
        <v>1.8994084637978512E-2</v>
      </c>
      <c r="K89" s="14" t="s">
        <v>25</v>
      </c>
    </row>
    <row r="90" spans="1:11">
      <c r="A90" s="7">
        <v>1</v>
      </c>
      <c r="B90" s="25">
        <v>37334</v>
      </c>
      <c r="C90" s="11">
        <v>2002</v>
      </c>
      <c r="D90" s="10" t="s">
        <v>18</v>
      </c>
      <c r="E90" s="11">
        <v>3</v>
      </c>
      <c r="F90" s="12">
        <v>2.5357108876976513</v>
      </c>
      <c r="G90" s="13">
        <v>7.9765279993133278E-2</v>
      </c>
      <c r="H90" s="24">
        <v>2.3124230645309968E-2</v>
      </c>
      <c r="I90" s="13">
        <v>0.79773325346699064</v>
      </c>
      <c r="J90" s="13">
        <v>1.6105928070757045E-2</v>
      </c>
      <c r="K90" s="14" t="s">
        <v>25</v>
      </c>
    </row>
    <row r="91" spans="1:11">
      <c r="A91" s="7">
        <v>17</v>
      </c>
      <c r="B91" s="25">
        <v>37334</v>
      </c>
      <c r="C91" s="11">
        <v>2002</v>
      </c>
      <c r="D91" s="10" t="s">
        <v>18</v>
      </c>
      <c r="E91" s="11">
        <v>3</v>
      </c>
      <c r="F91" s="12">
        <v>3.2883202266581733</v>
      </c>
      <c r="G91" s="13">
        <v>0.10698402594247108</v>
      </c>
      <c r="H91" s="24">
        <v>5.6486841036476623E-2</v>
      </c>
      <c r="I91" s="13">
        <v>1.1592846420851777</v>
      </c>
      <c r="J91" s="13">
        <v>2.1514077937907432E-2</v>
      </c>
      <c r="K91" s="14" t="s">
        <v>25</v>
      </c>
    </row>
    <row r="92" spans="1:11">
      <c r="A92" s="7">
        <v>18</v>
      </c>
      <c r="B92" s="25">
        <v>37334</v>
      </c>
      <c r="C92" s="11">
        <v>2002</v>
      </c>
      <c r="D92" s="10" t="s">
        <v>18</v>
      </c>
      <c r="E92" s="11">
        <v>3</v>
      </c>
      <c r="F92" s="12">
        <v>3.202311990932897</v>
      </c>
      <c r="G92" s="13">
        <v>0.10508375347483513</v>
      </c>
      <c r="H92" s="24">
        <v>5.1578296273171904E-2</v>
      </c>
      <c r="I92" s="13">
        <v>1.1168437637369917</v>
      </c>
      <c r="J92" s="13">
        <v>2.1769986107948721E-2</v>
      </c>
      <c r="K92" s="14" t="s">
        <v>25</v>
      </c>
    </row>
    <row r="93" spans="1:11">
      <c r="A93" s="7">
        <v>1</v>
      </c>
      <c r="B93" s="25">
        <v>37361</v>
      </c>
      <c r="C93" s="11">
        <v>2002</v>
      </c>
      <c r="D93" s="20" t="s">
        <v>19</v>
      </c>
      <c r="E93" s="11">
        <v>4</v>
      </c>
      <c r="F93" s="12">
        <v>2.1493505949558909</v>
      </c>
      <c r="G93" s="13">
        <v>5.4071097387193616E-2</v>
      </c>
      <c r="H93" s="24">
        <v>2.7582169021093471E-2</v>
      </c>
      <c r="I93" s="13">
        <v>0.47947363384260738</v>
      </c>
      <c r="J93" s="13">
        <v>2.4076675769377377E-2</v>
      </c>
      <c r="K93" s="14" t="s">
        <v>25</v>
      </c>
    </row>
    <row r="94" spans="1:11">
      <c r="A94" s="7">
        <v>17</v>
      </c>
      <c r="B94" s="25">
        <v>37361</v>
      </c>
      <c r="C94" s="11">
        <v>2002</v>
      </c>
      <c r="D94" s="20" t="s">
        <v>19</v>
      </c>
      <c r="E94" s="11">
        <v>4</v>
      </c>
      <c r="F94" s="12">
        <v>3.52361992047864</v>
      </c>
      <c r="G94" s="13">
        <v>5.9102424401419523E-2</v>
      </c>
      <c r="H94" s="24">
        <v>6.5803622651776777E-2</v>
      </c>
      <c r="I94" s="13">
        <v>1.3825127619310027</v>
      </c>
      <c r="J94" s="13">
        <v>2.7247170646775076E-2</v>
      </c>
      <c r="K94" s="14" t="s">
        <v>25</v>
      </c>
    </row>
    <row r="95" spans="1:11">
      <c r="A95" s="7">
        <v>18</v>
      </c>
      <c r="B95" s="25">
        <v>37361</v>
      </c>
      <c r="C95" s="11">
        <v>2002</v>
      </c>
      <c r="D95" s="20" t="s">
        <v>19</v>
      </c>
      <c r="E95" s="11">
        <v>4</v>
      </c>
      <c r="F95" s="12">
        <v>2.0462043792011215</v>
      </c>
      <c r="G95" s="13">
        <v>4.564338365268119E-2</v>
      </c>
      <c r="H95" s="24">
        <v>5.55368569967159E-2</v>
      </c>
      <c r="I95" s="13">
        <v>0.66444882137443573</v>
      </c>
      <c r="J95" s="13">
        <v>2.4773284479232296E-2</v>
      </c>
      <c r="K95" s="14" t="s">
        <v>25</v>
      </c>
    </row>
    <row r="96" spans="1:11">
      <c r="A96" s="7">
        <v>1</v>
      </c>
      <c r="B96" s="25">
        <v>37389</v>
      </c>
      <c r="C96" s="11">
        <v>2002</v>
      </c>
      <c r="D96" s="20" t="s">
        <v>20</v>
      </c>
      <c r="E96" s="11">
        <v>5</v>
      </c>
      <c r="F96" s="12">
        <v>6.6641784075734405</v>
      </c>
      <c r="G96" s="26"/>
      <c r="H96" s="13">
        <v>0.17066009204609991</v>
      </c>
      <c r="I96" s="26"/>
      <c r="J96" s="26"/>
      <c r="K96" s="14" t="s">
        <v>25</v>
      </c>
    </row>
    <row r="97" spans="1:11">
      <c r="A97" s="7">
        <v>17</v>
      </c>
      <c r="B97" s="25">
        <v>37389</v>
      </c>
      <c r="C97" s="11">
        <v>2002</v>
      </c>
      <c r="D97" s="20" t="s">
        <v>20</v>
      </c>
      <c r="E97" s="11">
        <v>5</v>
      </c>
      <c r="F97" s="12">
        <v>4.2799335229059876</v>
      </c>
      <c r="G97" s="26"/>
      <c r="H97" s="13">
        <v>8.7581782461342655E-2</v>
      </c>
      <c r="I97" s="26"/>
      <c r="J97" s="26"/>
      <c r="K97" s="14" t="s">
        <v>25</v>
      </c>
    </row>
    <row r="98" spans="1:11">
      <c r="A98" s="7">
        <v>18</v>
      </c>
      <c r="B98" s="25">
        <v>37389</v>
      </c>
      <c r="C98" s="11">
        <v>2002</v>
      </c>
      <c r="D98" s="20" t="s">
        <v>20</v>
      </c>
      <c r="E98" s="11">
        <v>5</v>
      </c>
      <c r="F98" s="12">
        <v>3.0251842386799357</v>
      </c>
      <c r="G98" s="26"/>
      <c r="H98" s="13">
        <v>0.11894565526673036</v>
      </c>
      <c r="I98" s="26"/>
      <c r="J98" s="26"/>
      <c r="K98" s="14" t="s">
        <v>25</v>
      </c>
    </row>
    <row r="99" spans="1:11">
      <c r="A99" s="7">
        <v>1</v>
      </c>
      <c r="B99" s="25">
        <v>37418</v>
      </c>
      <c r="C99" s="11">
        <v>2002</v>
      </c>
      <c r="D99" s="20" t="s">
        <v>21</v>
      </c>
      <c r="E99" s="11">
        <v>6</v>
      </c>
      <c r="F99" s="12">
        <v>10.142056464078408</v>
      </c>
      <c r="G99" s="26"/>
      <c r="H99" s="13">
        <v>0.70446526003579824</v>
      </c>
      <c r="I99" s="26"/>
      <c r="J99" s="26"/>
      <c r="K99" s="14" t="s">
        <v>25</v>
      </c>
    </row>
    <row r="100" spans="1:11">
      <c r="A100" s="7">
        <v>17</v>
      </c>
      <c r="B100" s="25">
        <v>37418</v>
      </c>
      <c r="C100" s="11">
        <v>2002</v>
      </c>
      <c r="D100" s="20" t="s">
        <v>21</v>
      </c>
      <c r="E100" s="11">
        <v>6</v>
      </c>
      <c r="F100" s="12">
        <v>7.0424708728047163</v>
      </c>
      <c r="G100" s="26"/>
      <c r="H100" s="13">
        <v>0.5149388184673388</v>
      </c>
      <c r="I100" s="26"/>
      <c r="J100" s="26"/>
      <c r="K100" s="14" t="s">
        <v>25</v>
      </c>
    </row>
    <row r="101" spans="1:11">
      <c r="A101" s="7">
        <v>18</v>
      </c>
      <c r="B101" s="25">
        <v>37418</v>
      </c>
      <c r="C101" s="11">
        <v>2002</v>
      </c>
      <c r="D101" s="20" t="s">
        <v>21</v>
      </c>
      <c r="E101" s="11">
        <v>6</v>
      </c>
      <c r="F101" s="12">
        <v>8.6955754572817252</v>
      </c>
      <c r="G101" s="26"/>
      <c r="H101" s="13">
        <v>1.0873586941967854</v>
      </c>
      <c r="I101" s="26"/>
      <c r="J101" s="26"/>
      <c r="K101" s="14" t="s">
        <v>25</v>
      </c>
    </row>
    <row r="102" spans="1:11">
      <c r="A102" s="7">
        <v>1</v>
      </c>
      <c r="B102" s="25">
        <v>37455</v>
      </c>
      <c r="C102" s="11">
        <v>2002</v>
      </c>
      <c r="D102" s="20" t="s">
        <v>22</v>
      </c>
      <c r="E102" s="11">
        <v>7</v>
      </c>
      <c r="F102" s="12">
        <v>10.764654353469341</v>
      </c>
      <c r="G102" s="26"/>
      <c r="H102" s="13">
        <v>5.0371645276625639E-2</v>
      </c>
      <c r="I102" s="26"/>
      <c r="J102" s="26"/>
      <c r="K102" s="14" t="s">
        <v>25</v>
      </c>
    </row>
    <row r="103" spans="1:11">
      <c r="A103" s="7">
        <v>17</v>
      </c>
      <c r="B103" s="25">
        <v>37455</v>
      </c>
      <c r="C103" s="11">
        <v>2002</v>
      </c>
      <c r="D103" s="20" t="s">
        <v>22</v>
      </c>
      <c r="E103" s="11">
        <v>7</v>
      </c>
      <c r="F103" s="12">
        <v>3.9650075926345125</v>
      </c>
      <c r="G103" s="26"/>
      <c r="H103" s="13">
        <v>0</v>
      </c>
      <c r="I103" s="26"/>
      <c r="J103" s="26"/>
      <c r="K103" s="14" t="s">
        <v>25</v>
      </c>
    </row>
    <row r="104" spans="1:11">
      <c r="A104" s="7">
        <v>18</v>
      </c>
      <c r="B104" s="25">
        <v>37455</v>
      </c>
      <c r="C104" s="11">
        <v>2002</v>
      </c>
      <c r="D104" s="20" t="s">
        <v>22</v>
      </c>
      <c r="E104" s="11">
        <v>7</v>
      </c>
      <c r="F104" s="12">
        <v>2.6920752042562786</v>
      </c>
      <c r="G104" s="26"/>
      <c r="H104" s="13">
        <v>0</v>
      </c>
      <c r="I104" s="26"/>
      <c r="J104" s="26"/>
      <c r="K104" s="14" t="s">
        <v>25</v>
      </c>
    </row>
    <row r="105" spans="1:11">
      <c r="A105" s="7">
        <v>1</v>
      </c>
      <c r="B105" s="25">
        <v>37483</v>
      </c>
      <c r="C105" s="11">
        <v>2002</v>
      </c>
      <c r="D105" s="20" t="s">
        <v>23</v>
      </c>
      <c r="E105" s="11">
        <v>8</v>
      </c>
      <c r="F105" s="12">
        <v>13.531912800362536</v>
      </c>
      <c r="G105" s="26"/>
      <c r="H105" s="13">
        <v>2.1818651282363044E-2</v>
      </c>
      <c r="I105" s="26"/>
      <c r="J105" s="26"/>
      <c r="K105" s="14" t="s">
        <v>25</v>
      </c>
    </row>
    <row r="106" spans="1:11">
      <c r="A106" s="7">
        <v>17</v>
      </c>
      <c r="B106" s="25">
        <v>37483</v>
      </c>
      <c r="C106" s="11">
        <v>2002</v>
      </c>
      <c r="D106" s="20" t="s">
        <v>23</v>
      </c>
      <c r="E106" s="11">
        <v>8</v>
      </c>
      <c r="F106" s="12">
        <v>8.2817772868680564</v>
      </c>
      <c r="G106" s="26"/>
      <c r="H106" s="13">
        <v>0</v>
      </c>
      <c r="I106" s="26"/>
      <c r="J106" s="26"/>
      <c r="K106" s="14" t="s">
        <v>25</v>
      </c>
    </row>
    <row r="107" spans="1:11">
      <c r="A107" s="7">
        <v>18</v>
      </c>
      <c r="B107" s="25">
        <v>37483</v>
      </c>
      <c r="C107" s="11">
        <v>2002</v>
      </c>
      <c r="D107" s="20" t="s">
        <v>23</v>
      </c>
      <c r="E107" s="11">
        <v>8</v>
      </c>
      <c r="F107" s="12">
        <v>9.7850298323815146</v>
      </c>
      <c r="G107" s="26"/>
      <c r="H107" s="13">
        <v>2.7283835169759151E-2</v>
      </c>
      <c r="I107" s="26"/>
      <c r="J107" s="26"/>
      <c r="K107" s="14" t="s">
        <v>25</v>
      </c>
    </row>
    <row r="108" spans="1:11">
      <c r="A108" s="7">
        <v>1</v>
      </c>
      <c r="B108" s="25">
        <v>37516</v>
      </c>
      <c r="C108" s="11">
        <v>2002</v>
      </c>
      <c r="D108" s="20" t="s">
        <v>24</v>
      </c>
      <c r="E108" s="11">
        <v>9</v>
      </c>
      <c r="F108" s="12">
        <v>3.395665707431109</v>
      </c>
      <c r="G108" s="26"/>
      <c r="H108" s="13">
        <v>1.2857572114177247E-2</v>
      </c>
      <c r="I108" s="26"/>
      <c r="J108" s="26"/>
      <c r="K108" s="14" t="s">
        <v>25</v>
      </c>
    </row>
    <row r="109" spans="1:11">
      <c r="A109" s="7">
        <v>17</v>
      </c>
      <c r="B109" s="25">
        <v>37516</v>
      </c>
      <c r="C109" s="11">
        <v>2002</v>
      </c>
      <c r="D109" s="20" t="s">
        <v>24</v>
      </c>
      <c r="E109" s="11">
        <v>9</v>
      </c>
      <c r="F109" s="12">
        <v>7.2436006636885653</v>
      </c>
      <c r="G109" s="26"/>
      <c r="H109" s="13">
        <v>0</v>
      </c>
      <c r="I109" s="26"/>
      <c r="J109" s="26"/>
      <c r="K109" s="14" t="s">
        <v>25</v>
      </c>
    </row>
    <row r="110" spans="1:11">
      <c r="A110" s="7">
        <v>18</v>
      </c>
      <c r="B110" s="25">
        <v>37516</v>
      </c>
      <c r="C110" s="11">
        <v>2002</v>
      </c>
      <c r="D110" s="20" t="s">
        <v>24</v>
      </c>
      <c r="E110" s="11">
        <v>9</v>
      </c>
      <c r="F110" s="12">
        <v>3.3406243772195121</v>
      </c>
      <c r="G110" s="26"/>
      <c r="H110" s="13">
        <v>0</v>
      </c>
      <c r="I110" s="26"/>
      <c r="J110" s="26"/>
      <c r="K110" s="14" t="s">
        <v>25</v>
      </c>
    </row>
    <row r="111" spans="1:11">
      <c r="A111" s="7">
        <v>1</v>
      </c>
      <c r="B111" s="25">
        <v>37544</v>
      </c>
      <c r="C111" s="11">
        <v>2002</v>
      </c>
      <c r="D111" s="20" t="s">
        <v>12</v>
      </c>
      <c r="E111" s="11">
        <v>10</v>
      </c>
      <c r="F111" s="21">
        <v>3.5686946873832617</v>
      </c>
      <c r="G111" s="14">
        <v>2.7499309104189181E-2</v>
      </c>
      <c r="H111" s="14">
        <v>0</v>
      </c>
      <c r="I111" s="14">
        <v>1.0808035892027348</v>
      </c>
      <c r="J111" s="14">
        <v>3.4210125811342258E-2</v>
      </c>
      <c r="K111" s="14">
        <v>0</v>
      </c>
    </row>
    <row r="112" spans="1:11">
      <c r="A112" s="7">
        <v>17</v>
      </c>
      <c r="B112" s="25">
        <v>37544</v>
      </c>
      <c r="C112" s="11">
        <v>2002</v>
      </c>
      <c r="D112" s="20" t="s">
        <v>12</v>
      </c>
      <c r="E112" s="11">
        <v>10</v>
      </c>
      <c r="F112" s="21">
        <v>4.2461449417571107</v>
      </c>
      <c r="G112" s="14">
        <v>4.67648436334498E-2</v>
      </c>
      <c r="H112" s="14">
        <v>0</v>
      </c>
      <c r="I112" s="14">
        <v>1.4701115154884159</v>
      </c>
      <c r="J112" s="14">
        <v>3.8598187329351122E-2</v>
      </c>
      <c r="K112" s="14">
        <v>0</v>
      </c>
    </row>
    <row r="113" spans="1:11">
      <c r="A113" s="7">
        <v>18</v>
      </c>
      <c r="B113" s="25">
        <v>37544</v>
      </c>
      <c r="C113" s="11">
        <v>2002</v>
      </c>
      <c r="D113" s="20" t="s">
        <v>12</v>
      </c>
      <c r="E113" s="11">
        <v>10</v>
      </c>
      <c r="F113" s="21">
        <v>3.0438595318381179</v>
      </c>
      <c r="G113" s="14">
        <v>3.3891911354148652E-2</v>
      </c>
      <c r="H113" s="14">
        <v>2.0906942703693018E-2</v>
      </c>
      <c r="I113" s="14">
        <v>0.99808327800798946</v>
      </c>
      <c r="J113" s="14">
        <v>4.2752515306874427E-2</v>
      </c>
      <c r="K113" s="14">
        <v>0</v>
      </c>
    </row>
    <row r="114" spans="1:11">
      <c r="A114" s="7">
        <v>1</v>
      </c>
      <c r="B114" s="25">
        <v>37575</v>
      </c>
      <c r="C114" s="11">
        <v>2002</v>
      </c>
      <c r="D114" s="20" t="s">
        <v>14</v>
      </c>
      <c r="E114" s="11">
        <v>11</v>
      </c>
      <c r="F114" s="21">
        <v>2.8333736497425641</v>
      </c>
      <c r="G114" s="14">
        <v>0</v>
      </c>
      <c r="H114" s="14">
        <v>0</v>
      </c>
      <c r="I114" s="14">
        <v>0.81381941661818868</v>
      </c>
      <c r="J114" s="14">
        <v>2.7631836011564093E-2</v>
      </c>
      <c r="K114" s="14">
        <v>0</v>
      </c>
    </row>
    <row r="115" spans="1:11">
      <c r="A115" s="7">
        <v>17</v>
      </c>
      <c r="B115" s="25">
        <v>37575</v>
      </c>
      <c r="C115" s="11">
        <v>2002</v>
      </c>
      <c r="D115" s="20" t="s">
        <v>14</v>
      </c>
      <c r="E115" s="11">
        <v>11</v>
      </c>
      <c r="F115" s="21">
        <v>0.66840958874381029</v>
      </c>
      <c r="G115" s="14">
        <v>0</v>
      </c>
      <c r="H115" s="14">
        <v>0</v>
      </c>
      <c r="I115" s="14">
        <v>0.19721288429029568</v>
      </c>
      <c r="J115" s="14">
        <v>1.098171896672461E-2</v>
      </c>
      <c r="K115" s="14">
        <v>0</v>
      </c>
    </row>
    <row r="116" spans="1:11">
      <c r="A116" s="7">
        <v>18</v>
      </c>
      <c r="B116" s="25">
        <v>37575</v>
      </c>
      <c r="C116" s="11">
        <v>2002</v>
      </c>
      <c r="D116" s="20" t="s">
        <v>14</v>
      </c>
      <c r="E116" s="11">
        <v>11</v>
      </c>
      <c r="F116" s="21">
        <v>0.59699042947708536</v>
      </c>
      <c r="G116" s="14">
        <v>1.8485553835205878E-2</v>
      </c>
      <c r="H116" s="14">
        <v>0</v>
      </c>
      <c r="I116" s="14">
        <v>0.13005761294376023</v>
      </c>
      <c r="J116" s="14">
        <v>6.2182062227179166E-3</v>
      </c>
      <c r="K116" s="14">
        <v>0</v>
      </c>
    </row>
    <row r="117" spans="1:11">
      <c r="A117" s="7">
        <v>1</v>
      </c>
      <c r="B117" s="25">
        <v>37609</v>
      </c>
      <c r="C117" s="11">
        <v>2002</v>
      </c>
      <c r="D117" s="20" t="s">
        <v>15</v>
      </c>
      <c r="E117" s="11">
        <v>12</v>
      </c>
      <c r="F117" s="21">
        <v>4.3805652222194782</v>
      </c>
      <c r="G117" s="14">
        <v>4.7415036826671197E-2</v>
      </c>
      <c r="H117" s="14">
        <v>0</v>
      </c>
      <c r="I117" s="14">
        <v>1.0924131535775445</v>
      </c>
      <c r="J117" s="14">
        <v>1.7445145268340127E-2</v>
      </c>
      <c r="K117" s="14">
        <v>0</v>
      </c>
    </row>
    <row r="118" spans="1:11">
      <c r="A118" s="7">
        <v>17</v>
      </c>
      <c r="B118" s="25">
        <v>37609</v>
      </c>
      <c r="C118" s="11">
        <v>2002</v>
      </c>
      <c r="D118" s="20" t="s">
        <v>15</v>
      </c>
      <c r="E118" s="11">
        <v>12</v>
      </c>
      <c r="F118" s="21">
        <v>3.0499369196766959</v>
      </c>
      <c r="G118" s="14">
        <v>2.9368421123804403E-2</v>
      </c>
      <c r="H118" s="14">
        <v>0</v>
      </c>
      <c r="I118" s="14">
        <v>1.0703397406973014</v>
      </c>
      <c r="J118" s="14">
        <v>8.2621725366448621E-3</v>
      </c>
      <c r="K118" s="14">
        <v>0</v>
      </c>
    </row>
    <row r="119" spans="1:11">
      <c r="A119" s="7">
        <v>18</v>
      </c>
      <c r="B119" s="25">
        <v>37609</v>
      </c>
      <c r="C119" s="11">
        <v>2002</v>
      </c>
      <c r="D119" s="20" t="s">
        <v>15</v>
      </c>
      <c r="E119" s="11">
        <v>12</v>
      </c>
      <c r="F119" s="21">
        <v>2.750879716025596</v>
      </c>
      <c r="G119" s="14">
        <v>2.7860427435446367E-2</v>
      </c>
      <c r="H119" s="14">
        <v>0</v>
      </c>
      <c r="I119" s="14">
        <v>0.79155505156003214</v>
      </c>
      <c r="J119" s="14">
        <v>8.1457191968927825E-3</v>
      </c>
      <c r="K119" s="14">
        <v>0</v>
      </c>
    </row>
    <row r="120" spans="1:11">
      <c r="A120" s="15">
        <v>1</v>
      </c>
      <c r="B120" s="27">
        <v>37635</v>
      </c>
      <c r="C120" s="17">
        <v>2003</v>
      </c>
      <c r="D120" s="23" t="s">
        <v>16</v>
      </c>
      <c r="E120" s="17">
        <v>1</v>
      </c>
      <c r="F120" s="21">
        <v>14.451766542385439</v>
      </c>
      <c r="G120" s="14">
        <v>0.11724747111380061</v>
      </c>
      <c r="H120" s="14">
        <v>0</v>
      </c>
      <c r="I120" s="14">
        <v>3.6681125457786239</v>
      </c>
      <c r="J120" s="14">
        <v>4.7880341769359742E-2</v>
      </c>
      <c r="K120" s="14">
        <v>0</v>
      </c>
    </row>
    <row r="121" spans="1:11">
      <c r="A121" s="7">
        <v>17</v>
      </c>
      <c r="B121" s="25">
        <v>37635</v>
      </c>
      <c r="C121" s="11">
        <v>2003</v>
      </c>
      <c r="D121" s="20" t="s">
        <v>16</v>
      </c>
      <c r="E121" s="11">
        <v>1</v>
      </c>
      <c r="F121" s="21">
        <v>14.678190521165462</v>
      </c>
      <c r="G121" s="14">
        <v>0.14266270268504888</v>
      </c>
      <c r="H121" s="14">
        <v>0</v>
      </c>
      <c r="I121" s="14">
        <v>5.0276073641592349</v>
      </c>
      <c r="J121" s="14">
        <v>1.7476919642323344E-2</v>
      </c>
      <c r="K121" s="14">
        <v>0</v>
      </c>
    </row>
    <row r="122" spans="1:11">
      <c r="A122" s="7">
        <v>18</v>
      </c>
      <c r="B122" s="25">
        <v>37635</v>
      </c>
      <c r="C122" s="11">
        <v>2003</v>
      </c>
      <c r="D122" s="20" t="s">
        <v>16</v>
      </c>
      <c r="E122" s="11">
        <v>1</v>
      </c>
      <c r="F122" s="21">
        <v>4.9855958347564666</v>
      </c>
      <c r="G122" s="14">
        <v>8.6835808121785152E-2</v>
      </c>
      <c r="H122" s="14">
        <v>0</v>
      </c>
      <c r="I122" s="14">
        <v>1.6377250996486694</v>
      </c>
      <c r="J122" s="14">
        <v>2.8697034885507223E-2</v>
      </c>
      <c r="K122" s="14">
        <v>0</v>
      </c>
    </row>
    <row r="123" spans="1:11">
      <c r="A123" s="7">
        <v>1</v>
      </c>
      <c r="B123" s="25">
        <v>37665</v>
      </c>
      <c r="C123" s="11">
        <v>2003</v>
      </c>
      <c r="D123" s="10" t="s">
        <v>17</v>
      </c>
      <c r="E123" s="11">
        <v>2</v>
      </c>
      <c r="F123" s="21">
        <v>7.9987784133338398</v>
      </c>
      <c r="G123" s="14">
        <v>0</v>
      </c>
      <c r="H123" s="14">
        <v>0</v>
      </c>
      <c r="I123" s="14">
        <v>2.991642475638244</v>
      </c>
      <c r="J123" s="14">
        <v>6.05200292066971E-2</v>
      </c>
      <c r="K123" s="14">
        <v>0</v>
      </c>
    </row>
    <row r="124" spans="1:11">
      <c r="A124" s="7">
        <v>17</v>
      </c>
      <c r="B124" s="25">
        <v>37665</v>
      </c>
      <c r="C124" s="11">
        <v>2003</v>
      </c>
      <c r="D124" s="10" t="s">
        <v>17</v>
      </c>
      <c r="E124" s="11">
        <v>2</v>
      </c>
      <c r="F124" s="21">
        <v>6.1023422345169394</v>
      </c>
      <c r="G124" s="14">
        <v>0.46986151406795917</v>
      </c>
      <c r="H124" s="14">
        <v>0</v>
      </c>
      <c r="I124" s="14">
        <v>2.3869621598480975</v>
      </c>
      <c r="J124" s="14">
        <v>6.4811223523123559E-2</v>
      </c>
      <c r="K124" s="14">
        <v>0</v>
      </c>
    </row>
    <row r="125" spans="1:11">
      <c r="A125" s="7">
        <v>18</v>
      </c>
      <c r="B125" s="25">
        <v>37665</v>
      </c>
      <c r="C125" s="11">
        <v>2003</v>
      </c>
      <c r="D125" s="10" t="s">
        <v>17</v>
      </c>
      <c r="E125" s="11">
        <v>2</v>
      </c>
      <c r="F125" s="21">
        <v>7.8279945644229283</v>
      </c>
      <c r="G125" s="14">
        <v>0</v>
      </c>
      <c r="H125" s="14">
        <v>0</v>
      </c>
      <c r="I125" s="14">
        <v>2.8203222851129932</v>
      </c>
      <c r="J125" s="14">
        <v>0.12799104568608827</v>
      </c>
      <c r="K125" s="14">
        <v>0</v>
      </c>
    </row>
    <row r="126" spans="1:11">
      <c r="A126" s="7">
        <v>1</v>
      </c>
      <c r="B126" s="25">
        <v>37690</v>
      </c>
      <c r="C126" s="11">
        <v>2003</v>
      </c>
      <c r="D126" s="10" t="s">
        <v>18</v>
      </c>
      <c r="E126" s="11">
        <v>3</v>
      </c>
      <c r="F126" s="21">
        <v>5.0105610263240941</v>
      </c>
      <c r="G126" s="14">
        <v>2.4566752093623408E-2</v>
      </c>
      <c r="H126" s="14">
        <v>0</v>
      </c>
      <c r="I126" s="14">
        <v>1.7159641088972755</v>
      </c>
      <c r="J126" s="14">
        <v>3.2707897722215377E-2</v>
      </c>
      <c r="K126" s="14">
        <v>0</v>
      </c>
    </row>
    <row r="127" spans="1:11">
      <c r="A127" s="7">
        <v>17</v>
      </c>
      <c r="B127" s="25">
        <v>37690</v>
      </c>
      <c r="C127" s="11">
        <v>2003</v>
      </c>
      <c r="D127" s="10" t="s">
        <v>18</v>
      </c>
      <c r="E127" s="11">
        <v>3</v>
      </c>
      <c r="F127" s="21">
        <v>6.66337225816795</v>
      </c>
      <c r="G127" s="14">
        <v>9.9616355330487683E-2</v>
      </c>
      <c r="H127" s="14">
        <v>0</v>
      </c>
      <c r="I127" s="14">
        <v>2.2360741720950688</v>
      </c>
      <c r="J127" s="14">
        <v>1.7511192095921529E-2</v>
      </c>
      <c r="K127" s="14">
        <v>0</v>
      </c>
    </row>
    <row r="128" spans="1:11">
      <c r="A128" s="7">
        <v>18</v>
      </c>
      <c r="B128" s="25">
        <v>37690</v>
      </c>
      <c r="C128" s="11">
        <v>2003</v>
      </c>
      <c r="D128" s="10" t="s">
        <v>18</v>
      </c>
      <c r="E128" s="11">
        <v>3</v>
      </c>
      <c r="F128" s="21">
        <v>9.4358507321294045</v>
      </c>
      <c r="G128" s="14">
        <v>0.16764391122635239</v>
      </c>
      <c r="H128" s="14">
        <v>0</v>
      </c>
      <c r="I128" s="14">
        <v>3.0773441517920643</v>
      </c>
      <c r="J128" s="14">
        <v>2.2825069604538527E-2</v>
      </c>
      <c r="K128" s="14">
        <v>0</v>
      </c>
    </row>
    <row r="129" spans="1:11">
      <c r="A129" s="7">
        <v>1</v>
      </c>
      <c r="B129" s="25">
        <v>37725</v>
      </c>
      <c r="C129" s="11">
        <v>2003</v>
      </c>
      <c r="D129" s="10" t="s">
        <v>19</v>
      </c>
      <c r="E129" s="11">
        <v>4</v>
      </c>
      <c r="F129" s="21">
        <v>11.621607852689753</v>
      </c>
      <c r="G129" s="14">
        <v>0.32935266785205974</v>
      </c>
      <c r="H129" s="14">
        <v>0.13300942815764913</v>
      </c>
      <c r="I129" s="14">
        <v>3.5622354921758275</v>
      </c>
      <c r="J129" s="14">
        <v>4.6541582357934735E-2</v>
      </c>
      <c r="K129" s="14">
        <v>0</v>
      </c>
    </row>
    <row r="130" spans="1:11">
      <c r="A130" s="7">
        <v>17</v>
      </c>
      <c r="B130" s="25">
        <v>37725</v>
      </c>
      <c r="C130" s="11">
        <v>2003</v>
      </c>
      <c r="D130" s="10" t="s">
        <v>19</v>
      </c>
      <c r="E130" s="11">
        <v>4</v>
      </c>
      <c r="F130" s="21">
        <v>10.151429056280969</v>
      </c>
      <c r="G130" s="14">
        <v>0.13036997989864649</v>
      </c>
      <c r="H130" s="14">
        <v>0.10797724273443191</v>
      </c>
      <c r="I130" s="14">
        <v>3.8256534094928196</v>
      </c>
      <c r="J130" s="14">
        <v>4.0855856468416017E-2</v>
      </c>
      <c r="K130" s="14">
        <v>0</v>
      </c>
    </row>
    <row r="131" spans="1:11">
      <c r="A131" s="7">
        <v>18</v>
      </c>
      <c r="B131" s="25">
        <v>37725</v>
      </c>
      <c r="C131" s="11">
        <v>2003</v>
      </c>
      <c r="D131" s="10" t="s">
        <v>19</v>
      </c>
      <c r="E131" s="11">
        <v>4</v>
      </c>
      <c r="F131" s="21">
        <v>8.6331441054777276</v>
      </c>
      <c r="G131" s="14">
        <v>9.0474111726259132E-2</v>
      </c>
      <c r="H131" s="14">
        <v>0.12445558623295776</v>
      </c>
      <c r="I131" s="14">
        <v>3.285540422813868</v>
      </c>
      <c r="J131" s="14">
        <v>6.1826315308258162E-2</v>
      </c>
      <c r="K131" s="14">
        <v>0</v>
      </c>
    </row>
    <row r="132" spans="1:11">
      <c r="A132" s="7">
        <v>1</v>
      </c>
      <c r="B132" s="25">
        <v>37753</v>
      </c>
      <c r="C132" s="11">
        <v>2003</v>
      </c>
      <c r="D132" s="10" t="s">
        <v>20</v>
      </c>
      <c r="E132" s="11">
        <v>5</v>
      </c>
      <c r="F132" s="21">
        <v>3.5255270753391339</v>
      </c>
      <c r="G132" s="14">
        <v>5.0216371050484092E-2</v>
      </c>
      <c r="H132" s="14">
        <v>0</v>
      </c>
      <c r="I132" s="14">
        <v>1.2345106151857184</v>
      </c>
      <c r="J132" s="14">
        <v>1.6773955876107079E-2</v>
      </c>
      <c r="K132" s="14">
        <v>0</v>
      </c>
    </row>
    <row r="133" spans="1:11">
      <c r="A133" s="7">
        <v>17</v>
      </c>
      <c r="B133" s="25">
        <v>37753</v>
      </c>
      <c r="C133" s="11">
        <v>2003</v>
      </c>
      <c r="D133" s="10" t="s">
        <v>20</v>
      </c>
      <c r="E133" s="11">
        <v>5</v>
      </c>
      <c r="F133" s="21">
        <v>1.4045365483236303</v>
      </c>
      <c r="G133" s="14">
        <v>1.9026340628380777E-2</v>
      </c>
      <c r="H133" s="14">
        <v>0</v>
      </c>
      <c r="I133" s="14">
        <v>0.28745902855080696</v>
      </c>
      <c r="J133" s="14">
        <v>1.1959565444067127E-2</v>
      </c>
      <c r="K133" s="14">
        <v>0</v>
      </c>
    </row>
    <row r="134" spans="1:11">
      <c r="A134" s="7">
        <v>18</v>
      </c>
      <c r="B134" s="25">
        <v>37753</v>
      </c>
      <c r="C134" s="11">
        <v>2003</v>
      </c>
      <c r="D134" s="10" t="s">
        <v>20</v>
      </c>
      <c r="E134" s="11">
        <v>5</v>
      </c>
      <c r="F134" s="21">
        <v>0.74782630405651385</v>
      </c>
      <c r="G134" s="14">
        <v>2.5340226513572532E-2</v>
      </c>
      <c r="H134" s="14">
        <v>0</v>
      </c>
      <c r="I134" s="14">
        <v>0.13144228894855209</v>
      </c>
      <c r="J134" s="14">
        <v>1.0347259159708785E-2</v>
      </c>
      <c r="K134" s="14">
        <v>0</v>
      </c>
    </row>
    <row r="135" spans="1:11">
      <c r="A135" s="7">
        <v>1</v>
      </c>
      <c r="B135" s="25">
        <v>37792</v>
      </c>
      <c r="C135" s="11">
        <v>2003</v>
      </c>
      <c r="D135" s="10" t="s">
        <v>21</v>
      </c>
      <c r="E135" s="11">
        <v>6</v>
      </c>
      <c r="F135" s="21">
        <v>4.4775979583029129</v>
      </c>
      <c r="G135" s="14">
        <v>8.6565052506908199E-2</v>
      </c>
      <c r="H135" s="14">
        <v>4.915216666957814E-2</v>
      </c>
      <c r="I135" s="14">
        <v>1.1029110793370536</v>
      </c>
      <c r="J135" s="14">
        <v>4.7902777407395875E-2</v>
      </c>
      <c r="K135" s="14">
        <v>0</v>
      </c>
    </row>
    <row r="136" spans="1:11">
      <c r="A136" s="7">
        <v>17</v>
      </c>
      <c r="B136" s="25">
        <v>37792</v>
      </c>
      <c r="C136" s="11">
        <v>2003</v>
      </c>
      <c r="D136" s="10" t="s">
        <v>21</v>
      </c>
      <c r="E136" s="11">
        <v>6</v>
      </c>
      <c r="F136" s="14">
        <v>3.9506082427801155</v>
      </c>
      <c r="G136" s="14">
        <v>9.6952774864613803E-2</v>
      </c>
      <c r="H136" s="14">
        <v>0</v>
      </c>
      <c r="I136" s="14">
        <v>1.7161706868354145</v>
      </c>
      <c r="J136" s="14">
        <v>4.7396867117932777E-2</v>
      </c>
      <c r="K136" s="14">
        <v>0</v>
      </c>
    </row>
    <row r="137" spans="1:11">
      <c r="A137" s="7">
        <v>18</v>
      </c>
      <c r="B137" s="25">
        <v>37792</v>
      </c>
      <c r="C137" s="11">
        <v>2003</v>
      </c>
      <c r="D137" s="10" t="s">
        <v>21</v>
      </c>
      <c r="E137" s="11">
        <v>6</v>
      </c>
      <c r="F137" s="14">
        <v>4.4471127285590386</v>
      </c>
      <c r="G137" s="14">
        <v>6.3897508673652958E-2</v>
      </c>
      <c r="H137" s="14">
        <v>6.1259409337830875E-2</v>
      </c>
      <c r="I137" s="14">
        <v>1.6146090919034441</v>
      </c>
      <c r="J137" s="14">
        <v>5.415253881859701E-2</v>
      </c>
      <c r="K137" s="14">
        <v>0</v>
      </c>
    </row>
    <row r="138" spans="1:11">
      <c r="A138" s="7">
        <v>1</v>
      </c>
      <c r="B138" s="25">
        <v>37817</v>
      </c>
      <c r="C138" s="11">
        <v>2003</v>
      </c>
      <c r="D138" s="20" t="s">
        <v>22</v>
      </c>
      <c r="E138" s="11">
        <v>7</v>
      </c>
      <c r="F138" s="14">
        <v>11.896908587294456</v>
      </c>
      <c r="G138" s="14">
        <v>0.65389926835444967</v>
      </c>
      <c r="H138" s="14">
        <v>0.10496801419124108</v>
      </c>
      <c r="I138" s="14">
        <v>2.0073807880158876</v>
      </c>
      <c r="J138" s="14">
        <v>0.78246833496506984</v>
      </c>
      <c r="K138" s="14">
        <v>0</v>
      </c>
    </row>
    <row r="139" spans="1:11">
      <c r="A139" s="7">
        <v>17</v>
      </c>
      <c r="B139" s="25">
        <v>37817</v>
      </c>
      <c r="C139" s="11">
        <v>2003</v>
      </c>
      <c r="D139" s="20" t="s">
        <v>22</v>
      </c>
      <c r="E139" s="11">
        <v>7</v>
      </c>
      <c r="F139" s="14">
        <v>5.0586691915367528</v>
      </c>
      <c r="G139" s="14">
        <v>0.20026383087999475</v>
      </c>
      <c r="H139" s="14">
        <v>8.9453088607300016E-2</v>
      </c>
      <c r="I139" s="14">
        <v>1.2283792152213608</v>
      </c>
      <c r="J139" s="14">
        <v>0.14978463333407904</v>
      </c>
      <c r="K139" s="14">
        <v>0</v>
      </c>
    </row>
    <row r="140" spans="1:11">
      <c r="A140" s="7">
        <v>18</v>
      </c>
      <c r="B140" s="25">
        <v>37817</v>
      </c>
      <c r="C140" s="11">
        <v>2003</v>
      </c>
      <c r="D140" s="20" t="s">
        <v>22</v>
      </c>
      <c r="E140" s="11">
        <v>7</v>
      </c>
      <c r="F140" s="14">
        <v>11.930539648748699</v>
      </c>
      <c r="G140" s="14">
        <v>0.38915712038318057</v>
      </c>
      <c r="H140" s="14">
        <v>6.9861849813594626E-2</v>
      </c>
      <c r="I140" s="14">
        <v>1.8453596024720285</v>
      </c>
      <c r="J140" s="14">
        <v>0.91735553259209757</v>
      </c>
      <c r="K140" s="14">
        <v>0</v>
      </c>
    </row>
    <row r="141" spans="1:11">
      <c r="A141" s="7">
        <v>1</v>
      </c>
      <c r="B141" s="25">
        <v>37845</v>
      </c>
      <c r="C141" s="11">
        <v>2003</v>
      </c>
      <c r="D141" s="20" t="s">
        <v>23</v>
      </c>
      <c r="E141" s="11">
        <v>8</v>
      </c>
      <c r="F141" s="14">
        <v>9.8202305307978985</v>
      </c>
      <c r="G141" s="14">
        <v>0.20565275871632116</v>
      </c>
      <c r="H141" s="14">
        <v>0</v>
      </c>
      <c r="I141" s="14">
        <v>2.2105005871700221</v>
      </c>
      <c r="J141" s="14">
        <v>0.45236609946757922</v>
      </c>
      <c r="K141" s="14">
        <v>0</v>
      </c>
    </row>
    <row r="142" spans="1:11">
      <c r="A142" s="7">
        <v>17</v>
      </c>
      <c r="B142" s="25">
        <v>37845</v>
      </c>
      <c r="C142" s="11">
        <v>2003</v>
      </c>
      <c r="D142" s="20" t="s">
        <v>23</v>
      </c>
      <c r="E142" s="11">
        <v>8</v>
      </c>
      <c r="F142" s="14">
        <v>17.786065024851993</v>
      </c>
      <c r="G142" s="14">
        <v>7.7937886222838273E-2</v>
      </c>
      <c r="H142" s="14">
        <v>0</v>
      </c>
      <c r="I142" s="14">
        <v>3.3210499328355594</v>
      </c>
      <c r="J142" s="14">
        <v>1.043523264787384</v>
      </c>
      <c r="K142" s="14">
        <v>0</v>
      </c>
    </row>
    <row r="143" spans="1:11">
      <c r="A143" s="7">
        <v>18</v>
      </c>
      <c r="B143" s="25">
        <v>37845</v>
      </c>
      <c r="C143" s="11">
        <v>2003</v>
      </c>
      <c r="D143" s="20" t="s">
        <v>23</v>
      </c>
      <c r="E143" s="11">
        <v>8</v>
      </c>
      <c r="F143" s="14">
        <v>19.84277059277445</v>
      </c>
      <c r="G143" s="14">
        <v>5.4650444573958311E-2</v>
      </c>
      <c r="H143" s="14">
        <v>0</v>
      </c>
      <c r="I143" s="14">
        <v>2.2076417240526185</v>
      </c>
      <c r="J143" s="14">
        <v>1.3459960061176393</v>
      </c>
      <c r="K143" s="14">
        <v>0</v>
      </c>
    </row>
    <row r="144" spans="1:11">
      <c r="A144" s="7">
        <v>1</v>
      </c>
      <c r="B144" s="25">
        <v>37888</v>
      </c>
      <c r="C144" s="11">
        <v>2003</v>
      </c>
      <c r="D144" s="20" t="s">
        <v>24</v>
      </c>
      <c r="E144" s="11">
        <v>9</v>
      </c>
      <c r="F144" s="14">
        <v>3.5302330246553337</v>
      </c>
      <c r="G144" s="14">
        <v>2.6764907222375994E-2</v>
      </c>
      <c r="H144" s="14">
        <v>0</v>
      </c>
      <c r="I144" s="14">
        <v>0.86202656168784342</v>
      </c>
      <c r="J144" s="14">
        <v>9.8761824797969522E-2</v>
      </c>
      <c r="K144" s="14">
        <v>0</v>
      </c>
    </row>
    <row r="145" spans="1:11">
      <c r="A145" s="7">
        <v>17</v>
      </c>
      <c r="B145" s="25">
        <v>37888</v>
      </c>
      <c r="C145" s="11">
        <v>2003</v>
      </c>
      <c r="D145" s="20" t="s">
        <v>24</v>
      </c>
      <c r="E145" s="11">
        <v>9</v>
      </c>
      <c r="F145" s="14">
        <v>3.652133330411873</v>
      </c>
      <c r="G145" s="14">
        <v>2.2545310540432361E-2</v>
      </c>
      <c r="H145" s="14">
        <v>0</v>
      </c>
      <c r="I145" s="14">
        <v>0.78818302994497058</v>
      </c>
      <c r="J145" s="14">
        <v>0.18709622377790835</v>
      </c>
      <c r="K145" s="14">
        <v>0</v>
      </c>
    </row>
    <row r="146" spans="1:11">
      <c r="A146" s="7">
        <v>18</v>
      </c>
      <c r="B146" s="25">
        <v>37888</v>
      </c>
      <c r="C146" s="11">
        <v>2003</v>
      </c>
      <c r="D146" s="20" t="s">
        <v>24</v>
      </c>
      <c r="E146" s="11">
        <v>9</v>
      </c>
      <c r="F146" s="14">
        <v>3.5778334738006503</v>
      </c>
      <c r="G146" s="14">
        <v>0</v>
      </c>
      <c r="H146" s="14">
        <v>0</v>
      </c>
      <c r="I146" s="14">
        <v>0.59783652231287976</v>
      </c>
      <c r="J146" s="14">
        <v>0.32439882814873988</v>
      </c>
      <c r="K146" s="14">
        <v>0</v>
      </c>
    </row>
    <row r="147" spans="1:11">
      <c r="A147" s="7">
        <v>1</v>
      </c>
      <c r="B147" s="25">
        <v>37908</v>
      </c>
      <c r="C147" s="11">
        <v>2003</v>
      </c>
      <c r="D147" s="20" t="s">
        <v>12</v>
      </c>
      <c r="E147" s="11">
        <v>10</v>
      </c>
      <c r="F147" s="13">
        <v>5.3181000000000003</v>
      </c>
      <c r="G147" s="14">
        <v>0.11108180125415432</v>
      </c>
      <c r="H147" s="14">
        <v>0</v>
      </c>
      <c r="I147" s="14">
        <v>1.0691742447871821</v>
      </c>
      <c r="J147" s="14">
        <v>7.3152826693757736E-2</v>
      </c>
      <c r="K147" s="14">
        <v>0</v>
      </c>
    </row>
    <row r="148" spans="1:11">
      <c r="A148" s="7">
        <v>17</v>
      </c>
      <c r="B148" s="25">
        <v>37908</v>
      </c>
      <c r="C148" s="11">
        <v>2003</v>
      </c>
      <c r="D148" s="20" t="s">
        <v>12</v>
      </c>
      <c r="E148" s="11">
        <v>10</v>
      </c>
      <c r="F148" s="13">
        <v>5.1840999999999999</v>
      </c>
      <c r="G148" s="14">
        <v>0.12969576763380547</v>
      </c>
      <c r="H148" s="14">
        <v>0</v>
      </c>
      <c r="I148" s="14">
        <v>1.15792251487951</v>
      </c>
      <c r="J148" s="14">
        <v>7.2804110334706212E-2</v>
      </c>
      <c r="K148" s="14">
        <v>0</v>
      </c>
    </row>
    <row r="149" spans="1:11">
      <c r="A149" s="7">
        <v>18</v>
      </c>
      <c r="B149" s="25">
        <v>37908</v>
      </c>
      <c r="C149" s="11">
        <v>2003</v>
      </c>
      <c r="D149" s="20" t="s">
        <v>12</v>
      </c>
      <c r="E149" s="11">
        <v>10</v>
      </c>
      <c r="F149" s="13">
        <v>5.0353000000000003</v>
      </c>
      <c r="G149" s="14">
        <v>8.5508629520886462E-2</v>
      </c>
      <c r="H149" s="14">
        <v>0</v>
      </c>
      <c r="I149" s="14">
        <v>1.2496985641201162</v>
      </c>
      <c r="J149" s="14">
        <v>6.7782295375090701E-2</v>
      </c>
      <c r="K149" s="14">
        <v>0</v>
      </c>
    </row>
    <row r="150" spans="1:11">
      <c r="A150" s="7">
        <v>1</v>
      </c>
      <c r="B150" s="25">
        <v>37943</v>
      </c>
      <c r="C150" s="11">
        <v>2003</v>
      </c>
      <c r="D150" s="20" t="s">
        <v>14</v>
      </c>
      <c r="E150" s="11">
        <v>11</v>
      </c>
      <c r="F150" s="13">
        <v>3.7928999999999999</v>
      </c>
      <c r="G150" s="14">
        <v>0.10726751721696216</v>
      </c>
      <c r="H150" s="14">
        <v>0</v>
      </c>
      <c r="I150" s="14">
        <v>0.82309091360233</v>
      </c>
      <c r="J150" s="14">
        <v>3.4889958469863286E-2</v>
      </c>
      <c r="K150" s="14">
        <v>0</v>
      </c>
    </row>
    <row r="151" spans="1:11">
      <c r="A151" s="7">
        <v>17</v>
      </c>
      <c r="B151" s="25">
        <v>37943</v>
      </c>
      <c r="C151" s="11">
        <v>2003</v>
      </c>
      <c r="D151" s="20" t="s">
        <v>14</v>
      </c>
      <c r="E151" s="11">
        <v>11</v>
      </c>
      <c r="F151" s="13">
        <v>3.9767000000000001</v>
      </c>
      <c r="G151" s="14">
        <v>8.7578644460486521E-2</v>
      </c>
      <c r="H151" s="14">
        <v>0</v>
      </c>
      <c r="I151" s="14">
        <v>1.167623900256844</v>
      </c>
      <c r="J151" s="14">
        <v>3.3417182924667249E-2</v>
      </c>
      <c r="K151" s="14">
        <v>0</v>
      </c>
    </row>
    <row r="152" spans="1:11">
      <c r="A152" s="7">
        <v>18</v>
      </c>
      <c r="B152" s="25">
        <v>37943</v>
      </c>
      <c r="C152" s="11">
        <v>2003</v>
      </c>
      <c r="D152" s="20" t="s">
        <v>14</v>
      </c>
      <c r="E152" s="11">
        <v>11</v>
      </c>
      <c r="F152" s="13">
        <v>3.4045000000000001</v>
      </c>
      <c r="G152" s="14">
        <v>8.325303795345132E-2</v>
      </c>
      <c r="H152" s="14">
        <v>0</v>
      </c>
      <c r="I152" s="14">
        <v>0.97499896595778923</v>
      </c>
      <c r="J152" s="14">
        <v>3.3058412046403418E-2</v>
      </c>
      <c r="K152" s="14">
        <v>0</v>
      </c>
    </row>
    <row r="153" spans="1:11">
      <c r="A153" s="7">
        <v>1</v>
      </c>
      <c r="B153" s="25">
        <v>37973</v>
      </c>
      <c r="C153" s="11">
        <v>2003</v>
      </c>
      <c r="D153" s="20" t="s">
        <v>15</v>
      </c>
      <c r="E153" s="11">
        <v>12</v>
      </c>
      <c r="F153" s="13">
        <v>2.7648999999999999</v>
      </c>
      <c r="G153" s="14">
        <v>5.4484188700624207E-2</v>
      </c>
      <c r="H153" s="14">
        <v>0</v>
      </c>
      <c r="I153" s="14">
        <v>0.77949021890261738</v>
      </c>
      <c r="J153" s="14">
        <v>2.1929073791060669E-2</v>
      </c>
      <c r="K153" s="14">
        <v>0</v>
      </c>
    </row>
    <row r="154" spans="1:11">
      <c r="A154" s="7">
        <v>17</v>
      </c>
      <c r="B154" s="25">
        <v>37973</v>
      </c>
      <c r="C154" s="11">
        <v>2003</v>
      </c>
      <c r="D154" s="20" t="s">
        <v>15</v>
      </c>
      <c r="E154" s="11">
        <v>12</v>
      </c>
      <c r="F154" s="13">
        <v>3.2766999999999999</v>
      </c>
      <c r="G154" s="14">
        <v>5.8198227938951276E-2</v>
      </c>
      <c r="H154" s="14">
        <v>0</v>
      </c>
      <c r="I154" s="14">
        <v>0.9769440370609912</v>
      </c>
      <c r="J154" s="14">
        <v>2.7123343798999527E-2</v>
      </c>
      <c r="K154" s="14">
        <v>0</v>
      </c>
    </row>
    <row r="155" spans="1:11">
      <c r="A155" s="7">
        <v>18</v>
      </c>
      <c r="B155" s="25">
        <v>37973</v>
      </c>
      <c r="C155" s="11">
        <v>2003</v>
      </c>
      <c r="D155" s="20" t="s">
        <v>15</v>
      </c>
      <c r="E155" s="11">
        <v>12</v>
      </c>
      <c r="F155" s="13">
        <v>6.2298999999999998</v>
      </c>
      <c r="G155" s="14">
        <v>0.11817869999240026</v>
      </c>
      <c r="H155" s="14">
        <v>0</v>
      </c>
      <c r="I155" s="14">
        <v>1.7911745218354929</v>
      </c>
      <c r="J155" s="14">
        <v>5.3230516165298641E-2</v>
      </c>
      <c r="K155" s="14">
        <v>0</v>
      </c>
    </row>
    <row r="156" spans="1:11">
      <c r="A156" s="15">
        <v>1</v>
      </c>
      <c r="B156" s="27">
        <v>37999</v>
      </c>
      <c r="C156" s="17">
        <v>2004</v>
      </c>
      <c r="D156" s="23" t="s">
        <v>16</v>
      </c>
      <c r="E156" s="17">
        <v>1</v>
      </c>
      <c r="F156" s="13">
        <v>4.7195</v>
      </c>
      <c r="G156" s="13">
        <v>5.7181426633508933E-2</v>
      </c>
      <c r="H156" s="13">
        <v>0</v>
      </c>
      <c r="I156" s="13">
        <v>1.0869788141957915</v>
      </c>
      <c r="J156" s="13">
        <v>1.7139663584445856E-2</v>
      </c>
      <c r="K156" s="13">
        <v>0</v>
      </c>
    </row>
    <row r="157" spans="1:11">
      <c r="A157" s="7">
        <v>17</v>
      </c>
      <c r="B157" s="25">
        <v>37999</v>
      </c>
      <c r="C157" s="11">
        <v>2004</v>
      </c>
      <c r="D157" s="20" t="s">
        <v>16</v>
      </c>
      <c r="E157" s="11">
        <v>1</v>
      </c>
      <c r="F157" s="13">
        <v>4.2336</v>
      </c>
      <c r="G157" s="13">
        <v>4.7723046411364649E-2</v>
      </c>
      <c r="H157" s="13">
        <v>0</v>
      </c>
      <c r="I157" s="13">
        <v>1.3484814433056989</v>
      </c>
      <c r="J157" s="13">
        <v>9.9524948578637289E-3</v>
      </c>
      <c r="K157" s="13">
        <v>0</v>
      </c>
    </row>
    <row r="158" spans="1:11">
      <c r="A158" s="7">
        <v>18</v>
      </c>
      <c r="B158" s="25">
        <v>38000</v>
      </c>
      <c r="C158" s="11">
        <v>2004</v>
      </c>
      <c r="D158" s="20" t="s">
        <v>16</v>
      </c>
      <c r="E158" s="11">
        <v>1</v>
      </c>
      <c r="F158" s="13">
        <v>4.5864000000000003</v>
      </c>
      <c r="G158" s="13">
        <v>4.7310094836880985E-2</v>
      </c>
      <c r="H158" s="13">
        <v>0</v>
      </c>
      <c r="I158" s="13">
        <v>1.4418633647349492</v>
      </c>
      <c r="J158" s="13">
        <v>1.0501561551751915E-2</v>
      </c>
      <c r="K158" s="13">
        <v>0</v>
      </c>
    </row>
    <row r="159" spans="1:11">
      <c r="A159" s="7">
        <v>1</v>
      </c>
      <c r="B159" s="25">
        <v>38027</v>
      </c>
      <c r="C159" s="11">
        <v>2004</v>
      </c>
      <c r="D159" s="10" t="s">
        <v>17</v>
      </c>
      <c r="E159" s="11">
        <v>2</v>
      </c>
      <c r="F159" s="13">
        <v>6.5015000000000001</v>
      </c>
      <c r="G159" s="13">
        <v>0.23028101623552541</v>
      </c>
      <c r="H159" s="13">
        <v>0</v>
      </c>
      <c r="I159" s="13">
        <v>1.4663460503525523</v>
      </c>
      <c r="J159" s="13">
        <v>1.9321537053466658E-2</v>
      </c>
      <c r="K159" s="13">
        <v>0</v>
      </c>
    </row>
    <row r="160" spans="1:11">
      <c r="A160" s="7">
        <v>17</v>
      </c>
      <c r="B160" s="25">
        <v>38027</v>
      </c>
      <c r="C160" s="11">
        <v>2004</v>
      </c>
      <c r="D160" s="10" t="s">
        <v>17</v>
      </c>
      <c r="E160" s="11">
        <v>2</v>
      </c>
      <c r="F160" s="13">
        <v>7.7070999999999996</v>
      </c>
      <c r="G160" s="13">
        <v>0.26667877067665563</v>
      </c>
      <c r="H160" s="13">
        <v>0</v>
      </c>
      <c r="I160" s="13">
        <v>2.6299191793291179</v>
      </c>
      <c r="J160" s="13">
        <v>1.818081686237473E-2</v>
      </c>
      <c r="K160" s="13">
        <v>0</v>
      </c>
    </row>
    <row r="161" spans="1:11">
      <c r="A161" s="7">
        <v>18</v>
      </c>
      <c r="B161" s="25">
        <v>38027</v>
      </c>
      <c r="C161" s="11">
        <v>2004</v>
      </c>
      <c r="D161" s="10" t="s">
        <v>17</v>
      </c>
      <c r="E161" s="11">
        <v>2</v>
      </c>
      <c r="F161" s="13">
        <v>10.6099</v>
      </c>
      <c r="G161" s="13">
        <v>0.18463491196357548</v>
      </c>
      <c r="H161" s="13">
        <v>0</v>
      </c>
      <c r="I161" s="13">
        <v>3.9458469817959436</v>
      </c>
      <c r="J161" s="13">
        <v>4.4113944243573969E-2</v>
      </c>
      <c r="K161" s="13">
        <v>0</v>
      </c>
    </row>
    <row r="162" spans="1:11">
      <c r="A162" s="7">
        <v>1</v>
      </c>
      <c r="B162" s="25">
        <v>38063</v>
      </c>
      <c r="C162" s="11">
        <v>2004</v>
      </c>
      <c r="D162" s="10" t="s">
        <v>18</v>
      </c>
      <c r="E162" s="11">
        <v>3</v>
      </c>
      <c r="F162" s="13">
        <v>7.5705999999999998</v>
      </c>
      <c r="G162" s="13">
        <v>0.44333509554273914</v>
      </c>
      <c r="H162" s="13">
        <v>2.2231653036254306E-2</v>
      </c>
      <c r="I162" s="13">
        <v>2.3611276894887103</v>
      </c>
      <c r="J162" s="13">
        <v>3.3264147973075635E-2</v>
      </c>
      <c r="K162" s="13">
        <v>0</v>
      </c>
    </row>
    <row r="163" spans="1:11">
      <c r="A163" s="7">
        <v>17</v>
      </c>
      <c r="B163" s="25">
        <v>38063</v>
      </c>
      <c r="C163" s="11">
        <v>2004</v>
      </c>
      <c r="D163" s="10" t="s">
        <v>18</v>
      </c>
      <c r="E163" s="11">
        <v>3</v>
      </c>
      <c r="F163" s="13">
        <v>7.1322000000000001</v>
      </c>
      <c r="G163" s="28">
        <v>6.4080939439411497E-2</v>
      </c>
      <c r="H163" s="28">
        <v>0</v>
      </c>
      <c r="I163" s="28">
        <v>2.54471829537226</v>
      </c>
      <c r="J163" s="28">
        <v>2.6659008288636592E-2</v>
      </c>
      <c r="K163" s="28">
        <v>0</v>
      </c>
    </row>
    <row r="164" spans="1:11">
      <c r="A164" s="7">
        <v>18</v>
      </c>
      <c r="B164" s="25">
        <v>38063</v>
      </c>
      <c r="C164" s="11">
        <v>2004</v>
      </c>
      <c r="D164" s="10" t="s">
        <v>18</v>
      </c>
      <c r="E164" s="11">
        <v>3</v>
      </c>
      <c r="F164" s="12">
        <v>6.1699000000000002</v>
      </c>
      <c r="G164" s="29">
        <v>9.2607320194602771E-2</v>
      </c>
      <c r="H164" s="29">
        <v>0</v>
      </c>
      <c r="I164" s="29">
        <v>2.2310141375255119</v>
      </c>
      <c r="J164" s="29">
        <v>2.3946599701365888E-2</v>
      </c>
      <c r="K164" s="28">
        <v>0</v>
      </c>
    </row>
    <row r="165" spans="1:11">
      <c r="A165" s="7">
        <v>1</v>
      </c>
      <c r="B165" s="25">
        <v>38094</v>
      </c>
      <c r="C165" s="11">
        <v>2004</v>
      </c>
      <c r="D165" s="10" t="s">
        <v>19</v>
      </c>
      <c r="E165" s="11">
        <v>4</v>
      </c>
      <c r="F165" s="30">
        <v>7.8849999999999998</v>
      </c>
      <c r="G165" s="31">
        <v>9.1554596736506094E-2</v>
      </c>
      <c r="H165" s="31">
        <v>0.12650181358928714</v>
      </c>
      <c r="I165" s="31">
        <v>2.5373220945061892</v>
      </c>
      <c r="J165" s="31">
        <v>5.1168402974852978E-2</v>
      </c>
      <c r="K165" s="28">
        <v>0</v>
      </c>
    </row>
    <row r="166" spans="1:11">
      <c r="A166" s="7">
        <v>17</v>
      </c>
      <c r="B166" s="25">
        <v>38094</v>
      </c>
      <c r="C166" s="11">
        <v>2004</v>
      </c>
      <c r="D166" s="10" t="s">
        <v>19</v>
      </c>
      <c r="E166" s="11">
        <v>4</v>
      </c>
      <c r="F166" s="30">
        <v>3.6457999999999999</v>
      </c>
      <c r="G166" s="31">
        <v>4.5129829501571565E-2</v>
      </c>
      <c r="H166" s="31">
        <v>6.3280667845824201E-2</v>
      </c>
      <c r="I166" s="31">
        <v>1.2385680410483269</v>
      </c>
      <c r="J166" s="31">
        <v>2.8473401545721561E-2</v>
      </c>
      <c r="K166" s="28">
        <v>0</v>
      </c>
    </row>
    <row r="167" spans="1:11">
      <c r="A167" s="7">
        <v>18</v>
      </c>
      <c r="B167" s="25">
        <v>38094</v>
      </c>
      <c r="C167" s="11">
        <v>2004</v>
      </c>
      <c r="D167" s="10" t="s">
        <v>19</v>
      </c>
      <c r="E167" s="11">
        <v>4</v>
      </c>
      <c r="F167" s="30">
        <v>3.8628999999999998</v>
      </c>
      <c r="G167" s="31">
        <v>4.5563052353382844E-2</v>
      </c>
      <c r="H167" s="31">
        <v>0</v>
      </c>
      <c r="I167" s="31">
        <v>1.3133153077520763</v>
      </c>
      <c r="J167" s="31">
        <v>4.7572593338341712E-2</v>
      </c>
      <c r="K167" s="28">
        <v>0</v>
      </c>
    </row>
    <row r="168" spans="1:11">
      <c r="A168" s="7">
        <v>1</v>
      </c>
      <c r="B168" s="25">
        <v>38118</v>
      </c>
      <c r="C168" s="11">
        <v>2004</v>
      </c>
      <c r="D168" s="10" t="s">
        <v>20</v>
      </c>
      <c r="E168" s="11">
        <v>5</v>
      </c>
      <c r="F168" s="30">
        <v>1.3108</v>
      </c>
      <c r="G168" s="31">
        <v>7.8392877831130234E-2</v>
      </c>
      <c r="H168" s="31">
        <v>0</v>
      </c>
      <c r="I168" s="31">
        <v>0.21795530180189979</v>
      </c>
      <c r="J168" s="31">
        <v>1.7751584517868832E-2</v>
      </c>
      <c r="K168" s="28">
        <v>0</v>
      </c>
    </row>
    <row r="169" spans="1:11">
      <c r="A169" s="7">
        <v>17</v>
      </c>
      <c r="B169" s="25">
        <v>38118</v>
      </c>
      <c r="C169" s="11">
        <v>2004</v>
      </c>
      <c r="D169" s="10" t="s">
        <v>20</v>
      </c>
      <c r="E169" s="11">
        <v>5</v>
      </c>
      <c r="F169" s="30">
        <v>1.4414</v>
      </c>
      <c r="G169" s="31">
        <v>0.34402029518038801</v>
      </c>
      <c r="H169" s="31">
        <v>8.785759001379961E-3</v>
      </c>
      <c r="I169" s="31">
        <v>0.37185885889893977</v>
      </c>
      <c r="J169" s="31">
        <v>1.6548487455140731E-2</v>
      </c>
      <c r="K169" s="28">
        <v>0</v>
      </c>
    </row>
    <row r="170" spans="1:11">
      <c r="A170" s="7">
        <v>18</v>
      </c>
      <c r="B170" s="25">
        <v>38118</v>
      </c>
      <c r="C170" s="11">
        <v>2004</v>
      </c>
      <c r="D170" s="10" t="s">
        <v>20</v>
      </c>
      <c r="E170" s="11">
        <v>5</v>
      </c>
      <c r="F170" s="30">
        <v>2.2044000000000001</v>
      </c>
      <c r="G170" s="31">
        <v>3.2182692028390872E-2</v>
      </c>
      <c r="H170" s="31">
        <v>1.8641220542613232E-2</v>
      </c>
      <c r="I170" s="31">
        <v>0.51089149012309787</v>
      </c>
      <c r="J170" s="31">
        <v>3.0920181617472998E-2</v>
      </c>
      <c r="K170" s="28">
        <v>0</v>
      </c>
    </row>
    <row r="171" spans="1:11">
      <c r="A171" s="7">
        <v>1</v>
      </c>
      <c r="B171" s="25">
        <v>38153</v>
      </c>
      <c r="C171" s="11">
        <v>2004</v>
      </c>
      <c r="D171" s="10" t="s">
        <v>21</v>
      </c>
      <c r="E171" s="11">
        <v>6</v>
      </c>
      <c r="F171" s="30">
        <v>17.126300000000001</v>
      </c>
      <c r="G171" s="31">
        <v>0.12767806818518168</v>
      </c>
      <c r="H171" s="31">
        <v>0.64646444089204691</v>
      </c>
      <c r="I171" s="31">
        <v>4.0517504625167104</v>
      </c>
      <c r="J171" s="31">
        <v>1.7314011284883875</v>
      </c>
      <c r="K171" s="28">
        <v>0</v>
      </c>
    </row>
    <row r="172" spans="1:11">
      <c r="A172" s="7">
        <v>17</v>
      </c>
      <c r="B172" s="25">
        <v>38153</v>
      </c>
      <c r="C172" s="11">
        <v>2004</v>
      </c>
      <c r="D172" s="10" t="s">
        <v>21</v>
      </c>
      <c r="E172" s="11">
        <v>6</v>
      </c>
      <c r="F172" s="30">
        <v>18.146799999999999</v>
      </c>
      <c r="G172" s="31">
        <v>0.13026652739383895</v>
      </c>
      <c r="H172" s="31">
        <v>1.0740535550137336</v>
      </c>
      <c r="I172" s="31">
        <v>4.5875752136068284</v>
      </c>
      <c r="J172" s="31">
        <v>1.529415505099661</v>
      </c>
      <c r="K172" s="13">
        <v>1.8992340158595748E-2</v>
      </c>
    </row>
    <row r="173" spans="1:11">
      <c r="A173" s="7">
        <v>18</v>
      </c>
      <c r="B173" s="25">
        <v>38153</v>
      </c>
      <c r="C173" s="11">
        <v>2004</v>
      </c>
      <c r="D173" s="10" t="s">
        <v>21</v>
      </c>
      <c r="E173" s="11">
        <v>6</v>
      </c>
      <c r="F173" s="30">
        <v>7.3181000000000003</v>
      </c>
      <c r="G173" s="31">
        <v>7.3672753938117841E-2</v>
      </c>
      <c r="H173" s="31">
        <v>0.23018762475801702</v>
      </c>
      <c r="I173" s="31">
        <v>1.267956800518488</v>
      </c>
      <c r="J173" s="31">
        <v>1.2337489508164765</v>
      </c>
      <c r="K173" s="28">
        <v>0</v>
      </c>
    </row>
    <row r="174" spans="1:11">
      <c r="A174" s="7">
        <v>1</v>
      </c>
      <c r="B174" s="25">
        <v>38181</v>
      </c>
      <c r="C174" s="11">
        <v>2004</v>
      </c>
      <c r="D174" s="20" t="s">
        <v>22</v>
      </c>
      <c r="E174" s="11">
        <v>7</v>
      </c>
      <c r="F174" s="30">
        <v>17.849799999999998</v>
      </c>
      <c r="G174" s="31">
        <v>0.10327718647260119</v>
      </c>
      <c r="H174" s="31">
        <v>0</v>
      </c>
      <c r="I174" s="31">
        <v>2.1282170851293927</v>
      </c>
      <c r="J174" s="31">
        <v>1.3332949233854376</v>
      </c>
      <c r="K174" s="28">
        <v>0</v>
      </c>
    </row>
    <row r="175" spans="1:11">
      <c r="A175" s="7">
        <v>17</v>
      </c>
      <c r="B175" s="25">
        <v>38181</v>
      </c>
      <c r="C175" s="11">
        <v>2004</v>
      </c>
      <c r="D175" s="20" t="s">
        <v>22</v>
      </c>
      <c r="E175" s="11">
        <v>7</v>
      </c>
      <c r="F175" s="30">
        <v>17.636199999999999</v>
      </c>
      <c r="G175" s="31">
        <v>0.12484569541061681</v>
      </c>
      <c r="H175" s="31">
        <v>0</v>
      </c>
      <c r="I175" s="31">
        <v>2.1637376391497267</v>
      </c>
      <c r="J175" s="31">
        <v>1.5186453666052768</v>
      </c>
      <c r="K175" s="28">
        <v>0</v>
      </c>
    </row>
    <row r="176" spans="1:11">
      <c r="A176" s="7">
        <v>18</v>
      </c>
      <c r="B176" s="25">
        <v>38181</v>
      </c>
      <c r="C176" s="11">
        <v>2004</v>
      </c>
      <c r="D176" s="20" t="s">
        <v>22</v>
      </c>
      <c r="E176" s="11">
        <v>7</v>
      </c>
      <c r="F176" s="30">
        <v>23.8034</v>
      </c>
      <c r="G176" s="31">
        <v>0.17896759173328067</v>
      </c>
      <c r="H176" s="31">
        <v>0</v>
      </c>
      <c r="I176" s="31">
        <v>2.6685921533960988</v>
      </c>
      <c r="J176" s="31">
        <v>2.1206143029446376</v>
      </c>
      <c r="K176" s="28">
        <v>0</v>
      </c>
    </row>
    <row r="177" spans="1:11">
      <c r="A177" s="7">
        <v>1</v>
      </c>
      <c r="B177" s="25">
        <v>38217</v>
      </c>
      <c r="C177" s="11">
        <v>2004</v>
      </c>
      <c r="D177" s="20" t="s">
        <v>23</v>
      </c>
      <c r="E177" s="11">
        <v>8</v>
      </c>
      <c r="F177" s="30">
        <v>5.3108000000000004</v>
      </c>
      <c r="G177" s="32"/>
      <c r="H177" s="32"/>
      <c r="I177" s="32"/>
      <c r="J177" s="32"/>
      <c r="K177" s="26"/>
    </row>
    <row r="178" spans="1:11">
      <c r="A178" s="7">
        <v>17</v>
      </c>
      <c r="B178" s="25">
        <v>38217</v>
      </c>
      <c r="C178" s="11">
        <v>2004</v>
      </c>
      <c r="D178" s="20" t="s">
        <v>23</v>
      </c>
      <c r="E178" s="11">
        <v>8</v>
      </c>
      <c r="F178" s="30">
        <v>9.3957999999999995</v>
      </c>
      <c r="G178" s="32"/>
      <c r="H178" s="32"/>
      <c r="I178" s="32"/>
      <c r="J178" s="32"/>
      <c r="K178" s="26"/>
    </row>
    <row r="179" spans="1:11">
      <c r="A179" s="7">
        <v>18</v>
      </c>
      <c r="B179" s="25">
        <v>38217</v>
      </c>
      <c r="C179" s="11">
        <v>2004</v>
      </c>
      <c r="D179" s="20" t="s">
        <v>23</v>
      </c>
      <c r="E179" s="11">
        <v>8</v>
      </c>
      <c r="F179" s="30">
        <v>11.3863</v>
      </c>
      <c r="G179" s="32"/>
      <c r="H179" s="32"/>
      <c r="I179" s="32"/>
      <c r="J179" s="32"/>
      <c r="K179" s="26"/>
    </row>
    <row r="180" spans="1:11">
      <c r="A180" s="7">
        <v>1</v>
      </c>
      <c r="B180" s="25">
        <v>38244</v>
      </c>
      <c r="C180" s="11">
        <v>2004</v>
      </c>
      <c r="D180" s="20" t="s">
        <v>24</v>
      </c>
      <c r="E180" s="11">
        <v>9</v>
      </c>
      <c r="F180" s="30">
        <v>12.6221</v>
      </c>
      <c r="G180" s="31">
        <v>2.8385155143239502E-2</v>
      </c>
      <c r="H180" s="31">
        <v>0</v>
      </c>
      <c r="I180" s="31">
        <v>4.2466678666492745</v>
      </c>
      <c r="J180" s="31">
        <v>0.28192225064015186</v>
      </c>
      <c r="K180" s="28">
        <v>0</v>
      </c>
    </row>
    <row r="181" spans="1:11">
      <c r="A181" s="7">
        <v>17</v>
      </c>
      <c r="B181" s="25">
        <v>38244</v>
      </c>
      <c r="C181" s="11">
        <v>2004</v>
      </c>
      <c r="D181" s="20" t="s">
        <v>24</v>
      </c>
      <c r="E181" s="11">
        <v>9</v>
      </c>
      <c r="F181" s="30">
        <v>7.4911000000000003</v>
      </c>
      <c r="G181" s="31">
        <v>4.1118330113070298E-2</v>
      </c>
      <c r="H181" s="31">
        <v>0</v>
      </c>
      <c r="I181" s="31">
        <v>2.8443523089570117</v>
      </c>
      <c r="J181" s="31">
        <v>0.31586262300889834</v>
      </c>
      <c r="K181" s="28">
        <v>0</v>
      </c>
    </row>
    <row r="182" spans="1:11">
      <c r="A182" s="7">
        <v>18</v>
      </c>
      <c r="B182" s="25">
        <v>38244</v>
      </c>
      <c r="C182" s="11">
        <v>2004</v>
      </c>
      <c r="D182" s="20" t="s">
        <v>24</v>
      </c>
      <c r="E182" s="11">
        <v>9</v>
      </c>
      <c r="F182" s="30">
        <v>7.6970999999999998</v>
      </c>
      <c r="G182" s="31">
        <v>1.4058686372391316E-2</v>
      </c>
      <c r="H182" s="31">
        <v>0</v>
      </c>
      <c r="I182" s="31">
        <v>2.6264797441076335</v>
      </c>
      <c r="J182" s="31">
        <v>0.21566404201587061</v>
      </c>
      <c r="K182" s="28">
        <v>0</v>
      </c>
    </row>
    <row r="183" spans="1:11">
      <c r="A183" s="7">
        <v>1</v>
      </c>
      <c r="B183" s="25">
        <v>38272</v>
      </c>
      <c r="C183" s="11">
        <v>2004</v>
      </c>
      <c r="D183" s="20" t="s">
        <v>12</v>
      </c>
      <c r="E183" s="11">
        <v>10</v>
      </c>
      <c r="F183" s="33">
        <v>8.4348100000000006</v>
      </c>
      <c r="G183" s="33">
        <v>3.8623679256134663E-2</v>
      </c>
      <c r="H183" s="33">
        <v>0</v>
      </c>
      <c r="I183" s="33">
        <v>2.2102603639539948</v>
      </c>
      <c r="J183" s="33">
        <v>0.11793478574782618</v>
      </c>
      <c r="K183" s="14">
        <v>0</v>
      </c>
    </row>
    <row r="184" spans="1:11">
      <c r="A184" s="7">
        <v>17</v>
      </c>
      <c r="B184" s="25">
        <v>38272</v>
      </c>
      <c r="C184" s="11">
        <v>2004</v>
      </c>
      <c r="D184" s="20" t="s">
        <v>12</v>
      </c>
      <c r="E184" s="11">
        <v>10</v>
      </c>
      <c r="F184" s="33">
        <v>11.815239999999999</v>
      </c>
      <c r="G184" s="33">
        <v>3.9960941071331663E-2</v>
      </c>
      <c r="H184" s="33">
        <v>0</v>
      </c>
      <c r="I184" s="33">
        <v>3.6649733788077179</v>
      </c>
      <c r="J184" s="33">
        <v>0.12377559661840422</v>
      </c>
      <c r="K184" s="14">
        <v>0</v>
      </c>
    </row>
    <row r="185" spans="1:11">
      <c r="A185" s="7">
        <v>18</v>
      </c>
      <c r="B185" s="25">
        <v>38272</v>
      </c>
      <c r="C185" s="11">
        <v>2004</v>
      </c>
      <c r="D185" s="20" t="s">
        <v>12</v>
      </c>
      <c r="E185" s="11">
        <v>10</v>
      </c>
      <c r="F185" s="33">
        <v>7.4179899999999996</v>
      </c>
      <c r="G185" s="33">
        <v>5.6823488686817102E-2</v>
      </c>
      <c r="H185" s="33">
        <v>0</v>
      </c>
      <c r="I185" s="33">
        <v>2.2137942013240961</v>
      </c>
      <c r="J185" s="33">
        <v>9.5072222707622375E-2</v>
      </c>
      <c r="K185" s="14">
        <v>0</v>
      </c>
    </row>
    <row r="186" spans="1:11">
      <c r="A186" s="7">
        <v>1</v>
      </c>
      <c r="B186" s="25">
        <v>38306</v>
      </c>
      <c r="C186" s="11">
        <v>2004</v>
      </c>
      <c r="D186" s="20" t="s">
        <v>14</v>
      </c>
      <c r="E186" s="11">
        <v>11</v>
      </c>
      <c r="F186" s="33">
        <v>6.2427000000000001</v>
      </c>
      <c r="G186" s="33">
        <v>2.5792125822646481E-2</v>
      </c>
      <c r="H186" s="33">
        <v>0</v>
      </c>
      <c r="I186" s="33">
        <v>1.9589990740219922</v>
      </c>
      <c r="J186" s="33">
        <v>2.4319080009713834E-2</v>
      </c>
      <c r="K186" s="14">
        <v>0</v>
      </c>
    </row>
    <row r="187" spans="1:11">
      <c r="A187" s="7">
        <v>17</v>
      </c>
      <c r="B187" s="25">
        <v>38306</v>
      </c>
      <c r="C187" s="11">
        <v>2004</v>
      </c>
      <c r="D187" s="20" t="s">
        <v>14</v>
      </c>
      <c r="E187" s="11">
        <v>11</v>
      </c>
      <c r="F187" s="33">
        <v>6.3244400000000001</v>
      </c>
      <c r="G187" s="33">
        <v>2.4321698910637134E-2</v>
      </c>
      <c r="H187" s="33">
        <v>0</v>
      </c>
      <c r="I187" s="33">
        <v>2.1777082707999416</v>
      </c>
      <c r="J187" s="33">
        <v>2.2728019694697097E-2</v>
      </c>
      <c r="K187" s="14">
        <v>0</v>
      </c>
    </row>
    <row r="188" spans="1:11">
      <c r="A188" s="7">
        <v>18</v>
      </c>
      <c r="B188" s="25">
        <v>38306</v>
      </c>
      <c r="C188" s="11">
        <v>2004</v>
      </c>
      <c r="D188" s="20" t="s">
        <v>14</v>
      </c>
      <c r="E188" s="11">
        <v>11</v>
      </c>
      <c r="F188" s="33">
        <v>11.340070000000001</v>
      </c>
      <c r="G188" s="33">
        <v>5.548803372171357E-2</v>
      </c>
      <c r="H188" s="33">
        <v>0</v>
      </c>
      <c r="I188" s="33">
        <v>4.1689127704022901</v>
      </c>
      <c r="J188" s="33">
        <v>4.2110162271842305E-2</v>
      </c>
      <c r="K188" s="14">
        <v>0</v>
      </c>
    </row>
    <row r="189" spans="1:11">
      <c r="A189" s="7">
        <v>1</v>
      </c>
      <c r="B189" s="25">
        <v>38335</v>
      </c>
      <c r="C189" s="11">
        <v>2004</v>
      </c>
      <c r="D189" s="20" t="s">
        <v>15</v>
      </c>
      <c r="E189" s="11">
        <v>12</v>
      </c>
      <c r="F189" s="33">
        <v>4.4788899999999998</v>
      </c>
      <c r="G189" s="33">
        <v>9.0031862302589971E-2</v>
      </c>
      <c r="H189" s="33">
        <v>0</v>
      </c>
      <c r="I189" s="33">
        <v>1.3037250280622812</v>
      </c>
      <c r="J189" s="33">
        <v>9.7552531545915481E-3</v>
      </c>
      <c r="K189" s="14">
        <v>0</v>
      </c>
    </row>
    <row r="190" spans="1:11">
      <c r="A190" s="7">
        <v>17</v>
      </c>
      <c r="B190" s="25">
        <v>38335</v>
      </c>
      <c r="C190" s="11">
        <v>2004</v>
      </c>
      <c r="D190" s="20" t="s">
        <v>15</v>
      </c>
      <c r="E190" s="11">
        <v>12</v>
      </c>
      <c r="F190" s="33">
        <v>7.1333799999999998</v>
      </c>
      <c r="G190" s="33">
        <v>6.9098409513271702E-2</v>
      </c>
      <c r="H190" s="33">
        <v>0</v>
      </c>
      <c r="I190" s="33">
        <v>2.6484010026724731</v>
      </c>
      <c r="J190" s="33">
        <v>1.9284967014744789E-2</v>
      </c>
      <c r="K190" s="14">
        <v>0</v>
      </c>
    </row>
    <row r="191" spans="1:11">
      <c r="A191" s="7">
        <v>18</v>
      </c>
      <c r="B191" s="25">
        <v>38335</v>
      </c>
      <c r="C191" s="11">
        <v>2004</v>
      </c>
      <c r="D191" s="20" t="s">
        <v>15</v>
      </c>
      <c r="E191" s="11">
        <v>12</v>
      </c>
      <c r="F191" s="33">
        <v>4.10236</v>
      </c>
      <c r="G191" s="33">
        <v>8.7980728251653012E-2</v>
      </c>
      <c r="H191" s="33">
        <v>0</v>
      </c>
      <c r="I191" s="33">
        <v>1.3082743839531161</v>
      </c>
      <c r="J191" s="33">
        <v>1.1937627218222049E-2</v>
      </c>
      <c r="K191" s="14">
        <v>0</v>
      </c>
    </row>
    <row r="192" spans="1:11">
      <c r="A192" s="15">
        <v>1</v>
      </c>
      <c r="B192" s="34">
        <v>38362</v>
      </c>
      <c r="C192" s="17">
        <v>2005</v>
      </c>
      <c r="D192" s="23" t="s">
        <v>16</v>
      </c>
      <c r="E192" s="17">
        <v>1</v>
      </c>
      <c r="F192" s="33">
        <v>13.15737</v>
      </c>
      <c r="G192" s="33">
        <v>3.942765423739239E-2</v>
      </c>
      <c r="H192" s="33">
        <v>0</v>
      </c>
      <c r="I192" s="33">
        <v>3.9331440400833095</v>
      </c>
      <c r="J192" s="33">
        <v>2.4478702834014134E-2</v>
      </c>
      <c r="K192" s="14">
        <v>0</v>
      </c>
    </row>
    <row r="193" spans="1:11">
      <c r="A193" s="7">
        <v>17</v>
      </c>
      <c r="B193" s="35">
        <v>38362</v>
      </c>
      <c r="C193" s="11">
        <v>2005</v>
      </c>
      <c r="D193" s="20" t="s">
        <v>16</v>
      </c>
      <c r="E193" s="11">
        <v>1</v>
      </c>
      <c r="F193" s="33">
        <v>18.03293</v>
      </c>
      <c r="G193" s="33">
        <v>0.10382198143910661</v>
      </c>
      <c r="H193" s="33">
        <v>0</v>
      </c>
      <c r="I193" s="33">
        <v>7.1476368224923235</v>
      </c>
      <c r="J193" s="33">
        <v>1.7478671686910228E-2</v>
      </c>
      <c r="K193" s="14">
        <v>0</v>
      </c>
    </row>
    <row r="194" spans="1:11">
      <c r="A194" s="7">
        <v>18</v>
      </c>
      <c r="B194" s="35">
        <v>38362</v>
      </c>
      <c r="C194" s="11">
        <v>2005</v>
      </c>
      <c r="D194" s="20" t="s">
        <v>16</v>
      </c>
      <c r="E194" s="11">
        <v>1</v>
      </c>
      <c r="F194" s="33">
        <v>12.540319999999999</v>
      </c>
      <c r="G194" s="33">
        <v>8.7142557070893509E-2</v>
      </c>
      <c r="H194" s="33">
        <v>0</v>
      </c>
      <c r="I194" s="33">
        <v>4.8347613662764255</v>
      </c>
      <c r="J194" s="33">
        <v>1.7519539163208055E-2</v>
      </c>
      <c r="K194" s="14">
        <v>0</v>
      </c>
    </row>
    <row r="195" spans="1:11">
      <c r="A195" s="7">
        <v>1</v>
      </c>
      <c r="B195" s="35">
        <v>38399</v>
      </c>
      <c r="C195" s="11">
        <v>2005</v>
      </c>
      <c r="D195" s="10" t="s">
        <v>17</v>
      </c>
      <c r="E195" s="11">
        <v>2</v>
      </c>
      <c r="F195" s="33">
        <v>3.9836900000000002</v>
      </c>
      <c r="G195" s="33">
        <v>0.17731153488382229</v>
      </c>
      <c r="H195" s="33">
        <v>0</v>
      </c>
      <c r="I195" s="33">
        <v>1.1240888012582275</v>
      </c>
      <c r="J195" s="33">
        <v>2.2348948123955527E-2</v>
      </c>
      <c r="K195" s="14">
        <v>0</v>
      </c>
    </row>
    <row r="196" spans="1:11">
      <c r="A196" s="7">
        <v>17</v>
      </c>
      <c r="B196" s="35">
        <v>38399</v>
      </c>
      <c r="C196" s="11">
        <v>2005</v>
      </c>
      <c r="D196" s="10" t="s">
        <v>17</v>
      </c>
      <c r="E196" s="11">
        <v>2</v>
      </c>
      <c r="F196" s="33">
        <v>3.1263700000000001</v>
      </c>
      <c r="G196" s="33">
        <v>7.0618577698514443E-2</v>
      </c>
      <c r="H196" s="33">
        <v>0</v>
      </c>
      <c r="I196" s="33">
        <v>0.98782078404224183</v>
      </c>
      <c r="J196" s="33">
        <v>2.0277299660653173E-2</v>
      </c>
      <c r="K196" s="14">
        <v>0</v>
      </c>
    </row>
    <row r="197" spans="1:11">
      <c r="A197" s="7">
        <v>18</v>
      </c>
      <c r="B197" s="35">
        <v>38399</v>
      </c>
      <c r="C197" s="11">
        <v>2005</v>
      </c>
      <c r="D197" s="10" t="s">
        <v>17</v>
      </c>
      <c r="E197" s="11">
        <v>2</v>
      </c>
      <c r="F197" s="33">
        <v>2.7012399999999999</v>
      </c>
      <c r="G197" s="33">
        <v>0.11682435578888031</v>
      </c>
      <c r="H197" s="33">
        <v>0</v>
      </c>
      <c r="I197" s="33">
        <v>0.74414334487293265</v>
      </c>
      <c r="J197" s="33">
        <v>2.2351950969689244E-2</v>
      </c>
      <c r="K197" s="14">
        <v>0</v>
      </c>
    </row>
    <row r="198" spans="1:11">
      <c r="A198" s="7">
        <v>1</v>
      </c>
      <c r="B198" s="35">
        <v>38428</v>
      </c>
      <c r="C198" s="11">
        <v>2005</v>
      </c>
      <c r="D198" s="10" t="s">
        <v>18</v>
      </c>
      <c r="E198" s="11">
        <v>3</v>
      </c>
      <c r="F198" s="33">
        <v>1.69722</v>
      </c>
      <c r="G198" s="33">
        <v>0.19161527776995715</v>
      </c>
      <c r="H198" s="33">
        <v>0</v>
      </c>
      <c r="I198" s="33">
        <v>0.31271094940345462</v>
      </c>
      <c r="J198" s="33">
        <v>0</v>
      </c>
      <c r="K198" s="14">
        <v>0</v>
      </c>
    </row>
    <row r="199" spans="1:11">
      <c r="A199" s="7">
        <v>17</v>
      </c>
      <c r="B199" s="35">
        <v>38428</v>
      </c>
      <c r="C199" s="11">
        <v>2005</v>
      </c>
      <c r="D199" s="10" t="s">
        <v>18</v>
      </c>
      <c r="E199" s="11">
        <v>3</v>
      </c>
      <c r="F199" s="33">
        <v>1.8930899999999999</v>
      </c>
      <c r="G199" s="33">
        <v>0.30438104358161089</v>
      </c>
      <c r="H199" s="33">
        <v>0</v>
      </c>
      <c r="I199" s="33">
        <v>0.47636551102085034</v>
      </c>
      <c r="J199" s="33">
        <v>4.4500288135462772E-3</v>
      </c>
      <c r="K199" s="14">
        <v>0</v>
      </c>
    </row>
    <row r="200" spans="1:11">
      <c r="A200" s="7">
        <v>18</v>
      </c>
      <c r="B200" s="35">
        <v>38428</v>
      </c>
      <c r="C200" s="11">
        <v>2005</v>
      </c>
      <c r="D200" s="10" t="s">
        <v>18</v>
      </c>
      <c r="E200" s="11">
        <v>3</v>
      </c>
      <c r="F200" s="33">
        <v>0.67649000000000004</v>
      </c>
      <c r="G200" s="33">
        <v>6.3523600905272093E-2</v>
      </c>
      <c r="H200" s="33">
        <v>0</v>
      </c>
      <c r="I200" s="33">
        <v>0.19095549593552683</v>
      </c>
      <c r="J200" s="33">
        <v>4.1321743148649542E-3</v>
      </c>
      <c r="K200" s="14">
        <v>0</v>
      </c>
    </row>
    <row r="201" spans="1:11">
      <c r="A201" s="7">
        <v>1</v>
      </c>
      <c r="B201" s="35">
        <v>38468</v>
      </c>
      <c r="C201" s="11">
        <v>2005</v>
      </c>
      <c r="D201" s="10" t="s">
        <v>19</v>
      </c>
      <c r="E201" s="11">
        <v>4</v>
      </c>
      <c r="F201" s="33">
        <v>2.1627399999999999</v>
      </c>
      <c r="G201" s="33">
        <v>1.5265617083735689E-2</v>
      </c>
      <c r="H201" s="33">
        <v>4.2270710489593862E-2</v>
      </c>
      <c r="I201" s="33">
        <v>0.78926696478881142</v>
      </c>
      <c r="J201" s="33">
        <v>3.2732812874604479E-2</v>
      </c>
      <c r="K201" s="14">
        <v>0</v>
      </c>
    </row>
    <row r="202" spans="1:11">
      <c r="A202" s="7">
        <v>17</v>
      </c>
      <c r="B202" s="35">
        <v>38468</v>
      </c>
      <c r="C202" s="11">
        <v>2005</v>
      </c>
      <c r="D202" s="10" t="s">
        <v>19</v>
      </c>
      <c r="E202" s="11">
        <v>4</v>
      </c>
      <c r="F202" s="33">
        <v>2.63443</v>
      </c>
      <c r="G202" s="33">
        <v>2.1946541392721685E-2</v>
      </c>
      <c r="H202" s="33">
        <v>4.3141928196414041E-2</v>
      </c>
      <c r="I202" s="33">
        <v>1.0714390296885241</v>
      </c>
      <c r="J202" s="33">
        <v>2.9852623631612337E-2</v>
      </c>
      <c r="K202" s="14">
        <v>0</v>
      </c>
    </row>
    <row r="203" spans="1:11">
      <c r="A203" s="7">
        <v>18</v>
      </c>
      <c r="B203" s="35">
        <v>38468</v>
      </c>
      <c r="C203" s="11">
        <v>2005</v>
      </c>
      <c r="D203" s="10" t="s">
        <v>19</v>
      </c>
      <c r="E203" s="11">
        <v>4</v>
      </c>
      <c r="F203" s="33">
        <v>3.0725799999999999</v>
      </c>
      <c r="G203" s="33">
        <v>1.5100066786806388E-2</v>
      </c>
      <c r="H203" s="33">
        <v>6.2376936714501945E-2</v>
      </c>
      <c r="I203" s="33">
        <v>1.2478810965676568</v>
      </c>
      <c r="J203" s="33">
        <v>4.0970052682279733E-2</v>
      </c>
      <c r="K203" s="14">
        <v>0</v>
      </c>
    </row>
    <row r="204" spans="1:11">
      <c r="A204" s="7">
        <v>1</v>
      </c>
      <c r="B204" s="35">
        <v>38489</v>
      </c>
      <c r="C204" s="11">
        <v>2005</v>
      </c>
      <c r="D204" s="10" t="s">
        <v>20</v>
      </c>
      <c r="E204" s="11">
        <v>5</v>
      </c>
      <c r="F204" s="33">
        <v>0.90088999999999997</v>
      </c>
      <c r="G204" s="33">
        <v>2.2690446850081817E-2</v>
      </c>
      <c r="H204" s="33">
        <v>0</v>
      </c>
      <c r="I204" s="33">
        <v>0.22252003392008535</v>
      </c>
      <c r="J204" s="33">
        <v>8.1722331188550986E-3</v>
      </c>
      <c r="K204" s="14">
        <v>0</v>
      </c>
    </row>
    <row r="205" spans="1:11">
      <c r="A205" s="7">
        <v>17</v>
      </c>
      <c r="B205" s="35">
        <v>38489</v>
      </c>
      <c r="C205" s="11">
        <v>2005</v>
      </c>
      <c r="D205" s="10" t="s">
        <v>20</v>
      </c>
      <c r="E205" s="11">
        <v>5</v>
      </c>
      <c r="F205" s="33">
        <v>0.99877000000000005</v>
      </c>
      <c r="G205" s="33">
        <v>1.9463838431956454E-2</v>
      </c>
      <c r="H205" s="33">
        <v>1.5786149854345111E-2</v>
      </c>
      <c r="I205" s="33">
        <v>0.24022387043009072</v>
      </c>
      <c r="J205" s="33">
        <v>3.5187640491699201E-2</v>
      </c>
      <c r="K205" s="14">
        <v>0</v>
      </c>
    </row>
    <row r="206" spans="1:11">
      <c r="A206" s="7">
        <v>18</v>
      </c>
      <c r="B206" s="35">
        <v>38489</v>
      </c>
      <c r="C206" s="11">
        <v>2005</v>
      </c>
      <c r="D206" s="10" t="s">
        <v>20</v>
      </c>
      <c r="E206" s="11">
        <v>5</v>
      </c>
      <c r="F206" s="33">
        <v>1.58565</v>
      </c>
      <c r="G206" s="33">
        <v>1.2535995246123673E-2</v>
      </c>
      <c r="H206" s="33">
        <v>0.11327981540544728</v>
      </c>
      <c r="I206" s="33">
        <v>0.67969422069058072</v>
      </c>
      <c r="J206" s="33">
        <v>1.4765206889460109E-2</v>
      </c>
      <c r="K206" s="14">
        <v>0</v>
      </c>
    </row>
    <row r="207" spans="1:11">
      <c r="A207" s="7">
        <v>1</v>
      </c>
      <c r="B207" s="35">
        <v>38517</v>
      </c>
      <c r="C207" s="11">
        <v>2005</v>
      </c>
      <c r="D207" s="10" t="s">
        <v>21</v>
      </c>
      <c r="E207" s="11">
        <v>6</v>
      </c>
      <c r="F207" s="33">
        <v>25.623519999999999</v>
      </c>
      <c r="G207" s="33">
        <v>0.50032834909106827</v>
      </c>
      <c r="H207" s="33">
        <v>2.2089836020201981</v>
      </c>
      <c r="I207" s="33">
        <v>7.7061745198636675</v>
      </c>
      <c r="J207" s="33">
        <v>0.76109140239355721</v>
      </c>
      <c r="K207" s="14">
        <v>2.1577396438882523E-2</v>
      </c>
    </row>
    <row r="208" spans="1:11">
      <c r="A208" s="7">
        <v>17</v>
      </c>
      <c r="B208" s="35">
        <v>38517</v>
      </c>
      <c r="C208" s="11">
        <v>2005</v>
      </c>
      <c r="D208" s="10" t="s">
        <v>21</v>
      </c>
      <c r="E208" s="11">
        <v>6</v>
      </c>
      <c r="F208" s="33">
        <v>2.8956300000000001</v>
      </c>
      <c r="G208" s="33">
        <v>0.24531523204428421</v>
      </c>
      <c r="H208" s="33">
        <v>3.4072797683435484E-2</v>
      </c>
      <c r="I208" s="33">
        <v>0.62317432742282886</v>
      </c>
      <c r="J208" s="33">
        <v>4.5431753428739882E-2</v>
      </c>
      <c r="K208" s="14">
        <v>0</v>
      </c>
    </row>
    <row r="209" spans="1:11">
      <c r="A209" s="7">
        <v>18</v>
      </c>
      <c r="B209" s="35">
        <v>38517</v>
      </c>
      <c r="C209" s="11">
        <v>2005</v>
      </c>
      <c r="D209" s="10" t="s">
        <v>21</v>
      </c>
      <c r="E209" s="11">
        <v>6</v>
      </c>
      <c r="F209" s="33">
        <v>37.088990000000003</v>
      </c>
      <c r="G209" s="33">
        <v>0.14406973557243741</v>
      </c>
      <c r="H209" s="33">
        <v>3.3618942970986812</v>
      </c>
      <c r="I209" s="33">
        <v>11.767582959550102</v>
      </c>
      <c r="J209" s="33">
        <v>0.75171062103616748</v>
      </c>
      <c r="K209" s="14">
        <v>3.4340218573243868E-2</v>
      </c>
    </row>
    <row r="210" spans="1:11">
      <c r="A210" s="7">
        <v>1</v>
      </c>
      <c r="B210" s="35">
        <v>38547</v>
      </c>
      <c r="C210" s="11">
        <v>2005</v>
      </c>
      <c r="D210" s="20" t="s">
        <v>22</v>
      </c>
      <c r="E210" s="11">
        <v>7</v>
      </c>
      <c r="F210" s="33">
        <v>11.21527</v>
      </c>
      <c r="G210" s="33">
        <v>0.34182052119754419</v>
      </c>
      <c r="H210" s="33">
        <v>0</v>
      </c>
      <c r="I210" s="33">
        <v>1.5048791884227728</v>
      </c>
      <c r="J210" s="33">
        <v>0.69038174754876269</v>
      </c>
      <c r="K210" s="14">
        <v>0</v>
      </c>
    </row>
    <row r="211" spans="1:11">
      <c r="A211" s="7">
        <v>17</v>
      </c>
      <c r="B211" s="35">
        <v>38547</v>
      </c>
      <c r="C211" s="11">
        <v>2005</v>
      </c>
      <c r="D211" s="20" t="s">
        <v>22</v>
      </c>
      <c r="E211" s="11">
        <v>7</v>
      </c>
      <c r="F211" s="33">
        <v>2.9726900000000001</v>
      </c>
      <c r="G211" s="33">
        <v>0.1069653556683722</v>
      </c>
      <c r="H211" s="33">
        <v>0</v>
      </c>
      <c r="I211" s="33">
        <v>0.77672065141323354</v>
      </c>
      <c r="J211" s="33">
        <v>4.4073939608212133E-2</v>
      </c>
      <c r="K211" s="14">
        <v>0</v>
      </c>
    </row>
    <row r="212" spans="1:11">
      <c r="A212" s="7">
        <v>18</v>
      </c>
      <c r="B212" s="35">
        <v>38547</v>
      </c>
      <c r="C212" s="11">
        <v>2005</v>
      </c>
      <c r="D212" s="20" t="s">
        <v>22</v>
      </c>
      <c r="E212" s="11">
        <v>7</v>
      </c>
      <c r="F212" s="33">
        <v>11.1332</v>
      </c>
      <c r="G212" s="33">
        <v>0.1980363053684735</v>
      </c>
      <c r="H212" s="33">
        <v>0</v>
      </c>
      <c r="I212" s="33">
        <v>1.7295755124923482</v>
      </c>
      <c r="J212" s="33">
        <v>0.8504600092132083</v>
      </c>
      <c r="K212" s="14">
        <v>0</v>
      </c>
    </row>
    <row r="213" spans="1:11">
      <c r="A213" s="7">
        <v>1</v>
      </c>
      <c r="B213" s="35">
        <v>38587</v>
      </c>
      <c r="C213" s="11">
        <v>2005</v>
      </c>
      <c r="D213" s="20" t="s">
        <v>23</v>
      </c>
      <c r="E213" s="11">
        <v>8</v>
      </c>
      <c r="F213" s="33">
        <v>8.1570199999999993</v>
      </c>
      <c r="G213" s="33">
        <v>0.32441203826532772</v>
      </c>
      <c r="H213" s="33">
        <v>4.603649899556881E-2</v>
      </c>
      <c r="I213" s="33">
        <v>1.8376152714099325</v>
      </c>
      <c r="J213" s="33">
        <v>0.35701993203612914</v>
      </c>
      <c r="K213" s="14">
        <v>0</v>
      </c>
    </row>
    <row r="214" spans="1:11">
      <c r="A214" s="7">
        <v>17</v>
      </c>
      <c r="B214" s="35">
        <v>38587</v>
      </c>
      <c r="C214" s="11">
        <v>2005</v>
      </c>
      <c r="D214" s="20" t="s">
        <v>23</v>
      </c>
      <c r="E214" s="11">
        <v>8</v>
      </c>
      <c r="F214" s="33">
        <v>5.8030499999999998</v>
      </c>
      <c r="G214" s="33">
        <v>0.3208824771941996</v>
      </c>
      <c r="H214" s="33">
        <v>4.3064255964993858E-2</v>
      </c>
      <c r="I214" s="33">
        <v>1.7262347368241708</v>
      </c>
      <c r="J214" s="33">
        <v>0.28202812460153071</v>
      </c>
      <c r="K214" s="14">
        <v>0</v>
      </c>
    </row>
    <row r="215" spans="1:11">
      <c r="A215" s="7">
        <v>18</v>
      </c>
      <c r="B215" s="35">
        <v>38587</v>
      </c>
      <c r="C215" s="11">
        <v>2005</v>
      </c>
      <c r="D215" s="20" t="s">
        <v>23</v>
      </c>
      <c r="E215" s="11">
        <v>8</v>
      </c>
      <c r="F215" s="33">
        <v>10.55763</v>
      </c>
      <c r="G215" s="33">
        <v>0.21652931951600438</v>
      </c>
      <c r="H215" s="33">
        <v>5.8959500304213347E-2</v>
      </c>
      <c r="I215" s="33">
        <v>3.0671446934322777</v>
      </c>
      <c r="J215" s="33">
        <v>0.4657155760926181</v>
      </c>
      <c r="K215" s="14">
        <v>0</v>
      </c>
    </row>
    <row r="216" spans="1:11">
      <c r="A216" s="7">
        <v>1</v>
      </c>
      <c r="B216" s="35">
        <v>38608</v>
      </c>
      <c r="C216" s="11">
        <v>2005</v>
      </c>
      <c r="D216" s="20" t="s">
        <v>24</v>
      </c>
      <c r="E216" s="11">
        <v>9</v>
      </c>
      <c r="F216" s="33">
        <v>13.195040000000001</v>
      </c>
      <c r="G216" s="33">
        <v>0.21295731291037179</v>
      </c>
      <c r="H216" s="33">
        <v>0</v>
      </c>
      <c r="I216" s="33">
        <v>1.7095599870543905</v>
      </c>
      <c r="J216" s="33">
        <v>0.12668012066686996</v>
      </c>
      <c r="K216" s="14">
        <v>0</v>
      </c>
    </row>
    <row r="217" spans="1:11">
      <c r="A217" s="7">
        <v>17</v>
      </c>
      <c r="B217" s="35">
        <v>38608</v>
      </c>
      <c r="C217" s="11">
        <v>2005</v>
      </c>
      <c r="D217" s="20" t="s">
        <v>24</v>
      </c>
      <c r="E217" s="11">
        <v>9</v>
      </c>
      <c r="F217" s="33">
        <v>8.3585999999999991</v>
      </c>
      <c r="G217" s="33">
        <v>0.33660669722909453</v>
      </c>
      <c r="H217" s="33">
        <v>2.8124566122548565E-2</v>
      </c>
      <c r="I217" s="33">
        <v>2.3565382160043651</v>
      </c>
      <c r="J217" s="33">
        <v>0.1794301891484118</v>
      </c>
      <c r="K217" s="14">
        <v>0</v>
      </c>
    </row>
    <row r="218" spans="1:11">
      <c r="A218" s="7">
        <v>18</v>
      </c>
      <c r="B218" s="35">
        <v>38608</v>
      </c>
      <c r="C218" s="11">
        <v>2005</v>
      </c>
      <c r="D218" s="20" t="s">
        <v>24</v>
      </c>
      <c r="E218" s="11">
        <v>9</v>
      </c>
      <c r="F218" s="33">
        <v>12.321389999999999</v>
      </c>
      <c r="G218" s="33">
        <v>9.0230615789289953E-2</v>
      </c>
      <c r="H218" s="33">
        <v>3.6120394801067164E-2</v>
      </c>
      <c r="I218" s="33">
        <v>3.1767480408853555</v>
      </c>
      <c r="J218" s="33">
        <v>0.79928005398263124</v>
      </c>
      <c r="K218" s="14">
        <v>0</v>
      </c>
    </row>
    <row r="219" spans="1:11">
      <c r="A219" s="7">
        <v>1</v>
      </c>
      <c r="B219" s="35">
        <v>38638</v>
      </c>
      <c r="C219" s="11">
        <v>2005</v>
      </c>
      <c r="D219" s="20" t="s">
        <v>12</v>
      </c>
      <c r="E219" s="11">
        <v>10</v>
      </c>
      <c r="F219" s="33">
        <v>2.4969000000000001</v>
      </c>
      <c r="G219" s="33">
        <v>3.7400000000000003E-2</v>
      </c>
      <c r="H219" s="33">
        <v>1E-4</v>
      </c>
      <c r="I219" s="33">
        <v>0.63290000000000002</v>
      </c>
      <c r="J219" s="33">
        <v>8.3500000000000005E-2</v>
      </c>
      <c r="K219" s="14">
        <v>1E-4</v>
      </c>
    </row>
    <row r="220" spans="1:11">
      <c r="A220" s="7">
        <v>17</v>
      </c>
      <c r="B220" s="35">
        <v>38638</v>
      </c>
      <c r="C220" s="11">
        <v>2005</v>
      </c>
      <c r="D220" s="20" t="s">
        <v>12</v>
      </c>
      <c r="E220" s="11">
        <v>10</v>
      </c>
      <c r="F220" s="33">
        <v>2.6097000000000001</v>
      </c>
      <c r="G220" s="33">
        <v>3.6200000000000003E-2</v>
      </c>
      <c r="H220" s="33">
        <v>1E-4</v>
      </c>
      <c r="I220" s="33">
        <v>0.84279999999999999</v>
      </c>
      <c r="J220" s="33">
        <v>9.8699999999999996E-2</v>
      </c>
      <c r="K220" s="14">
        <v>1E-4</v>
      </c>
    </row>
    <row r="221" spans="1:11">
      <c r="A221" s="7">
        <v>18</v>
      </c>
      <c r="B221" s="35">
        <v>38637</v>
      </c>
      <c r="C221" s="11">
        <v>2005</v>
      </c>
      <c r="D221" s="20" t="s">
        <v>12</v>
      </c>
      <c r="E221" s="11">
        <v>10</v>
      </c>
      <c r="F221" s="33">
        <v>2.6989999999999998</v>
      </c>
      <c r="G221" s="33">
        <v>1.78E-2</v>
      </c>
      <c r="H221" s="33">
        <v>1E-4</v>
      </c>
      <c r="I221" s="33">
        <v>0.9345</v>
      </c>
      <c r="J221" s="33">
        <v>9.8599999999999993E-2</v>
      </c>
      <c r="K221" s="14">
        <v>1E-4</v>
      </c>
    </row>
    <row r="222" spans="1:11">
      <c r="A222" s="7">
        <v>1</v>
      </c>
      <c r="B222" s="35">
        <v>38671</v>
      </c>
      <c r="C222" s="11">
        <v>2005</v>
      </c>
      <c r="D222" s="20" t="s">
        <v>14</v>
      </c>
      <c r="E222" s="11">
        <v>11</v>
      </c>
      <c r="F222" s="33">
        <v>3.0257000000000001</v>
      </c>
      <c r="G222" s="33">
        <v>2.3199999999999998E-2</v>
      </c>
      <c r="H222" s="33">
        <v>1E-4</v>
      </c>
      <c r="I222" s="33">
        <v>0.49640000000000001</v>
      </c>
      <c r="J222" s="33">
        <v>1.7999999999999999E-2</v>
      </c>
      <c r="K222" s="14">
        <v>1E-4</v>
      </c>
    </row>
    <row r="223" spans="1:11">
      <c r="A223" s="7">
        <v>17</v>
      </c>
      <c r="B223" s="35">
        <v>38671</v>
      </c>
      <c r="C223" s="11">
        <v>2005</v>
      </c>
      <c r="D223" s="20" t="s">
        <v>14</v>
      </c>
      <c r="E223" s="11">
        <v>11</v>
      </c>
      <c r="F223" s="33">
        <v>4.8673999999999999</v>
      </c>
      <c r="G223" s="33">
        <v>1.66E-2</v>
      </c>
      <c r="H223" s="33">
        <v>1E-4</v>
      </c>
      <c r="I223" s="33">
        <v>1.1418999999999999</v>
      </c>
      <c r="J223" s="33">
        <v>3.0599999999999999E-2</v>
      </c>
      <c r="K223" s="14">
        <v>1E-4</v>
      </c>
    </row>
    <row r="224" spans="1:11">
      <c r="A224" s="7">
        <v>18</v>
      </c>
      <c r="B224" s="35">
        <v>38671</v>
      </c>
      <c r="C224" s="11">
        <v>2005</v>
      </c>
      <c r="D224" s="20" t="s">
        <v>14</v>
      </c>
      <c r="E224" s="11">
        <v>11</v>
      </c>
      <c r="F224" s="33">
        <v>4.3554000000000004</v>
      </c>
      <c r="G224" s="33">
        <v>1.3100000000000001E-2</v>
      </c>
      <c r="H224" s="33">
        <v>1E-4</v>
      </c>
      <c r="I224" s="33">
        <v>1.0449999999999999</v>
      </c>
      <c r="J224" s="33">
        <v>2.4500000000000001E-2</v>
      </c>
      <c r="K224" s="14">
        <v>1E-4</v>
      </c>
    </row>
    <row r="225" spans="1:11">
      <c r="A225" s="7">
        <v>1</v>
      </c>
      <c r="B225" s="35">
        <v>38707</v>
      </c>
      <c r="C225" s="11">
        <v>2005</v>
      </c>
      <c r="D225" s="20" t="s">
        <v>15</v>
      </c>
      <c r="E225" s="11">
        <v>12</v>
      </c>
      <c r="F225" s="33">
        <v>8.5779999999999994</v>
      </c>
      <c r="G225" s="33">
        <v>5.0299999999999997E-2</v>
      </c>
      <c r="H225" s="33">
        <v>1E-4</v>
      </c>
      <c r="I225" s="33">
        <v>2.7671000000000001</v>
      </c>
      <c r="J225" s="33">
        <v>1.17E-2</v>
      </c>
      <c r="K225" s="14">
        <v>1E-4</v>
      </c>
    </row>
    <row r="226" spans="1:11">
      <c r="A226" s="7">
        <v>17</v>
      </c>
      <c r="B226" s="35">
        <v>38707</v>
      </c>
      <c r="C226" s="11">
        <v>2005</v>
      </c>
      <c r="D226" s="20" t="s">
        <v>15</v>
      </c>
      <c r="E226" s="11">
        <v>12</v>
      </c>
      <c r="F226" s="33">
        <v>10.2554</v>
      </c>
      <c r="G226" s="33">
        <v>6.0299999999999999E-2</v>
      </c>
      <c r="H226" s="33">
        <v>1E-4</v>
      </c>
      <c r="I226" s="33">
        <v>3.8075000000000001</v>
      </c>
      <c r="J226" s="33">
        <v>1.38E-2</v>
      </c>
      <c r="K226" s="14">
        <v>1E-4</v>
      </c>
    </row>
    <row r="227" spans="1:11">
      <c r="A227" s="7">
        <v>18</v>
      </c>
      <c r="B227" s="35">
        <v>38707</v>
      </c>
      <c r="C227" s="11">
        <v>2005</v>
      </c>
      <c r="D227" s="20" t="s">
        <v>15</v>
      </c>
      <c r="E227" s="11">
        <v>12</v>
      </c>
      <c r="F227" s="33">
        <v>9.8793000000000006</v>
      </c>
      <c r="G227" s="33">
        <v>5.9200000000000003E-2</v>
      </c>
      <c r="H227" s="33">
        <v>1E-4</v>
      </c>
      <c r="I227" s="33">
        <v>3.5575999999999999</v>
      </c>
      <c r="J227" s="33">
        <v>1.34E-2</v>
      </c>
      <c r="K227" s="14">
        <v>1E-4</v>
      </c>
    </row>
    <row r="228" spans="1:11">
      <c r="A228" s="17">
        <v>1</v>
      </c>
      <c r="B228" s="34">
        <v>38734</v>
      </c>
      <c r="C228" s="17">
        <v>2006</v>
      </c>
      <c r="D228" s="18" t="s">
        <v>16</v>
      </c>
      <c r="E228" s="17">
        <v>1</v>
      </c>
      <c r="F228" s="33">
        <v>12.0083</v>
      </c>
      <c r="G228" s="33">
        <v>0.34489999999999998</v>
      </c>
      <c r="H228" s="33">
        <v>1E-4</v>
      </c>
      <c r="I228" s="33">
        <v>3.8887</v>
      </c>
      <c r="J228" s="33">
        <v>1.6299999999999999E-2</v>
      </c>
      <c r="K228" s="14">
        <v>1E-4</v>
      </c>
    </row>
    <row r="229" spans="1:11">
      <c r="A229" s="11">
        <v>17</v>
      </c>
      <c r="B229" s="35">
        <v>38734</v>
      </c>
      <c r="C229" s="11">
        <v>2006</v>
      </c>
      <c r="D229" s="10" t="s">
        <v>16</v>
      </c>
      <c r="E229" s="11">
        <v>1</v>
      </c>
      <c r="F229" s="33">
        <v>22.816099999999999</v>
      </c>
      <c r="G229" s="33">
        <v>0.31990000000000002</v>
      </c>
      <c r="H229" s="33">
        <v>1E-4</v>
      </c>
      <c r="I229" s="33">
        <v>9.0748999999999995</v>
      </c>
      <c r="J229" s="33">
        <v>1.78E-2</v>
      </c>
      <c r="K229" s="14">
        <v>1E-4</v>
      </c>
    </row>
    <row r="230" spans="1:11">
      <c r="A230" s="11">
        <v>18</v>
      </c>
      <c r="B230" s="35">
        <v>38734</v>
      </c>
      <c r="C230" s="11">
        <v>2006</v>
      </c>
      <c r="D230" s="10" t="s">
        <v>16</v>
      </c>
      <c r="E230" s="11">
        <v>1</v>
      </c>
      <c r="F230" s="33">
        <v>12.8908</v>
      </c>
      <c r="G230" s="33">
        <v>0.30020000000000002</v>
      </c>
      <c r="H230" s="33">
        <v>1E-4</v>
      </c>
      <c r="I230" s="33">
        <v>5.0305</v>
      </c>
      <c r="J230" s="33">
        <v>1.9099999999999999E-2</v>
      </c>
      <c r="K230" s="14">
        <v>1E-4</v>
      </c>
    </row>
    <row r="231" spans="1:11">
      <c r="A231" s="11">
        <v>1</v>
      </c>
      <c r="B231" s="35">
        <v>38762</v>
      </c>
      <c r="C231" s="20">
        <v>2006</v>
      </c>
      <c r="D231" s="10" t="s">
        <v>26</v>
      </c>
      <c r="E231" s="20">
        <v>2</v>
      </c>
      <c r="F231" s="33">
        <v>8.3752999999999993</v>
      </c>
      <c r="G231" s="33">
        <v>3.8600000000000002E-2</v>
      </c>
      <c r="H231" s="33">
        <v>1E-4</v>
      </c>
      <c r="I231" s="33">
        <v>2.9098999999999999</v>
      </c>
      <c r="J231" s="33">
        <v>1.8200000000000001E-2</v>
      </c>
      <c r="K231" s="14">
        <v>1E-4</v>
      </c>
    </row>
    <row r="232" spans="1:11">
      <c r="A232" s="11">
        <v>17</v>
      </c>
      <c r="B232" s="35">
        <v>38762</v>
      </c>
      <c r="C232" s="20">
        <v>2006</v>
      </c>
      <c r="D232" s="10" t="s">
        <v>26</v>
      </c>
      <c r="E232" s="20">
        <v>2</v>
      </c>
      <c r="F232" s="33">
        <v>11.706799999999999</v>
      </c>
      <c r="G232" s="33">
        <v>4.2599999999999999E-2</v>
      </c>
      <c r="H232" s="33">
        <v>1E-4</v>
      </c>
      <c r="I232" s="33">
        <v>4.0843999999999996</v>
      </c>
      <c r="J232" s="33">
        <v>3.1699999999999999E-2</v>
      </c>
      <c r="K232" s="14">
        <v>1E-4</v>
      </c>
    </row>
    <row r="233" spans="1:11">
      <c r="A233" s="11">
        <v>18</v>
      </c>
      <c r="B233" s="35">
        <v>38762</v>
      </c>
      <c r="C233" s="20">
        <v>2006</v>
      </c>
      <c r="D233" s="10" t="s">
        <v>26</v>
      </c>
      <c r="E233" s="20">
        <v>2</v>
      </c>
      <c r="F233" s="33">
        <v>9.4814000000000007</v>
      </c>
      <c r="G233" s="33">
        <v>4.6300000000000001E-2</v>
      </c>
      <c r="H233" s="33">
        <v>1E-4</v>
      </c>
      <c r="I233" s="33">
        <v>3.1713</v>
      </c>
      <c r="J233" s="33">
        <v>5.0099999999999999E-2</v>
      </c>
      <c r="K233" s="14">
        <v>1E-4</v>
      </c>
    </row>
    <row r="234" spans="1:11">
      <c r="A234" s="11">
        <v>1</v>
      </c>
      <c r="B234" s="35">
        <v>38789</v>
      </c>
      <c r="C234" s="11">
        <v>2006</v>
      </c>
      <c r="D234" s="10" t="s">
        <v>27</v>
      </c>
      <c r="E234" s="20">
        <v>3</v>
      </c>
      <c r="F234" s="33">
        <v>7.2083000000000004</v>
      </c>
      <c r="G234" s="33">
        <v>1E-4</v>
      </c>
      <c r="H234" s="33">
        <v>4.1700000000000001E-2</v>
      </c>
      <c r="I234" s="33">
        <v>2.6951000000000001</v>
      </c>
      <c r="J234" s="33">
        <v>4.9299999999999997E-2</v>
      </c>
      <c r="K234" s="14">
        <v>1E-4</v>
      </c>
    </row>
    <row r="235" spans="1:11">
      <c r="A235" s="11">
        <v>17</v>
      </c>
      <c r="B235" s="35">
        <v>38789</v>
      </c>
      <c r="C235" s="11">
        <v>2006</v>
      </c>
      <c r="D235" s="10" t="s">
        <v>27</v>
      </c>
      <c r="E235" s="20">
        <v>3</v>
      </c>
      <c r="F235" s="33">
        <v>9.4781999999999993</v>
      </c>
      <c r="G235" s="33">
        <v>1.15E-2</v>
      </c>
      <c r="H235" s="33">
        <v>1E-4</v>
      </c>
      <c r="I235" s="33">
        <v>3.7907999999999999</v>
      </c>
      <c r="J235" s="33">
        <v>2.98E-2</v>
      </c>
      <c r="K235" s="14">
        <v>1E-4</v>
      </c>
    </row>
    <row r="236" spans="1:11">
      <c r="A236" s="11">
        <v>18</v>
      </c>
      <c r="B236" s="35">
        <v>38789</v>
      </c>
      <c r="C236" s="11">
        <v>2006</v>
      </c>
      <c r="D236" s="10" t="s">
        <v>27</v>
      </c>
      <c r="E236" s="20">
        <v>3</v>
      </c>
      <c r="F236" s="33">
        <v>7.7954999999999997</v>
      </c>
      <c r="G236" s="33">
        <v>1.7899999999999999E-2</v>
      </c>
      <c r="H236" s="33">
        <v>8.7800000000000003E-2</v>
      </c>
      <c r="I236" s="33">
        <v>2.9695</v>
      </c>
      <c r="J236" s="33">
        <v>4.2000000000000003E-2</v>
      </c>
      <c r="K236" s="14">
        <v>1E-4</v>
      </c>
    </row>
    <row r="237" spans="1:11">
      <c r="A237" s="11">
        <v>1</v>
      </c>
      <c r="B237" s="8">
        <v>38825</v>
      </c>
      <c r="C237" s="11">
        <v>2006</v>
      </c>
      <c r="D237" s="10" t="s">
        <v>28</v>
      </c>
      <c r="E237" s="11">
        <v>4</v>
      </c>
      <c r="F237" s="33">
        <v>3.9121000000000001</v>
      </c>
      <c r="G237" s="33">
        <v>3.1699999999999999E-2</v>
      </c>
      <c r="H237" s="33">
        <v>4.3400000000000001E-2</v>
      </c>
      <c r="I237" s="33">
        <v>1.1950000000000001</v>
      </c>
      <c r="J237" s="33">
        <v>2.6200000000000001E-2</v>
      </c>
      <c r="K237" s="14">
        <v>1E-4</v>
      </c>
    </row>
    <row r="238" spans="1:11">
      <c r="A238" s="11">
        <v>17</v>
      </c>
      <c r="B238" s="8">
        <v>38825</v>
      </c>
      <c r="C238" s="11">
        <v>2006</v>
      </c>
      <c r="D238" s="10" t="s">
        <v>28</v>
      </c>
      <c r="E238" s="11">
        <v>4</v>
      </c>
      <c r="F238" s="33">
        <v>3.3334000000000001</v>
      </c>
      <c r="G238" s="33">
        <v>2.3300000000000001E-2</v>
      </c>
      <c r="H238" s="33">
        <v>4.4499999999999998E-2</v>
      </c>
      <c r="I238" s="33">
        <v>1.4914000000000001</v>
      </c>
      <c r="J238" s="33">
        <v>2.7300000000000001E-2</v>
      </c>
      <c r="K238" s="14">
        <v>1E-4</v>
      </c>
    </row>
    <row r="239" spans="1:11">
      <c r="A239" s="11">
        <v>18</v>
      </c>
      <c r="B239" s="8">
        <v>38825</v>
      </c>
      <c r="C239" s="11">
        <v>2006</v>
      </c>
      <c r="D239" s="10" t="s">
        <v>28</v>
      </c>
      <c r="E239" s="11">
        <v>4</v>
      </c>
      <c r="F239" s="33">
        <v>2.9319000000000002</v>
      </c>
      <c r="G239" s="33">
        <v>2.01E-2</v>
      </c>
      <c r="H239" s="33">
        <v>3.4799999999999998E-2</v>
      </c>
      <c r="I239" s="33">
        <v>1.3039000000000001</v>
      </c>
      <c r="J239" s="33">
        <v>2.5899999999999999E-2</v>
      </c>
      <c r="K239" s="14">
        <v>1E-4</v>
      </c>
    </row>
    <row r="240" spans="1:11">
      <c r="A240" s="11">
        <v>1</v>
      </c>
      <c r="B240" s="8">
        <v>38852</v>
      </c>
      <c r="C240" s="11">
        <v>2006</v>
      </c>
      <c r="D240" s="10" t="s">
        <v>29</v>
      </c>
      <c r="E240" s="11">
        <v>5</v>
      </c>
      <c r="F240" s="33">
        <v>1.9040999999999999</v>
      </c>
      <c r="G240" s="33">
        <v>4.5600000000000002E-2</v>
      </c>
      <c r="H240" s="33">
        <v>1E-4</v>
      </c>
      <c r="I240" s="33">
        <v>0.2316</v>
      </c>
      <c r="J240" s="33">
        <v>6.7999999999999996E-3</v>
      </c>
      <c r="K240" s="14">
        <v>1E-4</v>
      </c>
    </row>
    <row r="241" spans="1:11">
      <c r="A241" s="11">
        <v>17</v>
      </c>
      <c r="B241" s="8">
        <v>38852</v>
      </c>
      <c r="C241" s="11">
        <v>2006</v>
      </c>
      <c r="D241" s="10" t="s">
        <v>29</v>
      </c>
      <c r="E241" s="11">
        <v>5</v>
      </c>
      <c r="F241" s="33">
        <v>2.7040000000000002</v>
      </c>
      <c r="G241" s="33">
        <v>0.15060000000000001</v>
      </c>
      <c r="H241" s="33">
        <v>1E-4</v>
      </c>
      <c r="I241" s="33">
        <v>0.80420000000000003</v>
      </c>
      <c r="J241" s="33">
        <v>1.7999999999999999E-2</v>
      </c>
      <c r="K241" s="14">
        <v>1E-4</v>
      </c>
    </row>
    <row r="242" spans="1:11">
      <c r="A242" s="11">
        <v>18</v>
      </c>
      <c r="B242" s="8">
        <v>38852</v>
      </c>
      <c r="C242" s="11">
        <v>2006</v>
      </c>
      <c r="D242" s="10" t="s">
        <v>29</v>
      </c>
      <c r="E242" s="11">
        <v>5</v>
      </c>
      <c r="F242" s="33">
        <v>2.0996000000000001</v>
      </c>
      <c r="G242" s="33">
        <v>7.9100000000000004E-2</v>
      </c>
      <c r="H242" s="33">
        <v>1E-4</v>
      </c>
      <c r="I242" s="33">
        <v>0.64019999999999999</v>
      </c>
      <c r="J242" s="33">
        <v>1.6500000000000001E-2</v>
      </c>
      <c r="K242" s="14">
        <v>1E-4</v>
      </c>
    </row>
    <row r="243" spans="1:11">
      <c r="A243" s="11">
        <v>1</v>
      </c>
      <c r="B243" s="8">
        <v>38883</v>
      </c>
      <c r="C243" s="11">
        <v>2006</v>
      </c>
      <c r="D243" s="10" t="s">
        <v>30</v>
      </c>
      <c r="E243" s="11">
        <v>6</v>
      </c>
      <c r="F243" s="33">
        <v>3.3136000000000001</v>
      </c>
      <c r="G243" s="33">
        <v>0.1462</v>
      </c>
      <c r="H243" s="33">
        <v>7.8799999999999995E-2</v>
      </c>
      <c r="I243" s="33">
        <v>0.82899999999999996</v>
      </c>
      <c r="J243" s="33">
        <v>5.6300000000000003E-2</v>
      </c>
      <c r="K243" s="14">
        <v>1E-4</v>
      </c>
    </row>
    <row r="244" spans="1:11">
      <c r="A244" s="11">
        <v>17</v>
      </c>
      <c r="B244" s="8">
        <v>38883</v>
      </c>
      <c r="C244" s="11">
        <v>2006</v>
      </c>
      <c r="D244" s="10" t="s">
        <v>30</v>
      </c>
      <c r="E244" s="11">
        <v>6</v>
      </c>
      <c r="F244" s="33">
        <v>2.2296</v>
      </c>
      <c r="G244" s="33">
        <v>0.47049999999999997</v>
      </c>
      <c r="H244" s="33">
        <v>2.7400000000000001E-2</v>
      </c>
      <c r="I244" s="33">
        <v>0.34399999999999997</v>
      </c>
      <c r="J244" s="33">
        <v>5.3600000000000002E-2</v>
      </c>
      <c r="K244" s="14">
        <v>1E-4</v>
      </c>
    </row>
    <row r="245" spans="1:11">
      <c r="A245" s="11">
        <v>18</v>
      </c>
      <c r="B245" s="8">
        <v>38883</v>
      </c>
      <c r="C245" s="11">
        <v>2006</v>
      </c>
      <c r="D245" s="10" t="s">
        <v>30</v>
      </c>
      <c r="E245" s="11">
        <v>6</v>
      </c>
      <c r="F245" s="33">
        <v>3.6621000000000001</v>
      </c>
      <c r="G245" s="33">
        <v>0.16650000000000001</v>
      </c>
      <c r="H245" s="33">
        <v>0.1757</v>
      </c>
      <c r="I245" s="33">
        <v>1.3217000000000001</v>
      </c>
      <c r="J245" s="33">
        <v>8.9800000000000005E-2</v>
      </c>
      <c r="K245" s="14">
        <v>1E-4</v>
      </c>
    </row>
    <row r="246" spans="1:11">
      <c r="A246" s="11">
        <v>1</v>
      </c>
      <c r="B246" s="8">
        <v>38916</v>
      </c>
      <c r="C246" s="11">
        <v>2006</v>
      </c>
      <c r="D246" s="10" t="s">
        <v>31</v>
      </c>
      <c r="E246" s="11">
        <v>7</v>
      </c>
      <c r="F246" s="33">
        <v>5.5587999999999997</v>
      </c>
      <c r="G246" s="33">
        <v>0.19739999999999999</v>
      </c>
      <c r="H246" s="33">
        <v>1E-4</v>
      </c>
      <c r="I246" s="33">
        <v>1.3371</v>
      </c>
      <c r="J246" s="33">
        <v>8.1500000000000003E-2</v>
      </c>
      <c r="K246" s="14">
        <v>1E-4</v>
      </c>
    </row>
    <row r="247" spans="1:11">
      <c r="A247" s="11">
        <v>17</v>
      </c>
      <c r="B247" s="8">
        <v>38916</v>
      </c>
      <c r="C247" s="11">
        <v>2006</v>
      </c>
      <c r="D247" s="10" t="s">
        <v>31</v>
      </c>
      <c r="E247" s="11">
        <v>7</v>
      </c>
      <c r="F247" s="33">
        <v>6.9451000000000001</v>
      </c>
      <c r="G247" s="33">
        <v>0.59470000000000001</v>
      </c>
      <c r="H247" s="33">
        <v>1E-4</v>
      </c>
      <c r="I247" s="33">
        <v>2.1821000000000002</v>
      </c>
      <c r="J247" s="33">
        <v>0.1298</v>
      </c>
      <c r="K247" s="14">
        <v>1E-4</v>
      </c>
    </row>
    <row r="248" spans="1:11">
      <c r="A248" s="11">
        <v>18</v>
      </c>
      <c r="B248" s="8">
        <v>38916</v>
      </c>
      <c r="C248" s="11">
        <v>2006</v>
      </c>
      <c r="D248" s="10" t="s">
        <v>31</v>
      </c>
      <c r="E248" s="11">
        <v>7</v>
      </c>
      <c r="F248" s="33">
        <v>9.7739999999999991</v>
      </c>
      <c r="G248" s="33">
        <v>4.3999999999999997E-2</v>
      </c>
      <c r="H248" s="33">
        <v>1E-4</v>
      </c>
      <c r="I248" s="33">
        <v>2.0392000000000001</v>
      </c>
      <c r="J248" s="33">
        <v>0.68630000000000002</v>
      </c>
      <c r="K248" s="14">
        <v>1E-4</v>
      </c>
    </row>
    <row r="249" spans="1:11">
      <c r="A249" s="11">
        <v>1</v>
      </c>
      <c r="B249" s="8">
        <v>38953</v>
      </c>
      <c r="C249" s="11">
        <v>2006</v>
      </c>
      <c r="D249" s="10" t="s">
        <v>32</v>
      </c>
      <c r="E249" s="11">
        <v>8</v>
      </c>
      <c r="F249" s="33">
        <v>11.5952</v>
      </c>
      <c r="G249" s="33">
        <v>0.4929</v>
      </c>
      <c r="H249" s="33">
        <v>1E-4</v>
      </c>
      <c r="I249" s="33">
        <v>2.823</v>
      </c>
      <c r="J249" s="33">
        <v>0.1452</v>
      </c>
      <c r="K249" s="14">
        <v>1E-4</v>
      </c>
    </row>
    <row r="250" spans="1:11">
      <c r="A250" s="11">
        <v>17</v>
      </c>
      <c r="B250" s="8">
        <v>38954</v>
      </c>
      <c r="C250" s="11">
        <v>2006</v>
      </c>
      <c r="D250" s="10" t="s">
        <v>32</v>
      </c>
      <c r="E250" s="11">
        <v>8</v>
      </c>
      <c r="F250" s="33">
        <v>10.7164</v>
      </c>
      <c r="G250" s="33">
        <v>0.2114</v>
      </c>
      <c r="H250" s="33">
        <v>1E-4</v>
      </c>
      <c r="I250" s="33">
        <v>3.8163</v>
      </c>
      <c r="J250" s="33">
        <v>0.32969999999999999</v>
      </c>
      <c r="K250" s="14">
        <v>1E-4</v>
      </c>
    </row>
    <row r="251" spans="1:11">
      <c r="A251" s="11">
        <v>18</v>
      </c>
      <c r="B251" s="8">
        <v>38954</v>
      </c>
      <c r="C251" s="11">
        <v>2006</v>
      </c>
      <c r="D251" s="10" t="s">
        <v>32</v>
      </c>
      <c r="E251" s="11">
        <v>8</v>
      </c>
      <c r="F251" s="33">
        <v>13.8744</v>
      </c>
      <c r="G251" s="33">
        <v>0.154</v>
      </c>
      <c r="H251" s="33">
        <v>1E-4</v>
      </c>
      <c r="I251" s="33">
        <v>2.7448000000000001</v>
      </c>
      <c r="J251" s="33">
        <v>1.6313</v>
      </c>
      <c r="K251" s="14">
        <v>1E-4</v>
      </c>
    </row>
    <row r="252" spans="1:11">
      <c r="A252" s="11">
        <v>1</v>
      </c>
      <c r="B252" s="8">
        <v>38972</v>
      </c>
      <c r="C252" s="11">
        <v>2006</v>
      </c>
      <c r="D252" s="10" t="s">
        <v>33</v>
      </c>
      <c r="E252" s="11">
        <v>9</v>
      </c>
      <c r="F252" s="33">
        <v>5.0509000000000004</v>
      </c>
      <c r="G252" s="33">
        <v>4.6800000000000001E-2</v>
      </c>
      <c r="H252" s="33">
        <v>1E-4</v>
      </c>
      <c r="I252" s="33">
        <v>1.3063</v>
      </c>
      <c r="J252" s="33">
        <v>4.07E-2</v>
      </c>
      <c r="K252" s="14">
        <v>1E-4</v>
      </c>
    </row>
    <row r="253" spans="1:11">
      <c r="A253" s="11">
        <v>17</v>
      </c>
      <c r="B253" s="8">
        <v>38972</v>
      </c>
      <c r="C253" s="11">
        <v>2006</v>
      </c>
      <c r="D253" s="10" t="s">
        <v>33</v>
      </c>
      <c r="E253" s="11">
        <v>9</v>
      </c>
      <c r="F253" s="33">
        <v>4.7434000000000003</v>
      </c>
      <c r="G253" s="33">
        <v>3.6600000000000001E-2</v>
      </c>
      <c r="H253" s="33">
        <v>1E-4</v>
      </c>
      <c r="I253" s="33">
        <v>1.7504</v>
      </c>
      <c r="J253" s="33">
        <v>6.83E-2</v>
      </c>
      <c r="K253" s="14">
        <v>1E-4</v>
      </c>
    </row>
    <row r="254" spans="1:11">
      <c r="A254" s="11">
        <v>18</v>
      </c>
      <c r="B254" s="8">
        <v>38972</v>
      </c>
      <c r="C254" s="11">
        <v>2006</v>
      </c>
      <c r="D254" s="10" t="s">
        <v>33</v>
      </c>
      <c r="E254" s="11">
        <v>9</v>
      </c>
      <c r="F254" s="33">
        <v>5.048</v>
      </c>
      <c r="G254" s="33">
        <v>3.2800000000000003E-2</v>
      </c>
      <c r="H254" s="33">
        <v>1E-4</v>
      </c>
      <c r="I254" s="33">
        <v>1.8442000000000001</v>
      </c>
      <c r="J254" s="33">
        <v>7.2599999999999998E-2</v>
      </c>
      <c r="K254" s="14">
        <v>1E-4</v>
      </c>
    </row>
    <row r="255" spans="1:11">
      <c r="A255" s="11">
        <v>1</v>
      </c>
      <c r="B255" s="8">
        <v>39009</v>
      </c>
      <c r="C255" s="11">
        <v>2006</v>
      </c>
      <c r="D255" s="10" t="s">
        <v>34</v>
      </c>
      <c r="E255" s="11">
        <v>10</v>
      </c>
      <c r="F255" s="33">
        <v>2.004</v>
      </c>
      <c r="G255" s="33">
        <v>4.9000000000000002E-2</v>
      </c>
      <c r="H255" s="33">
        <v>9.9989999999999996E-4</v>
      </c>
      <c r="I255" s="33">
        <v>0.32300000000000001</v>
      </c>
      <c r="J255" s="33">
        <v>2.8000000000000001E-2</v>
      </c>
      <c r="K255" s="14">
        <v>9.9989999999999996E-4</v>
      </c>
    </row>
    <row r="256" spans="1:11">
      <c r="A256" s="11">
        <v>17</v>
      </c>
      <c r="B256" s="8">
        <v>39009</v>
      </c>
      <c r="C256" s="11">
        <v>2006</v>
      </c>
      <c r="D256" s="10" t="s">
        <v>34</v>
      </c>
      <c r="E256" s="11">
        <v>10</v>
      </c>
      <c r="F256" s="33">
        <v>3.0640000000000001</v>
      </c>
      <c r="G256" s="33">
        <v>4.5999999999999999E-2</v>
      </c>
      <c r="H256" s="33">
        <v>3.3000000000000002E-2</v>
      </c>
      <c r="I256" s="33">
        <v>0.72</v>
      </c>
      <c r="J256" s="33">
        <v>6.3E-2</v>
      </c>
      <c r="K256" s="14">
        <v>9.9989999999999996E-4</v>
      </c>
    </row>
    <row r="257" spans="1:11">
      <c r="A257" s="11">
        <v>18</v>
      </c>
      <c r="B257" s="8">
        <v>39009</v>
      </c>
      <c r="C257" s="11">
        <v>2006</v>
      </c>
      <c r="D257" s="10" t="s">
        <v>34</v>
      </c>
      <c r="E257" s="11">
        <v>10</v>
      </c>
      <c r="F257" s="33">
        <v>1.5660000000000001</v>
      </c>
      <c r="G257" s="33">
        <v>9.9989999999999996E-4</v>
      </c>
      <c r="H257" s="33">
        <v>9.9989999999999996E-4</v>
      </c>
      <c r="I257" s="33">
        <v>0.42</v>
      </c>
      <c r="J257" s="33">
        <v>3.1E-2</v>
      </c>
      <c r="K257" s="14">
        <v>9.9989999999999996E-4</v>
      </c>
    </row>
    <row r="258" spans="1:11">
      <c r="A258" s="11">
        <v>1</v>
      </c>
      <c r="B258" s="8">
        <v>39035</v>
      </c>
      <c r="C258" s="11">
        <v>2006</v>
      </c>
      <c r="D258" s="10" t="s">
        <v>35</v>
      </c>
      <c r="E258" s="11">
        <v>11</v>
      </c>
      <c r="F258" s="33">
        <v>3.6160000000000001</v>
      </c>
      <c r="G258" s="33">
        <v>0.14099999999999999</v>
      </c>
      <c r="H258" s="33">
        <v>9.9989999999999996E-4</v>
      </c>
      <c r="I258" s="33">
        <v>0.86799999999999999</v>
      </c>
      <c r="J258" s="33">
        <v>2.1000000000000001E-2</v>
      </c>
      <c r="K258" s="14">
        <v>9.9989999999999996E-4</v>
      </c>
    </row>
    <row r="259" spans="1:11">
      <c r="A259" s="11">
        <v>17</v>
      </c>
      <c r="B259" s="8">
        <v>39035</v>
      </c>
      <c r="C259" s="11">
        <v>2006</v>
      </c>
      <c r="D259" s="10" t="s">
        <v>35</v>
      </c>
      <c r="E259" s="11">
        <v>11</v>
      </c>
      <c r="F259" s="33">
        <v>2.468</v>
      </c>
      <c r="G259" s="33">
        <v>5.2999999999999999E-2</v>
      </c>
      <c r="H259" s="33">
        <v>9.9989999999999996E-4</v>
      </c>
      <c r="I259" s="33">
        <v>0.70099999999999996</v>
      </c>
      <c r="J259" s="33">
        <v>2.1000000000000001E-2</v>
      </c>
      <c r="K259" s="14">
        <v>9.9989999999999996E-4</v>
      </c>
    </row>
    <row r="260" spans="1:11">
      <c r="A260" s="11">
        <v>18</v>
      </c>
      <c r="B260" s="8">
        <v>39035</v>
      </c>
      <c r="C260" s="11">
        <v>2006</v>
      </c>
      <c r="D260" s="10" t="s">
        <v>35</v>
      </c>
      <c r="E260" s="11">
        <v>11</v>
      </c>
      <c r="F260" s="33">
        <v>1.903</v>
      </c>
      <c r="G260" s="33">
        <v>3.3000000000000002E-2</v>
      </c>
      <c r="H260" s="33">
        <v>9.9989999999999996E-4</v>
      </c>
      <c r="I260" s="33">
        <v>0.44700000000000001</v>
      </c>
      <c r="J260" s="33">
        <v>2.1999999999999999E-2</v>
      </c>
      <c r="K260" s="14">
        <v>9.9989999999999996E-4</v>
      </c>
    </row>
    <row r="261" spans="1:11">
      <c r="A261" s="11">
        <v>1</v>
      </c>
      <c r="B261" s="35">
        <v>39063</v>
      </c>
      <c r="C261" s="20">
        <v>2006</v>
      </c>
      <c r="D261" s="10" t="s">
        <v>36</v>
      </c>
      <c r="E261" s="20">
        <v>12</v>
      </c>
      <c r="F261" s="33">
        <v>7.6210000000000004</v>
      </c>
      <c r="G261" s="33">
        <v>8.7999999999999995E-2</v>
      </c>
      <c r="H261" s="33">
        <v>9.9989999999999996E-4</v>
      </c>
      <c r="I261" s="33">
        <v>1.921</v>
      </c>
      <c r="J261" s="33">
        <v>9.2999999999999999E-2</v>
      </c>
      <c r="K261" s="14">
        <v>9.9989999999999996E-4</v>
      </c>
    </row>
    <row r="262" spans="1:11">
      <c r="A262" s="11">
        <v>17</v>
      </c>
      <c r="B262" s="35">
        <v>39063</v>
      </c>
      <c r="C262" s="20">
        <v>2006</v>
      </c>
      <c r="D262" s="10" t="s">
        <v>36</v>
      </c>
      <c r="E262" s="20">
        <v>12</v>
      </c>
      <c r="F262" s="33">
        <v>7.7480000000000002</v>
      </c>
      <c r="G262" s="33">
        <v>8.6999999999999994E-2</v>
      </c>
      <c r="H262" s="33">
        <v>9.9989999999999996E-4</v>
      </c>
      <c r="I262" s="33">
        <v>2.9279999999999999</v>
      </c>
      <c r="J262" s="33">
        <v>1.6E-2</v>
      </c>
      <c r="K262" s="14">
        <v>9.9989999999999996E-4</v>
      </c>
    </row>
    <row r="263" spans="1:11">
      <c r="A263" s="11">
        <v>18</v>
      </c>
      <c r="B263" s="35">
        <v>39063</v>
      </c>
      <c r="C263" s="20">
        <v>2006</v>
      </c>
      <c r="D263" s="10" t="s">
        <v>36</v>
      </c>
      <c r="E263" s="20">
        <v>12</v>
      </c>
      <c r="F263" s="33">
        <v>8.1120000000000001</v>
      </c>
      <c r="G263" s="33">
        <v>8.7999999999999995E-2</v>
      </c>
      <c r="H263" s="33">
        <v>9.9989999999999996E-4</v>
      </c>
      <c r="I263" s="33">
        <v>3.1230000000000002</v>
      </c>
      <c r="J263" s="33">
        <v>1.7999999999999999E-2</v>
      </c>
      <c r="K263" s="14">
        <v>9.9989999999999996E-4</v>
      </c>
    </row>
    <row r="264" spans="1:11">
      <c r="A264" s="23">
        <v>1</v>
      </c>
      <c r="B264" s="34">
        <v>39098</v>
      </c>
      <c r="C264" s="23">
        <v>2007</v>
      </c>
      <c r="D264" s="18" t="s">
        <v>37</v>
      </c>
      <c r="E264" s="23">
        <v>1</v>
      </c>
      <c r="F264" s="33">
        <v>10.079000000000001</v>
      </c>
      <c r="G264" s="33">
        <v>0.66100000000000003</v>
      </c>
      <c r="H264" s="33">
        <v>0.153</v>
      </c>
      <c r="I264" s="33">
        <v>3.4620000000000002</v>
      </c>
      <c r="J264" s="33">
        <v>0.105</v>
      </c>
      <c r="K264" s="14">
        <v>9.9989999999999996E-4</v>
      </c>
    </row>
    <row r="265" spans="1:11">
      <c r="A265" s="20">
        <v>17</v>
      </c>
      <c r="B265" s="35">
        <v>39098</v>
      </c>
      <c r="C265" s="20">
        <v>2007</v>
      </c>
      <c r="D265" s="10" t="s">
        <v>37</v>
      </c>
      <c r="E265" s="20">
        <v>1</v>
      </c>
      <c r="F265" s="33">
        <v>9.8000000000000007</v>
      </c>
      <c r="G265" s="33">
        <v>0.57499999999999996</v>
      </c>
      <c r="H265" s="33">
        <v>0.10199999999999999</v>
      </c>
      <c r="I265" s="33">
        <v>3.3410000000000002</v>
      </c>
      <c r="J265" s="33">
        <v>3.5000000000000003E-2</v>
      </c>
      <c r="K265" s="14">
        <v>9.9989999999999996E-4</v>
      </c>
    </row>
    <row r="266" spans="1:11">
      <c r="A266" s="20">
        <v>18</v>
      </c>
      <c r="B266" s="35">
        <v>39098</v>
      </c>
      <c r="C266" s="20">
        <v>2007</v>
      </c>
      <c r="D266" s="10" t="s">
        <v>37</v>
      </c>
      <c r="E266" s="20">
        <v>1</v>
      </c>
      <c r="F266" s="33">
        <v>11.837999999999999</v>
      </c>
      <c r="G266" s="33">
        <v>0.48499999999999999</v>
      </c>
      <c r="H266" s="33">
        <v>0.38100000000000001</v>
      </c>
      <c r="I266" s="33">
        <v>4.8120000000000003</v>
      </c>
      <c r="J266" s="33">
        <v>0.26200000000000001</v>
      </c>
      <c r="K266" s="14">
        <v>9.9989999999999996E-4</v>
      </c>
    </row>
    <row r="267" spans="1:11">
      <c r="A267" s="20">
        <v>1</v>
      </c>
      <c r="B267" s="35">
        <v>39133</v>
      </c>
      <c r="C267" s="20">
        <v>2007</v>
      </c>
      <c r="D267" s="10" t="s">
        <v>26</v>
      </c>
      <c r="E267" s="20">
        <v>2</v>
      </c>
      <c r="F267" s="33">
        <v>6.9550000000000001</v>
      </c>
      <c r="G267" s="33">
        <v>0.04</v>
      </c>
      <c r="H267" s="33">
        <v>9.9989999999999996E-4</v>
      </c>
      <c r="I267" s="33">
        <v>2.4209999999999998</v>
      </c>
      <c r="J267" s="33">
        <v>1.4999999999999999E-2</v>
      </c>
      <c r="K267" s="14">
        <v>9.9989999999999996E-4</v>
      </c>
    </row>
    <row r="268" spans="1:11">
      <c r="A268" s="20">
        <v>17</v>
      </c>
      <c r="B268" s="35">
        <v>39133</v>
      </c>
      <c r="C268" s="20">
        <v>2007</v>
      </c>
      <c r="D268" s="10" t="s">
        <v>26</v>
      </c>
      <c r="E268" s="20">
        <v>2</v>
      </c>
      <c r="F268" s="33">
        <v>11.65</v>
      </c>
      <c r="G268" s="33">
        <v>5.6000000000000001E-2</v>
      </c>
      <c r="H268" s="33">
        <v>8.1000000000000003E-2</v>
      </c>
      <c r="I268" s="33">
        <v>4.6379999999999999</v>
      </c>
      <c r="J268" s="33">
        <v>2.5000000000000001E-2</v>
      </c>
      <c r="K268" s="14">
        <v>9.9989999999999996E-4</v>
      </c>
    </row>
    <row r="269" spans="1:11">
      <c r="A269" s="20">
        <v>18</v>
      </c>
      <c r="B269" s="35">
        <v>39133</v>
      </c>
      <c r="C269" s="20">
        <v>2007</v>
      </c>
      <c r="D269" s="10" t="s">
        <v>26</v>
      </c>
      <c r="E269" s="20">
        <v>2</v>
      </c>
      <c r="F269" s="33">
        <v>6.5869999999999997</v>
      </c>
      <c r="G269" s="33">
        <v>5.0999999999999997E-2</v>
      </c>
      <c r="H269" s="33">
        <v>9.9989999999999996E-4</v>
      </c>
      <c r="I269" s="33">
        <v>2.3820000000000001</v>
      </c>
      <c r="J269" s="33">
        <v>4.1000000000000002E-2</v>
      </c>
      <c r="K269" s="14">
        <v>9.9989999999999996E-4</v>
      </c>
    </row>
    <row r="270" spans="1:11">
      <c r="A270" s="20">
        <v>1</v>
      </c>
      <c r="B270" s="35">
        <v>39154</v>
      </c>
      <c r="C270" s="20">
        <v>2007</v>
      </c>
      <c r="D270" s="10" t="s">
        <v>27</v>
      </c>
      <c r="E270" s="20">
        <v>3</v>
      </c>
      <c r="F270" s="33">
        <v>6.0919999999999996</v>
      </c>
      <c r="G270" s="33">
        <v>7.1999999999999995E-2</v>
      </c>
      <c r="H270" s="33">
        <v>9.9989999999999996E-4</v>
      </c>
      <c r="I270" s="33">
        <v>2.1219999999999999</v>
      </c>
      <c r="J270" s="33">
        <v>3.1E-2</v>
      </c>
      <c r="K270" s="14">
        <v>9.9989999999999996E-4</v>
      </c>
    </row>
    <row r="271" spans="1:11">
      <c r="A271" s="20">
        <v>17</v>
      </c>
      <c r="B271" s="35">
        <v>39154</v>
      </c>
      <c r="C271" s="20">
        <v>2007</v>
      </c>
      <c r="D271" s="10" t="s">
        <v>27</v>
      </c>
      <c r="E271" s="20">
        <v>3</v>
      </c>
      <c r="F271" s="33">
        <v>4.66</v>
      </c>
      <c r="G271" s="33">
        <v>8.6999999999999994E-2</v>
      </c>
      <c r="H271" s="33">
        <v>9.9989999999999996E-4</v>
      </c>
      <c r="I271" s="33">
        <v>1.7569999999999999</v>
      </c>
      <c r="J271" s="33">
        <v>2.4E-2</v>
      </c>
      <c r="K271" s="14">
        <v>9.9989999999999996E-4</v>
      </c>
    </row>
    <row r="272" spans="1:11">
      <c r="A272" s="20">
        <v>18</v>
      </c>
      <c r="B272" s="35">
        <v>39154</v>
      </c>
      <c r="C272" s="20">
        <v>2007</v>
      </c>
      <c r="D272" s="10" t="s">
        <v>27</v>
      </c>
      <c r="E272" s="20">
        <v>3</v>
      </c>
      <c r="F272" s="33">
        <v>3.3759999999999999</v>
      </c>
      <c r="G272" s="33">
        <v>5.6000000000000001E-2</v>
      </c>
      <c r="H272" s="33">
        <v>9.9989999999999992E-3</v>
      </c>
      <c r="I272" s="33">
        <v>1.2669999999999999</v>
      </c>
      <c r="J272" s="33">
        <v>3.9E-2</v>
      </c>
      <c r="K272" s="14">
        <v>9.9989999999999996E-4</v>
      </c>
    </row>
    <row r="273" spans="1:11">
      <c r="A273" s="20">
        <v>1</v>
      </c>
      <c r="B273" s="35">
        <v>39190</v>
      </c>
      <c r="C273" s="20">
        <v>2007</v>
      </c>
      <c r="D273" s="10" t="s">
        <v>28</v>
      </c>
      <c r="E273" s="20">
        <v>4</v>
      </c>
      <c r="F273" s="33">
        <v>4.5389999999999997</v>
      </c>
      <c r="G273" s="33">
        <v>3.1E-2</v>
      </c>
      <c r="H273" s="33">
        <v>9.9989999999999996E-4</v>
      </c>
      <c r="I273" s="33">
        <v>1.772</v>
      </c>
      <c r="J273" s="33">
        <v>1.0999999999999999E-2</v>
      </c>
      <c r="K273" s="14">
        <v>9.9989999999999996E-4</v>
      </c>
    </row>
    <row r="274" spans="1:11">
      <c r="A274" s="20">
        <v>17</v>
      </c>
      <c r="B274" s="35">
        <v>39190</v>
      </c>
      <c r="C274" s="20">
        <v>2007</v>
      </c>
      <c r="D274" s="10" t="s">
        <v>28</v>
      </c>
      <c r="E274" s="20">
        <v>4</v>
      </c>
      <c r="F274" s="33">
        <v>8.1489999999999991</v>
      </c>
      <c r="G274" s="33">
        <v>3.2000000000000001E-2</v>
      </c>
      <c r="H274" s="33">
        <v>9.9989999999999996E-4</v>
      </c>
      <c r="I274" s="33">
        <v>3.5470000000000002</v>
      </c>
      <c r="J274" s="33">
        <v>2.8000000000000001E-2</v>
      </c>
      <c r="K274" s="14">
        <v>9.9989999999999996E-4</v>
      </c>
    </row>
    <row r="275" spans="1:11">
      <c r="A275" s="20">
        <v>18</v>
      </c>
      <c r="B275" s="35">
        <v>39190</v>
      </c>
      <c r="C275" s="20">
        <v>2007</v>
      </c>
      <c r="D275" s="10" t="s">
        <v>28</v>
      </c>
      <c r="E275" s="20">
        <v>4</v>
      </c>
      <c r="F275" s="33">
        <v>8.923</v>
      </c>
      <c r="G275" s="33">
        <v>3.1E-2</v>
      </c>
      <c r="H275" s="33">
        <v>9.9989999999999996E-4</v>
      </c>
      <c r="I275" s="33">
        <v>3.8740000000000001</v>
      </c>
      <c r="J275" s="33">
        <v>2.9000000000000001E-2</v>
      </c>
      <c r="K275" s="14">
        <v>9.9989999999999996E-4</v>
      </c>
    </row>
    <row r="276" spans="1:11">
      <c r="A276" s="20">
        <v>1</v>
      </c>
      <c r="B276" s="35">
        <v>39217</v>
      </c>
      <c r="C276" s="20">
        <v>2007</v>
      </c>
      <c r="D276" s="10" t="s">
        <v>29</v>
      </c>
      <c r="E276" s="20">
        <v>5</v>
      </c>
      <c r="F276" s="33">
        <v>2.2170000000000001</v>
      </c>
      <c r="G276" s="33">
        <v>1.7000000000000001E-2</v>
      </c>
      <c r="H276" s="33">
        <v>9.9989999999999996E-4</v>
      </c>
      <c r="I276" s="33">
        <v>0.60299999999999998</v>
      </c>
      <c r="J276" s="33">
        <v>2.1000000000000001E-2</v>
      </c>
      <c r="K276" s="14">
        <v>9.9989999999999996E-4</v>
      </c>
    </row>
    <row r="277" spans="1:11">
      <c r="A277" s="20">
        <v>17</v>
      </c>
      <c r="B277" s="35">
        <v>39217</v>
      </c>
      <c r="C277" s="20">
        <v>2007</v>
      </c>
      <c r="D277" s="10" t="s">
        <v>29</v>
      </c>
      <c r="E277" s="20">
        <v>5</v>
      </c>
      <c r="F277" s="33">
        <v>4.056</v>
      </c>
      <c r="G277" s="33">
        <v>1.7999999999999999E-2</v>
      </c>
      <c r="H277" s="33">
        <v>0.35199999999999998</v>
      </c>
      <c r="I277" s="33">
        <v>1.5880000000000001</v>
      </c>
      <c r="J277" s="33">
        <v>4.4999999999999998E-2</v>
      </c>
      <c r="K277" s="14">
        <v>9.9989999999999996E-4</v>
      </c>
    </row>
    <row r="278" spans="1:11">
      <c r="A278" s="20">
        <v>18</v>
      </c>
      <c r="B278" s="35">
        <v>39217</v>
      </c>
      <c r="C278" s="20">
        <v>2007</v>
      </c>
      <c r="D278" s="10" t="s">
        <v>29</v>
      </c>
      <c r="E278" s="20">
        <v>5</v>
      </c>
      <c r="F278" s="33">
        <v>4.1340000000000003</v>
      </c>
      <c r="G278" s="33">
        <v>1.6E-2</v>
      </c>
      <c r="H278" s="33">
        <v>0.54700000000000004</v>
      </c>
      <c r="I278" s="33">
        <v>1.52</v>
      </c>
      <c r="J278" s="33">
        <v>4.5999999999999999E-2</v>
      </c>
      <c r="K278" s="14">
        <v>9.9989999999999996E-4</v>
      </c>
    </row>
    <row r="279" spans="1:11">
      <c r="A279" s="20">
        <v>1</v>
      </c>
      <c r="B279" s="35">
        <v>39245</v>
      </c>
      <c r="C279" s="20">
        <v>2007</v>
      </c>
      <c r="D279" s="10" t="s">
        <v>30</v>
      </c>
      <c r="E279" s="20">
        <v>6</v>
      </c>
      <c r="F279" s="33">
        <v>7.1230000000000002</v>
      </c>
      <c r="G279" s="33">
        <v>3.5999999999999997E-2</v>
      </c>
      <c r="H279" s="33">
        <v>0.62</v>
      </c>
      <c r="I279" s="33">
        <v>3.0049999999999999</v>
      </c>
      <c r="J279" s="33">
        <v>0.14199999999999999</v>
      </c>
      <c r="K279" s="14">
        <v>9.9989999999999996E-4</v>
      </c>
    </row>
    <row r="280" spans="1:11">
      <c r="A280" s="20">
        <v>17</v>
      </c>
      <c r="B280" s="35">
        <v>39245</v>
      </c>
      <c r="C280" s="20">
        <v>2007</v>
      </c>
      <c r="D280" s="10" t="s">
        <v>30</v>
      </c>
      <c r="E280" s="20">
        <v>6</v>
      </c>
      <c r="F280" s="33">
        <v>1.95</v>
      </c>
      <c r="G280" s="33">
        <v>1.9E-2</v>
      </c>
      <c r="H280" s="33">
        <v>6.2E-2</v>
      </c>
      <c r="I280" s="33">
        <v>0.44400000000000001</v>
      </c>
      <c r="J280" s="33">
        <v>7.0999999999999994E-2</v>
      </c>
      <c r="K280" s="14">
        <v>9.9989999999999996E-4</v>
      </c>
    </row>
    <row r="281" spans="1:11">
      <c r="A281" s="20">
        <v>18</v>
      </c>
      <c r="B281" s="35">
        <v>39245</v>
      </c>
      <c r="C281" s="20">
        <v>2007</v>
      </c>
      <c r="D281" s="10" t="s">
        <v>30</v>
      </c>
      <c r="E281" s="20">
        <v>6</v>
      </c>
      <c r="F281" s="33">
        <v>5.218</v>
      </c>
      <c r="G281" s="33">
        <v>5.1999999999999998E-2</v>
      </c>
      <c r="H281" s="33">
        <v>0.27</v>
      </c>
      <c r="I281" s="33">
        <v>1.5289999999999999</v>
      </c>
      <c r="J281" s="33">
        <v>0.16</v>
      </c>
      <c r="K281" s="14">
        <v>9.9989999999999996E-4</v>
      </c>
    </row>
    <row r="282" spans="1:11">
      <c r="A282" s="20">
        <v>1</v>
      </c>
      <c r="B282" s="35">
        <v>39280</v>
      </c>
      <c r="C282" s="20">
        <v>2007</v>
      </c>
      <c r="D282" s="10" t="s">
        <v>31</v>
      </c>
      <c r="E282" s="20">
        <v>7</v>
      </c>
      <c r="F282" s="33">
        <v>6.2160000000000002</v>
      </c>
      <c r="G282" s="33">
        <v>0.114</v>
      </c>
      <c r="H282" s="33">
        <v>9.9989999999999996E-4</v>
      </c>
      <c r="I282" s="33">
        <v>1.1100000000000001</v>
      </c>
      <c r="J282" s="33">
        <v>0.39700000000000002</v>
      </c>
      <c r="K282" s="14">
        <v>9.9989999999999996E-4</v>
      </c>
    </row>
    <row r="283" spans="1:11">
      <c r="A283" s="20">
        <v>17</v>
      </c>
      <c r="B283" s="35">
        <v>39280</v>
      </c>
      <c r="C283" s="20">
        <v>2007</v>
      </c>
      <c r="D283" s="10" t="s">
        <v>31</v>
      </c>
      <c r="E283" s="20">
        <v>7</v>
      </c>
      <c r="F283" s="33">
        <v>4.5</v>
      </c>
      <c r="G283" s="33">
        <v>0.10199999999999999</v>
      </c>
      <c r="H283" s="33">
        <v>0.03</v>
      </c>
      <c r="I283" s="33">
        <v>1.339</v>
      </c>
      <c r="J283" s="33">
        <v>0.13300000000000001</v>
      </c>
      <c r="K283" s="14">
        <v>9.9989999999999996E-4</v>
      </c>
    </row>
    <row r="284" spans="1:11">
      <c r="A284" s="20">
        <v>18</v>
      </c>
      <c r="B284" s="35">
        <v>39280</v>
      </c>
      <c r="C284" s="20">
        <v>2007</v>
      </c>
      <c r="D284" s="10" t="s">
        <v>31</v>
      </c>
      <c r="E284" s="20">
        <v>7</v>
      </c>
      <c r="F284" s="33">
        <v>12.505000000000001</v>
      </c>
      <c r="G284" s="33">
        <v>0.17199999999999999</v>
      </c>
      <c r="H284" s="33">
        <v>4.1000000000000002E-2</v>
      </c>
      <c r="I284" s="33">
        <v>1.5169999999999999</v>
      </c>
      <c r="J284" s="33">
        <v>1.522</v>
      </c>
      <c r="K284" s="14">
        <v>9.9989999999999996E-4</v>
      </c>
    </row>
    <row r="285" spans="1:11">
      <c r="A285" s="20">
        <v>1</v>
      </c>
      <c r="B285" s="35">
        <v>39308</v>
      </c>
      <c r="C285" s="20">
        <v>2007</v>
      </c>
      <c r="D285" s="10" t="s">
        <v>32</v>
      </c>
      <c r="E285" s="20">
        <v>8</v>
      </c>
      <c r="F285" s="36">
        <v>12.324999999999999</v>
      </c>
      <c r="G285" s="36">
        <v>0.193</v>
      </c>
      <c r="H285" s="36">
        <v>0.248</v>
      </c>
      <c r="I285" s="36">
        <v>3.7</v>
      </c>
      <c r="J285" s="36">
        <v>0.28899999999999998</v>
      </c>
      <c r="K285" s="14">
        <v>9.9989999999999996E-4</v>
      </c>
    </row>
    <row r="286" spans="1:11">
      <c r="A286" s="20">
        <v>17</v>
      </c>
      <c r="B286" s="35">
        <v>39308</v>
      </c>
      <c r="C286" s="20">
        <v>2007</v>
      </c>
      <c r="D286" s="10" t="s">
        <v>32</v>
      </c>
      <c r="E286" s="20">
        <v>8</v>
      </c>
      <c r="F286" s="14">
        <v>8.4169999999999998</v>
      </c>
      <c r="G286" s="14">
        <v>0.115</v>
      </c>
      <c r="H286" s="14">
        <v>0.214</v>
      </c>
      <c r="I286" s="14">
        <v>2.94</v>
      </c>
      <c r="J286" s="14">
        <v>0.27500000000000002</v>
      </c>
      <c r="K286" s="14">
        <v>9.9989999999999996E-4</v>
      </c>
    </row>
    <row r="287" spans="1:11">
      <c r="A287" s="20">
        <v>18</v>
      </c>
      <c r="B287" s="35">
        <v>39308</v>
      </c>
      <c r="C287" s="20">
        <v>2007</v>
      </c>
      <c r="D287" s="10" t="s">
        <v>32</v>
      </c>
      <c r="E287" s="20">
        <v>8</v>
      </c>
      <c r="F287" s="14">
        <v>8.8680000000000003</v>
      </c>
      <c r="G287" s="14">
        <v>0.126</v>
      </c>
      <c r="H287" s="14">
        <v>0.27900000000000003</v>
      </c>
      <c r="I287" s="14">
        <v>3.2269999999999999</v>
      </c>
      <c r="J287" s="14">
        <v>0.379</v>
      </c>
      <c r="K287" s="14">
        <v>9.9989999999999996E-4</v>
      </c>
    </row>
    <row r="288" spans="1:11">
      <c r="A288" s="20">
        <v>1</v>
      </c>
      <c r="B288" s="35">
        <v>39337</v>
      </c>
      <c r="C288" s="20">
        <v>2007</v>
      </c>
      <c r="D288" s="10" t="s">
        <v>38</v>
      </c>
      <c r="E288" s="20">
        <v>9</v>
      </c>
      <c r="F288" s="14">
        <v>7.3559999999999999</v>
      </c>
      <c r="G288" s="14">
        <v>9.9989999999999996E-4</v>
      </c>
      <c r="H288" s="14">
        <v>9.9989999999999996E-4</v>
      </c>
      <c r="I288" s="14">
        <v>2.109</v>
      </c>
      <c r="J288" s="14">
        <v>0.156</v>
      </c>
      <c r="K288" s="14">
        <v>9.9989999999999996E-4</v>
      </c>
    </row>
    <row r="289" spans="1:11">
      <c r="A289" s="20">
        <v>17</v>
      </c>
      <c r="B289" s="35">
        <v>39337</v>
      </c>
      <c r="C289" s="20">
        <v>2007</v>
      </c>
      <c r="D289" s="10" t="s">
        <v>38</v>
      </c>
      <c r="E289" s="20">
        <v>9</v>
      </c>
      <c r="F289" s="14">
        <v>9.2810000000000006</v>
      </c>
      <c r="G289" s="14">
        <v>9.2999999999999999E-2</v>
      </c>
      <c r="H289" s="14">
        <v>9.9989999999999996E-4</v>
      </c>
      <c r="I289" s="14">
        <v>3.839</v>
      </c>
      <c r="J289" s="14">
        <v>0.115</v>
      </c>
      <c r="K289" s="14">
        <v>9.9989999999999996E-4</v>
      </c>
    </row>
    <row r="290" spans="1:11">
      <c r="A290" s="20">
        <v>18</v>
      </c>
      <c r="B290" s="35">
        <v>39337</v>
      </c>
      <c r="C290" s="20">
        <v>2007</v>
      </c>
      <c r="D290" s="10" t="s">
        <v>38</v>
      </c>
      <c r="E290" s="20">
        <v>9</v>
      </c>
      <c r="F290" s="14">
        <v>9.6649999999999991</v>
      </c>
      <c r="G290" s="14">
        <v>5.2999999999999999E-2</v>
      </c>
      <c r="H290" s="14">
        <v>9.9989999999999996E-4</v>
      </c>
      <c r="I290" s="14">
        <v>2.085</v>
      </c>
      <c r="J290" s="14">
        <v>1.0229999999999999</v>
      </c>
      <c r="K290" s="14">
        <v>9.9989999999999996E-4</v>
      </c>
    </row>
    <row r="291" spans="1:11">
      <c r="A291" s="20">
        <v>1</v>
      </c>
      <c r="B291" s="35">
        <v>39373</v>
      </c>
      <c r="C291" s="20">
        <v>2007</v>
      </c>
      <c r="D291" s="10" t="s">
        <v>34</v>
      </c>
      <c r="E291" s="20">
        <v>10</v>
      </c>
      <c r="F291" s="14">
        <v>5.2960000000000003</v>
      </c>
      <c r="G291" s="14">
        <v>6.4000000000000001E-2</v>
      </c>
      <c r="H291" s="14">
        <v>9.9989999999999996E-4</v>
      </c>
      <c r="I291" s="14">
        <v>1.1499999999999999</v>
      </c>
      <c r="J291" s="14">
        <v>6.8000000000000005E-2</v>
      </c>
      <c r="K291" s="14">
        <v>9.9989999999999996E-4</v>
      </c>
    </row>
    <row r="292" spans="1:11">
      <c r="A292" s="20">
        <v>17</v>
      </c>
      <c r="B292" s="35">
        <v>39373</v>
      </c>
      <c r="C292" s="20">
        <v>2007</v>
      </c>
      <c r="D292" s="10" t="s">
        <v>34</v>
      </c>
      <c r="E292" s="20">
        <v>10</v>
      </c>
      <c r="F292" s="14">
        <v>4.9630000000000001</v>
      </c>
      <c r="G292" s="14">
        <v>4.4999999999999998E-2</v>
      </c>
      <c r="H292" s="14">
        <v>9.9989999999999996E-4</v>
      </c>
      <c r="I292" s="14">
        <v>1.972</v>
      </c>
      <c r="J292" s="14">
        <v>0.1</v>
      </c>
      <c r="K292" s="14">
        <v>9.9989999999999996E-4</v>
      </c>
    </row>
    <row r="293" spans="1:11">
      <c r="A293" s="20">
        <v>18</v>
      </c>
      <c r="B293" s="35">
        <v>39373</v>
      </c>
      <c r="C293" s="20">
        <v>2007</v>
      </c>
      <c r="D293" s="10" t="s">
        <v>34</v>
      </c>
      <c r="E293" s="20">
        <v>10</v>
      </c>
      <c r="F293" s="14">
        <v>2.4740000000000002</v>
      </c>
      <c r="G293" s="14">
        <v>1.2999999999999999E-2</v>
      </c>
      <c r="H293" s="14">
        <v>9.9989999999999996E-4</v>
      </c>
      <c r="I293" s="14">
        <v>0.34</v>
      </c>
      <c r="J293" s="14">
        <v>2.9000000000000001E-2</v>
      </c>
      <c r="K293" s="14">
        <v>9.9989999999999996E-4</v>
      </c>
    </row>
    <row r="294" spans="1:11">
      <c r="A294" s="20">
        <v>1</v>
      </c>
      <c r="B294" s="35">
        <v>39399</v>
      </c>
      <c r="C294" s="20">
        <v>2007</v>
      </c>
      <c r="D294" s="10" t="s">
        <v>35</v>
      </c>
      <c r="E294" s="20">
        <v>11</v>
      </c>
      <c r="F294" s="14">
        <v>2.0920000000000001</v>
      </c>
      <c r="G294" s="14">
        <v>9.9989999999999996E-4</v>
      </c>
      <c r="H294" s="14">
        <v>9.9989999999999996E-4</v>
      </c>
      <c r="I294" s="14">
        <v>0.47799999999999998</v>
      </c>
      <c r="J294" s="14">
        <v>1.0999999999999999E-2</v>
      </c>
      <c r="K294" s="14">
        <v>9.9989999999999996E-4</v>
      </c>
    </row>
    <row r="295" spans="1:11">
      <c r="A295" s="20">
        <v>17</v>
      </c>
      <c r="B295" s="35">
        <v>39399</v>
      </c>
      <c r="C295" s="20">
        <v>2007</v>
      </c>
      <c r="D295" s="10" t="s">
        <v>35</v>
      </c>
      <c r="E295" s="20">
        <v>11</v>
      </c>
      <c r="F295" s="14">
        <v>2.4590000000000001</v>
      </c>
      <c r="G295" s="14">
        <v>1.2999999999999999E-2</v>
      </c>
      <c r="H295" s="14">
        <v>9.9989999999999996E-4</v>
      </c>
      <c r="I295" s="14">
        <v>0.76400000000000001</v>
      </c>
      <c r="J295" s="14">
        <v>1.7999999999999999E-2</v>
      </c>
      <c r="K295" s="14">
        <v>9.9989999999999996E-4</v>
      </c>
    </row>
    <row r="296" spans="1:11">
      <c r="A296" s="20">
        <v>18</v>
      </c>
      <c r="B296" s="35">
        <v>39399</v>
      </c>
      <c r="C296" s="20">
        <v>2007</v>
      </c>
      <c r="D296" s="10" t="s">
        <v>35</v>
      </c>
      <c r="E296" s="20">
        <v>11</v>
      </c>
      <c r="F296" s="14">
        <v>2.4849999999999999</v>
      </c>
      <c r="G296" s="14">
        <v>1.0999999999999999E-2</v>
      </c>
      <c r="H296" s="14">
        <v>9.9989999999999996E-4</v>
      </c>
      <c r="I296" s="14">
        <v>0.751</v>
      </c>
      <c r="J296" s="14">
        <v>1.4E-2</v>
      </c>
      <c r="K296" s="14">
        <v>9.9989999999999996E-4</v>
      </c>
    </row>
    <row r="297" spans="1:11">
      <c r="A297" s="20">
        <v>1</v>
      </c>
      <c r="B297" s="35">
        <v>39427</v>
      </c>
      <c r="C297" s="20">
        <v>2007</v>
      </c>
      <c r="D297" s="10" t="s">
        <v>36</v>
      </c>
      <c r="E297" s="20">
        <v>12</v>
      </c>
      <c r="F297" s="37">
        <v>6.2930000000000001</v>
      </c>
      <c r="G297" s="37">
        <v>9.9000000000000005E-2</v>
      </c>
      <c r="H297" s="37">
        <v>9.9989999999999996E-4</v>
      </c>
      <c r="I297" s="37">
        <v>1.5329999999999999</v>
      </c>
      <c r="J297" s="37">
        <v>7.0000000000000001E-3</v>
      </c>
      <c r="K297" s="37">
        <v>9.9989999999999996E-4</v>
      </c>
    </row>
    <row r="298" spans="1:11">
      <c r="A298" s="20">
        <v>17</v>
      </c>
      <c r="B298" s="35">
        <v>39427</v>
      </c>
      <c r="C298" s="20">
        <v>2007</v>
      </c>
      <c r="D298" s="10" t="s">
        <v>36</v>
      </c>
      <c r="E298" s="20">
        <v>12</v>
      </c>
      <c r="F298" s="14">
        <v>6.3719999999999999</v>
      </c>
      <c r="G298" s="14">
        <v>7.4999999999999997E-2</v>
      </c>
      <c r="H298" s="14">
        <v>9.9989999999999996E-4</v>
      </c>
      <c r="I298" s="14">
        <v>1.835</v>
      </c>
      <c r="J298" s="14">
        <v>7.0000000000000001E-3</v>
      </c>
      <c r="K298" s="14">
        <v>9.9989999999999996E-4</v>
      </c>
    </row>
    <row r="299" spans="1:11">
      <c r="A299" s="20">
        <v>18</v>
      </c>
      <c r="B299" s="35">
        <v>39427</v>
      </c>
      <c r="C299" s="20">
        <v>2007</v>
      </c>
      <c r="D299" s="10" t="s">
        <v>36</v>
      </c>
      <c r="E299" s="20">
        <v>12</v>
      </c>
      <c r="F299" s="14">
        <v>6.3550000000000004</v>
      </c>
      <c r="G299" s="14">
        <v>0.06</v>
      </c>
      <c r="H299" s="14">
        <v>9.9989999999999996E-4</v>
      </c>
      <c r="I299" s="14">
        <v>1.8640000000000001</v>
      </c>
      <c r="J299" s="14">
        <v>7.0000000000000001E-3</v>
      </c>
      <c r="K299" s="14">
        <v>9.9989999999999996E-4</v>
      </c>
    </row>
    <row r="300" spans="1:11">
      <c r="A300" s="23">
        <v>1</v>
      </c>
      <c r="B300" s="34">
        <v>39464</v>
      </c>
      <c r="C300" s="23">
        <v>2008</v>
      </c>
      <c r="D300" s="18" t="s">
        <v>37</v>
      </c>
      <c r="E300" s="23">
        <v>1</v>
      </c>
      <c r="F300" s="37">
        <v>10.82</v>
      </c>
      <c r="G300" s="37">
        <v>6.5000000000000002E-2</v>
      </c>
      <c r="H300" s="37">
        <v>9.9989999999999996E-4</v>
      </c>
      <c r="I300" s="37">
        <v>3.3919999999999999</v>
      </c>
      <c r="J300" s="37">
        <v>2.1000000000000001E-2</v>
      </c>
      <c r="K300" s="37">
        <v>9.9989999999999996E-4</v>
      </c>
    </row>
    <row r="301" spans="1:11">
      <c r="A301" s="20">
        <v>17</v>
      </c>
      <c r="B301" s="35">
        <v>39464</v>
      </c>
      <c r="C301" s="20">
        <v>2008</v>
      </c>
      <c r="D301" s="10" t="s">
        <v>37</v>
      </c>
      <c r="E301" s="20">
        <v>1</v>
      </c>
      <c r="F301" s="37">
        <v>11.284000000000001</v>
      </c>
      <c r="G301" s="37">
        <v>7.3999999999999996E-2</v>
      </c>
      <c r="H301" s="37">
        <v>9.9989999999999996E-4</v>
      </c>
      <c r="I301" s="37">
        <v>4.0199999999999996</v>
      </c>
      <c r="J301" s="37">
        <v>0.01</v>
      </c>
      <c r="K301" s="37">
        <v>9.9989999999999996E-4</v>
      </c>
    </row>
    <row r="302" spans="1:11">
      <c r="A302" s="20">
        <v>18</v>
      </c>
      <c r="B302" s="35">
        <v>39464</v>
      </c>
      <c r="C302" s="20">
        <v>2008</v>
      </c>
      <c r="D302" s="10" t="s">
        <v>37</v>
      </c>
      <c r="E302" s="20">
        <v>1</v>
      </c>
      <c r="F302" s="37">
        <v>9.6980000000000004</v>
      </c>
      <c r="G302" s="37">
        <v>7.3999999999999996E-2</v>
      </c>
      <c r="H302" s="37">
        <v>9.9989999999999996E-4</v>
      </c>
      <c r="I302" s="37">
        <v>3.4489999999999998</v>
      </c>
      <c r="J302" s="37">
        <v>0.01</v>
      </c>
      <c r="K302" s="37">
        <v>9.9989999999999996E-4</v>
      </c>
    </row>
    <row r="303" spans="1:11">
      <c r="A303" s="20">
        <v>1</v>
      </c>
      <c r="B303" s="35">
        <v>39490</v>
      </c>
      <c r="C303" s="20">
        <v>2008</v>
      </c>
      <c r="D303" s="10" t="s">
        <v>26</v>
      </c>
      <c r="E303" s="20">
        <v>2</v>
      </c>
      <c r="F303" s="37">
        <v>4.0990000000000002</v>
      </c>
      <c r="G303" s="37">
        <v>0.1</v>
      </c>
      <c r="H303" s="37">
        <v>7.1999999999999995E-2</v>
      </c>
      <c r="I303" s="37">
        <v>1.024</v>
      </c>
      <c r="J303" s="37">
        <v>0.10199999999999999</v>
      </c>
      <c r="K303" s="37">
        <v>9.9989999999999996E-4</v>
      </c>
    </row>
    <row r="304" spans="1:11">
      <c r="A304" s="20">
        <v>17</v>
      </c>
      <c r="B304" s="35">
        <v>39490</v>
      </c>
      <c r="C304" s="20">
        <v>2008</v>
      </c>
      <c r="D304" s="10" t="s">
        <v>26</v>
      </c>
      <c r="E304" s="20">
        <v>2</v>
      </c>
      <c r="F304" s="37">
        <v>6.9169999999999998</v>
      </c>
      <c r="G304" s="37">
        <v>0.31</v>
      </c>
      <c r="H304" s="37">
        <v>9.9989999999999996E-4</v>
      </c>
      <c r="I304" s="37">
        <v>2.0670000000000002</v>
      </c>
      <c r="J304" s="37">
        <v>8.9999999999999993E-3</v>
      </c>
      <c r="K304" s="37">
        <v>9.9989999999999996E-4</v>
      </c>
    </row>
    <row r="305" spans="1:11">
      <c r="A305" s="20">
        <v>18</v>
      </c>
      <c r="B305" s="35">
        <v>39490</v>
      </c>
      <c r="C305" s="20">
        <v>2008</v>
      </c>
      <c r="D305" s="10" t="s">
        <v>26</v>
      </c>
      <c r="E305" s="20">
        <v>2</v>
      </c>
      <c r="F305" s="37">
        <v>6.4829999999999997</v>
      </c>
      <c r="G305" s="37">
        <v>0.20200000000000001</v>
      </c>
      <c r="H305" s="37">
        <v>9.9989999999999996E-4</v>
      </c>
      <c r="I305" s="37">
        <v>1.1619999999999999</v>
      </c>
      <c r="J305" s="37">
        <v>0.02</v>
      </c>
      <c r="K305" s="37">
        <v>9.9989999999999996E-4</v>
      </c>
    </row>
    <row r="306" spans="1:11">
      <c r="A306" s="20">
        <v>1</v>
      </c>
      <c r="B306" s="35">
        <v>39520</v>
      </c>
      <c r="C306" s="20">
        <v>2008</v>
      </c>
      <c r="D306" s="10" t="s">
        <v>27</v>
      </c>
      <c r="E306" s="20">
        <v>3</v>
      </c>
      <c r="F306" s="38">
        <v>2.4969999999999999</v>
      </c>
      <c r="G306" s="37">
        <v>5.7000000000000002E-2</v>
      </c>
      <c r="H306" s="37">
        <v>9.9989999999999996E-4</v>
      </c>
      <c r="I306" s="37">
        <v>0.872</v>
      </c>
      <c r="J306" s="37">
        <v>1.6E-2</v>
      </c>
      <c r="K306" s="37">
        <v>9.9989999999999996E-4</v>
      </c>
    </row>
    <row r="307" spans="1:11">
      <c r="A307" s="20">
        <v>17</v>
      </c>
      <c r="B307" s="35">
        <v>39520</v>
      </c>
      <c r="C307" s="20">
        <v>2008</v>
      </c>
      <c r="D307" s="10" t="s">
        <v>27</v>
      </c>
      <c r="E307" s="20">
        <v>3</v>
      </c>
      <c r="F307" s="38">
        <v>2.2269999999999999</v>
      </c>
      <c r="G307" s="37">
        <v>6.0999999999999999E-2</v>
      </c>
      <c r="H307" s="37">
        <v>9.9989999999999996E-4</v>
      </c>
      <c r="I307" s="37">
        <v>0.73599999999999999</v>
      </c>
      <c r="J307" s="37">
        <v>2.5000000000000001E-2</v>
      </c>
      <c r="K307" s="37">
        <v>9.9989999999999996E-4</v>
      </c>
    </row>
    <row r="308" spans="1:11">
      <c r="A308" s="20">
        <v>18</v>
      </c>
      <c r="B308" s="35">
        <v>39520</v>
      </c>
      <c r="C308" s="20">
        <v>2008</v>
      </c>
      <c r="D308" s="10" t="s">
        <v>27</v>
      </c>
      <c r="E308" s="20">
        <v>3</v>
      </c>
      <c r="F308" s="38">
        <v>1.371</v>
      </c>
      <c r="G308" s="37">
        <v>3.7999999999999999E-2</v>
      </c>
      <c r="H308" s="37">
        <v>9.9989999999999996E-4</v>
      </c>
      <c r="I308" s="37">
        <v>0.42399999999999999</v>
      </c>
      <c r="J308" s="37">
        <v>0.02</v>
      </c>
      <c r="K308" s="37">
        <v>9.9989999999999996E-4</v>
      </c>
    </row>
    <row r="309" spans="1:11">
      <c r="A309" s="20">
        <v>1</v>
      </c>
      <c r="B309" s="35">
        <v>39553</v>
      </c>
      <c r="C309" s="20">
        <v>2008</v>
      </c>
      <c r="D309" s="10" t="s">
        <v>28</v>
      </c>
      <c r="E309" s="20">
        <v>4</v>
      </c>
      <c r="F309" s="38">
        <v>2.879</v>
      </c>
      <c r="G309" s="37">
        <v>3.2000000000000001E-2</v>
      </c>
      <c r="H309" s="37">
        <v>9.9989999999999996E-4</v>
      </c>
      <c r="I309" s="37">
        <v>0.996</v>
      </c>
      <c r="J309" s="37">
        <v>8.9999999999999993E-3</v>
      </c>
      <c r="K309" s="37">
        <v>9.9989999999999996E-4</v>
      </c>
    </row>
    <row r="310" spans="1:11">
      <c r="A310" s="20">
        <v>17</v>
      </c>
      <c r="B310" s="35">
        <v>39553</v>
      </c>
      <c r="C310" s="20">
        <v>2008</v>
      </c>
      <c r="D310" s="10" t="s">
        <v>28</v>
      </c>
      <c r="E310" s="20">
        <v>4</v>
      </c>
      <c r="F310" s="38">
        <v>2.5830000000000002</v>
      </c>
      <c r="G310" s="37">
        <v>4.1000000000000002E-2</v>
      </c>
      <c r="H310" s="37">
        <v>9.9989999999999996E-4</v>
      </c>
      <c r="I310" s="37">
        <v>0.74199999999999999</v>
      </c>
      <c r="J310" s="37">
        <v>1.2999999999999999E-2</v>
      </c>
      <c r="K310" s="37">
        <v>9.9989999999999996E-4</v>
      </c>
    </row>
    <row r="311" spans="1:11">
      <c r="A311" s="20">
        <v>18</v>
      </c>
      <c r="B311" s="35">
        <v>39553</v>
      </c>
      <c r="C311" s="20">
        <v>2008</v>
      </c>
      <c r="D311" s="10" t="s">
        <v>28</v>
      </c>
      <c r="E311" s="20">
        <v>4</v>
      </c>
      <c r="F311" s="38">
        <v>0.94599999999999995</v>
      </c>
      <c r="G311" s="37">
        <v>9.9989999999999996E-4</v>
      </c>
      <c r="H311" s="37">
        <v>9.9989999999999996E-4</v>
      </c>
      <c r="I311" s="37">
        <v>0.318</v>
      </c>
      <c r="J311" s="37">
        <v>5.0000000000000001E-3</v>
      </c>
      <c r="K311" s="37">
        <v>9.9989999999999996E-4</v>
      </c>
    </row>
    <row r="312" spans="1:11">
      <c r="A312" s="20">
        <v>1</v>
      </c>
      <c r="B312" s="35">
        <v>39582</v>
      </c>
      <c r="C312" s="20">
        <v>2008</v>
      </c>
      <c r="D312" s="10" t="s">
        <v>29</v>
      </c>
      <c r="E312" s="20">
        <v>5</v>
      </c>
      <c r="F312" s="38">
        <v>1.4670000000000001</v>
      </c>
      <c r="G312" s="37">
        <v>3.9E-2</v>
      </c>
      <c r="H312" s="37">
        <v>9.9989999999999996E-4</v>
      </c>
      <c r="I312" s="37">
        <v>0.20699999999999999</v>
      </c>
      <c r="J312" s="37">
        <v>2.1000000000000001E-2</v>
      </c>
      <c r="K312" s="37">
        <v>9.9989999999999996E-4</v>
      </c>
    </row>
    <row r="313" spans="1:11">
      <c r="A313" s="20">
        <v>17</v>
      </c>
      <c r="B313" s="35">
        <v>39582</v>
      </c>
      <c r="C313" s="20">
        <v>2008</v>
      </c>
      <c r="D313" s="10" t="s">
        <v>29</v>
      </c>
      <c r="E313" s="20">
        <v>5</v>
      </c>
      <c r="F313" s="38">
        <v>0.97899999999999998</v>
      </c>
      <c r="G313" s="37">
        <v>3.9E-2</v>
      </c>
      <c r="H313" s="37">
        <v>9.9989999999999996E-4</v>
      </c>
      <c r="I313" s="37">
        <v>0.16400000000000001</v>
      </c>
      <c r="J313" s="37">
        <v>1.2999999999999999E-2</v>
      </c>
      <c r="K313" s="37">
        <v>9.9989999999999996E-4</v>
      </c>
    </row>
    <row r="314" spans="1:11">
      <c r="A314" s="20">
        <v>18</v>
      </c>
      <c r="B314" s="35">
        <v>39582</v>
      </c>
      <c r="C314" s="20">
        <v>2008</v>
      </c>
      <c r="D314" s="10" t="s">
        <v>29</v>
      </c>
      <c r="E314" s="20">
        <v>5</v>
      </c>
      <c r="F314" s="38">
        <v>0.95699999999999996</v>
      </c>
      <c r="G314" s="37">
        <v>4.7E-2</v>
      </c>
      <c r="H314" s="37">
        <v>9.9989999999999996E-4</v>
      </c>
      <c r="I314" s="37">
        <v>0.14499999999999999</v>
      </c>
      <c r="J314" s="37">
        <v>1.4999999999999999E-2</v>
      </c>
      <c r="K314" s="37">
        <v>9.9989999999999996E-4</v>
      </c>
    </row>
    <row r="315" spans="1:11">
      <c r="A315" s="20">
        <v>1</v>
      </c>
      <c r="B315" s="35">
        <v>39616</v>
      </c>
      <c r="C315" s="20">
        <v>2008</v>
      </c>
      <c r="D315" s="10" t="s">
        <v>30</v>
      </c>
      <c r="E315" s="20">
        <v>6</v>
      </c>
      <c r="F315" s="38">
        <v>1.905</v>
      </c>
      <c r="G315" s="37">
        <v>5.5E-2</v>
      </c>
      <c r="H315" s="37">
        <v>9.9989999999999996E-4</v>
      </c>
      <c r="I315" s="37">
        <v>0.24199999999999999</v>
      </c>
      <c r="J315" s="37">
        <v>0.121</v>
      </c>
      <c r="K315" s="37">
        <v>9.9989999999999996E-4</v>
      </c>
    </row>
    <row r="316" spans="1:11">
      <c r="A316" s="20">
        <v>17</v>
      </c>
      <c r="B316" s="35">
        <v>39616</v>
      </c>
      <c r="C316" s="20">
        <v>2008</v>
      </c>
      <c r="D316" s="10" t="s">
        <v>30</v>
      </c>
      <c r="E316" s="20">
        <v>6</v>
      </c>
      <c r="F316" s="38">
        <v>4.1390000000000002</v>
      </c>
      <c r="G316" s="37">
        <v>2.1999999999999999E-2</v>
      </c>
      <c r="H316" s="37">
        <v>9.9989999999999996E-4</v>
      </c>
      <c r="I316" s="37">
        <v>0.53400000000000003</v>
      </c>
      <c r="J316" s="37">
        <v>0.26500000000000001</v>
      </c>
      <c r="K316" s="37">
        <v>9.9989999999999996E-4</v>
      </c>
    </row>
    <row r="317" spans="1:11">
      <c r="A317" s="20">
        <v>18</v>
      </c>
      <c r="B317" s="35">
        <v>39616</v>
      </c>
      <c r="C317" s="20">
        <v>2008</v>
      </c>
      <c r="D317" s="10" t="s">
        <v>30</v>
      </c>
      <c r="E317" s="20">
        <v>6</v>
      </c>
      <c r="F317" s="38">
        <v>9.1959999999999997</v>
      </c>
      <c r="G317" s="37">
        <v>8.1000000000000003E-2</v>
      </c>
      <c r="H317" s="37">
        <v>9.9989999999999996E-4</v>
      </c>
      <c r="I317" s="37">
        <v>0.95499999999999996</v>
      </c>
      <c r="J317" s="37">
        <v>0.60099999999999998</v>
      </c>
      <c r="K317" s="37">
        <v>9.9989999999999996E-4</v>
      </c>
    </row>
    <row r="318" spans="1:11">
      <c r="A318" s="20">
        <v>1</v>
      </c>
      <c r="B318" s="35">
        <v>39644</v>
      </c>
      <c r="C318" s="20">
        <v>2008</v>
      </c>
      <c r="D318" s="10" t="s">
        <v>31</v>
      </c>
      <c r="E318" s="20">
        <v>7</v>
      </c>
      <c r="F318" s="38">
        <v>4.8609999999999998</v>
      </c>
      <c r="G318" s="37">
        <v>0.16900000000000001</v>
      </c>
      <c r="H318" s="37">
        <v>6.0999999999999999E-2</v>
      </c>
      <c r="I318" s="37">
        <v>0.93200000000000005</v>
      </c>
      <c r="J318" s="37">
        <v>0.125</v>
      </c>
      <c r="K318" s="37">
        <v>9.9989999999999996E-4</v>
      </c>
    </row>
    <row r="319" spans="1:11">
      <c r="A319" s="20">
        <v>17</v>
      </c>
      <c r="B319" s="35">
        <v>39644</v>
      </c>
      <c r="C319" s="20">
        <v>2008</v>
      </c>
      <c r="D319" s="10" t="s">
        <v>31</v>
      </c>
      <c r="E319" s="20">
        <v>7</v>
      </c>
      <c r="F319" s="38">
        <v>2.1339999999999999</v>
      </c>
      <c r="G319" s="37">
        <v>4.3999999999999997E-2</v>
      </c>
      <c r="H319" s="37">
        <v>9.9989999999999996E-4</v>
      </c>
      <c r="I319" s="37">
        <v>0.48599999999999999</v>
      </c>
      <c r="J319" s="37">
        <v>0.11899999999999999</v>
      </c>
      <c r="K319" s="37">
        <v>9.9989999999999996E-4</v>
      </c>
    </row>
    <row r="320" spans="1:11">
      <c r="A320" s="20">
        <v>18</v>
      </c>
      <c r="B320" s="35">
        <v>39644</v>
      </c>
      <c r="C320" s="20">
        <v>2008</v>
      </c>
      <c r="D320" s="10" t="s">
        <v>31</v>
      </c>
      <c r="E320" s="20">
        <v>7</v>
      </c>
      <c r="F320" s="38">
        <v>5.0199999999999996</v>
      </c>
      <c r="G320" s="37">
        <v>8.5000000000000006E-2</v>
      </c>
      <c r="H320" s="37">
        <v>9.9989999999999996E-4</v>
      </c>
      <c r="I320" s="37">
        <v>0.71599999999999997</v>
      </c>
      <c r="J320" s="37">
        <v>0.34100000000000003</v>
      </c>
      <c r="K320" s="37">
        <v>9.9989999999999996E-4</v>
      </c>
    </row>
    <row r="321" spans="1:11">
      <c r="A321" s="20">
        <v>1</v>
      </c>
      <c r="B321" s="35">
        <v>39673</v>
      </c>
      <c r="C321" s="20">
        <v>2008</v>
      </c>
      <c r="D321" s="10" t="s">
        <v>32</v>
      </c>
      <c r="E321" s="20">
        <v>8</v>
      </c>
      <c r="F321" s="38">
        <v>14.098000000000001</v>
      </c>
      <c r="G321" s="37">
        <v>0.67300000000000004</v>
      </c>
      <c r="H321" s="37">
        <v>0.29199999999999998</v>
      </c>
      <c r="I321" s="37">
        <v>4.3109999999999999</v>
      </c>
      <c r="J321" s="37">
        <v>0.22800000000000001</v>
      </c>
      <c r="K321" s="37">
        <v>9.9989999999999996E-4</v>
      </c>
    </row>
    <row r="322" spans="1:11">
      <c r="A322" s="20">
        <v>17</v>
      </c>
      <c r="B322" s="35">
        <v>39673</v>
      </c>
      <c r="C322" s="20">
        <v>2008</v>
      </c>
      <c r="D322" s="10" t="s">
        <v>32</v>
      </c>
      <c r="E322" s="20">
        <v>8</v>
      </c>
      <c r="F322" s="38">
        <v>6.3710000000000004</v>
      </c>
      <c r="G322" s="37">
        <v>0.53700000000000003</v>
      </c>
      <c r="H322" s="37">
        <v>9.9989999999999996E-4</v>
      </c>
      <c r="I322" s="37">
        <v>1.6850000000000001</v>
      </c>
      <c r="J322" s="37">
        <v>0.19700000000000001</v>
      </c>
      <c r="K322" s="37">
        <v>9.9989999999999996E-4</v>
      </c>
    </row>
    <row r="323" spans="1:11">
      <c r="A323" s="20">
        <v>18</v>
      </c>
      <c r="B323" s="35">
        <v>39673</v>
      </c>
      <c r="C323" s="20">
        <v>2008</v>
      </c>
      <c r="D323" s="10" t="s">
        <v>32</v>
      </c>
      <c r="E323" s="20">
        <v>8</v>
      </c>
      <c r="F323" s="38">
        <v>4.1369999999999996</v>
      </c>
      <c r="G323" s="37">
        <v>0.17</v>
      </c>
      <c r="H323" s="37">
        <v>9.9989999999999996E-4</v>
      </c>
      <c r="I323" s="37">
        <v>0.875</v>
      </c>
      <c r="J323" s="37">
        <v>0.17299999999999999</v>
      </c>
      <c r="K323" s="37">
        <v>9.9989999999999996E-4</v>
      </c>
    </row>
    <row r="324" spans="1:11">
      <c r="A324" s="20">
        <v>1</v>
      </c>
      <c r="B324" s="35">
        <v>39708</v>
      </c>
      <c r="C324" s="20">
        <v>2008</v>
      </c>
      <c r="D324" s="10" t="s">
        <v>38</v>
      </c>
      <c r="E324" s="20">
        <v>9</v>
      </c>
      <c r="F324" s="37">
        <v>16.370999999999999</v>
      </c>
      <c r="G324" s="37">
        <v>0.13100000000000001</v>
      </c>
      <c r="H324" s="37">
        <v>0.53300000000000003</v>
      </c>
      <c r="I324" s="37">
        <v>6.4340000000000002</v>
      </c>
      <c r="J324" s="37">
        <v>0.39400000000000002</v>
      </c>
      <c r="K324" s="37">
        <v>9.9989999999999996E-4</v>
      </c>
    </row>
    <row r="325" spans="1:11">
      <c r="A325" s="20">
        <v>17</v>
      </c>
      <c r="B325" s="35">
        <v>39708</v>
      </c>
      <c r="C325" s="20">
        <v>2008</v>
      </c>
      <c r="D325" s="10" t="s">
        <v>38</v>
      </c>
      <c r="E325" s="20">
        <v>9</v>
      </c>
      <c r="F325" s="37">
        <v>12.108000000000001</v>
      </c>
      <c r="G325" s="37">
        <v>0.08</v>
      </c>
      <c r="H325" s="37">
        <v>0.23799999999999999</v>
      </c>
      <c r="I325" s="37">
        <v>5.0359999999999996</v>
      </c>
      <c r="J325" s="37">
        <v>0.315</v>
      </c>
      <c r="K325" s="37">
        <v>9.9989999999999996E-4</v>
      </c>
    </row>
    <row r="326" spans="1:11">
      <c r="A326" s="20">
        <v>18</v>
      </c>
      <c r="B326" s="35">
        <v>39708</v>
      </c>
      <c r="C326" s="20">
        <v>2008</v>
      </c>
      <c r="D326" s="10" t="s">
        <v>38</v>
      </c>
      <c r="E326" s="20">
        <v>9</v>
      </c>
      <c r="F326" s="37">
        <v>6.8410000000000002</v>
      </c>
      <c r="G326" s="37">
        <v>2.5999999999999999E-2</v>
      </c>
      <c r="H326" s="37">
        <v>0.192</v>
      </c>
      <c r="I326" s="37">
        <v>2.7589999999999999</v>
      </c>
      <c r="J326" s="37">
        <v>0.20300000000000001</v>
      </c>
      <c r="K326" s="37">
        <v>9.9989999999999996E-4</v>
      </c>
    </row>
    <row r="327" spans="1:11">
      <c r="A327" s="20">
        <v>1</v>
      </c>
      <c r="B327" s="35">
        <v>39737</v>
      </c>
      <c r="C327" s="20">
        <v>2008</v>
      </c>
      <c r="D327" s="10" t="s">
        <v>34</v>
      </c>
      <c r="E327" s="20">
        <v>10</v>
      </c>
      <c r="F327" s="37">
        <v>5.7</v>
      </c>
      <c r="G327" s="37">
        <v>0.108</v>
      </c>
      <c r="H327" s="37">
        <v>4.1000000000000002E-2</v>
      </c>
      <c r="I327" s="37">
        <v>1.399</v>
      </c>
      <c r="J327" s="37">
        <v>2.9000000000000001E-2</v>
      </c>
      <c r="K327" s="37">
        <v>3.7999999999999999E-2</v>
      </c>
    </row>
    <row r="328" spans="1:11">
      <c r="A328" s="20">
        <v>17</v>
      </c>
      <c r="B328" s="35">
        <v>39737</v>
      </c>
      <c r="C328" s="20">
        <v>2008</v>
      </c>
      <c r="D328" s="10" t="s">
        <v>34</v>
      </c>
      <c r="E328" s="20">
        <v>10</v>
      </c>
      <c r="F328" s="37">
        <v>7.4290000000000003</v>
      </c>
      <c r="G328" s="37">
        <v>7.4999999999999997E-2</v>
      </c>
      <c r="H328" s="37">
        <v>0.20100000000000001</v>
      </c>
      <c r="I328" s="37">
        <v>2.0089999999999999</v>
      </c>
      <c r="J328" s="37">
        <v>3.5999999999999997E-2</v>
      </c>
      <c r="K328" s="37">
        <v>0.19600000000000001</v>
      </c>
    </row>
    <row r="329" spans="1:11">
      <c r="A329" s="20">
        <v>18</v>
      </c>
      <c r="B329" s="35">
        <v>39737</v>
      </c>
      <c r="C329" s="20">
        <v>2008</v>
      </c>
      <c r="D329" s="10" t="s">
        <v>34</v>
      </c>
      <c r="E329" s="20">
        <v>10</v>
      </c>
      <c r="F329" s="37">
        <v>6.2220000000000004</v>
      </c>
      <c r="G329" s="37">
        <v>7.6999999999999999E-2</v>
      </c>
      <c r="H329" s="37">
        <v>0.14499999999999999</v>
      </c>
      <c r="I329" s="37">
        <v>1.8109999999999999</v>
      </c>
      <c r="J329" s="37">
        <v>4.2000000000000003E-2</v>
      </c>
      <c r="K329" s="37">
        <v>0.153</v>
      </c>
    </row>
    <row r="330" spans="1:11">
      <c r="A330" s="20">
        <v>1</v>
      </c>
      <c r="B330" s="35">
        <v>39763</v>
      </c>
      <c r="C330" s="20">
        <v>2008</v>
      </c>
      <c r="D330" s="10" t="s">
        <v>35</v>
      </c>
      <c r="E330" s="20">
        <v>11</v>
      </c>
      <c r="F330" s="37">
        <v>2.1070000000000002</v>
      </c>
      <c r="G330" s="37">
        <v>9.9989999999999996E-4</v>
      </c>
      <c r="H330" s="37">
        <v>9.9989999999999996E-4</v>
      </c>
      <c r="I330" s="37">
        <v>0.55500000000000005</v>
      </c>
      <c r="J330" s="37">
        <v>1.7999999999999999E-2</v>
      </c>
      <c r="K330" s="37">
        <v>9.9989999999999996E-4</v>
      </c>
    </row>
    <row r="331" spans="1:11">
      <c r="A331" s="20">
        <v>17</v>
      </c>
      <c r="B331" s="35">
        <v>39763</v>
      </c>
      <c r="C331" s="20">
        <v>2008</v>
      </c>
      <c r="D331" s="10" t="s">
        <v>35</v>
      </c>
      <c r="E331" s="20">
        <v>11</v>
      </c>
      <c r="F331" s="37">
        <v>2.181</v>
      </c>
      <c r="G331" s="37">
        <v>1.4E-2</v>
      </c>
      <c r="H331" s="37">
        <v>9.9989999999999996E-4</v>
      </c>
      <c r="I331" s="37">
        <v>0.65200000000000002</v>
      </c>
      <c r="J331" s="37">
        <v>1.4E-2</v>
      </c>
      <c r="K331" s="37">
        <v>9.9989999999999996E-4</v>
      </c>
    </row>
    <row r="332" spans="1:11">
      <c r="A332" s="20">
        <v>18</v>
      </c>
      <c r="B332" s="35">
        <v>39763</v>
      </c>
      <c r="C332" s="20">
        <v>2008</v>
      </c>
      <c r="D332" s="10" t="s">
        <v>35</v>
      </c>
      <c r="E332" s="20">
        <v>11</v>
      </c>
      <c r="F332" s="37">
        <v>0.64800000000000002</v>
      </c>
      <c r="G332" s="37">
        <v>9.9989999999999996E-4</v>
      </c>
      <c r="H332" s="37">
        <v>9.9989999999999996E-4</v>
      </c>
      <c r="I332" s="37">
        <v>0.109</v>
      </c>
      <c r="J332" s="37">
        <v>5.0000000000000001E-3</v>
      </c>
      <c r="K332" s="37">
        <v>9.9989999999999996E-4</v>
      </c>
    </row>
    <row r="333" spans="1:11">
      <c r="A333" s="20">
        <v>1</v>
      </c>
      <c r="B333" s="35">
        <v>39799</v>
      </c>
      <c r="C333" s="20">
        <v>2008</v>
      </c>
      <c r="D333" s="10" t="s">
        <v>36</v>
      </c>
      <c r="E333" s="20">
        <v>12</v>
      </c>
      <c r="F333" s="37">
        <v>6.3</v>
      </c>
      <c r="G333" s="37">
        <v>6.5000000000000002E-2</v>
      </c>
      <c r="H333" s="37">
        <v>9.9989999999999996E-4</v>
      </c>
      <c r="I333" s="37">
        <v>2.1619999999999999</v>
      </c>
      <c r="J333" s="37">
        <v>1.6E-2</v>
      </c>
      <c r="K333" s="37">
        <v>9.9989999999999996E-4</v>
      </c>
    </row>
    <row r="334" spans="1:11">
      <c r="A334" s="20">
        <v>17</v>
      </c>
      <c r="B334" s="35">
        <v>39799</v>
      </c>
      <c r="C334" s="20">
        <v>2008</v>
      </c>
      <c r="D334" s="10" t="s">
        <v>36</v>
      </c>
      <c r="E334" s="20">
        <v>12</v>
      </c>
      <c r="F334" s="37">
        <v>10.686</v>
      </c>
      <c r="G334" s="37">
        <v>5.8000000000000003E-2</v>
      </c>
      <c r="H334" s="37">
        <v>9.9989999999999996E-4</v>
      </c>
      <c r="I334" s="37">
        <v>4.12</v>
      </c>
      <c r="J334" s="37">
        <v>2.4E-2</v>
      </c>
      <c r="K334" s="37">
        <v>9.9989999999999996E-4</v>
      </c>
    </row>
    <row r="335" spans="1:11">
      <c r="A335" s="20">
        <v>18</v>
      </c>
      <c r="B335" s="35">
        <v>39799</v>
      </c>
      <c r="C335" s="20">
        <v>2008</v>
      </c>
      <c r="D335" s="10" t="s">
        <v>36</v>
      </c>
      <c r="E335" s="20">
        <v>12</v>
      </c>
      <c r="F335" s="37">
        <v>9.7789999999999999</v>
      </c>
      <c r="G335" s="37">
        <v>6.4000000000000001E-2</v>
      </c>
      <c r="H335" s="37">
        <v>9.9989999999999996E-4</v>
      </c>
      <c r="I335" s="37">
        <v>3.7090000000000001</v>
      </c>
      <c r="J335" s="37">
        <v>2.1000000000000001E-2</v>
      </c>
      <c r="K335" s="37">
        <v>9.9989999999999996E-4</v>
      </c>
    </row>
    <row r="336" spans="1:11">
      <c r="A336" s="23">
        <v>1</v>
      </c>
      <c r="B336" s="34">
        <v>39825</v>
      </c>
      <c r="C336" s="23">
        <v>2009</v>
      </c>
      <c r="D336" s="18" t="s">
        <v>37</v>
      </c>
      <c r="E336" s="17">
        <v>1</v>
      </c>
      <c r="F336" s="37">
        <v>8.7940000000000005</v>
      </c>
      <c r="G336" s="37">
        <v>7.8E-2</v>
      </c>
      <c r="H336" s="37">
        <v>0.02</v>
      </c>
      <c r="I336" s="37">
        <v>3.4260000000000002</v>
      </c>
      <c r="J336" s="37">
        <v>1.7999999999999999E-2</v>
      </c>
      <c r="K336" s="37">
        <v>9.9989999999999996E-4</v>
      </c>
    </row>
    <row r="337" spans="1:11">
      <c r="A337" s="20">
        <v>17</v>
      </c>
      <c r="B337" s="35">
        <v>39825</v>
      </c>
      <c r="C337" s="20">
        <v>2009</v>
      </c>
      <c r="D337" s="10" t="s">
        <v>37</v>
      </c>
      <c r="E337" s="11">
        <v>1</v>
      </c>
      <c r="F337" s="37">
        <v>15.558999999999999</v>
      </c>
      <c r="G337" s="37">
        <v>0.114</v>
      </c>
      <c r="H337" s="37">
        <v>9.9989999999999996E-4</v>
      </c>
      <c r="I337" s="37">
        <v>6.4569999999999999</v>
      </c>
      <c r="J337" s="37">
        <v>2.4E-2</v>
      </c>
      <c r="K337" s="37">
        <v>9.9989999999999996E-4</v>
      </c>
    </row>
    <row r="338" spans="1:11">
      <c r="A338" s="20">
        <v>18</v>
      </c>
      <c r="B338" s="35">
        <v>39825</v>
      </c>
      <c r="C338" s="20">
        <v>2009</v>
      </c>
      <c r="D338" s="10" t="s">
        <v>37</v>
      </c>
      <c r="E338" s="11">
        <v>1</v>
      </c>
      <c r="F338" s="37">
        <v>14.285</v>
      </c>
      <c r="G338" s="37">
        <v>0.112</v>
      </c>
      <c r="H338" s="37">
        <v>9.9989999999999996E-4</v>
      </c>
      <c r="I338" s="37">
        <v>5.8940000000000001</v>
      </c>
      <c r="J338" s="37">
        <v>2.3E-2</v>
      </c>
      <c r="K338" s="37">
        <v>9.9989999999999996E-4</v>
      </c>
    </row>
    <row r="339" spans="1:11">
      <c r="A339" s="11">
        <v>1</v>
      </c>
      <c r="B339" s="35">
        <v>39854</v>
      </c>
      <c r="C339" s="20">
        <v>2009</v>
      </c>
      <c r="D339" s="10" t="s">
        <v>26</v>
      </c>
      <c r="E339" s="11">
        <v>2</v>
      </c>
      <c r="F339" s="37">
        <v>11.236000000000001</v>
      </c>
      <c r="G339" s="39">
        <v>1E-3</v>
      </c>
      <c r="H339" s="39">
        <v>1E-3</v>
      </c>
      <c r="I339" s="39">
        <v>3.7229999999999999</v>
      </c>
      <c r="J339" s="39">
        <v>4.2999999999999997E-2</v>
      </c>
      <c r="K339" s="39">
        <v>9.9989999999999996E-4</v>
      </c>
    </row>
    <row r="340" spans="1:11">
      <c r="A340" s="11">
        <v>17</v>
      </c>
      <c r="B340" s="35">
        <v>39854</v>
      </c>
      <c r="C340" s="20">
        <v>2009</v>
      </c>
      <c r="D340" s="10" t="s">
        <v>26</v>
      </c>
      <c r="E340" s="11">
        <v>2</v>
      </c>
      <c r="F340" s="37">
        <v>9.3689999999999998</v>
      </c>
      <c r="G340" s="37">
        <v>2.7E-2</v>
      </c>
      <c r="H340" s="37">
        <v>1E-3</v>
      </c>
      <c r="I340" s="37">
        <v>4.3250000000000002</v>
      </c>
      <c r="J340" s="37">
        <v>3.2000000000000001E-2</v>
      </c>
      <c r="K340" s="37">
        <v>9.9989999999999996E-4</v>
      </c>
    </row>
    <row r="341" spans="1:11">
      <c r="A341" s="11">
        <v>18</v>
      </c>
      <c r="B341" s="35">
        <v>39854</v>
      </c>
      <c r="C341" s="20">
        <v>2009</v>
      </c>
      <c r="D341" s="10" t="s">
        <v>26</v>
      </c>
      <c r="E341" s="11">
        <v>2</v>
      </c>
      <c r="F341" s="37">
        <v>7.8920000000000003</v>
      </c>
      <c r="G341" s="37">
        <v>3.5000000000000003E-2</v>
      </c>
      <c r="H341" s="37">
        <v>1E-3</v>
      </c>
      <c r="I341" s="37">
        <v>3.5409999999999999</v>
      </c>
      <c r="J341" s="37">
        <v>3.5000000000000003E-2</v>
      </c>
      <c r="K341" s="37">
        <v>9.9989999999999996E-4</v>
      </c>
    </row>
    <row r="342" spans="1:11">
      <c r="A342" s="11">
        <v>1</v>
      </c>
      <c r="B342" s="35">
        <v>39890</v>
      </c>
      <c r="C342" s="20">
        <v>2009</v>
      </c>
      <c r="D342" s="10" t="s">
        <v>27</v>
      </c>
      <c r="E342" s="11">
        <v>3</v>
      </c>
      <c r="F342" s="37">
        <v>5.31</v>
      </c>
      <c r="G342" s="39">
        <v>1.6E-2</v>
      </c>
      <c r="H342" s="39">
        <v>1E-3</v>
      </c>
      <c r="I342" s="39">
        <v>1.546</v>
      </c>
      <c r="J342" s="39">
        <v>1.7000000000000001E-2</v>
      </c>
      <c r="K342" s="39">
        <v>9.9989999999999996E-4</v>
      </c>
    </row>
    <row r="343" spans="1:11">
      <c r="A343" s="11">
        <v>17</v>
      </c>
      <c r="B343" s="35">
        <v>39890</v>
      </c>
      <c r="C343" s="20">
        <v>2009</v>
      </c>
      <c r="D343" s="10" t="s">
        <v>27</v>
      </c>
      <c r="E343" s="11">
        <v>3</v>
      </c>
      <c r="F343" s="37">
        <v>6.157</v>
      </c>
      <c r="G343" s="39">
        <v>2.1000000000000001E-2</v>
      </c>
      <c r="H343" s="39">
        <v>1E-3</v>
      </c>
      <c r="I343" s="39">
        <v>2.8130000000000002</v>
      </c>
      <c r="J343" s="39">
        <v>1.7999999999999999E-2</v>
      </c>
      <c r="K343" s="39">
        <v>9.9989999999999996E-4</v>
      </c>
    </row>
    <row r="344" spans="1:11">
      <c r="A344" s="11">
        <v>18</v>
      </c>
      <c r="B344" s="35">
        <v>39890</v>
      </c>
      <c r="C344" s="20">
        <v>2009</v>
      </c>
      <c r="D344" s="10" t="s">
        <v>27</v>
      </c>
      <c r="E344" s="11">
        <v>3</v>
      </c>
      <c r="F344" s="37">
        <v>4.3600000000000003</v>
      </c>
      <c r="G344" s="39">
        <v>1.7999999999999999E-2</v>
      </c>
      <c r="H344" s="39">
        <v>1E-3</v>
      </c>
      <c r="I344" s="39">
        <v>1.9259999999999999</v>
      </c>
      <c r="J344" s="39">
        <v>2.4E-2</v>
      </c>
      <c r="K344" s="39">
        <v>9.9989999999999996E-4</v>
      </c>
    </row>
    <row r="345" spans="1:11">
      <c r="A345" s="11">
        <v>1</v>
      </c>
      <c r="B345" s="35">
        <v>39920</v>
      </c>
      <c r="C345" s="20">
        <v>2009</v>
      </c>
      <c r="D345" s="10" t="s">
        <v>28</v>
      </c>
      <c r="E345" s="11">
        <v>4</v>
      </c>
      <c r="F345" s="37">
        <v>2.0979999999999999</v>
      </c>
      <c r="G345" s="39">
        <v>1.0999999999999999E-2</v>
      </c>
      <c r="H345" s="39">
        <v>1E-3</v>
      </c>
      <c r="I345" s="39">
        <v>0.77600000000000002</v>
      </c>
      <c r="J345" s="39">
        <v>1.2999999999999999E-2</v>
      </c>
      <c r="K345" s="39">
        <v>9.9989999999999996E-4</v>
      </c>
    </row>
    <row r="346" spans="1:11">
      <c r="A346" s="11">
        <v>17</v>
      </c>
      <c r="B346" s="35">
        <v>39920</v>
      </c>
      <c r="C346" s="20">
        <v>2009</v>
      </c>
      <c r="D346" s="10" t="s">
        <v>28</v>
      </c>
      <c r="E346" s="11">
        <v>4</v>
      </c>
      <c r="F346" s="37">
        <v>5.343</v>
      </c>
      <c r="G346" s="39">
        <v>2.1000000000000001E-2</v>
      </c>
      <c r="H346" s="39">
        <v>1E-3</v>
      </c>
      <c r="I346" s="39">
        <v>2.2450000000000001</v>
      </c>
      <c r="J346" s="39">
        <v>1.9E-2</v>
      </c>
      <c r="K346" s="39">
        <v>9.9989999999999996E-4</v>
      </c>
    </row>
    <row r="347" spans="1:11">
      <c r="A347" s="11">
        <v>18</v>
      </c>
      <c r="B347" s="35">
        <v>39920</v>
      </c>
      <c r="C347" s="20">
        <v>2009</v>
      </c>
      <c r="D347" s="10" t="s">
        <v>28</v>
      </c>
      <c r="E347" s="11">
        <v>4</v>
      </c>
      <c r="F347" s="37">
        <v>2.637</v>
      </c>
      <c r="G347" s="39">
        <v>1.6E-2</v>
      </c>
      <c r="H347" s="39">
        <v>1E-3</v>
      </c>
      <c r="I347" s="39">
        <v>1.0529999999999999</v>
      </c>
      <c r="J347" s="39">
        <v>1.9E-2</v>
      </c>
      <c r="K347" s="39">
        <v>9.9989999999999996E-4</v>
      </c>
    </row>
    <row r="348" spans="1:11">
      <c r="A348" s="11">
        <v>1</v>
      </c>
      <c r="B348" s="35">
        <v>39945</v>
      </c>
      <c r="C348" s="20">
        <v>2009</v>
      </c>
      <c r="D348" s="10" t="s">
        <v>29</v>
      </c>
      <c r="E348" s="11">
        <v>5</v>
      </c>
      <c r="F348" s="37">
        <v>1.427</v>
      </c>
      <c r="G348" s="39">
        <v>9.9989999999999996E-4</v>
      </c>
      <c r="H348" s="39">
        <v>9.9989999999999996E-4</v>
      </c>
      <c r="I348" s="39">
        <v>0.34100000000000003</v>
      </c>
      <c r="J348" s="39">
        <v>8.9999999999999993E-3</v>
      </c>
      <c r="K348" s="39">
        <v>9.9989999999999996E-4</v>
      </c>
    </row>
    <row r="349" spans="1:11">
      <c r="A349" s="11">
        <v>17</v>
      </c>
      <c r="B349" s="35">
        <v>39945</v>
      </c>
      <c r="C349" s="20">
        <v>2009</v>
      </c>
      <c r="D349" s="10" t="s">
        <v>29</v>
      </c>
      <c r="E349" s="11">
        <v>5</v>
      </c>
      <c r="F349" s="37">
        <v>2.4870000000000001</v>
      </c>
      <c r="G349" s="39">
        <v>3.5000000000000003E-2</v>
      </c>
      <c r="H349" s="39">
        <v>1E-3</v>
      </c>
      <c r="I349" s="39">
        <v>0.88500000000000001</v>
      </c>
      <c r="J349" s="39">
        <v>1.2999999999999999E-2</v>
      </c>
      <c r="K349" s="39">
        <v>9.9989999999999996E-4</v>
      </c>
    </row>
    <row r="350" spans="1:11">
      <c r="A350" s="11">
        <v>18</v>
      </c>
      <c r="B350" s="35">
        <v>39945</v>
      </c>
      <c r="C350" s="20">
        <v>2009</v>
      </c>
      <c r="D350" s="10" t="s">
        <v>29</v>
      </c>
      <c r="E350" s="11">
        <v>5</v>
      </c>
      <c r="F350" s="37">
        <v>0.58299999999999996</v>
      </c>
      <c r="G350" s="39">
        <v>9.9989999999999996E-4</v>
      </c>
      <c r="H350" s="39">
        <v>9.9989999999999996E-4</v>
      </c>
      <c r="I350" s="39">
        <v>9.4E-2</v>
      </c>
      <c r="J350" s="39">
        <v>4.0000000000000001E-3</v>
      </c>
      <c r="K350" s="39">
        <v>9.9989999999999996E-4</v>
      </c>
    </row>
    <row r="351" spans="1:11">
      <c r="A351" s="20">
        <v>1</v>
      </c>
      <c r="B351" s="35">
        <v>39980</v>
      </c>
      <c r="C351" s="20">
        <v>2009</v>
      </c>
      <c r="D351" s="10" t="s">
        <v>30</v>
      </c>
      <c r="E351" s="11">
        <v>6</v>
      </c>
      <c r="F351" s="37">
        <v>3.859</v>
      </c>
      <c r="G351" s="39">
        <v>5.3999999999999999E-2</v>
      </c>
      <c r="H351" s="39">
        <v>1E-3</v>
      </c>
      <c r="I351" s="39">
        <v>0.80900000000000005</v>
      </c>
      <c r="J351" s="39">
        <v>4.3999999999999997E-2</v>
      </c>
      <c r="K351" s="39">
        <v>9.9989999999999996E-4</v>
      </c>
    </row>
    <row r="352" spans="1:11">
      <c r="A352" s="20">
        <v>17</v>
      </c>
      <c r="B352" s="35">
        <v>39980</v>
      </c>
      <c r="C352" s="20">
        <v>2009</v>
      </c>
      <c r="D352" s="10" t="s">
        <v>30</v>
      </c>
      <c r="E352" s="11">
        <v>6</v>
      </c>
      <c r="F352" s="37">
        <v>2.5499999999999998</v>
      </c>
      <c r="G352" s="39">
        <v>0.13400000000000001</v>
      </c>
      <c r="H352" s="39">
        <v>4.4999999999999998E-2</v>
      </c>
      <c r="I352" s="39">
        <v>0.65</v>
      </c>
      <c r="J352" s="39">
        <v>4.7E-2</v>
      </c>
      <c r="K352" s="39">
        <v>9.9989999999999996E-4</v>
      </c>
    </row>
    <row r="353" spans="1:11">
      <c r="A353" s="20">
        <v>18</v>
      </c>
      <c r="B353" s="35">
        <v>39980</v>
      </c>
      <c r="C353" s="20">
        <v>2009</v>
      </c>
      <c r="D353" s="10" t="s">
        <v>30</v>
      </c>
      <c r="E353" s="11">
        <v>6</v>
      </c>
      <c r="F353" s="37">
        <v>1.454</v>
      </c>
      <c r="G353" s="39">
        <v>2.5999999999999999E-2</v>
      </c>
      <c r="H353" s="39">
        <v>1E-3</v>
      </c>
      <c r="I353" s="39">
        <v>0.29599999999999999</v>
      </c>
      <c r="J353" s="39">
        <v>2.1000000000000001E-2</v>
      </c>
      <c r="K353" s="39">
        <v>9.9989999999999996E-4</v>
      </c>
    </row>
    <row r="354" spans="1:11">
      <c r="A354" s="20">
        <v>1</v>
      </c>
      <c r="B354" s="35">
        <v>40009</v>
      </c>
      <c r="C354" s="20">
        <v>2009</v>
      </c>
      <c r="D354" s="10" t="s">
        <v>31</v>
      </c>
      <c r="E354" s="11">
        <v>7</v>
      </c>
      <c r="F354" s="37">
        <v>6.5910000000000002</v>
      </c>
      <c r="G354" s="39">
        <v>0.27300000000000002</v>
      </c>
      <c r="H354" s="39">
        <v>1E-3</v>
      </c>
      <c r="I354" s="39">
        <v>0.89400000000000002</v>
      </c>
      <c r="J354" s="39">
        <v>0.17199999999999999</v>
      </c>
      <c r="K354" s="39">
        <v>9.9989999999999996E-4</v>
      </c>
    </row>
    <row r="355" spans="1:11">
      <c r="A355" s="20">
        <v>17</v>
      </c>
      <c r="B355" s="35">
        <v>40009</v>
      </c>
      <c r="C355" s="20">
        <v>2009</v>
      </c>
      <c r="D355" s="10" t="s">
        <v>31</v>
      </c>
      <c r="E355" s="11">
        <v>7</v>
      </c>
      <c r="F355" s="37">
        <v>7.6660000000000004</v>
      </c>
      <c r="G355" s="39">
        <v>6.7000000000000004E-2</v>
      </c>
      <c r="H355" s="39">
        <v>1E-3</v>
      </c>
      <c r="I355" s="39">
        <v>1.3879999999999999</v>
      </c>
      <c r="J355" s="39">
        <v>0.46300000000000002</v>
      </c>
      <c r="K355" s="39">
        <v>9.9989999999999996E-4</v>
      </c>
    </row>
    <row r="356" spans="1:11">
      <c r="A356" s="20">
        <v>18</v>
      </c>
      <c r="B356" s="35">
        <v>40009</v>
      </c>
      <c r="C356" s="20">
        <v>2009</v>
      </c>
      <c r="D356" s="10" t="s">
        <v>31</v>
      </c>
      <c r="E356" s="11">
        <v>7</v>
      </c>
      <c r="F356" s="37">
        <v>7.8890000000000002</v>
      </c>
      <c r="G356" s="39">
        <v>5.7000000000000002E-2</v>
      </c>
      <c r="H356" s="39">
        <v>2.1000000000000001E-2</v>
      </c>
      <c r="I356" s="39">
        <v>0.97599999999999998</v>
      </c>
      <c r="J356" s="39">
        <v>0.97099999999999997</v>
      </c>
      <c r="K356" s="39">
        <v>9.9989999999999996E-4</v>
      </c>
    </row>
    <row r="357" spans="1:11">
      <c r="A357" s="20">
        <v>1</v>
      </c>
      <c r="B357" s="35">
        <v>40043</v>
      </c>
      <c r="C357" s="20">
        <v>2009</v>
      </c>
      <c r="D357" s="10" t="s">
        <v>32</v>
      </c>
      <c r="E357" s="11">
        <v>8</v>
      </c>
      <c r="F357" s="37">
        <v>10.965</v>
      </c>
      <c r="G357" s="39">
        <v>0.26300000000000001</v>
      </c>
      <c r="H357" s="39">
        <v>1E-3</v>
      </c>
      <c r="I357" s="39">
        <v>2.202</v>
      </c>
      <c r="J357" s="39">
        <v>0.7</v>
      </c>
      <c r="K357" s="39">
        <v>9.9989999999999996E-4</v>
      </c>
    </row>
    <row r="358" spans="1:11">
      <c r="A358" s="20">
        <v>17</v>
      </c>
      <c r="B358" s="35">
        <v>40042</v>
      </c>
      <c r="C358" s="20">
        <v>2009</v>
      </c>
      <c r="D358" s="10" t="s">
        <v>32</v>
      </c>
      <c r="E358" s="11">
        <v>8</v>
      </c>
      <c r="F358" s="37">
        <v>13.443</v>
      </c>
      <c r="G358" s="39">
        <v>0.19600000000000001</v>
      </c>
      <c r="H358" s="39">
        <v>1E-3</v>
      </c>
      <c r="I358" s="39">
        <v>3.2229999999999999</v>
      </c>
      <c r="J358" s="39">
        <v>0.877</v>
      </c>
      <c r="K358" s="39">
        <v>9.9989999999999996E-4</v>
      </c>
    </row>
    <row r="359" spans="1:11">
      <c r="A359" s="20">
        <v>18</v>
      </c>
      <c r="B359" s="35">
        <v>40043</v>
      </c>
      <c r="C359" s="20">
        <v>2009</v>
      </c>
      <c r="D359" s="10" t="s">
        <v>32</v>
      </c>
      <c r="E359" s="11">
        <v>8</v>
      </c>
      <c r="F359" s="37">
        <v>8.1050000000000004</v>
      </c>
      <c r="G359" s="39">
        <v>0.17299999999999999</v>
      </c>
      <c r="H359" s="39">
        <v>9.9989999999999996E-4</v>
      </c>
      <c r="I359" s="39">
        <v>1.397</v>
      </c>
      <c r="J359" s="39">
        <v>0.77900000000000003</v>
      </c>
      <c r="K359" s="39">
        <v>9.9989999999999996E-4</v>
      </c>
    </row>
    <row r="360" spans="1:11">
      <c r="A360" s="20">
        <v>1</v>
      </c>
      <c r="B360" s="35">
        <v>40070</v>
      </c>
      <c r="C360" s="20">
        <v>2009</v>
      </c>
      <c r="D360" s="10" t="s">
        <v>38</v>
      </c>
      <c r="E360" s="11">
        <v>9</v>
      </c>
      <c r="F360" s="37">
        <v>5.4669999999999996</v>
      </c>
      <c r="G360" s="39">
        <v>0.155</v>
      </c>
      <c r="H360" s="39">
        <v>9.9989999999999996E-4</v>
      </c>
      <c r="I360" s="39">
        <v>1.298</v>
      </c>
      <c r="J360" s="39">
        <v>4.7E-2</v>
      </c>
      <c r="K360" s="39">
        <v>9.9989999999999996E-4</v>
      </c>
    </row>
    <row r="361" spans="1:11">
      <c r="A361" s="20">
        <v>17</v>
      </c>
      <c r="B361" s="35">
        <v>40070</v>
      </c>
      <c r="C361" s="20">
        <v>2009</v>
      </c>
      <c r="D361" s="10" t="s">
        <v>38</v>
      </c>
      <c r="E361" s="11">
        <v>9</v>
      </c>
      <c r="F361" s="37">
        <v>8.1430000000000007</v>
      </c>
      <c r="G361" s="39">
        <v>0.215</v>
      </c>
      <c r="H361" s="39">
        <v>9.9989999999999996E-4</v>
      </c>
      <c r="I361" s="39">
        <v>1.9259999999999999</v>
      </c>
      <c r="J361" s="39">
        <v>0.17399999999999999</v>
      </c>
      <c r="K361" s="39">
        <v>9.9989999999999996E-4</v>
      </c>
    </row>
    <row r="362" spans="1:11">
      <c r="A362" s="20">
        <v>18</v>
      </c>
      <c r="B362" s="35">
        <v>40070</v>
      </c>
      <c r="C362" s="20">
        <v>2009</v>
      </c>
      <c r="D362" s="10" t="s">
        <v>38</v>
      </c>
      <c r="E362" s="11">
        <v>9</v>
      </c>
      <c r="F362" s="37">
        <v>5.9870000000000001</v>
      </c>
      <c r="G362" s="39">
        <v>0.14399999999999999</v>
      </c>
      <c r="H362" s="39">
        <v>9.9989999999999996E-4</v>
      </c>
      <c r="I362" s="39">
        <v>1.55</v>
      </c>
      <c r="J362" s="39">
        <v>6.5000000000000002E-2</v>
      </c>
      <c r="K362" s="39">
        <v>9.9989999999999996E-4</v>
      </c>
    </row>
    <row r="363" spans="1:11">
      <c r="A363" s="20">
        <v>1</v>
      </c>
      <c r="B363" s="35">
        <v>40099</v>
      </c>
      <c r="C363" s="20">
        <v>2009</v>
      </c>
      <c r="D363" s="10" t="s">
        <v>34</v>
      </c>
      <c r="E363" s="11">
        <v>10</v>
      </c>
      <c r="F363" s="37">
        <v>3.48</v>
      </c>
      <c r="G363" s="39">
        <v>3.5000000000000003E-2</v>
      </c>
      <c r="H363" s="39">
        <v>9.9989999999999996E-4</v>
      </c>
      <c r="I363" s="39">
        <v>0.66700000000000004</v>
      </c>
      <c r="J363" s="39">
        <v>0.113</v>
      </c>
      <c r="K363" s="39">
        <v>9.9989999999999996E-4</v>
      </c>
    </row>
    <row r="364" spans="1:11">
      <c r="A364" s="20">
        <v>17</v>
      </c>
      <c r="B364" s="35">
        <v>40099</v>
      </c>
      <c r="C364" s="20">
        <v>2009</v>
      </c>
      <c r="D364" s="10" t="s">
        <v>34</v>
      </c>
      <c r="E364" s="11">
        <v>10</v>
      </c>
      <c r="F364" s="37">
        <v>2.7290000000000001</v>
      </c>
      <c r="G364" s="39">
        <v>2.4E-2</v>
      </c>
      <c r="H364" s="39">
        <v>9.9989999999999996E-4</v>
      </c>
      <c r="I364" s="39">
        <v>0.71199999999999997</v>
      </c>
      <c r="J364" s="39">
        <v>0.106</v>
      </c>
      <c r="K364" s="39">
        <v>9.9989999999999996E-4</v>
      </c>
    </row>
    <row r="365" spans="1:11">
      <c r="A365" s="20">
        <v>18</v>
      </c>
      <c r="B365" s="35">
        <v>40099</v>
      </c>
      <c r="C365" s="20">
        <v>2009</v>
      </c>
      <c r="D365" s="10" t="s">
        <v>34</v>
      </c>
      <c r="E365" s="11">
        <v>10</v>
      </c>
      <c r="F365" s="37">
        <v>1.4590000000000001</v>
      </c>
      <c r="G365" s="39">
        <v>1.4999999999999999E-2</v>
      </c>
      <c r="H365" s="39">
        <v>9.9989999999999996E-4</v>
      </c>
      <c r="I365" s="39">
        <v>0.312</v>
      </c>
      <c r="J365" s="39">
        <v>5.8000000000000003E-2</v>
      </c>
      <c r="K365" s="39">
        <v>9.9989999999999996E-4</v>
      </c>
    </row>
    <row r="366" spans="1:11">
      <c r="A366" s="20">
        <v>1</v>
      </c>
      <c r="B366" s="35">
        <v>40134</v>
      </c>
      <c r="C366" s="20">
        <v>2009</v>
      </c>
      <c r="D366" s="10" t="s">
        <v>35</v>
      </c>
      <c r="E366" s="11">
        <v>11</v>
      </c>
      <c r="F366" s="37">
        <v>4.8970000000000002</v>
      </c>
      <c r="G366" s="39">
        <v>1.0960000000000001</v>
      </c>
      <c r="H366" s="39">
        <v>1E-3</v>
      </c>
      <c r="I366" s="39">
        <v>0.83599999999999997</v>
      </c>
      <c r="J366" s="39">
        <v>3.3000000000000002E-2</v>
      </c>
      <c r="K366" s="39">
        <v>9.9989999999999996E-4</v>
      </c>
    </row>
    <row r="367" spans="1:11">
      <c r="A367" s="20">
        <v>17</v>
      </c>
      <c r="B367" s="35">
        <v>40134</v>
      </c>
      <c r="C367" s="20">
        <v>2009</v>
      </c>
      <c r="D367" s="10" t="s">
        <v>35</v>
      </c>
      <c r="E367" s="11">
        <v>11</v>
      </c>
      <c r="F367" s="37">
        <v>5.0730000000000004</v>
      </c>
      <c r="G367" s="39">
        <v>1.512</v>
      </c>
      <c r="H367" s="39">
        <v>1E-3</v>
      </c>
      <c r="I367" s="39">
        <v>0.497</v>
      </c>
      <c r="J367" s="39">
        <v>2.5000000000000001E-2</v>
      </c>
      <c r="K367" s="39">
        <v>9.9989999999999996E-4</v>
      </c>
    </row>
    <row r="368" spans="1:11">
      <c r="A368" s="20">
        <v>18</v>
      </c>
      <c r="B368" s="35">
        <v>40134</v>
      </c>
      <c r="C368" s="20">
        <v>2009</v>
      </c>
      <c r="D368" s="10" t="s">
        <v>35</v>
      </c>
      <c r="E368" s="11">
        <v>11</v>
      </c>
      <c r="F368" s="37">
        <v>2.7690000000000001</v>
      </c>
      <c r="G368" s="39">
        <v>0.34499999999999997</v>
      </c>
      <c r="H368" s="39">
        <v>9.9989999999999996E-4</v>
      </c>
      <c r="I368" s="39">
        <v>0.47399999999999998</v>
      </c>
      <c r="J368" s="39">
        <v>2.9000000000000001E-2</v>
      </c>
      <c r="K368" s="39">
        <v>9.9989999999999996E-4</v>
      </c>
    </row>
    <row r="369" spans="1:12">
      <c r="A369" s="20">
        <v>1</v>
      </c>
      <c r="B369" s="35">
        <v>40162</v>
      </c>
      <c r="C369" s="20">
        <v>2009</v>
      </c>
      <c r="D369" s="10" t="s">
        <v>36</v>
      </c>
      <c r="E369" s="11">
        <v>12</v>
      </c>
      <c r="F369" s="40">
        <v>5.5389999999999997</v>
      </c>
      <c r="G369" s="39">
        <v>9.1999999999999998E-2</v>
      </c>
      <c r="H369" s="39">
        <v>9.9989999999999996E-4</v>
      </c>
      <c r="I369" s="39">
        <v>1.4330000000000001</v>
      </c>
      <c r="J369" s="39">
        <v>1.6E-2</v>
      </c>
      <c r="K369" s="39">
        <v>9.9989999999999996E-4</v>
      </c>
    </row>
    <row r="370" spans="1:12">
      <c r="A370" s="20">
        <v>17</v>
      </c>
      <c r="B370" s="35">
        <v>40162</v>
      </c>
      <c r="C370" s="20">
        <v>2009</v>
      </c>
      <c r="D370" s="10" t="s">
        <v>36</v>
      </c>
      <c r="E370" s="11">
        <v>12</v>
      </c>
      <c r="F370" s="41">
        <v>5.2210000000000001</v>
      </c>
      <c r="G370" s="42">
        <v>4.7E-2</v>
      </c>
      <c r="H370" s="42">
        <v>9.9989999999999996E-4</v>
      </c>
      <c r="I370" s="42">
        <v>1.643</v>
      </c>
      <c r="J370" s="42">
        <v>1.7999999999999999E-2</v>
      </c>
      <c r="K370" s="39">
        <v>9.9989999999999996E-4</v>
      </c>
    </row>
    <row r="371" spans="1:12">
      <c r="A371" s="20">
        <v>18</v>
      </c>
      <c r="B371" s="35">
        <v>40162</v>
      </c>
      <c r="C371" s="20">
        <v>2009</v>
      </c>
      <c r="D371" s="10" t="s">
        <v>36</v>
      </c>
      <c r="E371" s="11">
        <v>12</v>
      </c>
      <c r="F371" s="37">
        <v>5.2110000000000003</v>
      </c>
      <c r="G371" s="39">
        <v>0.03</v>
      </c>
      <c r="H371" s="39">
        <v>9.9989999999999996E-4</v>
      </c>
      <c r="I371" s="39">
        <v>1.7130000000000001</v>
      </c>
      <c r="J371" s="39">
        <v>0.02</v>
      </c>
      <c r="K371" s="39">
        <v>9.9989999999999996E-4</v>
      </c>
      <c r="L371" s="6"/>
    </row>
    <row r="372" spans="1:12">
      <c r="A372" s="43">
        <v>1</v>
      </c>
      <c r="B372" s="44">
        <v>40198</v>
      </c>
      <c r="C372" s="43">
        <v>2010</v>
      </c>
      <c r="D372" s="45" t="s">
        <v>37</v>
      </c>
      <c r="E372" s="43">
        <v>1</v>
      </c>
      <c r="F372" s="46">
        <v>3.964</v>
      </c>
      <c r="G372" s="47">
        <v>0.11821637499999998</v>
      </c>
      <c r="H372" s="47">
        <v>0</v>
      </c>
      <c r="I372" s="47">
        <v>1.6018285000000001</v>
      </c>
      <c r="J372" s="47">
        <v>9.9383749999999993E-3</v>
      </c>
      <c r="K372" s="47">
        <v>0</v>
      </c>
      <c r="L372" s="48"/>
    </row>
    <row r="373" spans="1:12">
      <c r="A373" s="20">
        <v>17</v>
      </c>
      <c r="B373" s="25">
        <v>40198</v>
      </c>
      <c r="C373" s="20">
        <v>2010</v>
      </c>
      <c r="D373" s="10" t="s">
        <v>37</v>
      </c>
      <c r="E373" s="20">
        <v>1</v>
      </c>
      <c r="F373" s="49">
        <v>8.7780000000000005</v>
      </c>
      <c r="G373" s="50">
        <v>0.14178137499999999</v>
      </c>
      <c r="H373" s="50">
        <v>0</v>
      </c>
      <c r="I373" s="50">
        <v>4.0140238749999995</v>
      </c>
      <c r="J373" s="50">
        <v>1.3779125E-2</v>
      </c>
      <c r="K373" s="50">
        <v>0</v>
      </c>
    </row>
    <row r="374" spans="1:12">
      <c r="A374" s="20">
        <v>18</v>
      </c>
      <c r="B374" s="25">
        <v>40198</v>
      </c>
      <c r="C374" s="20">
        <v>2010</v>
      </c>
      <c r="D374" s="10" t="s">
        <v>37</v>
      </c>
      <c r="E374" s="20">
        <v>1</v>
      </c>
      <c r="F374" s="49">
        <v>7.07</v>
      </c>
      <c r="G374" s="50">
        <v>0.13307887500000001</v>
      </c>
      <c r="H374" s="50">
        <v>0</v>
      </c>
      <c r="I374" s="50">
        <v>3.1431434999999994</v>
      </c>
      <c r="J374" s="50">
        <v>1.3148875000000001E-2</v>
      </c>
      <c r="K374" s="50">
        <v>0</v>
      </c>
    </row>
    <row r="375" spans="1:12">
      <c r="A375" s="20">
        <v>1</v>
      </c>
      <c r="B375" s="25">
        <v>40225</v>
      </c>
      <c r="C375" s="20">
        <v>2010</v>
      </c>
      <c r="D375" s="10" t="s">
        <v>26</v>
      </c>
      <c r="E375" s="20">
        <v>2</v>
      </c>
      <c r="F375" s="49">
        <v>6.87</v>
      </c>
      <c r="G375" s="50">
        <v>2.2751881250000001</v>
      </c>
      <c r="H375" s="50">
        <v>0</v>
      </c>
      <c r="I375" s="50">
        <v>1.2419696250000001</v>
      </c>
      <c r="J375" s="50">
        <v>1.5066125E-2</v>
      </c>
      <c r="K375" s="50">
        <v>0</v>
      </c>
    </row>
    <row r="376" spans="1:12">
      <c r="A376" s="20">
        <v>17</v>
      </c>
      <c r="B376" s="25">
        <v>40225</v>
      </c>
      <c r="C376" s="20">
        <v>2010</v>
      </c>
      <c r="D376" s="10" t="s">
        <v>26</v>
      </c>
      <c r="E376" s="20">
        <v>2</v>
      </c>
      <c r="F376" s="49">
        <v>17.588999999999999</v>
      </c>
      <c r="G376" s="50">
        <v>6.4709312499999978</v>
      </c>
      <c r="H376" s="50">
        <v>0</v>
      </c>
      <c r="I376" s="50">
        <v>3.119885</v>
      </c>
      <c r="J376" s="50">
        <v>2.4088999999999992E-2</v>
      </c>
      <c r="K376" s="50">
        <v>0</v>
      </c>
    </row>
    <row r="377" spans="1:12">
      <c r="A377" s="20">
        <v>18</v>
      </c>
      <c r="B377" s="25">
        <v>40225</v>
      </c>
      <c r="C377" s="20">
        <v>2010</v>
      </c>
      <c r="D377" s="10" t="s">
        <v>26</v>
      </c>
      <c r="E377" s="20">
        <v>2</v>
      </c>
      <c r="F377" s="49">
        <v>6.3470000000000004</v>
      </c>
      <c r="G377" s="50">
        <v>1.8415249999999999</v>
      </c>
      <c r="H377" s="50">
        <v>0</v>
      </c>
      <c r="I377" s="50">
        <v>1.3952260000000003</v>
      </c>
      <c r="J377" s="50">
        <v>0</v>
      </c>
      <c r="K377" s="50">
        <v>0</v>
      </c>
    </row>
    <row r="378" spans="1:12">
      <c r="A378" s="20">
        <v>1</v>
      </c>
      <c r="B378" s="25">
        <v>40254</v>
      </c>
      <c r="C378" s="20">
        <v>2010</v>
      </c>
      <c r="D378" s="10" t="s">
        <v>27</v>
      </c>
      <c r="E378" s="20">
        <v>3</v>
      </c>
      <c r="F378" s="49">
        <v>1.57</v>
      </c>
      <c r="G378" s="50">
        <v>3.1214499999999996E-2</v>
      </c>
      <c r="H378" s="50">
        <v>0</v>
      </c>
      <c r="I378" s="50">
        <v>0.33486050000000001</v>
      </c>
      <c r="J378" s="50">
        <v>8.0541499999999988E-2</v>
      </c>
      <c r="K378" s="50">
        <v>0</v>
      </c>
    </row>
    <row r="379" spans="1:12">
      <c r="A379" s="20">
        <v>17</v>
      </c>
      <c r="B379" s="25">
        <v>40254</v>
      </c>
      <c r="C379" s="20">
        <v>2010</v>
      </c>
      <c r="D379" s="10" t="s">
        <v>27</v>
      </c>
      <c r="E379" s="20">
        <v>3</v>
      </c>
      <c r="F379" s="49">
        <v>2.8690000000000002</v>
      </c>
      <c r="G379" s="50">
        <v>6.7443874999999986E-2</v>
      </c>
      <c r="H379" s="50">
        <v>0</v>
      </c>
      <c r="I379" s="50">
        <v>1.041084125</v>
      </c>
      <c r="J379" s="50">
        <v>1.5839375000000003E-2</v>
      </c>
      <c r="K379" s="50">
        <v>0</v>
      </c>
    </row>
    <row r="380" spans="1:12">
      <c r="A380" s="20">
        <v>18</v>
      </c>
      <c r="B380" s="25">
        <v>40254</v>
      </c>
      <c r="C380" s="20">
        <v>2010</v>
      </c>
      <c r="D380" s="10" t="s">
        <v>27</v>
      </c>
      <c r="E380" s="20">
        <v>3</v>
      </c>
      <c r="F380" s="49">
        <v>3.1829999999999998</v>
      </c>
      <c r="G380" s="50">
        <v>6.7752750000000014E-2</v>
      </c>
      <c r="H380" s="50">
        <v>0</v>
      </c>
      <c r="I380" s="50">
        <v>1.448157125</v>
      </c>
      <c r="J380" s="50">
        <v>2.0600125E-2</v>
      </c>
      <c r="K380" s="50">
        <v>0</v>
      </c>
    </row>
    <row r="381" spans="1:12">
      <c r="A381" s="20">
        <v>1</v>
      </c>
      <c r="B381" s="25">
        <v>40282</v>
      </c>
      <c r="C381" s="20">
        <v>2010</v>
      </c>
      <c r="D381" s="10" t="s">
        <v>28</v>
      </c>
      <c r="E381" s="20">
        <v>4</v>
      </c>
      <c r="F381" s="49">
        <v>3.3370000000000002</v>
      </c>
      <c r="G381" s="50">
        <v>5.9109124999999992E-2</v>
      </c>
      <c r="H381" s="50">
        <v>0</v>
      </c>
      <c r="I381" s="50">
        <v>1.3341902499999998</v>
      </c>
      <c r="J381" s="50">
        <v>2.3836875000000004E-2</v>
      </c>
      <c r="K381" s="50">
        <v>0</v>
      </c>
    </row>
    <row r="382" spans="1:12">
      <c r="A382" s="20">
        <v>17</v>
      </c>
      <c r="B382" s="25">
        <v>40282</v>
      </c>
      <c r="C382" s="20">
        <v>2010</v>
      </c>
      <c r="D382" s="10" t="s">
        <v>28</v>
      </c>
      <c r="E382" s="20">
        <v>4</v>
      </c>
      <c r="F382" s="49">
        <v>4.6260000000000003</v>
      </c>
      <c r="G382" s="50">
        <v>4.4080499999999995E-2</v>
      </c>
      <c r="H382" s="50">
        <v>0</v>
      </c>
      <c r="I382" s="50">
        <v>2.403057</v>
      </c>
      <c r="J382" s="50">
        <v>2.9251124999999996E-2</v>
      </c>
      <c r="K382" s="50">
        <v>0</v>
      </c>
    </row>
    <row r="383" spans="1:12">
      <c r="A383" s="20">
        <v>18</v>
      </c>
      <c r="B383" s="25">
        <v>40282</v>
      </c>
      <c r="C383" s="20">
        <v>2010</v>
      </c>
      <c r="D383" s="10" t="s">
        <v>28</v>
      </c>
      <c r="E383" s="20">
        <v>4</v>
      </c>
      <c r="F383" s="51">
        <v>3.17</v>
      </c>
      <c r="G383" s="50">
        <v>3.7747250000000003E-2</v>
      </c>
      <c r="H383" s="50">
        <v>0</v>
      </c>
      <c r="I383" s="50">
        <v>1.5308736249999999</v>
      </c>
      <c r="J383" s="50">
        <v>3.0602624999999998E-2</v>
      </c>
      <c r="K383" s="50">
        <v>0</v>
      </c>
    </row>
    <row r="384" spans="1:12">
      <c r="A384" s="20">
        <v>1</v>
      </c>
      <c r="B384" s="35">
        <v>40315</v>
      </c>
      <c r="C384" s="20">
        <v>2010</v>
      </c>
      <c r="D384" s="10" t="s">
        <v>29</v>
      </c>
      <c r="E384" s="20">
        <v>5</v>
      </c>
      <c r="F384" s="52">
        <v>0.67200000000000004</v>
      </c>
      <c r="G384" s="50">
        <v>2.9017999999999995E-2</v>
      </c>
      <c r="H384" s="50">
        <v>0</v>
      </c>
      <c r="I384" s="50">
        <v>0.20917487500000001</v>
      </c>
      <c r="J384" s="50">
        <v>1.7032749999999999E-2</v>
      </c>
      <c r="K384" s="50">
        <v>0</v>
      </c>
    </row>
    <row r="385" spans="1:11">
      <c r="A385" s="20">
        <v>17</v>
      </c>
      <c r="B385" s="35">
        <v>40315</v>
      </c>
      <c r="C385" s="20">
        <v>2010</v>
      </c>
      <c r="D385" s="10" t="s">
        <v>29</v>
      </c>
      <c r="E385" s="20">
        <v>5</v>
      </c>
      <c r="F385" s="52">
        <v>1.71</v>
      </c>
      <c r="G385" s="50">
        <v>0</v>
      </c>
      <c r="H385" s="50">
        <v>0</v>
      </c>
      <c r="I385" s="50">
        <v>0.72932387499999995</v>
      </c>
      <c r="J385" s="50">
        <v>4.4653499999999999E-2</v>
      </c>
      <c r="K385" s="50">
        <v>0</v>
      </c>
    </row>
    <row r="386" spans="1:11">
      <c r="A386" s="20">
        <v>18</v>
      </c>
      <c r="B386" s="35">
        <v>40315</v>
      </c>
      <c r="C386" s="20">
        <v>2010</v>
      </c>
      <c r="D386" s="10" t="s">
        <v>29</v>
      </c>
      <c r="E386" s="20">
        <v>5</v>
      </c>
      <c r="F386" s="52">
        <v>0.433</v>
      </c>
      <c r="G386" s="50">
        <v>0</v>
      </c>
      <c r="H386" s="50">
        <v>0</v>
      </c>
      <c r="I386" s="50">
        <v>0.13274887499999999</v>
      </c>
      <c r="J386" s="50">
        <v>1.8049375000000003E-2</v>
      </c>
      <c r="K386" s="50">
        <v>0</v>
      </c>
    </row>
    <row r="387" spans="1:11">
      <c r="A387" s="20">
        <v>1</v>
      </c>
      <c r="B387" s="35">
        <v>40344</v>
      </c>
      <c r="C387" s="20">
        <v>2010</v>
      </c>
      <c r="D387" s="10" t="s">
        <v>30</v>
      </c>
      <c r="E387" s="20">
        <v>6</v>
      </c>
      <c r="F387" s="52">
        <v>2.6179999999999999</v>
      </c>
      <c r="G387" s="50">
        <v>9.415262499999999E-2</v>
      </c>
      <c r="H387" s="50">
        <v>0</v>
      </c>
      <c r="I387" s="50">
        <v>0.68824137500000004</v>
      </c>
      <c r="J387" s="50">
        <v>0.19022587499999999</v>
      </c>
      <c r="K387" s="50">
        <v>0</v>
      </c>
    </row>
    <row r="388" spans="1:11">
      <c r="A388" s="20">
        <v>17</v>
      </c>
      <c r="B388" s="35">
        <v>40344</v>
      </c>
      <c r="C388" s="20">
        <v>2010</v>
      </c>
      <c r="D388" s="10" t="s">
        <v>30</v>
      </c>
      <c r="E388" s="20">
        <v>6</v>
      </c>
      <c r="F388" s="52">
        <v>2.0750000000000002</v>
      </c>
      <c r="G388" s="50">
        <v>0.14132937500000001</v>
      </c>
      <c r="H388" s="50">
        <v>0</v>
      </c>
      <c r="I388" s="50">
        <v>0.49353124999999992</v>
      </c>
      <c r="J388" s="50">
        <v>0.25558637499999992</v>
      </c>
      <c r="K388" s="50">
        <v>0</v>
      </c>
    </row>
    <row r="389" spans="1:11">
      <c r="A389" s="20">
        <v>18</v>
      </c>
      <c r="B389" s="35">
        <v>40344</v>
      </c>
      <c r="C389" s="20">
        <v>2010</v>
      </c>
      <c r="D389" s="10" t="s">
        <v>30</v>
      </c>
      <c r="E389" s="20">
        <v>6</v>
      </c>
      <c r="F389" s="52">
        <v>3.0760000000000001</v>
      </c>
      <c r="G389" s="50">
        <v>0.16089775000000001</v>
      </c>
      <c r="H389" s="50">
        <v>0</v>
      </c>
      <c r="I389" s="50">
        <v>1.0960773749999997</v>
      </c>
      <c r="J389" s="50">
        <v>0.26170262500000002</v>
      </c>
      <c r="K389" s="50">
        <v>0</v>
      </c>
    </row>
    <row r="390" spans="1:11">
      <c r="A390" s="20">
        <v>1</v>
      </c>
      <c r="B390" s="35">
        <v>40371</v>
      </c>
      <c r="C390" s="20">
        <v>2010</v>
      </c>
      <c r="D390" s="10" t="s">
        <v>31</v>
      </c>
      <c r="E390" s="20">
        <v>7</v>
      </c>
      <c r="F390" s="52">
        <v>7.69</v>
      </c>
      <c r="G390" s="50">
        <v>0.29006025000000002</v>
      </c>
      <c r="H390" s="50">
        <v>0</v>
      </c>
      <c r="I390" s="50">
        <v>2.5592174999999995</v>
      </c>
      <c r="J390" s="50">
        <v>0.12024099999999999</v>
      </c>
      <c r="K390" s="50">
        <v>0</v>
      </c>
    </row>
    <row r="391" spans="1:11">
      <c r="A391" s="20">
        <v>17</v>
      </c>
      <c r="B391" s="35">
        <v>40371</v>
      </c>
      <c r="C391" s="20">
        <v>2010</v>
      </c>
      <c r="D391" s="10" t="s">
        <v>31</v>
      </c>
      <c r="E391" s="20">
        <v>7</v>
      </c>
      <c r="F391" s="52">
        <v>5.4009999999999998</v>
      </c>
      <c r="G391" s="50">
        <v>0.27021625000000005</v>
      </c>
      <c r="H391" s="50">
        <v>1.6423E-2</v>
      </c>
      <c r="I391" s="50">
        <v>2.7198604999999998</v>
      </c>
      <c r="J391" s="50">
        <v>0.13698674999999999</v>
      </c>
      <c r="K391" s="50">
        <v>0</v>
      </c>
    </row>
    <row r="392" spans="1:11">
      <c r="A392" s="20">
        <v>18</v>
      </c>
      <c r="B392" s="35">
        <v>40371</v>
      </c>
      <c r="C392" s="20">
        <v>2010</v>
      </c>
      <c r="D392" s="10" t="s">
        <v>31</v>
      </c>
      <c r="E392" s="20">
        <v>7</v>
      </c>
      <c r="F392" s="52">
        <v>4.92</v>
      </c>
      <c r="G392" s="50">
        <v>0.10162674999999999</v>
      </c>
      <c r="H392" s="50">
        <v>0</v>
      </c>
      <c r="I392" s="50">
        <v>1.8677595</v>
      </c>
      <c r="J392" s="50">
        <v>0.10277812499999997</v>
      </c>
      <c r="K392" s="50">
        <v>0</v>
      </c>
    </row>
    <row r="393" spans="1:11">
      <c r="A393" s="20">
        <v>1</v>
      </c>
      <c r="B393" s="35">
        <v>40407</v>
      </c>
      <c r="C393" s="20">
        <v>2010</v>
      </c>
      <c r="D393" s="10" t="s">
        <v>32</v>
      </c>
      <c r="E393" s="20">
        <v>8</v>
      </c>
      <c r="F393" s="52">
        <v>11.997</v>
      </c>
      <c r="G393" s="50">
        <v>0.31553487499999999</v>
      </c>
      <c r="H393" s="50">
        <v>0</v>
      </c>
      <c r="I393" s="50">
        <v>4.3482081250000002</v>
      </c>
      <c r="J393" s="50">
        <v>0.40655499999999994</v>
      </c>
      <c r="K393" s="50">
        <v>0</v>
      </c>
    </row>
    <row r="394" spans="1:11">
      <c r="A394" s="20">
        <v>17</v>
      </c>
      <c r="B394" s="35">
        <v>40407</v>
      </c>
      <c r="C394" s="20">
        <v>2010</v>
      </c>
      <c r="D394" s="10" t="s">
        <v>32</v>
      </c>
      <c r="E394" s="20">
        <v>8</v>
      </c>
      <c r="F394" s="52">
        <v>12.503</v>
      </c>
      <c r="G394" s="50">
        <v>0.36192612499999999</v>
      </c>
      <c r="H394" s="50">
        <v>0</v>
      </c>
      <c r="I394" s="50">
        <v>4.9808801249999997</v>
      </c>
      <c r="J394" s="50">
        <v>0.62758599999999998</v>
      </c>
      <c r="K394" s="50">
        <v>0</v>
      </c>
    </row>
    <row r="395" spans="1:11">
      <c r="A395" s="20">
        <v>18</v>
      </c>
      <c r="B395" s="35">
        <v>40407</v>
      </c>
      <c r="C395" s="20">
        <v>2010</v>
      </c>
      <c r="D395" s="10" t="s">
        <v>32</v>
      </c>
      <c r="E395" s="20">
        <v>8</v>
      </c>
      <c r="F395" s="52">
        <v>8.4649999999999999</v>
      </c>
      <c r="G395" s="50">
        <v>0.27212950000000002</v>
      </c>
      <c r="H395" s="50">
        <v>0</v>
      </c>
      <c r="I395" s="50">
        <v>3.2072715000000001</v>
      </c>
      <c r="J395" s="50">
        <v>0.34550162500000003</v>
      </c>
      <c r="K395" s="50">
        <v>0</v>
      </c>
    </row>
    <row r="396" spans="1:11">
      <c r="A396" s="20">
        <v>1</v>
      </c>
      <c r="B396" s="35">
        <v>40436</v>
      </c>
      <c r="C396" s="20">
        <v>2010</v>
      </c>
      <c r="D396" s="10" t="s">
        <v>38</v>
      </c>
      <c r="E396" s="20">
        <v>9</v>
      </c>
      <c r="F396" s="52">
        <v>9.1959999999999997</v>
      </c>
      <c r="G396" s="50">
        <v>0.18705250000000001</v>
      </c>
      <c r="H396" s="50">
        <v>0</v>
      </c>
      <c r="I396" s="50">
        <v>4.0326351249999997</v>
      </c>
      <c r="J396" s="50">
        <v>0.26796224999999996</v>
      </c>
      <c r="K396" s="50">
        <v>0</v>
      </c>
    </row>
    <row r="397" spans="1:11">
      <c r="A397" s="20">
        <v>17</v>
      </c>
      <c r="B397" s="35">
        <v>40436</v>
      </c>
      <c r="C397" s="20">
        <v>2010</v>
      </c>
      <c r="D397" s="10" t="s">
        <v>38</v>
      </c>
      <c r="E397" s="20">
        <v>9</v>
      </c>
      <c r="F397" s="52">
        <v>6.9210000000000003</v>
      </c>
      <c r="G397" s="50">
        <v>0.16507375000000002</v>
      </c>
      <c r="H397" s="50">
        <v>5.1129250000000001E-2</v>
      </c>
      <c r="I397" s="50">
        <v>3.4665370000000002</v>
      </c>
      <c r="J397" s="50">
        <v>0.274526875</v>
      </c>
      <c r="K397" s="50">
        <v>2.4745874999999994E-2</v>
      </c>
    </row>
    <row r="398" spans="1:11">
      <c r="A398" s="20">
        <v>18</v>
      </c>
      <c r="B398" s="35">
        <v>40436</v>
      </c>
      <c r="C398" s="20">
        <v>2010</v>
      </c>
      <c r="D398" s="10" t="s">
        <v>38</v>
      </c>
      <c r="E398" s="20">
        <v>9</v>
      </c>
      <c r="F398" s="52">
        <v>7.9589999999999996</v>
      </c>
      <c r="G398" s="50">
        <v>7.7819749999999979E-2</v>
      </c>
      <c r="H398" s="50">
        <v>0</v>
      </c>
      <c r="I398" s="50">
        <v>3.5391910000000006</v>
      </c>
      <c r="J398" s="50">
        <v>0.18405575000000002</v>
      </c>
      <c r="K398" s="50">
        <v>0</v>
      </c>
    </row>
    <row r="399" spans="1:11">
      <c r="A399" s="20">
        <v>1</v>
      </c>
      <c r="B399" s="35">
        <v>40464</v>
      </c>
      <c r="C399" s="20">
        <v>2010</v>
      </c>
      <c r="D399" s="10" t="s">
        <v>34</v>
      </c>
      <c r="E399" s="20">
        <v>10</v>
      </c>
      <c r="F399" s="49">
        <v>4.5039999999999996</v>
      </c>
      <c r="G399" s="50">
        <v>2.9886374999999996E-2</v>
      </c>
      <c r="H399" s="50">
        <v>0</v>
      </c>
      <c r="I399" s="50">
        <v>1.0632567500000001</v>
      </c>
      <c r="J399" s="50">
        <v>0.12532937499999997</v>
      </c>
      <c r="K399" s="50">
        <v>0</v>
      </c>
    </row>
    <row r="400" spans="1:11">
      <c r="A400" s="20">
        <v>17</v>
      </c>
      <c r="B400" s="35">
        <v>40464</v>
      </c>
      <c r="C400" s="20">
        <v>2010</v>
      </c>
      <c r="D400" s="10" t="s">
        <v>34</v>
      </c>
      <c r="E400" s="20">
        <v>10</v>
      </c>
      <c r="F400" s="49">
        <v>6.1580000000000004</v>
      </c>
      <c r="G400" s="50">
        <v>0.1008705</v>
      </c>
      <c r="H400" s="50">
        <v>0</v>
      </c>
      <c r="I400" s="50">
        <v>1.8059571249999995</v>
      </c>
      <c r="J400" s="50">
        <v>0.17949624999999997</v>
      </c>
      <c r="K400" s="50">
        <v>0</v>
      </c>
    </row>
    <row r="401" spans="1:12">
      <c r="A401" s="20">
        <v>18</v>
      </c>
      <c r="B401" s="35">
        <v>40464</v>
      </c>
      <c r="C401" s="20">
        <v>2010</v>
      </c>
      <c r="D401" s="10" t="s">
        <v>34</v>
      </c>
      <c r="E401" s="20">
        <v>10</v>
      </c>
      <c r="F401" s="49">
        <v>4.7140000000000004</v>
      </c>
      <c r="G401" s="50">
        <v>3.3566749999999999E-2</v>
      </c>
      <c r="H401" s="50">
        <v>0</v>
      </c>
      <c r="I401" s="50">
        <v>1.3676026249999997</v>
      </c>
      <c r="J401" s="50">
        <v>0.13498549999999998</v>
      </c>
      <c r="K401" s="50">
        <v>0</v>
      </c>
    </row>
    <row r="402" spans="1:12">
      <c r="A402" s="20">
        <v>1</v>
      </c>
      <c r="B402" s="35">
        <v>40498</v>
      </c>
      <c r="C402" s="20">
        <v>2010</v>
      </c>
      <c r="D402" s="10" t="s">
        <v>35</v>
      </c>
      <c r="E402" s="20">
        <v>11</v>
      </c>
      <c r="F402" s="49">
        <v>1.141</v>
      </c>
      <c r="G402" s="50">
        <v>0</v>
      </c>
      <c r="H402" s="50">
        <v>1.3963124999999996E-2</v>
      </c>
      <c r="I402" s="50">
        <v>0.20565662499999998</v>
      </c>
      <c r="J402" s="50">
        <v>2.4174999999999999E-2</v>
      </c>
      <c r="K402" s="50">
        <v>0</v>
      </c>
    </row>
    <row r="403" spans="1:12">
      <c r="A403" s="20">
        <v>17</v>
      </c>
      <c r="B403" s="35">
        <v>40498</v>
      </c>
      <c r="C403" s="20">
        <v>2010</v>
      </c>
      <c r="D403" s="10" t="s">
        <v>35</v>
      </c>
      <c r="E403" s="20">
        <v>11</v>
      </c>
      <c r="F403" s="49">
        <v>1.087</v>
      </c>
      <c r="G403" s="50">
        <v>0</v>
      </c>
      <c r="H403" s="50">
        <v>0</v>
      </c>
      <c r="I403" s="50">
        <v>0.33632387499999994</v>
      </c>
      <c r="J403" s="50">
        <v>1.4288624999999999E-2</v>
      </c>
      <c r="K403" s="50">
        <v>0</v>
      </c>
    </row>
    <row r="404" spans="1:12">
      <c r="A404" s="20">
        <v>18</v>
      </c>
      <c r="B404" s="35">
        <v>40498</v>
      </c>
      <c r="C404" s="20">
        <v>2010</v>
      </c>
      <c r="D404" s="10" t="s">
        <v>35</v>
      </c>
      <c r="E404" s="20">
        <v>11</v>
      </c>
      <c r="F404" s="49">
        <v>0.95199999999999996</v>
      </c>
      <c r="G404" s="50">
        <v>8.4670000000000006E-3</v>
      </c>
      <c r="H404" s="50">
        <v>0</v>
      </c>
      <c r="I404" s="50">
        <v>0.18444037499999996</v>
      </c>
      <c r="J404" s="50">
        <v>1.0761875000000001E-2</v>
      </c>
      <c r="K404" s="50">
        <v>0</v>
      </c>
    </row>
    <row r="405" spans="1:12">
      <c r="A405" s="20">
        <v>1</v>
      </c>
      <c r="B405" s="35">
        <v>40520</v>
      </c>
      <c r="C405" s="20">
        <v>2010</v>
      </c>
      <c r="D405" s="10" t="s">
        <v>36</v>
      </c>
      <c r="E405" s="20">
        <v>12</v>
      </c>
      <c r="F405" s="49">
        <v>2.4660000000000002</v>
      </c>
      <c r="G405" s="50">
        <v>2.7976250000000001E-2</v>
      </c>
      <c r="H405" s="50">
        <v>0</v>
      </c>
      <c r="I405" s="50">
        <v>0.64702512499999998</v>
      </c>
      <c r="J405" s="50">
        <v>9.0875874999999981E-2</v>
      </c>
      <c r="K405" s="50">
        <v>0</v>
      </c>
    </row>
    <row r="406" spans="1:12">
      <c r="A406" s="20">
        <v>17</v>
      </c>
      <c r="B406" s="35">
        <v>40520</v>
      </c>
      <c r="C406" s="20">
        <v>2010</v>
      </c>
      <c r="D406" s="10" t="s">
        <v>36</v>
      </c>
      <c r="E406" s="20">
        <v>12</v>
      </c>
      <c r="F406" s="49">
        <v>7.1849999999999996</v>
      </c>
      <c r="G406" s="50">
        <v>3.0201250000000002E-2</v>
      </c>
      <c r="H406" s="50">
        <v>0</v>
      </c>
      <c r="I406" s="50">
        <v>3.11772625</v>
      </c>
      <c r="J406" s="50">
        <v>6.7865999999999996E-2</v>
      </c>
      <c r="K406" s="50">
        <v>0</v>
      </c>
    </row>
    <row r="407" spans="1:12">
      <c r="A407" s="20">
        <v>18</v>
      </c>
      <c r="B407" s="35">
        <v>40520</v>
      </c>
      <c r="C407" s="20">
        <v>2010</v>
      </c>
      <c r="D407" s="10" t="s">
        <v>36</v>
      </c>
      <c r="E407" s="20">
        <v>12</v>
      </c>
      <c r="F407" s="49">
        <v>8.9269999999999996</v>
      </c>
      <c r="G407" s="50">
        <v>3.7949999999999991E-2</v>
      </c>
      <c r="H407" s="50">
        <v>0</v>
      </c>
      <c r="I407" s="50">
        <v>3.88593075</v>
      </c>
      <c r="J407" s="50">
        <v>7.3558125000000002E-2</v>
      </c>
      <c r="K407" s="50">
        <v>0</v>
      </c>
    </row>
    <row r="408" spans="1:12">
      <c r="A408" s="43">
        <v>1</v>
      </c>
      <c r="B408" s="53">
        <v>40562</v>
      </c>
      <c r="C408" s="43">
        <v>2011</v>
      </c>
      <c r="D408" s="45" t="s">
        <v>37</v>
      </c>
      <c r="E408" s="43">
        <v>1</v>
      </c>
      <c r="F408" s="46">
        <v>6.3860000000000001</v>
      </c>
      <c r="G408" s="47">
        <v>3.6332999999999997E-2</v>
      </c>
      <c r="H408" s="47">
        <v>0</v>
      </c>
      <c r="I408" s="47">
        <v>2.6281466249999998</v>
      </c>
      <c r="J408" s="47">
        <v>2.0014125000000001E-2</v>
      </c>
      <c r="K408" s="47">
        <v>0</v>
      </c>
      <c r="L408" s="48"/>
    </row>
    <row r="409" spans="1:12">
      <c r="A409" s="20">
        <v>17</v>
      </c>
      <c r="B409" s="35">
        <v>40562</v>
      </c>
      <c r="C409" s="20">
        <v>2011</v>
      </c>
      <c r="D409" s="10" t="s">
        <v>37</v>
      </c>
      <c r="E409" s="20">
        <v>1</v>
      </c>
      <c r="F409" s="49">
        <v>13.541</v>
      </c>
      <c r="G409" s="50">
        <v>9.8297624999999986E-2</v>
      </c>
      <c r="H409" s="50">
        <v>0.11314362499999998</v>
      </c>
      <c r="I409" s="50">
        <v>6.4535622500000001</v>
      </c>
      <c r="J409" s="50">
        <v>4.3029625000000002E-2</v>
      </c>
      <c r="K409" s="50">
        <v>0</v>
      </c>
    </row>
    <row r="410" spans="1:12">
      <c r="A410" s="20">
        <v>18</v>
      </c>
      <c r="B410" s="35">
        <v>40562</v>
      </c>
      <c r="C410" s="20">
        <v>2011</v>
      </c>
      <c r="D410" s="10" t="s">
        <v>37</v>
      </c>
      <c r="E410" s="20">
        <v>1</v>
      </c>
      <c r="F410" s="49">
        <v>15.566000000000001</v>
      </c>
      <c r="G410" s="50">
        <v>0.11720075000000001</v>
      </c>
      <c r="H410" s="50">
        <v>0</v>
      </c>
      <c r="I410" s="50">
        <v>7.3969151249999996</v>
      </c>
      <c r="J410" s="50">
        <v>5.8347125E-2</v>
      </c>
      <c r="K410" s="50">
        <v>0</v>
      </c>
    </row>
    <row r="411" spans="1:12">
      <c r="A411" s="20">
        <v>1</v>
      </c>
      <c r="B411" s="35">
        <v>40591</v>
      </c>
      <c r="C411" s="20">
        <v>2011</v>
      </c>
      <c r="D411" s="10" t="s">
        <v>26</v>
      </c>
      <c r="E411" s="20">
        <v>2</v>
      </c>
      <c r="F411" s="49">
        <v>4.093</v>
      </c>
      <c r="G411" s="50">
        <v>0.23641999999999996</v>
      </c>
      <c r="H411" s="50">
        <v>0</v>
      </c>
      <c r="I411" s="50">
        <v>0.89400599999999986</v>
      </c>
      <c r="J411" s="50">
        <v>2.6999749999999999E-2</v>
      </c>
      <c r="K411" s="50">
        <v>0</v>
      </c>
    </row>
    <row r="412" spans="1:12">
      <c r="A412" s="20">
        <v>17</v>
      </c>
      <c r="B412" s="35">
        <v>40591</v>
      </c>
      <c r="C412" s="20">
        <v>2011</v>
      </c>
      <c r="D412" s="10" t="s">
        <v>26</v>
      </c>
      <c r="E412" s="20">
        <v>2</v>
      </c>
      <c r="F412" s="49">
        <v>3.5270000000000001</v>
      </c>
      <c r="G412" s="50">
        <v>0.1639515</v>
      </c>
      <c r="H412" s="50">
        <v>0</v>
      </c>
      <c r="I412" s="50">
        <v>1.4924513749999995</v>
      </c>
      <c r="J412" s="50">
        <v>1.1761999999999998E-2</v>
      </c>
      <c r="K412" s="50">
        <v>0</v>
      </c>
    </row>
    <row r="413" spans="1:12">
      <c r="A413" s="20">
        <v>18</v>
      </c>
      <c r="B413" s="35">
        <v>40591</v>
      </c>
      <c r="C413" s="20">
        <v>2011</v>
      </c>
      <c r="D413" s="10" t="s">
        <v>26</v>
      </c>
      <c r="E413" s="20">
        <v>2</v>
      </c>
      <c r="F413" s="49">
        <v>3.7469999999999999</v>
      </c>
      <c r="G413" s="50">
        <v>0.1410515</v>
      </c>
      <c r="H413" s="50">
        <v>0</v>
      </c>
      <c r="I413" s="50">
        <v>1.5328010000000001</v>
      </c>
      <c r="J413" s="50">
        <v>2.4427875000000002E-2</v>
      </c>
      <c r="K413" s="50">
        <v>0</v>
      </c>
    </row>
    <row r="414" spans="1:12">
      <c r="A414" s="20">
        <v>1</v>
      </c>
      <c r="B414" s="35">
        <v>40619</v>
      </c>
      <c r="C414" s="20">
        <v>2011</v>
      </c>
      <c r="D414" s="10" t="s">
        <v>27</v>
      </c>
      <c r="E414" s="20">
        <v>3</v>
      </c>
      <c r="F414" s="49">
        <v>7.6820000000000004</v>
      </c>
      <c r="G414" s="50">
        <v>0</v>
      </c>
      <c r="H414" s="50">
        <v>0</v>
      </c>
      <c r="I414" s="50">
        <v>3.6667293749999996</v>
      </c>
      <c r="J414" s="50">
        <v>2.6990874999999998E-2</v>
      </c>
      <c r="K414" s="50">
        <v>0</v>
      </c>
    </row>
    <row r="415" spans="1:12">
      <c r="A415" s="20">
        <v>17</v>
      </c>
      <c r="B415" s="35">
        <v>40619</v>
      </c>
      <c r="C415" s="20">
        <v>2011</v>
      </c>
      <c r="D415" s="10" t="s">
        <v>27</v>
      </c>
      <c r="E415" s="20">
        <v>3</v>
      </c>
      <c r="F415" s="49">
        <v>8.2309999999999999</v>
      </c>
      <c r="G415" s="50">
        <v>4.0121249999999997E-2</v>
      </c>
      <c r="H415" s="50">
        <v>0</v>
      </c>
      <c r="I415" s="50">
        <v>4.1253609999999989</v>
      </c>
      <c r="J415" s="50">
        <v>2.336825E-2</v>
      </c>
      <c r="K415" s="50">
        <v>0</v>
      </c>
    </row>
    <row r="416" spans="1:12">
      <c r="A416" s="20">
        <v>18</v>
      </c>
      <c r="B416" s="35">
        <v>40619</v>
      </c>
      <c r="C416" s="20">
        <v>2011</v>
      </c>
      <c r="D416" s="10" t="s">
        <v>27</v>
      </c>
      <c r="E416" s="20">
        <v>3</v>
      </c>
      <c r="F416" s="49">
        <v>7.8819999999999997</v>
      </c>
      <c r="G416" s="50">
        <v>3.4324750000000001E-2</v>
      </c>
      <c r="H416" s="50">
        <v>0</v>
      </c>
      <c r="I416" s="50">
        <v>3.8264543750000004</v>
      </c>
      <c r="J416" s="50">
        <v>3.6292875000000002E-2</v>
      </c>
      <c r="K416" s="50">
        <v>0</v>
      </c>
    </row>
    <row r="417" spans="1:11">
      <c r="A417" s="20">
        <v>1</v>
      </c>
      <c r="B417" s="35">
        <v>40646</v>
      </c>
      <c r="C417" s="20">
        <v>2011</v>
      </c>
      <c r="D417" s="10" t="s">
        <v>28</v>
      </c>
      <c r="E417" s="20">
        <v>4</v>
      </c>
      <c r="F417" s="49">
        <v>4.5759999999999996</v>
      </c>
      <c r="G417" s="50">
        <v>6.0753124999999991E-2</v>
      </c>
      <c r="H417" s="50">
        <v>0</v>
      </c>
      <c r="I417" s="50">
        <v>1.5868854999999999</v>
      </c>
      <c r="J417" s="50">
        <v>2.7311874999999992E-2</v>
      </c>
      <c r="K417" s="50">
        <v>0</v>
      </c>
    </row>
    <row r="418" spans="1:11">
      <c r="A418" s="20">
        <v>17</v>
      </c>
      <c r="B418" s="35">
        <v>40646</v>
      </c>
      <c r="C418" s="20">
        <v>2011</v>
      </c>
      <c r="D418" s="10" t="s">
        <v>28</v>
      </c>
      <c r="E418" s="20">
        <v>4</v>
      </c>
      <c r="F418" s="49">
        <v>3.1059999999999999</v>
      </c>
      <c r="G418" s="50">
        <v>2.6166624999999999E-2</v>
      </c>
      <c r="H418" s="50">
        <v>0</v>
      </c>
      <c r="I418" s="50">
        <v>1.3206114999999998</v>
      </c>
      <c r="J418" s="50">
        <v>0</v>
      </c>
      <c r="K418" s="50">
        <v>0</v>
      </c>
    </row>
    <row r="419" spans="1:11">
      <c r="A419" s="20">
        <v>18</v>
      </c>
      <c r="B419" s="35">
        <v>40646</v>
      </c>
      <c r="C419" s="20">
        <v>2011</v>
      </c>
      <c r="D419" s="10" t="s">
        <v>28</v>
      </c>
      <c r="E419" s="20">
        <v>4</v>
      </c>
      <c r="F419" s="49">
        <v>2.5750000000000002</v>
      </c>
      <c r="G419" s="50">
        <v>0</v>
      </c>
      <c r="H419" s="50">
        <v>0</v>
      </c>
      <c r="I419" s="50">
        <v>0.9442895</v>
      </c>
      <c r="J419" s="50">
        <v>0</v>
      </c>
      <c r="K419" s="50">
        <v>0</v>
      </c>
    </row>
    <row r="420" spans="1:11">
      <c r="A420" s="20">
        <v>1</v>
      </c>
      <c r="B420" s="35">
        <v>40681</v>
      </c>
      <c r="C420" s="20">
        <v>2011</v>
      </c>
      <c r="D420" s="10" t="s">
        <v>29</v>
      </c>
      <c r="E420" s="20">
        <v>5</v>
      </c>
      <c r="F420" s="49">
        <v>1.44</v>
      </c>
      <c r="G420" s="50">
        <v>0.15962125000000002</v>
      </c>
      <c r="H420" s="50">
        <v>0</v>
      </c>
      <c r="I420" s="50">
        <v>0.202071375</v>
      </c>
      <c r="J420" s="50">
        <v>2.3752125000000002E-2</v>
      </c>
      <c r="K420" s="50">
        <v>0</v>
      </c>
    </row>
    <row r="421" spans="1:11">
      <c r="A421" s="20">
        <v>17</v>
      </c>
      <c r="B421" s="35">
        <v>40681</v>
      </c>
      <c r="C421" s="20">
        <v>2011</v>
      </c>
      <c r="D421" s="10" t="s">
        <v>29</v>
      </c>
      <c r="E421" s="20">
        <v>5</v>
      </c>
      <c r="F421" s="49">
        <v>1.978</v>
      </c>
      <c r="G421" s="50">
        <v>0.28656237499999998</v>
      </c>
      <c r="H421" s="50">
        <v>0</v>
      </c>
      <c r="I421" s="50">
        <v>0.43863787500000001</v>
      </c>
      <c r="J421" s="50">
        <v>2.4803624999999996E-2</v>
      </c>
      <c r="K421" s="50">
        <v>0</v>
      </c>
    </row>
    <row r="422" spans="1:11">
      <c r="A422" s="20">
        <v>18</v>
      </c>
      <c r="B422" s="35">
        <v>40681</v>
      </c>
      <c r="C422" s="20">
        <v>2011</v>
      </c>
      <c r="D422" s="10" t="s">
        <v>29</v>
      </c>
      <c r="E422" s="20">
        <v>5</v>
      </c>
      <c r="F422" s="49">
        <v>1.7989999999999999</v>
      </c>
      <c r="G422" s="50">
        <v>0.25574750000000002</v>
      </c>
      <c r="H422" s="50">
        <v>0</v>
      </c>
      <c r="I422" s="50">
        <v>0.39948137499999997</v>
      </c>
      <c r="J422" s="50">
        <v>3.0446250000000001E-2</v>
      </c>
      <c r="K422" s="50">
        <v>0</v>
      </c>
    </row>
    <row r="423" spans="1:11">
      <c r="A423" s="20">
        <v>1</v>
      </c>
      <c r="B423" s="35">
        <v>40708</v>
      </c>
      <c r="C423" s="20">
        <v>2011</v>
      </c>
      <c r="D423" s="10" t="s">
        <v>30</v>
      </c>
      <c r="E423" s="20">
        <v>6</v>
      </c>
      <c r="F423" s="49">
        <v>3.72</v>
      </c>
      <c r="G423" s="50">
        <v>0.22857875</v>
      </c>
      <c r="H423" s="50">
        <v>0</v>
      </c>
      <c r="I423" s="50">
        <v>0.63096912500000002</v>
      </c>
      <c r="J423" s="50">
        <v>0.15833187500000004</v>
      </c>
      <c r="K423" s="50">
        <v>0</v>
      </c>
    </row>
    <row r="424" spans="1:11">
      <c r="A424" s="20">
        <v>17</v>
      </c>
      <c r="B424" s="35">
        <v>40708</v>
      </c>
      <c r="C424" s="20">
        <v>2011</v>
      </c>
      <c r="D424" s="10" t="s">
        <v>30</v>
      </c>
      <c r="E424" s="20">
        <v>6</v>
      </c>
      <c r="F424" s="49">
        <v>2.9140000000000001</v>
      </c>
      <c r="G424" s="50">
        <v>0.25150525000000007</v>
      </c>
      <c r="H424" s="50">
        <v>0</v>
      </c>
      <c r="I424" s="50">
        <v>0.77571975000000004</v>
      </c>
      <c r="J424" s="50">
        <v>0.18229324999999993</v>
      </c>
      <c r="K424" s="50">
        <v>0</v>
      </c>
    </row>
    <row r="425" spans="1:11">
      <c r="A425" s="20">
        <v>18</v>
      </c>
      <c r="B425" s="35">
        <v>40708</v>
      </c>
      <c r="C425" s="20">
        <v>2011</v>
      </c>
      <c r="D425" s="10" t="s">
        <v>30</v>
      </c>
      <c r="E425" s="20">
        <v>6</v>
      </c>
      <c r="F425" s="49">
        <v>3.8250000000000002</v>
      </c>
      <c r="G425" s="50">
        <v>0.42403437499999996</v>
      </c>
      <c r="H425" s="50">
        <v>0</v>
      </c>
      <c r="I425" s="50">
        <v>1.0586201249999998</v>
      </c>
      <c r="J425" s="50">
        <v>0.19649912499999997</v>
      </c>
      <c r="K425" s="50">
        <v>0</v>
      </c>
    </row>
    <row r="426" spans="1:11">
      <c r="A426" s="20">
        <v>1</v>
      </c>
      <c r="B426" s="35">
        <v>40735</v>
      </c>
      <c r="C426" s="20">
        <v>2011</v>
      </c>
      <c r="D426" s="10" t="s">
        <v>31</v>
      </c>
      <c r="E426" s="20">
        <v>7</v>
      </c>
      <c r="F426" s="49">
        <v>13.347</v>
      </c>
      <c r="G426" s="50">
        <v>1.2932572499999997</v>
      </c>
      <c r="H426" s="50">
        <v>0</v>
      </c>
      <c r="I426" s="50">
        <v>2.4587737500000006</v>
      </c>
      <c r="J426" s="50">
        <v>0.37248424999999996</v>
      </c>
      <c r="K426" s="50">
        <v>0</v>
      </c>
    </row>
    <row r="427" spans="1:11">
      <c r="A427" s="20">
        <v>17</v>
      </c>
      <c r="B427" s="35">
        <v>40735</v>
      </c>
      <c r="C427" s="20">
        <v>2011</v>
      </c>
      <c r="D427" s="10" t="s">
        <v>31</v>
      </c>
      <c r="E427" s="20">
        <v>7</v>
      </c>
      <c r="F427" s="49">
        <v>8.2550000000000008</v>
      </c>
      <c r="G427" s="50">
        <v>0.11710787499999999</v>
      </c>
      <c r="H427" s="50">
        <v>0</v>
      </c>
      <c r="I427" s="50">
        <v>2.0910592499999998</v>
      </c>
      <c r="J427" s="50">
        <v>0.98744712499999998</v>
      </c>
      <c r="K427" s="50">
        <v>2.4930124999999997E-2</v>
      </c>
    </row>
    <row r="428" spans="1:11">
      <c r="A428" s="20">
        <v>18</v>
      </c>
      <c r="B428" s="35">
        <v>40735</v>
      </c>
      <c r="C428" s="20">
        <v>2011</v>
      </c>
      <c r="D428" s="10" t="s">
        <v>31</v>
      </c>
      <c r="E428" s="20">
        <v>7</v>
      </c>
      <c r="F428" s="49">
        <v>5.2439999999999998</v>
      </c>
      <c r="G428" s="50">
        <v>5.9084374999999995E-2</v>
      </c>
      <c r="H428" s="50">
        <v>0</v>
      </c>
      <c r="I428" s="50">
        <v>0.96602524999999984</v>
      </c>
      <c r="J428" s="50">
        <v>0.79101824999999992</v>
      </c>
      <c r="K428" s="50">
        <v>4.4640999999999993E-2</v>
      </c>
    </row>
    <row r="429" spans="1:11">
      <c r="A429" s="20">
        <v>1</v>
      </c>
      <c r="B429" s="35">
        <v>40771</v>
      </c>
      <c r="C429" s="20">
        <v>2011</v>
      </c>
      <c r="D429" s="10" t="s">
        <v>32</v>
      </c>
      <c r="E429" s="20">
        <v>8</v>
      </c>
      <c r="F429" s="49">
        <v>12.743</v>
      </c>
      <c r="G429" s="50">
        <v>0.41199112499999996</v>
      </c>
      <c r="H429" s="50">
        <v>0</v>
      </c>
      <c r="I429" s="50">
        <v>1.6918343749999998</v>
      </c>
      <c r="J429" s="50">
        <v>0.27486937499999997</v>
      </c>
      <c r="K429" s="50">
        <v>0</v>
      </c>
    </row>
    <row r="430" spans="1:11">
      <c r="A430" s="20">
        <v>17</v>
      </c>
      <c r="B430" s="35">
        <v>40771</v>
      </c>
      <c r="C430" s="20">
        <v>2011</v>
      </c>
      <c r="D430" s="10" t="s">
        <v>32</v>
      </c>
      <c r="E430" s="20">
        <v>8</v>
      </c>
      <c r="F430" s="49">
        <v>6.6539999999999999</v>
      </c>
      <c r="G430" s="50">
        <v>0.54271550000000002</v>
      </c>
      <c r="H430" s="50">
        <v>0</v>
      </c>
      <c r="I430" s="50">
        <v>1.4597007499999999</v>
      </c>
      <c r="J430" s="50">
        <v>0.10035400000000003</v>
      </c>
      <c r="K430" s="50">
        <v>0</v>
      </c>
    </row>
    <row r="431" spans="1:11">
      <c r="A431" s="20">
        <v>18</v>
      </c>
      <c r="B431" s="35">
        <v>40771</v>
      </c>
      <c r="C431" s="20">
        <v>2011</v>
      </c>
      <c r="D431" s="10" t="s">
        <v>32</v>
      </c>
      <c r="E431" s="20">
        <v>8</v>
      </c>
      <c r="F431" s="49">
        <v>8.76</v>
      </c>
      <c r="G431" s="50">
        <v>0.5389267499999999</v>
      </c>
      <c r="H431" s="50">
        <v>0</v>
      </c>
      <c r="I431" s="50">
        <v>1.9488198750000003</v>
      </c>
      <c r="J431" s="50">
        <v>1.0001374999999999</v>
      </c>
      <c r="K431" s="50">
        <v>0</v>
      </c>
    </row>
    <row r="432" spans="1:11">
      <c r="A432" s="20">
        <v>1</v>
      </c>
      <c r="B432" s="35">
        <v>40799</v>
      </c>
      <c r="C432" s="20">
        <v>2011</v>
      </c>
      <c r="D432" s="10" t="s">
        <v>38</v>
      </c>
      <c r="E432" s="20">
        <v>9</v>
      </c>
      <c r="F432" s="49">
        <v>9.2149999999999999</v>
      </c>
      <c r="G432" s="50">
        <v>1.0692600000000001</v>
      </c>
      <c r="H432" s="50">
        <v>0</v>
      </c>
      <c r="I432" s="50">
        <v>1.7171538749999999</v>
      </c>
      <c r="J432" s="50">
        <v>0.2211765</v>
      </c>
      <c r="K432" s="50">
        <v>0</v>
      </c>
    </row>
    <row r="433" spans="1:12">
      <c r="A433" s="20">
        <v>17</v>
      </c>
      <c r="B433" s="35">
        <v>40799</v>
      </c>
      <c r="C433" s="20">
        <v>2011</v>
      </c>
      <c r="D433" s="10" t="s">
        <v>38</v>
      </c>
      <c r="E433" s="20">
        <v>9</v>
      </c>
      <c r="F433" s="49">
        <v>5.7110000000000003</v>
      </c>
      <c r="G433" s="50">
        <v>0.62089987499999999</v>
      </c>
      <c r="H433" s="50">
        <v>0</v>
      </c>
      <c r="I433" s="50">
        <v>1.3902466249999998</v>
      </c>
      <c r="J433" s="50">
        <v>0.246921375</v>
      </c>
      <c r="K433" s="50">
        <v>0</v>
      </c>
    </row>
    <row r="434" spans="1:12">
      <c r="A434" s="20">
        <v>18</v>
      </c>
      <c r="B434" s="35">
        <v>40799</v>
      </c>
      <c r="C434" s="20">
        <v>2011</v>
      </c>
      <c r="D434" s="10" t="s">
        <v>38</v>
      </c>
      <c r="E434" s="20">
        <v>9</v>
      </c>
      <c r="F434" s="49">
        <v>5.6609999999999996</v>
      </c>
      <c r="G434" s="50">
        <v>0.42867787499999993</v>
      </c>
      <c r="H434" s="50">
        <v>0</v>
      </c>
      <c r="I434" s="50">
        <v>1.5611623750000001</v>
      </c>
      <c r="J434" s="50">
        <v>0.35634374999999996</v>
      </c>
      <c r="K434" s="50">
        <v>0</v>
      </c>
    </row>
    <row r="435" spans="1:12">
      <c r="A435" s="20">
        <v>1</v>
      </c>
      <c r="B435" s="35">
        <v>40827</v>
      </c>
      <c r="C435" s="20">
        <v>2011</v>
      </c>
      <c r="D435" s="10" t="s">
        <v>34</v>
      </c>
      <c r="E435" s="20">
        <v>10</v>
      </c>
      <c r="F435" s="52">
        <v>19.387</v>
      </c>
      <c r="G435" s="54">
        <v>0.34101025000000001</v>
      </c>
      <c r="H435" s="54">
        <v>0</v>
      </c>
      <c r="I435" s="54">
        <v>7.6462517500000002</v>
      </c>
      <c r="J435" s="54">
        <v>0.112805</v>
      </c>
      <c r="K435" s="54">
        <v>0</v>
      </c>
    </row>
    <row r="436" spans="1:12">
      <c r="A436" s="20">
        <v>17</v>
      </c>
      <c r="B436" s="35">
        <v>40827</v>
      </c>
      <c r="C436" s="20">
        <v>2011</v>
      </c>
      <c r="D436" s="10" t="s">
        <v>34</v>
      </c>
      <c r="E436" s="20">
        <v>10</v>
      </c>
      <c r="F436" s="52">
        <v>30.335999999999999</v>
      </c>
      <c r="G436" s="50">
        <v>0.28854475000000002</v>
      </c>
      <c r="H436" s="50">
        <v>0</v>
      </c>
      <c r="I436" s="50">
        <v>15.150415499999998</v>
      </c>
      <c r="J436" s="50">
        <v>0.17064674999999999</v>
      </c>
      <c r="K436" s="50">
        <v>0</v>
      </c>
    </row>
    <row r="437" spans="1:12">
      <c r="A437" s="20">
        <v>18</v>
      </c>
      <c r="B437" s="35">
        <v>40827</v>
      </c>
      <c r="C437" s="20">
        <v>2011</v>
      </c>
      <c r="D437" s="10" t="s">
        <v>34</v>
      </c>
      <c r="E437" s="20">
        <v>10</v>
      </c>
      <c r="F437" s="52">
        <v>9.0340000000000007</v>
      </c>
      <c r="G437" s="50">
        <v>0.2316955</v>
      </c>
      <c r="H437" s="50">
        <v>0</v>
      </c>
      <c r="I437" s="50">
        <v>3.5095037499999995</v>
      </c>
      <c r="J437" s="50">
        <v>8.6405250000000003E-2</v>
      </c>
      <c r="K437" s="50">
        <v>0</v>
      </c>
    </row>
    <row r="438" spans="1:12">
      <c r="A438" s="20">
        <v>1</v>
      </c>
      <c r="B438" s="55">
        <v>40862</v>
      </c>
      <c r="C438" s="20">
        <v>2011</v>
      </c>
      <c r="D438" s="10" t="s">
        <v>35</v>
      </c>
      <c r="E438" s="20">
        <v>11</v>
      </c>
      <c r="F438" s="52">
        <v>2.7909999999999999</v>
      </c>
      <c r="G438" s="50">
        <v>4.7099124999999999E-2</v>
      </c>
      <c r="H438" s="50">
        <v>0</v>
      </c>
      <c r="I438" s="50">
        <v>0.82970712499999988</v>
      </c>
      <c r="J438" s="50">
        <v>3.049025E-2</v>
      </c>
      <c r="K438" s="50">
        <v>0</v>
      </c>
    </row>
    <row r="439" spans="1:12">
      <c r="A439" s="20">
        <v>17</v>
      </c>
      <c r="B439" s="55">
        <v>40862</v>
      </c>
      <c r="C439" s="20">
        <v>2011</v>
      </c>
      <c r="D439" s="10" t="s">
        <v>35</v>
      </c>
      <c r="E439" s="20">
        <v>11</v>
      </c>
      <c r="F439" s="52">
        <v>5.7450000000000001</v>
      </c>
      <c r="G439" s="50">
        <v>3.0206624999999997E-2</v>
      </c>
      <c r="H439" s="50">
        <v>5.6936874999999991E-2</v>
      </c>
      <c r="I439" s="50">
        <v>2.5973988749999997</v>
      </c>
      <c r="J439" s="50">
        <v>3.7591375000000003E-2</v>
      </c>
      <c r="K439" s="50">
        <v>0</v>
      </c>
    </row>
    <row r="440" spans="1:12">
      <c r="A440" s="20">
        <v>18</v>
      </c>
      <c r="B440" s="55">
        <v>40862</v>
      </c>
      <c r="C440" s="20">
        <v>2011</v>
      </c>
      <c r="D440" s="10" t="s">
        <v>35</v>
      </c>
      <c r="E440" s="20">
        <v>11</v>
      </c>
      <c r="F440" s="52">
        <v>5.6529999999999996</v>
      </c>
      <c r="G440" s="50">
        <v>4.0707125000000004E-2</v>
      </c>
      <c r="H440" s="50">
        <v>3.5767749999999994E-2</v>
      </c>
      <c r="I440" s="50">
        <v>2.4395321249999999</v>
      </c>
      <c r="J440" s="50">
        <v>3.9612874999999999E-2</v>
      </c>
      <c r="K440" s="50">
        <v>0</v>
      </c>
    </row>
    <row r="441" spans="1:12">
      <c r="A441" s="20">
        <v>1</v>
      </c>
      <c r="B441" s="55">
        <v>40890</v>
      </c>
      <c r="C441" s="20">
        <v>2011</v>
      </c>
      <c r="D441" s="10" t="s">
        <v>36</v>
      </c>
      <c r="E441" s="20">
        <v>12</v>
      </c>
      <c r="F441" s="52">
        <v>2.3290000000000002</v>
      </c>
      <c r="G441" s="50">
        <v>5.8415874999999999E-2</v>
      </c>
      <c r="H441" s="50">
        <v>0</v>
      </c>
      <c r="I441" s="50">
        <v>0.557828875</v>
      </c>
      <c r="J441" s="50">
        <v>2.0709374999999999E-2</v>
      </c>
      <c r="K441" s="50">
        <v>0</v>
      </c>
    </row>
    <row r="442" spans="1:12">
      <c r="A442" s="20">
        <v>17</v>
      </c>
      <c r="B442" s="55">
        <v>40890</v>
      </c>
      <c r="C442" s="20">
        <v>2011</v>
      </c>
      <c r="D442" s="10" t="s">
        <v>36</v>
      </c>
      <c r="E442" s="20">
        <v>12</v>
      </c>
      <c r="F442" s="52">
        <v>4.0019999999999998</v>
      </c>
      <c r="G442" s="50">
        <v>9.9813249999999992E-2</v>
      </c>
      <c r="H442" s="50">
        <v>0</v>
      </c>
      <c r="I442" s="50">
        <v>1.6900222499999999</v>
      </c>
      <c r="J442" s="50">
        <v>2.5033749999999994E-2</v>
      </c>
      <c r="K442" s="50">
        <v>0</v>
      </c>
    </row>
    <row r="443" spans="1:12">
      <c r="A443" s="20">
        <v>18</v>
      </c>
      <c r="B443" s="55">
        <v>40890</v>
      </c>
      <c r="C443" s="20">
        <v>2011</v>
      </c>
      <c r="D443" s="10" t="s">
        <v>36</v>
      </c>
      <c r="E443" s="20">
        <v>12</v>
      </c>
      <c r="F443" s="52">
        <v>1.9750000000000001</v>
      </c>
      <c r="G443" s="50">
        <v>6.1688500000000007E-2</v>
      </c>
      <c r="H443" s="50">
        <v>0</v>
      </c>
      <c r="I443" s="50">
        <v>0.65601837499999993</v>
      </c>
      <c r="J443" s="50">
        <v>1.7874375000000001E-2</v>
      </c>
      <c r="K443" s="50">
        <v>0</v>
      </c>
    </row>
    <row r="444" spans="1:12">
      <c r="A444" s="43">
        <v>1</v>
      </c>
      <c r="B444" s="53">
        <v>40917</v>
      </c>
      <c r="C444" s="43">
        <v>2012</v>
      </c>
      <c r="D444" s="45" t="s">
        <v>37</v>
      </c>
      <c r="E444" s="43">
        <v>1</v>
      </c>
      <c r="F444" s="56">
        <v>4.7460000000000004</v>
      </c>
      <c r="G444" s="47">
        <v>6.1985749999999978E-2</v>
      </c>
      <c r="H444" s="47">
        <v>0</v>
      </c>
      <c r="I444" s="47">
        <v>1.3407332499999998</v>
      </c>
      <c r="J444" s="47">
        <v>4.5291499999999991E-2</v>
      </c>
      <c r="K444" s="47">
        <v>0</v>
      </c>
      <c r="L444" s="48"/>
    </row>
    <row r="445" spans="1:12">
      <c r="A445" s="20">
        <v>17</v>
      </c>
      <c r="B445" s="35">
        <v>40917</v>
      </c>
      <c r="C445" s="20">
        <v>2012</v>
      </c>
      <c r="D445" s="10" t="s">
        <v>37</v>
      </c>
      <c r="E445" s="20">
        <v>1</v>
      </c>
      <c r="F445" s="57">
        <v>10.285</v>
      </c>
      <c r="G445" s="50">
        <v>7.5661875000000003E-2</v>
      </c>
      <c r="H445" s="50">
        <v>5.1193624999999993E-2</v>
      </c>
      <c r="I445" s="50">
        <v>5.1590927499999992</v>
      </c>
      <c r="J445" s="50">
        <v>1.8464624999999998E-2</v>
      </c>
      <c r="K445" s="50">
        <v>0</v>
      </c>
    </row>
    <row r="446" spans="1:12">
      <c r="A446" s="20">
        <v>18</v>
      </c>
      <c r="B446" s="35">
        <v>40917</v>
      </c>
      <c r="C446" s="20">
        <v>2012</v>
      </c>
      <c r="D446" s="10" t="s">
        <v>37</v>
      </c>
      <c r="E446" s="20">
        <v>1</v>
      </c>
      <c r="F446" s="57">
        <v>3.9940000000000002</v>
      </c>
      <c r="G446" s="50">
        <v>5.8260624999999996E-2</v>
      </c>
      <c r="H446" s="50">
        <v>0</v>
      </c>
      <c r="I446" s="50">
        <v>1.8027686249999997</v>
      </c>
      <c r="J446" s="50">
        <v>2.0099124999999995E-2</v>
      </c>
      <c r="K446" s="50">
        <v>0</v>
      </c>
    </row>
    <row r="447" spans="1:12">
      <c r="A447" s="20">
        <v>1</v>
      </c>
      <c r="B447" s="35">
        <v>40962</v>
      </c>
      <c r="C447" s="20">
        <v>2012</v>
      </c>
      <c r="D447" s="10" t="s">
        <v>26</v>
      </c>
      <c r="E447" s="20">
        <v>2</v>
      </c>
      <c r="F447" s="57">
        <v>11.262</v>
      </c>
      <c r="G447" s="50">
        <v>9.442749999999997E-2</v>
      </c>
      <c r="H447" s="50">
        <v>0.14214737499999999</v>
      </c>
      <c r="I447" s="50">
        <v>7.1280816250000001</v>
      </c>
      <c r="J447" s="50">
        <v>6.2926999999999997E-2</v>
      </c>
      <c r="K447" s="50">
        <v>0</v>
      </c>
    </row>
    <row r="448" spans="1:12">
      <c r="A448" s="20">
        <v>17</v>
      </c>
      <c r="B448" s="35">
        <v>40962</v>
      </c>
      <c r="C448" s="20">
        <v>2012</v>
      </c>
      <c r="D448" s="10" t="s">
        <v>26</v>
      </c>
      <c r="E448" s="20">
        <v>2</v>
      </c>
      <c r="F448" s="57">
        <v>22.803999999999998</v>
      </c>
      <c r="G448" s="50">
        <v>0.21427433333333329</v>
      </c>
      <c r="H448" s="50">
        <v>0.45448483333333328</v>
      </c>
      <c r="I448" s="50">
        <v>14.744191166666667</v>
      </c>
      <c r="J448" s="50">
        <v>6.4279166666666665E-2</v>
      </c>
      <c r="K448" s="50">
        <v>0</v>
      </c>
    </row>
    <row r="449" spans="1:11">
      <c r="A449" s="20">
        <v>18</v>
      </c>
      <c r="B449" s="35">
        <v>40962</v>
      </c>
      <c r="C449" s="20">
        <v>2012</v>
      </c>
      <c r="D449" s="10" t="s">
        <v>26</v>
      </c>
      <c r="E449" s="20">
        <v>2</v>
      </c>
      <c r="F449" s="57">
        <v>16.109000000000002</v>
      </c>
      <c r="G449" s="50">
        <v>0.15991012499999999</v>
      </c>
      <c r="H449" s="50">
        <v>0.27555825</v>
      </c>
      <c r="I449" s="50">
        <v>10.292261999999997</v>
      </c>
      <c r="J449" s="50">
        <v>6.4516249999999997E-2</v>
      </c>
      <c r="K449" s="50">
        <v>0</v>
      </c>
    </row>
    <row r="450" spans="1:11">
      <c r="A450" s="20">
        <v>1</v>
      </c>
      <c r="B450" s="35">
        <v>40980</v>
      </c>
      <c r="C450" s="20">
        <v>2012</v>
      </c>
      <c r="D450" s="10" t="s">
        <v>27</v>
      </c>
      <c r="E450" s="20">
        <v>3</v>
      </c>
      <c r="F450" s="57">
        <v>5.2960000000000003</v>
      </c>
      <c r="G450" s="50">
        <v>0.10889562499999998</v>
      </c>
      <c r="H450" s="50">
        <v>4.9259624999999994E-2</v>
      </c>
      <c r="I450" s="50">
        <v>3.1396644999999999</v>
      </c>
      <c r="J450" s="50">
        <v>6.4036124999999999E-2</v>
      </c>
      <c r="K450" s="50">
        <v>0</v>
      </c>
    </row>
    <row r="451" spans="1:11">
      <c r="A451" s="20">
        <v>17</v>
      </c>
      <c r="B451" s="35">
        <v>40980</v>
      </c>
      <c r="C451" s="20">
        <v>2012</v>
      </c>
      <c r="D451" s="10" t="s">
        <v>27</v>
      </c>
      <c r="E451" s="20">
        <v>3</v>
      </c>
      <c r="F451" s="57">
        <v>12.057</v>
      </c>
      <c r="G451" s="50">
        <v>0.15609824999999999</v>
      </c>
      <c r="H451" s="50">
        <v>9.3612000000000001E-2</v>
      </c>
      <c r="I451" s="50">
        <v>8.6592324999999999</v>
      </c>
      <c r="J451" s="50">
        <v>4.3167124999999994E-2</v>
      </c>
      <c r="K451" s="50">
        <v>0</v>
      </c>
    </row>
    <row r="452" spans="1:11">
      <c r="A452" s="20">
        <v>18</v>
      </c>
      <c r="B452" s="35">
        <v>40980</v>
      </c>
      <c r="C452" s="20">
        <v>2012</v>
      </c>
      <c r="D452" s="10" t="s">
        <v>27</v>
      </c>
      <c r="E452" s="20">
        <v>3</v>
      </c>
      <c r="F452" s="57">
        <v>3.456</v>
      </c>
      <c r="G452" s="50">
        <v>4.0761625000000003E-2</v>
      </c>
      <c r="H452" s="50">
        <v>0</v>
      </c>
      <c r="I452" s="50">
        <v>1.4487775000000001</v>
      </c>
      <c r="J452" s="50">
        <v>6.7637375E-2</v>
      </c>
      <c r="K452" s="50">
        <v>0</v>
      </c>
    </row>
    <row r="453" spans="1:11">
      <c r="A453" s="20">
        <v>1</v>
      </c>
      <c r="B453" s="35">
        <v>41015</v>
      </c>
      <c r="C453" s="20">
        <v>2012</v>
      </c>
      <c r="D453" s="10" t="s">
        <v>28</v>
      </c>
      <c r="E453" s="20">
        <v>4</v>
      </c>
      <c r="F453" s="49">
        <v>1.6080000000000001</v>
      </c>
      <c r="G453" s="50">
        <v>0</v>
      </c>
      <c r="H453" s="50">
        <v>0</v>
      </c>
      <c r="I453" s="50">
        <v>0.6772062499999999</v>
      </c>
      <c r="J453" s="50">
        <v>1.8827750000000004E-2</v>
      </c>
      <c r="K453" s="50">
        <v>0</v>
      </c>
    </row>
    <row r="454" spans="1:11">
      <c r="A454" s="20">
        <v>17</v>
      </c>
      <c r="B454" s="35">
        <v>41015</v>
      </c>
      <c r="C454" s="20">
        <v>2012</v>
      </c>
      <c r="D454" s="10" t="s">
        <v>28</v>
      </c>
      <c r="E454" s="20">
        <v>4</v>
      </c>
      <c r="F454" s="49">
        <v>1.4930000000000001</v>
      </c>
      <c r="G454" s="50">
        <v>0</v>
      </c>
      <c r="H454" s="50">
        <v>0</v>
      </c>
      <c r="I454" s="50">
        <v>0.64273950000000002</v>
      </c>
      <c r="J454" s="50">
        <v>1.9624625E-2</v>
      </c>
      <c r="K454" s="50">
        <v>0</v>
      </c>
    </row>
    <row r="455" spans="1:11">
      <c r="A455" s="20">
        <v>18</v>
      </c>
      <c r="B455" s="35">
        <v>41015</v>
      </c>
      <c r="C455" s="20">
        <v>2012</v>
      </c>
      <c r="D455" s="10" t="s">
        <v>28</v>
      </c>
      <c r="E455" s="20">
        <v>4</v>
      </c>
      <c r="F455" s="49">
        <v>1.5089999999999999</v>
      </c>
      <c r="G455" s="50">
        <v>0</v>
      </c>
      <c r="H455" s="50">
        <v>0</v>
      </c>
      <c r="I455" s="50">
        <v>0.47751887499999995</v>
      </c>
      <c r="J455" s="50">
        <v>2.8880874999999997E-2</v>
      </c>
      <c r="K455" s="50">
        <v>0</v>
      </c>
    </row>
    <row r="456" spans="1:11">
      <c r="A456" s="20">
        <v>1</v>
      </c>
      <c r="B456" s="35">
        <v>41045</v>
      </c>
      <c r="C456" s="20">
        <v>2012</v>
      </c>
      <c r="D456" s="10" t="s">
        <v>29</v>
      </c>
      <c r="E456" s="20">
        <v>5</v>
      </c>
      <c r="F456" s="49">
        <v>4.4130000000000003</v>
      </c>
      <c r="G456" s="50">
        <v>3.7142124999999991E-2</v>
      </c>
      <c r="H456" s="50">
        <v>0.10824612499999998</v>
      </c>
      <c r="I456" s="50">
        <v>2.1236721250000001</v>
      </c>
      <c r="J456" s="50">
        <v>4.6744249999999994E-2</v>
      </c>
      <c r="K456" s="50">
        <v>0</v>
      </c>
    </row>
    <row r="457" spans="1:11">
      <c r="A457" s="20">
        <v>17</v>
      </c>
      <c r="B457" s="35">
        <v>41045</v>
      </c>
      <c r="C457" s="20">
        <v>2012</v>
      </c>
      <c r="D457" s="10" t="s">
        <v>29</v>
      </c>
      <c r="E457" s="20">
        <v>5</v>
      </c>
      <c r="F457" s="49">
        <v>4.45</v>
      </c>
      <c r="G457" s="50">
        <v>5.6777499999999995E-2</v>
      </c>
      <c r="H457" s="50">
        <v>0.25750137499999998</v>
      </c>
      <c r="I457" s="50">
        <v>2.2567783749999997</v>
      </c>
      <c r="J457" s="50">
        <v>4.8279500000000003E-2</v>
      </c>
      <c r="K457" s="50">
        <v>0</v>
      </c>
    </row>
    <row r="458" spans="1:11">
      <c r="A458" s="20">
        <v>18</v>
      </c>
      <c r="B458" s="35">
        <v>41045</v>
      </c>
      <c r="C458" s="20">
        <v>2012</v>
      </c>
      <c r="D458" s="10" t="s">
        <v>29</v>
      </c>
      <c r="E458" s="20">
        <v>5</v>
      </c>
      <c r="F458" s="49">
        <v>5.343</v>
      </c>
      <c r="G458" s="50">
        <v>9.3169500000000016E-2</v>
      </c>
      <c r="H458" s="50">
        <v>0.155727375</v>
      </c>
      <c r="I458" s="50">
        <v>2.5379732499999998</v>
      </c>
      <c r="J458" s="50">
        <v>6.8983000000000003E-2</v>
      </c>
      <c r="K458" s="50">
        <v>0</v>
      </c>
    </row>
    <row r="459" spans="1:11">
      <c r="A459" s="20">
        <v>1</v>
      </c>
      <c r="B459" s="35">
        <v>41073</v>
      </c>
      <c r="C459" s="20">
        <v>2012</v>
      </c>
      <c r="D459" s="10" t="s">
        <v>30</v>
      </c>
      <c r="E459" s="20">
        <v>6</v>
      </c>
      <c r="F459" s="49">
        <v>5.7510000000000003</v>
      </c>
      <c r="G459" s="50">
        <v>0.12935374999999999</v>
      </c>
      <c r="H459" s="50">
        <v>4.422425E-2</v>
      </c>
      <c r="I459" s="50">
        <v>1.8353336250000003</v>
      </c>
      <c r="J459" s="50">
        <v>0.33436587499999998</v>
      </c>
      <c r="K459" s="50">
        <v>0</v>
      </c>
    </row>
    <row r="460" spans="1:11">
      <c r="A460" s="20">
        <v>17</v>
      </c>
      <c r="B460" s="35">
        <v>41073</v>
      </c>
      <c r="C460" s="20">
        <v>2012</v>
      </c>
      <c r="D460" s="10" t="s">
        <v>30</v>
      </c>
      <c r="E460" s="20">
        <v>6</v>
      </c>
      <c r="F460" s="49">
        <v>5.8970000000000002</v>
      </c>
      <c r="G460" s="50">
        <v>0.42449962499999999</v>
      </c>
      <c r="H460" s="50">
        <v>8.0149750000000006E-2</v>
      </c>
      <c r="I460" s="50">
        <v>2.8512401249999995</v>
      </c>
      <c r="J460" s="50">
        <v>6.4409750000000002E-2</v>
      </c>
      <c r="K460" s="50">
        <v>0</v>
      </c>
    </row>
    <row r="461" spans="1:11">
      <c r="A461" s="20">
        <v>18</v>
      </c>
      <c r="B461" s="35">
        <v>41073</v>
      </c>
      <c r="C461" s="20">
        <v>2012</v>
      </c>
      <c r="D461" s="10" t="s">
        <v>30</v>
      </c>
      <c r="E461" s="20">
        <v>6</v>
      </c>
      <c r="F461" s="49">
        <v>8.2430000000000003</v>
      </c>
      <c r="G461" s="50">
        <v>8.4842374999999984E-2</v>
      </c>
      <c r="H461" s="50">
        <v>0</v>
      </c>
      <c r="I461" s="50">
        <v>3.0141598749999998</v>
      </c>
      <c r="J461" s="50">
        <v>0.31920874999999999</v>
      </c>
      <c r="K461" s="50">
        <v>0</v>
      </c>
    </row>
    <row r="462" spans="1:11">
      <c r="A462" s="20">
        <v>1</v>
      </c>
      <c r="B462" s="35">
        <v>41107</v>
      </c>
      <c r="C462" s="20">
        <v>2012</v>
      </c>
      <c r="D462" s="10" t="s">
        <v>31</v>
      </c>
      <c r="E462" s="20">
        <v>7</v>
      </c>
      <c r="F462" s="49">
        <v>8.2539999999999996</v>
      </c>
      <c r="G462" s="50">
        <v>9.472812500000001E-2</v>
      </c>
      <c r="H462" s="50">
        <v>0</v>
      </c>
      <c r="I462" s="50">
        <v>2.9198668749999999</v>
      </c>
      <c r="J462" s="50">
        <v>0.239925375</v>
      </c>
      <c r="K462" s="50">
        <v>0</v>
      </c>
    </row>
    <row r="463" spans="1:11">
      <c r="A463" s="20">
        <v>17</v>
      </c>
      <c r="B463" s="35">
        <v>41107</v>
      </c>
      <c r="C463" s="20">
        <v>2012</v>
      </c>
      <c r="D463" s="10" t="s">
        <v>31</v>
      </c>
      <c r="E463" s="20">
        <v>7</v>
      </c>
      <c r="F463" s="49">
        <v>8.0850000000000009</v>
      </c>
      <c r="G463" s="50">
        <v>0.19788887499999999</v>
      </c>
      <c r="H463" s="50">
        <v>0</v>
      </c>
      <c r="I463" s="50">
        <v>2.9509516250000001</v>
      </c>
      <c r="J463" s="50">
        <v>2.6998749999999996E-3</v>
      </c>
      <c r="K463" s="50">
        <v>0</v>
      </c>
    </row>
    <row r="464" spans="1:11">
      <c r="A464" s="20">
        <v>18</v>
      </c>
      <c r="B464" s="35">
        <v>41107</v>
      </c>
      <c r="C464" s="20">
        <v>2012</v>
      </c>
      <c r="D464" s="10" t="s">
        <v>31</v>
      </c>
      <c r="E464" s="20">
        <v>7</v>
      </c>
      <c r="F464" s="49">
        <v>5.4820000000000002</v>
      </c>
      <c r="G464" s="50">
        <v>0.12186524999999999</v>
      </c>
      <c r="H464" s="50">
        <v>0</v>
      </c>
      <c r="I464" s="50">
        <v>1.9052411250000001</v>
      </c>
      <c r="J464" s="50">
        <v>0.25436950000000003</v>
      </c>
      <c r="K464" s="50">
        <v>0</v>
      </c>
    </row>
    <row r="465" spans="1:12">
      <c r="A465" s="20">
        <v>1</v>
      </c>
      <c r="B465" s="35">
        <v>41135</v>
      </c>
      <c r="C465" s="20">
        <v>2012</v>
      </c>
      <c r="D465" s="10" t="s">
        <v>32</v>
      </c>
      <c r="E465" s="20">
        <v>8</v>
      </c>
      <c r="F465" s="49">
        <v>11.004</v>
      </c>
      <c r="G465" s="50">
        <v>0.72191875000000005</v>
      </c>
      <c r="H465" s="50">
        <v>0</v>
      </c>
      <c r="I465" s="50">
        <v>3.7693638749999994</v>
      </c>
      <c r="J465" s="50">
        <v>0.49703550000000002</v>
      </c>
      <c r="K465" s="50">
        <v>0</v>
      </c>
    </row>
    <row r="466" spans="1:12">
      <c r="A466" s="20">
        <v>17</v>
      </c>
      <c r="B466" s="35">
        <v>41135</v>
      </c>
      <c r="C466" s="20">
        <v>2012</v>
      </c>
      <c r="D466" s="10" t="s">
        <v>32</v>
      </c>
      <c r="E466" s="20">
        <v>8</v>
      </c>
      <c r="F466" s="49">
        <v>11.523999999999999</v>
      </c>
      <c r="G466" s="50">
        <v>0.49924887499999998</v>
      </c>
      <c r="H466" s="50">
        <v>0</v>
      </c>
      <c r="I466" s="50">
        <v>4.9662823749999987</v>
      </c>
      <c r="J466" s="50">
        <v>0.58554012499999997</v>
      </c>
      <c r="K466" s="50">
        <v>0</v>
      </c>
    </row>
    <row r="467" spans="1:12">
      <c r="A467" s="20">
        <v>18</v>
      </c>
      <c r="B467" s="35">
        <v>41135</v>
      </c>
      <c r="C467" s="20">
        <v>2012</v>
      </c>
      <c r="D467" s="10" t="s">
        <v>32</v>
      </c>
      <c r="E467" s="20">
        <v>8</v>
      </c>
      <c r="F467" s="49">
        <v>12.27</v>
      </c>
      <c r="G467" s="50">
        <v>0.18151512499999997</v>
      </c>
      <c r="H467" s="50">
        <v>0</v>
      </c>
      <c r="I467" s="50">
        <v>4.1902286249999996</v>
      </c>
      <c r="J467" s="50">
        <v>1.5350522499999997</v>
      </c>
      <c r="K467" s="50">
        <v>4.8723500000000003E-2</v>
      </c>
    </row>
    <row r="468" spans="1:12">
      <c r="A468" s="20">
        <v>1</v>
      </c>
      <c r="B468" s="35">
        <v>41164</v>
      </c>
      <c r="C468" s="20">
        <v>2012</v>
      </c>
      <c r="D468" s="10" t="s">
        <v>38</v>
      </c>
      <c r="E468" s="20">
        <v>9</v>
      </c>
      <c r="F468" s="49">
        <v>9.9719999999999995</v>
      </c>
      <c r="G468" s="50">
        <v>7.7073499999999989E-2</v>
      </c>
      <c r="H468" s="50">
        <v>0</v>
      </c>
      <c r="I468" s="50">
        <v>4.575053875</v>
      </c>
      <c r="J468" s="50">
        <v>0.34494412499999993</v>
      </c>
      <c r="K468" s="50">
        <v>0</v>
      </c>
    </row>
    <row r="469" spans="1:12">
      <c r="A469" s="20">
        <v>17</v>
      </c>
      <c r="B469" s="35">
        <v>41164</v>
      </c>
      <c r="C469" s="20">
        <v>2012</v>
      </c>
      <c r="D469" s="10" t="s">
        <v>38</v>
      </c>
      <c r="E469" s="20">
        <v>9</v>
      </c>
      <c r="F469" s="49">
        <v>12.736000000000001</v>
      </c>
      <c r="G469" s="50">
        <v>0</v>
      </c>
      <c r="H469" s="50">
        <v>0</v>
      </c>
      <c r="I469" s="50">
        <v>6.8171262499999985</v>
      </c>
      <c r="J469" s="50">
        <v>0.30021662500000001</v>
      </c>
      <c r="K469" s="50">
        <v>0</v>
      </c>
    </row>
    <row r="470" spans="1:12">
      <c r="A470" s="20">
        <v>18</v>
      </c>
      <c r="B470" s="35">
        <v>41164</v>
      </c>
      <c r="C470" s="20">
        <v>2012</v>
      </c>
      <c r="D470" s="10" t="s">
        <v>38</v>
      </c>
      <c r="E470" s="20">
        <v>9</v>
      </c>
      <c r="F470" s="49">
        <v>9.218</v>
      </c>
      <c r="G470" s="50">
        <v>0</v>
      </c>
      <c r="H470" s="50">
        <v>0</v>
      </c>
      <c r="I470" s="50">
        <v>4.5910902499999997</v>
      </c>
      <c r="J470" s="50">
        <v>0.28028087499999993</v>
      </c>
      <c r="K470" s="50">
        <v>0</v>
      </c>
    </row>
    <row r="471" spans="1:12">
      <c r="A471" s="20">
        <v>1</v>
      </c>
      <c r="B471" s="35">
        <v>41200</v>
      </c>
      <c r="C471" s="20">
        <v>2012</v>
      </c>
      <c r="D471" s="10" t="s">
        <v>34</v>
      </c>
      <c r="E471" s="20">
        <v>10</v>
      </c>
      <c r="F471" s="49">
        <v>3.069</v>
      </c>
      <c r="G471" s="50">
        <v>4.5039374999999993E-2</v>
      </c>
      <c r="H471" s="50">
        <v>0</v>
      </c>
      <c r="I471" s="50">
        <v>1.0714341249999997</v>
      </c>
      <c r="J471" s="50">
        <v>4.6839874999999996E-2</v>
      </c>
      <c r="K471" s="50">
        <v>0</v>
      </c>
    </row>
    <row r="472" spans="1:12">
      <c r="A472" s="20">
        <v>17</v>
      </c>
      <c r="B472" s="35">
        <v>41200</v>
      </c>
      <c r="C472" s="20">
        <v>2012</v>
      </c>
      <c r="D472" s="10" t="s">
        <v>34</v>
      </c>
      <c r="E472" s="20">
        <v>10</v>
      </c>
      <c r="F472" s="49">
        <v>7.125</v>
      </c>
      <c r="G472" s="50">
        <v>0.16978837499999996</v>
      </c>
      <c r="H472" s="50">
        <v>6.9665749999999985E-2</v>
      </c>
      <c r="I472" s="50">
        <v>3.0422444999999994</v>
      </c>
      <c r="J472" s="50">
        <v>9.4490624999999995E-2</v>
      </c>
      <c r="K472" s="50">
        <v>0</v>
      </c>
    </row>
    <row r="473" spans="1:12">
      <c r="A473" s="20">
        <v>18</v>
      </c>
      <c r="B473" s="35">
        <v>41200</v>
      </c>
      <c r="C473" s="20">
        <v>2012</v>
      </c>
      <c r="D473" s="10" t="s">
        <v>34</v>
      </c>
      <c r="E473" s="20">
        <v>10</v>
      </c>
      <c r="F473" s="49">
        <v>2.956</v>
      </c>
      <c r="G473" s="50">
        <v>5.484687500000001E-2</v>
      </c>
      <c r="H473" s="50">
        <v>0</v>
      </c>
      <c r="I473" s="50">
        <v>1.1764652499999999</v>
      </c>
      <c r="J473" s="50">
        <v>4.987225E-2</v>
      </c>
      <c r="K473" s="50">
        <v>0</v>
      </c>
    </row>
    <row r="474" spans="1:12">
      <c r="A474" s="20">
        <v>1</v>
      </c>
      <c r="B474" s="35">
        <v>41226</v>
      </c>
      <c r="C474" s="20">
        <v>2012</v>
      </c>
      <c r="D474" s="10" t="s">
        <v>35</v>
      </c>
      <c r="E474" s="20">
        <v>11</v>
      </c>
      <c r="F474" s="49">
        <v>1.71</v>
      </c>
      <c r="G474" s="50">
        <v>0</v>
      </c>
      <c r="H474" s="50">
        <v>0</v>
      </c>
      <c r="I474" s="50">
        <v>0.40672887499999999</v>
      </c>
      <c r="J474" s="50">
        <v>0</v>
      </c>
      <c r="K474" s="50">
        <v>0</v>
      </c>
    </row>
    <row r="475" spans="1:12">
      <c r="A475" s="20">
        <v>17</v>
      </c>
      <c r="B475" s="35">
        <v>41226</v>
      </c>
      <c r="C475" s="20">
        <v>2012</v>
      </c>
      <c r="D475" s="10" t="s">
        <v>35</v>
      </c>
      <c r="E475" s="20">
        <v>11</v>
      </c>
      <c r="F475" s="49">
        <v>2.6160000000000001</v>
      </c>
      <c r="G475" s="50">
        <v>0</v>
      </c>
      <c r="H475" s="50">
        <v>0</v>
      </c>
      <c r="I475" s="50">
        <v>1.0638682500000003</v>
      </c>
      <c r="J475" s="50">
        <v>2.422175E-2</v>
      </c>
      <c r="K475" s="50">
        <v>0</v>
      </c>
    </row>
    <row r="476" spans="1:12">
      <c r="A476" s="20">
        <v>18</v>
      </c>
      <c r="B476" s="35">
        <v>41226</v>
      </c>
      <c r="C476" s="20">
        <v>2012</v>
      </c>
      <c r="D476" s="10" t="s">
        <v>35</v>
      </c>
      <c r="E476" s="20">
        <v>11</v>
      </c>
      <c r="F476" s="49">
        <v>3.024</v>
      </c>
      <c r="G476" s="50">
        <v>0</v>
      </c>
      <c r="H476" s="50">
        <v>0</v>
      </c>
      <c r="I476" s="50">
        <v>1.29346575</v>
      </c>
      <c r="J476" s="50">
        <v>3.410912499999999E-2</v>
      </c>
      <c r="K476" s="50">
        <v>0</v>
      </c>
    </row>
    <row r="477" spans="1:12">
      <c r="A477" s="20">
        <v>1</v>
      </c>
      <c r="B477" s="35">
        <v>41254</v>
      </c>
      <c r="C477" s="20">
        <v>2012</v>
      </c>
      <c r="D477" s="10" t="s">
        <v>36</v>
      </c>
      <c r="E477" s="20">
        <v>12</v>
      </c>
      <c r="F477" s="49">
        <v>7.4009999999999998</v>
      </c>
      <c r="G477" s="50">
        <v>6.1071624999999997E-2</v>
      </c>
      <c r="H477" s="50">
        <v>0</v>
      </c>
      <c r="I477" s="50">
        <v>3.1005207499999994</v>
      </c>
      <c r="J477" s="50">
        <v>0</v>
      </c>
      <c r="K477" s="50">
        <v>0</v>
      </c>
    </row>
    <row r="478" spans="1:12">
      <c r="A478" s="20">
        <v>17</v>
      </c>
      <c r="B478" s="35">
        <v>41254</v>
      </c>
      <c r="C478" s="20">
        <v>2012</v>
      </c>
      <c r="D478" s="10" t="s">
        <v>36</v>
      </c>
      <c r="E478" s="20">
        <v>12</v>
      </c>
      <c r="F478" s="49">
        <v>8.8949999999999996</v>
      </c>
      <c r="G478" s="50">
        <v>0</v>
      </c>
      <c r="H478" s="50">
        <v>0</v>
      </c>
      <c r="I478" s="50">
        <v>4.1434813749999995</v>
      </c>
      <c r="J478" s="50">
        <v>1.6306749999999998E-2</v>
      </c>
      <c r="K478" s="50">
        <v>0</v>
      </c>
    </row>
    <row r="479" spans="1:12">
      <c r="A479" s="20">
        <v>18</v>
      </c>
      <c r="B479" s="35">
        <v>41254</v>
      </c>
      <c r="C479" s="20">
        <v>2012</v>
      </c>
      <c r="D479" s="10" t="s">
        <v>36</v>
      </c>
      <c r="E479" s="20">
        <v>12</v>
      </c>
      <c r="F479" s="49">
        <v>2.5960000000000001</v>
      </c>
      <c r="G479" s="50">
        <v>0</v>
      </c>
      <c r="H479" s="50">
        <v>0</v>
      </c>
      <c r="I479" s="50">
        <v>1.1786571249999998</v>
      </c>
      <c r="J479" s="50">
        <v>7.6324999999999987E-3</v>
      </c>
      <c r="K479" s="50">
        <v>0</v>
      </c>
    </row>
    <row r="480" spans="1:12">
      <c r="A480" s="43">
        <v>1</v>
      </c>
      <c r="B480" s="53">
        <v>41288</v>
      </c>
      <c r="C480" s="43">
        <v>2013</v>
      </c>
      <c r="D480" s="45" t="s">
        <v>37</v>
      </c>
      <c r="E480" s="43">
        <v>1</v>
      </c>
      <c r="F480" s="46">
        <v>3.7519999999999998</v>
      </c>
      <c r="G480" s="47">
        <v>4.5629625E-2</v>
      </c>
      <c r="H480" s="47">
        <v>0</v>
      </c>
      <c r="I480" s="47">
        <v>1.4045683750000002</v>
      </c>
      <c r="J480" s="47">
        <v>0</v>
      </c>
      <c r="K480" s="47">
        <v>0</v>
      </c>
      <c r="L480" s="48"/>
    </row>
    <row r="481" spans="1:11">
      <c r="A481" s="20">
        <v>17</v>
      </c>
      <c r="B481" s="35">
        <v>41288</v>
      </c>
      <c r="C481" s="20">
        <v>2013</v>
      </c>
      <c r="D481" s="10" t="s">
        <v>37</v>
      </c>
      <c r="E481" s="20">
        <v>1</v>
      </c>
      <c r="F481" s="49">
        <v>8.4710000000000001</v>
      </c>
      <c r="G481" s="50">
        <v>8.1469874999999983E-2</v>
      </c>
      <c r="H481" s="50">
        <v>0</v>
      </c>
      <c r="I481" s="50">
        <v>3.7026131250000001</v>
      </c>
      <c r="J481" s="50">
        <v>1.38215E-2</v>
      </c>
      <c r="K481" s="50">
        <v>0</v>
      </c>
    </row>
    <row r="482" spans="1:11">
      <c r="A482" s="20">
        <v>18</v>
      </c>
      <c r="B482" s="35">
        <v>41288</v>
      </c>
      <c r="C482" s="20">
        <v>2013</v>
      </c>
      <c r="D482" s="10" t="s">
        <v>37</v>
      </c>
      <c r="E482" s="20">
        <v>1</v>
      </c>
      <c r="F482" s="51">
        <v>5.609</v>
      </c>
      <c r="G482" s="50">
        <v>6.5756750000000017E-2</v>
      </c>
      <c r="H482" s="50">
        <v>0</v>
      </c>
      <c r="I482" s="50">
        <v>2.4509699999999999</v>
      </c>
      <c r="J482" s="50">
        <v>0</v>
      </c>
      <c r="K482" s="50">
        <v>0</v>
      </c>
    </row>
    <row r="483" spans="1:11">
      <c r="A483" s="20">
        <v>1</v>
      </c>
      <c r="B483" s="35">
        <v>41318</v>
      </c>
      <c r="C483" s="20">
        <v>2013</v>
      </c>
      <c r="D483" s="10" t="s">
        <v>26</v>
      </c>
      <c r="E483" s="20">
        <v>2</v>
      </c>
      <c r="F483" s="58">
        <v>6.1440000000000001</v>
      </c>
      <c r="G483" s="50">
        <v>0.29896125000000001</v>
      </c>
      <c r="H483" s="50">
        <v>0</v>
      </c>
      <c r="I483" s="50">
        <v>2.8635459999999999</v>
      </c>
      <c r="J483" s="50">
        <v>1.4628875E-2</v>
      </c>
      <c r="K483" s="50">
        <v>0</v>
      </c>
    </row>
    <row r="484" spans="1:11">
      <c r="A484" s="20">
        <v>17</v>
      </c>
      <c r="B484" s="35">
        <v>41318</v>
      </c>
      <c r="C484" s="20">
        <v>2013</v>
      </c>
      <c r="D484" s="10" t="s">
        <v>26</v>
      </c>
      <c r="E484" s="20">
        <v>2</v>
      </c>
      <c r="F484" s="58">
        <v>7.3550000000000004</v>
      </c>
      <c r="G484" s="50">
        <v>0.26643549999999999</v>
      </c>
      <c r="H484" s="50">
        <v>0</v>
      </c>
      <c r="I484" s="50">
        <v>3.0407433749999995</v>
      </c>
      <c r="J484" s="50">
        <v>1.5055249999999997E-2</v>
      </c>
      <c r="K484" s="50">
        <v>0</v>
      </c>
    </row>
    <row r="485" spans="1:11">
      <c r="A485" s="20">
        <v>18</v>
      </c>
      <c r="B485" s="35">
        <v>41318</v>
      </c>
      <c r="C485" s="20">
        <v>2013</v>
      </c>
      <c r="D485" s="10" t="s">
        <v>26</v>
      </c>
      <c r="E485" s="20">
        <v>2</v>
      </c>
      <c r="F485" s="58">
        <v>7.8769999999999998</v>
      </c>
      <c r="G485" s="50">
        <v>0.29558050000000002</v>
      </c>
      <c r="H485" s="50">
        <v>0</v>
      </c>
      <c r="I485" s="50">
        <v>3.3651889999999995</v>
      </c>
      <c r="J485" s="50">
        <v>1.6976499999999999E-2</v>
      </c>
      <c r="K485" s="50">
        <v>0</v>
      </c>
    </row>
    <row r="486" spans="1:11">
      <c r="A486" s="20">
        <v>1</v>
      </c>
      <c r="B486" s="35">
        <v>41344</v>
      </c>
      <c r="C486" s="20">
        <v>2013</v>
      </c>
      <c r="D486" s="10" t="s">
        <v>27</v>
      </c>
      <c r="E486" s="20">
        <v>3</v>
      </c>
      <c r="F486" s="58">
        <v>6.5209999999999999</v>
      </c>
      <c r="G486" s="50">
        <v>0.161067875</v>
      </c>
      <c r="H486" s="50">
        <v>0</v>
      </c>
      <c r="I486" s="50">
        <v>2.9342406249999997</v>
      </c>
      <c r="J486" s="50">
        <v>3.1136750000000001E-2</v>
      </c>
      <c r="K486" s="50">
        <v>0</v>
      </c>
    </row>
    <row r="487" spans="1:11">
      <c r="A487" s="20">
        <v>17</v>
      </c>
      <c r="B487" s="35">
        <v>41344</v>
      </c>
      <c r="C487" s="20">
        <v>2013</v>
      </c>
      <c r="D487" s="10" t="s">
        <v>27</v>
      </c>
      <c r="E487" s="20">
        <v>3</v>
      </c>
      <c r="F487" s="58">
        <v>8.843</v>
      </c>
      <c r="G487" s="50">
        <v>0.37071549999999992</v>
      </c>
      <c r="H487" s="50">
        <v>0</v>
      </c>
      <c r="I487" s="50">
        <v>3.8189104999999999</v>
      </c>
      <c r="J487" s="50">
        <v>2.5451000000000001E-2</v>
      </c>
      <c r="K487" s="50">
        <v>0</v>
      </c>
    </row>
    <row r="488" spans="1:11">
      <c r="A488" s="20">
        <v>18</v>
      </c>
      <c r="B488" s="35">
        <v>41344</v>
      </c>
      <c r="C488" s="20">
        <v>2013</v>
      </c>
      <c r="D488" s="10" t="s">
        <v>27</v>
      </c>
      <c r="E488" s="20">
        <v>3</v>
      </c>
      <c r="F488" s="58">
        <v>8.5359999999999996</v>
      </c>
      <c r="G488" s="50">
        <v>0.20401875</v>
      </c>
      <c r="H488" s="50">
        <v>0</v>
      </c>
      <c r="I488" s="50">
        <v>3.8739868750000004</v>
      </c>
      <c r="J488" s="50">
        <v>3.0235499999999998E-2</v>
      </c>
      <c r="K488" s="50">
        <v>0</v>
      </c>
    </row>
    <row r="489" spans="1:11">
      <c r="A489" s="20">
        <v>1</v>
      </c>
      <c r="B489" s="35">
        <v>41381</v>
      </c>
      <c r="C489" s="20">
        <v>2013</v>
      </c>
      <c r="D489" s="10" t="s">
        <v>28</v>
      </c>
      <c r="E489" s="20">
        <v>4</v>
      </c>
      <c r="F489" s="59">
        <v>0.47099999999999997</v>
      </c>
      <c r="G489" s="50">
        <v>0</v>
      </c>
      <c r="H489" s="50">
        <v>0</v>
      </c>
      <c r="I489" s="50">
        <v>0.27236074999999998</v>
      </c>
      <c r="J489" s="50">
        <v>5.5519999999999996E-3</v>
      </c>
      <c r="K489" s="50">
        <v>0</v>
      </c>
    </row>
    <row r="490" spans="1:11">
      <c r="A490" s="20">
        <v>17</v>
      </c>
      <c r="B490" s="35">
        <v>41381</v>
      </c>
      <c r="C490" s="20">
        <v>2013</v>
      </c>
      <c r="D490" s="10" t="s">
        <v>28</v>
      </c>
      <c r="E490" s="20">
        <v>4</v>
      </c>
      <c r="F490" s="59">
        <v>0.59899999999999998</v>
      </c>
      <c r="G490" s="50">
        <v>0</v>
      </c>
      <c r="H490" s="50">
        <v>0</v>
      </c>
      <c r="I490" s="50">
        <v>0.345777375</v>
      </c>
      <c r="J490" s="50">
        <v>1.5762499999999995E-2</v>
      </c>
      <c r="K490" s="50">
        <v>0</v>
      </c>
    </row>
    <row r="491" spans="1:11">
      <c r="A491" s="20">
        <v>18</v>
      </c>
      <c r="B491" s="35">
        <v>41381</v>
      </c>
      <c r="C491" s="20">
        <v>2013</v>
      </c>
      <c r="D491" s="10" t="s">
        <v>28</v>
      </c>
      <c r="E491" s="20">
        <v>4</v>
      </c>
      <c r="F491" s="59">
        <v>0.45400000000000001</v>
      </c>
      <c r="G491" s="50">
        <v>0</v>
      </c>
      <c r="H491" s="50">
        <v>0</v>
      </c>
      <c r="I491" s="50">
        <v>0.27816337500000005</v>
      </c>
      <c r="J491" s="50">
        <v>9.5130000000000006E-3</v>
      </c>
      <c r="K491" s="50">
        <v>0</v>
      </c>
    </row>
    <row r="492" spans="1:11">
      <c r="A492" s="20">
        <v>1</v>
      </c>
      <c r="B492" s="35">
        <v>41408</v>
      </c>
      <c r="C492" s="20">
        <v>2013</v>
      </c>
      <c r="D492" s="10" t="s">
        <v>29</v>
      </c>
      <c r="E492" s="20">
        <v>5</v>
      </c>
      <c r="F492" s="59">
        <v>0.88300000000000001</v>
      </c>
      <c r="G492" s="50">
        <v>2.0032374999999998E-2</v>
      </c>
      <c r="H492" s="50">
        <v>0</v>
      </c>
      <c r="I492" s="50">
        <v>0.307779625</v>
      </c>
      <c r="J492" s="50">
        <v>2.1122499999999999E-2</v>
      </c>
      <c r="K492" s="50">
        <v>0</v>
      </c>
    </row>
    <row r="493" spans="1:11">
      <c r="A493" s="20">
        <v>17</v>
      </c>
      <c r="B493" s="35">
        <v>41408</v>
      </c>
      <c r="C493" s="20">
        <v>2013</v>
      </c>
      <c r="D493" s="10" t="s">
        <v>29</v>
      </c>
      <c r="E493" s="20">
        <v>5</v>
      </c>
      <c r="F493" s="59">
        <v>2.5680000000000001</v>
      </c>
      <c r="G493" s="50">
        <v>5.2784249999999998E-2</v>
      </c>
      <c r="H493" s="50">
        <v>0</v>
      </c>
      <c r="I493" s="50">
        <v>1.3019626249999998</v>
      </c>
      <c r="J493" s="50">
        <v>2.5832250000000005E-2</v>
      </c>
      <c r="K493" s="50">
        <v>0</v>
      </c>
    </row>
    <row r="494" spans="1:11">
      <c r="A494" s="20">
        <v>18</v>
      </c>
      <c r="B494" s="35">
        <v>41408</v>
      </c>
      <c r="C494" s="20">
        <v>2013</v>
      </c>
      <c r="D494" s="10" t="s">
        <v>29</v>
      </c>
      <c r="E494" s="20">
        <v>5</v>
      </c>
      <c r="F494" s="59">
        <v>0.84699999999999998</v>
      </c>
      <c r="G494" s="50">
        <v>0</v>
      </c>
      <c r="H494" s="50">
        <v>0</v>
      </c>
      <c r="I494" s="50">
        <v>0.30319237500000001</v>
      </c>
      <c r="J494" s="50">
        <v>1.5079499999999997E-2</v>
      </c>
      <c r="K494" s="50">
        <v>0</v>
      </c>
    </row>
    <row r="495" spans="1:11">
      <c r="A495" s="20">
        <v>1</v>
      </c>
      <c r="B495" s="35">
        <v>41436</v>
      </c>
      <c r="C495" s="20">
        <v>2013</v>
      </c>
      <c r="D495" s="10" t="s">
        <v>30</v>
      </c>
      <c r="E495" s="20">
        <v>6</v>
      </c>
      <c r="F495" s="59">
        <v>3.645</v>
      </c>
      <c r="G495" s="50">
        <v>0.10573637499999998</v>
      </c>
      <c r="H495" s="50">
        <v>0</v>
      </c>
      <c r="I495" s="50">
        <v>0.78359250000000003</v>
      </c>
      <c r="J495" s="50">
        <v>4.44815E-2</v>
      </c>
      <c r="K495" s="50">
        <v>0</v>
      </c>
    </row>
    <row r="496" spans="1:11">
      <c r="A496" s="20">
        <v>17</v>
      </c>
      <c r="B496" s="35">
        <v>41436</v>
      </c>
      <c r="C496" s="20">
        <v>2013</v>
      </c>
      <c r="D496" s="10" t="s">
        <v>30</v>
      </c>
      <c r="E496" s="20">
        <v>6</v>
      </c>
      <c r="F496" s="59">
        <v>4.2629999999999999</v>
      </c>
      <c r="G496" s="50">
        <v>0.31968950000000002</v>
      </c>
      <c r="H496" s="50">
        <v>0</v>
      </c>
      <c r="I496" s="50">
        <v>1.7517778749999997</v>
      </c>
      <c r="J496" s="50">
        <v>6.0755374999999993E-2</v>
      </c>
      <c r="K496" s="50">
        <v>0</v>
      </c>
    </row>
    <row r="497" spans="1:11">
      <c r="A497" s="20">
        <v>18</v>
      </c>
      <c r="B497" s="35">
        <v>41436</v>
      </c>
      <c r="C497" s="20">
        <v>2013</v>
      </c>
      <c r="D497" s="10" t="s">
        <v>30</v>
      </c>
      <c r="E497" s="20">
        <v>6</v>
      </c>
      <c r="F497" s="59">
        <v>5.8090000000000002</v>
      </c>
      <c r="G497" s="50">
        <v>7.8489624999999993E-2</v>
      </c>
      <c r="H497" s="50">
        <v>2.3334749999999998E-2</v>
      </c>
      <c r="I497" s="50">
        <v>1.7458698749999999</v>
      </c>
      <c r="J497" s="50">
        <v>0.13472087499999996</v>
      </c>
      <c r="K497" s="50">
        <v>0</v>
      </c>
    </row>
    <row r="498" spans="1:11">
      <c r="A498" s="20">
        <v>1</v>
      </c>
      <c r="B498" s="35">
        <v>41471</v>
      </c>
      <c r="C498" s="20">
        <v>2013</v>
      </c>
      <c r="D498" s="10" t="s">
        <v>31</v>
      </c>
      <c r="E498" s="20">
        <v>7</v>
      </c>
      <c r="F498" s="59">
        <v>5.0659999999999998</v>
      </c>
      <c r="G498" s="50">
        <v>0.15615937499999996</v>
      </c>
      <c r="H498" s="50">
        <v>0</v>
      </c>
      <c r="I498" s="50">
        <v>1.6308466249999998</v>
      </c>
      <c r="J498" s="50">
        <v>0.11054924999999997</v>
      </c>
      <c r="K498" s="50">
        <v>0</v>
      </c>
    </row>
    <row r="499" spans="1:11">
      <c r="A499" s="20">
        <v>17</v>
      </c>
      <c r="B499" s="35">
        <v>41471</v>
      </c>
      <c r="C499" s="20">
        <v>2013</v>
      </c>
      <c r="D499" s="10" t="s">
        <v>31</v>
      </c>
      <c r="E499" s="20">
        <v>7</v>
      </c>
      <c r="F499" s="59">
        <v>15.305</v>
      </c>
      <c r="G499" s="50">
        <v>0.32833449999999997</v>
      </c>
      <c r="H499" s="50">
        <v>0</v>
      </c>
      <c r="I499" s="50">
        <v>7.1338674999999983</v>
      </c>
      <c r="J499" s="50">
        <v>0.30220249999999999</v>
      </c>
      <c r="K499" s="50">
        <v>0</v>
      </c>
    </row>
    <row r="500" spans="1:11">
      <c r="A500" s="20">
        <v>18</v>
      </c>
      <c r="B500" s="35">
        <v>41471</v>
      </c>
      <c r="C500" s="20">
        <v>2013</v>
      </c>
      <c r="D500" s="10" t="s">
        <v>31</v>
      </c>
      <c r="E500" s="20">
        <v>7</v>
      </c>
      <c r="F500" s="59">
        <v>11.465999999999999</v>
      </c>
      <c r="G500" s="50">
        <v>0.27070987500000004</v>
      </c>
      <c r="H500" s="50">
        <v>0</v>
      </c>
      <c r="I500" s="50">
        <v>4.1815727499999999</v>
      </c>
      <c r="J500" s="50">
        <v>0.35071687499999998</v>
      </c>
      <c r="K500" s="50">
        <v>0</v>
      </c>
    </row>
    <row r="501" spans="1:11">
      <c r="A501" s="20">
        <v>1</v>
      </c>
      <c r="B501" s="35">
        <v>41499</v>
      </c>
      <c r="C501" s="20">
        <v>2013</v>
      </c>
      <c r="D501" s="10" t="s">
        <v>32</v>
      </c>
      <c r="E501" s="20">
        <v>8</v>
      </c>
      <c r="F501" s="59">
        <v>5.7140000000000004</v>
      </c>
      <c r="G501" s="50">
        <v>0.51496850000000005</v>
      </c>
      <c r="H501" s="50">
        <v>0</v>
      </c>
      <c r="I501" s="50">
        <v>1.5962015000000001</v>
      </c>
      <c r="J501" s="50">
        <v>0.17590112499999996</v>
      </c>
      <c r="K501" s="50">
        <v>0</v>
      </c>
    </row>
    <row r="502" spans="1:11">
      <c r="A502" s="20">
        <v>17</v>
      </c>
      <c r="B502" s="35">
        <v>41499</v>
      </c>
      <c r="C502" s="20">
        <v>2013</v>
      </c>
      <c r="D502" s="10" t="s">
        <v>32</v>
      </c>
      <c r="E502" s="20">
        <v>8</v>
      </c>
      <c r="F502" s="59">
        <v>6.3680000000000003</v>
      </c>
      <c r="G502" s="50">
        <v>0.27802149999999992</v>
      </c>
      <c r="H502" s="50">
        <v>0</v>
      </c>
      <c r="I502" s="50">
        <v>2.7716478749999998</v>
      </c>
      <c r="J502" s="50">
        <v>0.16898712499999999</v>
      </c>
      <c r="K502" s="50">
        <v>0</v>
      </c>
    </row>
    <row r="503" spans="1:11">
      <c r="A503" s="20">
        <v>18</v>
      </c>
      <c r="B503" s="35">
        <v>41499</v>
      </c>
      <c r="C503" s="20">
        <v>2013</v>
      </c>
      <c r="D503" s="10" t="s">
        <v>32</v>
      </c>
      <c r="E503" s="20">
        <v>8</v>
      </c>
      <c r="F503" s="59">
        <v>8.7149999999999999</v>
      </c>
      <c r="G503" s="50">
        <v>0.37614550000000002</v>
      </c>
      <c r="H503" s="50">
        <v>0</v>
      </c>
      <c r="I503" s="50">
        <v>3.0767417500000001</v>
      </c>
      <c r="J503" s="50">
        <v>0.23121449999999999</v>
      </c>
      <c r="K503" s="50">
        <v>0</v>
      </c>
    </row>
    <row r="504" spans="1:11">
      <c r="A504" s="20">
        <v>1</v>
      </c>
      <c r="B504" s="35">
        <v>41533</v>
      </c>
      <c r="C504" s="20">
        <v>2013</v>
      </c>
      <c r="D504" s="10" t="s">
        <v>38</v>
      </c>
      <c r="E504" s="20">
        <v>9</v>
      </c>
      <c r="F504" s="59">
        <v>3.1379999999999999</v>
      </c>
      <c r="G504" s="50">
        <v>8.5963499999999998E-2</v>
      </c>
      <c r="H504" s="50">
        <v>0</v>
      </c>
      <c r="I504" s="50">
        <v>0.76333024999999999</v>
      </c>
      <c r="J504" s="50">
        <v>5.4569125000000003E-2</v>
      </c>
      <c r="K504" s="50">
        <v>0</v>
      </c>
    </row>
    <row r="505" spans="1:11">
      <c r="A505" s="20">
        <v>17</v>
      </c>
      <c r="B505" s="35">
        <v>41533</v>
      </c>
      <c r="C505" s="20">
        <v>2013</v>
      </c>
      <c r="D505" s="10" t="s">
        <v>38</v>
      </c>
      <c r="E505" s="20">
        <v>9</v>
      </c>
      <c r="F505" s="59">
        <v>3.1459999999999999</v>
      </c>
      <c r="G505" s="50">
        <v>4.6196624999999998E-2</v>
      </c>
      <c r="H505" s="50">
        <v>0</v>
      </c>
      <c r="I505" s="50">
        <v>1.2813613749999997</v>
      </c>
      <c r="J505" s="50">
        <v>5.0449374999999998E-2</v>
      </c>
      <c r="K505" s="50">
        <v>0</v>
      </c>
    </row>
    <row r="506" spans="1:11">
      <c r="A506" s="20">
        <v>18</v>
      </c>
      <c r="B506" s="35">
        <v>41533</v>
      </c>
      <c r="C506" s="20">
        <v>2013</v>
      </c>
      <c r="D506" s="10" t="s">
        <v>38</v>
      </c>
      <c r="E506" s="20">
        <v>9</v>
      </c>
      <c r="F506" s="59">
        <v>3.032</v>
      </c>
      <c r="G506" s="50">
        <v>3.8159374999999995E-2</v>
      </c>
      <c r="H506" s="50">
        <v>0</v>
      </c>
      <c r="I506" s="50">
        <v>1.064082</v>
      </c>
      <c r="J506" s="50">
        <v>3.5412625000000003E-2</v>
      </c>
      <c r="K506" s="50">
        <v>0</v>
      </c>
    </row>
    <row r="507" spans="1:11">
      <c r="A507" s="20">
        <v>1</v>
      </c>
      <c r="B507" s="35">
        <v>41569</v>
      </c>
      <c r="C507" s="20">
        <v>2013</v>
      </c>
      <c r="D507" s="10" t="s">
        <v>34</v>
      </c>
      <c r="E507" s="20">
        <v>10</v>
      </c>
      <c r="F507" s="49">
        <v>1.3</v>
      </c>
      <c r="G507" s="54">
        <v>0</v>
      </c>
      <c r="H507" s="54">
        <v>0</v>
      </c>
      <c r="I507" s="54">
        <v>0.33221499999999998</v>
      </c>
      <c r="J507" s="54">
        <v>1.2742500000000002E-2</v>
      </c>
      <c r="K507" s="54">
        <v>0</v>
      </c>
    </row>
    <row r="508" spans="1:11">
      <c r="A508" s="20">
        <v>17</v>
      </c>
      <c r="B508" s="35">
        <v>41569</v>
      </c>
      <c r="C508" s="20">
        <v>2013</v>
      </c>
      <c r="D508" s="10" t="s">
        <v>34</v>
      </c>
      <c r="E508" s="20">
        <v>10</v>
      </c>
      <c r="F508" s="49">
        <v>3.7040000000000002</v>
      </c>
      <c r="G508" s="50">
        <v>5.9057499999999992E-2</v>
      </c>
      <c r="H508" s="50">
        <v>0</v>
      </c>
      <c r="I508" s="50">
        <v>1.4726443749999998</v>
      </c>
      <c r="J508" s="50">
        <v>3.2357999999999998E-2</v>
      </c>
      <c r="K508" s="50">
        <v>0</v>
      </c>
    </row>
    <row r="509" spans="1:11">
      <c r="A509" s="20">
        <v>18</v>
      </c>
      <c r="B509" s="35">
        <v>41569</v>
      </c>
      <c r="C509" s="20">
        <v>2013</v>
      </c>
      <c r="D509" s="10" t="s">
        <v>34</v>
      </c>
      <c r="E509" s="20">
        <v>10</v>
      </c>
      <c r="F509" s="49">
        <v>3.7650000000000001</v>
      </c>
      <c r="G509" s="50">
        <v>5.7607874999999996E-2</v>
      </c>
      <c r="H509" s="50">
        <v>0</v>
      </c>
      <c r="I509" s="50">
        <v>1.4408166249999999</v>
      </c>
      <c r="J509" s="50">
        <v>3.7083499999999998E-2</v>
      </c>
      <c r="K509" s="50">
        <v>0</v>
      </c>
    </row>
    <row r="510" spans="1:11">
      <c r="A510" s="20">
        <v>1</v>
      </c>
      <c r="B510" s="35">
        <v>41598</v>
      </c>
      <c r="C510" s="20">
        <v>2013</v>
      </c>
      <c r="D510" s="10" t="s">
        <v>35</v>
      </c>
      <c r="E510" s="20">
        <v>11</v>
      </c>
      <c r="F510" s="49">
        <v>2.0910000000000002</v>
      </c>
      <c r="G510" s="50">
        <v>2.3551625E-2</v>
      </c>
      <c r="H510" s="50">
        <v>0</v>
      </c>
      <c r="I510" s="50">
        <v>0.78841649999999985</v>
      </c>
      <c r="J510" s="50">
        <v>1.6012624999999999E-2</v>
      </c>
      <c r="K510" s="50">
        <v>0</v>
      </c>
    </row>
    <row r="511" spans="1:11">
      <c r="A511" s="20">
        <v>17</v>
      </c>
      <c r="B511" s="35">
        <v>41598</v>
      </c>
      <c r="C511" s="20">
        <v>2013</v>
      </c>
      <c r="D511" s="10" t="s">
        <v>35</v>
      </c>
      <c r="E511" s="20">
        <v>11</v>
      </c>
      <c r="F511" s="49">
        <v>6.4530000000000003</v>
      </c>
      <c r="G511" s="50">
        <v>3.686275E-2</v>
      </c>
      <c r="H511" s="50">
        <v>0</v>
      </c>
      <c r="I511" s="50">
        <v>3.3456804999999989</v>
      </c>
      <c r="J511" s="50">
        <v>3.3987375E-2</v>
      </c>
      <c r="K511" s="50">
        <v>0</v>
      </c>
    </row>
    <row r="512" spans="1:11">
      <c r="A512" s="20">
        <v>18</v>
      </c>
      <c r="B512" s="35">
        <v>41598</v>
      </c>
      <c r="C512" s="20">
        <v>2013</v>
      </c>
      <c r="D512" s="10" t="s">
        <v>35</v>
      </c>
      <c r="E512" s="20">
        <v>11</v>
      </c>
      <c r="F512" s="49">
        <v>6.6760000000000002</v>
      </c>
      <c r="G512" s="50">
        <v>5.3113374999999997E-2</v>
      </c>
      <c r="H512" s="50">
        <v>0</v>
      </c>
      <c r="I512" s="50">
        <v>3.3863778750000004</v>
      </c>
      <c r="J512" s="50">
        <v>3.2067125000000002E-2</v>
      </c>
      <c r="K512" s="50">
        <v>0</v>
      </c>
    </row>
    <row r="513" spans="1:12">
      <c r="A513" s="20">
        <v>1</v>
      </c>
      <c r="B513" s="35">
        <v>41624</v>
      </c>
      <c r="C513" s="20">
        <v>2013</v>
      </c>
      <c r="D513" s="10" t="s">
        <v>36</v>
      </c>
      <c r="E513" s="20">
        <v>12</v>
      </c>
      <c r="F513" s="49">
        <v>2.355</v>
      </c>
      <c r="G513" s="50">
        <v>0</v>
      </c>
      <c r="H513" s="50">
        <v>0</v>
      </c>
      <c r="I513" s="50">
        <v>1.089415</v>
      </c>
      <c r="J513" s="50">
        <v>1.1933250000000001E-2</v>
      </c>
      <c r="K513" s="50">
        <v>0</v>
      </c>
    </row>
    <row r="514" spans="1:12">
      <c r="A514" s="20">
        <v>17</v>
      </c>
      <c r="B514" s="35">
        <v>41624</v>
      </c>
      <c r="C514" s="20">
        <v>2013</v>
      </c>
      <c r="D514" s="10" t="s">
        <v>36</v>
      </c>
      <c r="E514" s="20">
        <v>12</v>
      </c>
      <c r="F514" s="49">
        <v>11.252000000000001</v>
      </c>
      <c r="G514" s="50">
        <v>4.6198249999999989E-2</v>
      </c>
      <c r="H514" s="50">
        <v>0</v>
      </c>
      <c r="I514" s="50">
        <v>6.1435919999999991</v>
      </c>
      <c r="J514" s="50">
        <v>4.1646249999999996E-2</v>
      </c>
      <c r="K514" s="50">
        <v>0</v>
      </c>
    </row>
    <row r="515" spans="1:12">
      <c r="A515" s="20">
        <v>18</v>
      </c>
      <c r="B515" s="35">
        <v>41624</v>
      </c>
      <c r="C515" s="20">
        <v>2013</v>
      </c>
      <c r="D515" s="10" t="s">
        <v>36</v>
      </c>
      <c r="E515" s="20">
        <v>12</v>
      </c>
      <c r="F515" s="49">
        <v>2.573</v>
      </c>
      <c r="G515" s="50">
        <v>0</v>
      </c>
      <c r="H515" s="50">
        <v>0</v>
      </c>
      <c r="I515" s="50">
        <v>1.1612604999999998</v>
      </c>
      <c r="J515" s="50">
        <v>0</v>
      </c>
      <c r="K515" s="50">
        <v>0</v>
      </c>
    </row>
    <row r="516" spans="1:12">
      <c r="A516" s="43">
        <v>1</v>
      </c>
      <c r="B516" s="53">
        <v>41654</v>
      </c>
      <c r="C516" s="43">
        <v>2014</v>
      </c>
      <c r="D516" s="45" t="s">
        <v>37</v>
      </c>
      <c r="E516" s="43">
        <v>1</v>
      </c>
      <c r="F516" s="46">
        <v>2.0259999999999998</v>
      </c>
      <c r="G516" s="47">
        <v>3.1210749999999999E-2</v>
      </c>
      <c r="H516" s="47">
        <v>0</v>
      </c>
      <c r="I516" s="47">
        <v>0.85740625000000004</v>
      </c>
      <c r="J516" s="47">
        <v>1.7601624999999996E-2</v>
      </c>
      <c r="K516" s="47">
        <v>0</v>
      </c>
      <c r="L516" s="48"/>
    </row>
    <row r="517" spans="1:12">
      <c r="A517" s="20">
        <v>17</v>
      </c>
      <c r="B517" s="35">
        <v>41654</v>
      </c>
      <c r="C517" s="20">
        <v>2014</v>
      </c>
      <c r="D517" s="10" t="s">
        <v>37</v>
      </c>
      <c r="E517" s="20">
        <v>1</v>
      </c>
      <c r="F517" s="49">
        <v>6.6669999999999998</v>
      </c>
      <c r="G517" s="50">
        <v>0.10002274999999998</v>
      </c>
      <c r="H517" s="50">
        <v>0</v>
      </c>
      <c r="I517" s="50">
        <v>3.4234799999999992</v>
      </c>
      <c r="J517" s="50">
        <v>2.4910624999999992E-2</v>
      </c>
      <c r="K517" s="50">
        <v>0</v>
      </c>
    </row>
    <row r="518" spans="1:12">
      <c r="A518" s="20">
        <v>18</v>
      </c>
      <c r="B518" s="35">
        <v>41654</v>
      </c>
      <c r="C518" s="20">
        <v>2014</v>
      </c>
      <c r="D518" s="10" t="s">
        <v>37</v>
      </c>
      <c r="E518" s="20">
        <v>1</v>
      </c>
      <c r="F518" s="49">
        <v>3.919</v>
      </c>
      <c r="G518" s="50">
        <v>8.6388374999999989E-2</v>
      </c>
      <c r="H518" s="50">
        <v>0</v>
      </c>
      <c r="I518" s="50">
        <v>1.8140702499999997</v>
      </c>
      <c r="J518" s="50">
        <v>2.2062374999999999E-2</v>
      </c>
      <c r="K518" s="50">
        <v>0</v>
      </c>
    </row>
    <row r="519" spans="1:12">
      <c r="A519" s="20">
        <v>1</v>
      </c>
      <c r="B519" s="35">
        <v>41688</v>
      </c>
      <c r="C519" s="20">
        <v>2014</v>
      </c>
      <c r="D519" s="10" t="s">
        <v>26</v>
      </c>
      <c r="E519" s="20">
        <v>2</v>
      </c>
      <c r="F519" s="49">
        <v>6.2839999999999998</v>
      </c>
      <c r="G519" s="50">
        <v>0.5253486249999999</v>
      </c>
      <c r="H519" s="50">
        <v>0</v>
      </c>
      <c r="I519" s="50">
        <v>2.5800456249999995</v>
      </c>
      <c r="J519" s="50">
        <v>0</v>
      </c>
      <c r="K519" s="50">
        <v>0</v>
      </c>
    </row>
    <row r="520" spans="1:12">
      <c r="A520" s="20">
        <v>17</v>
      </c>
      <c r="B520" s="35">
        <v>41688</v>
      </c>
      <c r="C520" s="20">
        <v>2014</v>
      </c>
      <c r="D520" s="10" t="s">
        <v>26</v>
      </c>
      <c r="E520" s="20">
        <v>2</v>
      </c>
      <c r="F520" s="49">
        <v>12.17</v>
      </c>
      <c r="G520" s="50">
        <v>1.266083375</v>
      </c>
      <c r="H520" s="50">
        <v>0</v>
      </c>
      <c r="I520" s="50">
        <v>4.810481124999999</v>
      </c>
      <c r="J520" s="50">
        <v>0</v>
      </c>
      <c r="K520" s="50">
        <v>0</v>
      </c>
    </row>
    <row r="521" spans="1:12">
      <c r="A521" s="20">
        <v>18</v>
      </c>
      <c r="B521" s="35">
        <v>41688</v>
      </c>
      <c r="C521" s="20">
        <v>2014</v>
      </c>
      <c r="D521" s="10" t="s">
        <v>26</v>
      </c>
      <c r="E521" s="20">
        <v>2</v>
      </c>
      <c r="F521" s="49">
        <v>8.2899999999999991</v>
      </c>
      <c r="G521" s="50">
        <v>0.70859637499999995</v>
      </c>
      <c r="H521" s="50">
        <v>0</v>
      </c>
      <c r="I521" s="50">
        <v>3.5166008750000004</v>
      </c>
      <c r="J521" s="50">
        <v>2.1240249999999995E-2</v>
      </c>
      <c r="K521" s="50">
        <v>0</v>
      </c>
    </row>
    <row r="522" spans="1:12">
      <c r="A522" s="20">
        <v>1</v>
      </c>
      <c r="B522" s="35">
        <v>41719</v>
      </c>
      <c r="C522" s="20">
        <v>2014</v>
      </c>
      <c r="D522" s="10" t="s">
        <v>27</v>
      </c>
      <c r="E522" s="20">
        <v>3</v>
      </c>
      <c r="F522" s="49">
        <v>2.2229999999999999</v>
      </c>
      <c r="G522" s="50">
        <v>9.1020249999999997E-2</v>
      </c>
      <c r="H522" s="50">
        <v>0</v>
      </c>
      <c r="I522" s="50">
        <v>0.73633824999999997</v>
      </c>
      <c r="J522" s="50">
        <v>5.1310624999999992E-2</v>
      </c>
      <c r="K522" s="50">
        <v>0</v>
      </c>
    </row>
    <row r="523" spans="1:12">
      <c r="A523" s="20">
        <v>17</v>
      </c>
      <c r="B523" s="35">
        <v>41719</v>
      </c>
      <c r="C523" s="20">
        <v>2014</v>
      </c>
      <c r="D523" s="10" t="s">
        <v>27</v>
      </c>
      <c r="E523" s="20">
        <v>3</v>
      </c>
      <c r="F523" s="49">
        <v>3.36</v>
      </c>
      <c r="G523" s="50">
        <v>0.11416299999999997</v>
      </c>
      <c r="H523" s="50">
        <v>0</v>
      </c>
      <c r="I523" s="50">
        <v>1.3272784999999998</v>
      </c>
      <c r="J523" s="50">
        <v>6.6218250000000006E-2</v>
      </c>
      <c r="K523" s="50">
        <v>0</v>
      </c>
    </row>
    <row r="524" spans="1:12">
      <c r="A524" s="20">
        <v>18</v>
      </c>
      <c r="B524" s="35">
        <v>41719</v>
      </c>
      <c r="C524" s="20">
        <v>2014</v>
      </c>
      <c r="D524" s="10" t="s">
        <v>27</v>
      </c>
      <c r="E524" s="20">
        <v>3</v>
      </c>
      <c r="F524" s="49">
        <v>1.478</v>
      </c>
      <c r="G524" s="50">
        <v>5.0308625000000003E-2</v>
      </c>
      <c r="H524" s="50">
        <v>0</v>
      </c>
      <c r="I524" s="50">
        <v>0.61183112500000003</v>
      </c>
      <c r="J524" s="50">
        <v>3.4429374999999991E-2</v>
      </c>
      <c r="K524" s="50">
        <v>0</v>
      </c>
    </row>
    <row r="525" spans="1:12">
      <c r="A525" s="20">
        <v>1</v>
      </c>
      <c r="B525" s="35">
        <v>41747</v>
      </c>
      <c r="C525" s="20">
        <v>2014</v>
      </c>
      <c r="D525" s="10" t="s">
        <v>28</v>
      </c>
      <c r="E525" s="20">
        <v>4</v>
      </c>
      <c r="F525" s="60">
        <v>1.7649999999999999</v>
      </c>
      <c r="G525" s="50">
        <v>0</v>
      </c>
      <c r="H525" s="50">
        <v>4.6301874999999999E-2</v>
      </c>
      <c r="I525" s="50">
        <v>0.81133599999999995</v>
      </c>
      <c r="J525" s="50">
        <v>9.987374999999998E-3</v>
      </c>
      <c r="K525" s="50">
        <v>0</v>
      </c>
    </row>
    <row r="526" spans="1:12">
      <c r="A526" s="20">
        <v>17</v>
      </c>
      <c r="B526" s="35">
        <v>41747</v>
      </c>
      <c r="C526" s="20">
        <v>2014</v>
      </c>
      <c r="D526" s="10" t="s">
        <v>28</v>
      </c>
      <c r="E526" s="20">
        <v>4</v>
      </c>
      <c r="F526" s="60">
        <v>10.795999999999999</v>
      </c>
      <c r="G526" s="50">
        <v>4.3515249999999998E-2</v>
      </c>
      <c r="H526" s="50">
        <v>0.1279255</v>
      </c>
      <c r="I526" s="50">
        <v>6.2337277499999981</v>
      </c>
      <c r="J526" s="50">
        <v>2.7901124999999999E-2</v>
      </c>
      <c r="K526" s="50">
        <v>0</v>
      </c>
    </row>
    <row r="527" spans="1:12">
      <c r="A527" s="20">
        <v>18</v>
      </c>
      <c r="B527" s="35">
        <v>41747</v>
      </c>
      <c r="C527" s="20">
        <v>2014</v>
      </c>
      <c r="D527" s="10" t="s">
        <v>28</v>
      </c>
      <c r="E527" s="20">
        <v>4</v>
      </c>
      <c r="F527" s="60">
        <v>7.5709999999999997</v>
      </c>
      <c r="G527" s="50">
        <v>3.2567124999999995E-2</v>
      </c>
      <c r="H527" s="50">
        <v>9.3062249999999999E-2</v>
      </c>
      <c r="I527" s="50">
        <v>4.0594927500000004</v>
      </c>
      <c r="J527" s="50">
        <v>2.1391499999999997E-2</v>
      </c>
      <c r="K527" s="50">
        <v>0</v>
      </c>
    </row>
    <row r="528" spans="1:12">
      <c r="A528" s="20">
        <v>1</v>
      </c>
      <c r="B528" s="35">
        <v>41772</v>
      </c>
      <c r="C528" s="20">
        <v>2014</v>
      </c>
      <c r="D528" s="10" t="s">
        <v>29</v>
      </c>
      <c r="E528" s="20">
        <v>5</v>
      </c>
      <c r="F528" s="60">
        <v>0.57799999999999996</v>
      </c>
      <c r="G528" s="50">
        <v>2.1467875000000001E-2</v>
      </c>
      <c r="H528" s="50">
        <v>0</v>
      </c>
      <c r="I528" s="50">
        <v>0.17857087499999999</v>
      </c>
      <c r="J528" s="50">
        <v>8.2109999999999978E-3</v>
      </c>
      <c r="K528" s="50">
        <v>0</v>
      </c>
    </row>
    <row r="529" spans="1:11">
      <c r="A529" s="20">
        <v>17</v>
      </c>
      <c r="B529" s="35">
        <v>41772</v>
      </c>
      <c r="C529" s="20">
        <v>2014</v>
      </c>
      <c r="D529" s="10" t="s">
        <v>29</v>
      </c>
      <c r="E529" s="20">
        <v>5</v>
      </c>
      <c r="F529" s="60">
        <v>2.113</v>
      </c>
      <c r="G529" s="50">
        <v>4.9856249999999998E-2</v>
      </c>
      <c r="H529" s="50">
        <v>0</v>
      </c>
      <c r="I529" s="50">
        <v>1.2076974999999999</v>
      </c>
      <c r="J529" s="50">
        <v>2.7023749999999999E-2</v>
      </c>
      <c r="K529" s="50">
        <v>0</v>
      </c>
    </row>
    <row r="530" spans="1:11">
      <c r="A530" s="20">
        <v>18</v>
      </c>
      <c r="B530" s="35">
        <v>41772</v>
      </c>
      <c r="C530" s="20">
        <v>2014</v>
      </c>
      <c r="D530" s="10" t="s">
        <v>29</v>
      </c>
      <c r="E530" s="20">
        <v>5</v>
      </c>
      <c r="F530" s="60">
        <v>2.5150000000000001</v>
      </c>
      <c r="G530" s="50">
        <v>3.2593249999999997E-2</v>
      </c>
      <c r="H530" s="50">
        <v>0</v>
      </c>
      <c r="I530" s="50">
        <v>0.49580012499999992</v>
      </c>
      <c r="J530" s="50">
        <v>3.5469624999999998E-2</v>
      </c>
      <c r="K530" s="50">
        <v>0</v>
      </c>
    </row>
    <row r="531" spans="1:11">
      <c r="A531" s="20">
        <v>1</v>
      </c>
      <c r="B531" s="35">
        <v>41808</v>
      </c>
      <c r="C531" s="20">
        <v>2014</v>
      </c>
      <c r="D531" s="10" t="s">
        <v>30</v>
      </c>
      <c r="E531" s="20">
        <v>6</v>
      </c>
      <c r="F531" s="60">
        <v>5.7789999999999999</v>
      </c>
      <c r="G531" s="50">
        <v>0.38442537500000001</v>
      </c>
      <c r="H531" s="50">
        <v>0</v>
      </c>
      <c r="I531" s="50">
        <v>1.0847207499999998</v>
      </c>
      <c r="J531" s="50">
        <v>0.22862987500000001</v>
      </c>
      <c r="K531" s="50">
        <v>0</v>
      </c>
    </row>
    <row r="532" spans="1:11">
      <c r="A532" s="20">
        <v>17</v>
      </c>
      <c r="B532" s="35">
        <v>41808</v>
      </c>
      <c r="C532" s="20">
        <v>2014</v>
      </c>
      <c r="D532" s="10" t="s">
        <v>30</v>
      </c>
      <c r="E532" s="20">
        <v>6</v>
      </c>
      <c r="F532" s="60">
        <v>3.677</v>
      </c>
      <c r="G532" s="50">
        <v>0.25240412499999998</v>
      </c>
      <c r="H532" s="50">
        <v>7.1646000000000001E-2</v>
      </c>
      <c r="I532" s="50">
        <v>1.1807458749999997</v>
      </c>
      <c r="J532" s="50">
        <v>0.15547549999999999</v>
      </c>
      <c r="K532" s="50">
        <v>0</v>
      </c>
    </row>
    <row r="533" spans="1:11">
      <c r="A533" s="20">
        <v>18</v>
      </c>
      <c r="B533" s="35">
        <v>41808</v>
      </c>
      <c r="C533" s="20">
        <v>2014</v>
      </c>
      <c r="D533" s="10" t="s">
        <v>30</v>
      </c>
      <c r="E533" s="20">
        <v>6</v>
      </c>
      <c r="F533" s="60">
        <v>5.6159999999999997</v>
      </c>
      <c r="G533" s="50">
        <v>0.25820749999999992</v>
      </c>
      <c r="H533" s="50">
        <v>0</v>
      </c>
      <c r="I533" s="50">
        <v>1.35758775</v>
      </c>
      <c r="J533" s="50">
        <v>0.28106112499999997</v>
      </c>
      <c r="K533" s="50">
        <v>0</v>
      </c>
    </row>
    <row r="534" spans="1:11">
      <c r="A534" s="20">
        <v>1</v>
      </c>
      <c r="B534" s="35">
        <v>41834</v>
      </c>
      <c r="C534" s="20">
        <v>2014</v>
      </c>
      <c r="D534" s="10" t="s">
        <v>31</v>
      </c>
      <c r="E534" s="20">
        <v>7</v>
      </c>
      <c r="F534" s="60">
        <v>5.8869999999999996</v>
      </c>
      <c r="G534" s="50">
        <v>0.18227574999999999</v>
      </c>
      <c r="H534" s="50">
        <v>0</v>
      </c>
      <c r="I534" s="50">
        <v>1.6630996250000003</v>
      </c>
      <c r="J534" s="50">
        <v>0.19788362499999995</v>
      </c>
      <c r="K534" s="50">
        <v>0</v>
      </c>
    </row>
    <row r="535" spans="1:11">
      <c r="A535" s="20">
        <v>17</v>
      </c>
      <c r="B535" s="35">
        <v>41834</v>
      </c>
      <c r="C535" s="20">
        <v>2014</v>
      </c>
      <c r="D535" s="10" t="s">
        <v>31</v>
      </c>
      <c r="E535" s="20">
        <v>7</v>
      </c>
      <c r="F535" s="60">
        <v>5.673</v>
      </c>
      <c r="G535" s="50">
        <v>0.39825924999999995</v>
      </c>
      <c r="H535" s="50">
        <v>0.12969924999999999</v>
      </c>
      <c r="I535" s="50">
        <v>2.5622486249999996</v>
      </c>
      <c r="J535" s="50">
        <v>3.5649E-2</v>
      </c>
      <c r="K535" s="50">
        <v>6.6682249999999998E-2</v>
      </c>
    </row>
    <row r="536" spans="1:11">
      <c r="A536" s="20">
        <v>18</v>
      </c>
      <c r="B536" s="35">
        <v>41834</v>
      </c>
      <c r="C536" s="20">
        <v>2014</v>
      </c>
      <c r="D536" s="10" t="s">
        <v>31</v>
      </c>
      <c r="E536" s="20">
        <v>7</v>
      </c>
      <c r="F536" s="60">
        <v>10.291</v>
      </c>
      <c r="G536" s="50">
        <v>0.18247887499999998</v>
      </c>
      <c r="H536" s="50">
        <v>0</v>
      </c>
      <c r="I536" s="50">
        <v>3.286181875</v>
      </c>
      <c r="J536" s="50">
        <v>0.77497699999999992</v>
      </c>
      <c r="K536" s="50">
        <v>0</v>
      </c>
    </row>
    <row r="537" spans="1:11">
      <c r="A537" s="20">
        <v>1</v>
      </c>
      <c r="B537" s="35">
        <v>41864</v>
      </c>
      <c r="C537" s="20">
        <v>2014</v>
      </c>
      <c r="D537" s="10" t="s">
        <v>32</v>
      </c>
      <c r="E537" s="20">
        <v>8</v>
      </c>
      <c r="F537" s="60">
        <v>3.1840000000000002</v>
      </c>
      <c r="G537" s="50">
        <v>0.14106724999999998</v>
      </c>
      <c r="H537" s="50">
        <v>0</v>
      </c>
      <c r="I537" s="50">
        <v>0.88406862500000005</v>
      </c>
      <c r="J537" s="50">
        <v>7.0996249999999983E-2</v>
      </c>
      <c r="K537" s="50">
        <v>0</v>
      </c>
    </row>
    <row r="538" spans="1:11">
      <c r="A538" s="20">
        <v>17</v>
      </c>
      <c r="B538" s="35">
        <v>41864</v>
      </c>
      <c r="C538" s="20">
        <v>2014</v>
      </c>
      <c r="D538" s="10" t="s">
        <v>32</v>
      </c>
      <c r="E538" s="20">
        <v>8</v>
      </c>
      <c r="F538" s="60">
        <v>3.0710000000000002</v>
      </c>
      <c r="G538" s="50">
        <v>0.24018875000000001</v>
      </c>
      <c r="H538" s="50">
        <v>0</v>
      </c>
      <c r="I538" s="50">
        <v>1.4077078750000001</v>
      </c>
      <c r="J538" s="50">
        <v>6.5885624999999989E-2</v>
      </c>
      <c r="K538" s="50">
        <v>0</v>
      </c>
    </row>
    <row r="539" spans="1:11">
      <c r="A539" s="20">
        <v>18</v>
      </c>
      <c r="B539" s="35">
        <v>41864</v>
      </c>
      <c r="C539" s="20">
        <v>2014</v>
      </c>
      <c r="D539" s="10" t="s">
        <v>32</v>
      </c>
      <c r="E539" s="20">
        <v>8</v>
      </c>
      <c r="F539" s="60">
        <v>4.3239999999999998</v>
      </c>
      <c r="G539" s="50">
        <v>0.26538275</v>
      </c>
      <c r="H539" s="50">
        <v>0</v>
      </c>
      <c r="I539" s="50">
        <v>1.8860201249999997</v>
      </c>
      <c r="J539" s="50">
        <v>9.2953999999999995E-2</v>
      </c>
      <c r="K539" s="50">
        <v>0</v>
      </c>
    </row>
    <row r="540" spans="1:11">
      <c r="A540" s="20">
        <v>1</v>
      </c>
      <c r="B540" s="35">
        <v>41898</v>
      </c>
      <c r="C540" s="20">
        <v>2014</v>
      </c>
      <c r="D540" s="10" t="s">
        <v>38</v>
      </c>
      <c r="E540" s="20">
        <v>9</v>
      </c>
      <c r="F540" s="60">
        <v>5.444</v>
      </c>
      <c r="G540" s="50">
        <v>0.25300325000000001</v>
      </c>
      <c r="H540" s="50">
        <v>0</v>
      </c>
      <c r="I540" s="50">
        <v>1.916975125</v>
      </c>
      <c r="J540" s="50">
        <v>7.1622249999999985E-2</v>
      </c>
      <c r="K540" s="50">
        <v>0</v>
      </c>
    </row>
    <row r="541" spans="1:11">
      <c r="A541" s="20">
        <v>17</v>
      </c>
      <c r="B541" s="35">
        <v>41898</v>
      </c>
      <c r="C541" s="20">
        <v>2014</v>
      </c>
      <c r="D541" s="10" t="s">
        <v>38</v>
      </c>
      <c r="E541" s="20">
        <v>9</v>
      </c>
      <c r="F541" s="60">
        <v>6.3810000000000002</v>
      </c>
      <c r="G541" s="50">
        <v>0.15216499999999997</v>
      </c>
      <c r="H541" s="50">
        <v>0</v>
      </c>
      <c r="I541" s="50">
        <v>2.6762051249999996</v>
      </c>
      <c r="J541" s="50">
        <v>0.11867324999999999</v>
      </c>
      <c r="K541" s="50">
        <v>0</v>
      </c>
    </row>
    <row r="542" spans="1:11">
      <c r="A542" s="20">
        <v>18</v>
      </c>
      <c r="B542" s="35">
        <v>41898</v>
      </c>
      <c r="C542" s="20">
        <v>2014</v>
      </c>
      <c r="D542" s="10" t="s">
        <v>38</v>
      </c>
      <c r="E542" s="20">
        <v>9</v>
      </c>
      <c r="F542" s="60">
        <v>4.1369999999999996</v>
      </c>
      <c r="G542" s="50">
        <v>5.4727375000000002E-2</v>
      </c>
      <c r="H542" s="50">
        <v>0</v>
      </c>
      <c r="I542" s="50">
        <v>1.5670120000000003</v>
      </c>
      <c r="J542" s="50">
        <v>5.2089249999999997E-2</v>
      </c>
      <c r="K542" s="50">
        <v>0</v>
      </c>
    </row>
    <row r="543" spans="1:11">
      <c r="A543" s="20">
        <v>1</v>
      </c>
      <c r="B543" s="35">
        <v>41929</v>
      </c>
      <c r="C543" s="20">
        <v>2014</v>
      </c>
      <c r="D543" s="10" t="s">
        <v>34</v>
      </c>
      <c r="E543" s="20">
        <v>10</v>
      </c>
      <c r="F543" s="49">
        <v>5.1669999999999998</v>
      </c>
      <c r="G543" s="50">
        <v>0.19353775000000001</v>
      </c>
      <c r="H543" s="50">
        <v>0</v>
      </c>
      <c r="I543" s="50">
        <v>1.051970625</v>
      </c>
      <c r="J543" s="50">
        <v>6.3552625000000001E-2</v>
      </c>
      <c r="K543" s="50">
        <v>0</v>
      </c>
    </row>
    <row r="544" spans="1:11">
      <c r="A544" s="20">
        <v>17</v>
      </c>
      <c r="B544" s="35">
        <v>41929</v>
      </c>
      <c r="C544" s="20">
        <v>2014</v>
      </c>
      <c r="D544" s="10" t="s">
        <v>34</v>
      </c>
      <c r="E544" s="20">
        <v>10</v>
      </c>
      <c r="F544" s="49">
        <v>5.8529999999999998</v>
      </c>
      <c r="G544" s="50">
        <v>0</v>
      </c>
      <c r="H544" s="50">
        <v>0</v>
      </c>
      <c r="I544" s="50">
        <v>2.8919573750000001</v>
      </c>
      <c r="J544" s="50">
        <v>0.119685875</v>
      </c>
      <c r="K544" s="50">
        <v>0</v>
      </c>
    </row>
    <row r="545" spans="1:11">
      <c r="A545" s="20">
        <v>18</v>
      </c>
      <c r="B545" s="35">
        <v>41929</v>
      </c>
      <c r="C545" s="20">
        <v>2014</v>
      </c>
      <c r="D545" s="10" t="s">
        <v>34</v>
      </c>
      <c r="E545" s="20">
        <v>10</v>
      </c>
      <c r="F545" s="49">
        <v>1.976</v>
      </c>
      <c r="G545" s="50">
        <v>0</v>
      </c>
      <c r="H545" s="50">
        <v>0</v>
      </c>
      <c r="I545" s="50">
        <v>0.36464024999999994</v>
      </c>
      <c r="J545" s="50">
        <v>9.5457499999999987E-3</v>
      </c>
      <c r="K545" s="50">
        <v>0</v>
      </c>
    </row>
    <row r="546" spans="1:11">
      <c r="A546" s="20">
        <v>1</v>
      </c>
      <c r="B546" s="35">
        <v>41953</v>
      </c>
      <c r="C546" s="20">
        <v>2014</v>
      </c>
      <c r="D546" s="10" t="s">
        <v>35</v>
      </c>
      <c r="E546" s="20">
        <v>11</v>
      </c>
      <c r="F546" s="49">
        <v>1.482</v>
      </c>
      <c r="G546" s="50">
        <v>0</v>
      </c>
      <c r="H546" s="50">
        <v>0</v>
      </c>
      <c r="I546" s="50">
        <v>0.451974125</v>
      </c>
      <c r="J546" s="50">
        <v>1.4412625000000002E-2</v>
      </c>
      <c r="K546" s="50">
        <v>0</v>
      </c>
    </row>
    <row r="547" spans="1:11">
      <c r="A547" s="20">
        <v>17</v>
      </c>
      <c r="B547" s="35">
        <v>41953</v>
      </c>
      <c r="C547" s="20">
        <v>2014</v>
      </c>
      <c r="D547" s="10" t="s">
        <v>35</v>
      </c>
      <c r="E547" s="20">
        <v>11</v>
      </c>
      <c r="F547" s="49">
        <v>2.7370000000000001</v>
      </c>
      <c r="G547" s="50">
        <v>0.142449875</v>
      </c>
      <c r="H547" s="50">
        <v>0</v>
      </c>
      <c r="I547" s="50">
        <v>0.99353762499999976</v>
      </c>
      <c r="J547" s="50">
        <v>2.7099125000000002E-2</v>
      </c>
      <c r="K547" s="50">
        <v>0</v>
      </c>
    </row>
    <row r="548" spans="1:11">
      <c r="A548" s="20">
        <v>18</v>
      </c>
      <c r="B548" s="35">
        <v>41953</v>
      </c>
      <c r="C548" s="20">
        <v>2014</v>
      </c>
      <c r="D548" s="10" t="s">
        <v>35</v>
      </c>
      <c r="E548" s="20">
        <v>11</v>
      </c>
      <c r="F548" s="49">
        <v>2.847</v>
      </c>
      <c r="G548" s="50">
        <v>0</v>
      </c>
      <c r="H548" s="50">
        <v>0</v>
      </c>
      <c r="I548" s="50">
        <v>1.1359189999999997</v>
      </c>
      <c r="J548" s="50">
        <v>2.4824124999999996E-2</v>
      </c>
      <c r="K548" s="50">
        <v>0</v>
      </c>
    </row>
    <row r="549" spans="1:11">
      <c r="A549" s="20">
        <v>1</v>
      </c>
      <c r="B549" s="35">
        <v>41988</v>
      </c>
      <c r="C549" s="20">
        <v>2014</v>
      </c>
      <c r="D549" s="10" t="s">
        <v>36</v>
      </c>
      <c r="E549" s="20">
        <v>12</v>
      </c>
      <c r="F549" s="49">
        <v>2.58</v>
      </c>
      <c r="G549" s="50">
        <v>0.10850874999999999</v>
      </c>
      <c r="H549" s="50">
        <v>0</v>
      </c>
      <c r="I549" s="50">
        <v>0.92408599999999996</v>
      </c>
      <c r="J549" s="50">
        <v>1.1093875000000001E-2</v>
      </c>
      <c r="K549" s="50">
        <v>0</v>
      </c>
    </row>
    <row r="550" spans="1:11">
      <c r="A550" s="20">
        <v>17</v>
      </c>
      <c r="B550" s="35">
        <v>41988</v>
      </c>
      <c r="C550" s="20">
        <v>2014</v>
      </c>
      <c r="D550" s="10" t="s">
        <v>36</v>
      </c>
      <c r="E550" s="20">
        <v>12</v>
      </c>
      <c r="F550" s="49">
        <v>3.4140000000000001</v>
      </c>
      <c r="G550" s="50">
        <v>6.8770250000000005E-2</v>
      </c>
      <c r="H550" s="50">
        <v>0</v>
      </c>
      <c r="I550" s="50">
        <v>1.5273686250000003</v>
      </c>
      <c r="J550" s="50">
        <v>1.19825E-2</v>
      </c>
      <c r="K550" s="50">
        <v>0</v>
      </c>
    </row>
    <row r="551" spans="1:11">
      <c r="A551" s="20">
        <v>18</v>
      </c>
      <c r="B551" s="35">
        <v>41988</v>
      </c>
      <c r="C551" s="20">
        <v>2014</v>
      </c>
      <c r="D551" s="10" t="s">
        <v>36</v>
      </c>
      <c r="E551" s="20">
        <v>12</v>
      </c>
      <c r="F551" s="49">
        <v>2.956</v>
      </c>
      <c r="G551" s="50">
        <v>6.8377499999999994E-2</v>
      </c>
      <c r="H551" s="50">
        <v>0</v>
      </c>
      <c r="I551" s="50">
        <v>1.3082948750000001</v>
      </c>
      <c r="J551" s="50">
        <v>1.0276499999999999E-2</v>
      </c>
      <c r="K551" s="5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7"/>
  <sheetViews>
    <sheetView topLeftCell="A535" workbookViewId="0">
      <selection activeCell="S552" sqref="S552:V567"/>
    </sheetView>
  </sheetViews>
  <sheetFormatPr defaultColWidth="8.85546875" defaultRowHeight="15"/>
  <cols>
    <col min="2" max="2" width="21.85546875" customWidth="1"/>
  </cols>
  <sheetData>
    <row r="1" spans="1:18" ht="25.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2" t="s">
        <v>42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10</v>
      </c>
    </row>
    <row r="2" spans="1:18">
      <c r="A2" s="15">
        <v>1</v>
      </c>
      <c r="B2" s="16">
        <v>36445</v>
      </c>
      <c r="C2" s="19">
        <v>1999</v>
      </c>
      <c r="D2" s="18" t="s">
        <v>12</v>
      </c>
      <c r="E2" s="17">
        <v>10</v>
      </c>
      <c r="F2" s="66">
        <v>4.1054377192600242</v>
      </c>
      <c r="G2" s="66">
        <v>0</v>
      </c>
      <c r="H2" s="64">
        <v>0</v>
      </c>
      <c r="I2" s="66">
        <v>1.1568978946666666</v>
      </c>
      <c r="J2" s="64">
        <v>5.1218945833333328E-2</v>
      </c>
      <c r="K2" s="64" t="s">
        <v>13</v>
      </c>
      <c r="L2" s="62" t="s">
        <v>43</v>
      </c>
      <c r="M2" s="50">
        <f>AVERAGE(F2:F10)</f>
        <v>3.9872032670960547</v>
      </c>
      <c r="N2" s="50">
        <f>AVERAGE(G2:G10)</f>
        <v>1.4294863666666666E-2</v>
      </c>
      <c r="O2" s="50">
        <f>AVERAGE(H2:H10)</f>
        <v>1.5565654129629628E-2</v>
      </c>
      <c r="P2" s="50">
        <f>AVERAGE(I2:I10)</f>
        <v>1.4032798685925927</v>
      </c>
      <c r="Q2" s="50">
        <f>AVERAGE(J2:J10)</f>
        <v>2.3280074111111111E-2</v>
      </c>
      <c r="R2" s="50"/>
    </row>
    <row r="3" spans="1:18">
      <c r="A3" s="7">
        <v>17</v>
      </c>
      <c r="B3" s="8">
        <v>36445</v>
      </c>
      <c r="C3" s="9">
        <v>1999</v>
      </c>
      <c r="D3" s="10" t="s">
        <v>12</v>
      </c>
      <c r="E3" s="11">
        <v>10</v>
      </c>
      <c r="F3" s="65">
        <v>1.3152841711087548</v>
      </c>
      <c r="G3" s="65">
        <v>0</v>
      </c>
      <c r="H3" s="63">
        <v>0</v>
      </c>
      <c r="I3" s="65">
        <v>0.4691034825</v>
      </c>
      <c r="J3" s="65">
        <v>2.9348091666666663E-2</v>
      </c>
      <c r="K3" s="65" t="s">
        <v>13</v>
      </c>
    </row>
    <row r="4" spans="1:18">
      <c r="A4" s="7">
        <v>18</v>
      </c>
      <c r="B4" s="8">
        <v>36445</v>
      </c>
      <c r="C4" s="9">
        <v>1999</v>
      </c>
      <c r="D4" s="10" t="s">
        <v>12</v>
      </c>
      <c r="E4" s="11">
        <v>10</v>
      </c>
      <c r="F4" s="65">
        <v>1.7936776708933075</v>
      </c>
      <c r="G4" s="65">
        <v>0</v>
      </c>
      <c r="H4" s="63">
        <v>0</v>
      </c>
      <c r="I4" s="65">
        <v>0.44464733350000002</v>
      </c>
      <c r="J4" s="65">
        <v>4.9732094666666657E-2</v>
      </c>
      <c r="K4" s="65" t="s">
        <v>13</v>
      </c>
    </row>
    <row r="5" spans="1:18">
      <c r="A5" s="7">
        <v>1</v>
      </c>
      <c r="B5" s="8">
        <v>36472</v>
      </c>
      <c r="C5" s="9">
        <v>1999</v>
      </c>
      <c r="D5" s="10" t="s">
        <v>14</v>
      </c>
      <c r="E5" s="9">
        <v>11</v>
      </c>
      <c r="F5" s="65">
        <v>7.2264695933613181</v>
      </c>
      <c r="G5" s="65">
        <v>3.4725412666666663E-2</v>
      </c>
      <c r="H5" s="63">
        <v>4.2626281666666668E-2</v>
      </c>
      <c r="I5" s="65">
        <v>2.4758319551666665</v>
      </c>
      <c r="J5" s="65">
        <v>1.9754374000000002E-2</v>
      </c>
      <c r="K5" s="65" t="s">
        <v>13</v>
      </c>
    </row>
    <row r="6" spans="1:18">
      <c r="A6" s="7">
        <v>17</v>
      </c>
      <c r="B6" s="8">
        <v>36472</v>
      </c>
      <c r="C6" s="9">
        <v>1999</v>
      </c>
      <c r="D6" s="10" t="s">
        <v>14</v>
      </c>
      <c r="E6" s="9">
        <v>11</v>
      </c>
      <c r="F6" s="65">
        <v>6.7147332800766897</v>
      </c>
      <c r="G6" s="65">
        <v>5.8268882666666667E-2</v>
      </c>
      <c r="H6" s="63">
        <v>1.7341949333333332E-2</v>
      </c>
      <c r="I6" s="65">
        <v>2.6896251763333332</v>
      </c>
      <c r="J6" s="65">
        <v>1.1786306833333333E-2</v>
      </c>
      <c r="K6" s="65" t="s">
        <v>13</v>
      </c>
    </row>
    <row r="7" spans="1:18">
      <c r="A7" s="7">
        <v>18</v>
      </c>
      <c r="B7" s="8">
        <v>36472</v>
      </c>
      <c r="C7" s="9">
        <v>1999</v>
      </c>
      <c r="D7" s="10" t="s">
        <v>14</v>
      </c>
      <c r="E7" s="9">
        <v>11</v>
      </c>
      <c r="F7" s="65">
        <v>2.3875243891220883</v>
      </c>
      <c r="G7" s="65">
        <v>2.1890667666666669E-2</v>
      </c>
      <c r="H7" s="63">
        <v>0</v>
      </c>
      <c r="I7" s="65">
        <v>0.83411878699999997</v>
      </c>
      <c r="J7" s="65">
        <v>0</v>
      </c>
      <c r="K7" s="65" t="s">
        <v>13</v>
      </c>
    </row>
    <row r="8" spans="1:18">
      <c r="A8" s="7">
        <v>1</v>
      </c>
      <c r="B8" s="8">
        <v>36501</v>
      </c>
      <c r="C8" s="9">
        <v>1999</v>
      </c>
      <c r="D8" s="10" t="s">
        <v>15</v>
      </c>
      <c r="E8" s="9">
        <v>12</v>
      </c>
      <c r="F8" s="65">
        <v>3.7867370162723257</v>
      </c>
      <c r="G8" s="65">
        <v>0</v>
      </c>
      <c r="H8" s="63">
        <v>1.5577709166666669E-2</v>
      </c>
      <c r="I8" s="65">
        <v>1.0874235866666668</v>
      </c>
      <c r="J8" s="65">
        <v>1.6792098499999998E-2</v>
      </c>
      <c r="K8" s="65" t="s">
        <v>13</v>
      </c>
    </row>
    <row r="9" spans="1:18">
      <c r="A9" s="7">
        <v>17</v>
      </c>
      <c r="B9" s="8">
        <v>36501</v>
      </c>
      <c r="C9" s="9">
        <v>1999</v>
      </c>
      <c r="D9" s="10" t="s">
        <v>15</v>
      </c>
      <c r="E9" s="9">
        <v>12</v>
      </c>
      <c r="F9" s="65">
        <v>6.1417226035720685</v>
      </c>
      <c r="G9" s="65">
        <v>0</v>
      </c>
      <c r="H9" s="63">
        <v>5.4440271666666665E-2</v>
      </c>
      <c r="I9" s="65">
        <v>2.6562816303333334</v>
      </c>
      <c r="J9" s="65">
        <v>2.0369674000000001E-2</v>
      </c>
      <c r="K9" s="65" t="s">
        <v>13</v>
      </c>
    </row>
    <row r="10" spans="1:18" ht="25.5">
      <c r="A10" s="7">
        <v>18</v>
      </c>
      <c r="B10" s="8">
        <v>36501</v>
      </c>
      <c r="C10" s="9">
        <v>1999</v>
      </c>
      <c r="D10" s="10" t="s">
        <v>15</v>
      </c>
      <c r="E10" s="9">
        <v>12</v>
      </c>
      <c r="F10" s="65">
        <v>2.4132429601979211</v>
      </c>
      <c r="G10" s="65">
        <v>1.3768809999999999E-2</v>
      </c>
      <c r="H10" s="63">
        <v>1.0104675333333334E-2</v>
      </c>
      <c r="I10" s="65">
        <v>0.81558897116666673</v>
      </c>
      <c r="J10" s="65">
        <v>1.0519081500000001E-2</v>
      </c>
      <c r="K10" s="65" t="s">
        <v>13</v>
      </c>
      <c r="L10" s="62" t="s">
        <v>42</v>
      </c>
      <c r="M10" s="5" t="s">
        <v>5</v>
      </c>
      <c r="N10" s="5" t="s">
        <v>6</v>
      </c>
      <c r="O10" s="5" t="s">
        <v>7</v>
      </c>
      <c r="P10" s="5" t="s">
        <v>8</v>
      </c>
      <c r="Q10" s="5" t="s">
        <v>9</v>
      </c>
      <c r="R10" s="5" t="s">
        <v>10</v>
      </c>
    </row>
    <row r="11" spans="1:18">
      <c r="A11" s="15">
        <v>1</v>
      </c>
      <c r="B11" s="16">
        <v>36530</v>
      </c>
      <c r="C11" s="17">
        <v>2000</v>
      </c>
      <c r="D11" s="18" t="s">
        <v>16</v>
      </c>
      <c r="E11" s="19">
        <v>1</v>
      </c>
      <c r="F11" s="66">
        <v>7.4807579945484566</v>
      </c>
      <c r="G11" s="66">
        <v>7.2831700333333332E-2</v>
      </c>
      <c r="H11" s="64">
        <v>2.7557643166666666E-2</v>
      </c>
      <c r="I11" s="66">
        <v>2.4044992666666665</v>
      </c>
      <c r="J11" s="66">
        <v>1.7847350833333334E-2</v>
      </c>
      <c r="K11" s="66" t="s">
        <v>13</v>
      </c>
      <c r="L11" s="62" t="s">
        <v>44</v>
      </c>
      <c r="M11" s="50">
        <f>AVERAGE(F11:F46)</f>
        <v>3.8296863072798479</v>
      </c>
      <c r="N11" s="50">
        <f>AVERAGE(G11:G46)</f>
        <v>5.9484371942857134E-2</v>
      </c>
      <c r="O11" s="50">
        <f>AVERAGE(H11:H46)</f>
        <v>1.410291693809524E-2</v>
      </c>
      <c r="P11" s="50">
        <f>AVERAGE(I11:I46)</f>
        <v>1.2858652571476188</v>
      </c>
      <c r="Q11" s="50">
        <f>AVERAGE(J11:J46)</f>
        <v>3.8776428556190484E-2</v>
      </c>
      <c r="R11" s="50"/>
    </row>
    <row r="12" spans="1:18">
      <c r="A12" s="7">
        <v>17</v>
      </c>
      <c r="B12" s="8">
        <v>36530</v>
      </c>
      <c r="C12" s="11">
        <v>2000</v>
      </c>
      <c r="D12" s="10" t="s">
        <v>16</v>
      </c>
      <c r="E12" s="9">
        <v>1</v>
      </c>
      <c r="F12" s="65">
        <v>9.6936534273555157</v>
      </c>
      <c r="G12" s="65">
        <v>9.7400714333333346E-2</v>
      </c>
      <c r="H12" s="63">
        <v>3.4628692666666669E-2</v>
      </c>
      <c r="I12" s="65">
        <v>3.7408711100000001</v>
      </c>
      <c r="J12" s="65">
        <v>1.5823924100000001E-2</v>
      </c>
      <c r="K12" s="65" t="s">
        <v>13</v>
      </c>
    </row>
    <row r="13" spans="1:18">
      <c r="A13" s="7">
        <v>18</v>
      </c>
      <c r="B13" s="8">
        <v>36530</v>
      </c>
      <c r="C13" s="11">
        <v>2000</v>
      </c>
      <c r="D13" s="10" t="s">
        <v>16</v>
      </c>
      <c r="E13" s="9">
        <v>1</v>
      </c>
      <c r="F13" s="65">
        <v>3.9422607813233785</v>
      </c>
      <c r="G13" s="65">
        <v>5.8004388166666671E-2</v>
      </c>
      <c r="H13" s="63">
        <v>2.6812907166666667E-2</v>
      </c>
      <c r="I13" s="65">
        <v>1.292444669</v>
      </c>
      <c r="J13" s="65">
        <v>3.5574038499999995E-2</v>
      </c>
      <c r="K13" s="65" t="s">
        <v>13</v>
      </c>
    </row>
    <row r="14" spans="1:18">
      <c r="A14" s="7">
        <v>1</v>
      </c>
      <c r="B14" s="8">
        <v>36579</v>
      </c>
      <c r="C14" s="11">
        <v>2000</v>
      </c>
      <c r="D14" s="10" t="s">
        <v>17</v>
      </c>
      <c r="E14" s="11">
        <v>2</v>
      </c>
      <c r="F14" s="65">
        <v>3.3677456714452401</v>
      </c>
      <c r="G14" s="65">
        <v>4.0706993000000004E-2</v>
      </c>
      <c r="H14" s="63">
        <v>0</v>
      </c>
      <c r="I14" s="65">
        <v>1.1431695503333335</v>
      </c>
      <c r="J14" s="65">
        <v>2.2316815166666667E-2</v>
      </c>
      <c r="K14" s="65" t="s">
        <v>13</v>
      </c>
    </row>
    <row r="15" spans="1:18">
      <c r="A15" s="7">
        <v>17</v>
      </c>
      <c r="B15" s="8">
        <v>36579</v>
      </c>
      <c r="C15" s="11">
        <v>2000</v>
      </c>
      <c r="D15" s="10" t="s">
        <v>17</v>
      </c>
      <c r="E15" s="11">
        <v>2</v>
      </c>
      <c r="F15" s="65">
        <v>4.5413000910204468</v>
      </c>
      <c r="G15" s="65">
        <v>4.0290909499999999E-2</v>
      </c>
      <c r="H15" s="63">
        <v>0</v>
      </c>
      <c r="I15" s="65">
        <v>1.9322673478333332</v>
      </c>
      <c r="J15" s="65">
        <v>1.6001550333333333E-2</v>
      </c>
      <c r="K15" s="65" t="s">
        <v>13</v>
      </c>
    </row>
    <row r="16" spans="1:18">
      <c r="A16" s="7">
        <v>18</v>
      </c>
      <c r="B16" s="8">
        <v>36579</v>
      </c>
      <c r="C16" s="11">
        <v>2000</v>
      </c>
      <c r="D16" s="10" t="s">
        <v>17</v>
      </c>
      <c r="E16" s="11">
        <v>2</v>
      </c>
      <c r="F16" s="65">
        <v>3.8491250993720558</v>
      </c>
      <c r="G16" s="65">
        <v>4.2523649833333337E-2</v>
      </c>
      <c r="H16" s="63">
        <v>0</v>
      </c>
      <c r="I16" s="65">
        <v>1.6192548279999999</v>
      </c>
      <c r="J16" s="65">
        <v>3.6751002333333331E-2</v>
      </c>
      <c r="K16" s="65" t="s">
        <v>13</v>
      </c>
    </row>
    <row r="17" spans="1:11">
      <c r="A17" s="7">
        <v>1</v>
      </c>
      <c r="B17" s="8">
        <v>36600</v>
      </c>
      <c r="C17" s="11">
        <v>2000</v>
      </c>
      <c r="D17" s="10" t="s">
        <v>18</v>
      </c>
      <c r="E17" s="11">
        <v>3</v>
      </c>
      <c r="F17" s="65">
        <v>1.0722764876759285</v>
      </c>
      <c r="G17" s="65">
        <v>1.8527928833333332E-2</v>
      </c>
      <c r="H17" s="63">
        <v>0</v>
      </c>
      <c r="I17" s="65">
        <v>0.24491488316666668</v>
      </c>
      <c r="J17" s="65">
        <v>2.4382136666666665E-2</v>
      </c>
      <c r="K17" s="65" t="s">
        <v>13</v>
      </c>
    </row>
    <row r="18" spans="1:11">
      <c r="A18" s="7">
        <v>17</v>
      </c>
      <c r="B18" s="8">
        <v>36600</v>
      </c>
      <c r="C18" s="11">
        <v>2000</v>
      </c>
      <c r="D18" s="10" t="s">
        <v>18</v>
      </c>
      <c r="E18" s="11">
        <v>3</v>
      </c>
      <c r="F18" s="65">
        <v>1.3796554830135515</v>
      </c>
      <c r="G18" s="65">
        <v>0</v>
      </c>
      <c r="H18" s="63">
        <v>0</v>
      </c>
      <c r="I18" s="65">
        <v>0.30906449650000006</v>
      </c>
      <c r="J18" s="65">
        <v>2.6908305499999997E-2</v>
      </c>
      <c r="K18" s="65" t="s">
        <v>13</v>
      </c>
    </row>
    <row r="19" spans="1:11">
      <c r="A19" s="7">
        <v>18</v>
      </c>
      <c r="B19" s="8">
        <v>36600</v>
      </c>
      <c r="C19" s="11">
        <v>2000</v>
      </c>
      <c r="D19" s="10" t="s">
        <v>18</v>
      </c>
      <c r="E19" s="11">
        <v>3</v>
      </c>
      <c r="F19" s="65">
        <v>1.5369724798714095</v>
      </c>
      <c r="G19" s="65">
        <v>0</v>
      </c>
      <c r="H19" s="63">
        <v>0</v>
      </c>
      <c r="I19" s="65">
        <v>0.36477051866666665</v>
      </c>
      <c r="J19" s="65">
        <v>5.2763979499999995E-2</v>
      </c>
      <c r="K19" s="65" t="s">
        <v>13</v>
      </c>
    </row>
    <row r="20" spans="1:11">
      <c r="A20" s="7">
        <v>1</v>
      </c>
      <c r="B20" s="8">
        <v>36628</v>
      </c>
      <c r="C20" s="11">
        <v>2000</v>
      </c>
      <c r="D20" s="20" t="s">
        <v>19</v>
      </c>
      <c r="E20" s="11">
        <v>4</v>
      </c>
      <c r="F20" s="65">
        <v>3.6884687659467335</v>
      </c>
      <c r="G20" s="65">
        <v>9.3269063499999999E-2</v>
      </c>
      <c r="H20" s="63">
        <v>4.896377116666667E-2</v>
      </c>
      <c r="I20" s="65">
        <v>1.1490816261666668</v>
      </c>
      <c r="J20" s="65">
        <v>0</v>
      </c>
      <c r="K20" s="65" t="s">
        <v>13</v>
      </c>
    </row>
    <row r="21" spans="1:11">
      <c r="A21" s="7">
        <v>17</v>
      </c>
      <c r="B21" s="8">
        <v>36628</v>
      </c>
      <c r="C21" s="11">
        <v>2000</v>
      </c>
      <c r="D21" s="20" t="s">
        <v>19</v>
      </c>
      <c r="E21" s="11">
        <v>4</v>
      </c>
      <c r="F21" s="65">
        <v>6.1856518300435255</v>
      </c>
      <c r="G21" s="65">
        <v>0.14257905900000001</v>
      </c>
      <c r="H21" s="63">
        <v>9.6336135000000003E-2</v>
      </c>
      <c r="I21" s="65">
        <v>2.3740648773333333</v>
      </c>
      <c r="J21" s="65">
        <v>0</v>
      </c>
      <c r="K21" s="65" t="s">
        <v>13</v>
      </c>
    </row>
    <row r="22" spans="1:11">
      <c r="A22" s="7">
        <v>18</v>
      </c>
      <c r="B22" s="8">
        <v>36628</v>
      </c>
      <c r="C22" s="11">
        <v>2000</v>
      </c>
      <c r="D22" s="20" t="s">
        <v>19</v>
      </c>
      <c r="E22" s="11">
        <v>4</v>
      </c>
      <c r="F22" s="65">
        <v>1.61312059080984</v>
      </c>
      <c r="G22" s="65">
        <v>4.2519980666666665E-2</v>
      </c>
      <c r="H22" s="63">
        <v>2.6262637000000005E-2</v>
      </c>
      <c r="I22" s="65">
        <v>0.46551587616666668</v>
      </c>
      <c r="J22" s="65">
        <v>0</v>
      </c>
      <c r="K22" s="65" t="s">
        <v>13</v>
      </c>
    </row>
    <row r="23" spans="1:11">
      <c r="A23" s="7">
        <v>1</v>
      </c>
      <c r="B23" s="8">
        <v>36661</v>
      </c>
      <c r="C23" s="11">
        <v>2000</v>
      </c>
      <c r="D23" s="20" t="s">
        <v>20</v>
      </c>
      <c r="E23" s="11">
        <v>5</v>
      </c>
      <c r="F23" s="65">
        <v>2.477884391252354</v>
      </c>
      <c r="G23" s="65">
        <v>0.10724754016666666</v>
      </c>
      <c r="H23" s="63">
        <v>2.2302452999999996E-2</v>
      </c>
      <c r="I23" s="65">
        <v>0.38746976583333337</v>
      </c>
      <c r="J23" s="65">
        <v>1.3712199999999999E-2</v>
      </c>
      <c r="K23" s="65" t="s">
        <v>13</v>
      </c>
    </row>
    <row r="24" spans="1:11">
      <c r="A24" s="7">
        <v>17</v>
      </c>
      <c r="B24" s="8">
        <v>36661</v>
      </c>
      <c r="C24" s="11">
        <v>2000</v>
      </c>
      <c r="D24" s="20" t="s">
        <v>20</v>
      </c>
      <c r="E24" s="11">
        <v>5</v>
      </c>
      <c r="F24" s="65">
        <v>0.75205921945126275</v>
      </c>
      <c r="G24" s="65">
        <v>2.4801155500000002E-2</v>
      </c>
      <c r="H24" s="63">
        <v>1.6117915333333333E-2</v>
      </c>
      <c r="I24" s="65">
        <v>0.22699519733333337</v>
      </c>
      <c r="J24" s="65">
        <v>1.6943687499999999E-2</v>
      </c>
      <c r="K24" s="65" t="s">
        <v>13</v>
      </c>
    </row>
    <row r="25" spans="1:11">
      <c r="A25" s="7">
        <v>18</v>
      </c>
      <c r="B25" s="8">
        <v>36661</v>
      </c>
      <c r="C25" s="11">
        <v>2000</v>
      </c>
      <c r="D25" s="20" t="s">
        <v>20</v>
      </c>
      <c r="E25" s="11">
        <v>5</v>
      </c>
      <c r="F25" s="65">
        <v>0.83340984957418884</v>
      </c>
      <c r="G25" s="65">
        <v>0</v>
      </c>
      <c r="H25" s="63">
        <v>0</v>
      </c>
      <c r="I25" s="65">
        <v>0.23555903233333336</v>
      </c>
      <c r="J25" s="65">
        <v>2.0333368500000001E-2</v>
      </c>
      <c r="K25" s="65" t="s">
        <v>13</v>
      </c>
    </row>
    <row r="26" spans="1:11">
      <c r="A26" s="7">
        <v>1</v>
      </c>
      <c r="B26" s="8">
        <v>36691</v>
      </c>
      <c r="C26" s="11">
        <v>2000</v>
      </c>
      <c r="D26" s="20" t="s">
        <v>21</v>
      </c>
      <c r="E26" s="11">
        <v>6</v>
      </c>
      <c r="F26" s="65">
        <v>3.7237127675541162</v>
      </c>
      <c r="G26" s="65">
        <v>0.18157972</v>
      </c>
      <c r="H26" s="63">
        <v>2.8967022499999998E-2</v>
      </c>
      <c r="I26" s="65">
        <v>1.2477857738333331</v>
      </c>
      <c r="J26" s="65">
        <v>2.5473556500000001E-2</v>
      </c>
      <c r="K26" s="65" t="s">
        <v>13</v>
      </c>
    </row>
    <row r="27" spans="1:11">
      <c r="A27" s="7">
        <v>17</v>
      </c>
      <c r="B27" s="8">
        <v>36691</v>
      </c>
      <c r="C27" s="11">
        <v>2000</v>
      </c>
      <c r="D27" s="20" t="s">
        <v>21</v>
      </c>
      <c r="E27" s="11">
        <v>6</v>
      </c>
      <c r="F27" s="65">
        <v>4.2387693842079521</v>
      </c>
      <c r="G27" s="65">
        <v>0.17323299483333332</v>
      </c>
      <c r="H27" s="63">
        <v>0</v>
      </c>
      <c r="I27" s="65">
        <v>1.7163875239999999</v>
      </c>
      <c r="J27" s="65">
        <v>1.9808363166666666E-2</v>
      </c>
      <c r="K27" s="65" t="s">
        <v>13</v>
      </c>
    </row>
    <row r="28" spans="1:11">
      <c r="A28" s="7">
        <v>18</v>
      </c>
      <c r="B28" s="8">
        <v>36691</v>
      </c>
      <c r="C28" s="11">
        <v>2000</v>
      </c>
      <c r="D28" s="20" t="s">
        <v>21</v>
      </c>
      <c r="E28" s="11">
        <v>6</v>
      </c>
      <c r="F28" s="65">
        <v>2.6579876589831857</v>
      </c>
      <c r="G28" s="65">
        <v>0.11840683883333333</v>
      </c>
      <c r="H28" s="63">
        <v>0</v>
      </c>
      <c r="I28" s="65">
        <v>0.93326554099999992</v>
      </c>
      <c r="J28" s="65">
        <v>2.4309067833333337E-2</v>
      </c>
      <c r="K28" s="65" t="s">
        <v>13</v>
      </c>
    </row>
    <row r="29" spans="1:11">
      <c r="A29" s="7">
        <v>1</v>
      </c>
      <c r="B29" s="8">
        <v>36720</v>
      </c>
      <c r="C29" s="11">
        <v>2000</v>
      </c>
      <c r="D29" s="20" t="s">
        <v>22</v>
      </c>
      <c r="E29" s="11">
        <v>7</v>
      </c>
      <c r="F29" s="65">
        <v>4.1364277249245944</v>
      </c>
      <c r="G29" s="65">
        <v>9.059245883333332E-2</v>
      </c>
      <c r="H29" s="63">
        <v>2.86066055E-2</v>
      </c>
      <c r="I29" s="65">
        <v>1.2147724991666666</v>
      </c>
      <c r="J29" s="65">
        <v>6.9119132666666666E-2</v>
      </c>
      <c r="K29" s="65" t="s">
        <v>13</v>
      </c>
    </row>
    <row r="30" spans="1:11">
      <c r="A30" s="7">
        <v>17</v>
      </c>
      <c r="B30" s="8">
        <v>36720</v>
      </c>
      <c r="C30" s="11">
        <v>2000</v>
      </c>
      <c r="D30" s="20" t="s">
        <v>22</v>
      </c>
      <c r="E30" s="11">
        <v>7</v>
      </c>
      <c r="F30" s="65">
        <v>3.7223265416587985</v>
      </c>
      <c r="G30" s="65">
        <v>3.2898167666666665E-2</v>
      </c>
      <c r="H30" s="63">
        <v>1.5377163000000001E-2</v>
      </c>
      <c r="I30" s="65">
        <v>1.1845732656666668</v>
      </c>
      <c r="J30" s="65">
        <v>8.6650830333333331E-2</v>
      </c>
      <c r="K30" s="65" t="s">
        <v>13</v>
      </c>
    </row>
    <row r="31" spans="1:11">
      <c r="A31" s="7">
        <v>18</v>
      </c>
      <c r="B31" s="8">
        <v>36720</v>
      </c>
      <c r="C31" s="11">
        <v>2000</v>
      </c>
      <c r="D31" s="20" t="s">
        <v>22</v>
      </c>
      <c r="E31" s="11">
        <v>7</v>
      </c>
      <c r="F31" s="65">
        <v>4.8747285305523693</v>
      </c>
      <c r="G31" s="65">
        <v>5.7772182333333338E-2</v>
      </c>
      <c r="H31" s="63">
        <v>2.1171825499999998E-2</v>
      </c>
      <c r="I31" s="65">
        <v>0.90408308599999987</v>
      </c>
      <c r="J31" s="65">
        <v>0.20840048966666669</v>
      </c>
      <c r="K31" s="65" t="s">
        <v>13</v>
      </c>
    </row>
    <row r="32" spans="1:11">
      <c r="A32" s="7">
        <v>1</v>
      </c>
      <c r="B32" s="8">
        <v>36754</v>
      </c>
      <c r="C32" s="11">
        <v>2000</v>
      </c>
      <c r="D32" s="20" t="s">
        <v>23</v>
      </c>
      <c r="E32" s="11">
        <v>8</v>
      </c>
      <c r="F32" s="65">
        <v>3.7916475814221458</v>
      </c>
      <c r="G32" s="65">
        <v>7.7435561E-2</v>
      </c>
      <c r="H32" s="63">
        <v>0</v>
      </c>
      <c r="I32" s="65">
        <v>0.82375286700000006</v>
      </c>
      <c r="J32" s="65">
        <v>8.5341462000000007E-2</v>
      </c>
      <c r="K32" s="65" t="s">
        <v>13</v>
      </c>
    </row>
    <row r="33" spans="1:18">
      <c r="A33" s="7">
        <v>17</v>
      </c>
      <c r="B33" s="8">
        <v>36754</v>
      </c>
      <c r="C33" s="11">
        <v>2000</v>
      </c>
      <c r="D33" s="20" t="s">
        <v>23</v>
      </c>
      <c r="E33" s="11">
        <v>8</v>
      </c>
      <c r="F33" s="65">
        <v>3.8795620764281251</v>
      </c>
      <c r="G33" s="65">
        <v>3.1779700833333334E-2</v>
      </c>
      <c r="H33" s="63">
        <v>0</v>
      </c>
      <c r="I33" s="65">
        <v>1.2595760643333334</v>
      </c>
      <c r="J33" s="65">
        <v>7.8761073666666667E-2</v>
      </c>
      <c r="K33" s="65" t="s">
        <v>13</v>
      </c>
    </row>
    <row r="34" spans="1:18">
      <c r="A34" s="7">
        <v>18</v>
      </c>
      <c r="B34" s="8">
        <v>36754</v>
      </c>
      <c r="C34" s="11">
        <v>2000</v>
      </c>
      <c r="D34" s="20" t="s">
        <v>23</v>
      </c>
      <c r="E34" s="11">
        <v>8</v>
      </c>
      <c r="F34" s="65">
        <v>4.6497972388850961</v>
      </c>
      <c r="G34" s="65">
        <v>4.6145431833333327E-2</v>
      </c>
      <c r="H34" s="63">
        <v>0</v>
      </c>
      <c r="I34" s="65">
        <v>1.240844654</v>
      </c>
      <c r="J34" s="65">
        <v>0.23296063333333333</v>
      </c>
      <c r="K34" s="65" t="s">
        <v>13</v>
      </c>
    </row>
    <row r="35" spans="1:18">
      <c r="A35" s="7">
        <v>1</v>
      </c>
      <c r="B35" s="8">
        <v>36782</v>
      </c>
      <c r="C35" s="11">
        <v>2000</v>
      </c>
      <c r="D35" s="20" t="s">
        <v>24</v>
      </c>
      <c r="E35" s="11">
        <v>9</v>
      </c>
      <c r="F35" s="65">
        <v>4.4552624216280075</v>
      </c>
      <c r="G35" s="65">
        <v>0</v>
      </c>
      <c r="H35" s="63">
        <v>0</v>
      </c>
      <c r="I35" s="65">
        <v>1.0862118181666667</v>
      </c>
      <c r="J35" s="65">
        <v>4.1984072666666664E-2</v>
      </c>
      <c r="K35" s="65" t="s">
        <v>13</v>
      </c>
    </row>
    <row r="36" spans="1:18">
      <c r="A36" s="7">
        <v>17</v>
      </c>
      <c r="B36" s="8">
        <v>36782</v>
      </c>
      <c r="C36" s="11">
        <v>2000</v>
      </c>
      <c r="D36" s="20" t="s">
        <v>24</v>
      </c>
      <c r="E36" s="11">
        <v>9</v>
      </c>
      <c r="F36" s="65">
        <v>16.335958781584822</v>
      </c>
      <c r="G36" s="65">
        <v>0.21209963866666665</v>
      </c>
      <c r="H36" s="63">
        <v>1.6065708333333331E-2</v>
      </c>
      <c r="I36" s="65">
        <v>6.3669349818333343</v>
      </c>
      <c r="J36" s="65">
        <v>6.0506445333333339E-2</v>
      </c>
      <c r="K36" s="65" t="s">
        <v>13</v>
      </c>
    </row>
    <row r="37" spans="1:18">
      <c r="A37" s="7">
        <v>18</v>
      </c>
      <c r="B37" s="8">
        <v>36782</v>
      </c>
      <c r="C37" s="11">
        <v>2000</v>
      </c>
      <c r="D37" s="20" t="s">
        <v>24</v>
      </c>
      <c r="E37" s="11">
        <v>9</v>
      </c>
      <c r="F37" s="65">
        <v>2.0178970904927205</v>
      </c>
      <c r="G37" s="65">
        <v>0</v>
      </c>
      <c r="H37" s="63">
        <v>0</v>
      </c>
      <c r="I37" s="65">
        <v>0.40892631866666668</v>
      </c>
      <c r="J37" s="65">
        <v>3.0606406166666669E-2</v>
      </c>
      <c r="K37" s="65" t="s">
        <v>13</v>
      </c>
    </row>
    <row r="38" spans="1:18">
      <c r="A38" s="7">
        <v>1</v>
      </c>
      <c r="B38" s="8">
        <v>36818</v>
      </c>
      <c r="C38" s="11">
        <v>2000</v>
      </c>
      <c r="D38" s="20" t="s">
        <v>12</v>
      </c>
      <c r="E38" s="11">
        <v>10</v>
      </c>
      <c r="F38" s="22">
        <v>2.0098416843758211</v>
      </c>
      <c r="G38" s="22">
        <v>4.2298467833333332E-2</v>
      </c>
      <c r="H38" s="22">
        <v>0</v>
      </c>
      <c r="I38" s="22">
        <v>0.4486195733333333</v>
      </c>
      <c r="J38" s="22">
        <v>0</v>
      </c>
      <c r="K38" s="22" t="s">
        <v>13</v>
      </c>
    </row>
    <row r="39" spans="1:18">
      <c r="A39" s="7">
        <v>17</v>
      </c>
      <c r="B39" s="8">
        <v>36818</v>
      </c>
      <c r="C39" s="11">
        <v>2000</v>
      </c>
      <c r="D39" s="20" t="s">
        <v>12</v>
      </c>
      <c r="E39" s="11">
        <v>10</v>
      </c>
      <c r="F39" s="22">
        <v>2.7716064775873948</v>
      </c>
      <c r="G39" s="22">
        <v>7.2980668499999998E-2</v>
      </c>
      <c r="H39" s="22">
        <v>2.6778836333333333E-2</v>
      </c>
      <c r="I39" s="22">
        <v>0.94293526283333318</v>
      </c>
      <c r="J39" s="22">
        <v>8.3667273666666667E-3</v>
      </c>
      <c r="K39" s="22" t="s">
        <v>13</v>
      </c>
    </row>
    <row r="40" spans="1:18">
      <c r="A40" s="7">
        <v>18</v>
      </c>
      <c r="B40" s="8">
        <v>36818</v>
      </c>
      <c r="C40" s="11">
        <v>2000</v>
      </c>
      <c r="D40" s="20" t="s">
        <v>12</v>
      </c>
      <c r="E40" s="11">
        <v>10</v>
      </c>
      <c r="F40" s="22">
        <v>2.3520360303259973</v>
      </c>
      <c r="G40" s="22">
        <v>4.6119642833333335E-2</v>
      </c>
      <c r="H40" s="22">
        <v>2.1627011833333334E-2</v>
      </c>
      <c r="I40" s="22">
        <v>0.7824163498333333</v>
      </c>
      <c r="J40" s="22">
        <v>1.5177245833333332E-2</v>
      </c>
      <c r="K40" s="22" t="s">
        <v>13</v>
      </c>
    </row>
    <row r="41" spans="1:18">
      <c r="A41" s="7">
        <v>1</v>
      </c>
      <c r="B41" s="8">
        <v>36845</v>
      </c>
      <c r="C41" s="11">
        <v>2000</v>
      </c>
      <c r="D41" s="20" t="s">
        <v>14</v>
      </c>
      <c r="E41" s="11">
        <v>11</v>
      </c>
      <c r="F41" s="22">
        <v>2.3623148100538462</v>
      </c>
      <c r="G41" s="22">
        <v>0</v>
      </c>
      <c r="H41" s="22">
        <v>0</v>
      </c>
      <c r="I41" s="22">
        <v>0.77882947733333341</v>
      </c>
      <c r="J41" s="22">
        <v>0</v>
      </c>
      <c r="K41" s="22" t="s">
        <v>13</v>
      </c>
    </row>
    <row r="42" spans="1:18">
      <c r="A42" s="7">
        <v>17</v>
      </c>
      <c r="B42" s="8">
        <v>36845</v>
      </c>
      <c r="C42" s="11">
        <v>2000</v>
      </c>
      <c r="D42" s="20" t="s">
        <v>14</v>
      </c>
      <c r="E42" s="11">
        <v>11</v>
      </c>
      <c r="F42" s="22">
        <v>5.4873305615411674</v>
      </c>
      <c r="G42" s="22">
        <v>0</v>
      </c>
      <c r="H42" s="22">
        <v>2.0661811333333332E-2</v>
      </c>
      <c r="I42" s="22">
        <v>2.2248801396666664</v>
      </c>
      <c r="J42" s="22">
        <v>2.6562565166666666E-2</v>
      </c>
      <c r="K42" s="22" t="s">
        <v>13</v>
      </c>
    </row>
    <row r="43" spans="1:18">
      <c r="A43" s="7">
        <v>18</v>
      </c>
      <c r="B43" s="8">
        <v>36845</v>
      </c>
      <c r="C43" s="11">
        <v>2000</v>
      </c>
      <c r="D43" s="20" t="s">
        <v>14</v>
      </c>
      <c r="E43" s="11">
        <v>11</v>
      </c>
      <c r="F43" s="22">
        <v>4.9230928873598749</v>
      </c>
      <c r="G43" s="22">
        <v>0</v>
      </c>
      <c r="H43" s="22">
        <v>0</v>
      </c>
      <c r="I43" s="22">
        <v>2.0446618901666667</v>
      </c>
      <c r="J43" s="22">
        <v>2.4626817666666665E-2</v>
      </c>
      <c r="K43" s="22" t="s">
        <v>13</v>
      </c>
    </row>
    <row r="44" spans="1:18">
      <c r="A44" s="7">
        <v>1</v>
      </c>
      <c r="B44" s="8">
        <v>36875</v>
      </c>
      <c r="C44" s="11">
        <v>2000</v>
      </c>
      <c r="D44" s="20" t="s">
        <v>15</v>
      </c>
      <c r="E44" s="11">
        <v>12</v>
      </c>
      <c r="F44" s="22">
        <v>3.1646030278937745</v>
      </c>
      <c r="G44" s="22">
        <v>3.7036673166666666E-2</v>
      </c>
      <c r="H44" s="22">
        <v>1.5363953999999999E-2</v>
      </c>
      <c r="I44" s="22">
        <v>0.94188776816666675</v>
      </c>
      <c r="J44" s="22">
        <v>8.2784786666666669E-3</v>
      </c>
      <c r="K44" s="22" t="s">
        <v>13</v>
      </c>
    </row>
    <row r="45" spans="1:18">
      <c r="A45" s="7">
        <v>17</v>
      </c>
      <c r="B45" s="8">
        <v>36875</v>
      </c>
      <c r="C45" s="11">
        <v>2000</v>
      </c>
      <c r="D45" s="20" t="s">
        <v>15</v>
      </c>
      <c r="E45" s="11">
        <v>12</v>
      </c>
      <c r="F45" s="22">
        <v>1.7729309077984674</v>
      </c>
      <c r="G45" s="22"/>
      <c r="H45" s="22"/>
      <c r="I45" s="22"/>
      <c r="J45" s="22"/>
      <c r="K45" s="22"/>
    </row>
    <row r="46" spans="1:18" ht="25.5">
      <c r="A46" s="7">
        <v>18</v>
      </c>
      <c r="B46" s="8">
        <v>36875</v>
      </c>
      <c r="C46" s="11">
        <v>2000</v>
      </c>
      <c r="D46" s="20" t="s">
        <v>15</v>
      </c>
      <c r="E46" s="11">
        <v>12</v>
      </c>
      <c r="F46" s="22">
        <v>2.126530714112338</v>
      </c>
      <c r="G46" s="22">
        <v>8.0871788E-2</v>
      </c>
      <c r="H46" s="22">
        <v>0</v>
      </c>
      <c r="I46" s="22">
        <v>0.56399609983333332</v>
      </c>
      <c r="J46" s="22">
        <v>1.0883272500000001E-2</v>
      </c>
      <c r="K46" s="22" t="s">
        <v>13</v>
      </c>
      <c r="L46" s="62" t="s">
        <v>42</v>
      </c>
      <c r="M46" s="5" t="s">
        <v>5</v>
      </c>
      <c r="N46" s="5" t="s">
        <v>6</v>
      </c>
      <c r="O46" s="5" t="s">
        <v>7</v>
      </c>
      <c r="P46" s="5" t="s">
        <v>8</v>
      </c>
      <c r="Q46" s="5" t="s">
        <v>9</v>
      </c>
      <c r="R46" s="5" t="s">
        <v>10</v>
      </c>
    </row>
    <row r="47" spans="1:18">
      <c r="A47" s="15">
        <v>1</v>
      </c>
      <c r="B47" s="16">
        <v>36901</v>
      </c>
      <c r="C47" s="17">
        <v>2001</v>
      </c>
      <c r="D47" s="23" t="s">
        <v>16</v>
      </c>
      <c r="E47" s="17">
        <v>1</v>
      </c>
      <c r="F47" s="67">
        <v>3.146205666681527</v>
      </c>
      <c r="G47" s="67">
        <v>7.485309666666666E-2</v>
      </c>
      <c r="H47" s="67">
        <v>0</v>
      </c>
      <c r="I47" s="67">
        <v>0.89162028966666673</v>
      </c>
      <c r="J47" s="67">
        <v>0</v>
      </c>
      <c r="K47" s="67" t="s">
        <v>13</v>
      </c>
      <c r="L47" s="62" t="s">
        <v>45</v>
      </c>
      <c r="M47" s="50">
        <f>AVERAGE(F47:F82)</f>
        <v>5.4497429926341061</v>
      </c>
      <c r="N47" s="50">
        <f>AVERAGE(G47:G82)</f>
        <v>0.17464876125813936</v>
      </c>
      <c r="O47" s="50">
        <f>AVERAGE(H47:H82)</f>
        <v>0.16444143353153884</v>
      </c>
      <c r="P47" s="50">
        <f>AVERAGE(I47:I82)</f>
        <v>1.7396118844735078</v>
      </c>
      <c r="Q47" s="50">
        <f>AVERAGE(J47:J82)</f>
        <v>8.7967053016325708E-2</v>
      </c>
      <c r="R47" s="50"/>
    </row>
    <row r="48" spans="1:18">
      <c r="A48" s="7">
        <v>17</v>
      </c>
      <c r="B48" s="8">
        <v>36901</v>
      </c>
      <c r="C48" s="11">
        <v>2001</v>
      </c>
      <c r="D48" s="20" t="s">
        <v>16</v>
      </c>
      <c r="E48" s="11">
        <v>1</v>
      </c>
      <c r="F48" s="22">
        <v>3.5771314095991045</v>
      </c>
      <c r="G48" s="22">
        <v>0.11741647833333334</v>
      </c>
      <c r="H48" s="22">
        <v>0</v>
      </c>
      <c r="I48" s="22">
        <v>1.268746465</v>
      </c>
      <c r="J48" s="22">
        <v>0</v>
      </c>
      <c r="K48" s="22" t="s">
        <v>13</v>
      </c>
    </row>
    <row r="49" spans="1:11">
      <c r="A49" s="7">
        <v>18</v>
      </c>
      <c r="B49" s="8">
        <v>36901</v>
      </c>
      <c r="C49" s="11">
        <v>2001</v>
      </c>
      <c r="D49" s="20" t="s">
        <v>16</v>
      </c>
      <c r="E49" s="11">
        <v>1</v>
      </c>
      <c r="F49" s="22">
        <v>2.6683955519063964</v>
      </c>
      <c r="G49" s="22">
        <v>7.1778334999999999E-2</v>
      </c>
      <c r="H49" s="22">
        <v>0</v>
      </c>
      <c r="I49" s="22">
        <v>0.88599755383333334</v>
      </c>
      <c r="J49" s="22">
        <v>0</v>
      </c>
      <c r="K49" s="22" t="s">
        <v>13</v>
      </c>
    </row>
    <row r="50" spans="1:11">
      <c r="A50" s="11">
        <v>1</v>
      </c>
      <c r="B50" s="8">
        <v>36928</v>
      </c>
      <c r="C50" s="11">
        <v>2001</v>
      </c>
      <c r="D50" s="10" t="s">
        <v>17</v>
      </c>
      <c r="E50" s="11">
        <v>2</v>
      </c>
      <c r="F50" s="22">
        <v>6.3365548738563344</v>
      </c>
      <c r="G50" s="22">
        <v>2.3373220666666663E-2</v>
      </c>
      <c r="H50" s="22">
        <v>0</v>
      </c>
      <c r="I50" s="22">
        <v>2.5528479731666662</v>
      </c>
      <c r="J50" s="22">
        <v>3.5239515333333332E-2</v>
      </c>
      <c r="K50" s="22" t="s">
        <v>13</v>
      </c>
    </row>
    <row r="51" spans="1:11">
      <c r="A51" s="11">
        <v>17</v>
      </c>
      <c r="B51" s="8">
        <v>36928</v>
      </c>
      <c r="C51" s="11">
        <v>2001</v>
      </c>
      <c r="D51" s="10" t="s">
        <v>17</v>
      </c>
      <c r="E51" s="11">
        <v>2</v>
      </c>
      <c r="F51" s="22">
        <v>6.4619987355911892</v>
      </c>
      <c r="G51" s="22">
        <v>4.7317783000000002E-2</v>
      </c>
      <c r="H51" s="22">
        <v>9.934635666666667E-3</v>
      </c>
      <c r="I51" s="22">
        <v>2.668438569333333</v>
      </c>
      <c r="J51" s="22">
        <v>2.9764175166666663E-2</v>
      </c>
      <c r="K51" s="22" t="s">
        <v>13</v>
      </c>
    </row>
    <row r="52" spans="1:11">
      <c r="A52" s="11">
        <v>18</v>
      </c>
      <c r="B52" s="8">
        <v>36928</v>
      </c>
      <c r="C52" s="11">
        <v>2001</v>
      </c>
      <c r="D52" s="10" t="s">
        <v>17</v>
      </c>
      <c r="E52" s="11">
        <v>2</v>
      </c>
      <c r="F52" s="22">
        <v>5.9887109224611512</v>
      </c>
      <c r="G52" s="22">
        <v>5.1588064000000003E-2</v>
      </c>
      <c r="H52" s="22">
        <v>0</v>
      </c>
      <c r="I52" s="22">
        <v>2.439197317833333</v>
      </c>
      <c r="J52" s="22">
        <v>3.7874081833333337E-2</v>
      </c>
      <c r="K52" s="22" t="s">
        <v>13</v>
      </c>
    </row>
    <row r="53" spans="1:11">
      <c r="A53" s="7">
        <v>1</v>
      </c>
      <c r="B53" s="8">
        <v>36963</v>
      </c>
      <c r="C53" s="11">
        <v>2001</v>
      </c>
      <c r="D53" s="10" t="s">
        <v>18</v>
      </c>
      <c r="E53" s="11">
        <v>3</v>
      </c>
      <c r="F53" s="22">
        <v>3.780304706672017</v>
      </c>
      <c r="G53" s="22">
        <v>0</v>
      </c>
      <c r="H53" s="22">
        <v>0</v>
      </c>
      <c r="I53" s="22">
        <v>1.4099300228333334</v>
      </c>
      <c r="J53" s="22">
        <v>0</v>
      </c>
      <c r="K53" s="22" t="s">
        <v>13</v>
      </c>
    </row>
    <row r="54" spans="1:11">
      <c r="A54" s="7">
        <v>17</v>
      </c>
      <c r="B54" s="8">
        <v>36963</v>
      </c>
      <c r="C54" s="11">
        <v>2001</v>
      </c>
      <c r="D54" s="10" t="s">
        <v>18</v>
      </c>
      <c r="E54" s="11">
        <v>3</v>
      </c>
      <c r="F54" s="22">
        <v>7.4817150213252903</v>
      </c>
      <c r="G54" s="22">
        <v>0</v>
      </c>
      <c r="H54" s="22">
        <v>9.1552474999999994E-2</v>
      </c>
      <c r="I54" s="22">
        <v>3.1661668126666664</v>
      </c>
      <c r="J54" s="22">
        <v>0</v>
      </c>
      <c r="K54" s="22" t="s">
        <v>13</v>
      </c>
    </row>
    <row r="55" spans="1:11">
      <c r="A55" s="7">
        <v>18</v>
      </c>
      <c r="B55" s="8">
        <v>36963</v>
      </c>
      <c r="C55" s="11">
        <v>2001</v>
      </c>
      <c r="D55" s="10" t="s">
        <v>18</v>
      </c>
      <c r="E55" s="11">
        <v>3</v>
      </c>
      <c r="F55" s="22">
        <v>3.2464615483497052</v>
      </c>
      <c r="G55" s="22">
        <v>0</v>
      </c>
      <c r="H55" s="22">
        <v>0</v>
      </c>
      <c r="I55" s="22">
        <v>1.1463316381666666</v>
      </c>
      <c r="J55" s="22">
        <v>0</v>
      </c>
      <c r="K55" s="22" t="s">
        <v>13</v>
      </c>
    </row>
    <row r="56" spans="1:11">
      <c r="A56" s="7">
        <v>1</v>
      </c>
      <c r="B56" s="8">
        <v>37000</v>
      </c>
      <c r="C56" s="11">
        <v>2001</v>
      </c>
      <c r="D56" s="20" t="s">
        <v>19</v>
      </c>
      <c r="E56" s="11">
        <v>4</v>
      </c>
      <c r="F56" s="22">
        <v>1.6264904675216598</v>
      </c>
      <c r="G56" s="22">
        <v>0</v>
      </c>
      <c r="H56" s="22">
        <v>7.0551051166666656E-2</v>
      </c>
      <c r="I56" s="22">
        <v>0.53010369283333325</v>
      </c>
      <c r="J56" s="22">
        <v>2.2217118666666664E-2</v>
      </c>
      <c r="K56" s="22" t="s">
        <v>13</v>
      </c>
    </row>
    <row r="57" spans="1:11">
      <c r="A57" s="7">
        <v>17</v>
      </c>
      <c r="B57" s="8">
        <v>37000</v>
      </c>
      <c r="C57" s="11">
        <v>2001</v>
      </c>
      <c r="D57" s="20" t="s">
        <v>19</v>
      </c>
      <c r="E57" s="11">
        <v>4</v>
      </c>
      <c r="F57" s="22">
        <v>0.60367227539096358</v>
      </c>
      <c r="G57" s="22">
        <v>0</v>
      </c>
      <c r="H57" s="22">
        <v>2.1250345666666667E-2</v>
      </c>
      <c r="I57" s="22">
        <v>0.1751295346666667</v>
      </c>
      <c r="J57" s="22">
        <v>0</v>
      </c>
      <c r="K57" s="22" t="s">
        <v>13</v>
      </c>
    </row>
    <row r="58" spans="1:11">
      <c r="A58" s="7">
        <v>18</v>
      </c>
      <c r="B58" s="8">
        <v>37000</v>
      </c>
      <c r="C58" s="11">
        <v>2001</v>
      </c>
      <c r="D58" s="20" t="s">
        <v>19</v>
      </c>
      <c r="E58" s="11">
        <v>4</v>
      </c>
      <c r="F58" s="22">
        <v>0.26047307738033315</v>
      </c>
      <c r="G58" s="22">
        <v>0</v>
      </c>
      <c r="H58" s="22">
        <v>0</v>
      </c>
      <c r="I58" s="22">
        <v>4.8456692333333329E-2</v>
      </c>
      <c r="J58" s="22">
        <v>0</v>
      </c>
      <c r="K58" s="22" t="s">
        <v>13</v>
      </c>
    </row>
    <row r="59" spans="1:11">
      <c r="A59" s="7">
        <v>1</v>
      </c>
      <c r="B59" s="8">
        <v>37028</v>
      </c>
      <c r="C59" s="11">
        <v>2001</v>
      </c>
      <c r="D59" s="20" t="s">
        <v>20</v>
      </c>
      <c r="E59" s="11">
        <v>5</v>
      </c>
      <c r="F59" s="22">
        <v>4.0775620684786977</v>
      </c>
      <c r="G59" s="22">
        <v>0.40370215916666669</v>
      </c>
      <c r="H59" s="22">
        <v>1.9410311000000003E-2</v>
      </c>
      <c r="I59" s="22">
        <v>0.90488631899999983</v>
      </c>
      <c r="J59" s="22">
        <v>1.839783066666667E-2</v>
      </c>
      <c r="K59" s="22" t="s">
        <v>13</v>
      </c>
    </row>
    <row r="60" spans="1:11">
      <c r="A60" s="7">
        <v>17</v>
      </c>
      <c r="B60" s="8">
        <v>37028</v>
      </c>
      <c r="C60" s="11">
        <v>2001</v>
      </c>
      <c r="D60" s="20" t="s">
        <v>20</v>
      </c>
      <c r="E60" s="11">
        <v>5</v>
      </c>
      <c r="F60" s="22">
        <v>0.92898604147161834</v>
      </c>
      <c r="G60" s="22">
        <v>7.967595416666666E-2</v>
      </c>
      <c r="H60" s="22">
        <v>0</v>
      </c>
      <c r="I60" s="22">
        <v>0.2221281001666667</v>
      </c>
      <c r="J60" s="22">
        <v>1.2195785833333332E-2</v>
      </c>
      <c r="K60" s="22" t="s">
        <v>13</v>
      </c>
    </row>
    <row r="61" spans="1:11">
      <c r="A61" s="7">
        <v>18</v>
      </c>
      <c r="B61" s="8">
        <v>37028</v>
      </c>
      <c r="C61" s="11">
        <v>2001</v>
      </c>
      <c r="D61" s="20" t="s">
        <v>20</v>
      </c>
      <c r="E61" s="11">
        <v>5</v>
      </c>
      <c r="F61" s="22">
        <v>0.6466039175620315</v>
      </c>
      <c r="G61" s="22">
        <v>4.1764866166666664E-2</v>
      </c>
      <c r="H61" s="22">
        <v>0</v>
      </c>
      <c r="I61" s="22">
        <v>0.111656306</v>
      </c>
      <c r="J61" s="22">
        <v>0</v>
      </c>
      <c r="K61" s="22" t="s">
        <v>13</v>
      </c>
    </row>
    <row r="62" spans="1:11">
      <c r="A62" s="7">
        <v>1</v>
      </c>
      <c r="B62" s="8">
        <v>37058</v>
      </c>
      <c r="C62" s="11">
        <v>2001</v>
      </c>
      <c r="D62" s="20" t="s">
        <v>21</v>
      </c>
      <c r="E62" s="11">
        <v>6</v>
      </c>
      <c r="F62" s="22">
        <v>8.7157709839849797</v>
      </c>
      <c r="G62" s="22">
        <v>0.93148452749999988</v>
      </c>
      <c r="H62" s="22">
        <v>0.69461727999999989</v>
      </c>
      <c r="I62" s="22">
        <v>2.7677656366666668</v>
      </c>
      <c r="J62" s="22">
        <v>0.19438259566666666</v>
      </c>
      <c r="K62" s="22" t="s">
        <v>13</v>
      </c>
    </row>
    <row r="63" spans="1:11">
      <c r="A63" s="7">
        <v>17</v>
      </c>
      <c r="B63" s="8">
        <v>37058</v>
      </c>
      <c r="C63" s="11">
        <v>2001</v>
      </c>
      <c r="D63" s="20" t="s">
        <v>21</v>
      </c>
      <c r="E63" s="11">
        <v>6</v>
      </c>
      <c r="F63" s="22">
        <v>2.7333174077266396</v>
      </c>
      <c r="G63" s="22">
        <v>0.79478028833333336</v>
      </c>
      <c r="H63" s="22">
        <v>8.5789624500000009E-2</v>
      </c>
      <c r="I63" s="22">
        <v>0.44414088366666671</v>
      </c>
      <c r="J63" s="22">
        <v>5.4107418666666671E-2</v>
      </c>
      <c r="K63" s="22" t="s">
        <v>13</v>
      </c>
    </row>
    <row r="64" spans="1:11">
      <c r="A64" s="7">
        <v>18</v>
      </c>
      <c r="B64" s="8">
        <v>37058</v>
      </c>
      <c r="C64" s="11">
        <v>2001</v>
      </c>
      <c r="D64" s="20" t="s">
        <v>21</v>
      </c>
      <c r="E64" s="11">
        <v>6</v>
      </c>
      <c r="F64" s="22">
        <v>25.312903742204263</v>
      </c>
      <c r="G64" s="22">
        <v>9.6149569000000004E-2</v>
      </c>
      <c r="H64" s="22">
        <v>4.4599097184999996</v>
      </c>
      <c r="I64" s="22">
        <v>9.0555100426666684</v>
      </c>
      <c r="J64" s="22">
        <v>0.58571043783333332</v>
      </c>
      <c r="K64" s="22" t="s">
        <v>13</v>
      </c>
    </row>
    <row r="65" spans="1:11">
      <c r="A65" s="7">
        <v>1</v>
      </c>
      <c r="B65" s="8">
        <v>37089</v>
      </c>
      <c r="C65" s="11">
        <v>2001</v>
      </c>
      <c r="D65" s="20" t="s">
        <v>22</v>
      </c>
      <c r="E65" s="11">
        <v>7</v>
      </c>
      <c r="F65" s="22">
        <v>16.401915241017868</v>
      </c>
      <c r="G65" s="22">
        <v>1.4971131968333333</v>
      </c>
      <c r="H65" s="22">
        <v>6.2093097833333333E-2</v>
      </c>
      <c r="I65" s="22">
        <v>1.6051353505000001</v>
      </c>
      <c r="J65" s="22">
        <v>0.43885927550000003</v>
      </c>
      <c r="K65" s="22" t="s">
        <v>13</v>
      </c>
    </row>
    <row r="66" spans="1:11">
      <c r="A66" s="7">
        <v>17</v>
      </c>
      <c r="B66" s="8">
        <v>37089</v>
      </c>
      <c r="C66" s="11">
        <v>2001</v>
      </c>
      <c r="D66" s="20" t="s">
        <v>22</v>
      </c>
      <c r="E66" s="11">
        <v>7</v>
      </c>
      <c r="F66" s="22">
        <v>9.7769763943172183</v>
      </c>
      <c r="G66" s="22">
        <v>0.16873019350000004</v>
      </c>
      <c r="H66" s="22">
        <v>2.0420275333333331E-2</v>
      </c>
      <c r="I66" s="22">
        <v>2.3529446445</v>
      </c>
      <c r="J66" s="22">
        <v>0.59547430000000001</v>
      </c>
      <c r="K66" s="22" t="s">
        <v>13</v>
      </c>
    </row>
    <row r="67" spans="1:11">
      <c r="A67" s="7">
        <v>18</v>
      </c>
      <c r="B67" s="8">
        <v>37089</v>
      </c>
      <c r="C67" s="11">
        <v>2001</v>
      </c>
      <c r="D67" s="20" t="s">
        <v>22</v>
      </c>
      <c r="E67" s="11">
        <v>7</v>
      </c>
      <c r="F67" s="22">
        <v>6.509773608902627</v>
      </c>
      <c r="G67" s="22">
        <v>0.10119928583333335</v>
      </c>
      <c r="H67" s="22">
        <v>0</v>
      </c>
      <c r="I67" s="22">
        <v>1.506902848</v>
      </c>
      <c r="J67" s="22">
        <v>0.45883914599999998</v>
      </c>
      <c r="K67" s="22" t="s">
        <v>13</v>
      </c>
    </row>
    <row r="68" spans="1:11">
      <c r="A68" s="7">
        <v>1</v>
      </c>
      <c r="B68" s="8">
        <v>37119</v>
      </c>
      <c r="C68" s="11">
        <v>2001</v>
      </c>
      <c r="D68" s="20" t="s">
        <v>23</v>
      </c>
      <c r="E68" s="11">
        <v>8</v>
      </c>
      <c r="F68" s="22">
        <v>8.2814764161130991</v>
      </c>
      <c r="G68" s="22">
        <v>0.35985677066666666</v>
      </c>
      <c r="H68" s="22">
        <v>0</v>
      </c>
      <c r="I68" s="22">
        <v>1.3101216656666665</v>
      </c>
      <c r="J68" s="22">
        <v>0.10570292583333334</v>
      </c>
      <c r="K68" s="22" t="s">
        <v>13</v>
      </c>
    </row>
    <row r="69" spans="1:11">
      <c r="A69" s="7">
        <v>17</v>
      </c>
      <c r="B69" s="8">
        <v>37119</v>
      </c>
      <c r="C69" s="11">
        <v>2001</v>
      </c>
      <c r="D69" s="20" t="s">
        <v>23</v>
      </c>
      <c r="E69" s="11">
        <v>8</v>
      </c>
      <c r="F69" s="22">
        <v>5.0817030987303893</v>
      </c>
      <c r="G69" s="22">
        <v>0.39571270600000008</v>
      </c>
      <c r="H69" s="22">
        <v>0</v>
      </c>
      <c r="I69" s="22">
        <v>1.1914174146666667</v>
      </c>
      <c r="J69" s="22">
        <v>9.0785771500000015E-2</v>
      </c>
      <c r="K69" s="22" t="s">
        <v>13</v>
      </c>
    </row>
    <row r="70" spans="1:11">
      <c r="A70" s="7">
        <v>18</v>
      </c>
      <c r="B70" s="8">
        <v>37119</v>
      </c>
      <c r="C70" s="11">
        <v>2001</v>
      </c>
      <c r="D70" s="20" t="s">
        <v>23</v>
      </c>
      <c r="E70" s="11">
        <v>8</v>
      </c>
      <c r="F70" s="22">
        <v>2.5398850997904625</v>
      </c>
      <c r="G70" s="22">
        <v>0.21954311983333333</v>
      </c>
      <c r="H70" s="22">
        <v>0</v>
      </c>
      <c r="I70" s="22">
        <v>0.383847879</v>
      </c>
      <c r="J70" s="22">
        <v>5.2656420500000002E-2</v>
      </c>
      <c r="K70" s="22" t="s">
        <v>13</v>
      </c>
    </row>
    <row r="71" spans="1:11">
      <c r="A71" s="7">
        <v>1</v>
      </c>
      <c r="B71" s="8">
        <v>37152</v>
      </c>
      <c r="C71" s="11">
        <v>2001</v>
      </c>
      <c r="D71" s="20" t="s">
        <v>24</v>
      </c>
      <c r="E71" s="11">
        <v>9</v>
      </c>
      <c r="F71" s="22">
        <v>5.5072334871429076</v>
      </c>
      <c r="G71" s="22">
        <v>0.12233421</v>
      </c>
      <c r="H71" s="22">
        <v>0</v>
      </c>
      <c r="I71" s="22">
        <v>1.4716511720000001</v>
      </c>
      <c r="J71" s="22">
        <v>4.4387586499999993E-2</v>
      </c>
      <c r="K71" s="22" t="s">
        <v>13</v>
      </c>
    </row>
    <row r="72" spans="1:11">
      <c r="A72" s="7">
        <v>17</v>
      </c>
      <c r="B72" s="8">
        <v>37152</v>
      </c>
      <c r="C72" s="11">
        <v>2001</v>
      </c>
      <c r="D72" s="20" t="s">
        <v>24</v>
      </c>
      <c r="E72" s="11">
        <v>9</v>
      </c>
      <c r="F72" s="22">
        <v>6.3978901088803353</v>
      </c>
      <c r="G72" s="22">
        <v>0.14286770533333334</v>
      </c>
      <c r="H72" s="22">
        <v>4.6307609E-2</v>
      </c>
      <c r="I72" s="22">
        <v>2.2884607176666667</v>
      </c>
      <c r="J72" s="22">
        <v>3.5900699166666668E-2</v>
      </c>
      <c r="K72" s="22" t="s">
        <v>13</v>
      </c>
    </row>
    <row r="73" spans="1:11">
      <c r="A73" s="7">
        <v>18</v>
      </c>
      <c r="B73" s="8">
        <v>37152</v>
      </c>
      <c r="C73" s="11">
        <v>2001</v>
      </c>
      <c r="D73" s="20" t="s">
        <v>24</v>
      </c>
      <c r="E73" s="11">
        <v>9</v>
      </c>
      <c r="F73" s="22">
        <v>1.5267954335151308</v>
      </c>
      <c r="G73" s="22">
        <v>3.7373922000000004E-2</v>
      </c>
      <c r="H73" s="22">
        <v>0</v>
      </c>
      <c r="I73" s="22">
        <v>0.4057778591666667</v>
      </c>
      <c r="J73" s="22">
        <v>2.6567911666666662E-2</v>
      </c>
      <c r="K73" s="22" t="s">
        <v>13</v>
      </c>
    </row>
    <row r="74" spans="1:11">
      <c r="A74" s="7">
        <v>1</v>
      </c>
      <c r="B74" s="8">
        <v>37181</v>
      </c>
      <c r="C74" s="11">
        <v>2001</v>
      </c>
      <c r="D74" s="20" t="s">
        <v>12</v>
      </c>
      <c r="E74" s="11">
        <v>10</v>
      </c>
      <c r="F74" s="50">
        <v>3.6576681660544041</v>
      </c>
      <c r="G74" s="50">
        <v>4.6953268400178418E-2</v>
      </c>
      <c r="H74" s="50">
        <v>1.6636572853277739E-2</v>
      </c>
      <c r="I74" s="50">
        <v>0.82569903811506462</v>
      </c>
      <c r="J74" s="50">
        <v>3.1295771012687122E-2</v>
      </c>
      <c r="K74" s="50" t="s">
        <v>25</v>
      </c>
    </row>
    <row r="75" spans="1:11">
      <c r="A75" s="7">
        <v>17</v>
      </c>
      <c r="B75" s="8">
        <v>37181</v>
      </c>
      <c r="C75" s="11">
        <v>2001</v>
      </c>
      <c r="D75" s="20" t="s">
        <v>12</v>
      </c>
      <c r="E75" s="11">
        <v>10</v>
      </c>
      <c r="F75" s="50">
        <v>3.6781477548934913</v>
      </c>
      <c r="G75" s="50">
        <v>6.7892347832630082E-2</v>
      </c>
      <c r="H75" s="50">
        <v>3.5328058678657667E-2</v>
      </c>
      <c r="I75" s="50">
        <v>1.181810602287344</v>
      </c>
      <c r="J75" s="50">
        <v>4.8589114410041281E-2</v>
      </c>
      <c r="K75" s="50" t="s">
        <v>25</v>
      </c>
    </row>
    <row r="76" spans="1:11">
      <c r="A76" s="7">
        <v>18</v>
      </c>
      <c r="B76" s="8">
        <v>37181</v>
      </c>
      <c r="C76" s="11">
        <v>2001</v>
      </c>
      <c r="D76" s="20" t="s">
        <v>12</v>
      </c>
      <c r="E76" s="11">
        <v>10</v>
      </c>
      <c r="F76" s="50">
        <v>2.4342636813677441</v>
      </c>
      <c r="G76" s="50">
        <v>6.285149164133412E-2</v>
      </c>
      <c r="H76" s="50">
        <v>3.310642420076302E-2</v>
      </c>
      <c r="I76" s="50">
        <v>0.74997303219837153</v>
      </c>
      <c r="J76" s="50">
        <v>4.8080077681441562E-2</v>
      </c>
      <c r="K76" s="50" t="s">
        <v>25</v>
      </c>
    </row>
    <row r="77" spans="1:11">
      <c r="A77" s="7">
        <v>1</v>
      </c>
      <c r="B77" s="8">
        <v>37203</v>
      </c>
      <c r="C77" s="11">
        <v>2001</v>
      </c>
      <c r="D77" s="20" t="s">
        <v>14</v>
      </c>
      <c r="E77" s="11">
        <v>11</v>
      </c>
      <c r="F77" s="50">
        <v>5.3141218566424371</v>
      </c>
      <c r="G77" s="50">
        <v>2.6322419916725841E-2</v>
      </c>
      <c r="H77" s="50">
        <v>1.5416244251338534E-2</v>
      </c>
      <c r="I77" s="50">
        <v>1.5262381322783052</v>
      </c>
      <c r="J77" s="50">
        <v>2.2063385401799279E-2</v>
      </c>
      <c r="K77" s="50" t="s">
        <v>25</v>
      </c>
    </row>
    <row r="78" spans="1:11">
      <c r="A78" s="7">
        <v>17</v>
      </c>
      <c r="B78" s="8">
        <v>37203</v>
      </c>
      <c r="C78" s="11">
        <v>2001</v>
      </c>
      <c r="D78" s="20" t="s">
        <v>14</v>
      </c>
      <c r="E78" s="11">
        <v>11</v>
      </c>
      <c r="F78" s="50">
        <v>5.233395826582937</v>
      </c>
      <c r="G78" s="50">
        <v>3.2166416184600054E-2</v>
      </c>
      <c r="H78" s="50">
        <v>2.6160391787787392E-2</v>
      </c>
      <c r="I78" s="50">
        <v>2.1356888294449785</v>
      </c>
      <c r="J78" s="50">
        <v>3.1610899182750091E-2</v>
      </c>
      <c r="K78" s="50" t="s">
        <v>25</v>
      </c>
    </row>
    <row r="79" spans="1:11">
      <c r="A79" s="7">
        <v>18</v>
      </c>
      <c r="B79" s="8">
        <v>37203</v>
      </c>
      <c r="C79" s="11">
        <v>2001</v>
      </c>
      <c r="D79" s="20" t="s">
        <v>14</v>
      </c>
      <c r="E79" s="11">
        <v>11</v>
      </c>
      <c r="F79" s="50">
        <v>5.5073664934105464</v>
      </c>
      <c r="G79" s="50">
        <v>3.4574808761011384E-2</v>
      </c>
      <c r="H79" s="50">
        <v>3.1313205704229685E-2</v>
      </c>
      <c r="I79" s="50">
        <v>2.2645899101524396</v>
      </c>
      <c r="J79" s="50">
        <v>3.5765968819275337E-2</v>
      </c>
      <c r="K79" s="50" t="s">
        <v>25</v>
      </c>
    </row>
    <row r="80" spans="1:11">
      <c r="A80" s="7">
        <v>1</v>
      </c>
      <c r="B80" s="8">
        <v>37228</v>
      </c>
      <c r="C80" s="11">
        <v>2001</v>
      </c>
      <c r="D80" s="20" t="s">
        <v>15</v>
      </c>
      <c r="E80" s="11">
        <v>12</v>
      </c>
      <c r="F80" s="50">
        <v>6.4563632706722078</v>
      </c>
      <c r="G80" s="50">
        <v>8.5843078550772917E-2</v>
      </c>
      <c r="H80" s="50">
        <v>4.8309744266764765E-2</v>
      </c>
      <c r="I80" s="50">
        <v>3.0810266013421472</v>
      </c>
      <c r="J80" s="50">
        <v>3.3330518924422049E-2</v>
      </c>
      <c r="K80" s="50" t="s">
        <v>25</v>
      </c>
    </row>
    <row r="81" spans="1:18">
      <c r="A81" s="7">
        <v>17</v>
      </c>
      <c r="B81" s="8">
        <v>37228</v>
      </c>
      <c r="C81" s="11">
        <v>2001</v>
      </c>
      <c r="D81" s="20" t="s">
        <v>15</v>
      </c>
      <c r="E81" s="11">
        <v>12</v>
      </c>
      <c r="F81" s="50">
        <v>6.9381431282667299</v>
      </c>
      <c r="G81" s="50">
        <v>7.674940100650722E-2</v>
      </c>
      <c r="H81" s="50">
        <v>7.8682622421913886E-2</v>
      </c>
      <c r="I81" s="50">
        <v>3.8650756561175412</v>
      </c>
      <c r="J81" s="50">
        <v>3.6119718934291833E-2</v>
      </c>
      <c r="K81" s="50" t="s">
        <v>25</v>
      </c>
    </row>
    <row r="82" spans="1:18" ht="25.5">
      <c r="A82" s="7">
        <v>18</v>
      </c>
      <c r="B82" s="8">
        <v>37228</v>
      </c>
      <c r="C82" s="11">
        <v>2001</v>
      </c>
      <c r="D82" s="20" t="s">
        <v>15</v>
      </c>
      <c r="E82" s="11">
        <v>12</v>
      </c>
      <c r="F82" s="50">
        <v>7.3543702503633321</v>
      </c>
      <c r="G82" s="50">
        <v>7.5386720999256654E-2</v>
      </c>
      <c r="H82" s="50">
        <v>5.3101919303999691E-2</v>
      </c>
      <c r="I82" s="50">
        <v>3.790612637443425</v>
      </c>
      <c r="J82" s="50">
        <v>4.0895457887683735E-2</v>
      </c>
      <c r="K82" s="50" t="s">
        <v>25</v>
      </c>
      <c r="L82" s="62" t="s">
        <v>42</v>
      </c>
      <c r="M82" s="5" t="s">
        <v>5</v>
      </c>
      <c r="N82" s="5" t="s">
        <v>6</v>
      </c>
      <c r="O82" s="5" t="s">
        <v>7</v>
      </c>
      <c r="P82" s="5" t="s">
        <v>8</v>
      </c>
      <c r="Q82" s="5" t="s">
        <v>9</v>
      </c>
      <c r="R82" s="5" t="s">
        <v>10</v>
      </c>
    </row>
    <row r="83" spans="1:18">
      <c r="A83" s="15">
        <v>1</v>
      </c>
      <c r="B83" s="16">
        <v>37270</v>
      </c>
      <c r="C83" s="17">
        <v>2002</v>
      </c>
      <c r="D83" s="23" t="s">
        <v>16</v>
      </c>
      <c r="E83" s="17">
        <v>1</v>
      </c>
      <c r="F83" s="68">
        <v>2.1763560631400756</v>
      </c>
      <c r="G83" s="68">
        <v>3.9186985425232114E-2</v>
      </c>
      <c r="H83" s="68">
        <v>1.0671651698058029E-2</v>
      </c>
      <c r="I83" s="68">
        <v>0.70797627888853154</v>
      </c>
      <c r="J83" s="68">
        <v>1.091003650262189E-2</v>
      </c>
      <c r="K83" s="68" t="s">
        <v>25</v>
      </c>
      <c r="L83" s="62" t="s">
        <v>47</v>
      </c>
      <c r="M83" s="50">
        <f>AVERAGE(F83:F118)</f>
        <v>4.5789280293277441</v>
      </c>
      <c r="N83" s="50">
        <f>AVERAGE(G83:G118)</f>
        <v>8.1786924318305504E-2</v>
      </c>
      <c r="O83" s="50">
        <f>AVERAGE(H83:H118)</f>
        <v>9.106780976727305E-2</v>
      </c>
      <c r="P83" s="50">
        <f>AVERAGE(I83:I118)</f>
        <v>0.95042819241420939</v>
      </c>
      <c r="Q83" s="50">
        <f>AVERAGE(J83:J118)</f>
        <v>2.1299905785898805E-2</v>
      </c>
      <c r="R83" s="50"/>
    </row>
    <row r="84" spans="1:18">
      <c r="A84" s="7">
        <v>17</v>
      </c>
      <c r="B84" s="8">
        <v>37270</v>
      </c>
      <c r="C84" s="11">
        <v>2002</v>
      </c>
      <c r="D84" s="20" t="s">
        <v>16</v>
      </c>
      <c r="E84" s="11">
        <v>1</v>
      </c>
      <c r="F84" s="50">
        <v>2.8683063138136613</v>
      </c>
      <c r="G84" s="50">
        <v>0.36252292811031933</v>
      </c>
      <c r="H84" s="50">
        <v>1.3942938343304323E-2</v>
      </c>
      <c r="I84" s="50">
        <v>0.58175198134096318</v>
      </c>
      <c r="J84" s="50">
        <v>2.0306489017141435E-2</v>
      </c>
      <c r="K84" s="50" t="s">
        <v>25</v>
      </c>
    </row>
    <row r="85" spans="1:18">
      <c r="A85" s="7">
        <v>18</v>
      </c>
      <c r="B85" s="8">
        <v>37270</v>
      </c>
      <c r="C85" s="11">
        <v>2002</v>
      </c>
      <c r="D85" s="20" t="s">
        <v>16</v>
      </c>
      <c r="E85" s="11">
        <v>1</v>
      </c>
      <c r="F85" s="50">
        <v>3.6317491247511926</v>
      </c>
      <c r="G85" s="50">
        <v>0.42781098146188362</v>
      </c>
      <c r="H85" s="50">
        <v>2.245341532265608E-2</v>
      </c>
      <c r="I85" s="50">
        <v>0.62292521440927617</v>
      </c>
      <c r="J85" s="50">
        <v>2.8538574176033303E-2</v>
      </c>
      <c r="K85" s="50" t="s">
        <v>25</v>
      </c>
    </row>
    <row r="86" spans="1:18">
      <c r="A86" s="7">
        <v>1</v>
      </c>
      <c r="B86" s="8">
        <v>37300</v>
      </c>
      <c r="C86" s="11">
        <v>2002</v>
      </c>
      <c r="D86" s="10" t="s">
        <v>17</v>
      </c>
      <c r="E86" s="11">
        <v>2</v>
      </c>
      <c r="F86" s="50">
        <v>3.3470006946726891</v>
      </c>
      <c r="G86" s="50">
        <v>7.0767699199537445E-2</v>
      </c>
      <c r="H86" s="50">
        <v>2.3401141668673815E-2</v>
      </c>
      <c r="I86" s="50">
        <v>1.2095619652277292</v>
      </c>
      <c r="J86" s="50">
        <v>2.0722494012503666E-2</v>
      </c>
      <c r="K86" s="50" t="s">
        <v>25</v>
      </c>
    </row>
    <row r="87" spans="1:18">
      <c r="A87" s="7">
        <v>17</v>
      </c>
      <c r="B87" s="8">
        <v>37300</v>
      </c>
      <c r="C87" s="11">
        <v>2002</v>
      </c>
      <c r="D87" s="10" t="s">
        <v>17</v>
      </c>
      <c r="E87" s="11">
        <v>2</v>
      </c>
      <c r="F87" s="50">
        <v>3.8245683993248143</v>
      </c>
      <c r="G87" s="50">
        <v>7.4246780395660628E-2</v>
      </c>
      <c r="H87" s="50">
        <v>4.5284374133266948E-2</v>
      </c>
      <c r="I87" s="50">
        <v>1.6934650357351597</v>
      </c>
      <c r="J87" s="50">
        <v>1.809359349514602E-2</v>
      </c>
      <c r="K87" s="50" t="s">
        <v>25</v>
      </c>
    </row>
    <row r="88" spans="1:18">
      <c r="A88" s="7">
        <v>18</v>
      </c>
      <c r="B88" s="8">
        <v>37300</v>
      </c>
      <c r="C88" s="11">
        <v>2002</v>
      </c>
      <c r="D88" s="10" t="s">
        <v>17</v>
      </c>
      <c r="E88" s="11">
        <v>2</v>
      </c>
      <c r="F88" s="50">
        <v>4.2593089916726532</v>
      </c>
      <c r="G88" s="50">
        <v>6.105456792713336E-2</v>
      </c>
      <c r="H88" s="50">
        <v>6.5386664810612241E-2</v>
      </c>
      <c r="I88" s="50">
        <v>1.898618446273276</v>
      </c>
      <c r="J88" s="50">
        <v>1.8994084637978512E-2</v>
      </c>
      <c r="K88" s="50" t="s">
        <v>25</v>
      </c>
    </row>
    <row r="89" spans="1:18">
      <c r="A89" s="7">
        <v>1</v>
      </c>
      <c r="B89" s="25">
        <v>37334</v>
      </c>
      <c r="C89" s="11">
        <v>2002</v>
      </c>
      <c r="D89" s="10" t="s">
        <v>18</v>
      </c>
      <c r="E89" s="11">
        <v>3</v>
      </c>
      <c r="F89" s="22">
        <v>2.5357108876976513</v>
      </c>
      <c r="G89" s="22">
        <v>7.9765279993133278E-2</v>
      </c>
      <c r="H89" s="22">
        <v>2.3124230645309968E-2</v>
      </c>
      <c r="I89" s="22">
        <v>0.79773325346699064</v>
      </c>
      <c r="J89" s="22">
        <v>1.6105928070757045E-2</v>
      </c>
      <c r="K89" s="22" t="s">
        <v>25</v>
      </c>
    </row>
    <row r="90" spans="1:18">
      <c r="A90" s="7">
        <v>17</v>
      </c>
      <c r="B90" s="25">
        <v>37334</v>
      </c>
      <c r="C90" s="11">
        <v>2002</v>
      </c>
      <c r="D90" s="10" t="s">
        <v>18</v>
      </c>
      <c r="E90" s="11">
        <v>3</v>
      </c>
      <c r="F90" s="22">
        <v>3.2883202266581733</v>
      </c>
      <c r="G90" s="22">
        <v>0.10698402594247108</v>
      </c>
      <c r="H90" s="22">
        <v>5.6486841036476623E-2</v>
      </c>
      <c r="I90" s="22">
        <v>1.1592846420851777</v>
      </c>
      <c r="J90" s="22">
        <v>2.1514077937907432E-2</v>
      </c>
      <c r="K90" s="22" t="s">
        <v>25</v>
      </c>
    </row>
    <row r="91" spans="1:18">
      <c r="A91" s="7">
        <v>18</v>
      </c>
      <c r="B91" s="25">
        <v>37334</v>
      </c>
      <c r="C91" s="11">
        <v>2002</v>
      </c>
      <c r="D91" s="10" t="s">
        <v>18</v>
      </c>
      <c r="E91" s="11">
        <v>3</v>
      </c>
      <c r="F91" s="22">
        <v>3.202311990932897</v>
      </c>
      <c r="G91" s="22">
        <v>0.10508375347483513</v>
      </c>
      <c r="H91" s="22">
        <v>5.1578296273171904E-2</v>
      </c>
      <c r="I91" s="22">
        <v>1.1168437637369917</v>
      </c>
      <c r="J91" s="22">
        <v>2.1769986107948721E-2</v>
      </c>
      <c r="K91" s="22" t="s">
        <v>25</v>
      </c>
    </row>
    <row r="92" spans="1:18">
      <c r="A92" s="7">
        <v>1</v>
      </c>
      <c r="B92" s="25">
        <v>37361</v>
      </c>
      <c r="C92" s="11">
        <v>2002</v>
      </c>
      <c r="D92" s="20" t="s">
        <v>19</v>
      </c>
      <c r="E92" s="11">
        <v>4</v>
      </c>
      <c r="F92" s="22">
        <v>2.1493505949558909</v>
      </c>
      <c r="G92" s="22">
        <v>5.4071097387193616E-2</v>
      </c>
      <c r="H92" s="22">
        <v>2.7582169021093471E-2</v>
      </c>
      <c r="I92" s="22">
        <v>0.47947363384260738</v>
      </c>
      <c r="J92" s="22">
        <v>2.4076675769377377E-2</v>
      </c>
      <c r="K92" s="22" t="s">
        <v>25</v>
      </c>
    </row>
    <row r="93" spans="1:18">
      <c r="A93" s="7">
        <v>17</v>
      </c>
      <c r="B93" s="25">
        <v>37361</v>
      </c>
      <c r="C93" s="11">
        <v>2002</v>
      </c>
      <c r="D93" s="20" t="s">
        <v>19</v>
      </c>
      <c r="E93" s="11">
        <v>4</v>
      </c>
      <c r="F93" s="22">
        <v>3.52361992047864</v>
      </c>
      <c r="G93" s="22">
        <v>5.9102424401419523E-2</v>
      </c>
      <c r="H93" s="22">
        <v>6.5803622651776777E-2</v>
      </c>
      <c r="I93" s="22">
        <v>1.3825127619310027</v>
      </c>
      <c r="J93" s="22">
        <v>2.7247170646775076E-2</v>
      </c>
      <c r="K93" s="22" t="s">
        <v>25</v>
      </c>
    </row>
    <row r="94" spans="1:18">
      <c r="A94" s="7">
        <v>18</v>
      </c>
      <c r="B94" s="25">
        <v>37361</v>
      </c>
      <c r="C94" s="11">
        <v>2002</v>
      </c>
      <c r="D94" s="20" t="s">
        <v>19</v>
      </c>
      <c r="E94" s="11">
        <v>4</v>
      </c>
      <c r="F94" s="22">
        <v>2.0462043792011215</v>
      </c>
      <c r="G94" s="22">
        <v>4.564338365268119E-2</v>
      </c>
      <c r="H94" s="22">
        <v>5.55368569967159E-2</v>
      </c>
      <c r="I94" s="22">
        <v>0.66444882137443573</v>
      </c>
      <c r="J94" s="22">
        <v>2.4773284479232296E-2</v>
      </c>
      <c r="K94" s="22" t="s">
        <v>25</v>
      </c>
    </row>
    <row r="95" spans="1:18">
      <c r="A95" s="7">
        <v>1</v>
      </c>
      <c r="B95" s="25">
        <v>37389</v>
      </c>
      <c r="C95" s="11">
        <v>2002</v>
      </c>
      <c r="D95" s="20" t="s">
        <v>20</v>
      </c>
      <c r="E95" s="11">
        <v>5</v>
      </c>
      <c r="F95" s="22">
        <v>6.6641784075734405</v>
      </c>
      <c r="G95" s="22"/>
      <c r="H95" s="22">
        <v>0.17066009204609991</v>
      </c>
      <c r="I95" s="22"/>
      <c r="J95" s="22"/>
      <c r="K95" s="22" t="s">
        <v>25</v>
      </c>
    </row>
    <row r="96" spans="1:18">
      <c r="A96" s="7">
        <v>17</v>
      </c>
      <c r="B96" s="25">
        <v>37389</v>
      </c>
      <c r="C96" s="11">
        <v>2002</v>
      </c>
      <c r="D96" s="20" t="s">
        <v>20</v>
      </c>
      <c r="E96" s="11">
        <v>5</v>
      </c>
      <c r="F96" s="22">
        <v>4.2799335229059876</v>
      </c>
      <c r="G96" s="22"/>
      <c r="H96" s="22">
        <v>8.7581782461342655E-2</v>
      </c>
      <c r="I96" s="22"/>
      <c r="J96" s="22"/>
      <c r="K96" s="22" t="s">
        <v>25</v>
      </c>
    </row>
    <row r="97" spans="1:11">
      <c r="A97" s="7">
        <v>18</v>
      </c>
      <c r="B97" s="25">
        <v>37389</v>
      </c>
      <c r="C97" s="11">
        <v>2002</v>
      </c>
      <c r="D97" s="20" t="s">
        <v>20</v>
      </c>
      <c r="E97" s="11">
        <v>5</v>
      </c>
      <c r="F97" s="22">
        <v>3.0251842386799357</v>
      </c>
      <c r="G97" s="22"/>
      <c r="H97" s="22">
        <v>0.11894565526673036</v>
      </c>
      <c r="I97" s="22"/>
      <c r="J97" s="22"/>
      <c r="K97" s="22" t="s">
        <v>25</v>
      </c>
    </row>
    <row r="98" spans="1:11">
      <c r="A98" s="7">
        <v>1</v>
      </c>
      <c r="B98" s="25">
        <v>37418</v>
      </c>
      <c r="C98" s="11">
        <v>2002</v>
      </c>
      <c r="D98" s="20" t="s">
        <v>21</v>
      </c>
      <c r="E98" s="11">
        <v>6</v>
      </c>
      <c r="F98" s="22">
        <v>10.142056464078408</v>
      </c>
      <c r="G98" s="22"/>
      <c r="H98" s="22">
        <v>0.70446526003579824</v>
      </c>
      <c r="I98" s="22"/>
      <c r="J98" s="22"/>
      <c r="K98" s="22" t="s">
        <v>25</v>
      </c>
    </row>
    <row r="99" spans="1:11">
      <c r="A99" s="7">
        <v>17</v>
      </c>
      <c r="B99" s="25">
        <v>37418</v>
      </c>
      <c r="C99" s="11">
        <v>2002</v>
      </c>
      <c r="D99" s="20" t="s">
        <v>21</v>
      </c>
      <c r="E99" s="11">
        <v>6</v>
      </c>
      <c r="F99" s="22">
        <v>7.0424708728047163</v>
      </c>
      <c r="G99" s="22"/>
      <c r="H99" s="22">
        <v>0.5149388184673388</v>
      </c>
      <c r="I99" s="22"/>
      <c r="J99" s="22"/>
      <c r="K99" s="22" t="s">
        <v>25</v>
      </c>
    </row>
    <row r="100" spans="1:11">
      <c r="A100" s="7">
        <v>18</v>
      </c>
      <c r="B100" s="25">
        <v>37418</v>
      </c>
      <c r="C100" s="11">
        <v>2002</v>
      </c>
      <c r="D100" s="20" t="s">
        <v>21</v>
      </c>
      <c r="E100" s="11">
        <v>6</v>
      </c>
      <c r="F100" s="22">
        <v>8.6955754572817252</v>
      </c>
      <c r="G100" s="22"/>
      <c r="H100" s="22">
        <v>1.0873586941967854</v>
      </c>
      <c r="I100" s="22"/>
      <c r="J100" s="22"/>
      <c r="K100" s="22" t="s">
        <v>25</v>
      </c>
    </row>
    <row r="101" spans="1:11">
      <c r="A101" s="7">
        <v>1</v>
      </c>
      <c r="B101" s="25">
        <v>37455</v>
      </c>
      <c r="C101" s="11">
        <v>2002</v>
      </c>
      <c r="D101" s="20" t="s">
        <v>22</v>
      </c>
      <c r="E101" s="11">
        <v>7</v>
      </c>
      <c r="F101" s="22">
        <v>10.764654353469341</v>
      </c>
      <c r="G101" s="22"/>
      <c r="H101" s="22">
        <v>5.0371645276625639E-2</v>
      </c>
      <c r="I101" s="22"/>
      <c r="J101" s="22"/>
      <c r="K101" s="22" t="s">
        <v>25</v>
      </c>
    </row>
    <row r="102" spans="1:11">
      <c r="A102" s="7">
        <v>17</v>
      </c>
      <c r="B102" s="25">
        <v>37455</v>
      </c>
      <c r="C102" s="11">
        <v>2002</v>
      </c>
      <c r="D102" s="20" t="s">
        <v>22</v>
      </c>
      <c r="E102" s="11">
        <v>7</v>
      </c>
      <c r="F102" s="22">
        <v>3.9650075926345125</v>
      </c>
      <c r="G102" s="22"/>
      <c r="H102" s="22">
        <v>0</v>
      </c>
      <c r="I102" s="22"/>
      <c r="J102" s="22"/>
      <c r="K102" s="22" t="s">
        <v>25</v>
      </c>
    </row>
    <row r="103" spans="1:11">
      <c r="A103" s="7">
        <v>18</v>
      </c>
      <c r="B103" s="25">
        <v>37455</v>
      </c>
      <c r="C103" s="11">
        <v>2002</v>
      </c>
      <c r="D103" s="20" t="s">
        <v>22</v>
      </c>
      <c r="E103" s="11">
        <v>7</v>
      </c>
      <c r="F103" s="22">
        <v>2.6920752042562786</v>
      </c>
      <c r="G103" s="22"/>
      <c r="H103" s="22">
        <v>0</v>
      </c>
      <c r="I103" s="22"/>
      <c r="J103" s="22"/>
      <c r="K103" s="22" t="s">
        <v>25</v>
      </c>
    </row>
    <row r="104" spans="1:11">
      <c r="A104" s="7">
        <v>1</v>
      </c>
      <c r="B104" s="25">
        <v>37483</v>
      </c>
      <c r="C104" s="11">
        <v>2002</v>
      </c>
      <c r="D104" s="20" t="s">
        <v>23</v>
      </c>
      <c r="E104" s="11">
        <v>8</v>
      </c>
      <c r="F104" s="22">
        <v>13.531912800362536</v>
      </c>
      <c r="G104" s="22"/>
      <c r="H104" s="22">
        <v>2.1818651282363044E-2</v>
      </c>
      <c r="I104" s="22"/>
      <c r="J104" s="22"/>
      <c r="K104" s="22" t="s">
        <v>25</v>
      </c>
    </row>
    <row r="105" spans="1:11">
      <c r="A105" s="7">
        <v>17</v>
      </c>
      <c r="B105" s="25">
        <v>37483</v>
      </c>
      <c r="C105" s="11">
        <v>2002</v>
      </c>
      <c r="D105" s="20" t="s">
        <v>23</v>
      </c>
      <c r="E105" s="11">
        <v>8</v>
      </c>
      <c r="F105" s="22">
        <v>8.2817772868680564</v>
      </c>
      <c r="G105" s="22"/>
      <c r="H105" s="22">
        <v>0</v>
      </c>
      <c r="I105" s="22"/>
      <c r="J105" s="22"/>
      <c r="K105" s="22" t="s">
        <v>25</v>
      </c>
    </row>
    <row r="106" spans="1:11">
      <c r="A106" s="7">
        <v>18</v>
      </c>
      <c r="B106" s="25">
        <v>37483</v>
      </c>
      <c r="C106" s="11">
        <v>2002</v>
      </c>
      <c r="D106" s="20" t="s">
        <v>23</v>
      </c>
      <c r="E106" s="11">
        <v>8</v>
      </c>
      <c r="F106" s="22">
        <v>9.7850298323815146</v>
      </c>
      <c r="G106" s="22"/>
      <c r="H106" s="22">
        <v>2.7283835169759151E-2</v>
      </c>
      <c r="I106" s="22"/>
      <c r="J106" s="22"/>
      <c r="K106" s="22" t="s">
        <v>25</v>
      </c>
    </row>
    <row r="107" spans="1:11">
      <c r="A107" s="7">
        <v>1</v>
      </c>
      <c r="B107" s="25">
        <v>37516</v>
      </c>
      <c r="C107" s="11">
        <v>2002</v>
      </c>
      <c r="D107" s="20" t="s">
        <v>24</v>
      </c>
      <c r="E107" s="11">
        <v>9</v>
      </c>
      <c r="F107" s="22">
        <v>3.395665707431109</v>
      </c>
      <c r="G107" s="22"/>
      <c r="H107" s="22">
        <v>1.2857572114177247E-2</v>
      </c>
      <c r="I107" s="22"/>
      <c r="J107" s="22"/>
      <c r="K107" s="22" t="s">
        <v>25</v>
      </c>
    </row>
    <row r="108" spans="1:11">
      <c r="A108" s="7">
        <v>17</v>
      </c>
      <c r="B108" s="25">
        <v>37516</v>
      </c>
      <c r="C108" s="11">
        <v>2002</v>
      </c>
      <c r="D108" s="20" t="s">
        <v>24</v>
      </c>
      <c r="E108" s="11">
        <v>9</v>
      </c>
      <c r="F108" s="22">
        <v>7.2436006636885653</v>
      </c>
      <c r="G108" s="22"/>
      <c r="H108" s="22">
        <v>0</v>
      </c>
      <c r="I108" s="22"/>
      <c r="J108" s="22"/>
      <c r="K108" s="22" t="s">
        <v>25</v>
      </c>
    </row>
    <row r="109" spans="1:11">
      <c r="A109" s="7">
        <v>18</v>
      </c>
      <c r="B109" s="25">
        <v>37516</v>
      </c>
      <c r="C109" s="11">
        <v>2002</v>
      </c>
      <c r="D109" s="20" t="s">
        <v>24</v>
      </c>
      <c r="E109" s="11">
        <v>9</v>
      </c>
      <c r="F109" s="22">
        <v>3.3406243772195121</v>
      </c>
      <c r="G109" s="22"/>
      <c r="H109" s="22">
        <v>0</v>
      </c>
      <c r="I109" s="22"/>
      <c r="J109" s="22"/>
      <c r="K109" s="22" t="s">
        <v>25</v>
      </c>
    </row>
    <row r="110" spans="1:11">
      <c r="A110" s="7">
        <v>1</v>
      </c>
      <c r="B110" s="25">
        <v>37544</v>
      </c>
      <c r="C110" s="11">
        <v>2002</v>
      </c>
      <c r="D110" s="20" t="s">
        <v>12</v>
      </c>
      <c r="E110" s="11">
        <v>10</v>
      </c>
      <c r="F110" s="69">
        <v>3.5686946873832617</v>
      </c>
      <c r="G110" s="69">
        <v>2.7499309104189181E-2</v>
      </c>
      <c r="H110" s="69">
        <v>0</v>
      </c>
      <c r="I110" s="69">
        <v>1.0808035892027348</v>
      </c>
      <c r="J110" s="69">
        <v>3.4210125811342258E-2</v>
      </c>
      <c r="K110" s="69">
        <v>0</v>
      </c>
    </row>
    <row r="111" spans="1:11">
      <c r="A111" s="7">
        <v>17</v>
      </c>
      <c r="B111" s="25">
        <v>37544</v>
      </c>
      <c r="C111" s="11">
        <v>2002</v>
      </c>
      <c r="D111" s="20" t="s">
        <v>12</v>
      </c>
      <c r="E111" s="11">
        <v>10</v>
      </c>
      <c r="F111" s="69">
        <v>4.2461449417571107</v>
      </c>
      <c r="G111" s="69">
        <v>4.67648436334498E-2</v>
      </c>
      <c r="H111" s="69">
        <v>0</v>
      </c>
      <c r="I111" s="69">
        <v>1.4701115154884159</v>
      </c>
      <c r="J111" s="69">
        <v>3.8598187329351122E-2</v>
      </c>
      <c r="K111" s="69">
        <v>0</v>
      </c>
    </row>
    <row r="112" spans="1:11">
      <c r="A112" s="7">
        <v>18</v>
      </c>
      <c r="B112" s="25">
        <v>37544</v>
      </c>
      <c r="C112" s="11">
        <v>2002</v>
      </c>
      <c r="D112" s="20" t="s">
        <v>12</v>
      </c>
      <c r="E112" s="11">
        <v>10</v>
      </c>
      <c r="F112" s="69">
        <v>3.0438595318381179</v>
      </c>
      <c r="G112" s="69">
        <v>3.3891911354148652E-2</v>
      </c>
      <c r="H112" s="69">
        <v>2.0906942703693018E-2</v>
      </c>
      <c r="I112" s="69">
        <v>0.99808327800798946</v>
      </c>
      <c r="J112" s="69">
        <v>4.2752515306874427E-2</v>
      </c>
      <c r="K112" s="69">
        <v>0</v>
      </c>
    </row>
    <row r="113" spans="1:18">
      <c r="A113" s="7">
        <v>1</v>
      </c>
      <c r="B113" s="25">
        <v>37575</v>
      </c>
      <c r="C113" s="11">
        <v>2002</v>
      </c>
      <c r="D113" s="20" t="s">
        <v>14</v>
      </c>
      <c r="E113" s="11">
        <v>11</v>
      </c>
      <c r="F113" s="69">
        <v>2.8333736497425641</v>
      </c>
      <c r="G113" s="69">
        <v>0</v>
      </c>
      <c r="H113" s="69">
        <v>0</v>
      </c>
      <c r="I113" s="69">
        <v>0.81381941661818868</v>
      </c>
      <c r="J113" s="69">
        <v>2.7631836011564093E-2</v>
      </c>
      <c r="K113" s="69">
        <v>0</v>
      </c>
    </row>
    <row r="114" spans="1:18">
      <c r="A114" s="7">
        <v>17</v>
      </c>
      <c r="B114" s="25">
        <v>37575</v>
      </c>
      <c r="C114" s="11">
        <v>2002</v>
      </c>
      <c r="D114" s="20" t="s">
        <v>14</v>
      </c>
      <c r="E114" s="11">
        <v>11</v>
      </c>
      <c r="F114" s="69">
        <v>0.66840958874381029</v>
      </c>
      <c r="G114" s="69">
        <v>0</v>
      </c>
      <c r="H114" s="69">
        <v>0</v>
      </c>
      <c r="I114" s="69">
        <v>0.19721288429029568</v>
      </c>
      <c r="J114" s="69">
        <v>1.098171896672461E-2</v>
      </c>
      <c r="K114" s="69">
        <v>0</v>
      </c>
    </row>
    <row r="115" spans="1:18">
      <c r="A115" s="7">
        <v>18</v>
      </c>
      <c r="B115" s="25">
        <v>37575</v>
      </c>
      <c r="C115" s="11">
        <v>2002</v>
      </c>
      <c r="D115" s="20" t="s">
        <v>14</v>
      </c>
      <c r="E115" s="11">
        <v>11</v>
      </c>
      <c r="F115" s="69">
        <v>0.59699042947708536</v>
      </c>
      <c r="G115" s="69">
        <v>1.8485553835205878E-2</v>
      </c>
      <c r="H115" s="69">
        <v>0</v>
      </c>
      <c r="I115" s="69">
        <v>0.13005761294376023</v>
      </c>
      <c r="J115" s="69">
        <v>6.2182062227179166E-3</v>
      </c>
      <c r="K115" s="69">
        <v>0</v>
      </c>
    </row>
    <row r="116" spans="1:18">
      <c r="A116" s="7">
        <v>1</v>
      </c>
      <c r="B116" s="25">
        <v>37609</v>
      </c>
      <c r="C116" s="11">
        <v>2002</v>
      </c>
      <c r="D116" s="20" t="s">
        <v>15</v>
      </c>
      <c r="E116" s="11">
        <v>12</v>
      </c>
      <c r="F116" s="69">
        <v>4.3805652222194782</v>
      </c>
      <c r="G116" s="69">
        <v>4.7415036826671197E-2</v>
      </c>
      <c r="H116" s="69">
        <v>0</v>
      </c>
      <c r="I116" s="69">
        <v>1.0924131535775445</v>
      </c>
      <c r="J116" s="69">
        <v>1.7445145268340127E-2</v>
      </c>
      <c r="K116" s="69">
        <v>0</v>
      </c>
    </row>
    <row r="117" spans="1:18">
      <c r="A117" s="7">
        <v>17</v>
      </c>
      <c r="B117" s="25">
        <v>37609</v>
      </c>
      <c r="C117" s="11">
        <v>2002</v>
      </c>
      <c r="D117" s="20" t="s">
        <v>15</v>
      </c>
      <c r="E117" s="11">
        <v>12</v>
      </c>
      <c r="F117" s="69">
        <v>3.0499369196766959</v>
      </c>
      <c r="G117" s="69">
        <v>2.9368421123804403E-2</v>
      </c>
      <c r="H117" s="69">
        <v>0</v>
      </c>
      <c r="I117" s="69">
        <v>1.0703397406973014</v>
      </c>
      <c r="J117" s="69">
        <v>8.2621725366448621E-3</v>
      </c>
      <c r="K117" s="69">
        <v>0</v>
      </c>
    </row>
    <row r="118" spans="1:18" ht="25.5">
      <c r="A118" s="7">
        <v>18</v>
      </c>
      <c r="B118" s="25">
        <v>37609</v>
      </c>
      <c r="C118" s="11">
        <v>2002</v>
      </c>
      <c r="D118" s="20" t="s">
        <v>15</v>
      </c>
      <c r="E118" s="11">
        <v>12</v>
      </c>
      <c r="F118" s="69">
        <v>2.750879716025596</v>
      </c>
      <c r="G118" s="69">
        <v>2.7860427435446367E-2</v>
      </c>
      <c r="H118" s="69">
        <v>0</v>
      </c>
      <c r="I118" s="69">
        <v>0.79155505156003214</v>
      </c>
      <c r="J118" s="69">
        <v>8.1457191968927825E-3</v>
      </c>
      <c r="K118" s="69">
        <v>0</v>
      </c>
      <c r="L118" s="62" t="s">
        <v>42</v>
      </c>
      <c r="M118" s="5" t="s">
        <v>5</v>
      </c>
      <c r="N118" s="5" t="s">
        <v>6</v>
      </c>
      <c r="O118" s="5" t="s">
        <v>7</v>
      </c>
      <c r="P118" s="5" t="s">
        <v>8</v>
      </c>
      <c r="Q118" s="5" t="s">
        <v>9</v>
      </c>
      <c r="R118" s="5" t="s">
        <v>10</v>
      </c>
    </row>
    <row r="119" spans="1:18">
      <c r="A119" s="15">
        <v>1</v>
      </c>
      <c r="B119" s="27">
        <v>37635</v>
      </c>
      <c r="C119" s="17">
        <v>2003</v>
      </c>
      <c r="D119" s="23" t="s">
        <v>16</v>
      </c>
      <c r="E119" s="17">
        <v>1</v>
      </c>
      <c r="F119" s="70">
        <v>14.451766542385439</v>
      </c>
      <c r="G119" s="70">
        <v>0.11724747111380061</v>
      </c>
      <c r="H119" s="70">
        <v>0</v>
      </c>
      <c r="I119" s="70">
        <v>3.6681125457786239</v>
      </c>
      <c r="J119" s="70">
        <v>4.7880341769359742E-2</v>
      </c>
      <c r="K119" s="70">
        <v>0</v>
      </c>
      <c r="L119" s="62" t="s">
        <v>48</v>
      </c>
      <c r="M119" s="50">
        <f t="shared" ref="M119:R119" si="0">AVERAGE(F119:F154)</f>
        <v>7.0053423723301229</v>
      </c>
      <c r="N119" s="50">
        <f t="shared" si="0"/>
        <v>0.12407632194219187</v>
      </c>
      <c r="O119" s="50">
        <f t="shared" si="0"/>
        <v>2.0559355159571767E-2</v>
      </c>
      <c r="P119" s="50">
        <f t="shared" si="0"/>
        <v>1.8716878423147172</v>
      </c>
      <c r="Q119" s="50">
        <f t="shared" si="0"/>
        <v>0.17992544276895853</v>
      </c>
      <c r="R119" s="50">
        <f t="shared" si="0"/>
        <v>0</v>
      </c>
    </row>
    <row r="120" spans="1:18">
      <c r="A120" s="7">
        <v>17</v>
      </c>
      <c r="B120" s="25">
        <v>37635</v>
      </c>
      <c r="C120" s="11">
        <v>2003</v>
      </c>
      <c r="D120" s="20" t="s">
        <v>16</v>
      </c>
      <c r="E120" s="11">
        <v>1</v>
      </c>
      <c r="F120" s="69">
        <v>14.678190521165462</v>
      </c>
      <c r="G120" s="69">
        <v>0.14266270268504888</v>
      </c>
      <c r="H120" s="69">
        <v>0</v>
      </c>
      <c r="I120" s="69">
        <v>5.0276073641592349</v>
      </c>
      <c r="J120" s="69">
        <v>1.7476919642323344E-2</v>
      </c>
      <c r="K120" s="69">
        <v>0</v>
      </c>
    </row>
    <row r="121" spans="1:18">
      <c r="A121" s="7">
        <v>18</v>
      </c>
      <c r="B121" s="25">
        <v>37635</v>
      </c>
      <c r="C121" s="11">
        <v>2003</v>
      </c>
      <c r="D121" s="20" t="s">
        <v>16</v>
      </c>
      <c r="E121" s="11">
        <v>1</v>
      </c>
      <c r="F121" s="69">
        <v>4.9855958347564666</v>
      </c>
      <c r="G121" s="69">
        <v>8.6835808121785152E-2</v>
      </c>
      <c r="H121" s="69">
        <v>0</v>
      </c>
      <c r="I121" s="69">
        <v>1.6377250996486694</v>
      </c>
      <c r="J121" s="69">
        <v>2.8697034885507223E-2</v>
      </c>
      <c r="K121" s="69">
        <v>0</v>
      </c>
    </row>
    <row r="122" spans="1:18">
      <c r="A122" s="7">
        <v>1</v>
      </c>
      <c r="B122" s="25">
        <v>37665</v>
      </c>
      <c r="C122" s="11">
        <v>2003</v>
      </c>
      <c r="D122" s="10" t="s">
        <v>17</v>
      </c>
      <c r="E122" s="11">
        <v>2</v>
      </c>
      <c r="F122" s="69">
        <v>7.9987784133338398</v>
      </c>
      <c r="G122" s="69">
        <v>0</v>
      </c>
      <c r="H122" s="69">
        <v>0</v>
      </c>
      <c r="I122" s="69">
        <v>2.991642475638244</v>
      </c>
      <c r="J122" s="69">
        <v>6.05200292066971E-2</v>
      </c>
      <c r="K122" s="69">
        <v>0</v>
      </c>
    </row>
    <row r="123" spans="1:18">
      <c r="A123" s="7">
        <v>17</v>
      </c>
      <c r="B123" s="25">
        <v>37665</v>
      </c>
      <c r="C123" s="11">
        <v>2003</v>
      </c>
      <c r="D123" s="10" t="s">
        <v>17</v>
      </c>
      <c r="E123" s="11">
        <v>2</v>
      </c>
      <c r="F123" s="69">
        <v>6.1023422345169394</v>
      </c>
      <c r="G123" s="69">
        <v>0.46986151406795917</v>
      </c>
      <c r="H123" s="69">
        <v>0</v>
      </c>
      <c r="I123" s="69">
        <v>2.3869621598480975</v>
      </c>
      <c r="J123" s="69">
        <v>6.4811223523123559E-2</v>
      </c>
      <c r="K123" s="69">
        <v>0</v>
      </c>
    </row>
    <row r="124" spans="1:18">
      <c r="A124" s="7">
        <v>18</v>
      </c>
      <c r="B124" s="25">
        <v>37665</v>
      </c>
      <c r="C124" s="11">
        <v>2003</v>
      </c>
      <c r="D124" s="10" t="s">
        <v>17</v>
      </c>
      <c r="E124" s="11">
        <v>2</v>
      </c>
      <c r="F124" s="69">
        <v>7.8279945644229283</v>
      </c>
      <c r="G124" s="69">
        <v>0</v>
      </c>
      <c r="H124" s="69">
        <v>0</v>
      </c>
      <c r="I124" s="69">
        <v>2.8203222851129932</v>
      </c>
      <c r="J124" s="69">
        <v>0.12799104568608827</v>
      </c>
      <c r="K124" s="69">
        <v>0</v>
      </c>
    </row>
    <row r="125" spans="1:18">
      <c r="A125" s="7">
        <v>1</v>
      </c>
      <c r="B125" s="25">
        <v>37690</v>
      </c>
      <c r="C125" s="11">
        <v>2003</v>
      </c>
      <c r="D125" s="10" t="s">
        <v>18</v>
      </c>
      <c r="E125" s="11">
        <v>3</v>
      </c>
      <c r="F125" s="69">
        <v>5.0105610263240941</v>
      </c>
      <c r="G125" s="69">
        <v>2.4566752093623408E-2</v>
      </c>
      <c r="H125" s="69">
        <v>0</v>
      </c>
      <c r="I125" s="69">
        <v>1.7159641088972755</v>
      </c>
      <c r="J125" s="69">
        <v>3.2707897722215377E-2</v>
      </c>
      <c r="K125" s="69">
        <v>0</v>
      </c>
    </row>
    <row r="126" spans="1:18">
      <c r="A126" s="7">
        <v>17</v>
      </c>
      <c r="B126" s="25">
        <v>37690</v>
      </c>
      <c r="C126" s="11">
        <v>2003</v>
      </c>
      <c r="D126" s="10" t="s">
        <v>18</v>
      </c>
      <c r="E126" s="11">
        <v>3</v>
      </c>
      <c r="F126" s="69">
        <v>6.66337225816795</v>
      </c>
      <c r="G126" s="69">
        <v>9.9616355330487683E-2</v>
      </c>
      <c r="H126" s="69">
        <v>0</v>
      </c>
      <c r="I126" s="69">
        <v>2.2360741720950688</v>
      </c>
      <c r="J126" s="69">
        <v>1.7511192095921529E-2</v>
      </c>
      <c r="K126" s="69">
        <v>0</v>
      </c>
    </row>
    <row r="127" spans="1:18">
      <c r="A127" s="7">
        <v>18</v>
      </c>
      <c r="B127" s="25">
        <v>37690</v>
      </c>
      <c r="C127" s="11">
        <v>2003</v>
      </c>
      <c r="D127" s="10" t="s">
        <v>18</v>
      </c>
      <c r="E127" s="11">
        <v>3</v>
      </c>
      <c r="F127" s="69">
        <v>9.4358507321294045</v>
      </c>
      <c r="G127" s="69">
        <v>0.16764391122635239</v>
      </c>
      <c r="H127" s="69">
        <v>0</v>
      </c>
      <c r="I127" s="69">
        <v>3.0773441517920643</v>
      </c>
      <c r="J127" s="69">
        <v>2.2825069604538527E-2</v>
      </c>
      <c r="K127" s="69">
        <v>0</v>
      </c>
    </row>
    <row r="128" spans="1:18">
      <c r="A128" s="7">
        <v>1</v>
      </c>
      <c r="B128" s="25">
        <v>37725</v>
      </c>
      <c r="C128" s="11">
        <v>2003</v>
      </c>
      <c r="D128" s="10" t="s">
        <v>19</v>
      </c>
      <c r="E128" s="11">
        <v>4</v>
      </c>
      <c r="F128" s="69">
        <v>11.621607852689753</v>
      </c>
      <c r="G128" s="69">
        <v>0.32935266785205974</v>
      </c>
      <c r="H128" s="69">
        <v>0.13300942815764913</v>
      </c>
      <c r="I128" s="69">
        <v>3.5622354921758275</v>
      </c>
      <c r="J128" s="69">
        <v>4.6541582357934735E-2</v>
      </c>
      <c r="K128" s="69">
        <v>0</v>
      </c>
    </row>
    <row r="129" spans="1:11">
      <c r="A129" s="7">
        <v>17</v>
      </c>
      <c r="B129" s="25">
        <v>37725</v>
      </c>
      <c r="C129" s="11">
        <v>2003</v>
      </c>
      <c r="D129" s="10" t="s">
        <v>19</v>
      </c>
      <c r="E129" s="11">
        <v>4</v>
      </c>
      <c r="F129" s="69">
        <v>10.151429056280969</v>
      </c>
      <c r="G129" s="69">
        <v>0.13036997989864649</v>
      </c>
      <c r="H129" s="69">
        <v>0.10797724273443191</v>
      </c>
      <c r="I129" s="69">
        <v>3.8256534094928196</v>
      </c>
      <c r="J129" s="69">
        <v>4.0855856468416017E-2</v>
      </c>
      <c r="K129" s="69">
        <v>0</v>
      </c>
    </row>
    <row r="130" spans="1:11">
      <c r="A130" s="7">
        <v>18</v>
      </c>
      <c r="B130" s="25">
        <v>37725</v>
      </c>
      <c r="C130" s="11">
        <v>2003</v>
      </c>
      <c r="D130" s="10" t="s">
        <v>19</v>
      </c>
      <c r="E130" s="11">
        <v>4</v>
      </c>
      <c r="F130" s="69">
        <v>8.6331441054777276</v>
      </c>
      <c r="G130" s="69">
        <v>9.0474111726259132E-2</v>
      </c>
      <c r="H130" s="69">
        <v>0.12445558623295776</v>
      </c>
      <c r="I130" s="69">
        <v>3.285540422813868</v>
      </c>
      <c r="J130" s="69">
        <v>6.1826315308258162E-2</v>
      </c>
      <c r="K130" s="69">
        <v>0</v>
      </c>
    </row>
    <row r="131" spans="1:11">
      <c r="A131" s="7">
        <v>1</v>
      </c>
      <c r="B131" s="25">
        <v>37753</v>
      </c>
      <c r="C131" s="11">
        <v>2003</v>
      </c>
      <c r="D131" s="10" t="s">
        <v>20</v>
      </c>
      <c r="E131" s="11">
        <v>5</v>
      </c>
      <c r="F131" s="69">
        <v>3.5255270753391339</v>
      </c>
      <c r="G131" s="69">
        <v>5.0216371050484092E-2</v>
      </c>
      <c r="H131" s="69">
        <v>0</v>
      </c>
      <c r="I131" s="69">
        <v>1.2345106151857184</v>
      </c>
      <c r="J131" s="69">
        <v>1.6773955876107079E-2</v>
      </c>
      <c r="K131" s="69">
        <v>0</v>
      </c>
    </row>
    <row r="132" spans="1:11">
      <c r="A132" s="7">
        <v>17</v>
      </c>
      <c r="B132" s="25">
        <v>37753</v>
      </c>
      <c r="C132" s="11">
        <v>2003</v>
      </c>
      <c r="D132" s="10" t="s">
        <v>20</v>
      </c>
      <c r="E132" s="11">
        <v>5</v>
      </c>
      <c r="F132" s="69">
        <v>1.4045365483236303</v>
      </c>
      <c r="G132" s="69">
        <v>1.9026340628380777E-2</v>
      </c>
      <c r="H132" s="69">
        <v>0</v>
      </c>
      <c r="I132" s="69">
        <v>0.28745902855080696</v>
      </c>
      <c r="J132" s="69">
        <v>1.1959565444067127E-2</v>
      </c>
      <c r="K132" s="69">
        <v>0</v>
      </c>
    </row>
    <row r="133" spans="1:11">
      <c r="A133" s="7">
        <v>18</v>
      </c>
      <c r="B133" s="25">
        <v>37753</v>
      </c>
      <c r="C133" s="11">
        <v>2003</v>
      </c>
      <c r="D133" s="10" t="s">
        <v>20</v>
      </c>
      <c r="E133" s="11">
        <v>5</v>
      </c>
      <c r="F133" s="69">
        <v>0.74782630405651385</v>
      </c>
      <c r="G133" s="69">
        <v>2.5340226513572532E-2</v>
      </c>
      <c r="H133" s="69">
        <v>0</v>
      </c>
      <c r="I133" s="69">
        <v>0.13144228894855209</v>
      </c>
      <c r="J133" s="69">
        <v>1.0347259159708785E-2</v>
      </c>
      <c r="K133" s="69">
        <v>0</v>
      </c>
    </row>
    <row r="134" spans="1:11">
      <c r="A134" s="7">
        <v>1</v>
      </c>
      <c r="B134" s="25">
        <v>37792</v>
      </c>
      <c r="C134" s="11">
        <v>2003</v>
      </c>
      <c r="D134" s="10" t="s">
        <v>21</v>
      </c>
      <c r="E134" s="11">
        <v>6</v>
      </c>
      <c r="F134" s="69">
        <v>4.4775979583029129</v>
      </c>
      <c r="G134" s="69">
        <v>8.6565052506908199E-2</v>
      </c>
      <c r="H134" s="69">
        <v>4.915216666957814E-2</v>
      </c>
      <c r="I134" s="69">
        <v>1.1029110793370536</v>
      </c>
      <c r="J134" s="69">
        <v>4.7902777407395875E-2</v>
      </c>
      <c r="K134" s="69">
        <v>0</v>
      </c>
    </row>
    <row r="135" spans="1:11">
      <c r="A135" s="7">
        <v>17</v>
      </c>
      <c r="B135" s="25">
        <v>37792</v>
      </c>
      <c r="C135" s="11">
        <v>2003</v>
      </c>
      <c r="D135" s="10" t="s">
        <v>21</v>
      </c>
      <c r="E135" s="11">
        <v>6</v>
      </c>
      <c r="F135" s="69">
        <v>3.9506082427801155</v>
      </c>
      <c r="G135" s="69">
        <v>9.6952774864613803E-2</v>
      </c>
      <c r="H135" s="69">
        <v>0</v>
      </c>
      <c r="I135" s="69">
        <v>1.7161706868354145</v>
      </c>
      <c r="J135" s="69">
        <v>4.7396867117932777E-2</v>
      </c>
      <c r="K135" s="69">
        <v>0</v>
      </c>
    </row>
    <row r="136" spans="1:11">
      <c r="A136" s="7">
        <v>18</v>
      </c>
      <c r="B136" s="25">
        <v>37792</v>
      </c>
      <c r="C136" s="11">
        <v>2003</v>
      </c>
      <c r="D136" s="10" t="s">
        <v>21</v>
      </c>
      <c r="E136" s="11">
        <v>6</v>
      </c>
      <c r="F136" s="69">
        <v>4.4471127285590386</v>
      </c>
      <c r="G136" s="69">
        <v>6.3897508673652958E-2</v>
      </c>
      <c r="H136" s="69">
        <v>6.1259409337830875E-2</v>
      </c>
      <c r="I136" s="69">
        <v>1.6146090919034441</v>
      </c>
      <c r="J136" s="69">
        <v>5.415253881859701E-2</v>
      </c>
      <c r="K136" s="69">
        <v>0</v>
      </c>
    </row>
    <row r="137" spans="1:11">
      <c r="A137" s="7">
        <v>1</v>
      </c>
      <c r="B137" s="25">
        <v>37817</v>
      </c>
      <c r="C137" s="11">
        <v>2003</v>
      </c>
      <c r="D137" s="20" t="s">
        <v>22</v>
      </c>
      <c r="E137" s="11">
        <v>7</v>
      </c>
      <c r="F137" s="69">
        <v>11.896908587294456</v>
      </c>
      <c r="G137" s="69">
        <v>0.65389926835444967</v>
      </c>
      <c r="H137" s="69">
        <v>0.10496801419124108</v>
      </c>
      <c r="I137" s="69">
        <v>2.0073807880158876</v>
      </c>
      <c r="J137" s="69">
        <v>0.78246833496506984</v>
      </c>
      <c r="K137" s="69">
        <v>0</v>
      </c>
    </row>
    <row r="138" spans="1:11">
      <c r="A138" s="7">
        <v>17</v>
      </c>
      <c r="B138" s="25">
        <v>37817</v>
      </c>
      <c r="C138" s="11">
        <v>2003</v>
      </c>
      <c r="D138" s="20" t="s">
        <v>22</v>
      </c>
      <c r="E138" s="11">
        <v>7</v>
      </c>
      <c r="F138" s="69">
        <v>5.0586691915367528</v>
      </c>
      <c r="G138" s="69">
        <v>0.20026383087999475</v>
      </c>
      <c r="H138" s="69">
        <v>8.9453088607300016E-2</v>
      </c>
      <c r="I138" s="69">
        <v>1.2283792152213608</v>
      </c>
      <c r="J138" s="69">
        <v>0.14978463333407904</v>
      </c>
      <c r="K138" s="69">
        <v>0</v>
      </c>
    </row>
    <row r="139" spans="1:11">
      <c r="A139" s="7">
        <v>18</v>
      </c>
      <c r="B139" s="25">
        <v>37817</v>
      </c>
      <c r="C139" s="11">
        <v>2003</v>
      </c>
      <c r="D139" s="20" t="s">
        <v>22</v>
      </c>
      <c r="E139" s="11">
        <v>7</v>
      </c>
      <c r="F139" s="69">
        <v>11.930539648748699</v>
      </c>
      <c r="G139" s="69">
        <v>0.38915712038318057</v>
      </c>
      <c r="H139" s="69">
        <v>6.9861849813594626E-2</v>
      </c>
      <c r="I139" s="69">
        <v>1.8453596024720285</v>
      </c>
      <c r="J139" s="69">
        <v>0.91735553259209757</v>
      </c>
      <c r="K139" s="69">
        <v>0</v>
      </c>
    </row>
    <row r="140" spans="1:11">
      <c r="A140" s="7">
        <v>1</v>
      </c>
      <c r="B140" s="25">
        <v>37845</v>
      </c>
      <c r="C140" s="11">
        <v>2003</v>
      </c>
      <c r="D140" s="20" t="s">
        <v>23</v>
      </c>
      <c r="E140" s="11">
        <v>8</v>
      </c>
      <c r="F140" s="69">
        <v>9.8202305307978985</v>
      </c>
      <c r="G140" s="69">
        <v>0.20565275871632116</v>
      </c>
      <c r="H140" s="69">
        <v>0</v>
      </c>
      <c r="I140" s="69">
        <v>2.2105005871700221</v>
      </c>
      <c r="J140" s="69">
        <v>0.45236609946757922</v>
      </c>
      <c r="K140" s="69">
        <v>0</v>
      </c>
    </row>
    <row r="141" spans="1:11">
      <c r="A141" s="7">
        <v>17</v>
      </c>
      <c r="B141" s="25">
        <v>37845</v>
      </c>
      <c r="C141" s="11">
        <v>2003</v>
      </c>
      <c r="D141" s="20" t="s">
        <v>23</v>
      </c>
      <c r="E141" s="11">
        <v>8</v>
      </c>
      <c r="F141" s="69">
        <v>17.786065024851993</v>
      </c>
      <c r="G141" s="69">
        <v>7.7937886222838273E-2</v>
      </c>
      <c r="H141" s="69">
        <v>0</v>
      </c>
      <c r="I141" s="69">
        <v>3.3210499328355594</v>
      </c>
      <c r="J141" s="69">
        <v>1.043523264787384</v>
      </c>
      <c r="K141" s="69">
        <v>0</v>
      </c>
    </row>
    <row r="142" spans="1:11">
      <c r="A142" s="7">
        <v>18</v>
      </c>
      <c r="B142" s="25">
        <v>37845</v>
      </c>
      <c r="C142" s="11">
        <v>2003</v>
      </c>
      <c r="D142" s="20" t="s">
        <v>23</v>
      </c>
      <c r="E142" s="11">
        <v>8</v>
      </c>
      <c r="F142" s="69">
        <v>19.84277059277445</v>
      </c>
      <c r="G142" s="69">
        <v>5.4650444573958311E-2</v>
      </c>
      <c r="H142" s="69">
        <v>0</v>
      </c>
      <c r="I142" s="69">
        <v>2.2076417240526185</v>
      </c>
      <c r="J142" s="69">
        <v>1.3459960061176393</v>
      </c>
      <c r="K142" s="69">
        <v>0</v>
      </c>
    </row>
    <row r="143" spans="1:11">
      <c r="A143" s="7">
        <v>1</v>
      </c>
      <c r="B143" s="25">
        <v>37888</v>
      </c>
      <c r="C143" s="11">
        <v>2003</v>
      </c>
      <c r="D143" s="20" t="s">
        <v>24</v>
      </c>
      <c r="E143" s="11">
        <v>9</v>
      </c>
      <c r="F143" s="69">
        <v>3.5302330246553337</v>
      </c>
      <c r="G143" s="69">
        <v>2.6764907222375994E-2</v>
      </c>
      <c r="H143" s="69">
        <v>0</v>
      </c>
      <c r="I143" s="69">
        <v>0.86202656168784342</v>
      </c>
      <c r="J143" s="69">
        <v>9.8761824797969522E-2</v>
      </c>
      <c r="K143" s="69">
        <v>0</v>
      </c>
    </row>
    <row r="144" spans="1:11">
      <c r="A144" s="7">
        <v>17</v>
      </c>
      <c r="B144" s="25">
        <v>37888</v>
      </c>
      <c r="C144" s="11">
        <v>2003</v>
      </c>
      <c r="D144" s="20" t="s">
        <v>24</v>
      </c>
      <c r="E144" s="11">
        <v>9</v>
      </c>
      <c r="F144" s="69">
        <v>3.652133330411873</v>
      </c>
      <c r="G144" s="69">
        <v>2.2545310540432361E-2</v>
      </c>
      <c r="H144" s="69">
        <v>0</v>
      </c>
      <c r="I144" s="69">
        <v>0.78818302994497058</v>
      </c>
      <c r="J144" s="69">
        <v>0.18709622377790835</v>
      </c>
      <c r="K144" s="69">
        <v>0</v>
      </c>
    </row>
    <row r="145" spans="1:18">
      <c r="A145" s="7">
        <v>18</v>
      </c>
      <c r="B145" s="25">
        <v>37888</v>
      </c>
      <c r="C145" s="11">
        <v>2003</v>
      </c>
      <c r="D145" s="20" t="s">
        <v>24</v>
      </c>
      <c r="E145" s="11">
        <v>9</v>
      </c>
      <c r="F145" s="69">
        <v>3.5778334738006503</v>
      </c>
      <c r="G145" s="69">
        <v>0</v>
      </c>
      <c r="H145" s="69">
        <v>0</v>
      </c>
      <c r="I145" s="69">
        <v>0.59783652231287976</v>
      </c>
      <c r="J145" s="69">
        <v>0.32439882814873988</v>
      </c>
      <c r="K145" s="69">
        <v>0</v>
      </c>
    </row>
    <row r="146" spans="1:18">
      <c r="A146" s="7">
        <v>1</v>
      </c>
      <c r="B146" s="25">
        <v>37908</v>
      </c>
      <c r="C146" s="11">
        <v>2003</v>
      </c>
      <c r="D146" s="20" t="s">
        <v>12</v>
      </c>
      <c r="E146" s="11">
        <v>10</v>
      </c>
      <c r="F146" s="13">
        <v>5.3181000000000003</v>
      </c>
      <c r="G146" s="13">
        <v>0.11108180125415432</v>
      </c>
      <c r="H146" s="13">
        <v>0</v>
      </c>
      <c r="I146" s="13">
        <v>1.0691742447871821</v>
      </c>
      <c r="J146" s="13">
        <v>7.3152826693757736E-2</v>
      </c>
      <c r="K146" s="13">
        <v>0</v>
      </c>
    </row>
    <row r="147" spans="1:18">
      <c r="A147" s="7">
        <v>17</v>
      </c>
      <c r="B147" s="25">
        <v>37908</v>
      </c>
      <c r="C147" s="11">
        <v>2003</v>
      </c>
      <c r="D147" s="20" t="s">
        <v>12</v>
      </c>
      <c r="E147" s="11">
        <v>10</v>
      </c>
      <c r="F147" s="13">
        <v>5.1840999999999999</v>
      </c>
      <c r="G147" s="13">
        <v>0.12969576763380547</v>
      </c>
      <c r="H147" s="13">
        <v>0</v>
      </c>
      <c r="I147" s="13">
        <v>1.15792251487951</v>
      </c>
      <c r="J147" s="13">
        <v>7.2804110334706212E-2</v>
      </c>
      <c r="K147" s="13">
        <v>0</v>
      </c>
    </row>
    <row r="148" spans="1:18">
      <c r="A148" s="7">
        <v>18</v>
      </c>
      <c r="B148" s="25">
        <v>37908</v>
      </c>
      <c r="C148" s="11">
        <v>2003</v>
      </c>
      <c r="D148" s="20" t="s">
        <v>12</v>
      </c>
      <c r="E148" s="11">
        <v>10</v>
      </c>
      <c r="F148" s="13">
        <v>5.0353000000000003</v>
      </c>
      <c r="G148" s="13">
        <v>8.5508629520886462E-2</v>
      </c>
      <c r="H148" s="13">
        <v>0</v>
      </c>
      <c r="I148" s="13">
        <v>1.2496985641201162</v>
      </c>
      <c r="J148" s="13">
        <v>6.7782295375090701E-2</v>
      </c>
      <c r="K148" s="13">
        <v>0</v>
      </c>
    </row>
    <row r="149" spans="1:18">
      <c r="A149" s="7">
        <v>1</v>
      </c>
      <c r="B149" s="25">
        <v>37943</v>
      </c>
      <c r="C149" s="11">
        <v>2003</v>
      </c>
      <c r="D149" s="20" t="s">
        <v>14</v>
      </c>
      <c r="E149" s="11">
        <v>11</v>
      </c>
      <c r="F149" s="13">
        <v>3.7928999999999999</v>
      </c>
      <c r="G149" s="13">
        <v>0.10726751721696216</v>
      </c>
      <c r="H149" s="13">
        <v>0</v>
      </c>
      <c r="I149" s="13">
        <v>0.82309091360233</v>
      </c>
      <c r="J149" s="13">
        <v>3.4889958469863286E-2</v>
      </c>
      <c r="K149" s="13">
        <v>0</v>
      </c>
    </row>
    <row r="150" spans="1:18">
      <c r="A150" s="7">
        <v>17</v>
      </c>
      <c r="B150" s="25">
        <v>37943</v>
      </c>
      <c r="C150" s="11">
        <v>2003</v>
      </c>
      <c r="D150" s="20" t="s">
        <v>14</v>
      </c>
      <c r="E150" s="11">
        <v>11</v>
      </c>
      <c r="F150" s="13">
        <v>3.9767000000000001</v>
      </c>
      <c r="G150" s="13">
        <v>8.7578644460486521E-2</v>
      </c>
      <c r="H150" s="13">
        <v>0</v>
      </c>
      <c r="I150" s="13">
        <v>1.167623900256844</v>
      </c>
      <c r="J150" s="13">
        <v>3.3417182924667249E-2</v>
      </c>
      <c r="K150" s="13">
        <v>0</v>
      </c>
    </row>
    <row r="151" spans="1:18">
      <c r="A151" s="7">
        <v>18</v>
      </c>
      <c r="B151" s="25">
        <v>37943</v>
      </c>
      <c r="C151" s="11">
        <v>2003</v>
      </c>
      <c r="D151" s="20" t="s">
        <v>14</v>
      </c>
      <c r="E151" s="11">
        <v>11</v>
      </c>
      <c r="F151" s="13">
        <v>3.4045000000000001</v>
      </c>
      <c r="G151" s="13">
        <v>8.325303795345132E-2</v>
      </c>
      <c r="H151" s="13">
        <v>0</v>
      </c>
      <c r="I151" s="13">
        <v>0.97499896595778923</v>
      </c>
      <c r="J151" s="13">
        <v>3.3058412046403418E-2</v>
      </c>
      <c r="K151" s="13">
        <v>0</v>
      </c>
    </row>
    <row r="152" spans="1:18">
      <c r="A152" s="7">
        <v>1</v>
      </c>
      <c r="B152" s="25">
        <v>37973</v>
      </c>
      <c r="C152" s="11">
        <v>2003</v>
      </c>
      <c r="D152" s="20" t="s">
        <v>15</v>
      </c>
      <c r="E152" s="11">
        <v>12</v>
      </c>
      <c r="F152" s="13">
        <v>2.7648999999999999</v>
      </c>
      <c r="G152" s="13">
        <v>5.4484188700624207E-2</v>
      </c>
      <c r="H152" s="13">
        <v>0</v>
      </c>
      <c r="I152" s="13">
        <v>0.77949021890261738</v>
      </c>
      <c r="J152" s="13">
        <v>2.1929073791060669E-2</v>
      </c>
      <c r="K152" s="13">
        <v>0</v>
      </c>
    </row>
    <row r="153" spans="1:18">
      <c r="A153" s="7">
        <v>17</v>
      </c>
      <c r="B153" s="25">
        <v>37973</v>
      </c>
      <c r="C153" s="11">
        <v>2003</v>
      </c>
      <c r="D153" s="20" t="s">
        <v>15</v>
      </c>
      <c r="E153" s="11">
        <v>12</v>
      </c>
      <c r="F153" s="13">
        <v>3.2766999999999999</v>
      </c>
      <c r="G153" s="13">
        <v>5.8198227938951276E-2</v>
      </c>
      <c r="H153" s="13">
        <v>0</v>
      </c>
      <c r="I153" s="13">
        <v>0.9769440370609912</v>
      </c>
      <c r="J153" s="13">
        <v>2.7123343798999527E-2</v>
      </c>
      <c r="K153" s="13">
        <v>0</v>
      </c>
    </row>
    <row r="154" spans="1:18" ht="25.5">
      <c r="A154" s="7">
        <v>18</v>
      </c>
      <c r="B154" s="25">
        <v>37973</v>
      </c>
      <c r="C154" s="11">
        <v>2003</v>
      </c>
      <c r="D154" s="20" t="s">
        <v>15</v>
      </c>
      <c r="E154" s="11">
        <v>12</v>
      </c>
      <c r="F154" s="13">
        <v>6.2298999999999998</v>
      </c>
      <c r="G154" s="13">
        <v>0.11817869999240026</v>
      </c>
      <c r="H154" s="13">
        <v>0</v>
      </c>
      <c r="I154" s="13">
        <v>1.7911745218354929</v>
      </c>
      <c r="J154" s="13">
        <v>5.3230516165298641E-2</v>
      </c>
      <c r="K154" s="13">
        <v>0</v>
      </c>
      <c r="L154" s="62" t="s">
        <v>42</v>
      </c>
      <c r="M154" s="5" t="s">
        <v>5</v>
      </c>
      <c r="N154" s="5" t="s">
        <v>6</v>
      </c>
      <c r="O154" s="5" t="s">
        <v>7</v>
      </c>
      <c r="P154" s="5" t="s">
        <v>8</v>
      </c>
      <c r="Q154" s="5" t="s">
        <v>9</v>
      </c>
      <c r="R154" s="5" t="s">
        <v>10</v>
      </c>
    </row>
    <row r="155" spans="1:18">
      <c r="A155" s="15">
        <v>1</v>
      </c>
      <c r="B155" s="27">
        <v>37999</v>
      </c>
      <c r="C155" s="17">
        <v>2004</v>
      </c>
      <c r="D155" s="23" t="s">
        <v>16</v>
      </c>
      <c r="E155" s="17">
        <v>1</v>
      </c>
      <c r="F155" s="71">
        <v>4.7195</v>
      </c>
      <c r="G155" s="71">
        <v>5.7181426633508933E-2</v>
      </c>
      <c r="H155" s="71">
        <v>0</v>
      </c>
      <c r="I155" s="71">
        <v>1.0869788141957915</v>
      </c>
      <c r="J155" s="71">
        <v>1.7139663584445856E-2</v>
      </c>
      <c r="K155" s="71">
        <v>0</v>
      </c>
      <c r="L155" s="62" t="s">
        <v>50</v>
      </c>
      <c r="M155" s="50">
        <f t="shared" ref="M155:R155" si="1">AVERAGE(F155:F190)</f>
        <v>8.4070744444444419</v>
      </c>
      <c r="N155" s="50">
        <f t="shared" si="1"/>
        <v>0.10245657357165963</v>
      </c>
      <c r="O155" s="50">
        <f t="shared" si="1"/>
        <v>6.6368082869065342E-2</v>
      </c>
      <c r="P155" s="50">
        <f t="shared" si="1"/>
        <v>2.226866206007883</v>
      </c>
      <c r="Q155" s="50">
        <f t="shared" si="1"/>
        <v>0.3376667040305581</v>
      </c>
      <c r="R155" s="50">
        <f t="shared" si="1"/>
        <v>5.7552545935138626E-4</v>
      </c>
    </row>
    <row r="156" spans="1:18">
      <c r="A156" s="7">
        <v>17</v>
      </c>
      <c r="B156" s="25">
        <v>37999</v>
      </c>
      <c r="C156" s="11">
        <v>2004</v>
      </c>
      <c r="D156" s="20" t="s">
        <v>16</v>
      </c>
      <c r="E156" s="11">
        <v>1</v>
      </c>
      <c r="F156" s="13">
        <v>4.2336</v>
      </c>
      <c r="G156" s="13">
        <v>4.7723046411364649E-2</v>
      </c>
      <c r="H156" s="13">
        <v>0</v>
      </c>
      <c r="I156" s="13">
        <v>1.3484814433056989</v>
      </c>
      <c r="J156" s="13">
        <v>9.9524948578637289E-3</v>
      </c>
      <c r="K156" s="13">
        <v>0</v>
      </c>
    </row>
    <row r="157" spans="1:18">
      <c r="A157" s="7">
        <v>18</v>
      </c>
      <c r="B157" s="25">
        <v>38000</v>
      </c>
      <c r="C157" s="11">
        <v>2004</v>
      </c>
      <c r="D157" s="20" t="s">
        <v>16</v>
      </c>
      <c r="E157" s="11">
        <v>1</v>
      </c>
      <c r="F157" s="13">
        <v>4.5864000000000003</v>
      </c>
      <c r="G157" s="13">
        <v>4.7310094836880985E-2</v>
      </c>
      <c r="H157" s="13">
        <v>0</v>
      </c>
      <c r="I157" s="13">
        <v>1.4418633647349492</v>
      </c>
      <c r="J157" s="13">
        <v>1.0501561551751915E-2</v>
      </c>
      <c r="K157" s="13">
        <v>0</v>
      </c>
    </row>
    <row r="158" spans="1:18">
      <c r="A158" s="7">
        <v>1</v>
      </c>
      <c r="B158" s="25">
        <v>38027</v>
      </c>
      <c r="C158" s="11">
        <v>2004</v>
      </c>
      <c r="D158" s="10" t="s">
        <v>17</v>
      </c>
      <c r="E158" s="11">
        <v>2</v>
      </c>
      <c r="F158" s="13">
        <v>6.5015000000000001</v>
      </c>
      <c r="G158" s="13">
        <v>0.23028101623552541</v>
      </c>
      <c r="H158" s="13">
        <v>0</v>
      </c>
      <c r="I158" s="13">
        <v>1.4663460503525523</v>
      </c>
      <c r="J158" s="13">
        <v>1.9321537053466658E-2</v>
      </c>
      <c r="K158" s="13">
        <v>0</v>
      </c>
    </row>
    <row r="159" spans="1:18">
      <c r="A159" s="7">
        <v>17</v>
      </c>
      <c r="B159" s="25">
        <v>38027</v>
      </c>
      <c r="C159" s="11">
        <v>2004</v>
      </c>
      <c r="D159" s="10" t="s">
        <v>17</v>
      </c>
      <c r="E159" s="11">
        <v>2</v>
      </c>
      <c r="F159" s="13">
        <v>7.7070999999999996</v>
      </c>
      <c r="G159" s="13">
        <v>0.26667877067665563</v>
      </c>
      <c r="H159" s="13">
        <v>0</v>
      </c>
      <c r="I159" s="13">
        <v>2.6299191793291179</v>
      </c>
      <c r="J159" s="13">
        <v>1.818081686237473E-2</v>
      </c>
      <c r="K159" s="13">
        <v>0</v>
      </c>
    </row>
    <row r="160" spans="1:18">
      <c r="A160" s="7">
        <v>18</v>
      </c>
      <c r="B160" s="25">
        <v>38027</v>
      </c>
      <c r="C160" s="11">
        <v>2004</v>
      </c>
      <c r="D160" s="10" t="s">
        <v>17</v>
      </c>
      <c r="E160" s="11">
        <v>2</v>
      </c>
      <c r="F160" s="13">
        <v>10.6099</v>
      </c>
      <c r="G160" s="13">
        <v>0.18463491196357548</v>
      </c>
      <c r="H160" s="13">
        <v>0</v>
      </c>
      <c r="I160" s="13">
        <v>3.9458469817959436</v>
      </c>
      <c r="J160" s="13">
        <v>4.4113944243573969E-2</v>
      </c>
      <c r="K160" s="13">
        <v>0</v>
      </c>
    </row>
    <row r="161" spans="1:11">
      <c r="A161" s="7">
        <v>1</v>
      </c>
      <c r="B161" s="25">
        <v>38063</v>
      </c>
      <c r="C161" s="11">
        <v>2004</v>
      </c>
      <c r="D161" s="10" t="s">
        <v>18</v>
      </c>
      <c r="E161" s="11">
        <v>3</v>
      </c>
      <c r="F161" s="13">
        <v>7.5705999999999998</v>
      </c>
      <c r="G161" s="13">
        <v>0.44333509554273914</v>
      </c>
      <c r="H161" s="13">
        <v>2.2231653036254306E-2</v>
      </c>
      <c r="I161" s="13">
        <v>2.3611276894887103</v>
      </c>
      <c r="J161" s="13">
        <v>3.3264147973075635E-2</v>
      </c>
      <c r="K161" s="13">
        <v>0</v>
      </c>
    </row>
    <row r="162" spans="1:11">
      <c r="A162" s="7">
        <v>17</v>
      </c>
      <c r="B162" s="25">
        <v>38063</v>
      </c>
      <c r="C162" s="11">
        <v>2004</v>
      </c>
      <c r="D162" s="10" t="s">
        <v>18</v>
      </c>
      <c r="E162" s="11">
        <v>3</v>
      </c>
      <c r="F162" s="13">
        <v>7.1322000000000001</v>
      </c>
      <c r="G162" s="13">
        <v>6.4080939439411497E-2</v>
      </c>
      <c r="H162" s="13">
        <v>0</v>
      </c>
      <c r="I162" s="13">
        <v>2.54471829537226</v>
      </c>
      <c r="J162" s="13">
        <v>2.6659008288636592E-2</v>
      </c>
      <c r="K162" s="13">
        <v>0</v>
      </c>
    </row>
    <row r="163" spans="1:11">
      <c r="A163" s="7">
        <v>18</v>
      </c>
      <c r="B163" s="25">
        <v>38063</v>
      </c>
      <c r="C163" s="11">
        <v>2004</v>
      </c>
      <c r="D163" s="10" t="s">
        <v>18</v>
      </c>
      <c r="E163" s="11">
        <v>3</v>
      </c>
      <c r="F163" s="13">
        <v>6.1699000000000002</v>
      </c>
      <c r="G163" s="13">
        <v>9.2607320194602771E-2</v>
      </c>
      <c r="H163" s="13">
        <v>0</v>
      </c>
      <c r="I163" s="13">
        <v>2.2310141375255119</v>
      </c>
      <c r="J163" s="13">
        <v>2.3946599701365888E-2</v>
      </c>
      <c r="K163" s="13">
        <v>0</v>
      </c>
    </row>
    <row r="164" spans="1:11">
      <c r="A164" s="7">
        <v>1</v>
      </c>
      <c r="B164" s="25">
        <v>38094</v>
      </c>
      <c r="C164" s="11">
        <v>2004</v>
      </c>
      <c r="D164" s="10" t="s">
        <v>19</v>
      </c>
      <c r="E164" s="11">
        <v>4</v>
      </c>
      <c r="F164" s="13">
        <v>7.8849999999999998</v>
      </c>
      <c r="G164" s="13">
        <v>9.1554596736506094E-2</v>
      </c>
      <c r="H164" s="13">
        <v>0.12650181358928714</v>
      </c>
      <c r="I164" s="13">
        <v>2.5373220945061892</v>
      </c>
      <c r="J164" s="13">
        <v>5.1168402974852978E-2</v>
      </c>
      <c r="K164" s="13">
        <v>0</v>
      </c>
    </row>
    <row r="165" spans="1:11">
      <c r="A165" s="7">
        <v>17</v>
      </c>
      <c r="B165" s="25">
        <v>38094</v>
      </c>
      <c r="C165" s="11">
        <v>2004</v>
      </c>
      <c r="D165" s="10" t="s">
        <v>19</v>
      </c>
      <c r="E165" s="11">
        <v>4</v>
      </c>
      <c r="F165" s="13">
        <v>3.6457999999999999</v>
      </c>
      <c r="G165" s="13">
        <v>4.5129829501571565E-2</v>
      </c>
      <c r="H165" s="13">
        <v>6.3280667845824201E-2</v>
      </c>
      <c r="I165" s="13">
        <v>1.2385680410483269</v>
      </c>
      <c r="J165" s="13">
        <v>2.8473401545721561E-2</v>
      </c>
      <c r="K165" s="13">
        <v>0</v>
      </c>
    </row>
    <row r="166" spans="1:11">
      <c r="A166" s="7">
        <v>18</v>
      </c>
      <c r="B166" s="25">
        <v>38094</v>
      </c>
      <c r="C166" s="11">
        <v>2004</v>
      </c>
      <c r="D166" s="10" t="s">
        <v>19</v>
      </c>
      <c r="E166" s="11">
        <v>4</v>
      </c>
      <c r="F166" s="13">
        <v>3.8628999999999998</v>
      </c>
      <c r="G166" s="13">
        <v>4.5563052353382844E-2</v>
      </c>
      <c r="H166" s="13">
        <v>0</v>
      </c>
      <c r="I166" s="13">
        <v>1.3133153077520763</v>
      </c>
      <c r="J166" s="13">
        <v>4.7572593338341712E-2</v>
      </c>
      <c r="K166" s="13">
        <v>0</v>
      </c>
    </row>
    <row r="167" spans="1:11">
      <c r="A167" s="7">
        <v>1</v>
      </c>
      <c r="B167" s="25">
        <v>38118</v>
      </c>
      <c r="C167" s="11">
        <v>2004</v>
      </c>
      <c r="D167" s="10" t="s">
        <v>20</v>
      </c>
      <c r="E167" s="11">
        <v>5</v>
      </c>
      <c r="F167" s="13">
        <v>1.3108</v>
      </c>
      <c r="G167" s="13">
        <v>7.8392877831130234E-2</v>
      </c>
      <c r="H167" s="13">
        <v>0</v>
      </c>
      <c r="I167" s="13">
        <v>0.21795530180189979</v>
      </c>
      <c r="J167" s="13">
        <v>1.7751584517868832E-2</v>
      </c>
      <c r="K167" s="13">
        <v>0</v>
      </c>
    </row>
    <row r="168" spans="1:11">
      <c r="A168" s="7">
        <v>17</v>
      </c>
      <c r="B168" s="25">
        <v>38118</v>
      </c>
      <c r="C168" s="11">
        <v>2004</v>
      </c>
      <c r="D168" s="10" t="s">
        <v>20</v>
      </c>
      <c r="E168" s="11">
        <v>5</v>
      </c>
      <c r="F168" s="13">
        <v>1.4414</v>
      </c>
      <c r="G168" s="13">
        <v>0.34402029518038801</v>
      </c>
      <c r="H168" s="13">
        <v>8.785759001379961E-3</v>
      </c>
      <c r="I168" s="13">
        <v>0.37185885889893977</v>
      </c>
      <c r="J168" s="13">
        <v>1.6548487455140731E-2</v>
      </c>
      <c r="K168" s="13">
        <v>0</v>
      </c>
    </row>
    <row r="169" spans="1:11">
      <c r="A169" s="7">
        <v>18</v>
      </c>
      <c r="B169" s="25">
        <v>38118</v>
      </c>
      <c r="C169" s="11">
        <v>2004</v>
      </c>
      <c r="D169" s="10" t="s">
        <v>20</v>
      </c>
      <c r="E169" s="11">
        <v>5</v>
      </c>
      <c r="F169" s="13">
        <v>2.2044000000000001</v>
      </c>
      <c r="G169" s="13">
        <v>3.2182692028390872E-2</v>
      </c>
      <c r="H169" s="13">
        <v>1.8641220542613232E-2</v>
      </c>
      <c r="I169" s="13">
        <v>0.51089149012309787</v>
      </c>
      <c r="J169" s="13">
        <v>3.0920181617472998E-2</v>
      </c>
      <c r="K169" s="13">
        <v>0</v>
      </c>
    </row>
    <row r="170" spans="1:11">
      <c r="A170" s="7">
        <v>1</v>
      </c>
      <c r="B170" s="25">
        <v>38153</v>
      </c>
      <c r="C170" s="11">
        <v>2004</v>
      </c>
      <c r="D170" s="10" t="s">
        <v>21</v>
      </c>
      <c r="E170" s="11">
        <v>6</v>
      </c>
      <c r="F170" s="13">
        <v>17.126300000000001</v>
      </c>
      <c r="G170" s="13">
        <v>0.12767806818518168</v>
      </c>
      <c r="H170" s="13">
        <v>0.64646444089204691</v>
      </c>
      <c r="I170" s="13">
        <v>4.0517504625167104</v>
      </c>
      <c r="J170" s="13">
        <v>1.7314011284883875</v>
      </c>
      <c r="K170" s="13">
        <v>0</v>
      </c>
    </row>
    <row r="171" spans="1:11">
      <c r="A171" s="7">
        <v>17</v>
      </c>
      <c r="B171" s="25">
        <v>38153</v>
      </c>
      <c r="C171" s="11">
        <v>2004</v>
      </c>
      <c r="D171" s="10" t="s">
        <v>21</v>
      </c>
      <c r="E171" s="11">
        <v>6</v>
      </c>
      <c r="F171" s="13">
        <v>18.146799999999999</v>
      </c>
      <c r="G171" s="13">
        <v>0.13026652739383895</v>
      </c>
      <c r="H171" s="13">
        <v>1.0740535550137336</v>
      </c>
      <c r="I171" s="13">
        <v>4.5875752136068284</v>
      </c>
      <c r="J171" s="13">
        <v>1.529415505099661</v>
      </c>
      <c r="K171" s="13">
        <v>1.8992340158595748E-2</v>
      </c>
    </row>
    <row r="172" spans="1:11">
      <c r="A172" s="7">
        <v>18</v>
      </c>
      <c r="B172" s="25">
        <v>38153</v>
      </c>
      <c r="C172" s="11">
        <v>2004</v>
      </c>
      <c r="D172" s="10" t="s">
        <v>21</v>
      </c>
      <c r="E172" s="11">
        <v>6</v>
      </c>
      <c r="F172" s="13">
        <v>7.3181000000000003</v>
      </c>
      <c r="G172" s="13">
        <v>7.3672753938117841E-2</v>
      </c>
      <c r="H172" s="13">
        <v>0.23018762475801702</v>
      </c>
      <c r="I172" s="13">
        <v>1.267956800518488</v>
      </c>
      <c r="J172" s="13">
        <v>1.2337489508164765</v>
      </c>
      <c r="K172" s="13">
        <v>0</v>
      </c>
    </row>
    <row r="173" spans="1:11">
      <c r="A173" s="7">
        <v>1</v>
      </c>
      <c r="B173" s="25">
        <v>38181</v>
      </c>
      <c r="C173" s="11">
        <v>2004</v>
      </c>
      <c r="D173" s="20" t="s">
        <v>22</v>
      </c>
      <c r="E173" s="11">
        <v>7</v>
      </c>
      <c r="F173" s="13">
        <v>17.849799999999998</v>
      </c>
      <c r="G173" s="13">
        <v>0.10327718647260119</v>
      </c>
      <c r="H173" s="13">
        <v>0</v>
      </c>
      <c r="I173" s="13">
        <v>2.1282170851293927</v>
      </c>
      <c r="J173" s="13">
        <v>1.3332949233854376</v>
      </c>
      <c r="K173" s="13">
        <v>0</v>
      </c>
    </row>
    <row r="174" spans="1:11">
      <c r="A174" s="7">
        <v>17</v>
      </c>
      <c r="B174" s="25">
        <v>38181</v>
      </c>
      <c r="C174" s="11">
        <v>2004</v>
      </c>
      <c r="D174" s="20" t="s">
        <v>22</v>
      </c>
      <c r="E174" s="11">
        <v>7</v>
      </c>
      <c r="F174" s="13">
        <v>17.636199999999999</v>
      </c>
      <c r="G174" s="13">
        <v>0.12484569541061681</v>
      </c>
      <c r="H174" s="13">
        <v>0</v>
      </c>
      <c r="I174" s="13">
        <v>2.1637376391497267</v>
      </c>
      <c r="J174" s="13">
        <v>1.5186453666052768</v>
      </c>
      <c r="K174" s="13">
        <v>0</v>
      </c>
    </row>
    <row r="175" spans="1:11">
      <c r="A175" s="7">
        <v>18</v>
      </c>
      <c r="B175" s="25">
        <v>38181</v>
      </c>
      <c r="C175" s="11">
        <v>2004</v>
      </c>
      <c r="D175" s="20" t="s">
        <v>22</v>
      </c>
      <c r="E175" s="11">
        <v>7</v>
      </c>
      <c r="F175" s="13">
        <v>23.8034</v>
      </c>
      <c r="G175" s="13">
        <v>0.17896759173328067</v>
      </c>
      <c r="H175" s="13">
        <v>0</v>
      </c>
      <c r="I175" s="13">
        <v>2.6685921533960988</v>
      </c>
      <c r="J175" s="13">
        <v>2.1206143029446376</v>
      </c>
      <c r="K175" s="13">
        <v>0</v>
      </c>
    </row>
    <row r="176" spans="1:11">
      <c r="A176" s="7">
        <v>1</v>
      </c>
      <c r="B176" s="25">
        <v>38217</v>
      </c>
      <c r="C176" s="11">
        <v>2004</v>
      </c>
      <c r="D176" s="20" t="s">
        <v>23</v>
      </c>
      <c r="E176" s="11">
        <v>8</v>
      </c>
      <c r="F176" s="13">
        <v>5.3108000000000004</v>
      </c>
      <c r="G176" s="13"/>
      <c r="H176" s="13"/>
      <c r="I176" s="13"/>
      <c r="J176" s="13"/>
      <c r="K176" s="13"/>
    </row>
    <row r="177" spans="1:18">
      <c r="A177" s="7">
        <v>17</v>
      </c>
      <c r="B177" s="25">
        <v>38217</v>
      </c>
      <c r="C177" s="11">
        <v>2004</v>
      </c>
      <c r="D177" s="20" t="s">
        <v>23</v>
      </c>
      <c r="E177" s="11">
        <v>8</v>
      </c>
      <c r="F177" s="13">
        <v>9.3957999999999995</v>
      </c>
      <c r="G177" s="13"/>
      <c r="H177" s="13"/>
      <c r="I177" s="13"/>
      <c r="J177" s="13"/>
      <c r="K177" s="13"/>
    </row>
    <row r="178" spans="1:18">
      <c r="A178" s="7">
        <v>18</v>
      </c>
      <c r="B178" s="25">
        <v>38217</v>
      </c>
      <c r="C178" s="11">
        <v>2004</v>
      </c>
      <c r="D178" s="20" t="s">
        <v>23</v>
      </c>
      <c r="E178" s="11">
        <v>8</v>
      </c>
      <c r="F178" s="13">
        <v>11.3863</v>
      </c>
      <c r="G178" s="13"/>
      <c r="H178" s="13"/>
      <c r="I178" s="13"/>
      <c r="J178" s="13"/>
      <c r="K178" s="13"/>
    </row>
    <row r="179" spans="1:18">
      <c r="A179" s="7">
        <v>1</v>
      </c>
      <c r="B179" s="25">
        <v>38244</v>
      </c>
      <c r="C179" s="11">
        <v>2004</v>
      </c>
      <c r="D179" s="20" t="s">
        <v>24</v>
      </c>
      <c r="E179" s="11">
        <v>9</v>
      </c>
      <c r="F179" s="13">
        <v>12.6221</v>
      </c>
      <c r="G179" s="13">
        <v>2.8385155143239502E-2</v>
      </c>
      <c r="H179" s="13">
        <v>0</v>
      </c>
      <c r="I179" s="13">
        <v>4.2466678666492745</v>
      </c>
      <c r="J179" s="13">
        <v>0.28192225064015186</v>
      </c>
      <c r="K179" s="13">
        <v>0</v>
      </c>
    </row>
    <row r="180" spans="1:18">
      <c r="A180" s="7">
        <v>17</v>
      </c>
      <c r="B180" s="25">
        <v>38244</v>
      </c>
      <c r="C180" s="11">
        <v>2004</v>
      </c>
      <c r="D180" s="20" t="s">
        <v>24</v>
      </c>
      <c r="E180" s="11">
        <v>9</v>
      </c>
      <c r="F180" s="13">
        <v>7.4911000000000003</v>
      </c>
      <c r="G180" s="13">
        <v>4.1118330113070298E-2</v>
      </c>
      <c r="H180" s="13">
        <v>0</v>
      </c>
      <c r="I180" s="13">
        <v>2.8443523089570117</v>
      </c>
      <c r="J180" s="13">
        <v>0.31586262300889834</v>
      </c>
      <c r="K180" s="13">
        <v>0</v>
      </c>
    </row>
    <row r="181" spans="1:18">
      <c r="A181" s="7">
        <v>18</v>
      </c>
      <c r="B181" s="25">
        <v>38244</v>
      </c>
      <c r="C181" s="11">
        <v>2004</v>
      </c>
      <c r="D181" s="20" t="s">
        <v>24</v>
      </c>
      <c r="E181" s="11">
        <v>9</v>
      </c>
      <c r="F181" s="13">
        <v>7.6970999999999998</v>
      </c>
      <c r="G181" s="13">
        <v>1.4058686372391316E-2</v>
      </c>
      <c r="H181" s="13">
        <v>0</v>
      </c>
      <c r="I181" s="13">
        <v>2.6264797441076335</v>
      </c>
      <c r="J181" s="13">
        <v>0.21566404201587061</v>
      </c>
      <c r="K181" s="13">
        <v>0</v>
      </c>
    </row>
    <row r="182" spans="1:18">
      <c r="A182" s="7">
        <v>1</v>
      </c>
      <c r="B182" s="25">
        <v>38272</v>
      </c>
      <c r="C182" s="11">
        <v>2004</v>
      </c>
      <c r="D182" s="20" t="s">
        <v>12</v>
      </c>
      <c r="E182" s="11">
        <v>10</v>
      </c>
      <c r="F182" s="39">
        <v>8.4348100000000006</v>
      </c>
      <c r="G182" s="20">
        <v>3.8623679256134663E-2</v>
      </c>
      <c r="H182" s="20">
        <v>0</v>
      </c>
      <c r="I182" s="20">
        <v>2.2102603639539948</v>
      </c>
      <c r="J182" s="20">
        <v>0.11793478574782618</v>
      </c>
      <c r="K182" s="20">
        <v>0</v>
      </c>
    </row>
    <row r="183" spans="1:18">
      <c r="A183" s="7">
        <v>17</v>
      </c>
      <c r="B183" s="25">
        <v>38272</v>
      </c>
      <c r="C183" s="11">
        <v>2004</v>
      </c>
      <c r="D183" s="20" t="s">
        <v>12</v>
      </c>
      <c r="E183" s="11">
        <v>10</v>
      </c>
      <c r="F183" s="39">
        <v>11.815239999999999</v>
      </c>
      <c r="G183" s="20">
        <v>3.9960941071331663E-2</v>
      </c>
      <c r="H183" s="20">
        <v>0</v>
      </c>
      <c r="I183" s="20">
        <v>3.6649733788077179</v>
      </c>
      <c r="J183" s="20">
        <v>0.12377559661840422</v>
      </c>
      <c r="K183" s="20">
        <v>0</v>
      </c>
    </row>
    <row r="184" spans="1:18">
      <c r="A184" s="7">
        <v>18</v>
      </c>
      <c r="B184" s="25">
        <v>38272</v>
      </c>
      <c r="C184" s="11">
        <v>2004</v>
      </c>
      <c r="D184" s="20" t="s">
        <v>12</v>
      </c>
      <c r="E184" s="11">
        <v>10</v>
      </c>
      <c r="F184" s="39">
        <v>7.4179899999999996</v>
      </c>
      <c r="G184" s="20">
        <v>5.6823488686817102E-2</v>
      </c>
      <c r="H184" s="20">
        <v>0</v>
      </c>
      <c r="I184" s="20">
        <v>2.2137942013240961</v>
      </c>
      <c r="J184" s="20">
        <v>9.5072222707622375E-2</v>
      </c>
      <c r="K184" s="20">
        <v>0</v>
      </c>
    </row>
    <row r="185" spans="1:18">
      <c r="A185" s="7">
        <v>1</v>
      </c>
      <c r="B185" s="25">
        <v>38306</v>
      </c>
      <c r="C185" s="11">
        <v>2004</v>
      </c>
      <c r="D185" s="20" t="s">
        <v>14</v>
      </c>
      <c r="E185" s="11">
        <v>11</v>
      </c>
      <c r="F185" s="39">
        <v>6.2427000000000001</v>
      </c>
      <c r="G185" s="20">
        <v>2.5792125822646481E-2</v>
      </c>
      <c r="H185" s="20">
        <v>0</v>
      </c>
      <c r="I185" s="20">
        <v>1.9589990740219922</v>
      </c>
      <c r="J185" s="20">
        <v>2.4319080009713834E-2</v>
      </c>
      <c r="K185" s="20">
        <v>0</v>
      </c>
    </row>
    <row r="186" spans="1:18">
      <c r="A186" s="7">
        <v>17</v>
      </c>
      <c r="B186" s="25">
        <v>38306</v>
      </c>
      <c r="C186" s="11">
        <v>2004</v>
      </c>
      <c r="D186" s="20" t="s">
        <v>14</v>
      </c>
      <c r="E186" s="11">
        <v>11</v>
      </c>
      <c r="F186" s="39">
        <v>6.3244400000000001</v>
      </c>
      <c r="G186" s="20">
        <v>2.4321698910637134E-2</v>
      </c>
      <c r="H186" s="20">
        <v>0</v>
      </c>
      <c r="I186" s="20">
        <v>2.1777082707999416</v>
      </c>
      <c r="J186" s="20">
        <v>2.2728019694697097E-2</v>
      </c>
      <c r="K186" s="20">
        <v>0</v>
      </c>
    </row>
    <row r="187" spans="1:18">
      <c r="A187" s="7">
        <v>18</v>
      </c>
      <c r="B187" s="25">
        <v>38306</v>
      </c>
      <c r="C187" s="11">
        <v>2004</v>
      </c>
      <c r="D187" s="20" t="s">
        <v>14</v>
      </c>
      <c r="E187" s="11">
        <v>11</v>
      </c>
      <c r="F187" s="39">
        <v>11.340070000000001</v>
      </c>
      <c r="G187" s="20">
        <v>5.548803372171357E-2</v>
      </c>
      <c r="H187" s="20">
        <v>0</v>
      </c>
      <c r="I187" s="20">
        <v>4.1689127704022901</v>
      </c>
      <c r="J187" s="20">
        <v>4.2110162271842305E-2</v>
      </c>
      <c r="K187" s="20">
        <v>0</v>
      </c>
    </row>
    <row r="188" spans="1:18">
      <c r="A188" s="7">
        <v>1</v>
      </c>
      <c r="B188" s="25">
        <v>38335</v>
      </c>
      <c r="C188" s="11">
        <v>2004</v>
      </c>
      <c r="D188" s="20" t="s">
        <v>15</v>
      </c>
      <c r="E188" s="11">
        <v>12</v>
      </c>
      <c r="F188" s="39">
        <v>4.4788899999999998</v>
      </c>
      <c r="G188" s="20">
        <v>9.0031862302589971E-2</v>
      </c>
      <c r="H188" s="20">
        <v>0</v>
      </c>
      <c r="I188" s="20">
        <v>1.3037250280622812</v>
      </c>
      <c r="J188" s="20">
        <v>9.7552531545915481E-3</v>
      </c>
      <c r="K188" s="20">
        <v>0</v>
      </c>
    </row>
    <row r="189" spans="1:18">
      <c r="A189" s="7">
        <v>17</v>
      </c>
      <c r="B189" s="25">
        <v>38335</v>
      </c>
      <c r="C189" s="11">
        <v>2004</v>
      </c>
      <c r="D189" s="20" t="s">
        <v>15</v>
      </c>
      <c r="E189" s="11">
        <v>12</v>
      </c>
      <c r="F189" s="39">
        <v>7.1333799999999998</v>
      </c>
      <c r="G189" s="20">
        <v>6.9098409513271702E-2</v>
      </c>
      <c r="H189" s="20">
        <v>0</v>
      </c>
      <c r="I189" s="20">
        <v>2.6484010026724731</v>
      </c>
      <c r="J189" s="20">
        <v>1.9284967014744789E-2</v>
      </c>
      <c r="K189" s="20">
        <v>0</v>
      </c>
    </row>
    <row r="190" spans="1:18" ht="25.5">
      <c r="A190" s="7">
        <v>18</v>
      </c>
      <c r="B190" s="25">
        <v>38335</v>
      </c>
      <c r="C190" s="11">
        <v>2004</v>
      </c>
      <c r="D190" s="20" t="s">
        <v>15</v>
      </c>
      <c r="E190" s="11">
        <v>12</v>
      </c>
      <c r="F190" s="39">
        <v>4.10236</v>
      </c>
      <c r="G190" s="20">
        <v>8.7980728251653012E-2</v>
      </c>
      <c r="H190" s="20">
        <v>0</v>
      </c>
      <c r="I190" s="20">
        <v>1.3082743839531161</v>
      </c>
      <c r="J190" s="20">
        <v>1.1937627218222049E-2</v>
      </c>
      <c r="K190" s="20">
        <v>0</v>
      </c>
      <c r="L190" s="62" t="s">
        <v>42</v>
      </c>
      <c r="M190" s="5" t="s">
        <v>5</v>
      </c>
      <c r="N190" s="5" t="s">
        <v>6</v>
      </c>
      <c r="O190" s="5" t="s">
        <v>7</v>
      </c>
      <c r="P190" s="5" t="s">
        <v>8</v>
      </c>
      <c r="Q190" s="5" t="s">
        <v>9</v>
      </c>
      <c r="R190" s="5" t="s">
        <v>10</v>
      </c>
    </row>
    <row r="191" spans="1:18">
      <c r="A191" s="15">
        <v>1</v>
      </c>
      <c r="B191" s="34">
        <v>38362</v>
      </c>
      <c r="C191" s="17">
        <v>2005</v>
      </c>
      <c r="D191" s="23" t="s">
        <v>16</v>
      </c>
      <c r="E191" s="17">
        <v>1</v>
      </c>
      <c r="F191" s="72">
        <v>13.15737</v>
      </c>
      <c r="G191" s="23">
        <v>3.942765423739239E-2</v>
      </c>
      <c r="H191" s="23">
        <v>0</v>
      </c>
      <c r="I191" s="23">
        <v>3.9331440400833095</v>
      </c>
      <c r="J191" s="23">
        <v>2.4478702834014134E-2</v>
      </c>
      <c r="K191" s="23">
        <v>0</v>
      </c>
      <c r="L191" s="62" t="s">
        <v>51</v>
      </c>
      <c r="M191" s="50">
        <f t="shared" ref="M191:R191" si="2">AVERAGE(F191:F226)</f>
        <v>7.4236836111111115</v>
      </c>
      <c r="N191" s="50">
        <f t="shared" si="2"/>
        <v>0.12816452913925955</v>
      </c>
      <c r="O191" s="50">
        <f t="shared" si="2"/>
        <v>0.16930587371252795</v>
      </c>
      <c r="P191" s="50">
        <f t="shared" si="2"/>
        <v>2.1447305676735136</v>
      </c>
      <c r="Q191" s="50">
        <f t="shared" si="2"/>
        <v>0.16780059319478308</v>
      </c>
      <c r="R191" s="50">
        <f t="shared" si="2"/>
        <v>1.5782670836701782E-3</v>
      </c>
    </row>
    <row r="192" spans="1:18">
      <c r="A192" s="7">
        <v>17</v>
      </c>
      <c r="B192" s="35">
        <v>38362</v>
      </c>
      <c r="C192" s="11">
        <v>2005</v>
      </c>
      <c r="D192" s="20" t="s">
        <v>16</v>
      </c>
      <c r="E192" s="11">
        <v>1</v>
      </c>
      <c r="F192" s="39">
        <v>18.03293</v>
      </c>
      <c r="G192" s="20">
        <v>0.10382198143910661</v>
      </c>
      <c r="H192" s="20">
        <v>0</v>
      </c>
      <c r="I192" s="20">
        <v>7.1476368224923235</v>
      </c>
      <c r="J192" s="20">
        <v>1.7478671686910228E-2</v>
      </c>
      <c r="K192" s="20">
        <v>0</v>
      </c>
    </row>
    <row r="193" spans="1:11">
      <c r="A193" s="7">
        <v>18</v>
      </c>
      <c r="B193" s="35">
        <v>38362</v>
      </c>
      <c r="C193" s="11">
        <v>2005</v>
      </c>
      <c r="D193" s="20" t="s">
        <v>16</v>
      </c>
      <c r="E193" s="11">
        <v>1</v>
      </c>
      <c r="F193" s="39">
        <v>12.540319999999999</v>
      </c>
      <c r="G193" s="20">
        <v>8.7142557070893509E-2</v>
      </c>
      <c r="H193" s="20">
        <v>0</v>
      </c>
      <c r="I193" s="20">
        <v>4.8347613662764255</v>
      </c>
      <c r="J193" s="20">
        <v>1.7519539163208055E-2</v>
      </c>
      <c r="K193" s="20">
        <v>0</v>
      </c>
    </row>
    <row r="194" spans="1:11">
      <c r="A194" s="7">
        <v>1</v>
      </c>
      <c r="B194" s="35">
        <v>38399</v>
      </c>
      <c r="C194" s="11">
        <v>2005</v>
      </c>
      <c r="D194" s="10" t="s">
        <v>17</v>
      </c>
      <c r="E194" s="11">
        <v>2</v>
      </c>
      <c r="F194" s="39">
        <v>3.9836900000000002</v>
      </c>
      <c r="G194" s="20">
        <v>0.17731153488382229</v>
      </c>
      <c r="H194" s="20">
        <v>0</v>
      </c>
      <c r="I194" s="20">
        <v>1.1240888012582275</v>
      </c>
      <c r="J194" s="20">
        <v>2.2348948123955527E-2</v>
      </c>
      <c r="K194" s="20">
        <v>0</v>
      </c>
    </row>
    <row r="195" spans="1:11">
      <c r="A195" s="7">
        <v>17</v>
      </c>
      <c r="B195" s="35">
        <v>38399</v>
      </c>
      <c r="C195" s="11">
        <v>2005</v>
      </c>
      <c r="D195" s="10" t="s">
        <v>17</v>
      </c>
      <c r="E195" s="11">
        <v>2</v>
      </c>
      <c r="F195" s="39">
        <v>3.1263700000000001</v>
      </c>
      <c r="G195" s="20">
        <v>7.0618577698514443E-2</v>
      </c>
      <c r="H195" s="20">
        <v>0</v>
      </c>
      <c r="I195" s="20">
        <v>0.98782078404224183</v>
      </c>
      <c r="J195" s="20">
        <v>2.0277299660653173E-2</v>
      </c>
      <c r="K195" s="20">
        <v>0</v>
      </c>
    </row>
    <row r="196" spans="1:11">
      <c r="A196" s="7">
        <v>18</v>
      </c>
      <c r="B196" s="35">
        <v>38399</v>
      </c>
      <c r="C196" s="11">
        <v>2005</v>
      </c>
      <c r="D196" s="10" t="s">
        <v>17</v>
      </c>
      <c r="E196" s="11">
        <v>2</v>
      </c>
      <c r="F196" s="39">
        <v>2.7012399999999999</v>
      </c>
      <c r="G196" s="20">
        <v>0.11682435578888031</v>
      </c>
      <c r="H196" s="20">
        <v>0</v>
      </c>
      <c r="I196" s="20">
        <v>0.74414334487293265</v>
      </c>
      <c r="J196" s="20">
        <v>2.2351950969689244E-2</v>
      </c>
      <c r="K196" s="20">
        <v>0</v>
      </c>
    </row>
    <row r="197" spans="1:11">
      <c r="A197" s="7">
        <v>1</v>
      </c>
      <c r="B197" s="35">
        <v>38428</v>
      </c>
      <c r="C197" s="11">
        <v>2005</v>
      </c>
      <c r="D197" s="10" t="s">
        <v>18</v>
      </c>
      <c r="E197" s="11">
        <v>3</v>
      </c>
      <c r="F197" s="39">
        <v>1.69722</v>
      </c>
      <c r="G197" s="20">
        <v>0.19161527776995715</v>
      </c>
      <c r="H197" s="20">
        <v>0</v>
      </c>
      <c r="I197" s="20">
        <v>0.31271094940345462</v>
      </c>
      <c r="J197" s="20">
        <v>0</v>
      </c>
      <c r="K197" s="20">
        <v>0</v>
      </c>
    </row>
    <row r="198" spans="1:11">
      <c r="A198" s="7">
        <v>17</v>
      </c>
      <c r="B198" s="35">
        <v>38428</v>
      </c>
      <c r="C198" s="11">
        <v>2005</v>
      </c>
      <c r="D198" s="10" t="s">
        <v>18</v>
      </c>
      <c r="E198" s="11">
        <v>3</v>
      </c>
      <c r="F198" s="39">
        <v>1.8930899999999999</v>
      </c>
      <c r="G198" s="20">
        <v>0.30438104358161089</v>
      </c>
      <c r="H198" s="20">
        <v>0</v>
      </c>
      <c r="I198" s="20">
        <v>0.47636551102085034</v>
      </c>
      <c r="J198" s="20">
        <v>4.4500288135462772E-3</v>
      </c>
      <c r="K198" s="20">
        <v>0</v>
      </c>
    </row>
    <row r="199" spans="1:11">
      <c r="A199" s="7">
        <v>18</v>
      </c>
      <c r="B199" s="35">
        <v>38428</v>
      </c>
      <c r="C199" s="11">
        <v>2005</v>
      </c>
      <c r="D199" s="10" t="s">
        <v>18</v>
      </c>
      <c r="E199" s="11">
        <v>3</v>
      </c>
      <c r="F199" s="39">
        <v>0.67649000000000004</v>
      </c>
      <c r="G199" s="20">
        <v>6.3523600905272093E-2</v>
      </c>
      <c r="H199" s="20">
        <v>0</v>
      </c>
      <c r="I199" s="20">
        <v>0.19095549593552683</v>
      </c>
      <c r="J199" s="20">
        <v>4.1321743148649542E-3</v>
      </c>
      <c r="K199" s="20">
        <v>0</v>
      </c>
    </row>
    <row r="200" spans="1:11">
      <c r="A200" s="7">
        <v>1</v>
      </c>
      <c r="B200" s="35">
        <v>38468</v>
      </c>
      <c r="C200" s="11">
        <v>2005</v>
      </c>
      <c r="D200" s="10" t="s">
        <v>19</v>
      </c>
      <c r="E200" s="11">
        <v>4</v>
      </c>
      <c r="F200" s="39">
        <v>2.1627399999999999</v>
      </c>
      <c r="G200" s="20">
        <v>1.5265617083735689E-2</v>
      </c>
      <c r="H200" s="20">
        <v>4.2270710489593862E-2</v>
      </c>
      <c r="I200" s="20">
        <v>0.78926696478881142</v>
      </c>
      <c r="J200" s="20">
        <v>3.2732812874604479E-2</v>
      </c>
      <c r="K200" s="20">
        <v>0</v>
      </c>
    </row>
    <row r="201" spans="1:11">
      <c r="A201" s="7">
        <v>17</v>
      </c>
      <c r="B201" s="35">
        <v>38468</v>
      </c>
      <c r="C201" s="11">
        <v>2005</v>
      </c>
      <c r="D201" s="10" t="s">
        <v>19</v>
      </c>
      <c r="E201" s="11">
        <v>4</v>
      </c>
      <c r="F201" s="39">
        <v>2.63443</v>
      </c>
      <c r="G201" s="20">
        <v>2.1946541392721685E-2</v>
      </c>
      <c r="H201" s="20">
        <v>4.3141928196414041E-2</v>
      </c>
      <c r="I201" s="20">
        <v>1.0714390296885241</v>
      </c>
      <c r="J201" s="20">
        <v>2.9852623631612337E-2</v>
      </c>
      <c r="K201" s="20">
        <v>0</v>
      </c>
    </row>
    <row r="202" spans="1:11">
      <c r="A202" s="7">
        <v>18</v>
      </c>
      <c r="B202" s="35">
        <v>38468</v>
      </c>
      <c r="C202" s="11">
        <v>2005</v>
      </c>
      <c r="D202" s="10" t="s">
        <v>19</v>
      </c>
      <c r="E202" s="11">
        <v>4</v>
      </c>
      <c r="F202" s="39">
        <v>3.0725799999999999</v>
      </c>
      <c r="G202" s="20">
        <v>1.5100066786806388E-2</v>
      </c>
      <c r="H202" s="20">
        <v>6.2376936714501945E-2</v>
      </c>
      <c r="I202" s="20">
        <v>1.2478810965676568</v>
      </c>
      <c r="J202" s="20">
        <v>4.0970052682279733E-2</v>
      </c>
      <c r="K202" s="20">
        <v>0</v>
      </c>
    </row>
    <row r="203" spans="1:11">
      <c r="A203" s="7">
        <v>1</v>
      </c>
      <c r="B203" s="35">
        <v>38489</v>
      </c>
      <c r="C203" s="11">
        <v>2005</v>
      </c>
      <c r="D203" s="10" t="s">
        <v>20</v>
      </c>
      <c r="E203" s="11">
        <v>5</v>
      </c>
      <c r="F203" s="39">
        <v>0.90088999999999997</v>
      </c>
      <c r="G203" s="20">
        <v>2.2690446850081817E-2</v>
      </c>
      <c r="H203" s="20">
        <v>0</v>
      </c>
      <c r="I203" s="20">
        <v>0.22252003392008535</v>
      </c>
      <c r="J203" s="20">
        <v>8.1722331188550986E-3</v>
      </c>
      <c r="K203" s="20">
        <v>0</v>
      </c>
    </row>
    <row r="204" spans="1:11">
      <c r="A204" s="7">
        <v>17</v>
      </c>
      <c r="B204" s="35">
        <v>38489</v>
      </c>
      <c r="C204" s="11">
        <v>2005</v>
      </c>
      <c r="D204" s="10" t="s">
        <v>20</v>
      </c>
      <c r="E204" s="11">
        <v>5</v>
      </c>
      <c r="F204" s="39">
        <v>0.99877000000000005</v>
      </c>
      <c r="G204" s="20">
        <v>1.9463838431956454E-2</v>
      </c>
      <c r="H204" s="20">
        <v>1.5786149854345111E-2</v>
      </c>
      <c r="I204" s="20">
        <v>0.24022387043009072</v>
      </c>
      <c r="J204" s="20">
        <v>3.5187640491699201E-2</v>
      </c>
      <c r="K204" s="20">
        <v>0</v>
      </c>
    </row>
    <row r="205" spans="1:11">
      <c r="A205" s="7">
        <v>18</v>
      </c>
      <c r="B205" s="35">
        <v>38489</v>
      </c>
      <c r="C205" s="11">
        <v>2005</v>
      </c>
      <c r="D205" s="10" t="s">
        <v>20</v>
      </c>
      <c r="E205" s="11">
        <v>5</v>
      </c>
      <c r="F205" s="39">
        <v>1.58565</v>
      </c>
      <c r="G205" s="20">
        <v>1.2535995246123673E-2</v>
      </c>
      <c r="H205" s="20">
        <v>0.11327981540544728</v>
      </c>
      <c r="I205" s="20">
        <v>0.67969422069058072</v>
      </c>
      <c r="J205" s="20">
        <v>1.4765206889460109E-2</v>
      </c>
      <c r="K205" s="20">
        <v>0</v>
      </c>
    </row>
    <row r="206" spans="1:11">
      <c r="A206" s="7">
        <v>1</v>
      </c>
      <c r="B206" s="35">
        <v>38517</v>
      </c>
      <c r="C206" s="11">
        <v>2005</v>
      </c>
      <c r="D206" s="10" t="s">
        <v>21</v>
      </c>
      <c r="E206" s="11">
        <v>6</v>
      </c>
      <c r="F206" s="39">
        <v>25.623519999999999</v>
      </c>
      <c r="G206" s="20">
        <v>0.50032834909106827</v>
      </c>
      <c r="H206" s="20">
        <v>2.2089836020201981</v>
      </c>
      <c r="I206" s="20">
        <v>7.7061745198636675</v>
      </c>
      <c r="J206" s="20">
        <v>0.76109140239355721</v>
      </c>
      <c r="K206" s="20">
        <v>2.1577396438882523E-2</v>
      </c>
    </row>
    <row r="207" spans="1:11">
      <c r="A207" s="7">
        <v>17</v>
      </c>
      <c r="B207" s="35">
        <v>38517</v>
      </c>
      <c r="C207" s="11">
        <v>2005</v>
      </c>
      <c r="D207" s="10" t="s">
        <v>21</v>
      </c>
      <c r="E207" s="11">
        <v>6</v>
      </c>
      <c r="F207" s="39">
        <v>2.8956300000000001</v>
      </c>
      <c r="G207" s="20">
        <v>0.24531523204428421</v>
      </c>
      <c r="H207" s="20">
        <v>3.4072797683435484E-2</v>
      </c>
      <c r="I207" s="20">
        <v>0.62317432742282886</v>
      </c>
      <c r="J207" s="20">
        <v>4.5431753428739882E-2</v>
      </c>
      <c r="K207" s="20">
        <v>0</v>
      </c>
    </row>
    <row r="208" spans="1:11">
      <c r="A208" s="7">
        <v>18</v>
      </c>
      <c r="B208" s="35">
        <v>38517</v>
      </c>
      <c r="C208" s="11">
        <v>2005</v>
      </c>
      <c r="D208" s="10" t="s">
        <v>21</v>
      </c>
      <c r="E208" s="11">
        <v>6</v>
      </c>
      <c r="F208" s="39">
        <v>37.088990000000003</v>
      </c>
      <c r="G208" s="20">
        <v>0.14406973557243741</v>
      </c>
      <c r="H208" s="20">
        <v>3.3618942970986812</v>
      </c>
      <c r="I208" s="20">
        <v>11.767582959550102</v>
      </c>
      <c r="J208" s="20">
        <v>0.75171062103616748</v>
      </c>
      <c r="K208" s="20">
        <v>3.4340218573243868E-2</v>
      </c>
    </row>
    <row r="209" spans="1:11">
      <c r="A209" s="7">
        <v>1</v>
      </c>
      <c r="B209" s="35">
        <v>38547</v>
      </c>
      <c r="C209" s="11">
        <v>2005</v>
      </c>
      <c r="D209" s="20" t="s">
        <v>22</v>
      </c>
      <c r="E209" s="11">
        <v>7</v>
      </c>
      <c r="F209" s="39">
        <v>11.21527</v>
      </c>
      <c r="G209" s="20">
        <v>0.34182052119754419</v>
      </c>
      <c r="H209" s="20">
        <v>0</v>
      </c>
      <c r="I209" s="20">
        <v>1.5048791884227728</v>
      </c>
      <c r="J209" s="20">
        <v>0.69038174754876269</v>
      </c>
      <c r="K209" s="20">
        <v>0</v>
      </c>
    </row>
    <row r="210" spans="1:11">
      <c r="A210" s="7">
        <v>17</v>
      </c>
      <c r="B210" s="35">
        <v>38547</v>
      </c>
      <c r="C210" s="11">
        <v>2005</v>
      </c>
      <c r="D210" s="20" t="s">
        <v>22</v>
      </c>
      <c r="E210" s="11">
        <v>7</v>
      </c>
      <c r="F210" s="39">
        <v>2.9726900000000001</v>
      </c>
      <c r="G210" s="20">
        <v>0.1069653556683722</v>
      </c>
      <c r="H210" s="20">
        <v>0</v>
      </c>
      <c r="I210" s="20">
        <v>0.77672065141323354</v>
      </c>
      <c r="J210" s="20">
        <v>4.4073939608212133E-2</v>
      </c>
      <c r="K210" s="20">
        <v>0</v>
      </c>
    </row>
    <row r="211" spans="1:11">
      <c r="A211" s="7">
        <v>18</v>
      </c>
      <c r="B211" s="35">
        <v>38547</v>
      </c>
      <c r="C211" s="11">
        <v>2005</v>
      </c>
      <c r="D211" s="20" t="s">
        <v>22</v>
      </c>
      <c r="E211" s="11">
        <v>7</v>
      </c>
      <c r="F211" s="39">
        <v>11.1332</v>
      </c>
      <c r="G211" s="20">
        <v>0.1980363053684735</v>
      </c>
      <c r="H211" s="20">
        <v>0</v>
      </c>
      <c r="I211" s="20">
        <v>1.7295755124923482</v>
      </c>
      <c r="J211" s="20">
        <v>0.8504600092132083</v>
      </c>
      <c r="K211" s="20">
        <v>0</v>
      </c>
    </row>
    <row r="212" spans="1:11">
      <c r="A212" s="7">
        <v>1</v>
      </c>
      <c r="B212" s="35">
        <v>38587</v>
      </c>
      <c r="C212" s="11">
        <v>2005</v>
      </c>
      <c r="D212" s="20" t="s">
        <v>23</v>
      </c>
      <c r="E212" s="11">
        <v>8</v>
      </c>
      <c r="F212" s="39">
        <v>8.1570199999999993</v>
      </c>
      <c r="G212" s="20">
        <v>0.32441203826532772</v>
      </c>
      <c r="H212" s="20">
        <v>4.603649899556881E-2</v>
      </c>
      <c r="I212" s="20">
        <v>1.8376152714099325</v>
      </c>
      <c r="J212" s="20">
        <v>0.35701993203612914</v>
      </c>
      <c r="K212" s="20">
        <v>0</v>
      </c>
    </row>
    <row r="213" spans="1:11">
      <c r="A213" s="7">
        <v>17</v>
      </c>
      <c r="B213" s="35">
        <v>38587</v>
      </c>
      <c r="C213" s="11">
        <v>2005</v>
      </c>
      <c r="D213" s="20" t="s">
        <v>23</v>
      </c>
      <c r="E213" s="11">
        <v>8</v>
      </c>
      <c r="F213" s="39">
        <v>5.8030499999999998</v>
      </c>
      <c r="G213" s="20">
        <v>0.3208824771941996</v>
      </c>
      <c r="H213" s="20">
        <v>4.3064255964993858E-2</v>
      </c>
      <c r="I213" s="20">
        <v>1.7262347368241708</v>
      </c>
      <c r="J213" s="20">
        <v>0.28202812460153071</v>
      </c>
      <c r="K213" s="20">
        <v>0</v>
      </c>
    </row>
    <row r="214" spans="1:11">
      <c r="A214" s="7">
        <v>18</v>
      </c>
      <c r="B214" s="35">
        <v>38587</v>
      </c>
      <c r="C214" s="11">
        <v>2005</v>
      </c>
      <c r="D214" s="20" t="s">
        <v>23</v>
      </c>
      <c r="E214" s="11">
        <v>8</v>
      </c>
      <c r="F214" s="39">
        <v>10.55763</v>
      </c>
      <c r="G214" s="20">
        <v>0.21652931951600438</v>
      </c>
      <c r="H214" s="20">
        <v>5.8959500304213347E-2</v>
      </c>
      <c r="I214" s="20">
        <v>3.0671446934322777</v>
      </c>
      <c r="J214" s="20">
        <v>0.4657155760926181</v>
      </c>
      <c r="K214" s="20">
        <v>0</v>
      </c>
    </row>
    <row r="215" spans="1:11">
      <c r="A215" s="7">
        <v>1</v>
      </c>
      <c r="B215" s="35">
        <v>38608</v>
      </c>
      <c r="C215" s="11">
        <v>2005</v>
      </c>
      <c r="D215" s="20" t="s">
        <v>24</v>
      </c>
      <c r="E215" s="11">
        <v>9</v>
      </c>
      <c r="F215" s="39">
        <v>13.195040000000001</v>
      </c>
      <c r="G215" s="20">
        <v>0.21295731291037179</v>
      </c>
      <c r="H215" s="20">
        <v>0</v>
      </c>
      <c r="I215" s="20">
        <v>1.7095599870543905</v>
      </c>
      <c r="J215" s="20">
        <v>0.12668012066686996</v>
      </c>
      <c r="K215" s="20">
        <v>0</v>
      </c>
    </row>
    <row r="216" spans="1:11">
      <c r="A216" s="7">
        <v>17</v>
      </c>
      <c r="B216" s="35">
        <v>38608</v>
      </c>
      <c r="C216" s="11">
        <v>2005</v>
      </c>
      <c r="D216" s="20" t="s">
        <v>24</v>
      </c>
      <c r="E216" s="11">
        <v>9</v>
      </c>
      <c r="F216" s="39">
        <v>8.3585999999999991</v>
      </c>
      <c r="G216" s="20">
        <v>0.33660669722909453</v>
      </c>
      <c r="H216" s="20">
        <v>2.8124566122548565E-2</v>
      </c>
      <c r="I216" s="20">
        <v>2.3565382160043651</v>
      </c>
      <c r="J216" s="20">
        <v>0.1794301891484118</v>
      </c>
      <c r="K216" s="20">
        <v>0</v>
      </c>
    </row>
    <row r="217" spans="1:11">
      <c r="A217" s="7">
        <v>18</v>
      </c>
      <c r="B217" s="35">
        <v>38608</v>
      </c>
      <c r="C217" s="11">
        <v>2005</v>
      </c>
      <c r="D217" s="20" t="s">
        <v>24</v>
      </c>
      <c r="E217" s="11">
        <v>9</v>
      </c>
      <c r="F217" s="39">
        <v>12.321389999999999</v>
      </c>
      <c r="G217" s="20">
        <v>9.0230615789289953E-2</v>
      </c>
      <c r="H217" s="20">
        <v>3.6120394801067164E-2</v>
      </c>
      <c r="I217" s="20">
        <v>3.1767480408853555</v>
      </c>
      <c r="J217" s="20">
        <v>0.79928005398263124</v>
      </c>
      <c r="K217" s="20">
        <v>0</v>
      </c>
    </row>
    <row r="218" spans="1:11">
      <c r="A218" s="7">
        <v>1</v>
      </c>
      <c r="B218" s="35">
        <v>38638</v>
      </c>
      <c r="C218" s="11">
        <v>2005</v>
      </c>
      <c r="D218" s="20" t="s">
        <v>12</v>
      </c>
      <c r="E218" s="11">
        <v>10</v>
      </c>
      <c r="F218" s="73">
        <v>2.4969000000000001</v>
      </c>
      <c r="G218" s="73">
        <v>3.7400000000000003E-2</v>
      </c>
      <c r="H218" s="73">
        <v>1E-4</v>
      </c>
      <c r="I218" s="73">
        <v>0.63290000000000002</v>
      </c>
      <c r="J218" s="73">
        <v>8.3500000000000005E-2</v>
      </c>
      <c r="K218" s="73">
        <v>1E-4</v>
      </c>
    </row>
    <row r="219" spans="1:11">
      <c r="A219" s="7">
        <v>17</v>
      </c>
      <c r="B219" s="35">
        <v>38638</v>
      </c>
      <c r="C219" s="11">
        <v>2005</v>
      </c>
      <c r="D219" s="20" t="s">
        <v>12</v>
      </c>
      <c r="E219" s="11">
        <v>10</v>
      </c>
      <c r="F219" s="73">
        <v>2.6097000000000001</v>
      </c>
      <c r="G219" s="73">
        <v>3.6200000000000003E-2</v>
      </c>
      <c r="H219" s="73">
        <v>1E-4</v>
      </c>
      <c r="I219" s="73">
        <v>0.84279999999999999</v>
      </c>
      <c r="J219" s="73">
        <v>9.8699999999999996E-2</v>
      </c>
      <c r="K219" s="73">
        <v>1E-4</v>
      </c>
    </row>
    <row r="220" spans="1:11">
      <c r="A220" s="7">
        <v>18</v>
      </c>
      <c r="B220" s="35">
        <v>38637</v>
      </c>
      <c r="C220" s="11">
        <v>2005</v>
      </c>
      <c r="D220" s="20" t="s">
        <v>12</v>
      </c>
      <c r="E220" s="11">
        <v>10</v>
      </c>
      <c r="F220" s="73">
        <v>2.6989999999999998</v>
      </c>
      <c r="G220" s="73">
        <v>1.78E-2</v>
      </c>
      <c r="H220" s="73">
        <v>1E-4</v>
      </c>
      <c r="I220" s="73">
        <v>0.9345</v>
      </c>
      <c r="J220" s="73">
        <v>9.8599999999999993E-2</v>
      </c>
      <c r="K220" s="73">
        <v>1E-4</v>
      </c>
    </row>
    <row r="221" spans="1:11">
      <c r="A221" s="7">
        <v>1</v>
      </c>
      <c r="B221" s="35">
        <v>38671</v>
      </c>
      <c r="C221" s="11">
        <v>2005</v>
      </c>
      <c r="D221" s="20" t="s">
        <v>14</v>
      </c>
      <c r="E221" s="11">
        <v>11</v>
      </c>
      <c r="F221" s="73">
        <v>3.0257000000000001</v>
      </c>
      <c r="G221" s="73">
        <v>2.3199999999999998E-2</v>
      </c>
      <c r="H221" s="73">
        <v>1E-4</v>
      </c>
      <c r="I221" s="73">
        <v>0.49640000000000001</v>
      </c>
      <c r="J221" s="73">
        <v>1.7999999999999999E-2</v>
      </c>
      <c r="K221" s="73">
        <v>1E-4</v>
      </c>
    </row>
    <row r="222" spans="1:11">
      <c r="A222" s="7">
        <v>17</v>
      </c>
      <c r="B222" s="35">
        <v>38671</v>
      </c>
      <c r="C222" s="11">
        <v>2005</v>
      </c>
      <c r="D222" s="20" t="s">
        <v>14</v>
      </c>
      <c r="E222" s="11">
        <v>11</v>
      </c>
      <c r="F222" s="73">
        <v>4.8673999999999999</v>
      </c>
      <c r="G222" s="73">
        <v>1.66E-2</v>
      </c>
      <c r="H222" s="73">
        <v>1E-4</v>
      </c>
      <c r="I222" s="73">
        <v>1.1418999999999999</v>
      </c>
      <c r="J222" s="73">
        <v>3.0599999999999999E-2</v>
      </c>
      <c r="K222" s="73">
        <v>1E-4</v>
      </c>
    </row>
    <row r="223" spans="1:11">
      <c r="A223" s="7">
        <v>18</v>
      </c>
      <c r="B223" s="35">
        <v>38671</v>
      </c>
      <c r="C223" s="11">
        <v>2005</v>
      </c>
      <c r="D223" s="20" t="s">
        <v>14</v>
      </c>
      <c r="E223" s="11">
        <v>11</v>
      </c>
      <c r="F223" s="73">
        <v>4.3554000000000004</v>
      </c>
      <c r="G223" s="73">
        <v>1.3100000000000001E-2</v>
      </c>
      <c r="H223" s="73">
        <v>1E-4</v>
      </c>
      <c r="I223" s="73">
        <v>1.0449999999999999</v>
      </c>
      <c r="J223" s="73">
        <v>2.4500000000000001E-2</v>
      </c>
      <c r="K223" s="73">
        <v>1E-4</v>
      </c>
    </row>
    <row r="224" spans="1:11">
      <c r="A224" s="7">
        <v>1</v>
      </c>
      <c r="B224" s="35">
        <v>38707</v>
      </c>
      <c r="C224" s="11">
        <v>2005</v>
      </c>
      <c r="D224" s="20" t="s">
        <v>15</v>
      </c>
      <c r="E224" s="11">
        <v>12</v>
      </c>
      <c r="F224" s="73">
        <v>8.5779999999999994</v>
      </c>
      <c r="G224" s="73">
        <v>5.0299999999999997E-2</v>
      </c>
      <c r="H224" s="73">
        <v>1E-4</v>
      </c>
      <c r="I224" s="73">
        <v>2.7671000000000001</v>
      </c>
      <c r="J224" s="73">
        <v>1.17E-2</v>
      </c>
      <c r="K224" s="73">
        <v>1E-4</v>
      </c>
    </row>
    <row r="225" spans="1:18">
      <c r="A225" s="7">
        <v>17</v>
      </c>
      <c r="B225" s="35">
        <v>38707</v>
      </c>
      <c r="C225" s="11">
        <v>2005</v>
      </c>
      <c r="D225" s="20" t="s">
        <v>15</v>
      </c>
      <c r="E225" s="11">
        <v>12</v>
      </c>
      <c r="F225" s="73">
        <v>10.2554</v>
      </c>
      <c r="G225" s="73">
        <v>6.0299999999999999E-2</v>
      </c>
      <c r="H225" s="73">
        <v>1E-4</v>
      </c>
      <c r="I225" s="73">
        <v>3.8075000000000001</v>
      </c>
      <c r="J225" s="73">
        <v>1.38E-2</v>
      </c>
      <c r="K225" s="73">
        <v>1E-4</v>
      </c>
    </row>
    <row r="226" spans="1:18" ht="25.5">
      <c r="A226" s="7">
        <v>18</v>
      </c>
      <c r="B226" s="35">
        <v>38707</v>
      </c>
      <c r="C226" s="11">
        <v>2005</v>
      </c>
      <c r="D226" s="20" t="s">
        <v>15</v>
      </c>
      <c r="E226" s="11">
        <v>12</v>
      </c>
      <c r="F226" s="73">
        <v>9.8793000000000006</v>
      </c>
      <c r="G226" s="73">
        <v>5.9200000000000003E-2</v>
      </c>
      <c r="H226" s="73">
        <v>1E-4</v>
      </c>
      <c r="I226" s="73">
        <v>3.5575999999999999</v>
      </c>
      <c r="J226" s="73">
        <v>1.34E-2</v>
      </c>
      <c r="K226" s="73">
        <v>1E-4</v>
      </c>
      <c r="L226" s="62" t="s">
        <v>42</v>
      </c>
      <c r="M226" s="5" t="s">
        <v>5</v>
      </c>
      <c r="N226" s="5" t="s">
        <v>6</v>
      </c>
      <c r="O226" s="5" t="s">
        <v>7</v>
      </c>
      <c r="P226" s="5" t="s">
        <v>8</v>
      </c>
      <c r="Q226" s="5" t="s">
        <v>9</v>
      </c>
      <c r="R226" s="5" t="s">
        <v>10</v>
      </c>
    </row>
    <row r="227" spans="1:18">
      <c r="A227" s="17">
        <v>1</v>
      </c>
      <c r="B227" s="34">
        <v>38734</v>
      </c>
      <c r="C227" s="17">
        <v>2006</v>
      </c>
      <c r="D227" s="18" t="s">
        <v>16</v>
      </c>
      <c r="E227" s="17">
        <v>1</v>
      </c>
      <c r="F227" s="74">
        <v>12.0083</v>
      </c>
      <c r="G227" s="74">
        <v>0.34489999999999998</v>
      </c>
      <c r="H227" s="74">
        <v>1E-4</v>
      </c>
      <c r="I227" s="74">
        <v>3.8887</v>
      </c>
      <c r="J227" s="74">
        <v>1.6299999999999999E-2</v>
      </c>
      <c r="K227" s="74">
        <v>1E-4</v>
      </c>
      <c r="L227" s="62" t="s">
        <v>53</v>
      </c>
      <c r="M227" s="50">
        <f t="shared" ref="M227:R227" si="3">AVERAGE(F227:F262)</f>
        <v>6.6460916666666661</v>
      </c>
      <c r="N227" s="50">
        <f t="shared" si="3"/>
        <v>0.12922777500000004</v>
      </c>
      <c r="O227" s="50">
        <f t="shared" si="3"/>
        <v>1.6027755555555565E-2</v>
      </c>
      <c r="P227" s="50">
        <f t="shared" si="3"/>
        <v>2.1408472222222219</v>
      </c>
      <c r="Q227" s="50">
        <f t="shared" si="3"/>
        <v>0.11369722222222221</v>
      </c>
      <c r="R227" s="50">
        <f t="shared" si="3"/>
        <v>3.2497499999999992E-4</v>
      </c>
    </row>
    <row r="228" spans="1:18">
      <c r="A228" s="11">
        <v>17</v>
      </c>
      <c r="B228" s="35">
        <v>38734</v>
      </c>
      <c r="C228" s="11">
        <v>2006</v>
      </c>
      <c r="D228" s="10" t="s">
        <v>16</v>
      </c>
      <c r="E228" s="11">
        <v>1</v>
      </c>
      <c r="F228" s="73">
        <v>22.816099999999999</v>
      </c>
      <c r="G228" s="73">
        <v>0.31990000000000002</v>
      </c>
      <c r="H228" s="73">
        <v>1E-4</v>
      </c>
      <c r="I228" s="73">
        <v>9.0748999999999995</v>
      </c>
      <c r="J228" s="73">
        <v>1.78E-2</v>
      </c>
      <c r="K228" s="73">
        <v>1E-4</v>
      </c>
    </row>
    <row r="229" spans="1:18">
      <c r="A229" s="11">
        <v>18</v>
      </c>
      <c r="B229" s="35">
        <v>38734</v>
      </c>
      <c r="C229" s="11">
        <v>2006</v>
      </c>
      <c r="D229" s="10" t="s">
        <v>16</v>
      </c>
      <c r="E229" s="11">
        <v>1</v>
      </c>
      <c r="F229" s="73">
        <v>12.8908</v>
      </c>
      <c r="G229" s="73">
        <v>0.30020000000000002</v>
      </c>
      <c r="H229" s="73">
        <v>1E-4</v>
      </c>
      <c r="I229" s="73">
        <v>5.0305</v>
      </c>
      <c r="J229" s="73">
        <v>1.9099999999999999E-2</v>
      </c>
      <c r="K229" s="73">
        <v>1E-4</v>
      </c>
    </row>
    <row r="230" spans="1:18">
      <c r="A230" s="11">
        <v>1</v>
      </c>
      <c r="B230" s="35">
        <v>38762</v>
      </c>
      <c r="C230" s="20">
        <v>2006</v>
      </c>
      <c r="D230" s="10" t="s">
        <v>26</v>
      </c>
      <c r="E230" s="20">
        <v>2</v>
      </c>
      <c r="F230" s="73">
        <v>8.3752999999999993</v>
      </c>
      <c r="G230" s="73">
        <v>3.8600000000000002E-2</v>
      </c>
      <c r="H230" s="73">
        <v>1E-4</v>
      </c>
      <c r="I230" s="73">
        <v>2.9098999999999999</v>
      </c>
      <c r="J230" s="73">
        <v>1.8200000000000001E-2</v>
      </c>
      <c r="K230" s="73">
        <v>1E-4</v>
      </c>
    </row>
    <row r="231" spans="1:18">
      <c r="A231" s="11">
        <v>17</v>
      </c>
      <c r="B231" s="35">
        <v>38762</v>
      </c>
      <c r="C231" s="20">
        <v>2006</v>
      </c>
      <c r="D231" s="10" t="s">
        <v>26</v>
      </c>
      <c r="E231" s="20">
        <v>2</v>
      </c>
      <c r="F231" s="73">
        <v>11.706799999999999</v>
      </c>
      <c r="G231" s="73">
        <v>4.2599999999999999E-2</v>
      </c>
      <c r="H231" s="73">
        <v>1E-4</v>
      </c>
      <c r="I231" s="73">
        <v>4.0843999999999996</v>
      </c>
      <c r="J231" s="73">
        <v>3.1699999999999999E-2</v>
      </c>
      <c r="K231" s="73">
        <v>1E-4</v>
      </c>
    </row>
    <row r="232" spans="1:18">
      <c r="A232" s="11">
        <v>18</v>
      </c>
      <c r="B232" s="35">
        <v>38762</v>
      </c>
      <c r="C232" s="20">
        <v>2006</v>
      </c>
      <c r="D232" s="10" t="s">
        <v>26</v>
      </c>
      <c r="E232" s="20">
        <v>2</v>
      </c>
      <c r="F232" s="73">
        <v>9.4814000000000007</v>
      </c>
      <c r="G232" s="73">
        <v>4.6300000000000001E-2</v>
      </c>
      <c r="H232" s="73">
        <v>1E-4</v>
      </c>
      <c r="I232" s="73">
        <v>3.1713</v>
      </c>
      <c r="J232" s="73">
        <v>5.0099999999999999E-2</v>
      </c>
      <c r="K232" s="73">
        <v>1E-4</v>
      </c>
    </row>
    <row r="233" spans="1:18">
      <c r="A233" s="11">
        <v>1</v>
      </c>
      <c r="B233" s="35">
        <v>38789</v>
      </c>
      <c r="C233" s="11">
        <v>2006</v>
      </c>
      <c r="D233" s="10" t="s">
        <v>27</v>
      </c>
      <c r="E233" s="20">
        <v>3</v>
      </c>
      <c r="F233" s="73">
        <v>7.2083000000000004</v>
      </c>
      <c r="G233" s="73">
        <v>1E-4</v>
      </c>
      <c r="H233" s="73">
        <v>4.1700000000000001E-2</v>
      </c>
      <c r="I233" s="73">
        <v>2.6951000000000001</v>
      </c>
      <c r="J233" s="73">
        <v>4.9299999999999997E-2</v>
      </c>
      <c r="K233" s="73">
        <v>1E-4</v>
      </c>
    </row>
    <row r="234" spans="1:18">
      <c r="A234" s="11">
        <v>17</v>
      </c>
      <c r="B234" s="35">
        <v>38789</v>
      </c>
      <c r="C234" s="11">
        <v>2006</v>
      </c>
      <c r="D234" s="10" t="s">
        <v>27</v>
      </c>
      <c r="E234" s="20">
        <v>3</v>
      </c>
      <c r="F234" s="73">
        <v>9.4781999999999993</v>
      </c>
      <c r="G234" s="73">
        <v>1.15E-2</v>
      </c>
      <c r="H234" s="73">
        <v>1E-4</v>
      </c>
      <c r="I234" s="73">
        <v>3.7907999999999999</v>
      </c>
      <c r="J234" s="73">
        <v>2.98E-2</v>
      </c>
      <c r="K234" s="73">
        <v>1E-4</v>
      </c>
    </row>
    <row r="235" spans="1:18">
      <c r="A235" s="11">
        <v>18</v>
      </c>
      <c r="B235" s="35">
        <v>38789</v>
      </c>
      <c r="C235" s="11">
        <v>2006</v>
      </c>
      <c r="D235" s="10" t="s">
        <v>27</v>
      </c>
      <c r="E235" s="20">
        <v>3</v>
      </c>
      <c r="F235" s="73">
        <v>7.7954999999999997</v>
      </c>
      <c r="G235" s="73">
        <v>1.7899999999999999E-2</v>
      </c>
      <c r="H235" s="73">
        <v>8.7800000000000003E-2</v>
      </c>
      <c r="I235" s="73">
        <v>2.9695</v>
      </c>
      <c r="J235" s="73">
        <v>4.2000000000000003E-2</v>
      </c>
      <c r="K235" s="73">
        <v>1E-4</v>
      </c>
    </row>
    <row r="236" spans="1:18">
      <c r="A236" s="11">
        <v>1</v>
      </c>
      <c r="B236" s="8">
        <v>38825</v>
      </c>
      <c r="C236" s="11">
        <v>2006</v>
      </c>
      <c r="D236" s="10" t="s">
        <v>28</v>
      </c>
      <c r="E236" s="11">
        <v>4</v>
      </c>
      <c r="F236" s="73">
        <v>3.9121000000000001</v>
      </c>
      <c r="G236" s="73">
        <v>3.1699999999999999E-2</v>
      </c>
      <c r="H236" s="73">
        <v>4.3400000000000001E-2</v>
      </c>
      <c r="I236" s="73">
        <v>1.1950000000000001</v>
      </c>
      <c r="J236" s="73">
        <v>2.6200000000000001E-2</v>
      </c>
      <c r="K236" s="73">
        <v>1E-4</v>
      </c>
    </row>
    <row r="237" spans="1:18">
      <c r="A237" s="11">
        <v>17</v>
      </c>
      <c r="B237" s="8">
        <v>38825</v>
      </c>
      <c r="C237" s="11">
        <v>2006</v>
      </c>
      <c r="D237" s="10" t="s">
        <v>28</v>
      </c>
      <c r="E237" s="11">
        <v>4</v>
      </c>
      <c r="F237" s="73">
        <v>3.3334000000000001</v>
      </c>
      <c r="G237" s="73">
        <v>2.3300000000000001E-2</v>
      </c>
      <c r="H237" s="73">
        <v>4.4499999999999998E-2</v>
      </c>
      <c r="I237" s="73">
        <v>1.4914000000000001</v>
      </c>
      <c r="J237" s="73">
        <v>2.7300000000000001E-2</v>
      </c>
      <c r="K237" s="73">
        <v>1E-4</v>
      </c>
    </row>
    <row r="238" spans="1:18">
      <c r="A238" s="11">
        <v>18</v>
      </c>
      <c r="B238" s="8">
        <v>38825</v>
      </c>
      <c r="C238" s="11">
        <v>2006</v>
      </c>
      <c r="D238" s="10" t="s">
        <v>28</v>
      </c>
      <c r="E238" s="11">
        <v>4</v>
      </c>
      <c r="F238" s="73">
        <v>2.9319000000000002</v>
      </c>
      <c r="G238" s="73">
        <v>2.01E-2</v>
      </c>
      <c r="H238" s="73">
        <v>3.4799999999999998E-2</v>
      </c>
      <c r="I238" s="73">
        <v>1.3039000000000001</v>
      </c>
      <c r="J238" s="73">
        <v>2.5899999999999999E-2</v>
      </c>
      <c r="K238" s="73">
        <v>1E-4</v>
      </c>
    </row>
    <row r="239" spans="1:18">
      <c r="A239" s="11">
        <v>1</v>
      </c>
      <c r="B239" s="8">
        <v>38852</v>
      </c>
      <c r="C239" s="11">
        <v>2006</v>
      </c>
      <c r="D239" s="10" t="s">
        <v>29</v>
      </c>
      <c r="E239" s="11">
        <v>5</v>
      </c>
      <c r="F239" s="73">
        <v>1.9040999999999999</v>
      </c>
      <c r="G239" s="73">
        <v>4.5600000000000002E-2</v>
      </c>
      <c r="H239" s="73">
        <v>1E-4</v>
      </c>
      <c r="I239" s="73">
        <v>0.2316</v>
      </c>
      <c r="J239" s="73">
        <v>6.7999999999999996E-3</v>
      </c>
      <c r="K239" s="73">
        <v>1E-4</v>
      </c>
    </row>
    <row r="240" spans="1:18">
      <c r="A240" s="11">
        <v>17</v>
      </c>
      <c r="B240" s="8">
        <v>38852</v>
      </c>
      <c r="C240" s="11">
        <v>2006</v>
      </c>
      <c r="D240" s="10" t="s">
        <v>29</v>
      </c>
      <c r="E240" s="11">
        <v>5</v>
      </c>
      <c r="F240" s="73">
        <v>2.7040000000000002</v>
      </c>
      <c r="G240" s="73">
        <v>0.15060000000000001</v>
      </c>
      <c r="H240" s="73">
        <v>1E-4</v>
      </c>
      <c r="I240" s="73">
        <v>0.80420000000000003</v>
      </c>
      <c r="J240" s="73">
        <v>1.7999999999999999E-2</v>
      </c>
      <c r="K240" s="73">
        <v>1E-4</v>
      </c>
    </row>
    <row r="241" spans="1:11">
      <c r="A241" s="11">
        <v>18</v>
      </c>
      <c r="B241" s="8">
        <v>38852</v>
      </c>
      <c r="C241" s="11">
        <v>2006</v>
      </c>
      <c r="D241" s="10" t="s">
        <v>29</v>
      </c>
      <c r="E241" s="11">
        <v>5</v>
      </c>
      <c r="F241" s="73">
        <v>2.0996000000000001</v>
      </c>
      <c r="G241" s="73">
        <v>7.9100000000000004E-2</v>
      </c>
      <c r="H241" s="73">
        <v>1E-4</v>
      </c>
      <c r="I241" s="73">
        <v>0.64019999999999999</v>
      </c>
      <c r="J241" s="73">
        <v>1.6500000000000001E-2</v>
      </c>
      <c r="K241" s="73">
        <v>1E-4</v>
      </c>
    </row>
    <row r="242" spans="1:11">
      <c r="A242" s="11">
        <v>1</v>
      </c>
      <c r="B242" s="8">
        <v>38883</v>
      </c>
      <c r="C242" s="11">
        <v>2006</v>
      </c>
      <c r="D242" s="10" t="s">
        <v>30</v>
      </c>
      <c r="E242" s="11">
        <v>6</v>
      </c>
      <c r="F242" s="73">
        <v>3.3136000000000001</v>
      </c>
      <c r="G242" s="73">
        <v>0.1462</v>
      </c>
      <c r="H242" s="73">
        <v>7.8799999999999995E-2</v>
      </c>
      <c r="I242" s="73">
        <v>0.82899999999999996</v>
      </c>
      <c r="J242" s="73">
        <v>5.6300000000000003E-2</v>
      </c>
      <c r="K242" s="73">
        <v>1E-4</v>
      </c>
    </row>
    <row r="243" spans="1:11">
      <c r="A243" s="11">
        <v>17</v>
      </c>
      <c r="B243" s="8">
        <v>38883</v>
      </c>
      <c r="C243" s="11">
        <v>2006</v>
      </c>
      <c r="D243" s="10" t="s">
        <v>30</v>
      </c>
      <c r="E243" s="11">
        <v>6</v>
      </c>
      <c r="F243" s="73">
        <v>2.2296</v>
      </c>
      <c r="G243" s="73">
        <v>0.47049999999999997</v>
      </c>
      <c r="H243" s="73">
        <v>2.7400000000000001E-2</v>
      </c>
      <c r="I243" s="73">
        <v>0.34399999999999997</v>
      </c>
      <c r="J243" s="73">
        <v>5.3600000000000002E-2</v>
      </c>
      <c r="K243" s="73">
        <v>1E-4</v>
      </c>
    </row>
    <row r="244" spans="1:11">
      <c r="A244" s="11">
        <v>18</v>
      </c>
      <c r="B244" s="8">
        <v>38883</v>
      </c>
      <c r="C244" s="11">
        <v>2006</v>
      </c>
      <c r="D244" s="10" t="s">
        <v>30</v>
      </c>
      <c r="E244" s="11">
        <v>6</v>
      </c>
      <c r="F244" s="73">
        <v>3.6621000000000001</v>
      </c>
      <c r="G244" s="73">
        <v>0.16650000000000001</v>
      </c>
      <c r="H244" s="73">
        <v>0.1757</v>
      </c>
      <c r="I244" s="73">
        <v>1.3217000000000001</v>
      </c>
      <c r="J244" s="73">
        <v>8.9800000000000005E-2</v>
      </c>
      <c r="K244" s="73">
        <v>1E-4</v>
      </c>
    </row>
    <row r="245" spans="1:11">
      <c r="A245" s="11">
        <v>1</v>
      </c>
      <c r="B245" s="8">
        <v>38916</v>
      </c>
      <c r="C245" s="11">
        <v>2006</v>
      </c>
      <c r="D245" s="10" t="s">
        <v>31</v>
      </c>
      <c r="E245" s="11">
        <v>7</v>
      </c>
      <c r="F245" s="73">
        <v>5.5587999999999997</v>
      </c>
      <c r="G245" s="73">
        <v>0.19739999999999999</v>
      </c>
      <c r="H245" s="73">
        <v>1E-4</v>
      </c>
      <c r="I245" s="73">
        <v>1.3371</v>
      </c>
      <c r="J245" s="73">
        <v>8.1500000000000003E-2</v>
      </c>
      <c r="K245" s="73">
        <v>1E-4</v>
      </c>
    </row>
    <row r="246" spans="1:11">
      <c r="A246" s="11">
        <v>17</v>
      </c>
      <c r="B246" s="8">
        <v>38916</v>
      </c>
      <c r="C246" s="11">
        <v>2006</v>
      </c>
      <c r="D246" s="10" t="s">
        <v>31</v>
      </c>
      <c r="E246" s="11">
        <v>7</v>
      </c>
      <c r="F246" s="73">
        <v>6.9451000000000001</v>
      </c>
      <c r="G246" s="73">
        <v>0.59470000000000001</v>
      </c>
      <c r="H246" s="73">
        <v>1E-4</v>
      </c>
      <c r="I246" s="73">
        <v>2.1821000000000002</v>
      </c>
      <c r="J246" s="73">
        <v>0.1298</v>
      </c>
      <c r="K246" s="73">
        <v>1E-4</v>
      </c>
    </row>
    <row r="247" spans="1:11">
      <c r="A247" s="11">
        <v>18</v>
      </c>
      <c r="B247" s="8">
        <v>38916</v>
      </c>
      <c r="C247" s="11">
        <v>2006</v>
      </c>
      <c r="D247" s="10" t="s">
        <v>31</v>
      </c>
      <c r="E247" s="11">
        <v>7</v>
      </c>
      <c r="F247" s="73">
        <v>9.7739999999999991</v>
      </c>
      <c r="G247" s="73">
        <v>4.3999999999999997E-2</v>
      </c>
      <c r="H247" s="73">
        <v>1E-4</v>
      </c>
      <c r="I247" s="73">
        <v>2.0392000000000001</v>
      </c>
      <c r="J247" s="73">
        <v>0.68630000000000002</v>
      </c>
      <c r="K247" s="73">
        <v>1E-4</v>
      </c>
    </row>
    <row r="248" spans="1:11">
      <c r="A248" s="11">
        <v>1</v>
      </c>
      <c r="B248" s="8">
        <v>38953</v>
      </c>
      <c r="C248" s="11">
        <v>2006</v>
      </c>
      <c r="D248" s="10" t="s">
        <v>32</v>
      </c>
      <c r="E248" s="11">
        <v>8</v>
      </c>
      <c r="F248" s="73">
        <v>11.5952</v>
      </c>
      <c r="G248" s="73">
        <v>0.4929</v>
      </c>
      <c r="H248" s="73">
        <v>1E-4</v>
      </c>
      <c r="I248" s="73">
        <v>2.823</v>
      </c>
      <c r="J248" s="73">
        <v>0.1452</v>
      </c>
      <c r="K248" s="73">
        <v>1E-4</v>
      </c>
    </row>
    <row r="249" spans="1:11">
      <c r="A249" s="11">
        <v>17</v>
      </c>
      <c r="B249" s="8">
        <v>38954</v>
      </c>
      <c r="C249" s="11">
        <v>2006</v>
      </c>
      <c r="D249" s="10" t="s">
        <v>32</v>
      </c>
      <c r="E249" s="11">
        <v>8</v>
      </c>
      <c r="F249" s="73">
        <v>10.7164</v>
      </c>
      <c r="G249" s="73">
        <v>0.2114</v>
      </c>
      <c r="H249" s="73">
        <v>1E-4</v>
      </c>
      <c r="I249" s="73">
        <v>3.8163</v>
      </c>
      <c r="J249" s="73">
        <v>0.32969999999999999</v>
      </c>
      <c r="K249" s="73">
        <v>1E-4</v>
      </c>
    </row>
    <row r="250" spans="1:11">
      <c r="A250" s="11">
        <v>18</v>
      </c>
      <c r="B250" s="8">
        <v>38954</v>
      </c>
      <c r="C250" s="11">
        <v>2006</v>
      </c>
      <c r="D250" s="10" t="s">
        <v>32</v>
      </c>
      <c r="E250" s="11">
        <v>8</v>
      </c>
      <c r="F250" s="73">
        <v>13.8744</v>
      </c>
      <c r="G250" s="73">
        <v>0.154</v>
      </c>
      <c r="H250" s="73">
        <v>1E-4</v>
      </c>
      <c r="I250" s="73">
        <v>2.7448000000000001</v>
      </c>
      <c r="J250" s="73">
        <v>1.6313</v>
      </c>
      <c r="K250" s="73">
        <v>1E-4</v>
      </c>
    </row>
    <row r="251" spans="1:11">
      <c r="A251" s="11">
        <v>1</v>
      </c>
      <c r="B251" s="8">
        <v>38972</v>
      </c>
      <c r="C251" s="11">
        <v>2006</v>
      </c>
      <c r="D251" s="10" t="s">
        <v>33</v>
      </c>
      <c r="E251" s="11">
        <v>9</v>
      </c>
      <c r="F251" s="73">
        <v>5.0509000000000004</v>
      </c>
      <c r="G251" s="73">
        <v>4.6800000000000001E-2</v>
      </c>
      <c r="H251" s="73">
        <v>1E-4</v>
      </c>
      <c r="I251" s="73">
        <v>1.3063</v>
      </c>
      <c r="J251" s="73">
        <v>4.07E-2</v>
      </c>
      <c r="K251" s="73">
        <v>1E-4</v>
      </c>
    </row>
    <row r="252" spans="1:11">
      <c r="A252" s="11">
        <v>17</v>
      </c>
      <c r="B252" s="8">
        <v>38972</v>
      </c>
      <c r="C252" s="11">
        <v>2006</v>
      </c>
      <c r="D252" s="10" t="s">
        <v>33</v>
      </c>
      <c r="E252" s="11">
        <v>9</v>
      </c>
      <c r="F252" s="73">
        <v>4.7434000000000003</v>
      </c>
      <c r="G252" s="73">
        <v>3.6600000000000001E-2</v>
      </c>
      <c r="H252" s="73">
        <v>1E-4</v>
      </c>
      <c r="I252" s="73">
        <v>1.7504</v>
      </c>
      <c r="J252" s="73">
        <v>6.83E-2</v>
      </c>
      <c r="K252" s="73">
        <v>1E-4</v>
      </c>
    </row>
    <row r="253" spans="1:11">
      <c r="A253" s="11">
        <v>18</v>
      </c>
      <c r="B253" s="8">
        <v>38972</v>
      </c>
      <c r="C253" s="11">
        <v>2006</v>
      </c>
      <c r="D253" s="10" t="s">
        <v>33</v>
      </c>
      <c r="E253" s="11">
        <v>9</v>
      </c>
      <c r="F253" s="73">
        <v>5.048</v>
      </c>
      <c r="G253" s="73">
        <v>3.2800000000000003E-2</v>
      </c>
      <c r="H253" s="73">
        <v>1E-4</v>
      </c>
      <c r="I253" s="73">
        <v>1.8442000000000001</v>
      </c>
      <c r="J253" s="73">
        <v>7.2599999999999998E-2</v>
      </c>
      <c r="K253" s="73">
        <v>1E-4</v>
      </c>
    </row>
    <row r="254" spans="1:11">
      <c r="A254" s="11">
        <v>1</v>
      </c>
      <c r="B254" s="8">
        <v>39009</v>
      </c>
      <c r="C254" s="11">
        <v>2006</v>
      </c>
      <c r="D254" s="10" t="s">
        <v>34</v>
      </c>
      <c r="E254" s="11">
        <v>10</v>
      </c>
      <c r="F254" s="58">
        <v>2.004</v>
      </c>
      <c r="G254" s="58">
        <v>4.9000000000000002E-2</v>
      </c>
      <c r="H254" s="58">
        <v>9.9989999999999996E-4</v>
      </c>
      <c r="I254" s="58">
        <v>0.32300000000000001</v>
      </c>
      <c r="J254" s="58">
        <v>2.8000000000000001E-2</v>
      </c>
      <c r="K254" s="58">
        <v>9.9989999999999996E-4</v>
      </c>
    </row>
    <row r="255" spans="1:11">
      <c r="A255" s="11">
        <v>17</v>
      </c>
      <c r="B255" s="8">
        <v>39009</v>
      </c>
      <c r="C255" s="11">
        <v>2006</v>
      </c>
      <c r="D255" s="10" t="s">
        <v>34</v>
      </c>
      <c r="E255" s="11">
        <v>10</v>
      </c>
      <c r="F255" s="58">
        <v>3.0640000000000001</v>
      </c>
      <c r="G255" s="58">
        <v>4.5999999999999999E-2</v>
      </c>
      <c r="H255" s="58">
        <v>3.3000000000000002E-2</v>
      </c>
      <c r="I255" s="58">
        <v>0.72</v>
      </c>
      <c r="J255" s="58">
        <v>6.3E-2</v>
      </c>
      <c r="K255" s="58">
        <v>9.9989999999999996E-4</v>
      </c>
    </row>
    <row r="256" spans="1:11">
      <c r="A256" s="11">
        <v>18</v>
      </c>
      <c r="B256" s="8">
        <v>39009</v>
      </c>
      <c r="C256" s="11">
        <v>2006</v>
      </c>
      <c r="D256" s="10" t="s">
        <v>34</v>
      </c>
      <c r="E256" s="11">
        <v>10</v>
      </c>
      <c r="F256" s="58">
        <v>1.5660000000000001</v>
      </c>
      <c r="G256" s="58">
        <v>9.9989999999999996E-4</v>
      </c>
      <c r="H256" s="58">
        <v>9.9989999999999996E-4</v>
      </c>
      <c r="I256" s="58">
        <v>0.42</v>
      </c>
      <c r="J256" s="58">
        <v>3.1E-2</v>
      </c>
      <c r="K256" s="58">
        <v>9.9989999999999996E-4</v>
      </c>
    </row>
    <row r="257" spans="1:18">
      <c r="A257" s="11">
        <v>1</v>
      </c>
      <c r="B257" s="8">
        <v>39035</v>
      </c>
      <c r="C257" s="11">
        <v>2006</v>
      </c>
      <c r="D257" s="10" t="s">
        <v>35</v>
      </c>
      <c r="E257" s="11">
        <v>11</v>
      </c>
      <c r="F257" s="58">
        <v>3.6160000000000001</v>
      </c>
      <c r="G257" s="58">
        <v>0.14099999999999999</v>
      </c>
      <c r="H257" s="58">
        <v>9.9989999999999996E-4</v>
      </c>
      <c r="I257" s="58">
        <v>0.86799999999999999</v>
      </c>
      <c r="J257" s="58">
        <v>2.1000000000000001E-2</v>
      </c>
      <c r="K257" s="58">
        <v>9.9989999999999996E-4</v>
      </c>
    </row>
    <row r="258" spans="1:18">
      <c r="A258" s="11">
        <v>17</v>
      </c>
      <c r="B258" s="8">
        <v>39035</v>
      </c>
      <c r="C258" s="11">
        <v>2006</v>
      </c>
      <c r="D258" s="10" t="s">
        <v>35</v>
      </c>
      <c r="E258" s="11">
        <v>11</v>
      </c>
      <c r="F258" s="58">
        <v>2.468</v>
      </c>
      <c r="G258" s="58">
        <v>5.2999999999999999E-2</v>
      </c>
      <c r="H258" s="58">
        <v>9.9989999999999996E-4</v>
      </c>
      <c r="I258" s="58">
        <v>0.70099999999999996</v>
      </c>
      <c r="J258" s="58">
        <v>2.1000000000000001E-2</v>
      </c>
      <c r="K258" s="58">
        <v>9.9989999999999996E-4</v>
      </c>
    </row>
    <row r="259" spans="1:18">
      <c r="A259" s="11">
        <v>18</v>
      </c>
      <c r="B259" s="8">
        <v>39035</v>
      </c>
      <c r="C259" s="11">
        <v>2006</v>
      </c>
      <c r="D259" s="10" t="s">
        <v>35</v>
      </c>
      <c r="E259" s="11">
        <v>11</v>
      </c>
      <c r="F259" s="58">
        <v>1.903</v>
      </c>
      <c r="G259" s="58">
        <v>3.3000000000000002E-2</v>
      </c>
      <c r="H259" s="58">
        <v>9.9989999999999996E-4</v>
      </c>
      <c r="I259" s="58">
        <v>0.44700000000000001</v>
      </c>
      <c r="J259" s="58">
        <v>2.1999999999999999E-2</v>
      </c>
      <c r="K259" s="58">
        <v>9.9989999999999996E-4</v>
      </c>
    </row>
    <row r="260" spans="1:18">
      <c r="A260" s="11">
        <v>1</v>
      </c>
      <c r="B260" s="35">
        <v>39063</v>
      </c>
      <c r="C260" s="20">
        <v>2006</v>
      </c>
      <c r="D260" s="10" t="s">
        <v>36</v>
      </c>
      <c r="E260" s="20">
        <v>12</v>
      </c>
      <c r="F260" s="58">
        <v>7.6210000000000004</v>
      </c>
      <c r="G260" s="58">
        <v>8.7999999999999995E-2</v>
      </c>
      <c r="H260" s="58">
        <v>9.9989999999999996E-4</v>
      </c>
      <c r="I260" s="58">
        <v>1.921</v>
      </c>
      <c r="J260" s="58">
        <v>9.2999999999999999E-2</v>
      </c>
      <c r="K260" s="58">
        <v>9.9989999999999996E-4</v>
      </c>
    </row>
    <row r="261" spans="1:18">
      <c r="A261" s="11">
        <v>17</v>
      </c>
      <c r="B261" s="35">
        <v>39063</v>
      </c>
      <c r="C261" s="20">
        <v>2006</v>
      </c>
      <c r="D261" s="10" t="s">
        <v>36</v>
      </c>
      <c r="E261" s="20">
        <v>12</v>
      </c>
      <c r="F261" s="58">
        <v>7.7480000000000002</v>
      </c>
      <c r="G261" s="58">
        <v>8.6999999999999994E-2</v>
      </c>
      <c r="H261" s="58">
        <v>9.9989999999999996E-4</v>
      </c>
      <c r="I261" s="58">
        <v>2.9279999999999999</v>
      </c>
      <c r="J261" s="58">
        <v>1.6E-2</v>
      </c>
      <c r="K261" s="58">
        <v>9.9989999999999996E-4</v>
      </c>
    </row>
    <row r="262" spans="1:18" ht="25.5">
      <c r="A262" s="11">
        <v>18</v>
      </c>
      <c r="B262" s="35">
        <v>39063</v>
      </c>
      <c r="C262" s="20">
        <v>2006</v>
      </c>
      <c r="D262" s="10" t="s">
        <v>36</v>
      </c>
      <c r="E262" s="20">
        <v>12</v>
      </c>
      <c r="F262" s="58">
        <v>8.1120000000000001</v>
      </c>
      <c r="G262" s="58">
        <v>8.7999999999999995E-2</v>
      </c>
      <c r="H262" s="58">
        <v>9.9989999999999996E-4</v>
      </c>
      <c r="I262" s="58">
        <v>3.1230000000000002</v>
      </c>
      <c r="J262" s="58">
        <v>1.7999999999999999E-2</v>
      </c>
      <c r="K262" s="58">
        <v>9.9989999999999996E-4</v>
      </c>
      <c r="L262" s="62" t="s">
        <v>42</v>
      </c>
      <c r="M262" s="5" t="s">
        <v>5</v>
      </c>
      <c r="N262" s="5" t="s">
        <v>6</v>
      </c>
      <c r="O262" s="5" t="s">
        <v>7</v>
      </c>
      <c r="P262" s="5" t="s">
        <v>8</v>
      </c>
      <c r="Q262" s="5" t="s">
        <v>9</v>
      </c>
      <c r="R262" s="5" t="s">
        <v>10</v>
      </c>
    </row>
    <row r="263" spans="1:18">
      <c r="A263" s="23">
        <v>1</v>
      </c>
      <c r="B263" s="34">
        <v>39098</v>
      </c>
      <c r="C263" s="23">
        <v>2007</v>
      </c>
      <c r="D263" s="18" t="s">
        <v>37</v>
      </c>
      <c r="E263" s="23">
        <v>1</v>
      </c>
      <c r="F263" s="75">
        <v>10.079000000000001</v>
      </c>
      <c r="G263" s="75">
        <v>0.66100000000000003</v>
      </c>
      <c r="H263" s="75">
        <v>0.153</v>
      </c>
      <c r="I263" s="75">
        <v>3.4620000000000002</v>
      </c>
      <c r="J263" s="75">
        <v>0.105</v>
      </c>
      <c r="K263" s="75">
        <v>9.9989999999999996E-4</v>
      </c>
      <c r="L263" s="62" t="s">
        <v>55</v>
      </c>
      <c r="M263" s="50">
        <f t="shared" ref="M263:R263" si="4">AVERAGE(F263:F298)</f>
        <v>6.535222222222222</v>
      </c>
      <c r="N263" s="50">
        <f t="shared" si="4"/>
        <v>0.10236110555555558</v>
      </c>
      <c r="O263" s="50">
        <f t="shared" si="4"/>
        <v>9.4749913888888926E-2</v>
      </c>
      <c r="P263" s="50">
        <f t="shared" si="4"/>
        <v>2.1288055555555561</v>
      </c>
      <c r="Q263" s="50">
        <f t="shared" si="4"/>
        <v>0.15777777777777771</v>
      </c>
      <c r="R263" s="50">
        <f t="shared" si="4"/>
        <v>9.999000000000004E-4</v>
      </c>
    </row>
    <row r="264" spans="1:18">
      <c r="A264" s="20">
        <v>17</v>
      </c>
      <c r="B264" s="35">
        <v>39098</v>
      </c>
      <c r="C264" s="20">
        <v>2007</v>
      </c>
      <c r="D264" s="10" t="s">
        <v>37</v>
      </c>
      <c r="E264" s="20">
        <v>1</v>
      </c>
      <c r="F264" s="58">
        <v>9.8000000000000007</v>
      </c>
      <c r="G264" s="58">
        <v>0.57499999999999996</v>
      </c>
      <c r="H264" s="58">
        <v>0.10199999999999999</v>
      </c>
      <c r="I264" s="58">
        <v>3.3410000000000002</v>
      </c>
      <c r="J264" s="58">
        <v>3.5000000000000003E-2</v>
      </c>
      <c r="K264" s="58">
        <v>9.9989999999999996E-4</v>
      </c>
    </row>
    <row r="265" spans="1:18">
      <c r="A265" s="20">
        <v>18</v>
      </c>
      <c r="B265" s="35">
        <v>39098</v>
      </c>
      <c r="C265" s="20">
        <v>2007</v>
      </c>
      <c r="D265" s="10" t="s">
        <v>37</v>
      </c>
      <c r="E265" s="20">
        <v>1</v>
      </c>
      <c r="F265" s="58">
        <v>11.837999999999999</v>
      </c>
      <c r="G265" s="58">
        <v>0.48499999999999999</v>
      </c>
      <c r="H265" s="58">
        <v>0.38100000000000001</v>
      </c>
      <c r="I265" s="58">
        <v>4.8120000000000003</v>
      </c>
      <c r="J265" s="58">
        <v>0.26200000000000001</v>
      </c>
      <c r="K265" s="58">
        <v>9.9989999999999996E-4</v>
      </c>
    </row>
    <row r="266" spans="1:18">
      <c r="A266" s="20">
        <v>1</v>
      </c>
      <c r="B266" s="35">
        <v>39133</v>
      </c>
      <c r="C266" s="20">
        <v>2007</v>
      </c>
      <c r="D266" s="10" t="s">
        <v>26</v>
      </c>
      <c r="E266" s="20">
        <v>2</v>
      </c>
      <c r="F266" s="58">
        <v>6.9550000000000001</v>
      </c>
      <c r="G266" s="58">
        <v>0.04</v>
      </c>
      <c r="H266" s="58">
        <v>9.9989999999999996E-4</v>
      </c>
      <c r="I266" s="58">
        <v>2.4209999999999998</v>
      </c>
      <c r="J266" s="58">
        <v>1.4999999999999999E-2</v>
      </c>
      <c r="K266" s="58">
        <v>9.9989999999999996E-4</v>
      </c>
    </row>
    <row r="267" spans="1:18">
      <c r="A267" s="20">
        <v>17</v>
      </c>
      <c r="B267" s="35">
        <v>39133</v>
      </c>
      <c r="C267" s="20">
        <v>2007</v>
      </c>
      <c r="D267" s="10" t="s">
        <v>26</v>
      </c>
      <c r="E267" s="20">
        <v>2</v>
      </c>
      <c r="F267" s="58">
        <v>11.65</v>
      </c>
      <c r="G267" s="58">
        <v>5.6000000000000001E-2</v>
      </c>
      <c r="H267" s="58">
        <v>8.1000000000000003E-2</v>
      </c>
      <c r="I267" s="58">
        <v>4.6379999999999999</v>
      </c>
      <c r="J267" s="58">
        <v>2.5000000000000001E-2</v>
      </c>
      <c r="K267" s="58">
        <v>9.9989999999999996E-4</v>
      </c>
    </row>
    <row r="268" spans="1:18">
      <c r="A268" s="20">
        <v>18</v>
      </c>
      <c r="B268" s="35">
        <v>39133</v>
      </c>
      <c r="C268" s="20">
        <v>2007</v>
      </c>
      <c r="D268" s="10" t="s">
        <v>26</v>
      </c>
      <c r="E268" s="20">
        <v>2</v>
      </c>
      <c r="F268" s="58">
        <v>6.5869999999999997</v>
      </c>
      <c r="G268" s="58">
        <v>5.0999999999999997E-2</v>
      </c>
      <c r="H268" s="58">
        <v>9.9989999999999996E-4</v>
      </c>
      <c r="I268" s="58">
        <v>2.3820000000000001</v>
      </c>
      <c r="J268" s="58">
        <v>4.1000000000000002E-2</v>
      </c>
      <c r="K268" s="58">
        <v>9.9989999999999996E-4</v>
      </c>
    </row>
    <row r="269" spans="1:18">
      <c r="A269" s="20">
        <v>1</v>
      </c>
      <c r="B269" s="35">
        <v>39154</v>
      </c>
      <c r="C269" s="20">
        <v>2007</v>
      </c>
      <c r="D269" s="10" t="s">
        <v>27</v>
      </c>
      <c r="E269" s="20">
        <v>3</v>
      </c>
      <c r="F269" s="58">
        <v>6.0919999999999996</v>
      </c>
      <c r="G269" s="58">
        <v>7.1999999999999995E-2</v>
      </c>
      <c r="H269" s="58">
        <v>9.9989999999999996E-4</v>
      </c>
      <c r="I269" s="58">
        <v>2.1219999999999999</v>
      </c>
      <c r="J269" s="58">
        <v>3.1E-2</v>
      </c>
      <c r="K269" s="58">
        <v>9.9989999999999996E-4</v>
      </c>
    </row>
    <row r="270" spans="1:18">
      <c r="A270" s="20">
        <v>17</v>
      </c>
      <c r="B270" s="35">
        <v>39154</v>
      </c>
      <c r="C270" s="20">
        <v>2007</v>
      </c>
      <c r="D270" s="10" t="s">
        <v>27</v>
      </c>
      <c r="E270" s="20">
        <v>3</v>
      </c>
      <c r="F270" s="58">
        <v>4.66</v>
      </c>
      <c r="G270" s="20">
        <v>8.6999999999999994E-2</v>
      </c>
      <c r="H270" s="20">
        <v>9.9989999999999996E-4</v>
      </c>
      <c r="I270" s="58">
        <v>1.7569999999999999</v>
      </c>
      <c r="J270" s="58">
        <v>2.4E-2</v>
      </c>
      <c r="K270" s="58">
        <v>9.9989999999999996E-4</v>
      </c>
    </row>
    <row r="271" spans="1:18">
      <c r="A271" s="20">
        <v>18</v>
      </c>
      <c r="B271" s="35">
        <v>39154</v>
      </c>
      <c r="C271" s="20">
        <v>2007</v>
      </c>
      <c r="D271" s="10" t="s">
        <v>27</v>
      </c>
      <c r="E271" s="20">
        <v>3</v>
      </c>
      <c r="F271" s="58">
        <v>3.3759999999999999</v>
      </c>
      <c r="G271" s="20">
        <v>5.6000000000000001E-2</v>
      </c>
      <c r="H271" s="20">
        <v>9.9989999999999992E-3</v>
      </c>
      <c r="I271" s="58">
        <v>1.2669999999999999</v>
      </c>
      <c r="J271" s="58">
        <v>3.9E-2</v>
      </c>
      <c r="K271" s="58">
        <v>9.9989999999999996E-4</v>
      </c>
    </row>
    <row r="272" spans="1:18">
      <c r="A272" s="20">
        <v>1</v>
      </c>
      <c r="B272" s="35">
        <v>39190</v>
      </c>
      <c r="C272" s="20">
        <v>2007</v>
      </c>
      <c r="D272" s="10" t="s">
        <v>28</v>
      </c>
      <c r="E272" s="20">
        <v>4</v>
      </c>
      <c r="F272" s="58">
        <v>4.5389999999999997</v>
      </c>
      <c r="G272" s="20">
        <v>3.1E-2</v>
      </c>
      <c r="H272" s="20">
        <v>9.9989999999999996E-4</v>
      </c>
      <c r="I272" s="58">
        <v>1.772</v>
      </c>
      <c r="J272" s="58">
        <v>1.0999999999999999E-2</v>
      </c>
      <c r="K272" s="58">
        <v>9.9989999999999996E-4</v>
      </c>
    </row>
    <row r="273" spans="1:11">
      <c r="A273" s="20">
        <v>17</v>
      </c>
      <c r="B273" s="35">
        <v>39190</v>
      </c>
      <c r="C273" s="20">
        <v>2007</v>
      </c>
      <c r="D273" s="10" t="s">
        <v>28</v>
      </c>
      <c r="E273" s="20">
        <v>4</v>
      </c>
      <c r="F273" s="58">
        <v>8.1489999999999991</v>
      </c>
      <c r="G273" s="20">
        <v>3.2000000000000001E-2</v>
      </c>
      <c r="H273" s="20">
        <v>9.9989999999999996E-4</v>
      </c>
      <c r="I273" s="58">
        <v>3.5470000000000002</v>
      </c>
      <c r="J273" s="58">
        <v>2.8000000000000001E-2</v>
      </c>
      <c r="K273" s="58">
        <v>9.9989999999999996E-4</v>
      </c>
    </row>
    <row r="274" spans="1:11">
      <c r="A274" s="20">
        <v>18</v>
      </c>
      <c r="B274" s="35">
        <v>39190</v>
      </c>
      <c r="C274" s="20">
        <v>2007</v>
      </c>
      <c r="D274" s="10" t="s">
        <v>28</v>
      </c>
      <c r="E274" s="20">
        <v>4</v>
      </c>
      <c r="F274" s="58">
        <v>8.923</v>
      </c>
      <c r="G274" s="20">
        <v>3.1E-2</v>
      </c>
      <c r="H274" s="20">
        <v>9.9989999999999996E-4</v>
      </c>
      <c r="I274" s="58">
        <v>3.8740000000000001</v>
      </c>
      <c r="J274" s="58">
        <v>2.9000000000000001E-2</v>
      </c>
      <c r="K274" s="58">
        <v>9.9989999999999996E-4</v>
      </c>
    </row>
    <row r="275" spans="1:11">
      <c r="A275" s="20">
        <v>1</v>
      </c>
      <c r="B275" s="35">
        <v>39217</v>
      </c>
      <c r="C275" s="20">
        <v>2007</v>
      </c>
      <c r="D275" s="10" t="s">
        <v>29</v>
      </c>
      <c r="E275" s="20">
        <v>5</v>
      </c>
      <c r="F275" s="58">
        <v>2.2170000000000001</v>
      </c>
      <c r="G275" s="20">
        <v>1.7000000000000001E-2</v>
      </c>
      <c r="H275" s="20">
        <v>9.9989999999999996E-4</v>
      </c>
      <c r="I275" s="58">
        <v>0.60299999999999998</v>
      </c>
      <c r="J275" s="58">
        <v>2.1000000000000001E-2</v>
      </c>
      <c r="K275" s="58">
        <v>9.9989999999999996E-4</v>
      </c>
    </row>
    <row r="276" spans="1:11">
      <c r="A276" s="20">
        <v>17</v>
      </c>
      <c r="B276" s="35">
        <v>39217</v>
      </c>
      <c r="C276" s="20">
        <v>2007</v>
      </c>
      <c r="D276" s="10" t="s">
        <v>29</v>
      </c>
      <c r="E276" s="20">
        <v>5</v>
      </c>
      <c r="F276" s="58">
        <v>4.056</v>
      </c>
      <c r="G276" s="20">
        <v>1.7999999999999999E-2</v>
      </c>
      <c r="H276" s="20">
        <v>0.35199999999999998</v>
      </c>
      <c r="I276" s="58">
        <v>1.5880000000000001</v>
      </c>
      <c r="J276" s="58">
        <v>4.4999999999999998E-2</v>
      </c>
      <c r="K276" s="58">
        <v>9.9989999999999996E-4</v>
      </c>
    </row>
    <row r="277" spans="1:11">
      <c r="A277" s="20">
        <v>18</v>
      </c>
      <c r="B277" s="35">
        <v>39217</v>
      </c>
      <c r="C277" s="20">
        <v>2007</v>
      </c>
      <c r="D277" s="10" t="s">
        <v>29</v>
      </c>
      <c r="E277" s="20">
        <v>5</v>
      </c>
      <c r="F277" s="58">
        <v>4.1340000000000003</v>
      </c>
      <c r="G277" s="20">
        <v>1.6E-2</v>
      </c>
      <c r="H277" s="20">
        <v>0.54700000000000004</v>
      </c>
      <c r="I277" s="58">
        <v>1.52</v>
      </c>
      <c r="J277" s="58">
        <v>4.5999999999999999E-2</v>
      </c>
      <c r="K277" s="58">
        <v>9.9989999999999996E-4</v>
      </c>
    </row>
    <row r="278" spans="1:11">
      <c r="A278" s="20">
        <v>1</v>
      </c>
      <c r="B278" s="35">
        <v>39245</v>
      </c>
      <c r="C278" s="20">
        <v>2007</v>
      </c>
      <c r="D278" s="10" t="s">
        <v>30</v>
      </c>
      <c r="E278" s="20">
        <v>6</v>
      </c>
      <c r="F278" s="58">
        <v>7.1230000000000002</v>
      </c>
      <c r="G278">
        <v>3.5999999999999997E-2</v>
      </c>
      <c r="H278">
        <v>0.62</v>
      </c>
      <c r="I278" s="58">
        <v>3.0049999999999999</v>
      </c>
      <c r="J278" s="58">
        <v>0.14199999999999999</v>
      </c>
      <c r="K278" s="58">
        <v>9.9989999999999996E-4</v>
      </c>
    </row>
    <row r="279" spans="1:11">
      <c r="A279" s="20">
        <v>17</v>
      </c>
      <c r="B279" s="35">
        <v>39245</v>
      </c>
      <c r="C279" s="20">
        <v>2007</v>
      </c>
      <c r="D279" s="10" t="s">
        <v>30</v>
      </c>
      <c r="E279" s="20">
        <v>6</v>
      </c>
      <c r="F279" s="58">
        <v>1.95</v>
      </c>
      <c r="G279">
        <v>1.9E-2</v>
      </c>
      <c r="H279">
        <v>6.2E-2</v>
      </c>
      <c r="I279" s="58">
        <v>0.44400000000000001</v>
      </c>
      <c r="J279" s="58">
        <v>7.0999999999999994E-2</v>
      </c>
      <c r="K279" s="58">
        <v>9.9989999999999996E-4</v>
      </c>
    </row>
    <row r="280" spans="1:11">
      <c r="A280" s="20">
        <v>18</v>
      </c>
      <c r="B280" s="35">
        <v>39245</v>
      </c>
      <c r="C280" s="20">
        <v>2007</v>
      </c>
      <c r="D280" s="10" t="s">
        <v>30</v>
      </c>
      <c r="E280" s="20">
        <v>6</v>
      </c>
      <c r="F280" s="58">
        <v>5.218</v>
      </c>
      <c r="G280">
        <v>5.1999999999999998E-2</v>
      </c>
      <c r="H280">
        <v>0.27</v>
      </c>
      <c r="I280" s="58">
        <v>1.5289999999999999</v>
      </c>
      <c r="J280" s="58">
        <v>0.16</v>
      </c>
      <c r="K280" s="58">
        <v>9.9989999999999996E-4</v>
      </c>
    </row>
    <row r="281" spans="1:11">
      <c r="A281" s="20">
        <v>1</v>
      </c>
      <c r="B281" s="35">
        <v>39280</v>
      </c>
      <c r="C281" s="20">
        <v>2007</v>
      </c>
      <c r="D281" s="10" t="s">
        <v>31</v>
      </c>
      <c r="E281" s="20">
        <v>7</v>
      </c>
      <c r="F281" s="58">
        <v>6.2160000000000002</v>
      </c>
      <c r="G281">
        <v>0.114</v>
      </c>
      <c r="H281">
        <v>9.9989999999999996E-4</v>
      </c>
      <c r="I281" s="58">
        <v>1.1100000000000001</v>
      </c>
      <c r="J281" s="58">
        <v>0.39700000000000002</v>
      </c>
      <c r="K281" s="58">
        <v>9.9989999999999996E-4</v>
      </c>
    </row>
    <row r="282" spans="1:11">
      <c r="A282" s="20">
        <v>17</v>
      </c>
      <c r="B282" s="35">
        <v>39280</v>
      </c>
      <c r="C282" s="20">
        <v>2007</v>
      </c>
      <c r="D282" s="10" t="s">
        <v>31</v>
      </c>
      <c r="E282" s="20">
        <v>7</v>
      </c>
      <c r="F282" s="58">
        <v>4.5</v>
      </c>
      <c r="G282">
        <v>0.10199999999999999</v>
      </c>
      <c r="H282">
        <v>0.03</v>
      </c>
      <c r="I282" s="58">
        <v>1.339</v>
      </c>
      <c r="J282" s="58">
        <v>0.13300000000000001</v>
      </c>
      <c r="K282" s="58">
        <v>9.9989999999999996E-4</v>
      </c>
    </row>
    <row r="283" spans="1:11">
      <c r="A283" s="20">
        <v>18</v>
      </c>
      <c r="B283" s="35">
        <v>39280</v>
      </c>
      <c r="C283" s="20">
        <v>2007</v>
      </c>
      <c r="D283" s="10" t="s">
        <v>31</v>
      </c>
      <c r="E283" s="20">
        <v>7</v>
      </c>
      <c r="F283" s="58">
        <v>12.505000000000001</v>
      </c>
      <c r="G283">
        <v>0.17199999999999999</v>
      </c>
      <c r="H283">
        <v>4.1000000000000002E-2</v>
      </c>
      <c r="I283" s="58">
        <v>1.5169999999999999</v>
      </c>
      <c r="J283" s="58">
        <v>1.522</v>
      </c>
      <c r="K283" s="58">
        <v>9.9989999999999996E-4</v>
      </c>
    </row>
    <row r="284" spans="1:11">
      <c r="A284" s="20">
        <v>1</v>
      </c>
      <c r="B284" s="35">
        <v>39308</v>
      </c>
      <c r="C284" s="20">
        <v>2007</v>
      </c>
      <c r="D284" s="10" t="s">
        <v>32</v>
      </c>
      <c r="E284" s="20">
        <v>8</v>
      </c>
      <c r="F284" s="58">
        <v>12.324999999999999</v>
      </c>
      <c r="G284">
        <v>0.193</v>
      </c>
      <c r="H284">
        <v>0.248</v>
      </c>
      <c r="I284" s="58">
        <v>3.7</v>
      </c>
      <c r="J284" s="58">
        <v>0.28899999999999998</v>
      </c>
      <c r="K284" s="58">
        <v>9.9989999999999996E-4</v>
      </c>
    </row>
    <row r="285" spans="1:11">
      <c r="A285" s="20">
        <v>17</v>
      </c>
      <c r="B285" s="35">
        <v>39308</v>
      </c>
      <c r="C285" s="20">
        <v>2007</v>
      </c>
      <c r="D285" s="10" t="s">
        <v>32</v>
      </c>
      <c r="E285" s="20">
        <v>8</v>
      </c>
      <c r="F285" s="58">
        <v>8.4169999999999998</v>
      </c>
      <c r="G285">
        <v>0.115</v>
      </c>
      <c r="H285">
        <v>0.214</v>
      </c>
      <c r="I285" s="58">
        <v>2.94</v>
      </c>
      <c r="J285" s="58">
        <v>0.27500000000000002</v>
      </c>
      <c r="K285" s="58">
        <v>9.9989999999999996E-4</v>
      </c>
    </row>
    <row r="286" spans="1:11">
      <c r="A286" s="20">
        <v>18</v>
      </c>
      <c r="B286" s="35">
        <v>39308</v>
      </c>
      <c r="C286" s="20">
        <v>2007</v>
      </c>
      <c r="D286" s="10" t="s">
        <v>32</v>
      </c>
      <c r="E286" s="20">
        <v>8</v>
      </c>
      <c r="F286" s="58">
        <v>8.8680000000000003</v>
      </c>
      <c r="G286">
        <v>0.126</v>
      </c>
      <c r="H286">
        <v>0.27900000000000003</v>
      </c>
      <c r="I286" s="58">
        <v>3.2269999999999999</v>
      </c>
      <c r="J286" s="58">
        <v>0.379</v>
      </c>
      <c r="K286" s="58">
        <v>9.9989999999999996E-4</v>
      </c>
    </row>
    <row r="287" spans="1:11">
      <c r="A287" s="20">
        <v>1</v>
      </c>
      <c r="B287" s="35">
        <v>39337</v>
      </c>
      <c r="C287" s="20">
        <v>2007</v>
      </c>
      <c r="D287" s="10" t="s">
        <v>38</v>
      </c>
      <c r="E287" s="20">
        <v>9</v>
      </c>
      <c r="F287" s="58">
        <v>7.3559999999999999</v>
      </c>
      <c r="G287">
        <v>9.9989999999999996E-4</v>
      </c>
      <c r="H287">
        <v>9.9989999999999996E-4</v>
      </c>
      <c r="I287" s="58">
        <v>2.109</v>
      </c>
      <c r="J287" s="58">
        <v>0.156</v>
      </c>
      <c r="K287" s="58">
        <v>9.9989999999999996E-4</v>
      </c>
    </row>
    <row r="288" spans="1:11">
      <c r="A288" s="20">
        <v>17</v>
      </c>
      <c r="B288" s="35">
        <v>39337</v>
      </c>
      <c r="C288" s="20">
        <v>2007</v>
      </c>
      <c r="D288" s="10" t="s">
        <v>38</v>
      </c>
      <c r="E288" s="20">
        <v>9</v>
      </c>
      <c r="F288" s="58">
        <v>9.2810000000000006</v>
      </c>
      <c r="G288">
        <v>9.2999999999999999E-2</v>
      </c>
      <c r="H288">
        <v>9.9989999999999996E-4</v>
      </c>
      <c r="I288" s="58">
        <v>3.839</v>
      </c>
      <c r="J288" s="58">
        <v>0.115</v>
      </c>
      <c r="K288" s="58">
        <v>9.9989999999999996E-4</v>
      </c>
    </row>
    <row r="289" spans="1:18">
      <c r="A289" s="20">
        <v>18</v>
      </c>
      <c r="B289" s="35">
        <v>39337</v>
      </c>
      <c r="C289" s="20">
        <v>2007</v>
      </c>
      <c r="D289" s="10" t="s">
        <v>38</v>
      </c>
      <c r="E289" s="20">
        <v>9</v>
      </c>
      <c r="F289" s="58">
        <v>9.6649999999999991</v>
      </c>
      <c r="G289">
        <v>5.2999999999999999E-2</v>
      </c>
      <c r="H289">
        <v>9.9989999999999996E-4</v>
      </c>
      <c r="I289" s="58">
        <v>2.085</v>
      </c>
      <c r="J289" s="58">
        <v>1.0229999999999999</v>
      </c>
      <c r="K289" s="58">
        <v>9.9989999999999996E-4</v>
      </c>
    </row>
    <row r="290" spans="1:18">
      <c r="A290" s="20">
        <v>1</v>
      </c>
      <c r="B290" s="35">
        <v>39373</v>
      </c>
      <c r="C290" s="20">
        <v>2007</v>
      </c>
      <c r="D290" s="10" t="s">
        <v>34</v>
      </c>
      <c r="E290" s="20">
        <v>10</v>
      </c>
      <c r="F290" s="58">
        <v>5.2960000000000003</v>
      </c>
      <c r="G290" s="58">
        <v>6.4000000000000001E-2</v>
      </c>
      <c r="H290" s="58">
        <v>9.9989999999999996E-4</v>
      </c>
      <c r="I290" s="58">
        <v>1.1499999999999999</v>
      </c>
      <c r="J290" s="58">
        <v>6.8000000000000005E-2</v>
      </c>
      <c r="K290" s="58">
        <v>9.9989999999999996E-4</v>
      </c>
    </row>
    <row r="291" spans="1:18">
      <c r="A291" s="20">
        <v>17</v>
      </c>
      <c r="B291" s="35">
        <v>39373</v>
      </c>
      <c r="C291" s="20">
        <v>2007</v>
      </c>
      <c r="D291" s="10" t="s">
        <v>34</v>
      </c>
      <c r="E291" s="20">
        <v>10</v>
      </c>
      <c r="F291" s="58">
        <v>4.9630000000000001</v>
      </c>
      <c r="G291" s="58">
        <v>4.4999999999999998E-2</v>
      </c>
      <c r="H291" s="58">
        <v>9.9989999999999996E-4</v>
      </c>
      <c r="I291" s="58">
        <v>1.972</v>
      </c>
      <c r="J291" s="58">
        <v>0.1</v>
      </c>
      <c r="K291" s="58">
        <v>9.9989999999999996E-4</v>
      </c>
    </row>
    <row r="292" spans="1:18">
      <c r="A292" s="20">
        <v>18</v>
      </c>
      <c r="B292" s="35">
        <v>39373</v>
      </c>
      <c r="C292" s="20">
        <v>2007</v>
      </c>
      <c r="D292" s="10" t="s">
        <v>34</v>
      </c>
      <c r="E292" s="20">
        <v>10</v>
      </c>
      <c r="F292" s="58">
        <v>2.4740000000000002</v>
      </c>
      <c r="G292" s="58">
        <v>1.2999999999999999E-2</v>
      </c>
      <c r="H292" s="58">
        <v>9.9989999999999996E-4</v>
      </c>
      <c r="I292" s="58">
        <v>0.34</v>
      </c>
      <c r="J292" s="58">
        <v>2.9000000000000001E-2</v>
      </c>
      <c r="K292" s="58">
        <v>9.9989999999999996E-4</v>
      </c>
    </row>
    <row r="293" spans="1:18">
      <c r="A293" s="20">
        <v>1</v>
      </c>
      <c r="B293" s="35">
        <v>39399</v>
      </c>
      <c r="C293" s="20">
        <v>2007</v>
      </c>
      <c r="D293" s="10" t="s">
        <v>35</v>
      </c>
      <c r="E293" s="20">
        <v>11</v>
      </c>
      <c r="F293" s="58">
        <v>2.0920000000000001</v>
      </c>
      <c r="G293" s="58">
        <v>9.9989999999999996E-4</v>
      </c>
      <c r="H293" s="58">
        <v>9.9989999999999996E-4</v>
      </c>
      <c r="I293" s="58">
        <v>0.47799999999999998</v>
      </c>
      <c r="J293" s="58">
        <v>1.0999999999999999E-2</v>
      </c>
      <c r="K293" s="58">
        <v>9.9989999999999996E-4</v>
      </c>
    </row>
    <row r="294" spans="1:18">
      <c r="A294" s="20">
        <v>17</v>
      </c>
      <c r="B294" s="35">
        <v>39399</v>
      </c>
      <c r="C294" s="20">
        <v>2007</v>
      </c>
      <c r="D294" s="10" t="s">
        <v>35</v>
      </c>
      <c r="E294" s="20">
        <v>11</v>
      </c>
      <c r="F294" s="58">
        <v>2.4590000000000001</v>
      </c>
      <c r="G294" s="58">
        <v>1.2999999999999999E-2</v>
      </c>
      <c r="H294" s="58">
        <v>9.9989999999999996E-4</v>
      </c>
      <c r="I294" s="58">
        <v>0.76400000000000001</v>
      </c>
      <c r="J294" s="58">
        <v>1.7999999999999999E-2</v>
      </c>
      <c r="K294" s="58">
        <v>9.9989999999999996E-4</v>
      </c>
    </row>
    <row r="295" spans="1:18">
      <c r="A295" s="20">
        <v>18</v>
      </c>
      <c r="B295" s="35">
        <v>39399</v>
      </c>
      <c r="C295" s="20">
        <v>2007</v>
      </c>
      <c r="D295" s="10" t="s">
        <v>35</v>
      </c>
      <c r="E295" s="20">
        <v>11</v>
      </c>
      <c r="F295" s="58">
        <v>2.4849999999999999</v>
      </c>
      <c r="G295" s="58">
        <v>1.0999999999999999E-2</v>
      </c>
      <c r="H295" s="58">
        <v>9.9989999999999996E-4</v>
      </c>
      <c r="I295" s="58">
        <v>0.751</v>
      </c>
      <c r="J295" s="58">
        <v>1.4E-2</v>
      </c>
      <c r="K295" s="58">
        <v>9.9989999999999996E-4</v>
      </c>
    </row>
    <row r="296" spans="1:18">
      <c r="A296" s="20">
        <v>1</v>
      </c>
      <c r="B296" s="35">
        <v>39427</v>
      </c>
      <c r="C296" s="20">
        <v>2007</v>
      </c>
      <c r="D296" s="10" t="s">
        <v>36</v>
      </c>
      <c r="E296" s="20">
        <v>12</v>
      </c>
      <c r="F296" s="58">
        <v>6.2930000000000001</v>
      </c>
      <c r="G296" s="58">
        <v>9.9000000000000005E-2</v>
      </c>
      <c r="H296" s="58">
        <v>9.9989999999999996E-4</v>
      </c>
      <c r="I296" s="58">
        <v>1.5329999999999999</v>
      </c>
      <c r="J296" s="58">
        <v>7.0000000000000001E-3</v>
      </c>
      <c r="K296" s="58">
        <v>9.9989999999999996E-4</v>
      </c>
    </row>
    <row r="297" spans="1:18">
      <c r="A297" s="20">
        <v>17</v>
      </c>
      <c r="B297" s="35">
        <v>39427</v>
      </c>
      <c r="C297" s="20">
        <v>2007</v>
      </c>
      <c r="D297" s="10" t="s">
        <v>36</v>
      </c>
      <c r="E297" s="20">
        <v>12</v>
      </c>
      <c r="F297" s="58">
        <v>6.3719999999999999</v>
      </c>
      <c r="G297" s="58">
        <v>7.4999999999999997E-2</v>
      </c>
      <c r="H297" s="58">
        <v>9.9989999999999996E-4</v>
      </c>
      <c r="I297" s="58">
        <v>1.835</v>
      </c>
      <c r="J297" s="58">
        <v>7.0000000000000001E-3</v>
      </c>
      <c r="K297" s="58">
        <v>9.9989999999999996E-4</v>
      </c>
    </row>
    <row r="298" spans="1:18" ht="25.5">
      <c r="A298" s="20">
        <v>18</v>
      </c>
      <c r="B298" s="35">
        <v>39427</v>
      </c>
      <c r="C298" s="20">
        <v>2007</v>
      </c>
      <c r="D298" s="10" t="s">
        <v>36</v>
      </c>
      <c r="E298" s="20">
        <v>12</v>
      </c>
      <c r="F298" s="58">
        <v>6.3550000000000004</v>
      </c>
      <c r="G298" s="58">
        <v>0.06</v>
      </c>
      <c r="H298" s="58">
        <v>9.9989999999999996E-4</v>
      </c>
      <c r="I298" s="58">
        <v>1.8640000000000001</v>
      </c>
      <c r="J298" s="58">
        <v>7.0000000000000001E-3</v>
      </c>
      <c r="K298" s="58">
        <v>9.9989999999999996E-4</v>
      </c>
      <c r="L298" s="62" t="s">
        <v>42</v>
      </c>
      <c r="M298" s="5" t="s">
        <v>5</v>
      </c>
      <c r="N298" s="5" t="s">
        <v>6</v>
      </c>
      <c r="O298" s="5" t="s">
        <v>7</v>
      </c>
      <c r="P298" s="5" t="s">
        <v>8</v>
      </c>
      <c r="Q298" s="5" t="s">
        <v>9</v>
      </c>
      <c r="R298" s="5" t="s">
        <v>10</v>
      </c>
    </row>
    <row r="299" spans="1:18">
      <c r="A299" s="23">
        <v>1</v>
      </c>
      <c r="B299" s="34">
        <v>39464</v>
      </c>
      <c r="C299" s="23">
        <v>2008</v>
      </c>
      <c r="D299" s="18" t="s">
        <v>37</v>
      </c>
      <c r="E299" s="23">
        <v>1</v>
      </c>
      <c r="F299" s="75">
        <v>10.82</v>
      </c>
      <c r="G299" s="75">
        <v>6.5000000000000002E-2</v>
      </c>
      <c r="H299" s="75">
        <v>9.9989999999999996E-4</v>
      </c>
      <c r="I299" s="75">
        <v>3.3919999999999999</v>
      </c>
      <c r="J299" s="75">
        <v>2.1000000000000001E-2</v>
      </c>
      <c r="K299" s="75">
        <v>9.9989999999999996E-4</v>
      </c>
      <c r="L299" s="62" t="s">
        <v>57</v>
      </c>
      <c r="M299" s="50">
        <f t="shared" ref="M299:R299" si="5">AVERAGE(F299:F334)</f>
        <v>5.6511111111111108</v>
      </c>
      <c r="N299" s="50">
        <f t="shared" si="5"/>
        <v>0.10322221388888889</v>
      </c>
      <c r="O299" s="50">
        <f t="shared" si="5"/>
        <v>5.0055480555555559E-2</v>
      </c>
      <c r="P299" s="50">
        <f t="shared" si="5"/>
        <v>1.70025</v>
      </c>
      <c r="Q299" s="50">
        <f t="shared" si="5"/>
        <v>9.988888888888886E-2</v>
      </c>
      <c r="R299" s="50">
        <f t="shared" si="5"/>
        <v>1.1666575E-2</v>
      </c>
    </row>
    <row r="300" spans="1:18">
      <c r="A300" s="20">
        <v>17</v>
      </c>
      <c r="B300" s="35">
        <v>39464</v>
      </c>
      <c r="C300" s="20">
        <v>2008</v>
      </c>
      <c r="D300" s="10" t="s">
        <v>37</v>
      </c>
      <c r="E300" s="20">
        <v>1</v>
      </c>
      <c r="F300" s="58">
        <v>11.284000000000001</v>
      </c>
      <c r="G300" s="58">
        <v>7.3999999999999996E-2</v>
      </c>
      <c r="H300" s="58">
        <v>9.9989999999999996E-4</v>
      </c>
      <c r="I300" s="58">
        <v>4.0199999999999996</v>
      </c>
      <c r="J300" s="58">
        <v>0.01</v>
      </c>
      <c r="K300" s="58">
        <v>9.9989999999999996E-4</v>
      </c>
    </row>
    <row r="301" spans="1:18">
      <c r="A301" s="20">
        <v>18</v>
      </c>
      <c r="B301" s="35">
        <v>39464</v>
      </c>
      <c r="C301" s="20">
        <v>2008</v>
      </c>
      <c r="D301" s="10" t="s">
        <v>37</v>
      </c>
      <c r="E301" s="20">
        <v>1</v>
      </c>
      <c r="F301" s="58">
        <v>9.6980000000000004</v>
      </c>
      <c r="G301" s="58">
        <v>7.3999999999999996E-2</v>
      </c>
      <c r="H301" s="58">
        <v>9.9989999999999996E-4</v>
      </c>
      <c r="I301" s="58">
        <v>3.4489999999999998</v>
      </c>
      <c r="J301" s="58">
        <v>0.01</v>
      </c>
      <c r="K301" s="58">
        <v>9.9989999999999996E-4</v>
      </c>
    </row>
    <row r="302" spans="1:18">
      <c r="A302" s="20">
        <v>1</v>
      </c>
      <c r="B302" s="35">
        <v>39490</v>
      </c>
      <c r="C302" s="20">
        <v>2008</v>
      </c>
      <c r="D302" s="10" t="s">
        <v>26</v>
      </c>
      <c r="E302" s="20">
        <v>2</v>
      </c>
      <c r="F302" s="58">
        <v>4.0990000000000002</v>
      </c>
      <c r="G302" s="58">
        <v>0.1</v>
      </c>
      <c r="H302" s="58">
        <v>7.1999999999999995E-2</v>
      </c>
      <c r="I302" s="58">
        <v>1.024</v>
      </c>
      <c r="J302" s="58">
        <v>0.10199999999999999</v>
      </c>
      <c r="K302" s="58">
        <v>9.9989999999999996E-4</v>
      </c>
    </row>
    <row r="303" spans="1:18">
      <c r="A303" s="20">
        <v>17</v>
      </c>
      <c r="B303" s="35">
        <v>39490</v>
      </c>
      <c r="C303" s="20">
        <v>2008</v>
      </c>
      <c r="D303" s="10" t="s">
        <v>26</v>
      </c>
      <c r="E303" s="20">
        <v>2</v>
      </c>
      <c r="F303" s="58">
        <v>6.9169999999999998</v>
      </c>
      <c r="G303" s="58">
        <v>0.31</v>
      </c>
      <c r="H303" s="58">
        <v>9.9989999999999996E-4</v>
      </c>
      <c r="I303" s="58">
        <v>2.0670000000000002</v>
      </c>
      <c r="J303" s="58">
        <v>8.9999999999999993E-3</v>
      </c>
      <c r="K303" s="58">
        <v>9.9989999999999996E-4</v>
      </c>
    </row>
    <row r="304" spans="1:18">
      <c r="A304" s="20">
        <v>18</v>
      </c>
      <c r="B304" s="35">
        <v>39490</v>
      </c>
      <c r="C304" s="20">
        <v>2008</v>
      </c>
      <c r="D304" s="10" t="s">
        <v>26</v>
      </c>
      <c r="E304" s="20">
        <v>2</v>
      </c>
      <c r="F304" s="58">
        <v>6.4829999999999997</v>
      </c>
      <c r="G304" s="58">
        <v>0.20200000000000001</v>
      </c>
      <c r="H304" s="58">
        <v>9.9989999999999996E-4</v>
      </c>
      <c r="I304" s="58">
        <v>1.1619999999999999</v>
      </c>
      <c r="J304" s="58">
        <v>0.02</v>
      </c>
      <c r="K304" s="58">
        <v>9.9989999999999996E-4</v>
      </c>
    </row>
    <row r="305" spans="1:11">
      <c r="A305" s="20">
        <v>1</v>
      </c>
      <c r="B305" s="35">
        <v>39520</v>
      </c>
      <c r="C305" s="20">
        <v>2008</v>
      </c>
      <c r="D305" s="10" t="s">
        <v>27</v>
      </c>
      <c r="E305" s="20">
        <v>3</v>
      </c>
      <c r="F305" s="76">
        <v>2.4969999999999999</v>
      </c>
      <c r="G305" s="76">
        <v>5.7000000000000002E-2</v>
      </c>
      <c r="H305" s="76">
        <v>9.9989999999999996E-4</v>
      </c>
      <c r="I305" s="76">
        <v>0.872</v>
      </c>
      <c r="J305" s="76">
        <v>1.6E-2</v>
      </c>
      <c r="K305" s="76">
        <v>9.9989999999999996E-4</v>
      </c>
    </row>
    <row r="306" spans="1:11">
      <c r="A306" s="20">
        <v>17</v>
      </c>
      <c r="B306" s="35">
        <v>39520</v>
      </c>
      <c r="C306" s="20">
        <v>2008</v>
      </c>
      <c r="D306" s="10" t="s">
        <v>27</v>
      </c>
      <c r="E306" s="20">
        <v>3</v>
      </c>
      <c r="F306" s="76">
        <v>2.2269999999999999</v>
      </c>
      <c r="G306" s="76">
        <v>6.0999999999999999E-2</v>
      </c>
      <c r="H306" s="76">
        <v>9.9989999999999996E-4</v>
      </c>
      <c r="I306" s="76">
        <v>0.73599999999999999</v>
      </c>
      <c r="J306" s="76">
        <v>2.5000000000000001E-2</v>
      </c>
      <c r="K306" s="76">
        <v>9.9989999999999996E-4</v>
      </c>
    </row>
    <row r="307" spans="1:11">
      <c r="A307" s="20">
        <v>18</v>
      </c>
      <c r="B307" s="35">
        <v>39520</v>
      </c>
      <c r="C307" s="20">
        <v>2008</v>
      </c>
      <c r="D307" s="10" t="s">
        <v>27</v>
      </c>
      <c r="E307" s="20">
        <v>3</v>
      </c>
      <c r="F307" s="76">
        <v>1.371</v>
      </c>
      <c r="G307" s="76">
        <v>3.7999999999999999E-2</v>
      </c>
      <c r="H307" s="76">
        <v>9.9989999999999996E-4</v>
      </c>
      <c r="I307" s="76">
        <v>0.42399999999999999</v>
      </c>
      <c r="J307" s="76">
        <v>0.02</v>
      </c>
      <c r="K307" s="76">
        <v>9.9989999999999996E-4</v>
      </c>
    </row>
    <row r="308" spans="1:11">
      <c r="A308" s="20">
        <v>1</v>
      </c>
      <c r="B308" s="35">
        <v>39553</v>
      </c>
      <c r="C308" s="20">
        <v>2008</v>
      </c>
      <c r="D308" s="10" t="s">
        <v>28</v>
      </c>
      <c r="E308" s="20">
        <v>4</v>
      </c>
      <c r="F308" s="76">
        <v>2.879</v>
      </c>
      <c r="G308" s="76">
        <v>3.2000000000000001E-2</v>
      </c>
      <c r="H308" s="76">
        <v>9.9989999999999996E-4</v>
      </c>
      <c r="I308" s="76">
        <v>0.996</v>
      </c>
      <c r="J308" s="76">
        <v>8.9999999999999993E-3</v>
      </c>
      <c r="K308" s="76">
        <v>9.9989999999999996E-4</v>
      </c>
    </row>
    <row r="309" spans="1:11">
      <c r="A309" s="20">
        <v>17</v>
      </c>
      <c r="B309" s="35">
        <v>39553</v>
      </c>
      <c r="C309" s="20">
        <v>2008</v>
      </c>
      <c r="D309" s="10" t="s">
        <v>28</v>
      </c>
      <c r="E309" s="20">
        <v>4</v>
      </c>
      <c r="F309" s="76">
        <v>2.5830000000000002</v>
      </c>
      <c r="G309" s="76">
        <v>4.1000000000000002E-2</v>
      </c>
      <c r="H309" s="76">
        <v>9.9989999999999996E-4</v>
      </c>
      <c r="I309" s="76">
        <v>0.74199999999999999</v>
      </c>
      <c r="J309" s="76">
        <v>1.2999999999999999E-2</v>
      </c>
      <c r="K309" s="76">
        <v>9.9989999999999996E-4</v>
      </c>
    </row>
    <row r="310" spans="1:11">
      <c r="A310" s="20">
        <v>18</v>
      </c>
      <c r="B310" s="35">
        <v>39553</v>
      </c>
      <c r="C310" s="20">
        <v>2008</v>
      </c>
      <c r="D310" s="10" t="s">
        <v>28</v>
      </c>
      <c r="E310" s="20">
        <v>4</v>
      </c>
      <c r="F310" s="76">
        <v>0.94599999999999995</v>
      </c>
      <c r="G310" s="76">
        <v>9.9989999999999996E-4</v>
      </c>
      <c r="H310" s="76">
        <v>9.9989999999999996E-4</v>
      </c>
      <c r="I310" s="76">
        <v>0.318</v>
      </c>
      <c r="J310" s="76">
        <v>5.0000000000000001E-3</v>
      </c>
      <c r="K310" s="76">
        <v>9.9989999999999996E-4</v>
      </c>
    </row>
    <row r="311" spans="1:11">
      <c r="A311" s="20">
        <v>1</v>
      </c>
      <c r="B311" s="35">
        <v>39582</v>
      </c>
      <c r="C311" s="20">
        <v>2008</v>
      </c>
      <c r="D311" s="10" t="s">
        <v>29</v>
      </c>
      <c r="E311" s="20">
        <v>5</v>
      </c>
      <c r="F311" s="76">
        <v>1.4670000000000001</v>
      </c>
      <c r="G311" s="76">
        <v>3.9E-2</v>
      </c>
      <c r="H311" s="76">
        <v>9.9989999999999996E-4</v>
      </c>
      <c r="I311" s="76">
        <v>0.20699999999999999</v>
      </c>
      <c r="J311" s="76">
        <v>2.1000000000000001E-2</v>
      </c>
      <c r="K311" s="76">
        <v>9.9989999999999996E-4</v>
      </c>
    </row>
    <row r="312" spans="1:11">
      <c r="A312" s="20">
        <v>17</v>
      </c>
      <c r="B312" s="35">
        <v>39582</v>
      </c>
      <c r="C312" s="20">
        <v>2008</v>
      </c>
      <c r="D312" s="10" t="s">
        <v>29</v>
      </c>
      <c r="E312" s="20">
        <v>5</v>
      </c>
      <c r="F312" s="76">
        <v>0.97899999999999998</v>
      </c>
      <c r="G312" s="76">
        <v>3.9E-2</v>
      </c>
      <c r="H312" s="76">
        <v>9.9989999999999996E-4</v>
      </c>
      <c r="I312" s="76">
        <v>0.16400000000000001</v>
      </c>
      <c r="J312" s="76">
        <v>1.2999999999999999E-2</v>
      </c>
      <c r="K312" s="76">
        <v>9.9989999999999996E-4</v>
      </c>
    </row>
    <row r="313" spans="1:11">
      <c r="A313" s="20">
        <v>18</v>
      </c>
      <c r="B313" s="35">
        <v>39582</v>
      </c>
      <c r="C313" s="20">
        <v>2008</v>
      </c>
      <c r="D313" s="10" t="s">
        <v>29</v>
      </c>
      <c r="E313" s="20">
        <v>5</v>
      </c>
      <c r="F313" s="76">
        <v>0.95699999999999996</v>
      </c>
      <c r="G313" s="76">
        <v>4.7E-2</v>
      </c>
      <c r="H313" s="76">
        <v>9.9989999999999996E-4</v>
      </c>
      <c r="I313" s="76">
        <v>0.14499999999999999</v>
      </c>
      <c r="J313" s="76">
        <v>1.4999999999999999E-2</v>
      </c>
      <c r="K313" s="76">
        <v>9.9989999999999996E-4</v>
      </c>
    </row>
    <row r="314" spans="1:11">
      <c r="A314" s="20">
        <v>1</v>
      </c>
      <c r="B314" s="35">
        <v>39616</v>
      </c>
      <c r="C314" s="20">
        <v>2008</v>
      </c>
      <c r="D314" s="10" t="s">
        <v>30</v>
      </c>
      <c r="E314" s="20">
        <v>6</v>
      </c>
      <c r="F314" s="76">
        <v>1.905</v>
      </c>
      <c r="G314" s="76">
        <v>5.5E-2</v>
      </c>
      <c r="H314" s="76">
        <v>9.9989999999999996E-4</v>
      </c>
      <c r="I314" s="76">
        <v>0.24199999999999999</v>
      </c>
      <c r="J314" s="76">
        <v>0.121</v>
      </c>
      <c r="K314" s="76">
        <v>9.9989999999999996E-4</v>
      </c>
    </row>
    <row r="315" spans="1:11">
      <c r="A315" s="20">
        <v>17</v>
      </c>
      <c r="B315" s="35">
        <v>39616</v>
      </c>
      <c r="C315" s="20">
        <v>2008</v>
      </c>
      <c r="D315" s="10" t="s">
        <v>30</v>
      </c>
      <c r="E315" s="20">
        <v>6</v>
      </c>
      <c r="F315" s="76">
        <v>4.1390000000000002</v>
      </c>
      <c r="G315" s="76">
        <v>2.1999999999999999E-2</v>
      </c>
      <c r="H315" s="76">
        <v>9.9989999999999996E-4</v>
      </c>
      <c r="I315" s="76">
        <v>0.53400000000000003</v>
      </c>
      <c r="J315" s="76">
        <v>0.26500000000000001</v>
      </c>
      <c r="K315" s="76">
        <v>9.9989999999999996E-4</v>
      </c>
    </row>
    <row r="316" spans="1:11">
      <c r="A316" s="20">
        <v>18</v>
      </c>
      <c r="B316" s="35">
        <v>39616</v>
      </c>
      <c r="C316" s="20">
        <v>2008</v>
      </c>
      <c r="D316" s="10" t="s">
        <v>30</v>
      </c>
      <c r="E316" s="20">
        <v>6</v>
      </c>
      <c r="F316" s="76">
        <v>9.1959999999999997</v>
      </c>
      <c r="G316" s="76">
        <v>8.1000000000000003E-2</v>
      </c>
      <c r="H316" s="76">
        <v>9.9989999999999996E-4</v>
      </c>
      <c r="I316" s="76">
        <v>0.95499999999999996</v>
      </c>
      <c r="J316" s="76">
        <v>0.60099999999999998</v>
      </c>
      <c r="K316" s="76">
        <v>9.9989999999999996E-4</v>
      </c>
    </row>
    <row r="317" spans="1:11">
      <c r="A317" s="20">
        <v>1</v>
      </c>
      <c r="B317" s="35">
        <v>39644</v>
      </c>
      <c r="C317" s="20">
        <v>2008</v>
      </c>
      <c r="D317" s="10" t="s">
        <v>31</v>
      </c>
      <c r="E317" s="20">
        <v>7</v>
      </c>
      <c r="F317" s="76">
        <v>4.8609999999999998</v>
      </c>
      <c r="G317" s="76">
        <v>0.16900000000000001</v>
      </c>
      <c r="H317" s="76">
        <v>6.0999999999999999E-2</v>
      </c>
      <c r="I317" s="76">
        <v>0.93200000000000005</v>
      </c>
      <c r="J317" s="76">
        <v>0.125</v>
      </c>
      <c r="K317" s="76">
        <v>9.9989999999999996E-4</v>
      </c>
    </row>
    <row r="318" spans="1:11">
      <c r="A318" s="20">
        <v>17</v>
      </c>
      <c r="B318" s="35">
        <v>39644</v>
      </c>
      <c r="C318" s="20">
        <v>2008</v>
      </c>
      <c r="D318" s="10" t="s">
        <v>31</v>
      </c>
      <c r="E318" s="20">
        <v>7</v>
      </c>
      <c r="F318" s="76">
        <v>2.1339999999999999</v>
      </c>
      <c r="G318" s="76">
        <v>4.3999999999999997E-2</v>
      </c>
      <c r="H318" s="76">
        <v>9.9989999999999996E-4</v>
      </c>
      <c r="I318" s="76">
        <v>0.48599999999999999</v>
      </c>
      <c r="J318" s="76">
        <v>0.11899999999999999</v>
      </c>
      <c r="K318" s="76">
        <v>9.9989999999999996E-4</v>
      </c>
    </row>
    <row r="319" spans="1:11">
      <c r="A319" s="20">
        <v>18</v>
      </c>
      <c r="B319" s="35">
        <v>39644</v>
      </c>
      <c r="C319" s="20">
        <v>2008</v>
      </c>
      <c r="D319" s="10" t="s">
        <v>31</v>
      </c>
      <c r="E319" s="20">
        <v>7</v>
      </c>
      <c r="F319" s="76">
        <v>5.0199999999999996</v>
      </c>
      <c r="G319" s="76">
        <v>8.5000000000000006E-2</v>
      </c>
      <c r="H319" s="76">
        <v>9.9989999999999996E-4</v>
      </c>
      <c r="I319" s="76">
        <v>0.71599999999999997</v>
      </c>
      <c r="J319" s="76">
        <v>0.34100000000000003</v>
      </c>
      <c r="K319" s="76">
        <v>9.9989999999999996E-4</v>
      </c>
    </row>
    <row r="320" spans="1:11">
      <c r="A320" s="20">
        <v>1</v>
      </c>
      <c r="B320" s="35">
        <v>39673</v>
      </c>
      <c r="C320" s="20">
        <v>2008</v>
      </c>
      <c r="D320" s="10" t="s">
        <v>32</v>
      </c>
      <c r="E320" s="20">
        <v>8</v>
      </c>
      <c r="F320" s="76">
        <v>14.098000000000001</v>
      </c>
      <c r="G320" s="76">
        <v>0.67300000000000004</v>
      </c>
      <c r="H320" s="76">
        <v>0.29199999999999998</v>
      </c>
      <c r="I320" s="76">
        <v>4.3109999999999999</v>
      </c>
      <c r="J320" s="76">
        <v>0.22800000000000001</v>
      </c>
      <c r="K320" s="76">
        <v>9.9989999999999996E-4</v>
      </c>
    </row>
    <row r="321" spans="1:18">
      <c r="A321" s="20">
        <v>17</v>
      </c>
      <c r="B321" s="35">
        <v>39673</v>
      </c>
      <c r="C321" s="20">
        <v>2008</v>
      </c>
      <c r="D321" s="10" t="s">
        <v>32</v>
      </c>
      <c r="E321" s="20">
        <v>8</v>
      </c>
      <c r="F321" s="76">
        <v>6.3710000000000004</v>
      </c>
      <c r="G321" s="76">
        <v>0.53700000000000003</v>
      </c>
      <c r="H321" s="76">
        <v>9.9989999999999996E-4</v>
      </c>
      <c r="I321" s="76">
        <v>1.6850000000000001</v>
      </c>
      <c r="J321" s="76">
        <v>0.19700000000000001</v>
      </c>
      <c r="K321" s="76">
        <v>9.9989999999999996E-4</v>
      </c>
    </row>
    <row r="322" spans="1:18">
      <c r="A322" s="20">
        <v>18</v>
      </c>
      <c r="B322" s="35">
        <v>39673</v>
      </c>
      <c r="C322" s="20">
        <v>2008</v>
      </c>
      <c r="D322" s="10" t="s">
        <v>32</v>
      </c>
      <c r="E322" s="20">
        <v>8</v>
      </c>
      <c r="F322" s="76">
        <v>4.1369999999999996</v>
      </c>
      <c r="G322" s="76">
        <v>0.17</v>
      </c>
      <c r="H322" s="76">
        <v>9.9989999999999996E-4</v>
      </c>
      <c r="I322" s="76">
        <v>0.875</v>
      </c>
      <c r="J322" s="76">
        <v>0.17299999999999999</v>
      </c>
      <c r="K322" s="76">
        <v>9.9989999999999996E-4</v>
      </c>
    </row>
    <row r="323" spans="1:18">
      <c r="A323" s="20">
        <v>1</v>
      </c>
      <c r="B323" s="35">
        <v>39708</v>
      </c>
      <c r="C323" s="20">
        <v>2008</v>
      </c>
      <c r="D323" s="10" t="s">
        <v>38</v>
      </c>
      <c r="E323" s="20">
        <v>9</v>
      </c>
      <c r="F323" s="58">
        <v>16.370999999999999</v>
      </c>
      <c r="G323" s="58">
        <v>0.13100000000000001</v>
      </c>
      <c r="H323" s="58">
        <v>0.53300000000000003</v>
      </c>
      <c r="I323" s="58">
        <v>6.4340000000000002</v>
      </c>
      <c r="J323" s="58">
        <v>0.39400000000000002</v>
      </c>
      <c r="K323" s="58">
        <v>9.9989999999999996E-4</v>
      </c>
    </row>
    <row r="324" spans="1:18">
      <c r="A324" s="20">
        <v>17</v>
      </c>
      <c r="B324" s="35">
        <v>39708</v>
      </c>
      <c r="C324" s="20">
        <v>2008</v>
      </c>
      <c r="D324" s="10" t="s">
        <v>38</v>
      </c>
      <c r="E324" s="20">
        <v>9</v>
      </c>
      <c r="F324" s="58">
        <v>12.108000000000001</v>
      </c>
      <c r="G324" s="58">
        <v>0.08</v>
      </c>
      <c r="H324" s="58">
        <v>0.23799999999999999</v>
      </c>
      <c r="I324" s="58">
        <v>5.0359999999999996</v>
      </c>
      <c r="J324" s="58">
        <v>0.315</v>
      </c>
      <c r="K324" s="58">
        <v>9.9989999999999996E-4</v>
      </c>
    </row>
    <row r="325" spans="1:18">
      <c r="A325" s="20">
        <v>18</v>
      </c>
      <c r="B325" s="35">
        <v>39708</v>
      </c>
      <c r="C325" s="20">
        <v>2008</v>
      </c>
      <c r="D325" s="10" t="s">
        <v>38</v>
      </c>
      <c r="E325" s="20">
        <v>9</v>
      </c>
      <c r="F325" s="58">
        <v>6.8410000000000002</v>
      </c>
      <c r="G325" s="58">
        <v>2.5999999999999999E-2</v>
      </c>
      <c r="H325" s="58">
        <v>0.192</v>
      </c>
      <c r="I325" s="58">
        <v>2.7589999999999999</v>
      </c>
      <c r="J325" s="58">
        <v>0.20300000000000001</v>
      </c>
      <c r="K325" s="58">
        <v>9.9989999999999996E-4</v>
      </c>
    </row>
    <row r="326" spans="1:18">
      <c r="A326" s="20">
        <v>1</v>
      </c>
      <c r="B326" s="35">
        <v>39737</v>
      </c>
      <c r="C326" s="20">
        <v>2008</v>
      </c>
      <c r="D326" s="10" t="s">
        <v>34</v>
      </c>
      <c r="E326" s="20">
        <v>10</v>
      </c>
      <c r="F326" s="49">
        <v>5.7</v>
      </c>
      <c r="G326" s="49">
        <v>0.108</v>
      </c>
      <c r="H326" s="49">
        <v>4.1000000000000002E-2</v>
      </c>
      <c r="I326" s="49">
        <v>1.399</v>
      </c>
      <c r="J326" s="58">
        <v>2.9000000000000001E-2</v>
      </c>
      <c r="K326" s="58">
        <v>3.7999999999999999E-2</v>
      </c>
    </row>
    <row r="327" spans="1:18">
      <c r="A327" s="20">
        <v>17</v>
      </c>
      <c r="B327" s="35">
        <v>39737</v>
      </c>
      <c r="C327" s="20">
        <v>2008</v>
      </c>
      <c r="D327" s="10" t="s">
        <v>34</v>
      </c>
      <c r="E327" s="20">
        <v>10</v>
      </c>
      <c r="F327" s="49">
        <v>7.4290000000000003</v>
      </c>
      <c r="G327" s="49">
        <v>7.4999999999999997E-2</v>
      </c>
      <c r="H327" s="49">
        <v>0.20100000000000001</v>
      </c>
      <c r="I327" s="49">
        <v>2.0089999999999999</v>
      </c>
      <c r="J327" s="58">
        <v>3.5999999999999997E-2</v>
      </c>
      <c r="K327" s="58">
        <v>0.19600000000000001</v>
      </c>
    </row>
    <row r="328" spans="1:18">
      <c r="A328" s="20">
        <v>18</v>
      </c>
      <c r="B328" s="35">
        <v>39737</v>
      </c>
      <c r="C328" s="20">
        <v>2008</v>
      </c>
      <c r="D328" s="10" t="s">
        <v>34</v>
      </c>
      <c r="E328" s="20">
        <v>10</v>
      </c>
      <c r="F328" s="49">
        <v>6.2220000000000004</v>
      </c>
      <c r="G328" s="49">
        <v>7.6999999999999999E-2</v>
      </c>
      <c r="H328" s="49">
        <v>0.14499999999999999</v>
      </c>
      <c r="I328" s="49">
        <v>1.8109999999999999</v>
      </c>
      <c r="J328" s="58">
        <v>4.2000000000000003E-2</v>
      </c>
      <c r="K328" s="58">
        <v>0.153</v>
      </c>
    </row>
    <row r="329" spans="1:18">
      <c r="A329" s="20">
        <v>1</v>
      </c>
      <c r="B329" s="35">
        <v>39763</v>
      </c>
      <c r="C329" s="20">
        <v>2008</v>
      </c>
      <c r="D329" s="10" t="s">
        <v>35</v>
      </c>
      <c r="E329" s="20">
        <v>11</v>
      </c>
      <c r="F329" s="49">
        <v>2.1070000000000002</v>
      </c>
      <c r="G329" s="49">
        <v>9.9989999999999996E-4</v>
      </c>
      <c r="H329" s="49">
        <v>9.9989999999999996E-4</v>
      </c>
      <c r="I329" s="49">
        <v>0.55500000000000005</v>
      </c>
      <c r="J329" s="58">
        <v>1.7999999999999999E-2</v>
      </c>
      <c r="K329" s="58">
        <v>9.9989999999999996E-4</v>
      </c>
    </row>
    <row r="330" spans="1:18">
      <c r="A330" s="20">
        <v>17</v>
      </c>
      <c r="B330" s="35">
        <v>39763</v>
      </c>
      <c r="C330" s="20">
        <v>2008</v>
      </c>
      <c r="D330" s="10" t="s">
        <v>35</v>
      </c>
      <c r="E330" s="20">
        <v>11</v>
      </c>
      <c r="F330" s="49">
        <v>2.181</v>
      </c>
      <c r="G330" s="49">
        <v>1.4E-2</v>
      </c>
      <c r="H330" s="49">
        <v>9.9989999999999996E-4</v>
      </c>
      <c r="I330" s="49">
        <v>0.65200000000000002</v>
      </c>
      <c r="J330" s="58">
        <v>1.4E-2</v>
      </c>
      <c r="K330" s="58">
        <v>9.9989999999999996E-4</v>
      </c>
    </row>
    <row r="331" spans="1:18">
      <c r="A331" s="20">
        <v>18</v>
      </c>
      <c r="B331" s="35">
        <v>39763</v>
      </c>
      <c r="C331" s="20">
        <v>2008</v>
      </c>
      <c r="D331" s="10" t="s">
        <v>35</v>
      </c>
      <c r="E331" s="20">
        <v>11</v>
      </c>
      <c r="F331" s="49">
        <v>0.64800000000000002</v>
      </c>
      <c r="G331" s="49">
        <v>9.9989999999999996E-4</v>
      </c>
      <c r="H331" s="49">
        <v>9.9989999999999996E-4</v>
      </c>
      <c r="I331" s="49">
        <v>0.109</v>
      </c>
      <c r="J331" s="58">
        <v>5.0000000000000001E-3</v>
      </c>
      <c r="K331" s="58">
        <v>9.9989999999999996E-4</v>
      </c>
    </row>
    <row r="332" spans="1:18">
      <c r="A332" s="20">
        <v>1</v>
      </c>
      <c r="B332" s="35">
        <v>39799</v>
      </c>
      <c r="C332" s="20">
        <v>2008</v>
      </c>
      <c r="D332" s="10" t="s">
        <v>36</v>
      </c>
      <c r="E332" s="20">
        <v>12</v>
      </c>
      <c r="F332" s="49">
        <v>6.3</v>
      </c>
      <c r="G332" s="49">
        <v>6.5000000000000002E-2</v>
      </c>
      <c r="H332" s="49">
        <v>9.9989999999999996E-4</v>
      </c>
      <c r="I332" s="49">
        <v>2.1619999999999999</v>
      </c>
      <c r="J332" s="58">
        <v>1.6E-2</v>
      </c>
      <c r="K332" s="58">
        <v>9.9989999999999996E-4</v>
      </c>
    </row>
    <row r="333" spans="1:18">
      <c r="A333" s="20">
        <v>17</v>
      </c>
      <c r="B333" s="35">
        <v>39799</v>
      </c>
      <c r="C333" s="20">
        <v>2008</v>
      </c>
      <c r="D333" s="10" t="s">
        <v>36</v>
      </c>
      <c r="E333" s="20">
        <v>12</v>
      </c>
      <c r="F333" s="49">
        <v>10.686</v>
      </c>
      <c r="G333" s="49">
        <v>5.8000000000000003E-2</v>
      </c>
      <c r="H333" s="49">
        <v>9.9989999999999996E-4</v>
      </c>
      <c r="I333" s="49">
        <v>4.12</v>
      </c>
      <c r="J333" s="58">
        <v>2.4E-2</v>
      </c>
      <c r="K333" s="58">
        <v>9.9989999999999996E-4</v>
      </c>
    </row>
    <row r="334" spans="1:18" ht="25.5">
      <c r="A334" s="20">
        <v>18</v>
      </c>
      <c r="B334" s="35">
        <v>39799</v>
      </c>
      <c r="C334" s="20">
        <v>2008</v>
      </c>
      <c r="D334" s="10" t="s">
        <v>36</v>
      </c>
      <c r="E334" s="20">
        <v>12</v>
      </c>
      <c r="F334" s="49">
        <v>9.7789999999999999</v>
      </c>
      <c r="G334" s="49">
        <v>6.4000000000000001E-2</v>
      </c>
      <c r="H334" s="49">
        <v>9.9989999999999996E-4</v>
      </c>
      <c r="I334" s="49">
        <v>3.7090000000000001</v>
      </c>
      <c r="J334" s="58">
        <v>2.1000000000000001E-2</v>
      </c>
      <c r="K334" s="58">
        <v>9.9989999999999996E-4</v>
      </c>
      <c r="L334" s="62" t="s">
        <v>42</v>
      </c>
      <c r="M334" s="5" t="s">
        <v>5</v>
      </c>
      <c r="N334" s="5" t="s">
        <v>6</v>
      </c>
      <c r="O334" s="5" t="s">
        <v>7</v>
      </c>
      <c r="P334" s="5" t="s">
        <v>8</v>
      </c>
      <c r="Q334" s="5" t="s">
        <v>9</v>
      </c>
      <c r="R334" s="5" t="s">
        <v>10</v>
      </c>
    </row>
    <row r="335" spans="1:18">
      <c r="A335" s="23">
        <v>1</v>
      </c>
      <c r="B335" s="34">
        <v>39825</v>
      </c>
      <c r="C335" s="23">
        <v>2009</v>
      </c>
      <c r="D335" s="18" t="s">
        <v>37</v>
      </c>
      <c r="E335" s="17">
        <v>1</v>
      </c>
      <c r="F335" s="77">
        <v>8.7940000000000005</v>
      </c>
      <c r="G335" s="77">
        <v>7.8E-2</v>
      </c>
      <c r="H335" s="77">
        <v>0.02</v>
      </c>
      <c r="I335" s="77">
        <v>3.4260000000000002</v>
      </c>
      <c r="J335" s="75">
        <v>1.7999999999999999E-2</v>
      </c>
      <c r="K335" s="75">
        <v>9.9989999999999996E-4</v>
      </c>
      <c r="L335" s="62" t="s">
        <v>59</v>
      </c>
      <c r="M335" s="50">
        <f t="shared" ref="M335:R335" si="6">AVERAGE(F335:F370)</f>
        <v>6.0009444444444444</v>
      </c>
      <c r="N335" s="50">
        <f t="shared" si="6"/>
        <v>0.15166666111111113</v>
      </c>
      <c r="O335" s="50">
        <f t="shared" si="6"/>
        <v>3.3055138888888887E-3</v>
      </c>
      <c r="P335" s="50">
        <f t="shared" si="6"/>
        <v>1.7761388888888883</v>
      </c>
      <c r="Q335" s="50">
        <f t="shared" si="6"/>
        <v>0.14136111111111113</v>
      </c>
      <c r="R335" s="50">
        <f t="shared" si="6"/>
        <v>9.999000000000004E-4</v>
      </c>
    </row>
    <row r="336" spans="1:18">
      <c r="A336" s="20">
        <v>17</v>
      </c>
      <c r="B336" s="35">
        <v>39825</v>
      </c>
      <c r="C336" s="20">
        <v>2009</v>
      </c>
      <c r="D336" s="10" t="s">
        <v>37</v>
      </c>
      <c r="E336" s="11">
        <v>1</v>
      </c>
      <c r="F336" s="49">
        <v>15.558999999999999</v>
      </c>
      <c r="G336" s="49">
        <v>0.114</v>
      </c>
      <c r="H336" s="49">
        <v>9.9989999999999996E-4</v>
      </c>
      <c r="I336" s="49">
        <v>6.4569999999999999</v>
      </c>
      <c r="J336" s="58">
        <v>2.4E-2</v>
      </c>
      <c r="K336" s="58">
        <v>9.9989999999999996E-4</v>
      </c>
    </row>
    <row r="337" spans="1:11">
      <c r="A337" s="20">
        <v>18</v>
      </c>
      <c r="B337" s="35">
        <v>39825</v>
      </c>
      <c r="C337" s="20">
        <v>2009</v>
      </c>
      <c r="D337" s="10" t="s">
        <v>37</v>
      </c>
      <c r="E337" s="11">
        <v>1</v>
      </c>
      <c r="F337" s="49">
        <v>14.285</v>
      </c>
      <c r="G337" s="49">
        <v>0.112</v>
      </c>
      <c r="H337" s="49">
        <v>9.9989999999999996E-4</v>
      </c>
      <c r="I337" s="49">
        <v>5.8940000000000001</v>
      </c>
      <c r="J337" s="58">
        <v>2.3E-2</v>
      </c>
      <c r="K337" s="58">
        <v>9.9989999999999996E-4</v>
      </c>
    </row>
    <row r="338" spans="1:11">
      <c r="A338" s="11">
        <v>1</v>
      </c>
      <c r="B338" s="35">
        <v>39854</v>
      </c>
      <c r="C338" s="20">
        <v>2009</v>
      </c>
      <c r="D338" s="10" t="s">
        <v>26</v>
      </c>
      <c r="E338" s="11">
        <v>2</v>
      </c>
      <c r="F338" s="49">
        <v>11.236000000000001</v>
      </c>
      <c r="G338" s="49">
        <v>1E-3</v>
      </c>
      <c r="H338" s="49">
        <v>1E-3</v>
      </c>
      <c r="I338" s="49">
        <v>3.7229999999999999</v>
      </c>
      <c r="J338" s="58">
        <v>4.2999999999999997E-2</v>
      </c>
      <c r="K338" s="58">
        <v>9.9989999999999996E-4</v>
      </c>
    </row>
    <row r="339" spans="1:11">
      <c r="A339" s="11">
        <v>17</v>
      </c>
      <c r="B339" s="35">
        <v>39854</v>
      </c>
      <c r="C339" s="20">
        <v>2009</v>
      </c>
      <c r="D339" s="10" t="s">
        <v>26</v>
      </c>
      <c r="E339" s="11">
        <v>2</v>
      </c>
      <c r="F339" s="49">
        <v>9.3689999999999998</v>
      </c>
      <c r="G339" s="49">
        <v>2.7E-2</v>
      </c>
      <c r="H339" s="49">
        <v>1E-3</v>
      </c>
      <c r="I339" s="49">
        <v>4.3250000000000002</v>
      </c>
      <c r="J339" s="58">
        <v>3.2000000000000001E-2</v>
      </c>
      <c r="K339" s="58">
        <v>9.9989999999999996E-4</v>
      </c>
    </row>
    <row r="340" spans="1:11">
      <c r="A340" s="11">
        <v>18</v>
      </c>
      <c r="B340" s="35">
        <v>39854</v>
      </c>
      <c r="C340" s="20">
        <v>2009</v>
      </c>
      <c r="D340" s="10" t="s">
        <v>26</v>
      </c>
      <c r="E340" s="11">
        <v>2</v>
      </c>
      <c r="F340" s="49">
        <v>7.8920000000000003</v>
      </c>
      <c r="G340" s="49">
        <v>3.5000000000000003E-2</v>
      </c>
      <c r="H340" s="49">
        <v>1E-3</v>
      </c>
      <c r="I340" s="49">
        <v>3.5409999999999999</v>
      </c>
      <c r="J340" s="58">
        <v>3.5000000000000003E-2</v>
      </c>
      <c r="K340" s="58">
        <v>9.9989999999999996E-4</v>
      </c>
    </row>
    <row r="341" spans="1:11">
      <c r="A341" s="11">
        <v>1</v>
      </c>
      <c r="B341" s="35">
        <v>39890</v>
      </c>
      <c r="C341" s="20">
        <v>2009</v>
      </c>
      <c r="D341" s="10" t="s">
        <v>27</v>
      </c>
      <c r="E341" s="11">
        <v>3</v>
      </c>
      <c r="F341" s="49">
        <v>5.31</v>
      </c>
      <c r="G341" s="49">
        <v>1.6E-2</v>
      </c>
      <c r="H341" s="49">
        <v>1E-3</v>
      </c>
      <c r="I341" s="49">
        <v>1.546</v>
      </c>
      <c r="J341" s="58">
        <v>1.7000000000000001E-2</v>
      </c>
      <c r="K341" s="58">
        <v>9.9989999999999996E-4</v>
      </c>
    </row>
    <row r="342" spans="1:11">
      <c r="A342" s="11">
        <v>17</v>
      </c>
      <c r="B342" s="35">
        <v>39890</v>
      </c>
      <c r="C342" s="20">
        <v>2009</v>
      </c>
      <c r="D342" s="10" t="s">
        <v>27</v>
      </c>
      <c r="E342" s="11">
        <v>3</v>
      </c>
      <c r="F342" s="49">
        <v>6.157</v>
      </c>
      <c r="G342" s="49">
        <v>2.1000000000000001E-2</v>
      </c>
      <c r="H342" s="49">
        <v>1E-3</v>
      </c>
      <c r="I342" s="49">
        <v>2.8130000000000002</v>
      </c>
      <c r="J342" s="58">
        <v>1.7999999999999999E-2</v>
      </c>
      <c r="K342" s="58">
        <v>9.9989999999999996E-4</v>
      </c>
    </row>
    <row r="343" spans="1:11">
      <c r="A343" s="11">
        <v>18</v>
      </c>
      <c r="B343" s="35">
        <v>39890</v>
      </c>
      <c r="C343" s="20">
        <v>2009</v>
      </c>
      <c r="D343" s="10" t="s">
        <v>27</v>
      </c>
      <c r="E343" s="11">
        <v>3</v>
      </c>
      <c r="F343" s="49">
        <v>4.3600000000000003</v>
      </c>
      <c r="G343" s="49">
        <v>1.7999999999999999E-2</v>
      </c>
      <c r="H343" s="49">
        <v>1E-3</v>
      </c>
      <c r="I343" s="49">
        <v>1.9259999999999999</v>
      </c>
      <c r="J343" s="58">
        <v>2.4E-2</v>
      </c>
      <c r="K343" s="58">
        <v>9.9989999999999996E-4</v>
      </c>
    </row>
    <row r="344" spans="1:11">
      <c r="A344" s="11">
        <v>1</v>
      </c>
      <c r="B344" s="35">
        <v>39920</v>
      </c>
      <c r="C344" s="20">
        <v>2009</v>
      </c>
      <c r="D344" s="10" t="s">
        <v>28</v>
      </c>
      <c r="E344" s="11">
        <v>4</v>
      </c>
      <c r="F344" s="49">
        <v>2.0979999999999999</v>
      </c>
      <c r="G344" s="49">
        <v>1.0999999999999999E-2</v>
      </c>
      <c r="H344" s="49">
        <v>1E-3</v>
      </c>
      <c r="I344" s="49">
        <v>0.77600000000000002</v>
      </c>
      <c r="J344" s="58">
        <v>1.2999999999999999E-2</v>
      </c>
      <c r="K344" s="58">
        <v>9.9989999999999996E-4</v>
      </c>
    </row>
    <row r="345" spans="1:11">
      <c r="A345" s="11">
        <v>17</v>
      </c>
      <c r="B345" s="35">
        <v>39920</v>
      </c>
      <c r="C345" s="20">
        <v>2009</v>
      </c>
      <c r="D345" s="10" t="s">
        <v>28</v>
      </c>
      <c r="E345" s="11">
        <v>4</v>
      </c>
      <c r="F345" s="49">
        <v>5.343</v>
      </c>
      <c r="G345" s="49">
        <v>2.1000000000000001E-2</v>
      </c>
      <c r="H345" s="49">
        <v>1E-3</v>
      </c>
      <c r="I345" s="49">
        <v>2.2450000000000001</v>
      </c>
      <c r="J345" s="58">
        <v>1.9E-2</v>
      </c>
      <c r="K345" s="58">
        <v>9.9989999999999996E-4</v>
      </c>
    </row>
    <row r="346" spans="1:11">
      <c r="A346" s="11">
        <v>18</v>
      </c>
      <c r="B346" s="35">
        <v>39920</v>
      </c>
      <c r="C346" s="20">
        <v>2009</v>
      </c>
      <c r="D346" s="10" t="s">
        <v>28</v>
      </c>
      <c r="E346" s="11">
        <v>4</v>
      </c>
      <c r="F346" s="49">
        <v>2.637</v>
      </c>
      <c r="G346" s="49">
        <v>1.6E-2</v>
      </c>
      <c r="H346" s="49">
        <v>1E-3</v>
      </c>
      <c r="I346" s="49">
        <v>1.0529999999999999</v>
      </c>
      <c r="J346" s="58">
        <v>1.9E-2</v>
      </c>
      <c r="K346" s="58">
        <v>9.9989999999999996E-4</v>
      </c>
    </row>
    <row r="347" spans="1:11">
      <c r="A347" s="11">
        <v>1</v>
      </c>
      <c r="B347" s="35">
        <v>39945</v>
      </c>
      <c r="C347" s="20">
        <v>2009</v>
      </c>
      <c r="D347" s="10" t="s">
        <v>29</v>
      </c>
      <c r="E347" s="11">
        <v>5</v>
      </c>
      <c r="F347" s="49">
        <v>1.427</v>
      </c>
      <c r="G347" s="49">
        <v>9.9989999999999996E-4</v>
      </c>
      <c r="H347" s="49">
        <v>9.9989999999999996E-4</v>
      </c>
      <c r="I347" s="49">
        <v>0.34100000000000003</v>
      </c>
      <c r="J347" s="58">
        <v>8.9999999999999993E-3</v>
      </c>
      <c r="K347" s="58">
        <v>9.9989999999999996E-4</v>
      </c>
    </row>
    <row r="348" spans="1:11">
      <c r="A348" s="11">
        <v>17</v>
      </c>
      <c r="B348" s="35">
        <v>39945</v>
      </c>
      <c r="C348" s="20">
        <v>2009</v>
      </c>
      <c r="D348" s="10" t="s">
        <v>29</v>
      </c>
      <c r="E348" s="11">
        <v>5</v>
      </c>
      <c r="F348" s="49">
        <v>2.4870000000000001</v>
      </c>
      <c r="G348" s="49">
        <v>3.5000000000000003E-2</v>
      </c>
      <c r="H348" s="49">
        <v>1E-3</v>
      </c>
      <c r="I348" s="49">
        <v>0.88500000000000001</v>
      </c>
      <c r="J348" s="58">
        <v>1.2999999999999999E-2</v>
      </c>
      <c r="K348" s="58">
        <v>9.9989999999999996E-4</v>
      </c>
    </row>
    <row r="349" spans="1:11">
      <c r="A349" s="11">
        <v>18</v>
      </c>
      <c r="B349" s="35">
        <v>39945</v>
      </c>
      <c r="C349" s="20">
        <v>2009</v>
      </c>
      <c r="D349" s="10" t="s">
        <v>29</v>
      </c>
      <c r="E349" s="11">
        <v>5</v>
      </c>
      <c r="F349" s="49">
        <v>0.58299999999999996</v>
      </c>
      <c r="G349" s="49">
        <v>9.9989999999999996E-4</v>
      </c>
      <c r="H349" s="49">
        <v>9.9989999999999996E-4</v>
      </c>
      <c r="I349" s="49">
        <v>9.4E-2</v>
      </c>
      <c r="J349" s="58">
        <v>4.0000000000000001E-3</v>
      </c>
      <c r="K349" s="58">
        <v>9.9989999999999996E-4</v>
      </c>
    </row>
    <row r="350" spans="1:11">
      <c r="A350" s="20">
        <v>1</v>
      </c>
      <c r="B350" s="35">
        <v>39980</v>
      </c>
      <c r="C350" s="20">
        <v>2009</v>
      </c>
      <c r="D350" s="10" t="s">
        <v>30</v>
      </c>
      <c r="E350" s="11">
        <v>6</v>
      </c>
      <c r="F350" s="49">
        <v>3.859</v>
      </c>
      <c r="G350" s="49">
        <v>5.3999999999999999E-2</v>
      </c>
      <c r="H350" s="49">
        <v>1E-3</v>
      </c>
      <c r="I350" s="49">
        <v>0.80900000000000005</v>
      </c>
      <c r="J350" s="58">
        <v>4.3999999999999997E-2</v>
      </c>
      <c r="K350" s="58">
        <v>9.9989999999999996E-4</v>
      </c>
    </row>
    <row r="351" spans="1:11">
      <c r="A351" s="20">
        <v>17</v>
      </c>
      <c r="B351" s="35">
        <v>39980</v>
      </c>
      <c r="C351" s="20">
        <v>2009</v>
      </c>
      <c r="D351" s="10" t="s">
        <v>30</v>
      </c>
      <c r="E351" s="11">
        <v>6</v>
      </c>
      <c r="F351" s="49">
        <v>2.5499999999999998</v>
      </c>
      <c r="G351" s="49">
        <v>0.13400000000000001</v>
      </c>
      <c r="H351" s="49">
        <v>4.4999999999999998E-2</v>
      </c>
      <c r="I351" s="49">
        <v>0.65</v>
      </c>
      <c r="J351" s="58">
        <v>4.7E-2</v>
      </c>
      <c r="K351" s="58">
        <v>9.9989999999999996E-4</v>
      </c>
    </row>
    <row r="352" spans="1:11">
      <c r="A352" s="20">
        <v>18</v>
      </c>
      <c r="B352" s="35">
        <v>39980</v>
      </c>
      <c r="C352" s="20">
        <v>2009</v>
      </c>
      <c r="D352" s="10" t="s">
        <v>30</v>
      </c>
      <c r="E352" s="11">
        <v>6</v>
      </c>
      <c r="F352" s="49">
        <v>1.454</v>
      </c>
      <c r="G352" s="49">
        <v>2.5999999999999999E-2</v>
      </c>
      <c r="H352" s="49">
        <v>1E-3</v>
      </c>
      <c r="I352" s="49">
        <v>0.29599999999999999</v>
      </c>
      <c r="J352" s="58">
        <v>2.1000000000000001E-2</v>
      </c>
      <c r="K352" s="58">
        <v>9.9989999999999996E-4</v>
      </c>
    </row>
    <row r="353" spans="1:11">
      <c r="A353" s="20">
        <v>1</v>
      </c>
      <c r="B353" s="35">
        <v>40009</v>
      </c>
      <c r="C353" s="20">
        <v>2009</v>
      </c>
      <c r="D353" s="10" t="s">
        <v>31</v>
      </c>
      <c r="E353" s="11">
        <v>7</v>
      </c>
      <c r="F353" s="49">
        <v>6.5910000000000002</v>
      </c>
      <c r="G353" s="49">
        <v>0.27300000000000002</v>
      </c>
      <c r="H353" s="49">
        <v>1E-3</v>
      </c>
      <c r="I353" s="49">
        <v>0.89400000000000002</v>
      </c>
      <c r="J353" s="58">
        <v>0.17199999999999999</v>
      </c>
      <c r="K353" s="58">
        <v>9.9989999999999996E-4</v>
      </c>
    </row>
    <row r="354" spans="1:11">
      <c r="A354" s="20">
        <v>17</v>
      </c>
      <c r="B354" s="35">
        <v>40009</v>
      </c>
      <c r="C354" s="20">
        <v>2009</v>
      </c>
      <c r="D354" s="10" t="s">
        <v>31</v>
      </c>
      <c r="E354" s="11">
        <v>7</v>
      </c>
      <c r="F354" s="49">
        <v>7.6660000000000004</v>
      </c>
      <c r="G354" s="49">
        <v>6.7000000000000004E-2</v>
      </c>
      <c r="H354" s="49">
        <v>1E-3</v>
      </c>
      <c r="I354" s="49">
        <v>1.3879999999999999</v>
      </c>
      <c r="J354" s="58">
        <v>0.46300000000000002</v>
      </c>
      <c r="K354" s="58">
        <v>9.9989999999999996E-4</v>
      </c>
    </row>
    <row r="355" spans="1:11">
      <c r="A355" s="20">
        <v>18</v>
      </c>
      <c r="B355" s="35">
        <v>40009</v>
      </c>
      <c r="C355" s="20">
        <v>2009</v>
      </c>
      <c r="D355" s="10" t="s">
        <v>31</v>
      </c>
      <c r="E355" s="11">
        <v>7</v>
      </c>
      <c r="F355" s="49">
        <v>7.8890000000000002</v>
      </c>
      <c r="G355" s="49">
        <v>5.7000000000000002E-2</v>
      </c>
      <c r="H355" s="49">
        <v>2.1000000000000001E-2</v>
      </c>
      <c r="I355" s="49">
        <v>0.97599999999999998</v>
      </c>
      <c r="J355" s="58">
        <v>0.97099999999999997</v>
      </c>
      <c r="K355" s="58">
        <v>9.9989999999999996E-4</v>
      </c>
    </row>
    <row r="356" spans="1:11">
      <c r="A356" s="20">
        <v>1</v>
      </c>
      <c r="B356" s="35">
        <v>40043</v>
      </c>
      <c r="C356" s="20">
        <v>2009</v>
      </c>
      <c r="D356" s="10" t="s">
        <v>32</v>
      </c>
      <c r="E356" s="11">
        <v>8</v>
      </c>
      <c r="F356" s="49">
        <v>10.965</v>
      </c>
      <c r="G356" s="49">
        <v>0.26300000000000001</v>
      </c>
      <c r="H356" s="49">
        <v>1E-3</v>
      </c>
      <c r="I356" s="49">
        <v>2.202</v>
      </c>
      <c r="J356" s="58">
        <v>0.7</v>
      </c>
      <c r="K356" s="58">
        <v>9.9989999999999996E-4</v>
      </c>
    </row>
    <row r="357" spans="1:11">
      <c r="A357" s="20">
        <v>17</v>
      </c>
      <c r="B357" s="35">
        <v>40042</v>
      </c>
      <c r="C357" s="20">
        <v>2009</v>
      </c>
      <c r="D357" s="10" t="s">
        <v>32</v>
      </c>
      <c r="E357" s="11">
        <v>8</v>
      </c>
      <c r="F357" s="49">
        <v>13.443</v>
      </c>
      <c r="G357" s="49">
        <v>0.19600000000000001</v>
      </c>
      <c r="H357" s="49">
        <v>1E-3</v>
      </c>
      <c r="I357" s="49">
        <v>3.2229999999999999</v>
      </c>
      <c r="J357" s="58">
        <v>0.877</v>
      </c>
      <c r="K357" s="58">
        <v>9.9989999999999996E-4</v>
      </c>
    </row>
    <row r="358" spans="1:11">
      <c r="A358" s="20">
        <v>18</v>
      </c>
      <c r="B358" s="35">
        <v>40043</v>
      </c>
      <c r="C358" s="20">
        <v>2009</v>
      </c>
      <c r="D358" s="10" t="s">
        <v>32</v>
      </c>
      <c r="E358" s="11">
        <v>8</v>
      </c>
      <c r="F358" s="49">
        <v>8.1050000000000004</v>
      </c>
      <c r="G358" s="49">
        <v>0.17299999999999999</v>
      </c>
      <c r="H358" s="49">
        <v>9.9989999999999996E-4</v>
      </c>
      <c r="I358" s="49">
        <v>1.397</v>
      </c>
      <c r="J358" s="58">
        <v>0.77900000000000003</v>
      </c>
      <c r="K358" s="58">
        <v>9.9989999999999996E-4</v>
      </c>
    </row>
    <row r="359" spans="1:11">
      <c r="A359" s="20">
        <v>1</v>
      </c>
      <c r="B359" s="35">
        <v>40070</v>
      </c>
      <c r="C359" s="20">
        <v>2009</v>
      </c>
      <c r="D359" s="10" t="s">
        <v>38</v>
      </c>
      <c r="E359" s="11">
        <v>9</v>
      </c>
      <c r="F359" s="49">
        <v>5.4669999999999996</v>
      </c>
      <c r="G359" s="49">
        <v>0.155</v>
      </c>
      <c r="H359" s="49">
        <v>9.9989999999999996E-4</v>
      </c>
      <c r="I359" s="49">
        <v>1.298</v>
      </c>
      <c r="J359" s="58">
        <v>4.7E-2</v>
      </c>
      <c r="K359" s="58">
        <v>9.9989999999999996E-4</v>
      </c>
    </row>
    <row r="360" spans="1:11">
      <c r="A360" s="20">
        <v>17</v>
      </c>
      <c r="B360" s="35">
        <v>40070</v>
      </c>
      <c r="C360" s="20">
        <v>2009</v>
      </c>
      <c r="D360" s="10" t="s">
        <v>38</v>
      </c>
      <c r="E360" s="11">
        <v>9</v>
      </c>
      <c r="F360" s="49">
        <v>8.1430000000000007</v>
      </c>
      <c r="G360" s="49">
        <v>0.215</v>
      </c>
      <c r="H360" s="49">
        <v>9.9989999999999996E-4</v>
      </c>
      <c r="I360" s="49">
        <v>1.9259999999999999</v>
      </c>
      <c r="J360" s="58">
        <v>0.17399999999999999</v>
      </c>
      <c r="K360" s="58">
        <v>9.9989999999999996E-4</v>
      </c>
    </row>
    <row r="361" spans="1:11">
      <c r="A361" s="20">
        <v>18</v>
      </c>
      <c r="B361" s="35">
        <v>40070</v>
      </c>
      <c r="C361" s="20">
        <v>2009</v>
      </c>
      <c r="D361" s="10" t="s">
        <v>38</v>
      </c>
      <c r="E361" s="11">
        <v>9</v>
      </c>
      <c r="F361" s="49">
        <v>5.9870000000000001</v>
      </c>
      <c r="G361" s="49">
        <v>0.14399999999999999</v>
      </c>
      <c r="H361" s="49">
        <v>9.9989999999999996E-4</v>
      </c>
      <c r="I361" s="49">
        <v>1.55</v>
      </c>
      <c r="J361" s="58">
        <v>6.5000000000000002E-2</v>
      </c>
      <c r="K361" s="58">
        <v>9.9989999999999996E-4</v>
      </c>
    </row>
    <row r="362" spans="1:11">
      <c r="A362" s="20">
        <v>1</v>
      </c>
      <c r="B362" s="35">
        <v>40099</v>
      </c>
      <c r="C362" s="20">
        <v>2009</v>
      </c>
      <c r="D362" s="10" t="s">
        <v>34</v>
      </c>
      <c r="E362" s="11">
        <v>10</v>
      </c>
      <c r="F362" s="49">
        <v>3.48</v>
      </c>
      <c r="G362" s="49">
        <v>3.5000000000000003E-2</v>
      </c>
      <c r="H362" s="49">
        <v>9.9989999999999996E-4</v>
      </c>
      <c r="I362" s="49">
        <v>0.66700000000000004</v>
      </c>
      <c r="J362" s="58">
        <v>0.113</v>
      </c>
      <c r="K362" s="58">
        <v>9.9989999999999996E-4</v>
      </c>
    </row>
    <row r="363" spans="1:11">
      <c r="A363" s="20">
        <v>17</v>
      </c>
      <c r="B363" s="35">
        <v>40099</v>
      </c>
      <c r="C363" s="20">
        <v>2009</v>
      </c>
      <c r="D363" s="10" t="s">
        <v>34</v>
      </c>
      <c r="E363" s="11">
        <v>10</v>
      </c>
      <c r="F363" s="49">
        <v>2.7290000000000001</v>
      </c>
      <c r="G363" s="49">
        <v>2.4E-2</v>
      </c>
      <c r="H363" s="49">
        <v>9.9989999999999996E-4</v>
      </c>
      <c r="I363" s="49">
        <v>0.71199999999999997</v>
      </c>
      <c r="J363" s="58">
        <v>0.106</v>
      </c>
      <c r="K363" s="58">
        <v>9.9989999999999996E-4</v>
      </c>
    </row>
    <row r="364" spans="1:11">
      <c r="A364" s="20">
        <v>18</v>
      </c>
      <c r="B364" s="35">
        <v>40099</v>
      </c>
      <c r="C364" s="20">
        <v>2009</v>
      </c>
      <c r="D364" s="10" t="s">
        <v>34</v>
      </c>
      <c r="E364" s="11">
        <v>10</v>
      </c>
      <c r="F364" s="49">
        <v>1.4590000000000001</v>
      </c>
      <c r="G364" s="49">
        <v>1.4999999999999999E-2</v>
      </c>
      <c r="H364" s="49">
        <v>9.9989999999999996E-4</v>
      </c>
      <c r="I364" s="49">
        <v>0.312</v>
      </c>
      <c r="J364" s="58">
        <v>5.8000000000000003E-2</v>
      </c>
      <c r="K364" s="58">
        <v>9.9989999999999996E-4</v>
      </c>
    </row>
    <row r="365" spans="1:11">
      <c r="A365" s="20">
        <v>1</v>
      </c>
      <c r="B365" s="35">
        <v>40134</v>
      </c>
      <c r="C365" s="20">
        <v>2009</v>
      </c>
      <c r="D365" s="10" t="s">
        <v>35</v>
      </c>
      <c r="E365" s="11">
        <v>11</v>
      </c>
      <c r="F365" s="49">
        <v>4.8970000000000002</v>
      </c>
      <c r="G365" s="49">
        <v>1.0960000000000001</v>
      </c>
      <c r="H365" s="49">
        <v>1E-3</v>
      </c>
      <c r="I365" s="49">
        <v>0.83599999999999997</v>
      </c>
      <c r="J365" s="58">
        <v>3.3000000000000002E-2</v>
      </c>
      <c r="K365" s="58">
        <v>9.9989999999999996E-4</v>
      </c>
    </row>
    <row r="366" spans="1:11">
      <c r="A366" s="20">
        <v>17</v>
      </c>
      <c r="B366" s="35">
        <v>40134</v>
      </c>
      <c r="C366" s="20">
        <v>2009</v>
      </c>
      <c r="D366" s="10" t="s">
        <v>35</v>
      </c>
      <c r="E366" s="11">
        <v>11</v>
      </c>
      <c r="F366" s="49">
        <v>5.0730000000000004</v>
      </c>
      <c r="G366" s="49">
        <v>1.512</v>
      </c>
      <c r="H366" s="49">
        <v>1E-3</v>
      </c>
      <c r="I366" s="49">
        <v>0.497</v>
      </c>
      <c r="J366" s="58">
        <v>2.5000000000000001E-2</v>
      </c>
      <c r="K366" s="58">
        <v>9.9989999999999996E-4</v>
      </c>
    </row>
    <row r="367" spans="1:11">
      <c r="A367" s="20">
        <v>18</v>
      </c>
      <c r="B367" s="35">
        <v>40134</v>
      </c>
      <c r="C367" s="20">
        <v>2009</v>
      </c>
      <c r="D367" s="10" t="s">
        <v>35</v>
      </c>
      <c r="E367" s="11">
        <v>11</v>
      </c>
      <c r="F367" s="49">
        <v>2.7690000000000001</v>
      </c>
      <c r="G367" s="49">
        <v>0.34499999999999997</v>
      </c>
      <c r="H367" s="49">
        <v>9.9989999999999996E-4</v>
      </c>
      <c r="I367" s="49">
        <v>0.47399999999999998</v>
      </c>
      <c r="J367" s="58">
        <v>2.9000000000000001E-2</v>
      </c>
      <c r="K367" s="58">
        <v>9.9989999999999996E-4</v>
      </c>
    </row>
    <row r="368" spans="1:11">
      <c r="A368" s="20">
        <v>1</v>
      </c>
      <c r="B368" s="35">
        <v>40162</v>
      </c>
      <c r="C368" s="20">
        <v>2009</v>
      </c>
      <c r="D368" s="10" t="s">
        <v>36</v>
      </c>
      <c r="E368" s="11">
        <v>12</v>
      </c>
      <c r="F368" s="49">
        <v>5.5389999999999997</v>
      </c>
      <c r="G368" s="49">
        <v>9.1999999999999998E-2</v>
      </c>
      <c r="H368" s="49">
        <v>9.9989999999999996E-4</v>
      </c>
      <c r="I368" s="78">
        <v>1.4330000000000001</v>
      </c>
      <c r="J368" s="58">
        <v>1.6E-2</v>
      </c>
      <c r="K368" s="58">
        <v>9.9989999999999996E-4</v>
      </c>
    </row>
    <row r="369" spans="1:18">
      <c r="A369" s="20">
        <v>17</v>
      </c>
      <c r="B369" s="35">
        <v>40162</v>
      </c>
      <c r="C369" s="20">
        <v>2009</v>
      </c>
      <c r="D369" s="10" t="s">
        <v>36</v>
      </c>
      <c r="E369" s="11">
        <v>12</v>
      </c>
      <c r="F369" s="49">
        <v>5.2210000000000001</v>
      </c>
      <c r="G369" s="49">
        <v>4.7E-2</v>
      </c>
      <c r="H369" s="49">
        <v>9.9989999999999996E-4</v>
      </c>
      <c r="I369" s="78">
        <v>1.643</v>
      </c>
      <c r="J369" s="58">
        <v>1.7999999999999999E-2</v>
      </c>
      <c r="K369" s="58">
        <v>9.9989999999999996E-4</v>
      </c>
    </row>
    <row r="370" spans="1:18" ht="25.5">
      <c r="A370" s="20">
        <v>18</v>
      </c>
      <c r="B370" s="35">
        <v>40162</v>
      </c>
      <c r="C370" s="20">
        <v>2009</v>
      </c>
      <c r="D370" s="10" t="s">
        <v>36</v>
      </c>
      <c r="E370" s="11">
        <v>12</v>
      </c>
      <c r="F370" s="49">
        <v>5.2110000000000003</v>
      </c>
      <c r="G370" s="49">
        <v>0.03</v>
      </c>
      <c r="H370" s="49">
        <v>9.9989999999999996E-4</v>
      </c>
      <c r="I370" s="78">
        <v>1.7130000000000001</v>
      </c>
      <c r="J370" s="58">
        <v>0.02</v>
      </c>
      <c r="K370" s="58">
        <v>9.9989999999999996E-4</v>
      </c>
      <c r="L370" s="62" t="s">
        <v>60</v>
      </c>
      <c r="M370" s="5" t="s">
        <v>5</v>
      </c>
      <c r="N370" s="5" t="s">
        <v>6</v>
      </c>
      <c r="O370" s="5" t="s">
        <v>7</v>
      </c>
      <c r="P370" s="5" t="s">
        <v>8</v>
      </c>
      <c r="Q370" s="5" t="s">
        <v>9</v>
      </c>
      <c r="R370" s="5" t="s">
        <v>10</v>
      </c>
    </row>
    <row r="371" spans="1:18">
      <c r="A371" s="23">
        <v>1</v>
      </c>
      <c r="B371" s="27">
        <v>40198</v>
      </c>
      <c r="C371" s="23">
        <v>2010</v>
      </c>
      <c r="D371" s="18" t="s">
        <v>37</v>
      </c>
      <c r="E371" s="17">
        <v>1</v>
      </c>
      <c r="F371" s="77">
        <v>3.964</v>
      </c>
      <c r="G371" s="77">
        <v>0.11821637499999998</v>
      </c>
      <c r="H371" s="77">
        <v>0</v>
      </c>
      <c r="I371" s="79">
        <v>1.6018285000000001</v>
      </c>
      <c r="J371" s="75">
        <v>9.9383749999999993E-3</v>
      </c>
      <c r="K371" s="75">
        <v>0</v>
      </c>
      <c r="L371" s="62" t="s">
        <v>62</v>
      </c>
      <c r="M371" s="50">
        <f t="shared" ref="M371:R371" si="7">AVERAGE(F371:F406)</f>
        <v>5.3373055555555542</v>
      </c>
      <c r="N371" s="50">
        <f t="shared" si="7"/>
        <v>0.38955068402777776</v>
      </c>
      <c r="O371" s="50">
        <f t="shared" si="7"/>
        <v>2.2643159722222223E-3</v>
      </c>
      <c r="P371" s="50">
        <f t="shared" si="7"/>
        <v>1.9248021284722219</v>
      </c>
      <c r="Q371" s="50">
        <f t="shared" si="7"/>
        <v>0.11809648958333334</v>
      </c>
      <c r="R371" s="50">
        <f t="shared" si="7"/>
        <v>6.8738541666666644E-4</v>
      </c>
    </row>
    <row r="372" spans="1:18">
      <c r="A372" s="20">
        <v>17</v>
      </c>
      <c r="B372" s="25">
        <v>40198</v>
      </c>
      <c r="C372" s="20">
        <v>2010</v>
      </c>
      <c r="D372" s="10" t="s">
        <v>37</v>
      </c>
      <c r="E372" s="11">
        <v>1</v>
      </c>
      <c r="F372" s="49">
        <v>8.7780000000000005</v>
      </c>
      <c r="G372" s="49">
        <v>0.14178137499999999</v>
      </c>
      <c r="H372" s="49">
        <v>0</v>
      </c>
      <c r="I372" s="78">
        <v>4.0140238749999995</v>
      </c>
      <c r="J372" s="58">
        <v>1.3779125E-2</v>
      </c>
      <c r="K372" s="58">
        <v>0</v>
      </c>
    </row>
    <row r="373" spans="1:18">
      <c r="A373" s="20">
        <v>18</v>
      </c>
      <c r="B373" s="25">
        <v>40198</v>
      </c>
      <c r="C373" s="20">
        <v>2010</v>
      </c>
      <c r="D373" s="10" t="s">
        <v>37</v>
      </c>
      <c r="E373" s="11">
        <v>1</v>
      </c>
      <c r="F373" s="49">
        <v>7.07</v>
      </c>
      <c r="G373" s="49">
        <v>0.13307887500000001</v>
      </c>
      <c r="H373" s="49">
        <v>0</v>
      </c>
      <c r="I373" s="78">
        <v>3.1431434999999994</v>
      </c>
      <c r="J373" s="58">
        <v>1.3148875000000001E-2</v>
      </c>
      <c r="K373" s="58">
        <v>0</v>
      </c>
    </row>
    <row r="374" spans="1:18">
      <c r="A374" s="20">
        <v>1</v>
      </c>
      <c r="B374" s="25">
        <v>40225</v>
      </c>
      <c r="C374" s="20">
        <v>2010</v>
      </c>
      <c r="D374" s="10" t="s">
        <v>26</v>
      </c>
      <c r="E374" s="11">
        <v>2</v>
      </c>
      <c r="F374" s="49">
        <v>6.87</v>
      </c>
      <c r="G374" s="49">
        <v>2.2751881250000001</v>
      </c>
      <c r="H374" s="49">
        <v>0</v>
      </c>
      <c r="I374" s="78">
        <v>1.2419696250000001</v>
      </c>
      <c r="J374" s="58">
        <v>1.5066125E-2</v>
      </c>
      <c r="K374" s="58">
        <v>0</v>
      </c>
    </row>
    <row r="375" spans="1:18">
      <c r="A375" s="20">
        <v>17</v>
      </c>
      <c r="B375" s="25">
        <v>40225</v>
      </c>
      <c r="C375" s="20">
        <v>2010</v>
      </c>
      <c r="D375" s="10" t="s">
        <v>26</v>
      </c>
      <c r="E375" s="11">
        <v>2</v>
      </c>
      <c r="F375" s="49">
        <v>17.588999999999999</v>
      </c>
      <c r="G375" s="49">
        <v>6.4709312499999978</v>
      </c>
      <c r="H375" s="49">
        <v>0</v>
      </c>
      <c r="I375" s="78">
        <v>3.119885</v>
      </c>
      <c r="J375" s="58">
        <v>2.4088999999999992E-2</v>
      </c>
      <c r="K375" s="58">
        <v>0</v>
      </c>
    </row>
    <row r="376" spans="1:18">
      <c r="A376" s="20">
        <v>18</v>
      </c>
      <c r="B376" s="25">
        <v>40225</v>
      </c>
      <c r="C376" s="20">
        <v>2010</v>
      </c>
      <c r="D376" s="10" t="s">
        <v>26</v>
      </c>
      <c r="E376" s="11">
        <v>2</v>
      </c>
      <c r="F376" s="49">
        <v>6.3470000000000004</v>
      </c>
      <c r="G376" s="49">
        <v>1.8415249999999999</v>
      </c>
      <c r="H376" s="49">
        <v>0</v>
      </c>
      <c r="I376" s="78">
        <v>1.3952260000000003</v>
      </c>
      <c r="J376" s="58">
        <v>0</v>
      </c>
      <c r="K376" s="58">
        <v>0</v>
      </c>
    </row>
    <row r="377" spans="1:18">
      <c r="A377" s="20">
        <v>1</v>
      </c>
      <c r="B377" s="25">
        <v>40254</v>
      </c>
      <c r="C377" s="20">
        <v>2010</v>
      </c>
      <c r="D377" s="10" t="s">
        <v>27</v>
      </c>
      <c r="E377" s="11">
        <v>3</v>
      </c>
      <c r="F377" s="49">
        <v>1.57</v>
      </c>
      <c r="G377" s="49">
        <v>3.1214499999999996E-2</v>
      </c>
      <c r="H377" s="49">
        <v>0</v>
      </c>
      <c r="I377" s="78">
        <v>0.33486050000000001</v>
      </c>
      <c r="J377" s="58">
        <v>8.0541499999999988E-2</v>
      </c>
      <c r="K377" s="58">
        <v>0</v>
      </c>
    </row>
    <row r="378" spans="1:18">
      <c r="A378" s="20">
        <v>17</v>
      </c>
      <c r="B378" s="25">
        <v>40254</v>
      </c>
      <c r="C378" s="20">
        <v>2010</v>
      </c>
      <c r="D378" s="10" t="s">
        <v>27</v>
      </c>
      <c r="E378" s="11">
        <v>3</v>
      </c>
      <c r="F378" s="49">
        <v>2.8690000000000002</v>
      </c>
      <c r="G378" s="49">
        <v>6.7443874999999986E-2</v>
      </c>
      <c r="H378" s="49">
        <v>0</v>
      </c>
      <c r="I378" s="78">
        <v>1.041084125</v>
      </c>
      <c r="J378" s="58">
        <v>1.5839375000000003E-2</v>
      </c>
      <c r="K378" s="58">
        <v>0</v>
      </c>
    </row>
    <row r="379" spans="1:18">
      <c r="A379" s="20">
        <v>18</v>
      </c>
      <c r="B379" s="25">
        <v>40254</v>
      </c>
      <c r="C379" s="20">
        <v>2010</v>
      </c>
      <c r="D379" s="10" t="s">
        <v>27</v>
      </c>
      <c r="E379" s="11">
        <v>3</v>
      </c>
      <c r="F379" s="49">
        <v>3.1829999999999998</v>
      </c>
      <c r="G379" s="49">
        <v>6.7752750000000014E-2</v>
      </c>
      <c r="H379" s="49">
        <v>0</v>
      </c>
      <c r="I379" s="78">
        <v>1.448157125</v>
      </c>
      <c r="J379" s="58">
        <v>2.0600125E-2</v>
      </c>
      <c r="K379" s="58">
        <v>0</v>
      </c>
    </row>
    <row r="380" spans="1:18">
      <c r="A380" s="20">
        <v>1</v>
      </c>
      <c r="B380" s="25">
        <v>40282</v>
      </c>
      <c r="C380" s="20">
        <v>2010</v>
      </c>
      <c r="D380" s="10" t="s">
        <v>28</v>
      </c>
      <c r="E380" s="11">
        <v>4</v>
      </c>
      <c r="F380" s="49">
        <v>3.3370000000000002</v>
      </c>
      <c r="G380" s="49">
        <v>5.9109124999999992E-2</v>
      </c>
      <c r="H380" s="49">
        <v>0</v>
      </c>
      <c r="I380" s="78">
        <v>1.3341902499999998</v>
      </c>
      <c r="J380" s="58">
        <v>2.3836875000000004E-2</v>
      </c>
      <c r="K380" s="58">
        <v>0</v>
      </c>
    </row>
    <row r="381" spans="1:18">
      <c r="A381" s="20">
        <v>17</v>
      </c>
      <c r="B381" s="25">
        <v>40282</v>
      </c>
      <c r="C381" s="20">
        <v>2010</v>
      </c>
      <c r="D381" s="10" t="s">
        <v>28</v>
      </c>
      <c r="E381" s="11">
        <v>4</v>
      </c>
      <c r="F381" s="49">
        <v>4.6260000000000003</v>
      </c>
      <c r="G381" s="49">
        <v>4.4080499999999995E-2</v>
      </c>
      <c r="H381" s="49">
        <v>0</v>
      </c>
      <c r="I381" s="78">
        <v>2.403057</v>
      </c>
      <c r="J381" s="58">
        <v>2.9251124999999996E-2</v>
      </c>
      <c r="K381" s="58">
        <v>0</v>
      </c>
    </row>
    <row r="382" spans="1:18">
      <c r="A382" s="20">
        <v>18</v>
      </c>
      <c r="B382" s="25">
        <v>40282</v>
      </c>
      <c r="C382" s="20">
        <v>2010</v>
      </c>
      <c r="D382" s="10" t="s">
        <v>28</v>
      </c>
      <c r="E382" s="11">
        <v>4</v>
      </c>
      <c r="F382" s="51">
        <v>3.17</v>
      </c>
      <c r="G382" s="51">
        <v>3.7747250000000003E-2</v>
      </c>
      <c r="H382" s="51">
        <v>0</v>
      </c>
      <c r="I382" s="80">
        <v>1.5308736249999999</v>
      </c>
      <c r="J382" s="58">
        <v>3.0602624999999998E-2</v>
      </c>
      <c r="K382" s="58">
        <v>0</v>
      </c>
    </row>
    <row r="383" spans="1:18">
      <c r="A383" s="20">
        <v>1</v>
      </c>
      <c r="B383" s="35">
        <v>40315</v>
      </c>
      <c r="C383" s="20">
        <v>2010</v>
      </c>
      <c r="D383" s="10" t="s">
        <v>29</v>
      </c>
      <c r="E383" s="11">
        <v>5</v>
      </c>
      <c r="F383" s="52">
        <v>0.67200000000000004</v>
      </c>
      <c r="G383" s="52">
        <v>2.9017999999999995E-2</v>
      </c>
      <c r="H383" s="52">
        <v>0</v>
      </c>
      <c r="I383" s="52">
        <v>0.20917487500000001</v>
      </c>
      <c r="J383" s="52">
        <v>1.7032749999999999E-2</v>
      </c>
      <c r="K383" s="52">
        <v>0</v>
      </c>
    </row>
    <row r="384" spans="1:18">
      <c r="A384" s="20">
        <v>17</v>
      </c>
      <c r="B384" s="35">
        <v>40315</v>
      </c>
      <c r="C384" s="20">
        <v>2010</v>
      </c>
      <c r="D384" s="10" t="s">
        <v>29</v>
      </c>
      <c r="E384" s="11">
        <v>5</v>
      </c>
      <c r="F384" s="52">
        <v>1.71</v>
      </c>
      <c r="G384" s="52">
        <v>0</v>
      </c>
      <c r="H384" s="52">
        <v>0</v>
      </c>
      <c r="I384" s="52">
        <v>0.72932387499999995</v>
      </c>
      <c r="J384" s="52">
        <v>4.4653499999999999E-2</v>
      </c>
      <c r="K384" s="52">
        <v>0</v>
      </c>
    </row>
    <row r="385" spans="1:11">
      <c r="A385" s="20">
        <v>18</v>
      </c>
      <c r="B385" s="35">
        <v>40315</v>
      </c>
      <c r="C385" s="20">
        <v>2010</v>
      </c>
      <c r="D385" s="10" t="s">
        <v>29</v>
      </c>
      <c r="E385" s="11">
        <v>5</v>
      </c>
      <c r="F385" s="52">
        <v>0.433</v>
      </c>
      <c r="G385" s="52">
        <v>0</v>
      </c>
      <c r="H385" s="52">
        <v>0</v>
      </c>
      <c r="I385" s="52">
        <v>0.13274887499999999</v>
      </c>
      <c r="J385" s="52">
        <v>1.8049375000000003E-2</v>
      </c>
      <c r="K385" s="52">
        <v>0</v>
      </c>
    </row>
    <row r="386" spans="1:11">
      <c r="A386" s="20">
        <v>1</v>
      </c>
      <c r="B386" s="35">
        <v>40344</v>
      </c>
      <c r="C386" s="20">
        <v>2010</v>
      </c>
      <c r="D386" s="10" t="s">
        <v>30</v>
      </c>
      <c r="E386" s="11">
        <v>6</v>
      </c>
      <c r="F386" s="52">
        <v>2.6179999999999999</v>
      </c>
      <c r="G386" s="52">
        <v>9.415262499999999E-2</v>
      </c>
      <c r="H386" s="52">
        <v>0</v>
      </c>
      <c r="I386" s="52">
        <v>0.68824137500000004</v>
      </c>
      <c r="J386" s="52">
        <v>0.19022587499999999</v>
      </c>
      <c r="K386" s="52">
        <v>0</v>
      </c>
    </row>
    <row r="387" spans="1:11">
      <c r="A387" s="20">
        <v>17</v>
      </c>
      <c r="B387" s="35">
        <v>40344</v>
      </c>
      <c r="C387" s="20">
        <v>2010</v>
      </c>
      <c r="D387" s="10" t="s">
        <v>30</v>
      </c>
      <c r="E387" s="11">
        <v>6</v>
      </c>
      <c r="F387" s="52">
        <v>2.0750000000000002</v>
      </c>
      <c r="G387" s="52">
        <v>0.14132937500000001</v>
      </c>
      <c r="H387" s="52">
        <v>0</v>
      </c>
      <c r="I387" s="52">
        <v>0.49353124999999992</v>
      </c>
      <c r="J387" s="52">
        <v>0.25558637499999992</v>
      </c>
      <c r="K387" s="52">
        <v>0</v>
      </c>
    </row>
    <row r="388" spans="1:11">
      <c r="A388" s="20">
        <v>18</v>
      </c>
      <c r="B388" s="35">
        <v>40344</v>
      </c>
      <c r="C388" s="20">
        <v>2010</v>
      </c>
      <c r="D388" s="10" t="s">
        <v>30</v>
      </c>
      <c r="E388" s="11">
        <v>6</v>
      </c>
      <c r="F388" s="52">
        <v>3.0760000000000001</v>
      </c>
      <c r="G388" s="52">
        <v>0.16089775000000001</v>
      </c>
      <c r="H388" s="52">
        <v>0</v>
      </c>
      <c r="I388" s="52">
        <v>1.0960773749999997</v>
      </c>
      <c r="J388" s="52">
        <v>0.26170262500000002</v>
      </c>
      <c r="K388" s="52">
        <v>0</v>
      </c>
    </row>
    <row r="389" spans="1:11">
      <c r="A389" s="20">
        <v>1</v>
      </c>
      <c r="B389" s="35">
        <v>40371</v>
      </c>
      <c r="C389" s="20">
        <v>2010</v>
      </c>
      <c r="D389" s="10" t="s">
        <v>31</v>
      </c>
      <c r="E389" s="11">
        <v>7</v>
      </c>
      <c r="F389" s="52">
        <v>7.69</v>
      </c>
      <c r="G389" s="52">
        <v>0.29006025000000002</v>
      </c>
      <c r="H389" s="52">
        <v>0</v>
      </c>
      <c r="I389" s="52">
        <v>2.5592174999999995</v>
      </c>
      <c r="J389" s="52">
        <v>0.12024099999999999</v>
      </c>
      <c r="K389" s="52">
        <v>0</v>
      </c>
    </row>
    <row r="390" spans="1:11">
      <c r="A390" s="20">
        <v>17</v>
      </c>
      <c r="B390" s="35">
        <v>40371</v>
      </c>
      <c r="C390" s="20">
        <v>2010</v>
      </c>
      <c r="D390" s="10" t="s">
        <v>31</v>
      </c>
      <c r="E390" s="11">
        <v>7</v>
      </c>
      <c r="F390" s="52">
        <v>5.4009999999999998</v>
      </c>
      <c r="G390" s="52">
        <v>0.27021625000000005</v>
      </c>
      <c r="H390" s="52">
        <v>1.6423E-2</v>
      </c>
      <c r="I390" s="52">
        <v>2.7198604999999998</v>
      </c>
      <c r="J390" s="52">
        <v>0.13698674999999999</v>
      </c>
      <c r="K390" s="52">
        <v>0</v>
      </c>
    </row>
    <row r="391" spans="1:11">
      <c r="A391" s="20">
        <v>18</v>
      </c>
      <c r="B391" s="35">
        <v>40371</v>
      </c>
      <c r="C391" s="20">
        <v>2010</v>
      </c>
      <c r="D391" s="10" t="s">
        <v>31</v>
      </c>
      <c r="E391" s="11">
        <v>7</v>
      </c>
      <c r="F391" s="52">
        <v>4.92</v>
      </c>
      <c r="G391" s="52">
        <v>0.10162674999999999</v>
      </c>
      <c r="H391" s="52">
        <v>0</v>
      </c>
      <c r="I391" s="52">
        <v>1.8677595</v>
      </c>
      <c r="J391" s="52">
        <v>0.10277812499999997</v>
      </c>
      <c r="K391" s="52">
        <v>0</v>
      </c>
    </row>
    <row r="392" spans="1:11">
      <c r="A392" s="20">
        <v>1</v>
      </c>
      <c r="B392" s="35">
        <v>40407</v>
      </c>
      <c r="C392" s="20">
        <v>2010</v>
      </c>
      <c r="D392" s="10" t="s">
        <v>32</v>
      </c>
      <c r="E392" s="11">
        <v>8</v>
      </c>
      <c r="F392" s="52">
        <v>11.997</v>
      </c>
      <c r="G392" s="52">
        <v>0.31553487499999999</v>
      </c>
      <c r="H392" s="52">
        <v>0</v>
      </c>
      <c r="I392" s="52">
        <v>4.3482081250000002</v>
      </c>
      <c r="J392" s="52">
        <v>0.40655499999999994</v>
      </c>
      <c r="K392" s="52">
        <v>0</v>
      </c>
    </row>
    <row r="393" spans="1:11">
      <c r="A393" s="20">
        <v>17</v>
      </c>
      <c r="B393" s="35">
        <v>40407</v>
      </c>
      <c r="C393" s="20">
        <v>2010</v>
      </c>
      <c r="D393" s="10" t="s">
        <v>32</v>
      </c>
      <c r="E393" s="11">
        <v>8</v>
      </c>
      <c r="F393" s="52">
        <v>12.503</v>
      </c>
      <c r="G393" s="52">
        <v>0.36192612499999999</v>
      </c>
      <c r="H393" s="52">
        <v>0</v>
      </c>
      <c r="I393" s="52">
        <v>4.9808801249999997</v>
      </c>
      <c r="J393" s="52">
        <v>0.62758599999999998</v>
      </c>
      <c r="K393" s="52">
        <v>0</v>
      </c>
    </row>
    <row r="394" spans="1:11">
      <c r="A394" s="20">
        <v>18</v>
      </c>
      <c r="B394" s="35">
        <v>40407</v>
      </c>
      <c r="C394" s="20">
        <v>2010</v>
      </c>
      <c r="D394" s="10" t="s">
        <v>32</v>
      </c>
      <c r="E394" s="11">
        <v>8</v>
      </c>
      <c r="F394" s="52">
        <v>8.4649999999999999</v>
      </c>
      <c r="G394" s="52">
        <v>0.27212950000000002</v>
      </c>
      <c r="H394" s="52">
        <v>0</v>
      </c>
      <c r="I394" s="52">
        <v>3.2072715000000001</v>
      </c>
      <c r="J394" s="52">
        <v>0.34550162500000003</v>
      </c>
      <c r="K394" s="52">
        <v>0</v>
      </c>
    </row>
    <row r="395" spans="1:11">
      <c r="A395" s="20">
        <v>1</v>
      </c>
      <c r="B395" s="35">
        <v>40436</v>
      </c>
      <c r="C395" s="20">
        <v>2010</v>
      </c>
      <c r="D395" s="10" t="s">
        <v>38</v>
      </c>
      <c r="E395" s="11">
        <v>9</v>
      </c>
      <c r="F395" s="52">
        <v>9.1959999999999997</v>
      </c>
      <c r="G395" s="52">
        <v>0.18705250000000001</v>
      </c>
      <c r="H395" s="52">
        <v>0</v>
      </c>
      <c r="I395" s="52">
        <v>4.0326351249999997</v>
      </c>
      <c r="J395" s="52">
        <v>0.26796224999999996</v>
      </c>
      <c r="K395" s="52">
        <v>0</v>
      </c>
    </row>
    <row r="396" spans="1:11">
      <c r="A396" s="20">
        <v>17</v>
      </c>
      <c r="B396" s="35">
        <v>40436</v>
      </c>
      <c r="C396" s="20">
        <v>2010</v>
      </c>
      <c r="D396" s="10" t="s">
        <v>38</v>
      </c>
      <c r="E396" s="11">
        <v>9</v>
      </c>
      <c r="F396" s="52">
        <v>6.9210000000000003</v>
      </c>
      <c r="G396" s="52">
        <v>0.16507375000000002</v>
      </c>
      <c r="H396" s="52">
        <v>5.1129250000000001E-2</v>
      </c>
      <c r="I396" s="52">
        <v>3.4665370000000002</v>
      </c>
      <c r="J396" s="52">
        <v>0.274526875</v>
      </c>
      <c r="K396" s="52">
        <v>2.4745874999999994E-2</v>
      </c>
    </row>
    <row r="397" spans="1:11">
      <c r="A397" s="20">
        <v>18</v>
      </c>
      <c r="B397" s="35">
        <v>40436</v>
      </c>
      <c r="C397" s="20">
        <v>2010</v>
      </c>
      <c r="D397" s="10" t="s">
        <v>38</v>
      </c>
      <c r="E397" s="11">
        <v>9</v>
      </c>
      <c r="F397" s="52">
        <v>7.9589999999999996</v>
      </c>
      <c r="G397" s="52">
        <v>7.7819749999999979E-2</v>
      </c>
      <c r="H397" s="52">
        <v>0</v>
      </c>
      <c r="I397" s="52">
        <v>3.5391910000000006</v>
      </c>
      <c r="J397" s="52">
        <v>0.18405575000000002</v>
      </c>
      <c r="K397" s="52">
        <v>0</v>
      </c>
    </row>
    <row r="398" spans="1:11">
      <c r="A398" s="20">
        <v>1</v>
      </c>
      <c r="B398" s="35">
        <v>40464</v>
      </c>
      <c r="C398" s="20">
        <v>2010</v>
      </c>
      <c r="D398" s="10" t="s">
        <v>34</v>
      </c>
      <c r="E398" s="11">
        <v>10</v>
      </c>
      <c r="F398" s="49">
        <v>4.5039999999999996</v>
      </c>
      <c r="G398" s="49">
        <v>2.9886374999999996E-2</v>
      </c>
      <c r="H398" s="49">
        <v>0</v>
      </c>
      <c r="I398" s="49">
        <v>1.0632567500000001</v>
      </c>
      <c r="J398" s="58">
        <v>0.12532937499999997</v>
      </c>
      <c r="K398" s="58">
        <v>0</v>
      </c>
    </row>
    <row r="399" spans="1:11">
      <c r="A399" s="20">
        <v>17</v>
      </c>
      <c r="B399" s="35">
        <v>40464</v>
      </c>
      <c r="C399" s="20">
        <v>2010</v>
      </c>
      <c r="D399" s="10" t="s">
        <v>34</v>
      </c>
      <c r="E399" s="11">
        <v>10</v>
      </c>
      <c r="F399" s="49">
        <v>6.1580000000000004</v>
      </c>
      <c r="G399" s="49">
        <v>0.1008705</v>
      </c>
      <c r="H399" s="49">
        <v>0</v>
      </c>
      <c r="I399" s="49">
        <v>1.8059571249999995</v>
      </c>
      <c r="J399" s="58">
        <v>0.17949624999999997</v>
      </c>
      <c r="K399" s="58">
        <v>0</v>
      </c>
    </row>
    <row r="400" spans="1:11">
      <c r="A400" s="20">
        <v>18</v>
      </c>
      <c r="B400" s="35">
        <v>40464</v>
      </c>
      <c r="C400" s="20">
        <v>2010</v>
      </c>
      <c r="D400" s="10" t="s">
        <v>34</v>
      </c>
      <c r="E400" s="11">
        <v>10</v>
      </c>
      <c r="F400" s="49">
        <v>4.7140000000000004</v>
      </c>
      <c r="G400" s="49">
        <v>3.3566749999999999E-2</v>
      </c>
      <c r="H400" s="49">
        <v>0</v>
      </c>
      <c r="I400" s="49">
        <v>1.3676026249999997</v>
      </c>
      <c r="J400" s="58">
        <v>0.13498549999999998</v>
      </c>
      <c r="K400" s="58">
        <v>0</v>
      </c>
    </row>
    <row r="401" spans="1:18">
      <c r="A401" s="20">
        <v>1</v>
      </c>
      <c r="B401" s="35">
        <v>40498</v>
      </c>
      <c r="C401" s="20">
        <v>2010</v>
      </c>
      <c r="D401" s="10" t="s">
        <v>35</v>
      </c>
      <c r="E401" s="11">
        <v>11</v>
      </c>
      <c r="F401" s="49">
        <v>1.141</v>
      </c>
      <c r="G401" s="49">
        <v>0</v>
      </c>
      <c r="H401" s="49">
        <v>1.3963124999999996E-2</v>
      </c>
      <c r="I401" s="49">
        <v>0.20565662499999998</v>
      </c>
      <c r="J401" s="58">
        <v>2.4174999999999999E-2</v>
      </c>
      <c r="K401" s="58">
        <v>0</v>
      </c>
    </row>
    <row r="402" spans="1:18">
      <c r="A402" s="20">
        <v>17</v>
      </c>
      <c r="B402" s="35">
        <v>40498</v>
      </c>
      <c r="C402" s="20">
        <v>2010</v>
      </c>
      <c r="D402" s="10" t="s">
        <v>35</v>
      </c>
      <c r="E402" s="11">
        <v>11</v>
      </c>
      <c r="F402" s="49">
        <v>1.087</v>
      </c>
      <c r="G402" s="49">
        <v>0</v>
      </c>
      <c r="H402" s="49">
        <v>0</v>
      </c>
      <c r="I402" s="49">
        <v>0.33632387499999994</v>
      </c>
      <c r="J402" s="58">
        <v>1.4288624999999999E-2</v>
      </c>
      <c r="K402" s="58">
        <v>0</v>
      </c>
    </row>
    <row r="403" spans="1:18">
      <c r="A403" s="20">
        <v>18</v>
      </c>
      <c r="B403" s="35">
        <v>40498</v>
      </c>
      <c r="C403" s="20">
        <v>2010</v>
      </c>
      <c r="D403" s="10" t="s">
        <v>35</v>
      </c>
      <c r="E403" s="11">
        <v>11</v>
      </c>
      <c r="F403" s="49">
        <v>0.95199999999999996</v>
      </c>
      <c r="G403" s="49">
        <v>8.4670000000000006E-3</v>
      </c>
      <c r="H403" s="49">
        <v>0</v>
      </c>
      <c r="I403" s="49">
        <v>0.18444037499999996</v>
      </c>
      <c r="J403" s="58">
        <v>1.0761875000000001E-2</v>
      </c>
      <c r="K403" s="58">
        <v>0</v>
      </c>
    </row>
    <row r="404" spans="1:18">
      <c r="A404" s="20">
        <v>1</v>
      </c>
      <c r="B404" s="35">
        <v>40520</v>
      </c>
      <c r="C404" s="20">
        <v>2010</v>
      </c>
      <c r="D404" s="10" t="s">
        <v>36</v>
      </c>
      <c r="E404" s="11">
        <v>12</v>
      </c>
      <c r="F404" s="49">
        <v>2.4660000000000002</v>
      </c>
      <c r="G404" s="49">
        <v>2.7976250000000001E-2</v>
      </c>
      <c r="H404" s="49">
        <v>0</v>
      </c>
      <c r="I404" s="49">
        <v>0.64702512499999998</v>
      </c>
      <c r="J404" s="58">
        <v>9.0875874999999981E-2</v>
      </c>
      <c r="K404" s="58">
        <v>0</v>
      </c>
    </row>
    <row r="405" spans="1:18">
      <c r="A405" s="20">
        <v>17</v>
      </c>
      <c r="B405" s="35">
        <v>40520</v>
      </c>
      <c r="C405" s="20">
        <v>2010</v>
      </c>
      <c r="D405" s="10" t="s">
        <v>36</v>
      </c>
      <c r="E405" s="11">
        <v>12</v>
      </c>
      <c r="F405" s="49">
        <v>7.1849999999999996</v>
      </c>
      <c r="G405" s="49">
        <v>3.0201250000000002E-2</v>
      </c>
      <c r="H405" s="49">
        <v>0</v>
      </c>
      <c r="I405" s="49">
        <v>3.11772625</v>
      </c>
      <c r="J405" s="58">
        <v>6.7865999999999996E-2</v>
      </c>
      <c r="K405" s="58">
        <v>0</v>
      </c>
    </row>
    <row r="406" spans="1:18" ht="25.5">
      <c r="A406" s="20">
        <v>18</v>
      </c>
      <c r="B406" s="35">
        <v>40520</v>
      </c>
      <c r="C406" s="20">
        <v>2010</v>
      </c>
      <c r="D406" s="10" t="s">
        <v>36</v>
      </c>
      <c r="E406" s="11">
        <v>12</v>
      </c>
      <c r="F406" s="49">
        <v>8.9269999999999996</v>
      </c>
      <c r="G406" s="49">
        <v>3.7949999999999991E-2</v>
      </c>
      <c r="H406" s="49">
        <v>0</v>
      </c>
      <c r="I406" s="49">
        <v>3.88593075</v>
      </c>
      <c r="J406" s="58">
        <v>7.3558125000000002E-2</v>
      </c>
      <c r="K406" s="58">
        <v>0</v>
      </c>
      <c r="L406" s="62" t="s">
        <v>42</v>
      </c>
      <c r="M406" s="5" t="s">
        <v>5</v>
      </c>
      <c r="N406" s="5" t="s">
        <v>6</v>
      </c>
      <c r="O406" s="5" t="s">
        <v>7</v>
      </c>
      <c r="P406" s="5" t="s">
        <v>8</v>
      </c>
      <c r="Q406" s="5" t="s">
        <v>9</v>
      </c>
      <c r="R406" s="5" t="s">
        <v>10</v>
      </c>
    </row>
    <row r="407" spans="1:18">
      <c r="A407" s="23">
        <v>1</v>
      </c>
      <c r="B407" s="34">
        <v>40562</v>
      </c>
      <c r="C407" s="23">
        <v>2011</v>
      </c>
      <c r="D407" s="18" t="s">
        <v>37</v>
      </c>
      <c r="E407" s="17">
        <v>1</v>
      </c>
      <c r="F407" s="77">
        <v>6.3860000000000001</v>
      </c>
      <c r="G407" s="77">
        <v>3.6332999999999997E-2</v>
      </c>
      <c r="H407" s="77">
        <v>0</v>
      </c>
      <c r="I407" s="77">
        <v>2.6281466249999998</v>
      </c>
      <c r="J407" s="75">
        <v>2.0014125000000001E-2</v>
      </c>
      <c r="K407" s="75">
        <v>0</v>
      </c>
      <c r="L407" s="62" t="s">
        <v>64</v>
      </c>
      <c r="M407" s="50">
        <f t="shared" ref="M407:R407" si="8">AVERAGE(F407:F442)</f>
        <v>7.0397222222222222</v>
      </c>
      <c r="N407" s="50">
        <f t="shared" si="8"/>
        <v>0.2456047569444445</v>
      </c>
      <c r="O407" s="50">
        <f t="shared" si="8"/>
        <v>5.7180069444444431E-3</v>
      </c>
      <c r="P407" s="50">
        <f t="shared" si="8"/>
        <v>2.4926435555555551</v>
      </c>
      <c r="Q407" s="50">
        <f t="shared" si="8"/>
        <v>0.16129421527777779</v>
      </c>
      <c r="R407" s="50">
        <f t="shared" si="8"/>
        <v>1.9325312499999996E-3</v>
      </c>
    </row>
    <row r="408" spans="1:18">
      <c r="A408" s="20">
        <v>17</v>
      </c>
      <c r="B408" s="35">
        <v>40562</v>
      </c>
      <c r="C408" s="20">
        <v>2011</v>
      </c>
      <c r="D408" s="10" t="s">
        <v>37</v>
      </c>
      <c r="E408" s="11">
        <v>1</v>
      </c>
      <c r="F408" s="49">
        <v>13.541</v>
      </c>
      <c r="G408" s="49">
        <v>9.8297624999999986E-2</v>
      </c>
      <c r="H408" s="49">
        <v>0.11314362499999998</v>
      </c>
      <c r="I408" s="49">
        <v>6.4535622500000001</v>
      </c>
      <c r="J408" s="58">
        <v>4.3029625000000002E-2</v>
      </c>
      <c r="K408" s="58">
        <v>0</v>
      </c>
    </row>
    <row r="409" spans="1:18">
      <c r="A409" s="20">
        <v>18</v>
      </c>
      <c r="B409" s="35">
        <v>40562</v>
      </c>
      <c r="C409" s="20">
        <v>2011</v>
      </c>
      <c r="D409" s="10" t="s">
        <v>37</v>
      </c>
      <c r="E409" s="11">
        <v>1</v>
      </c>
      <c r="F409" s="49">
        <v>15.566000000000001</v>
      </c>
      <c r="G409" s="49">
        <v>0.11720075000000001</v>
      </c>
      <c r="H409" s="49">
        <v>0</v>
      </c>
      <c r="I409" s="49">
        <v>7.3969151249999996</v>
      </c>
      <c r="J409" s="58">
        <v>5.8347125E-2</v>
      </c>
      <c r="K409" s="58">
        <v>0</v>
      </c>
    </row>
    <row r="410" spans="1:18">
      <c r="A410" s="20">
        <v>1</v>
      </c>
      <c r="B410" s="35">
        <v>40591</v>
      </c>
      <c r="C410" s="20">
        <v>2011</v>
      </c>
      <c r="D410" s="10" t="s">
        <v>26</v>
      </c>
      <c r="E410" s="20">
        <v>2</v>
      </c>
      <c r="F410" s="49">
        <v>4.093</v>
      </c>
      <c r="G410" s="49">
        <v>0.23641999999999996</v>
      </c>
      <c r="H410" s="49">
        <v>0</v>
      </c>
      <c r="I410" s="49">
        <v>0.89400599999999986</v>
      </c>
      <c r="J410" s="58">
        <v>2.6999749999999999E-2</v>
      </c>
      <c r="K410" s="58">
        <v>0</v>
      </c>
    </row>
    <row r="411" spans="1:18">
      <c r="A411" s="20">
        <v>17</v>
      </c>
      <c r="B411" s="35">
        <v>40591</v>
      </c>
      <c r="C411" s="20">
        <v>2011</v>
      </c>
      <c r="D411" s="10" t="s">
        <v>26</v>
      </c>
      <c r="E411" s="20">
        <v>2</v>
      </c>
      <c r="F411" s="49">
        <v>3.5270000000000001</v>
      </c>
      <c r="G411" s="49">
        <v>0.1639515</v>
      </c>
      <c r="H411" s="49">
        <v>0</v>
      </c>
      <c r="I411" s="49">
        <v>1.4924513749999995</v>
      </c>
      <c r="J411" s="58">
        <v>1.1761999999999998E-2</v>
      </c>
      <c r="K411" s="58">
        <v>0</v>
      </c>
    </row>
    <row r="412" spans="1:18">
      <c r="A412" s="20">
        <v>18</v>
      </c>
      <c r="B412" s="35">
        <v>40591</v>
      </c>
      <c r="C412" s="20">
        <v>2011</v>
      </c>
      <c r="D412" s="10" t="s">
        <v>26</v>
      </c>
      <c r="E412" s="20">
        <v>2</v>
      </c>
      <c r="F412" s="49">
        <v>3.7469999999999999</v>
      </c>
      <c r="G412" s="49">
        <v>0.1410515</v>
      </c>
      <c r="H412" s="49">
        <v>0</v>
      </c>
      <c r="I412" s="49">
        <v>1.5328010000000001</v>
      </c>
      <c r="J412" s="58">
        <v>2.4427875000000002E-2</v>
      </c>
      <c r="K412" s="58">
        <v>0</v>
      </c>
    </row>
    <row r="413" spans="1:18">
      <c r="A413" s="20">
        <v>1</v>
      </c>
      <c r="B413" s="35">
        <v>40619</v>
      </c>
      <c r="C413" s="20">
        <v>2011</v>
      </c>
      <c r="D413" s="10" t="s">
        <v>27</v>
      </c>
      <c r="E413" s="20">
        <v>3</v>
      </c>
      <c r="F413" s="49">
        <v>7.6820000000000004</v>
      </c>
      <c r="G413" s="49">
        <v>0</v>
      </c>
      <c r="H413" s="49">
        <v>0</v>
      </c>
      <c r="I413" s="49">
        <v>3.6667293749999996</v>
      </c>
      <c r="J413" s="58">
        <v>2.6990874999999998E-2</v>
      </c>
      <c r="K413" s="58">
        <v>0</v>
      </c>
    </row>
    <row r="414" spans="1:18">
      <c r="A414" s="20">
        <v>17</v>
      </c>
      <c r="B414" s="35">
        <v>40619</v>
      </c>
      <c r="C414" s="20">
        <v>2011</v>
      </c>
      <c r="D414" s="10" t="s">
        <v>27</v>
      </c>
      <c r="E414" s="20">
        <v>3</v>
      </c>
      <c r="F414" s="49">
        <v>8.2309999999999999</v>
      </c>
      <c r="G414" s="49">
        <v>4.0121249999999997E-2</v>
      </c>
      <c r="H414" s="49">
        <v>0</v>
      </c>
      <c r="I414" s="49">
        <v>4.1253609999999989</v>
      </c>
      <c r="J414" s="58">
        <v>2.336825E-2</v>
      </c>
      <c r="K414" s="58">
        <v>0</v>
      </c>
    </row>
    <row r="415" spans="1:18">
      <c r="A415" s="20">
        <v>18</v>
      </c>
      <c r="B415" s="35">
        <v>40619</v>
      </c>
      <c r="C415" s="20">
        <v>2011</v>
      </c>
      <c r="D415" s="10" t="s">
        <v>27</v>
      </c>
      <c r="E415" s="20">
        <v>3</v>
      </c>
      <c r="F415" s="49">
        <v>7.8819999999999997</v>
      </c>
      <c r="G415" s="49">
        <v>3.4324750000000001E-2</v>
      </c>
      <c r="H415" s="49">
        <v>0</v>
      </c>
      <c r="I415" s="49">
        <v>3.8264543750000004</v>
      </c>
      <c r="J415" s="58">
        <v>3.6292875000000002E-2</v>
      </c>
      <c r="K415" s="58">
        <v>0</v>
      </c>
    </row>
    <row r="416" spans="1:18">
      <c r="A416" s="20">
        <v>1</v>
      </c>
      <c r="B416" s="35">
        <v>40646</v>
      </c>
      <c r="C416" s="20">
        <v>2011</v>
      </c>
      <c r="D416" s="10" t="s">
        <v>28</v>
      </c>
      <c r="E416" s="20">
        <v>4</v>
      </c>
      <c r="F416" s="49">
        <v>4.5759999999999996</v>
      </c>
      <c r="G416" s="49">
        <v>6.0753124999999991E-2</v>
      </c>
      <c r="H416" s="49">
        <v>0</v>
      </c>
      <c r="I416" s="49">
        <v>1.5868854999999999</v>
      </c>
      <c r="J416" s="58">
        <v>2.7311874999999992E-2</v>
      </c>
      <c r="K416" s="58">
        <v>0</v>
      </c>
    </row>
    <row r="417" spans="1:11">
      <c r="A417" s="20">
        <v>17</v>
      </c>
      <c r="B417" s="35">
        <v>40646</v>
      </c>
      <c r="C417" s="20">
        <v>2011</v>
      </c>
      <c r="D417" s="10" t="s">
        <v>28</v>
      </c>
      <c r="E417" s="20">
        <v>4</v>
      </c>
      <c r="F417" s="49">
        <v>3.1059999999999999</v>
      </c>
      <c r="G417" s="49">
        <v>2.6166624999999999E-2</v>
      </c>
      <c r="H417" s="49">
        <v>0</v>
      </c>
      <c r="I417" s="49">
        <v>1.3206114999999998</v>
      </c>
      <c r="J417" s="58">
        <v>0</v>
      </c>
      <c r="K417" s="58">
        <v>0</v>
      </c>
    </row>
    <row r="418" spans="1:11">
      <c r="A418" s="20">
        <v>18</v>
      </c>
      <c r="B418" s="35">
        <v>40646</v>
      </c>
      <c r="C418" s="20">
        <v>2011</v>
      </c>
      <c r="D418" s="10" t="s">
        <v>28</v>
      </c>
      <c r="E418" s="20">
        <v>4</v>
      </c>
      <c r="F418" s="49">
        <v>2.5750000000000002</v>
      </c>
      <c r="G418" s="49">
        <v>0</v>
      </c>
      <c r="H418" s="49">
        <v>0</v>
      </c>
      <c r="I418" s="49">
        <v>0.9442895</v>
      </c>
      <c r="J418" s="58">
        <v>0</v>
      </c>
      <c r="K418" s="58">
        <v>0</v>
      </c>
    </row>
    <row r="419" spans="1:11">
      <c r="A419" s="20">
        <v>1</v>
      </c>
      <c r="B419" s="35">
        <v>40681</v>
      </c>
      <c r="C419" s="20">
        <v>2011</v>
      </c>
      <c r="D419" s="10" t="s">
        <v>29</v>
      </c>
      <c r="E419" s="20">
        <v>5</v>
      </c>
      <c r="F419" s="49">
        <v>1.44</v>
      </c>
      <c r="G419" s="49">
        <v>0.15962125000000002</v>
      </c>
      <c r="H419" s="49">
        <v>0</v>
      </c>
      <c r="I419" s="49">
        <v>0.202071375</v>
      </c>
      <c r="J419" s="58">
        <v>2.3752125000000002E-2</v>
      </c>
      <c r="K419" s="58">
        <v>0</v>
      </c>
    </row>
    <row r="420" spans="1:11">
      <c r="A420" s="20">
        <v>17</v>
      </c>
      <c r="B420" s="35">
        <v>40681</v>
      </c>
      <c r="C420" s="20">
        <v>2011</v>
      </c>
      <c r="D420" s="10" t="s">
        <v>29</v>
      </c>
      <c r="E420" s="20">
        <v>5</v>
      </c>
      <c r="F420" s="49">
        <v>1.978</v>
      </c>
      <c r="G420" s="49">
        <v>0.28656237499999998</v>
      </c>
      <c r="H420" s="49">
        <v>0</v>
      </c>
      <c r="I420" s="49">
        <v>0.43863787500000001</v>
      </c>
      <c r="J420" s="58">
        <v>2.4803624999999996E-2</v>
      </c>
      <c r="K420" s="58">
        <v>0</v>
      </c>
    </row>
    <row r="421" spans="1:11">
      <c r="A421" s="20">
        <v>18</v>
      </c>
      <c r="B421" s="35">
        <v>40681</v>
      </c>
      <c r="C421" s="20">
        <v>2011</v>
      </c>
      <c r="D421" s="10" t="s">
        <v>29</v>
      </c>
      <c r="E421" s="20">
        <v>5</v>
      </c>
      <c r="F421" s="49">
        <v>1.7989999999999999</v>
      </c>
      <c r="G421" s="49">
        <v>0.25574750000000002</v>
      </c>
      <c r="H421" s="49">
        <v>0</v>
      </c>
      <c r="I421" s="49">
        <v>0.39948137499999997</v>
      </c>
      <c r="J421" s="58">
        <v>3.0446250000000001E-2</v>
      </c>
      <c r="K421" s="58">
        <v>0</v>
      </c>
    </row>
    <row r="422" spans="1:11">
      <c r="A422" s="20">
        <v>1</v>
      </c>
      <c r="B422" s="35">
        <v>40708</v>
      </c>
      <c r="C422" s="20">
        <v>2011</v>
      </c>
      <c r="D422" s="10" t="s">
        <v>30</v>
      </c>
      <c r="E422" s="20">
        <v>6</v>
      </c>
      <c r="F422" s="49">
        <v>3.72</v>
      </c>
      <c r="G422" s="49">
        <v>0.22857875</v>
      </c>
      <c r="H422" s="49">
        <v>0</v>
      </c>
      <c r="I422" s="49">
        <v>0.63096912500000002</v>
      </c>
      <c r="J422" s="58">
        <v>0.15833187500000004</v>
      </c>
      <c r="K422" s="58">
        <v>0</v>
      </c>
    </row>
    <row r="423" spans="1:11">
      <c r="A423" s="20">
        <v>17</v>
      </c>
      <c r="B423" s="35">
        <v>40708</v>
      </c>
      <c r="C423" s="20">
        <v>2011</v>
      </c>
      <c r="D423" s="10" t="s">
        <v>30</v>
      </c>
      <c r="E423" s="20">
        <v>6</v>
      </c>
      <c r="F423" s="49">
        <v>2.9140000000000001</v>
      </c>
      <c r="G423" s="49">
        <v>0.25150525000000007</v>
      </c>
      <c r="H423" s="49">
        <v>0</v>
      </c>
      <c r="I423" s="49">
        <v>0.77571975000000004</v>
      </c>
      <c r="J423" s="58">
        <v>0.18229324999999993</v>
      </c>
      <c r="K423" s="58">
        <v>0</v>
      </c>
    </row>
    <row r="424" spans="1:11">
      <c r="A424" s="20">
        <v>18</v>
      </c>
      <c r="B424" s="35">
        <v>40708</v>
      </c>
      <c r="C424" s="20">
        <v>2011</v>
      </c>
      <c r="D424" s="10" t="s">
        <v>30</v>
      </c>
      <c r="E424" s="20">
        <v>6</v>
      </c>
      <c r="F424" s="49">
        <v>3.8250000000000002</v>
      </c>
      <c r="G424" s="49">
        <v>0.42403437499999996</v>
      </c>
      <c r="H424" s="49">
        <v>0</v>
      </c>
      <c r="I424" s="49">
        <v>1.0586201249999998</v>
      </c>
      <c r="J424" s="58">
        <v>0.19649912499999997</v>
      </c>
      <c r="K424" s="58">
        <v>0</v>
      </c>
    </row>
    <row r="425" spans="1:11">
      <c r="A425" s="20">
        <v>1</v>
      </c>
      <c r="B425" s="35">
        <v>40735</v>
      </c>
      <c r="C425" s="20">
        <v>2011</v>
      </c>
      <c r="D425" s="10" t="s">
        <v>31</v>
      </c>
      <c r="E425" s="20">
        <v>7</v>
      </c>
      <c r="F425" s="49">
        <v>13.347</v>
      </c>
      <c r="G425" s="49">
        <v>1.2932572499999997</v>
      </c>
      <c r="H425" s="49">
        <v>0</v>
      </c>
      <c r="I425" s="49">
        <v>2.4587737500000006</v>
      </c>
      <c r="J425" s="58">
        <v>0.37248424999999996</v>
      </c>
      <c r="K425" s="58">
        <v>0</v>
      </c>
    </row>
    <row r="426" spans="1:11">
      <c r="A426" s="20">
        <v>17</v>
      </c>
      <c r="B426" s="35">
        <v>40735</v>
      </c>
      <c r="C426" s="20">
        <v>2011</v>
      </c>
      <c r="D426" s="10" t="s">
        <v>31</v>
      </c>
      <c r="E426" s="20">
        <v>7</v>
      </c>
      <c r="F426" s="49">
        <v>8.2550000000000008</v>
      </c>
      <c r="G426" s="49">
        <v>0.11710787499999999</v>
      </c>
      <c r="H426" s="49">
        <v>0</v>
      </c>
      <c r="I426" s="49">
        <v>2.0910592499999998</v>
      </c>
      <c r="J426" s="58">
        <v>0.98744712499999998</v>
      </c>
      <c r="K426" s="58">
        <v>2.4930124999999997E-2</v>
      </c>
    </row>
    <row r="427" spans="1:11">
      <c r="A427" s="20">
        <v>18</v>
      </c>
      <c r="B427" s="35">
        <v>40735</v>
      </c>
      <c r="C427" s="20">
        <v>2011</v>
      </c>
      <c r="D427" s="10" t="s">
        <v>31</v>
      </c>
      <c r="E427" s="20">
        <v>7</v>
      </c>
      <c r="F427" s="49">
        <v>5.2439999999999998</v>
      </c>
      <c r="G427" s="49">
        <v>5.9084374999999995E-2</v>
      </c>
      <c r="H427" s="49">
        <v>0</v>
      </c>
      <c r="I427" s="49">
        <v>0.96602524999999984</v>
      </c>
      <c r="J427" s="58">
        <v>0.79101824999999992</v>
      </c>
      <c r="K427" s="58">
        <v>4.4640999999999993E-2</v>
      </c>
    </row>
    <row r="428" spans="1:11">
      <c r="A428" s="20">
        <v>1</v>
      </c>
      <c r="B428" s="35">
        <v>40771</v>
      </c>
      <c r="C428" s="20">
        <v>2011</v>
      </c>
      <c r="D428" s="10" t="s">
        <v>32</v>
      </c>
      <c r="E428" s="20">
        <v>8</v>
      </c>
      <c r="F428" s="49">
        <v>12.743</v>
      </c>
      <c r="G428" s="49">
        <v>0.41199112499999996</v>
      </c>
      <c r="H428" s="49">
        <v>0</v>
      </c>
      <c r="I428" s="49">
        <v>1.6918343749999998</v>
      </c>
      <c r="J428" s="58">
        <v>0.27486937499999997</v>
      </c>
      <c r="K428" s="58">
        <v>0</v>
      </c>
    </row>
    <row r="429" spans="1:11">
      <c r="A429" s="20">
        <v>17</v>
      </c>
      <c r="B429" s="35">
        <v>40771</v>
      </c>
      <c r="C429" s="20">
        <v>2011</v>
      </c>
      <c r="D429" s="10" t="s">
        <v>32</v>
      </c>
      <c r="E429" s="20">
        <v>8</v>
      </c>
      <c r="F429" s="49">
        <v>6.6539999999999999</v>
      </c>
      <c r="G429" s="49">
        <v>0.54271550000000002</v>
      </c>
      <c r="H429" s="49">
        <v>0</v>
      </c>
      <c r="I429" s="49">
        <v>1.4597007499999999</v>
      </c>
      <c r="J429" s="58">
        <v>0.10035400000000003</v>
      </c>
      <c r="K429" s="58">
        <v>0</v>
      </c>
    </row>
    <row r="430" spans="1:11">
      <c r="A430" s="20">
        <v>18</v>
      </c>
      <c r="B430" s="35">
        <v>40771</v>
      </c>
      <c r="C430" s="20">
        <v>2011</v>
      </c>
      <c r="D430" s="10" t="s">
        <v>32</v>
      </c>
      <c r="E430" s="20">
        <v>8</v>
      </c>
      <c r="F430" s="49">
        <v>8.76</v>
      </c>
      <c r="G430" s="49">
        <v>0.5389267499999999</v>
      </c>
      <c r="H430" s="49">
        <v>0</v>
      </c>
      <c r="I430" s="49">
        <v>1.9488198750000003</v>
      </c>
      <c r="J430" s="58">
        <v>1.0001374999999999</v>
      </c>
      <c r="K430" s="58">
        <v>0</v>
      </c>
    </row>
    <row r="431" spans="1:11">
      <c r="A431" s="20">
        <v>1</v>
      </c>
      <c r="B431" s="35">
        <v>40799</v>
      </c>
      <c r="C431" s="20">
        <v>2011</v>
      </c>
      <c r="D431" s="10" t="s">
        <v>38</v>
      </c>
      <c r="E431" s="20">
        <v>9</v>
      </c>
      <c r="F431" s="49">
        <v>9.2149999999999999</v>
      </c>
      <c r="G431" s="49">
        <v>1.0692600000000001</v>
      </c>
      <c r="H431" s="49">
        <v>0</v>
      </c>
      <c r="I431" s="49">
        <v>1.7171538749999999</v>
      </c>
      <c r="J431" s="58">
        <v>0.2211765</v>
      </c>
      <c r="K431" s="58">
        <v>0</v>
      </c>
    </row>
    <row r="432" spans="1:11">
      <c r="A432" s="20">
        <v>17</v>
      </c>
      <c r="B432" s="35">
        <v>40799</v>
      </c>
      <c r="C432" s="20">
        <v>2011</v>
      </c>
      <c r="D432" s="10" t="s">
        <v>38</v>
      </c>
      <c r="E432" s="20">
        <v>9</v>
      </c>
      <c r="F432" s="49">
        <v>5.7110000000000003</v>
      </c>
      <c r="G432" s="49">
        <v>0.62089987499999999</v>
      </c>
      <c r="H432" s="49">
        <v>0</v>
      </c>
      <c r="I432" s="49">
        <v>1.3902466249999998</v>
      </c>
      <c r="J432" s="58">
        <v>0.246921375</v>
      </c>
      <c r="K432" s="58">
        <v>0</v>
      </c>
    </row>
    <row r="433" spans="1:18">
      <c r="A433" s="20">
        <v>18</v>
      </c>
      <c r="B433" s="35">
        <v>40799</v>
      </c>
      <c r="C433" s="20">
        <v>2011</v>
      </c>
      <c r="D433" s="10" t="s">
        <v>38</v>
      </c>
      <c r="E433" s="20">
        <v>9</v>
      </c>
      <c r="F433" s="49">
        <v>5.6609999999999996</v>
      </c>
      <c r="G433" s="49">
        <v>0.42867787499999993</v>
      </c>
      <c r="H433" s="49">
        <v>0</v>
      </c>
      <c r="I433" s="49">
        <v>1.5611623750000001</v>
      </c>
      <c r="J433" s="58">
        <v>0.35634374999999996</v>
      </c>
      <c r="K433" s="58">
        <v>0</v>
      </c>
    </row>
    <row r="434" spans="1:18">
      <c r="A434" s="20">
        <v>1</v>
      </c>
      <c r="B434" s="35">
        <v>40827</v>
      </c>
      <c r="C434" s="20">
        <v>2011</v>
      </c>
      <c r="D434" s="10" t="s">
        <v>34</v>
      </c>
      <c r="E434" s="20">
        <v>10</v>
      </c>
      <c r="F434" s="52">
        <v>19.387</v>
      </c>
      <c r="G434" s="52">
        <v>0.34101025000000001</v>
      </c>
      <c r="H434" s="52">
        <v>0</v>
      </c>
      <c r="I434" s="52">
        <v>7.6462517500000002</v>
      </c>
      <c r="J434" s="52">
        <v>0.112805</v>
      </c>
      <c r="K434" s="52">
        <v>0</v>
      </c>
    </row>
    <row r="435" spans="1:18">
      <c r="A435" s="20">
        <v>17</v>
      </c>
      <c r="B435" s="35">
        <v>40827</v>
      </c>
      <c r="C435" s="20">
        <v>2011</v>
      </c>
      <c r="D435" s="10" t="s">
        <v>34</v>
      </c>
      <c r="E435" s="20">
        <v>10</v>
      </c>
      <c r="F435" s="52">
        <v>30.335999999999999</v>
      </c>
      <c r="G435" s="52">
        <v>0.28854475000000002</v>
      </c>
      <c r="H435" s="52">
        <v>0</v>
      </c>
      <c r="I435" s="52">
        <v>15.150415499999998</v>
      </c>
      <c r="J435" s="52">
        <v>0.17064674999999999</v>
      </c>
      <c r="K435" s="52">
        <v>0</v>
      </c>
    </row>
    <row r="436" spans="1:18">
      <c r="A436" s="20">
        <v>18</v>
      </c>
      <c r="B436" s="35">
        <v>40827</v>
      </c>
      <c r="C436" s="20">
        <v>2011</v>
      </c>
      <c r="D436" s="10" t="s">
        <v>34</v>
      </c>
      <c r="E436" s="20">
        <v>10</v>
      </c>
      <c r="F436" s="52">
        <v>9.0340000000000007</v>
      </c>
      <c r="G436" s="52">
        <v>0.2316955</v>
      </c>
      <c r="H436" s="52">
        <v>0</v>
      </c>
      <c r="I436" s="52">
        <v>3.5095037499999995</v>
      </c>
      <c r="J436" s="52">
        <v>8.6405250000000003E-2</v>
      </c>
      <c r="K436" s="52">
        <v>0</v>
      </c>
    </row>
    <row r="437" spans="1:18">
      <c r="A437" s="20">
        <v>1</v>
      </c>
      <c r="B437" s="55">
        <v>40862</v>
      </c>
      <c r="C437" s="20">
        <v>2011</v>
      </c>
      <c r="D437" s="10" t="s">
        <v>35</v>
      </c>
      <c r="E437" s="20">
        <v>11</v>
      </c>
      <c r="F437" s="52">
        <v>2.7909999999999999</v>
      </c>
      <c r="G437" s="52">
        <v>4.7099124999999999E-2</v>
      </c>
      <c r="H437" s="52">
        <v>0</v>
      </c>
      <c r="I437" s="52">
        <v>0.82970712499999988</v>
      </c>
      <c r="J437" s="52">
        <v>3.049025E-2</v>
      </c>
      <c r="K437" s="52">
        <v>0</v>
      </c>
    </row>
    <row r="438" spans="1:18">
      <c r="A438" s="20">
        <v>17</v>
      </c>
      <c r="B438" s="55">
        <v>40862</v>
      </c>
      <c r="C438" s="20">
        <v>2011</v>
      </c>
      <c r="D438" s="10" t="s">
        <v>35</v>
      </c>
      <c r="E438" s="20">
        <v>11</v>
      </c>
      <c r="F438" s="52">
        <v>5.7450000000000001</v>
      </c>
      <c r="G438" s="52">
        <v>3.0206624999999997E-2</v>
      </c>
      <c r="H438" s="52">
        <v>5.6936874999999991E-2</v>
      </c>
      <c r="I438" s="52">
        <v>2.5973988749999997</v>
      </c>
      <c r="J438" s="52">
        <v>3.7591375000000003E-2</v>
      </c>
      <c r="K438" s="52">
        <v>0</v>
      </c>
    </row>
    <row r="439" spans="1:18">
      <c r="A439" s="20">
        <v>18</v>
      </c>
      <c r="B439" s="55">
        <v>40862</v>
      </c>
      <c r="C439" s="20">
        <v>2011</v>
      </c>
      <c r="D439" s="10" t="s">
        <v>35</v>
      </c>
      <c r="E439" s="20">
        <v>11</v>
      </c>
      <c r="F439" s="52">
        <v>5.6529999999999996</v>
      </c>
      <c r="G439" s="52">
        <v>4.0707125000000004E-2</v>
      </c>
      <c r="H439" s="52">
        <v>3.5767749999999994E-2</v>
      </c>
      <c r="I439" s="52">
        <v>2.4395321249999999</v>
      </c>
      <c r="J439" s="52">
        <v>3.9612874999999999E-2</v>
      </c>
      <c r="K439" s="52">
        <v>0</v>
      </c>
    </row>
    <row r="440" spans="1:18">
      <c r="A440" s="20">
        <v>1</v>
      </c>
      <c r="B440" s="55">
        <v>40890</v>
      </c>
      <c r="C440" s="20">
        <v>2011</v>
      </c>
      <c r="D440" s="10" t="s">
        <v>36</v>
      </c>
      <c r="E440" s="20">
        <v>12</v>
      </c>
      <c r="F440" s="52">
        <v>2.3290000000000002</v>
      </c>
      <c r="G440" s="52">
        <v>5.8415874999999999E-2</v>
      </c>
      <c r="H440" s="52">
        <v>0</v>
      </c>
      <c r="I440" s="52">
        <v>0.557828875</v>
      </c>
      <c r="J440" s="52">
        <v>2.0709374999999999E-2</v>
      </c>
      <c r="K440" s="52">
        <v>0</v>
      </c>
    </row>
    <row r="441" spans="1:18">
      <c r="A441" s="20">
        <v>17</v>
      </c>
      <c r="B441" s="55">
        <v>40890</v>
      </c>
      <c r="C441" s="20">
        <v>2011</v>
      </c>
      <c r="D441" s="10" t="s">
        <v>36</v>
      </c>
      <c r="E441" s="20">
        <v>12</v>
      </c>
      <c r="F441" s="52">
        <v>4.0019999999999998</v>
      </c>
      <c r="G441" s="52">
        <v>9.9813249999999992E-2</v>
      </c>
      <c r="H441" s="52">
        <v>0</v>
      </c>
      <c r="I441" s="52">
        <v>1.6900222499999999</v>
      </c>
      <c r="J441" s="52">
        <v>2.5033749999999994E-2</v>
      </c>
      <c r="K441" s="52">
        <v>0</v>
      </c>
    </row>
    <row r="442" spans="1:18" ht="25.5">
      <c r="A442" s="20">
        <v>18</v>
      </c>
      <c r="B442" s="55">
        <v>40890</v>
      </c>
      <c r="C442" s="20">
        <v>2011</v>
      </c>
      <c r="D442" s="10" t="s">
        <v>36</v>
      </c>
      <c r="E442" s="20">
        <v>12</v>
      </c>
      <c r="F442" s="52">
        <v>1.9750000000000001</v>
      </c>
      <c r="G442" s="52">
        <v>6.1688500000000007E-2</v>
      </c>
      <c r="H442" s="52">
        <v>0</v>
      </c>
      <c r="I442" s="52">
        <v>0.65601837499999993</v>
      </c>
      <c r="J442" s="52">
        <v>1.7874375000000001E-2</v>
      </c>
      <c r="K442" s="52">
        <v>0</v>
      </c>
      <c r="L442" s="62" t="s">
        <v>42</v>
      </c>
      <c r="M442" s="5" t="s">
        <v>5</v>
      </c>
      <c r="N442" s="5" t="s">
        <v>6</v>
      </c>
      <c r="O442" s="5" t="s">
        <v>7</v>
      </c>
      <c r="P442" s="5" t="s">
        <v>8</v>
      </c>
      <c r="Q442" s="5" t="s">
        <v>9</v>
      </c>
      <c r="R442" s="5" t="s">
        <v>10</v>
      </c>
    </row>
    <row r="443" spans="1:18">
      <c r="A443" s="23">
        <v>1</v>
      </c>
      <c r="B443" s="34">
        <v>40917</v>
      </c>
      <c r="C443" s="23">
        <v>2012</v>
      </c>
      <c r="D443" s="18" t="s">
        <v>37</v>
      </c>
      <c r="E443" s="23">
        <v>1</v>
      </c>
      <c r="F443" s="81">
        <v>4.7460000000000004</v>
      </c>
      <c r="G443" s="81">
        <v>6.1985749999999978E-2</v>
      </c>
      <c r="H443" s="81">
        <v>0</v>
      </c>
      <c r="I443" s="81">
        <v>1.3407332499999998</v>
      </c>
      <c r="J443" s="83">
        <v>4.5291499999999991E-2</v>
      </c>
      <c r="K443" s="83">
        <v>0</v>
      </c>
      <c r="L443" s="62" t="s">
        <v>66</v>
      </c>
      <c r="M443" s="50">
        <f t="shared" ref="M443:R443" si="9">AVERAGE(F443:F478)</f>
        <v>7.1292500000000008</v>
      </c>
      <c r="N443" s="50">
        <f t="shared" si="9"/>
        <v>0.1116957037037037</v>
      </c>
      <c r="O443" s="50">
        <f t="shared" si="9"/>
        <v>4.9493620370370368E-2</v>
      </c>
      <c r="P443" s="50">
        <f t="shared" si="9"/>
        <v>3.4248193553240736</v>
      </c>
      <c r="Q443" s="50">
        <f t="shared" si="9"/>
        <v>0.15870221643518512</v>
      </c>
      <c r="R443" s="50">
        <f t="shared" si="9"/>
        <v>1.3534305555555556E-3</v>
      </c>
    </row>
    <row r="444" spans="1:18">
      <c r="A444" s="20">
        <v>17</v>
      </c>
      <c r="B444" s="35">
        <v>40917</v>
      </c>
      <c r="C444" s="20">
        <v>2012</v>
      </c>
      <c r="D444" s="10" t="s">
        <v>37</v>
      </c>
      <c r="E444" s="20">
        <v>1</v>
      </c>
      <c r="F444" s="57">
        <v>10.285</v>
      </c>
      <c r="G444" s="57">
        <v>7.5661875000000003E-2</v>
      </c>
      <c r="H444" s="57">
        <v>5.1193624999999993E-2</v>
      </c>
      <c r="I444" s="57">
        <v>5.1590927499999992</v>
      </c>
      <c r="J444" s="52">
        <v>1.8464624999999998E-2</v>
      </c>
      <c r="K444" s="52">
        <v>0</v>
      </c>
    </row>
    <row r="445" spans="1:18">
      <c r="A445" s="20">
        <v>18</v>
      </c>
      <c r="B445" s="35">
        <v>40917</v>
      </c>
      <c r="C445" s="20">
        <v>2012</v>
      </c>
      <c r="D445" s="10" t="s">
        <v>37</v>
      </c>
      <c r="E445" s="20">
        <v>1</v>
      </c>
      <c r="F445" s="57">
        <v>3.9940000000000002</v>
      </c>
      <c r="G445" s="57">
        <v>5.8260624999999996E-2</v>
      </c>
      <c r="H445" s="57">
        <v>0</v>
      </c>
      <c r="I445" s="57">
        <v>1.8027686249999997</v>
      </c>
      <c r="J445" s="52">
        <v>2.0099124999999995E-2</v>
      </c>
      <c r="K445" s="52">
        <v>0</v>
      </c>
    </row>
    <row r="446" spans="1:18">
      <c r="A446" s="20">
        <v>1</v>
      </c>
      <c r="B446" s="35">
        <v>40962</v>
      </c>
      <c r="C446" s="20">
        <v>2012</v>
      </c>
      <c r="D446" s="10" t="s">
        <v>26</v>
      </c>
      <c r="E446" s="20">
        <v>2</v>
      </c>
      <c r="F446" s="57">
        <v>11.262</v>
      </c>
      <c r="G446" s="57">
        <v>9.442749999999997E-2</v>
      </c>
      <c r="H446" s="57">
        <v>0.14214737499999999</v>
      </c>
      <c r="I446" s="57">
        <v>7.1280816250000001</v>
      </c>
      <c r="J446" s="52">
        <v>6.2926999999999997E-2</v>
      </c>
      <c r="K446" s="52">
        <v>0</v>
      </c>
    </row>
    <row r="447" spans="1:18">
      <c r="A447" s="20">
        <v>17</v>
      </c>
      <c r="B447" s="35">
        <v>40962</v>
      </c>
      <c r="C447" s="20">
        <v>2012</v>
      </c>
      <c r="D447" s="10" t="s">
        <v>26</v>
      </c>
      <c r="E447" s="20">
        <v>2</v>
      </c>
      <c r="F447" s="57">
        <v>22.803999999999998</v>
      </c>
      <c r="G447" s="57">
        <v>0.21427433333333329</v>
      </c>
      <c r="H447" s="57">
        <v>0.45448483333333328</v>
      </c>
      <c r="I447" s="57">
        <v>14.744191166666667</v>
      </c>
      <c r="J447" s="52">
        <v>6.4279166666666665E-2</v>
      </c>
      <c r="K447" s="52">
        <v>0</v>
      </c>
    </row>
    <row r="448" spans="1:18">
      <c r="A448" s="20">
        <v>18</v>
      </c>
      <c r="B448" s="35">
        <v>40962</v>
      </c>
      <c r="C448" s="20">
        <v>2012</v>
      </c>
      <c r="D448" s="10" t="s">
        <v>26</v>
      </c>
      <c r="E448" s="20">
        <v>2</v>
      </c>
      <c r="F448" s="57">
        <v>16.109000000000002</v>
      </c>
      <c r="G448" s="57">
        <v>0.15991012499999999</v>
      </c>
      <c r="H448" s="57">
        <v>0.27555825</v>
      </c>
      <c r="I448" s="57">
        <v>10.292261999999997</v>
      </c>
      <c r="J448" s="52">
        <v>6.4516249999999997E-2</v>
      </c>
      <c r="K448" s="52">
        <v>0</v>
      </c>
    </row>
    <row r="449" spans="1:11">
      <c r="A449" s="20">
        <v>1</v>
      </c>
      <c r="B449" s="35">
        <v>40980</v>
      </c>
      <c r="C449" s="20">
        <v>2012</v>
      </c>
      <c r="D449" s="10" t="s">
        <v>27</v>
      </c>
      <c r="E449" s="20">
        <v>3</v>
      </c>
      <c r="F449" s="57">
        <v>5.2960000000000003</v>
      </c>
      <c r="G449" s="57">
        <v>0.10889562499999998</v>
      </c>
      <c r="H449" s="57">
        <v>4.9259624999999994E-2</v>
      </c>
      <c r="I449" s="57">
        <v>3.1396644999999999</v>
      </c>
      <c r="J449" s="52">
        <v>6.4036124999999999E-2</v>
      </c>
      <c r="K449" s="52">
        <v>0</v>
      </c>
    </row>
    <row r="450" spans="1:11">
      <c r="A450" s="20">
        <v>17</v>
      </c>
      <c r="B450" s="35">
        <v>40980</v>
      </c>
      <c r="C450" s="20">
        <v>2012</v>
      </c>
      <c r="D450" s="10" t="s">
        <v>27</v>
      </c>
      <c r="E450" s="20">
        <v>3</v>
      </c>
      <c r="F450" s="57">
        <v>12.057</v>
      </c>
      <c r="G450" s="57">
        <v>0.15609824999999999</v>
      </c>
      <c r="H450" s="57">
        <v>9.3612000000000001E-2</v>
      </c>
      <c r="I450" s="57">
        <v>8.6592324999999999</v>
      </c>
      <c r="J450" s="52">
        <v>4.3167124999999994E-2</v>
      </c>
      <c r="K450" s="52">
        <v>0</v>
      </c>
    </row>
    <row r="451" spans="1:11">
      <c r="A451" s="20">
        <v>18</v>
      </c>
      <c r="B451" s="35">
        <v>40980</v>
      </c>
      <c r="C451" s="20">
        <v>2012</v>
      </c>
      <c r="D451" s="10" t="s">
        <v>27</v>
      </c>
      <c r="E451" s="20">
        <v>3</v>
      </c>
      <c r="F451" s="57">
        <v>3.456</v>
      </c>
      <c r="G451" s="57">
        <v>4.0761625000000003E-2</v>
      </c>
      <c r="H451" s="57">
        <v>0</v>
      </c>
      <c r="I451" s="57">
        <v>1.4487775000000001</v>
      </c>
      <c r="J451" s="52">
        <v>6.7637375E-2</v>
      </c>
      <c r="K451" s="52">
        <v>0</v>
      </c>
    </row>
    <row r="452" spans="1:11">
      <c r="A452" s="20">
        <v>1</v>
      </c>
      <c r="B452" s="35">
        <v>41015</v>
      </c>
      <c r="C452" s="20">
        <v>2012</v>
      </c>
      <c r="D452" s="10" t="s">
        <v>28</v>
      </c>
      <c r="E452" s="20">
        <v>4</v>
      </c>
      <c r="F452" s="49">
        <v>1.6080000000000001</v>
      </c>
      <c r="G452" s="49">
        <v>0</v>
      </c>
      <c r="H452" s="49">
        <v>0</v>
      </c>
      <c r="I452" s="49">
        <v>0.6772062499999999</v>
      </c>
      <c r="J452" s="58">
        <v>1.8827750000000004E-2</v>
      </c>
      <c r="K452" s="58">
        <v>0</v>
      </c>
    </row>
    <row r="453" spans="1:11">
      <c r="A453" s="20">
        <v>17</v>
      </c>
      <c r="B453" s="35">
        <v>41015</v>
      </c>
      <c r="C453" s="20">
        <v>2012</v>
      </c>
      <c r="D453" s="10" t="s">
        <v>28</v>
      </c>
      <c r="E453" s="20">
        <v>4</v>
      </c>
      <c r="F453" s="49">
        <v>1.4930000000000001</v>
      </c>
      <c r="G453" s="49">
        <v>0</v>
      </c>
      <c r="H453" s="49">
        <v>0</v>
      </c>
      <c r="I453" s="49">
        <v>0.64273950000000002</v>
      </c>
      <c r="J453" s="58">
        <v>1.9624625E-2</v>
      </c>
      <c r="K453" s="58">
        <v>0</v>
      </c>
    </row>
    <row r="454" spans="1:11">
      <c r="A454" s="20">
        <v>18</v>
      </c>
      <c r="B454" s="35">
        <v>41015</v>
      </c>
      <c r="C454" s="20">
        <v>2012</v>
      </c>
      <c r="D454" s="10" t="s">
        <v>28</v>
      </c>
      <c r="E454" s="20">
        <v>4</v>
      </c>
      <c r="F454" s="49">
        <v>1.5089999999999999</v>
      </c>
      <c r="G454" s="49">
        <v>0</v>
      </c>
      <c r="H454" s="49">
        <v>0</v>
      </c>
      <c r="I454" s="49">
        <v>0.47751887499999995</v>
      </c>
      <c r="J454" s="58">
        <v>2.8880874999999997E-2</v>
      </c>
      <c r="K454" s="58">
        <v>0</v>
      </c>
    </row>
    <row r="455" spans="1:11">
      <c r="A455" s="20">
        <v>1</v>
      </c>
      <c r="B455" s="35">
        <v>41045</v>
      </c>
      <c r="C455" s="20">
        <v>2012</v>
      </c>
      <c r="D455" s="10" t="s">
        <v>29</v>
      </c>
      <c r="E455" s="20">
        <v>5</v>
      </c>
      <c r="F455" s="49">
        <v>4.4130000000000003</v>
      </c>
      <c r="G455" s="49">
        <v>3.7142124999999991E-2</v>
      </c>
      <c r="H455" s="49">
        <v>0.10824612499999998</v>
      </c>
      <c r="I455" s="49">
        <v>2.1236721250000001</v>
      </c>
      <c r="J455" s="58">
        <v>4.6744249999999994E-2</v>
      </c>
      <c r="K455" s="58">
        <v>0</v>
      </c>
    </row>
    <row r="456" spans="1:11">
      <c r="A456" s="20">
        <v>17</v>
      </c>
      <c r="B456" s="35">
        <v>41045</v>
      </c>
      <c r="C456" s="20">
        <v>2012</v>
      </c>
      <c r="D456" s="10" t="s">
        <v>29</v>
      </c>
      <c r="E456" s="20">
        <v>5</v>
      </c>
      <c r="F456" s="49">
        <v>4.45</v>
      </c>
      <c r="G456" s="49">
        <v>5.6777499999999995E-2</v>
      </c>
      <c r="H456" s="49">
        <v>0.25750137499999998</v>
      </c>
      <c r="I456" s="49">
        <v>2.2567783749999997</v>
      </c>
      <c r="J456" s="58">
        <v>4.8279500000000003E-2</v>
      </c>
      <c r="K456" s="58">
        <v>0</v>
      </c>
    </row>
    <row r="457" spans="1:11">
      <c r="A457" s="20">
        <v>18</v>
      </c>
      <c r="B457" s="35">
        <v>41045</v>
      </c>
      <c r="C457" s="20">
        <v>2012</v>
      </c>
      <c r="D457" s="10" t="s">
        <v>29</v>
      </c>
      <c r="E457" s="20">
        <v>5</v>
      </c>
      <c r="F457" s="49">
        <v>5.343</v>
      </c>
      <c r="G457" s="49">
        <v>9.3169500000000016E-2</v>
      </c>
      <c r="H457" s="49">
        <v>0.155727375</v>
      </c>
      <c r="I457" s="49">
        <v>2.5379732499999998</v>
      </c>
      <c r="J457" s="58">
        <v>6.8983000000000003E-2</v>
      </c>
      <c r="K457" s="58">
        <v>0</v>
      </c>
    </row>
    <row r="458" spans="1:11">
      <c r="A458" s="20">
        <v>1</v>
      </c>
      <c r="B458" s="35">
        <v>41073</v>
      </c>
      <c r="C458" s="20">
        <v>2012</v>
      </c>
      <c r="D458" s="10" t="s">
        <v>30</v>
      </c>
      <c r="E458" s="20">
        <v>6</v>
      </c>
      <c r="F458" s="49">
        <v>5.7510000000000003</v>
      </c>
      <c r="G458" s="49">
        <v>0.12935374999999999</v>
      </c>
      <c r="H458" s="49">
        <v>4.422425E-2</v>
      </c>
      <c r="I458" s="49">
        <v>1.8353336250000003</v>
      </c>
      <c r="J458" s="58">
        <v>0.33436587499999998</v>
      </c>
      <c r="K458" s="58">
        <v>0</v>
      </c>
    </row>
    <row r="459" spans="1:11">
      <c r="A459" s="20">
        <v>17</v>
      </c>
      <c r="B459" s="35">
        <v>41073</v>
      </c>
      <c r="C459" s="20">
        <v>2012</v>
      </c>
      <c r="D459" s="10" t="s">
        <v>30</v>
      </c>
      <c r="E459" s="20">
        <v>6</v>
      </c>
      <c r="F459" s="49">
        <v>5.8970000000000002</v>
      </c>
      <c r="G459" s="49">
        <v>0.42449962499999999</v>
      </c>
      <c r="H459" s="49">
        <v>8.0149750000000006E-2</v>
      </c>
      <c r="I459" s="49">
        <v>2.8512401249999995</v>
      </c>
      <c r="J459" s="58">
        <v>6.4409750000000002E-2</v>
      </c>
      <c r="K459" s="58">
        <v>0</v>
      </c>
    </row>
    <row r="460" spans="1:11">
      <c r="A460" s="20">
        <v>18</v>
      </c>
      <c r="B460" s="35">
        <v>41073</v>
      </c>
      <c r="C460" s="20">
        <v>2012</v>
      </c>
      <c r="D460" s="10" t="s">
        <v>30</v>
      </c>
      <c r="E460" s="20">
        <v>6</v>
      </c>
      <c r="F460" s="49">
        <v>8.2430000000000003</v>
      </c>
      <c r="G460" s="49">
        <v>8.4842374999999984E-2</v>
      </c>
      <c r="H460" s="49">
        <v>0</v>
      </c>
      <c r="I460" s="49">
        <v>3.0141598749999998</v>
      </c>
      <c r="J460" s="58">
        <v>0.31920874999999999</v>
      </c>
      <c r="K460" s="58">
        <v>0</v>
      </c>
    </row>
    <row r="461" spans="1:11">
      <c r="A461" s="20">
        <v>1</v>
      </c>
      <c r="B461" s="35">
        <v>41107</v>
      </c>
      <c r="C461" s="20">
        <v>2012</v>
      </c>
      <c r="D461" s="10" t="s">
        <v>31</v>
      </c>
      <c r="E461" s="20">
        <v>7</v>
      </c>
      <c r="F461" s="49">
        <v>8.2539999999999996</v>
      </c>
      <c r="G461" s="49">
        <v>9.472812500000001E-2</v>
      </c>
      <c r="H461" s="49">
        <v>0</v>
      </c>
      <c r="I461" s="49">
        <v>2.9198668749999999</v>
      </c>
      <c r="J461" s="58">
        <v>0.239925375</v>
      </c>
      <c r="K461" s="58">
        <v>0</v>
      </c>
    </row>
    <row r="462" spans="1:11">
      <c r="A462" s="20">
        <v>17</v>
      </c>
      <c r="B462" s="35">
        <v>41107</v>
      </c>
      <c r="C462" s="20">
        <v>2012</v>
      </c>
      <c r="D462" s="10" t="s">
        <v>31</v>
      </c>
      <c r="E462" s="20">
        <v>7</v>
      </c>
      <c r="F462" s="49">
        <v>8.0850000000000009</v>
      </c>
      <c r="G462" s="49">
        <v>0.19788887499999999</v>
      </c>
      <c r="H462" s="49">
        <v>0</v>
      </c>
      <c r="I462" s="49">
        <v>2.9509516250000001</v>
      </c>
      <c r="J462" s="58">
        <v>2.6998749999999996E-3</v>
      </c>
      <c r="K462" s="58">
        <v>0</v>
      </c>
    </row>
    <row r="463" spans="1:11">
      <c r="A463" s="20">
        <v>18</v>
      </c>
      <c r="B463" s="35">
        <v>41107</v>
      </c>
      <c r="C463" s="20">
        <v>2012</v>
      </c>
      <c r="D463" s="10" t="s">
        <v>31</v>
      </c>
      <c r="E463" s="20">
        <v>7</v>
      </c>
      <c r="F463" s="49">
        <v>5.4820000000000002</v>
      </c>
      <c r="G463" s="49">
        <v>0.12186524999999999</v>
      </c>
      <c r="H463" s="49">
        <v>0</v>
      </c>
      <c r="I463" s="49">
        <v>1.9052411250000001</v>
      </c>
      <c r="J463" s="58">
        <v>0.25436950000000003</v>
      </c>
      <c r="K463" s="58">
        <v>0</v>
      </c>
    </row>
    <row r="464" spans="1:11">
      <c r="A464" s="20">
        <v>1</v>
      </c>
      <c r="B464" s="35">
        <v>41135</v>
      </c>
      <c r="C464" s="20">
        <v>2012</v>
      </c>
      <c r="D464" s="10" t="s">
        <v>32</v>
      </c>
      <c r="E464" s="20">
        <v>8</v>
      </c>
      <c r="F464" s="49">
        <v>11.004</v>
      </c>
      <c r="G464" s="49">
        <v>0.72191875000000005</v>
      </c>
      <c r="H464" s="49">
        <v>0</v>
      </c>
      <c r="I464" s="49">
        <v>3.7693638749999994</v>
      </c>
      <c r="J464" s="58">
        <v>0.49703550000000002</v>
      </c>
      <c r="K464" s="58">
        <v>0</v>
      </c>
    </row>
    <row r="465" spans="1:18">
      <c r="A465" s="20">
        <v>17</v>
      </c>
      <c r="B465" s="35">
        <v>41135</v>
      </c>
      <c r="C465" s="20">
        <v>2012</v>
      </c>
      <c r="D465" s="10" t="s">
        <v>32</v>
      </c>
      <c r="E465" s="20">
        <v>8</v>
      </c>
      <c r="F465" s="49">
        <v>11.523999999999999</v>
      </c>
      <c r="G465" s="49">
        <v>0.49924887499999998</v>
      </c>
      <c r="H465" s="49">
        <v>0</v>
      </c>
      <c r="I465" s="49">
        <v>4.9662823749999987</v>
      </c>
      <c r="J465" s="58">
        <v>0.58554012499999997</v>
      </c>
      <c r="K465" s="58">
        <v>0</v>
      </c>
    </row>
    <row r="466" spans="1:18">
      <c r="A466" s="20">
        <v>18</v>
      </c>
      <c r="B466" s="35">
        <v>41135</v>
      </c>
      <c r="C466" s="20">
        <v>2012</v>
      </c>
      <c r="D466" s="10" t="s">
        <v>32</v>
      </c>
      <c r="E466" s="20">
        <v>8</v>
      </c>
      <c r="F466" s="49">
        <v>12.27</v>
      </c>
      <c r="G466" s="49">
        <v>0.18151512499999997</v>
      </c>
      <c r="H466" s="49">
        <v>0</v>
      </c>
      <c r="I466" s="49">
        <v>4.1902286249999996</v>
      </c>
      <c r="J466" s="58">
        <v>1.5350522499999997</v>
      </c>
      <c r="K466" s="58">
        <v>4.8723500000000003E-2</v>
      </c>
    </row>
    <row r="467" spans="1:18">
      <c r="A467" s="20">
        <v>1</v>
      </c>
      <c r="B467" s="35">
        <v>41164</v>
      </c>
      <c r="C467" s="20">
        <v>2012</v>
      </c>
      <c r="D467" s="10" t="s">
        <v>38</v>
      </c>
      <c r="E467" s="20">
        <v>9</v>
      </c>
      <c r="F467" s="49">
        <v>9.9719999999999995</v>
      </c>
      <c r="G467" s="49">
        <v>7.7073499999999989E-2</v>
      </c>
      <c r="H467" s="49">
        <v>0</v>
      </c>
      <c r="I467" s="49">
        <v>4.575053875</v>
      </c>
      <c r="J467" s="58">
        <v>0.34494412499999993</v>
      </c>
      <c r="K467" s="58">
        <v>0</v>
      </c>
    </row>
    <row r="468" spans="1:18">
      <c r="A468" s="20">
        <v>17</v>
      </c>
      <c r="B468" s="35">
        <v>41164</v>
      </c>
      <c r="C468" s="20">
        <v>2012</v>
      </c>
      <c r="D468" s="10" t="s">
        <v>38</v>
      </c>
      <c r="E468" s="20">
        <v>9</v>
      </c>
      <c r="F468" s="49">
        <v>12.736000000000001</v>
      </c>
      <c r="G468" s="49">
        <v>0</v>
      </c>
      <c r="H468" s="49">
        <v>0</v>
      </c>
      <c r="I468" s="49">
        <v>6.8171262499999985</v>
      </c>
      <c r="J468" s="58">
        <v>0.30021662500000001</v>
      </c>
      <c r="K468" s="58">
        <v>0</v>
      </c>
    </row>
    <row r="469" spans="1:18">
      <c r="A469" s="20">
        <v>18</v>
      </c>
      <c r="B469" s="35">
        <v>41164</v>
      </c>
      <c r="C469" s="20">
        <v>2012</v>
      </c>
      <c r="D469" s="10" t="s">
        <v>38</v>
      </c>
      <c r="E469" s="20">
        <v>9</v>
      </c>
      <c r="F469" s="49">
        <v>9.218</v>
      </c>
      <c r="G469" s="49">
        <v>0</v>
      </c>
      <c r="H469" s="49">
        <v>0</v>
      </c>
      <c r="I469" s="49">
        <v>4.5910902499999997</v>
      </c>
      <c r="J469" s="58">
        <v>0.28028087499999993</v>
      </c>
      <c r="K469" s="58">
        <v>0</v>
      </c>
    </row>
    <row r="470" spans="1:18">
      <c r="A470" s="20">
        <v>1</v>
      </c>
      <c r="B470" s="35">
        <v>41200</v>
      </c>
      <c r="C470" s="20">
        <v>2012</v>
      </c>
      <c r="D470" s="10" t="s">
        <v>34</v>
      </c>
      <c r="E470" s="20">
        <v>10</v>
      </c>
      <c r="F470" s="49">
        <v>3.069</v>
      </c>
      <c r="G470" s="49">
        <v>4.5039374999999993E-2</v>
      </c>
      <c r="H470" s="49">
        <v>0</v>
      </c>
      <c r="I470" s="49">
        <v>1.0714341249999997</v>
      </c>
      <c r="J470" s="58">
        <v>4.6839874999999996E-2</v>
      </c>
      <c r="K470" s="58">
        <v>0</v>
      </c>
    </row>
    <row r="471" spans="1:18">
      <c r="A471" s="20">
        <v>17</v>
      </c>
      <c r="B471" s="35">
        <v>41200</v>
      </c>
      <c r="C471" s="20">
        <v>2012</v>
      </c>
      <c r="D471" s="10" t="s">
        <v>34</v>
      </c>
      <c r="E471" s="20">
        <v>10</v>
      </c>
      <c r="F471" s="49">
        <v>7.125</v>
      </c>
      <c r="G471" s="49">
        <v>0.16978837499999996</v>
      </c>
      <c r="H471" s="49">
        <v>6.9665749999999985E-2</v>
      </c>
      <c r="I471" s="49">
        <v>3.0422444999999994</v>
      </c>
      <c r="J471" s="58">
        <v>9.4490624999999995E-2</v>
      </c>
      <c r="K471" s="58">
        <v>0</v>
      </c>
    </row>
    <row r="472" spans="1:18">
      <c r="A472" s="20">
        <v>18</v>
      </c>
      <c r="B472" s="35">
        <v>41200</v>
      </c>
      <c r="C472" s="20">
        <v>2012</v>
      </c>
      <c r="D472" s="10" t="s">
        <v>34</v>
      </c>
      <c r="E472" s="20">
        <v>10</v>
      </c>
      <c r="F472" s="49">
        <v>2.956</v>
      </c>
      <c r="G472" s="49">
        <v>5.484687500000001E-2</v>
      </c>
      <c r="H472" s="49">
        <v>0</v>
      </c>
      <c r="I472" s="49">
        <v>1.1764652499999999</v>
      </c>
      <c r="J472" s="58">
        <v>4.987225E-2</v>
      </c>
      <c r="K472" s="58">
        <v>0</v>
      </c>
    </row>
    <row r="473" spans="1:18">
      <c r="A473" s="20">
        <v>1</v>
      </c>
      <c r="B473" s="35">
        <v>41226</v>
      </c>
      <c r="C473" s="20">
        <v>2012</v>
      </c>
      <c r="D473" s="10" t="s">
        <v>35</v>
      </c>
      <c r="E473" s="20">
        <v>11</v>
      </c>
      <c r="F473" s="49">
        <v>1.71</v>
      </c>
      <c r="G473" s="49">
        <v>0</v>
      </c>
      <c r="H473" s="49">
        <v>0</v>
      </c>
      <c r="I473" s="49">
        <v>0.40672887499999999</v>
      </c>
      <c r="J473" s="58">
        <v>0</v>
      </c>
      <c r="K473" s="58">
        <v>0</v>
      </c>
    </row>
    <row r="474" spans="1:18">
      <c r="A474" s="20">
        <v>17</v>
      </c>
      <c r="B474" s="35">
        <v>41226</v>
      </c>
      <c r="C474" s="20">
        <v>2012</v>
      </c>
      <c r="D474" s="10" t="s">
        <v>35</v>
      </c>
      <c r="E474" s="20">
        <v>11</v>
      </c>
      <c r="F474" s="49">
        <v>2.6160000000000001</v>
      </c>
      <c r="G474" s="49">
        <v>0</v>
      </c>
      <c r="H474" s="49">
        <v>0</v>
      </c>
      <c r="I474" s="49">
        <v>1.0638682500000003</v>
      </c>
      <c r="J474" s="58">
        <v>2.422175E-2</v>
      </c>
      <c r="K474" s="58">
        <v>0</v>
      </c>
    </row>
    <row r="475" spans="1:18">
      <c r="A475" s="20">
        <v>18</v>
      </c>
      <c r="B475" s="35">
        <v>41226</v>
      </c>
      <c r="C475" s="20">
        <v>2012</v>
      </c>
      <c r="D475" s="10" t="s">
        <v>35</v>
      </c>
      <c r="E475" s="20">
        <v>11</v>
      </c>
      <c r="F475" s="49">
        <v>3.024</v>
      </c>
      <c r="G475" s="49">
        <v>0</v>
      </c>
      <c r="H475" s="49">
        <v>0</v>
      </c>
      <c r="I475" s="49">
        <v>1.29346575</v>
      </c>
      <c r="J475" s="58">
        <v>3.410912499999999E-2</v>
      </c>
      <c r="K475" s="58">
        <v>0</v>
      </c>
    </row>
    <row r="476" spans="1:18">
      <c r="A476" s="20">
        <v>1</v>
      </c>
      <c r="B476" s="35">
        <v>41254</v>
      </c>
      <c r="C476" s="20">
        <v>2012</v>
      </c>
      <c r="D476" s="10" t="s">
        <v>36</v>
      </c>
      <c r="E476" s="20">
        <v>12</v>
      </c>
      <c r="F476" s="49">
        <v>7.4009999999999998</v>
      </c>
      <c r="G476" s="49">
        <v>6.1071624999999997E-2</v>
      </c>
      <c r="H476" s="49">
        <v>0</v>
      </c>
      <c r="I476" s="49">
        <v>3.1005207499999994</v>
      </c>
      <c r="J476" s="58">
        <v>0</v>
      </c>
      <c r="K476" s="58">
        <v>0</v>
      </c>
    </row>
    <row r="477" spans="1:18">
      <c r="A477" s="20">
        <v>17</v>
      </c>
      <c r="B477" s="35">
        <v>41254</v>
      </c>
      <c r="C477" s="20">
        <v>2012</v>
      </c>
      <c r="D477" s="10" t="s">
        <v>36</v>
      </c>
      <c r="E477" s="20">
        <v>12</v>
      </c>
      <c r="F477" s="49">
        <v>8.8949999999999996</v>
      </c>
      <c r="G477" s="49">
        <v>0</v>
      </c>
      <c r="H477" s="49">
        <v>0</v>
      </c>
      <c r="I477" s="49">
        <v>4.1434813749999995</v>
      </c>
      <c r="J477" s="58">
        <v>1.6306749999999998E-2</v>
      </c>
      <c r="K477" s="58">
        <v>0</v>
      </c>
    </row>
    <row r="478" spans="1:18" ht="25.5">
      <c r="A478" s="20">
        <v>18</v>
      </c>
      <c r="B478" s="35">
        <v>41254</v>
      </c>
      <c r="C478" s="20">
        <v>2012</v>
      </c>
      <c r="D478" s="10" t="s">
        <v>36</v>
      </c>
      <c r="E478" s="20">
        <v>12</v>
      </c>
      <c r="F478" s="49">
        <v>2.5960000000000001</v>
      </c>
      <c r="G478" s="49">
        <v>0</v>
      </c>
      <c r="H478" s="49">
        <v>0</v>
      </c>
      <c r="I478" s="49">
        <v>1.1786571249999998</v>
      </c>
      <c r="J478" s="58">
        <v>7.6324999999999987E-3</v>
      </c>
      <c r="K478" s="58">
        <v>0</v>
      </c>
      <c r="L478" s="62" t="s">
        <v>42</v>
      </c>
      <c r="M478" s="5" t="s">
        <v>5</v>
      </c>
      <c r="N478" s="5" t="s">
        <v>6</v>
      </c>
      <c r="O478" s="5" t="s">
        <v>7</v>
      </c>
      <c r="P478" s="5" t="s">
        <v>8</v>
      </c>
      <c r="Q478" s="5" t="s">
        <v>9</v>
      </c>
      <c r="R478" s="5" t="s">
        <v>10</v>
      </c>
    </row>
    <row r="479" spans="1:18">
      <c r="A479" s="23">
        <v>1</v>
      </c>
      <c r="B479" s="34">
        <v>41288</v>
      </c>
      <c r="C479" s="23">
        <v>2013</v>
      </c>
      <c r="D479" s="18" t="s">
        <v>37</v>
      </c>
      <c r="E479" s="17">
        <v>1</v>
      </c>
      <c r="F479" s="77">
        <v>3.7519999999999998</v>
      </c>
      <c r="G479" s="77">
        <v>4.5629625E-2</v>
      </c>
      <c r="H479" s="77">
        <v>0</v>
      </c>
      <c r="I479" s="77">
        <v>1.4045683750000002</v>
      </c>
      <c r="J479" s="75">
        <v>0</v>
      </c>
      <c r="K479" s="75">
        <v>0</v>
      </c>
      <c r="L479" s="62" t="s">
        <v>68</v>
      </c>
      <c r="M479" s="50">
        <f t="shared" ref="M479:R479" si="10">AVERAGE(F479:F514)</f>
        <v>5.1323888888888876</v>
      </c>
      <c r="N479" s="50">
        <f t="shared" si="10"/>
        <v>0.13159494097222224</v>
      </c>
      <c r="O479" s="50">
        <f t="shared" si="10"/>
        <v>6.4818749999999989E-4</v>
      </c>
      <c r="P479" s="50">
        <f t="shared" si="10"/>
        <v>2.1445920624999997</v>
      </c>
      <c r="Q479" s="50">
        <f t="shared" si="10"/>
        <v>6.0498833333333328E-2</v>
      </c>
      <c r="R479" s="50">
        <f t="shared" si="10"/>
        <v>0</v>
      </c>
    </row>
    <row r="480" spans="1:18">
      <c r="A480" s="20">
        <v>17</v>
      </c>
      <c r="B480" s="35">
        <v>41288</v>
      </c>
      <c r="C480" s="20">
        <v>2013</v>
      </c>
      <c r="D480" s="10" t="s">
        <v>37</v>
      </c>
      <c r="E480" s="11">
        <v>1</v>
      </c>
      <c r="F480" s="49">
        <v>8.4710000000000001</v>
      </c>
      <c r="G480" s="49">
        <v>8.1469874999999983E-2</v>
      </c>
      <c r="H480" s="49">
        <v>0</v>
      </c>
      <c r="I480" s="49">
        <v>3.7026131250000001</v>
      </c>
      <c r="J480" s="58">
        <v>1.38215E-2</v>
      </c>
      <c r="K480" s="58">
        <v>0</v>
      </c>
    </row>
    <row r="481" spans="1:11">
      <c r="A481" s="20">
        <v>18</v>
      </c>
      <c r="B481" s="35">
        <v>41288</v>
      </c>
      <c r="C481" s="20">
        <v>2013</v>
      </c>
      <c r="D481" s="10" t="s">
        <v>37</v>
      </c>
      <c r="E481" s="11">
        <v>1</v>
      </c>
      <c r="F481" s="51">
        <v>5.609</v>
      </c>
      <c r="G481" s="51">
        <v>6.5756750000000017E-2</v>
      </c>
      <c r="H481" s="51">
        <v>0</v>
      </c>
      <c r="I481" s="51">
        <v>2.4509699999999999</v>
      </c>
      <c r="J481" s="58">
        <v>0</v>
      </c>
      <c r="K481" s="58">
        <v>0</v>
      </c>
    </row>
    <row r="482" spans="1:11">
      <c r="A482" s="20">
        <v>1</v>
      </c>
      <c r="B482" s="35">
        <v>41318</v>
      </c>
      <c r="C482" s="20">
        <v>2013</v>
      </c>
      <c r="D482" s="10" t="s">
        <v>26</v>
      </c>
      <c r="E482" s="11">
        <v>2</v>
      </c>
      <c r="F482" s="58">
        <v>6.1440000000000001</v>
      </c>
      <c r="G482" s="58">
        <v>0.29896125000000001</v>
      </c>
      <c r="H482" s="58">
        <v>0</v>
      </c>
      <c r="I482" s="58">
        <v>2.8635459999999999</v>
      </c>
      <c r="J482" s="58">
        <v>1.4628875E-2</v>
      </c>
      <c r="K482" s="58">
        <v>0</v>
      </c>
    </row>
    <row r="483" spans="1:11">
      <c r="A483" s="20">
        <v>17</v>
      </c>
      <c r="B483" s="35">
        <v>41318</v>
      </c>
      <c r="C483" s="20">
        <v>2013</v>
      </c>
      <c r="D483" s="10" t="s">
        <v>26</v>
      </c>
      <c r="E483" s="11">
        <v>2</v>
      </c>
      <c r="F483" s="58">
        <v>7.3550000000000004</v>
      </c>
      <c r="G483" s="58">
        <v>0.26643549999999999</v>
      </c>
      <c r="H483" s="58">
        <v>0</v>
      </c>
      <c r="I483" s="58">
        <v>3.0407433749999995</v>
      </c>
      <c r="J483" s="58">
        <v>1.5055249999999997E-2</v>
      </c>
      <c r="K483" s="58">
        <v>0</v>
      </c>
    </row>
    <row r="484" spans="1:11">
      <c r="A484" s="20">
        <v>18</v>
      </c>
      <c r="B484" s="35">
        <v>41318</v>
      </c>
      <c r="C484" s="20">
        <v>2013</v>
      </c>
      <c r="D484" s="10" t="s">
        <v>26</v>
      </c>
      <c r="E484" s="11">
        <v>2</v>
      </c>
      <c r="F484" s="58">
        <v>7.8769999999999998</v>
      </c>
      <c r="G484" s="58">
        <v>0.29558050000000002</v>
      </c>
      <c r="H484" s="58">
        <v>0</v>
      </c>
      <c r="I484" s="58">
        <v>3.3651889999999995</v>
      </c>
      <c r="J484" s="58">
        <v>1.6976499999999999E-2</v>
      </c>
      <c r="K484" s="58">
        <v>0</v>
      </c>
    </row>
    <row r="485" spans="1:11">
      <c r="A485" s="20">
        <v>1</v>
      </c>
      <c r="B485" s="35">
        <v>41344</v>
      </c>
      <c r="C485" s="20">
        <v>2013</v>
      </c>
      <c r="D485" s="10" t="s">
        <v>27</v>
      </c>
      <c r="E485" s="11">
        <v>3</v>
      </c>
      <c r="F485" s="58">
        <v>6.5209999999999999</v>
      </c>
      <c r="G485" s="58">
        <v>0.161067875</v>
      </c>
      <c r="H485" s="58">
        <v>0</v>
      </c>
      <c r="I485" s="58">
        <v>2.9342406249999997</v>
      </c>
      <c r="J485" s="58">
        <v>3.1136750000000001E-2</v>
      </c>
      <c r="K485" s="58">
        <v>0</v>
      </c>
    </row>
    <row r="486" spans="1:11">
      <c r="A486" s="20">
        <v>17</v>
      </c>
      <c r="B486" s="35">
        <v>41344</v>
      </c>
      <c r="C486" s="20">
        <v>2013</v>
      </c>
      <c r="D486" s="10" t="s">
        <v>27</v>
      </c>
      <c r="E486" s="11">
        <v>3</v>
      </c>
      <c r="F486" s="58">
        <v>8.843</v>
      </c>
      <c r="G486" s="58">
        <v>0.37071549999999992</v>
      </c>
      <c r="H486" s="58">
        <v>0</v>
      </c>
      <c r="I486" s="58">
        <v>3.8189104999999999</v>
      </c>
      <c r="J486" s="58">
        <v>2.5451000000000001E-2</v>
      </c>
      <c r="K486" s="58">
        <v>0</v>
      </c>
    </row>
    <row r="487" spans="1:11">
      <c r="A487" s="20">
        <v>18</v>
      </c>
      <c r="B487" s="35">
        <v>41344</v>
      </c>
      <c r="C487" s="20">
        <v>2013</v>
      </c>
      <c r="D487" s="10" t="s">
        <v>27</v>
      </c>
      <c r="E487" s="11">
        <v>3</v>
      </c>
      <c r="F487" s="58">
        <v>8.5359999999999996</v>
      </c>
      <c r="G487" s="58">
        <v>0.20401875</v>
      </c>
      <c r="H487" s="58">
        <v>0</v>
      </c>
      <c r="I487" s="58">
        <v>3.8739868750000004</v>
      </c>
      <c r="J487" s="58">
        <v>3.0235499999999998E-2</v>
      </c>
      <c r="K487" s="58">
        <v>0</v>
      </c>
    </row>
    <row r="488" spans="1:11">
      <c r="A488" s="20">
        <v>1</v>
      </c>
      <c r="B488" s="35">
        <v>41381</v>
      </c>
      <c r="C488" s="20">
        <v>2013</v>
      </c>
      <c r="D488" s="10" t="s">
        <v>28</v>
      </c>
      <c r="E488" s="11">
        <v>4</v>
      </c>
      <c r="F488" s="59">
        <v>0.47099999999999997</v>
      </c>
      <c r="G488" s="59">
        <v>0</v>
      </c>
      <c r="H488" s="59">
        <v>0</v>
      </c>
      <c r="I488" s="59">
        <v>0.27236074999999998</v>
      </c>
      <c r="J488" s="59">
        <v>5.5519999999999996E-3</v>
      </c>
      <c r="K488" s="59">
        <v>0</v>
      </c>
    </row>
    <row r="489" spans="1:11">
      <c r="A489" s="20">
        <v>17</v>
      </c>
      <c r="B489" s="35">
        <v>41381</v>
      </c>
      <c r="C489" s="20">
        <v>2013</v>
      </c>
      <c r="D489" s="10" t="s">
        <v>28</v>
      </c>
      <c r="E489" s="11">
        <v>4</v>
      </c>
      <c r="F489" s="59">
        <v>0.59899999999999998</v>
      </c>
      <c r="G489" s="59">
        <v>0</v>
      </c>
      <c r="H489" s="59">
        <v>0</v>
      </c>
      <c r="I489" s="59">
        <v>0.345777375</v>
      </c>
      <c r="J489" s="59">
        <v>1.5762499999999995E-2</v>
      </c>
      <c r="K489" s="59">
        <v>0</v>
      </c>
    </row>
    <row r="490" spans="1:11">
      <c r="A490" s="20">
        <v>18</v>
      </c>
      <c r="B490" s="35">
        <v>41381</v>
      </c>
      <c r="C490" s="20">
        <v>2013</v>
      </c>
      <c r="D490" s="10" t="s">
        <v>28</v>
      </c>
      <c r="E490" s="11">
        <v>4</v>
      </c>
      <c r="F490" s="59">
        <v>0.45400000000000001</v>
      </c>
      <c r="G490" s="59">
        <v>0</v>
      </c>
      <c r="H490" s="59">
        <v>0</v>
      </c>
      <c r="I490" s="59">
        <v>0.27816337500000005</v>
      </c>
      <c r="J490" s="59">
        <v>9.5130000000000006E-3</v>
      </c>
      <c r="K490" s="59">
        <v>0</v>
      </c>
    </row>
    <row r="491" spans="1:11">
      <c r="A491" s="20">
        <v>1</v>
      </c>
      <c r="B491" s="35">
        <v>41408</v>
      </c>
      <c r="C491" s="20">
        <v>2013</v>
      </c>
      <c r="D491" s="10" t="s">
        <v>29</v>
      </c>
      <c r="E491" s="11">
        <v>5</v>
      </c>
      <c r="F491" s="59">
        <v>0.88300000000000001</v>
      </c>
      <c r="G491" s="59">
        <v>2.0032374999999998E-2</v>
      </c>
      <c r="H491" s="59">
        <v>0</v>
      </c>
      <c r="I491" s="59">
        <v>0.307779625</v>
      </c>
      <c r="J491" s="59">
        <v>2.1122499999999999E-2</v>
      </c>
      <c r="K491" s="59">
        <v>0</v>
      </c>
    </row>
    <row r="492" spans="1:11">
      <c r="A492" s="20">
        <v>17</v>
      </c>
      <c r="B492" s="35">
        <v>41408</v>
      </c>
      <c r="C492" s="20">
        <v>2013</v>
      </c>
      <c r="D492" s="10" t="s">
        <v>29</v>
      </c>
      <c r="E492" s="11">
        <v>5</v>
      </c>
      <c r="F492" s="59">
        <v>2.5680000000000001</v>
      </c>
      <c r="G492" s="59">
        <v>5.2784249999999998E-2</v>
      </c>
      <c r="H492" s="59">
        <v>0</v>
      </c>
      <c r="I492" s="59">
        <v>1.3019626249999998</v>
      </c>
      <c r="J492" s="59">
        <v>2.5832250000000005E-2</v>
      </c>
      <c r="K492" s="59">
        <v>0</v>
      </c>
    </row>
    <row r="493" spans="1:11">
      <c r="A493" s="20">
        <v>18</v>
      </c>
      <c r="B493" s="35">
        <v>41408</v>
      </c>
      <c r="C493" s="20">
        <v>2013</v>
      </c>
      <c r="D493" s="10" t="s">
        <v>29</v>
      </c>
      <c r="E493" s="11">
        <v>5</v>
      </c>
      <c r="F493" s="59">
        <v>0.84699999999999998</v>
      </c>
      <c r="G493" s="59">
        <v>0</v>
      </c>
      <c r="H493" s="59">
        <v>0</v>
      </c>
      <c r="I493" s="59">
        <v>0.30319237500000001</v>
      </c>
      <c r="J493" s="59">
        <v>1.5079499999999997E-2</v>
      </c>
      <c r="K493" s="59">
        <v>0</v>
      </c>
    </row>
    <row r="494" spans="1:11">
      <c r="A494" s="20">
        <v>1</v>
      </c>
      <c r="B494" s="35">
        <v>41436</v>
      </c>
      <c r="C494" s="20">
        <v>2013</v>
      </c>
      <c r="D494" s="10" t="s">
        <v>30</v>
      </c>
      <c r="E494" s="11">
        <v>6</v>
      </c>
      <c r="F494" s="59">
        <v>3.645</v>
      </c>
      <c r="G494" s="59">
        <v>0.10573637499999998</v>
      </c>
      <c r="H494" s="59">
        <v>0</v>
      </c>
      <c r="I494" s="59">
        <v>0.78359250000000003</v>
      </c>
      <c r="J494" s="59">
        <v>4.44815E-2</v>
      </c>
      <c r="K494" s="59">
        <v>0</v>
      </c>
    </row>
    <row r="495" spans="1:11">
      <c r="A495" s="20">
        <v>17</v>
      </c>
      <c r="B495" s="35">
        <v>41436</v>
      </c>
      <c r="C495" s="20">
        <v>2013</v>
      </c>
      <c r="D495" s="10" t="s">
        <v>30</v>
      </c>
      <c r="E495" s="11">
        <v>6</v>
      </c>
      <c r="F495" s="59">
        <v>4.2629999999999999</v>
      </c>
      <c r="G495" s="59">
        <v>0.31968950000000002</v>
      </c>
      <c r="H495" s="59">
        <v>0</v>
      </c>
      <c r="I495" s="59">
        <v>1.7517778749999997</v>
      </c>
      <c r="J495" s="59">
        <v>6.0755374999999993E-2</v>
      </c>
      <c r="K495" s="59">
        <v>0</v>
      </c>
    </row>
    <row r="496" spans="1:11">
      <c r="A496" s="20">
        <v>18</v>
      </c>
      <c r="B496" s="35">
        <v>41436</v>
      </c>
      <c r="C496" s="20">
        <v>2013</v>
      </c>
      <c r="D496" s="10" t="s">
        <v>30</v>
      </c>
      <c r="E496" s="11">
        <v>6</v>
      </c>
      <c r="F496" s="59">
        <v>5.8090000000000002</v>
      </c>
      <c r="G496" s="59">
        <v>7.8489624999999993E-2</v>
      </c>
      <c r="H496" s="59">
        <v>2.3334749999999998E-2</v>
      </c>
      <c r="I496" s="59">
        <v>1.7458698749999999</v>
      </c>
      <c r="J496" s="59">
        <v>0.13472087499999996</v>
      </c>
      <c r="K496" s="59">
        <v>0</v>
      </c>
    </row>
    <row r="497" spans="1:11">
      <c r="A497" s="20">
        <v>1</v>
      </c>
      <c r="B497" s="35">
        <v>41471</v>
      </c>
      <c r="C497" s="20">
        <v>2013</v>
      </c>
      <c r="D497" s="10" t="s">
        <v>31</v>
      </c>
      <c r="E497" s="11">
        <v>7</v>
      </c>
      <c r="F497" s="59">
        <v>5.0659999999999998</v>
      </c>
      <c r="G497" s="59">
        <v>0.15615937499999996</v>
      </c>
      <c r="H497" s="59">
        <v>0</v>
      </c>
      <c r="I497" s="59">
        <v>1.6308466249999998</v>
      </c>
      <c r="J497" s="59">
        <v>0.11054924999999997</v>
      </c>
      <c r="K497" s="59">
        <v>0</v>
      </c>
    </row>
    <row r="498" spans="1:11">
      <c r="A498" s="20">
        <v>17</v>
      </c>
      <c r="B498" s="35">
        <v>41471</v>
      </c>
      <c r="C498" s="20">
        <v>2013</v>
      </c>
      <c r="D498" s="10" t="s">
        <v>31</v>
      </c>
      <c r="E498" s="11">
        <v>7</v>
      </c>
      <c r="F498" s="59">
        <v>15.305</v>
      </c>
      <c r="G498" s="59">
        <v>0.32833449999999997</v>
      </c>
      <c r="H498" s="59">
        <v>0</v>
      </c>
      <c r="I498" s="59">
        <v>7.1338674999999983</v>
      </c>
      <c r="J498" s="59">
        <v>0.30220249999999999</v>
      </c>
      <c r="K498" s="59">
        <v>0</v>
      </c>
    </row>
    <row r="499" spans="1:11">
      <c r="A499" s="20">
        <v>18</v>
      </c>
      <c r="B499" s="35">
        <v>41471</v>
      </c>
      <c r="C499" s="20">
        <v>2013</v>
      </c>
      <c r="D499" s="10" t="s">
        <v>31</v>
      </c>
      <c r="E499" s="11">
        <v>7</v>
      </c>
      <c r="F499" s="59">
        <v>11.465999999999999</v>
      </c>
      <c r="G499" s="59">
        <v>0.27070987500000004</v>
      </c>
      <c r="H499" s="59">
        <v>0</v>
      </c>
      <c r="I499" s="59">
        <v>4.1815727499999999</v>
      </c>
      <c r="J499" s="59">
        <v>0.35071687499999998</v>
      </c>
      <c r="K499" s="59">
        <v>0</v>
      </c>
    </row>
    <row r="500" spans="1:11">
      <c r="A500" s="20">
        <v>1</v>
      </c>
      <c r="B500" s="35">
        <v>41499</v>
      </c>
      <c r="C500" s="20">
        <v>2013</v>
      </c>
      <c r="D500" s="10" t="s">
        <v>32</v>
      </c>
      <c r="E500" s="11">
        <v>8</v>
      </c>
      <c r="F500" s="59">
        <v>5.7140000000000004</v>
      </c>
      <c r="G500" s="59">
        <v>0.51496850000000005</v>
      </c>
      <c r="H500" s="59">
        <v>0</v>
      </c>
      <c r="I500" s="59">
        <v>1.5962015000000001</v>
      </c>
      <c r="J500" s="59">
        <v>0.17590112499999996</v>
      </c>
      <c r="K500" s="59">
        <v>0</v>
      </c>
    </row>
    <row r="501" spans="1:11">
      <c r="A501" s="20">
        <v>17</v>
      </c>
      <c r="B501" s="35">
        <v>41499</v>
      </c>
      <c r="C501" s="20">
        <v>2013</v>
      </c>
      <c r="D501" s="10" t="s">
        <v>32</v>
      </c>
      <c r="E501" s="11">
        <v>8</v>
      </c>
      <c r="F501" s="59">
        <v>6.3680000000000003</v>
      </c>
      <c r="G501" s="59">
        <v>0.27802149999999992</v>
      </c>
      <c r="H501" s="59">
        <v>0</v>
      </c>
      <c r="I501" s="59">
        <v>2.7716478749999998</v>
      </c>
      <c r="J501" s="59">
        <v>0.16898712499999999</v>
      </c>
      <c r="K501" s="59">
        <v>0</v>
      </c>
    </row>
    <row r="502" spans="1:11">
      <c r="A502" s="20">
        <v>18</v>
      </c>
      <c r="B502" s="35">
        <v>41499</v>
      </c>
      <c r="C502" s="20">
        <v>2013</v>
      </c>
      <c r="D502" s="10" t="s">
        <v>32</v>
      </c>
      <c r="E502" s="11">
        <v>8</v>
      </c>
      <c r="F502" s="59">
        <v>8.7149999999999999</v>
      </c>
      <c r="G502" s="59">
        <v>0.37614550000000002</v>
      </c>
      <c r="H502" s="59">
        <v>0</v>
      </c>
      <c r="I502" s="59">
        <v>3.0767417500000001</v>
      </c>
      <c r="J502" s="59">
        <v>0.23121449999999999</v>
      </c>
      <c r="K502" s="59">
        <v>0</v>
      </c>
    </row>
    <row r="503" spans="1:11">
      <c r="A503" s="20">
        <v>1</v>
      </c>
      <c r="B503" s="35">
        <v>41533</v>
      </c>
      <c r="C503" s="20">
        <v>2013</v>
      </c>
      <c r="D503" s="10" t="s">
        <v>38</v>
      </c>
      <c r="E503" s="11">
        <v>9</v>
      </c>
      <c r="F503" s="59">
        <v>3.1379999999999999</v>
      </c>
      <c r="G503" s="59">
        <v>8.5963499999999998E-2</v>
      </c>
      <c r="H503" s="59">
        <v>0</v>
      </c>
      <c r="I503" s="59">
        <v>0.76333024999999999</v>
      </c>
      <c r="J503" s="59">
        <v>5.4569125000000003E-2</v>
      </c>
      <c r="K503" s="59">
        <v>0</v>
      </c>
    </row>
    <row r="504" spans="1:11">
      <c r="A504" s="20">
        <v>17</v>
      </c>
      <c r="B504" s="35">
        <v>41533</v>
      </c>
      <c r="C504" s="20">
        <v>2013</v>
      </c>
      <c r="D504" s="10" t="s">
        <v>38</v>
      </c>
      <c r="E504" s="11">
        <v>9</v>
      </c>
      <c r="F504" s="59">
        <v>3.1459999999999999</v>
      </c>
      <c r="G504" s="59">
        <v>4.6196624999999998E-2</v>
      </c>
      <c r="H504" s="59">
        <v>0</v>
      </c>
      <c r="I504" s="59">
        <v>1.2813613749999997</v>
      </c>
      <c r="J504" s="59">
        <v>5.0449374999999998E-2</v>
      </c>
      <c r="K504" s="59">
        <v>0</v>
      </c>
    </row>
    <row r="505" spans="1:11">
      <c r="A505" s="20">
        <v>18</v>
      </c>
      <c r="B505" s="35">
        <v>41533</v>
      </c>
      <c r="C505" s="20">
        <v>2013</v>
      </c>
      <c r="D505" s="10" t="s">
        <v>38</v>
      </c>
      <c r="E505" s="11">
        <v>9</v>
      </c>
      <c r="F505" s="59">
        <v>3.032</v>
      </c>
      <c r="G505" s="59">
        <v>3.8159374999999995E-2</v>
      </c>
      <c r="H505" s="59">
        <v>0</v>
      </c>
      <c r="I505" s="59">
        <v>1.064082</v>
      </c>
      <c r="J505" s="59">
        <v>3.5412625000000003E-2</v>
      </c>
      <c r="K505" s="59">
        <v>0</v>
      </c>
    </row>
    <row r="506" spans="1:11">
      <c r="A506" s="20">
        <v>1</v>
      </c>
      <c r="B506" s="35">
        <v>41569</v>
      </c>
      <c r="C506" s="20">
        <v>2013</v>
      </c>
      <c r="D506" s="10" t="s">
        <v>34</v>
      </c>
      <c r="E506" s="11">
        <v>10</v>
      </c>
      <c r="F506" s="49">
        <v>1.3</v>
      </c>
      <c r="G506" s="49">
        <v>0</v>
      </c>
      <c r="H506" s="49">
        <v>0</v>
      </c>
      <c r="I506" s="78">
        <v>0.33221499999999998</v>
      </c>
      <c r="J506" s="58">
        <v>1.2742500000000002E-2</v>
      </c>
      <c r="K506" s="58">
        <v>0</v>
      </c>
    </row>
    <row r="507" spans="1:11">
      <c r="A507" s="20">
        <v>17</v>
      </c>
      <c r="B507" s="35">
        <v>41569</v>
      </c>
      <c r="C507" s="20">
        <v>2013</v>
      </c>
      <c r="D507" s="10" t="s">
        <v>34</v>
      </c>
      <c r="E507" s="11">
        <v>10</v>
      </c>
      <c r="F507" s="49">
        <v>3.7040000000000002</v>
      </c>
      <c r="G507" s="49">
        <v>5.9057499999999992E-2</v>
      </c>
      <c r="H507" s="49">
        <v>0</v>
      </c>
      <c r="I507" s="78">
        <v>1.4726443749999998</v>
      </c>
      <c r="J507" s="58">
        <v>3.2357999999999998E-2</v>
      </c>
      <c r="K507" s="58">
        <v>0</v>
      </c>
    </row>
    <row r="508" spans="1:11">
      <c r="A508" s="20">
        <v>18</v>
      </c>
      <c r="B508" s="35">
        <v>41569</v>
      </c>
      <c r="C508" s="20">
        <v>2013</v>
      </c>
      <c r="D508" s="10" t="s">
        <v>34</v>
      </c>
      <c r="E508" s="11">
        <v>10</v>
      </c>
      <c r="F508" s="49">
        <v>3.7650000000000001</v>
      </c>
      <c r="G508" s="49">
        <v>5.7607874999999996E-2</v>
      </c>
      <c r="H508" s="49">
        <v>0</v>
      </c>
      <c r="I508" s="78">
        <v>1.4408166249999999</v>
      </c>
      <c r="J508" s="58">
        <v>3.7083499999999998E-2</v>
      </c>
      <c r="K508" s="58">
        <v>0</v>
      </c>
    </row>
    <row r="509" spans="1:11">
      <c r="A509" s="20">
        <v>1</v>
      </c>
      <c r="B509" s="35">
        <v>41598</v>
      </c>
      <c r="C509" s="20">
        <v>2013</v>
      </c>
      <c r="D509" s="10" t="s">
        <v>35</v>
      </c>
      <c r="E509" s="11">
        <v>11</v>
      </c>
      <c r="F509" s="49">
        <v>2.0910000000000002</v>
      </c>
      <c r="G509" s="49">
        <v>2.3551625E-2</v>
      </c>
      <c r="H509" s="49">
        <v>0</v>
      </c>
      <c r="I509" s="78">
        <v>0.78841649999999985</v>
      </c>
      <c r="J509" s="58">
        <v>1.6012624999999999E-2</v>
      </c>
      <c r="K509" s="58">
        <v>0</v>
      </c>
    </row>
    <row r="510" spans="1:11">
      <c r="A510" s="20">
        <v>17</v>
      </c>
      <c r="B510" s="35">
        <v>41598</v>
      </c>
      <c r="C510" s="20">
        <v>2013</v>
      </c>
      <c r="D510" s="10" t="s">
        <v>35</v>
      </c>
      <c r="E510" s="11">
        <v>11</v>
      </c>
      <c r="F510" s="49">
        <v>6.4530000000000003</v>
      </c>
      <c r="G510" s="49">
        <v>3.686275E-2</v>
      </c>
      <c r="H510" s="49">
        <v>0</v>
      </c>
      <c r="I510" s="78">
        <v>3.3456804999999989</v>
      </c>
      <c r="J510" s="58">
        <v>3.3987375E-2</v>
      </c>
      <c r="K510" s="58">
        <v>0</v>
      </c>
    </row>
    <row r="511" spans="1:11">
      <c r="A511" s="20">
        <v>18</v>
      </c>
      <c r="B511" s="35">
        <v>41598</v>
      </c>
      <c r="C511" s="20">
        <v>2013</v>
      </c>
      <c r="D511" s="10" t="s">
        <v>35</v>
      </c>
      <c r="E511" s="11">
        <v>11</v>
      </c>
      <c r="F511" s="49">
        <v>6.6760000000000002</v>
      </c>
      <c r="G511" s="49">
        <v>5.3113374999999997E-2</v>
      </c>
      <c r="H511" s="49">
        <v>0</v>
      </c>
      <c r="I511" s="78">
        <v>3.3863778750000004</v>
      </c>
      <c r="J511" s="58">
        <v>3.2067125000000002E-2</v>
      </c>
      <c r="K511" s="58">
        <v>0</v>
      </c>
    </row>
    <row r="512" spans="1:11">
      <c r="A512" s="20">
        <v>1</v>
      </c>
      <c r="B512" s="35">
        <v>41624</v>
      </c>
      <c r="C512" s="20">
        <v>2013</v>
      </c>
      <c r="D512" s="10" t="s">
        <v>36</v>
      </c>
      <c r="E512" s="11">
        <v>12</v>
      </c>
      <c r="F512" s="49">
        <v>2.355</v>
      </c>
      <c r="G512" s="49">
        <v>0</v>
      </c>
      <c r="H512" s="49">
        <v>0</v>
      </c>
      <c r="I512" s="78">
        <v>1.089415</v>
      </c>
      <c r="J512" s="58">
        <v>1.1933250000000001E-2</v>
      </c>
      <c r="K512" s="58">
        <v>0</v>
      </c>
    </row>
    <row r="513" spans="1:18">
      <c r="A513" s="20">
        <v>17</v>
      </c>
      <c r="B513" s="35">
        <v>41624</v>
      </c>
      <c r="C513" s="20">
        <v>2013</v>
      </c>
      <c r="D513" s="10" t="s">
        <v>36</v>
      </c>
      <c r="E513" s="11">
        <v>12</v>
      </c>
      <c r="F513" s="49">
        <v>11.252000000000001</v>
      </c>
      <c r="G513" s="49">
        <v>4.6198249999999989E-2</v>
      </c>
      <c r="H513" s="49">
        <v>0</v>
      </c>
      <c r="I513" s="78">
        <v>6.1435919999999991</v>
      </c>
      <c r="J513" s="58">
        <v>4.1646249999999996E-2</v>
      </c>
      <c r="K513" s="58">
        <v>0</v>
      </c>
    </row>
    <row r="514" spans="1:18" ht="25.5">
      <c r="A514" s="20">
        <v>18</v>
      </c>
      <c r="B514" s="35">
        <v>41624</v>
      </c>
      <c r="C514" s="20">
        <v>2013</v>
      </c>
      <c r="D514" s="10" t="s">
        <v>36</v>
      </c>
      <c r="E514" s="11">
        <v>12</v>
      </c>
      <c r="F514" s="49">
        <v>2.573</v>
      </c>
      <c r="G514" s="49">
        <v>0</v>
      </c>
      <c r="H514" s="49">
        <v>0</v>
      </c>
      <c r="I514" s="78">
        <v>1.1612604999999998</v>
      </c>
      <c r="J514" s="58">
        <v>0</v>
      </c>
      <c r="K514" s="58">
        <v>0</v>
      </c>
      <c r="L514" s="62" t="s">
        <v>42</v>
      </c>
      <c r="M514" s="5" t="s">
        <v>5</v>
      </c>
      <c r="N514" s="5" t="s">
        <v>6</v>
      </c>
      <c r="O514" s="5" t="s">
        <v>7</v>
      </c>
      <c r="P514" s="5" t="s">
        <v>8</v>
      </c>
      <c r="Q514" s="5" t="s">
        <v>9</v>
      </c>
      <c r="R514" s="5" t="s">
        <v>10</v>
      </c>
    </row>
    <row r="515" spans="1:18">
      <c r="A515" s="23">
        <v>1</v>
      </c>
      <c r="B515" s="34">
        <v>41654</v>
      </c>
      <c r="C515" s="23">
        <v>2014</v>
      </c>
      <c r="D515" s="18" t="s">
        <v>37</v>
      </c>
      <c r="E515" s="17">
        <v>1</v>
      </c>
      <c r="F515" s="77">
        <v>2.0259999999999998</v>
      </c>
      <c r="G515" s="77">
        <v>3.1210749999999999E-2</v>
      </c>
      <c r="H515" s="77">
        <v>0</v>
      </c>
      <c r="I515" s="79">
        <v>0.85740625000000004</v>
      </c>
      <c r="J515" s="75">
        <v>1.7601624999999996E-2</v>
      </c>
      <c r="K515" s="75">
        <v>0</v>
      </c>
      <c r="L515" s="62" t="s">
        <v>69</v>
      </c>
      <c r="M515" s="50">
        <f t="shared" ref="M515:R515" si="11">AVERAGE(F515:F550)</f>
        <v>4.5619722222222219</v>
      </c>
      <c r="N515" s="50">
        <f t="shared" si="11"/>
        <v>0.18053809027777773</v>
      </c>
      <c r="O515" s="50">
        <f t="shared" si="11"/>
        <v>1.3017635416666666E-2</v>
      </c>
      <c r="P515" s="50">
        <f t="shared" si="11"/>
        <v>1.7996244131944445</v>
      </c>
      <c r="Q515" s="50">
        <f t="shared" si="11"/>
        <v>7.7947979166666626E-2</v>
      </c>
      <c r="R515" s="50">
        <f t="shared" si="11"/>
        <v>1.8522847222222222E-3</v>
      </c>
    </row>
    <row r="516" spans="1:18">
      <c r="A516" s="20">
        <v>17</v>
      </c>
      <c r="B516" s="35">
        <v>41654</v>
      </c>
      <c r="C516" s="20">
        <v>2014</v>
      </c>
      <c r="D516" s="10" t="s">
        <v>37</v>
      </c>
      <c r="E516" s="11">
        <v>1</v>
      </c>
      <c r="F516" s="49">
        <v>6.6669999999999998</v>
      </c>
      <c r="G516" s="49">
        <v>0.10002274999999998</v>
      </c>
      <c r="H516" s="49">
        <v>0</v>
      </c>
      <c r="I516" s="78">
        <v>3.4234799999999992</v>
      </c>
      <c r="J516" s="58">
        <v>2.4910624999999992E-2</v>
      </c>
      <c r="K516" s="58">
        <v>0</v>
      </c>
    </row>
    <row r="517" spans="1:18">
      <c r="A517" s="20">
        <v>18</v>
      </c>
      <c r="B517" s="35">
        <v>41654</v>
      </c>
      <c r="C517" s="20">
        <v>2014</v>
      </c>
      <c r="D517" s="10" t="s">
        <v>37</v>
      </c>
      <c r="E517" s="11">
        <v>1</v>
      </c>
      <c r="F517" s="49">
        <v>3.919</v>
      </c>
      <c r="G517" s="49">
        <v>8.6388374999999989E-2</v>
      </c>
      <c r="H517" s="49">
        <v>0</v>
      </c>
      <c r="I517" s="78">
        <v>1.8140702499999997</v>
      </c>
      <c r="J517" s="58">
        <v>2.2062374999999999E-2</v>
      </c>
      <c r="K517" s="58">
        <v>0</v>
      </c>
    </row>
    <row r="518" spans="1:18">
      <c r="A518" s="20">
        <v>1</v>
      </c>
      <c r="B518" s="35">
        <v>41688</v>
      </c>
      <c r="C518" s="20">
        <v>2014</v>
      </c>
      <c r="D518" s="10" t="s">
        <v>26</v>
      </c>
      <c r="E518" s="11">
        <v>2</v>
      </c>
      <c r="F518" s="49">
        <v>6.2839999999999998</v>
      </c>
      <c r="G518" s="49">
        <v>0.5253486249999999</v>
      </c>
      <c r="H518" s="49">
        <v>0</v>
      </c>
      <c r="I518" s="78">
        <v>2.5800456249999995</v>
      </c>
      <c r="J518" s="58">
        <v>0</v>
      </c>
      <c r="K518" s="58">
        <v>0</v>
      </c>
    </row>
    <row r="519" spans="1:18">
      <c r="A519" s="20">
        <v>17</v>
      </c>
      <c r="B519" s="35">
        <v>41688</v>
      </c>
      <c r="C519" s="20">
        <v>2014</v>
      </c>
      <c r="D519" s="10" t="s">
        <v>26</v>
      </c>
      <c r="E519" s="11">
        <v>2</v>
      </c>
      <c r="F519" s="49">
        <v>12.17</v>
      </c>
      <c r="G519" s="49">
        <v>1.266083375</v>
      </c>
      <c r="H519" s="49">
        <v>0</v>
      </c>
      <c r="I519" s="78">
        <v>4.810481124999999</v>
      </c>
      <c r="J519" s="58">
        <v>0</v>
      </c>
      <c r="K519" s="58">
        <v>0</v>
      </c>
    </row>
    <row r="520" spans="1:18">
      <c r="A520" s="20">
        <v>18</v>
      </c>
      <c r="B520" s="35">
        <v>41688</v>
      </c>
      <c r="C520" s="20">
        <v>2014</v>
      </c>
      <c r="D520" s="10" t="s">
        <v>26</v>
      </c>
      <c r="E520" s="11">
        <v>2</v>
      </c>
      <c r="F520" s="49">
        <v>8.2899999999999991</v>
      </c>
      <c r="G520" s="49">
        <v>0.70859637499999995</v>
      </c>
      <c r="H520" s="49">
        <v>0</v>
      </c>
      <c r="I520" s="78">
        <v>3.5166008750000004</v>
      </c>
      <c r="J520" s="58">
        <v>2.1240249999999995E-2</v>
      </c>
      <c r="K520" s="58">
        <v>0</v>
      </c>
    </row>
    <row r="521" spans="1:18">
      <c r="A521" s="20">
        <v>1</v>
      </c>
      <c r="B521" s="35">
        <v>41719</v>
      </c>
      <c r="C521" s="20">
        <v>2014</v>
      </c>
      <c r="D521" s="10" t="s">
        <v>27</v>
      </c>
      <c r="E521" s="11">
        <v>3</v>
      </c>
      <c r="F521" s="49">
        <v>2.2229999999999999</v>
      </c>
      <c r="G521" s="49">
        <v>9.1020249999999997E-2</v>
      </c>
      <c r="H521" s="49">
        <v>0</v>
      </c>
      <c r="I521" s="78">
        <v>0.73633824999999997</v>
      </c>
      <c r="J521" s="58">
        <v>5.1310624999999992E-2</v>
      </c>
      <c r="K521" s="58">
        <v>0</v>
      </c>
    </row>
    <row r="522" spans="1:18">
      <c r="A522" s="20">
        <v>17</v>
      </c>
      <c r="B522" s="35">
        <v>41719</v>
      </c>
      <c r="C522" s="20">
        <v>2014</v>
      </c>
      <c r="D522" s="10" t="s">
        <v>27</v>
      </c>
      <c r="E522" s="11">
        <v>3</v>
      </c>
      <c r="F522" s="49">
        <v>3.36</v>
      </c>
      <c r="G522" s="49">
        <v>0.11416299999999997</v>
      </c>
      <c r="H522" s="49">
        <v>0</v>
      </c>
      <c r="I522" s="78">
        <v>1.3272784999999998</v>
      </c>
      <c r="J522" s="58">
        <v>6.6218250000000006E-2</v>
      </c>
      <c r="K522" s="58">
        <v>0</v>
      </c>
    </row>
    <row r="523" spans="1:18">
      <c r="A523" s="20">
        <v>18</v>
      </c>
      <c r="B523" s="35">
        <v>41719</v>
      </c>
      <c r="C523" s="20">
        <v>2014</v>
      </c>
      <c r="D523" s="10" t="s">
        <v>27</v>
      </c>
      <c r="E523" s="11">
        <v>3</v>
      </c>
      <c r="F523" s="49">
        <v>1.478</v>
      </c>
      <c r="G523" s="49">
        <v>5.0308625000000003E-2</v>
      </c>
      <c r="H523" s="49">
        <v>0</v>
      </c>
      <c r="I523" s="78">
        <v>0.61183112500000003</v>
      </c>
      <c r="J523" s="58">
        <v>3.4429374999999991E-2</v>
      </c>
      <c r="K523" s="58">
        <v>0</v>
      </c>
    </row>
    <row r="524" spans="1:18">
      <c r="A524" s="20">
        <v>1</v>
      </c>
      <c r="B524" s="35">
        <v>41747</v>
      </c>
      <c r="C524" s="20">
        <v>2014</v>
      </c>
      <c r="D524" s="10" t="s">
        <v>28</v>
      </c>
      <c r="E524" s="11">
        <v>4</v>
      </c>
      <c r="F524" s="60">
        <v>1.7649999999999999</v>
      </c>
      <c r="G524" s="60">
        <v>0</v>
      </c>
      <c r="H524" s="60">
        <v>4.6301874999999999E-2</v>
      </c>
      <c r="I524" s="82">
        <v>0.81133599999999995</v>
      </c>
      <c r="J524" s="84">
        <v>9.987374999999998E-3</v>
      </c>
      <c r="K524" s="84">
        <v>0</v>
      </c>
    </row>
    <row r="525" spans="1:18">
      <c r="A525" s="20">
        <v>17</v>
      </c>
      <c r="B525" s="35">
        <v>41747</v>
      </c>
      <c r="C525" s="20">
        <v>2014</v>
      </c>
      <c r="D525" s="10" t="s">
        <v>28</v>
      </c>
      <c r="E525" s="11">
        <v>4</v>
      </c>
      <c r="F525" s="60">
        <v>10.795999999999999</v>
      </c>
      <c r="G525" s="60">
        <v>4.3515249999999998E-2</v>
      </c>
      <c r="H525" s="60">
        <v>0.1279255</v>
      </c>
      <c r="I525" s="82">
        <v>6.2337277499999981</v>
      </c>
      <c r="J525" s="84">
        <v>2.7901124999999999E-2</v>
      </c>
      <c r="K525" s="84">
        <v>0</v>
      </c>
    </row>
    <row r="526" spans="1:18">
      <c r="A526" s="20">
        <v>18</v>
      </c>
      <c r="B526" s="35">
        <v>41747</v>
      </c>
      <c r="C526" s="20">
        <v>2014</v>
      </c>
      <c r="D526" s="10" t="s">
        <v>28</v>
      </c>
      <c r="E526" s="11">
        <v>4</v>
      </c>
      <c r="F526" s="60">
        <v>7.5709999999999997</v>
      </c>
      <c r="G526" s="60">
        <v>3.2567124999999995E-2</v>
      </c>
      <c r="H526" s="60">
        <v>9.3062249999999999E-2</v>
      </c>
      <c r="I526" s="82">
        <v>4.0594927500000004</v>
      </c>
      <c r="J526" s="84">
        <v>2.1391499999999997E-2</v>
      </c>
      <c r="K526" s="84">
        <v>0</v>
      </c>
    </row>
    <row r="527" spans="1:18">
      <c r="A527" s="20">
        <v>1</v>
      </c>
      <c r="B527" s="35">
        <v>41772</v>
      </c>
      <c r="C527" s="20">
        <v>2014</v>
      </c>
      <c r="D527" s="10" t="s">
        <v>29</v>
      </c>
      <c r="E527" s="11">
        <v>5</v>
      </c>
      <c r="F527" s="60">
        <v>0.57799999999999996</v>
      </c>
      <c r="G527" s="60">
        <v>2.1467875000000001E-2</v>
      </c>
      <c r="H527" s="60">
        <v>0</v>
      </c>
      <c r="I527" s="82">
        <v>0.17857087499999999</v>
      </c>
      <c r="J527" s="84">
        <v>8.2109999999999978E-3</v>
      </c>
      <c r="K527" s="84">
        <v>0</v>
      </c>
    </row>
    <row r="528" spans="1:18">
      <c r="A528" s="20">
        <v>17</v>
      </c>
      <c r="B528" s="35">
        <v>41772</v>
      </c>
      <c r="C528" s="20">
        <v>2014</v>
      </c>
      <c r="D528" s="10" t="s">
        <v>29</v>
      </c>
      <c r="E528" s="11">
        <v>5</v>
      </c>
      <c r="F528" s="60">
        <v>2.113</v>
      </c>
      <c r="G528" s="60">
        <v>4.9856249999999998E-2</v>
      </c>
      <c r="H528" s="60">
        <v>0</v>
      </c>
      <c r="I528" s="82">
        <v>1.2076974999999999</v>
      </c>
      <c r="J528" s="84">
        <v>2.7023749999999999E-2</v>
      </c>
      <c r="K528" s="84">
        <v>0</v>
      </c>
    </row>
    <row r="529" spans="1:11">
      <c r="A529" s="20">
        <v>18</v>
      </c>
      <c r="B529" s="35">
        <v>41772</v>
      </c>
      <c r="C529" s="20">
        <v>2014</v>
      </c>
      <c r="D529" s="10" t="s">
        <v>29</v>
      </c>
      <c r="E529" s="11">
        <v>5</v>
      </c>
      <c r="F529" s="60">
        <v>2.5150000000000001</v>
      </c>
      <c r="G529" s="60">
        <v>3.2593249999999997E-2</v>
      </c>
      <c r="H529" s="60">
        <v>0</v>
      </c>
      <c r="I529" s="82">
        <v>0.49580012499999992</v>
      </c>
      <c r="J529" s="84">
        <v>3.5469624999999998E-2</v>
      </c>
      <c r="K529" s="84">
        <v>0</v>
      </c>
    </row>
    <row r="530" spans="1:11">
      <c r="A530" s="20">
        <v>1</v>
      </c>
      <c r="B530" s="35">
        <v>41808</v>
      </c>
      <c r="C530" s="20">
        <v>2014</v>
      </c>
      <c r="D530" s="10" t="s">
        <v>30</v>
      </c>
      <c r="E530" s="11">
        <v>6</v>
      </c>
      <c r="F530" s="60">
        <v>5.7789999999999999</v>
      </c>
      <c r="G530" s="60">
        <v>0.38442537500000001</v>
      </c>
      <c r="H530" s="60">
        <v>0</v>
      </c>
      <c r="I530" s="82">
        <v>1.0847207499999998</v>
      </c>
      <c r="J530" s="84">
        <v>0.22862987500000001</v>
      </c>
      <c r="K530" s="84">
        <v>0</v>
      </c>
    </row>
    <row r="531" spans="1:11">
      <c r="A531" s="20">
        <v>17</v>
      </c>
      <c r="B531" s="35">
        <v>41808</v>
      </c>
      <c r="C531" s="20">
        <v>2014</v>
      </c>
      <c r="D531" s="10" t="s">
        <v>30</v>
      </c>
      <c r="E531" s="11">
        <v>6</v>
      </c>
      <c r="F531" s="60">
        <v>3.677</v>
      </c>
      <c r="G531" s="60">
        <v>0.25240412499999998</v>
      </c>
      <c r="H531" s="60">
        <v>7.1646000000000001E-2</v>
      </c>
      <c r="I531" s="82">
        <v>1.1807458749999997</v>
      </c>
      <c r="J531" s="84">
        <v>0.15547549999999999</v>
      </c>
      <c r="K531" s="84">
        <v>0</v>
      </c>
    </row>
    <row r="532" spans="1:11">
      <c r="A532" s="20">
        <v>18</v>
      </c>
      <c r="B532" s="35">
        <v>41808</v>
      </c>
      <c r="C532" s="20">
        <v>2014</v>
      </c>
      <c r="D532" s="10" t="s">
        <v>30</v>
      </c>
      <c r="E532" s="11">
        <v>6</v>
      </c>
      <c r="F532" s="60">
        <v>5.6159999999999997</v>
      </c>
      <c r="G532" s="60">
        <v>0.25820749999999992</v>
      </c>
      <c r="H532" s="60">
        <v>0</v>
      </c>
      <c r="I532" s="82">
        <v>1.35758775</v>
      </c>
      <c r="J532" s="84">
        <v>0.28106112499999997</v>
      </c>
      <c r="K532" s="84">
        <v>0</v>
      </c>
    </row>
    <row r="533" spans="1:11">
      <c r="A533" s="20">
        <v>1</v>
      </c>
      <c r="B533" s="35">
        <v>41834</v>
      </c>
      <c r="C533" s="20">
        <v>2014</v>
      </c>
      <c r="D533" s="10" t="s">
        <v>31</v>
      </c>
      <c r="E533" s="11">
        <v>7</v>
      </c>
      <c r="F533" s="60">
        <v>5.8869999999999996</v>
      </c>
      <c r="G533" s="60">
        <v>0.18227574999999999</v>
      </c>
      <c r="H533" s="60">
        <v>0</v>
      </c>
      <c r="I533" s="82">
        <v>1.6630996250000003</v>
      </c>
      <c r="J533" s="84">
        <v>0.19788362499999995</v>
      </c>
      <c r="K533" s="84">
        <v>0</v>
      </c>
    </row>
    <row r="534" spans="1:11">
      <c r="A534" s="20">
        <v>17</v>
      </c>
      <c r="B534" s="35">
        <v>41834</v>
      </c>
      <c r="C534" s="20">
        <v>2014</v>
      </c>
      <c r="D534" s="10" t="s">
        <v>31</v>
      </c>
      <c r="E534" s="11">
        <v>7</v>
      </c>
      <c r="F534" s="60">
        <v>5.673</v>
      </c>
      <c r="G534" s="60">
        <v>0.39825924999999995</v>
      </c>
      <c r="H534" s="60">
        <v>0.12969924999999999</v>
      </c>
      <c r="I534" s="82">
        <v>2.5622486249999996</v>
      </c>
      <c r="J534" s="84">
        <v>3.5649E-2</v>
      </c>
      <c r="K534" s="84">
        <v>6.6682249999999998E-2</v>
      </c>
    </row>
    <row r="535" spans="1:11">
      <c r="A535" s="20">
        <v>18</v>
      </c>
      <c r="B535" s="35">
        <v>41834</v>
      </c>
      <c r="C535" s="20">
        <v>2014</v>
      </c>
      <c r="D535" s="10" t="s">
        <v>31</v>
      </c>
      <c r="E535" s="11">
        <v>7</v>
      </c>
      <c r="F535" s="60">
        <v>10.291</v>
      </c>
      <c r="G535" s="60">
        <v>0.18247887499999998</v>
      </c>
      <c r="H535" s="60">
        <v>0</v>
      </c>
      <c r="I535" s="82">
        <v>3.286181875</v>
      </c>
      <c r="J535" s="84">
        <v>0.77497699999999992</v>
      </c>
      <c r="K535" s="84">
        <v>0</v>
      </c>
    </row>
    <row r="536" spans="1:11">
      <c r="A536" s="20">
        <v>1</v>
      </c>
      <c r="B536" s="35">
        <v>41864</v>
      </c>
      <c r="C536" s="20">
        <v>2014</v>
      </c>
      <c r="D536" s="10" t="s">
        <v>32</v>
      </c>
      <c r="E536" s="11">
        <v>8</v>
      </c>
      <c r="F536" s="60">
        <v>3.1840000000000002</v>
      </c>
      <c r="G536" s="60">
        <v>0.14106724999999998</v>
      </c>
      <c r="H536" s="60">
        <v>0</v>
      </c>
      <c r="I536" s="82">
        <v>0.88406862500000005</v>
      </c>
      <c r="J536" s="84">
        <v>7.0996249999999983E-2</v>
      </c>
      <c r="K536" s="84">
        <v>0</v>
      </c>
    </row>
    <row r="537" spans="1:11">
      <c r="A537" s="20">
        <v>17</v>
      </c>
      <c r="B537" s="35">
        <v>41864</v>
      </c>
      <c r="C537" s="20">
        <v>2014</v>
      </c>
      <c r="D537" s="10" t="s">
        <v>32</v>
      </c>
      <c r="E537" s="11">
        <v>8</v>
      </c>
      <c r="F537" s="60">
        <v>3.0710000000000002</v>
      </c>
      <c r="G537" s="60">
        <v>0.24018875000000001</v>
      </c>
      <c r="H537" s="60">
        <v>0</v>
      </c>
      <c r="I537" s="82">
        <v>1.4077078750000001</v>
      </c>
      <c r="J537" s="84">
        <v>6.5885624999999989E-2</v>
      </c>
      <c r="K537" s="84">
        <v>0</v>
      </c>
    </row>
    <row r="538" spans="1:11">
      <c r="A538" s="20">
        <v>18</v>
      </c>
      <c r="B538" s="35">
        <v>41864</v>
      </c>
      <c r="C538" s="20">
        <v>2014</v>
      </c>
      <c r="D538" s="10" t="s">
        <v>32</v>
      </c>
      <c r="E538" s="11">
        <v>8</v>
      </c>
      <c r="F538" s="60">
        <v>4.3239999999999998</v>
      </c>
      <c r="G538" s="60">
        <v>0.26538275</v>
      </c>
      <c r="H538" s="60">
        <v>0</v>
      </c>
      <c r="I538" s="82">
        <v>1.8860201249999997</v>
      </c>
      <c r="J538" s="84">
        <v>9.2953999999999995E-2</v>
      </c>
      <c r="K538" s="84">
        <v>0</v>
      </c>
    </row>
    <row r="539" spans="1:11">
      <c r="A539" s="20">
        <v>1</v>
      </c>
      <c r="B539" s="35">
        <v>41898</v>
      </c>
      <c r="C539" s="20">
        <v>2014</v>
      </c>
      <c r="D539" s="10" t="s">
        <v>38</v>
      </c>
      <c r="E539" s="11">
        <v>9</v>
      </c>
      <c r="F539" s="60">
        <v>5.444</v>
      </c>
      <c r="G539" s="60">
        <v>0.25300325000000001</v>
      </c>
      <c r="H539" s="60">
        <v>0</v>
      </c>
      <c r="I539" s="82">
        <v>1.916975125</v>
      </c>
      <c r="J539" s="84">
        <v>7.1622249999999985E-2</v>
      </c>
      <c r="K539" s="84">
        <v>0</v>
      </c>
    </row>
    <row r="540" spans="1:11">
      <c r="A540" s="20">
        <v>17</v>
      </c>
      <c r="B540" s="35">
        <v>41898</v>
      </c>
      <c r="C540" s="20">
        <v>2014</v>
      </c>
      <c r="D540" s="10" t="s">
        <v>38</v>
      </c>
      <c r="E540" s="11">
        <v>9</v>
      </c>
      <c r="F540" s="60">
        <v>6.3810000000000002</v>
      </c>
      <c r="G540" s="60">
        <v>0.15216499999999997</v>
      </c>
      <c r="H540" s="60">
        <v>0</v>
      </c>
      <c r="I540" s="82">
        <v>2.6762051249999996</v>
      </c>
      <c r="J540" s="84">
        <v>0.11867324999999999</v>
      </c>
      <c r="K540" s="84">
        <v>0</v>
      </c>
    </row>
    <row r="541" spans="1:11">
      <c r="A541" s="20">
        <v>18</v>
      </c>
      <c r="B541" s="35">
        <v>41898</v>
      </c>
      <c r="C541" s="20">
        <v>2014</v>
      </c>
      <c r="D541" s="10" t="s">
        <v>38</v>
      </c>
      <c r="E541" s="11">
        <v>9</v>
      </c>
      <c r="F541" s="60">
        <v>4.1369999999999996</v>
      </c>
      <c r="G541" s="60">
        <v>5.4727375000000002E-2</v>
      </c>
      <c r="H541" s="60">
        <v>0</v>
      </c>
      <c r="I541" s="82">
        <v>1.5670120000000003</v>
      </c>
      <c r="J541" s="84">
        <v>5.2089249999999997E-2</v>
      </c>
      <c r="K541" s="84">
        <v>0</v>
      </c>
    </row>
    <row r="542" spans="1:11">
      <c r="A542" s="20">
        <v>1</v>
      </c>
      <c r="B542" s="35">
        <v>41929</v>
      </c>
      <c r="C542" s="20">
        <v>2014</v>
      </c>
      <c r="D542" s="10" t="s">
        <v>34</v>
      </c>
      <c r="E542" s="11">
        <v>10</v>
      </c>
      <c r="F542" s="49">
        <v>5.1669999999999998</v>
      </c>
      <c r="G542" s="49">
        <v>0.19353775000000001</v>
      </c>
      <c r="H542" s="49">
        <v>0</v>
      </c>
      <c r="I542" s="49">
        <v>1.051970625</v>
      </c>
      <c r="J542" s="58">
        <v>6.3552625000000001E-2</v>
      </c>
      <c r="K542" s="58">
        <v>0</v>
      </c>
    </row>
    <row r="543" spans="1:11">
      <c r="A543" s="20">
        <v>17</v>
      </c>
      <c r="B543" s="35">
        <v>41929</v>
      </c>
      <c r="C543" s="20">
        <v>2014</v>
      </c>
      <c r="D543" s="10" t="s">
        <v>34</v>
      </c>
      <c r="E543" s="11">
        <v>10</v>
      </c>
      <c r="F543" s="49">
        <v>5.8529999999999998</v>
      </c>
      <c r="G543" s="49">
        <v>0</v>
      </c>
      <c r="H543" s="49">
        <v>0</v>
      </c>
      <c r="I543" s="49">
        <v>2.8919573750000001</v>
      </c>
      <c r="J543" s="58">
        <v>0.119685875</v>
      </c>
      <c r="K543" s="58">
        <v>0</v>
      </c>
    </row>
    <row r="544" spans="1:11">
      <c r="A544" s="20">
        <v>18</v>
      </c>
      <c r="B544" s="35">
        <v>41929</v>
      </c>
      <c r="C544" s="20">
        <v>2014</v>
      </c>
      <c r="D544" s="10" t="s">
        <v>34</v>
      </c>
      <c r="E544" s="11">
        <v>10</v>
      </c>
      <c r="F544" s="49">
        <v>1.976</v>
      </c>
      <c r="G544" s="49">
        <v>0</v>
      </c>
      <c r="H544" s="49">
        <v>0</v>
      </c>
      <c r="I544" s="49">
        <v>0.36464024999999994</v>
      </c>
      <c r="J544" s="58">
        <v>9.5457499999999987E-3</v>
      </c>
      <c r="K544" s="58">
        <v>0</v>
      </c>
    </row>
    <row r="545" spans="1:22">
      <c r="A545" s="20">
        <v>1</v>
      </c>
      <c r="B545" s="35">
        <v>41953</v>
      </c>
      <c r="C545" s="20">
        <v>2014</v>
      </c>
      <c r="D545" s="10" t="s">
        <v>35</v>
      </c>
      <c r="E545" s="11">
        <v>11</v>
      </c>
      <c r="F545" s="49">
        <v>1.482</v>
      </c>
      <c r="G545" s="49">
        <v>0</v>
      </c>
      <c r="H545" s="49">
        <v>0</v>
      </c>
      <c r="I545" s="49">
        <v>0.451974125</v>
      </c>
      <c r="J545" s="58">
        <v>1.4412625000000002E-2</v>
      </c>
      <c r="K545" s="58">
        <v>0</v>
      </c>
    </row>
    <row r="546" spans="1:22">
      <c r="A546" s="20">
        <v>17</v>
      </c>
      <c r="B546" s="35">
        <v>41953</v>
      </c>
      <c r="C546" s="20">
        <v>2014</v>
      </c>
      <c r="D546" s="10" t="s">
        <v>35</v>
      </c>
      <c r="E546" s="11">
        <v>11</v>
      </c>
      <c r="F546" s="49">
        <v>2.7370000000000001</v>
      </c>
      <c r="G546" s="49">
        <v>0.142449875</v>
      </c>
      <c r="H546" s="49">
        <v>0</v>
      </c>
      <c r="I546" s="49">
        <v>0.99353762499999976</v>
      </c>
      <c r="J546" s="58">
        <v>2.7099125000000002E-2</v>
      </c>
      <c r="K546" s="58">
        <v>0</v>
      </c>
    </row>
    <row r="547" spans="1:22">
      <c r="A547" s="20">
        <v>18</v>
      </c>
      <c r="B547" s="35">
        <v>41953</v>
      </c>
      <c r="C547" s="20">
        <v>2014</v>
      </c>
      <c r="D547" s="10" t="s">
        <v>35</v>
      </c>
      <c r="E547" s="11">
        <v>11</v>
      </c>
      <c r="F547" s="49">
        <v>2.847</v>
      </c>
      <c r="G547" s="49">
        <v>0</v>
      </c>
      <c r="H547" s="49">
        <v>0</v>
      </c>
      <c r="I547" s="49">
        <v>1.1359189999999997</v>
      </c>
      <c r="J547" s="58">
        <v>2.4824124999999996E-2</v>
      </c>
      <c r="K547" s="58">
        <v>0</v>
      </c>
    </row>
    <row r="548" spans="1:22">
      <c r="A548" s="20">
        <v>1</v>
      </c>
      <c r="B548" s="35">
        <v>41988</v>
      </c>
      <c r="C548" s="20">
        <v>2014</v>
      </c>
      <c r="D548" s="10" t="s">
        <v>36</v>
      </c>
      <c r="E548" s="11">
        <v>12</v>
      </c>
      <c r="F548" s="49">
        <v>2.58</v>
      </c>
      <c r="G548" s="49">
        <v>0.10850874999999999</v>
      </c>
      <c r="H548" s="49">
        <v>0</v>
      </c>
      <c r="I548" s="49">
        <v>0.92408599999999996</v>
      </c>
      <c r="J548" s="58">
        <v>1.1093875000000001E-2</v>
      </c>
      <c r="K548" s="58">
        <v>0</v>
      </c>
    </row>
    <row r="549" spans="1:22">
      <c r="A549" s="20">
        <v>17</v>
      </c>
      <c r="B549" s="35">
        <v>41988</v>
      </c>
      <c r="C549" s="20">
        <v>2014</v>
      </c>
      <c r="D549" s="10" t="s">
        <v>36</v>
      </c>
      <c r="E549" s="11">
        <v>12</v>
      </c>
      <c r="F549" s="49">
        <v>3.4140000000000001</v>
      </c>
      <c r="G549" s="49">
        <v>6.8770250000000005E-2</v>
      </c>
      <c r="H549" s="49">
        <v>0</v>
      </c>
      <c r="I549" s="49">
        <v>1.5273686250000003</v>
      </c>
      <c r="J549" s="58">
        <v>1.19825E-2</v>
      </c>
      <c r="K549" s="58">
        <v>0</v>
      </c>
    </row>
    <row r="550" spans="1:22">
      <c r="A550" s="20">
        <v>18</v>
      </c>
      <c r="B550" s="35">
        <v>41988</v>
      </c>
      <c r="C550" s="20">
        <v>2014</v>
      </c>
      <c r="D550" s="10" t="s">
        <v>36</v>
      </c>
      <c r="E550" s="11">
        <v>12</v>
      </c>
      <c r="F550" s="49">
        <v>2.956</v>
      </c>
      <c r="G550" s="49">
        <v>6.8377499999999994E-2</v>
      </c>
      <c r="H550" s="49">
        <v>0</v>
      </c>
      <c r="I550" s="49">
        <v>1.3082948750000001</v>
      </c>
      <c r="J550" s="58">
        <v>1.0276499999999999E-2</v>
      </c>
      <c r="K550" s="58">
        <v>0</v>
      </c>
      <c r="L550" s="62" t="s">
        <v>42</v>
      </c>
    </row>
    <row r="551" spans="1:22" ht="38.25">
      <c r="L551" s="62" t="s">
        <v>70</v>
      </c>
      <c r="M551" s="5" t="s">
        <v>5</v>
      </c>
      <c r="N551" s="5" t="s">
        <v>6</v>
      </c>
      <c r="O551" s="5" t="s">
        <v>7</v>
      </c>
      <c r="P551" s="5" t="s">
        <v>8</v>
      </c>
      <c r="Q551" s="5" t="s">
        <v>9</v>
      </c>
      <c r="R551" s="5" t="s">
        <v>10</v>
      </c>
      <c r="S551" s="85" t="s">
        <v>77</v>
      </c>
      <c r="T551" s="85" t="s">
        <v>78</v>
      </c>
      <c r="U551" s="85" t="s">
        <v>79</v>
      </c>
      <c r="V551" s="85" t="s">
        <v>80</v>
      </c>
    </row>
    <row r="552" spans="1:22">
      <c r="L552" s="62" t="s">
        <v>71</v>
      </c>
      <c r="M552" s="50">
        <f t="shared" ref="M552:R552" si="12">M2</f>
        <v>3.9872032670960547</v>
      </c>
      <c r="N552" s="50">
        <f t="shared" si="12"/>
        <v>1.4294863666666666E-2</v>
      </c>
      <c r="O552" s="50">
        <f t="shared" si="12"/>
        <v>1.5565654129629628E-2</v>
      </c>
      <c r="P552" s="50">
        <f t="shared" si="12"/>
        <v>1.4032798685925927</v>
      </c>
      <c r="Q552" s="50">
        <f t="shared" si="12"/>
        <v>2.3280074111111111E-2</v>
      </c>
      <c r="R552" s="50">
        <f t="shared" si="12"/>
        <v>0</v>
      </c>
      <c r="S552" s="50">
        <f>N552/M552</f>
        <v>3.5851855822434278E-3</v>
      </c>
      <c r="T552" s="50">
        <f>O552/M552</f>
        <v>3.903902832866193E-3</v>
      </c>
      <c r="U552" s="50">
        <f>P552/M552</f>
        <v>0.35194590658896213</v>
      </c>
      <c r="V552" s="50">
        <f>Q552/M552</f>
        <v>5.8386975911730657E-3</v>
      </c>
    </row>
    <row r="553" spans="1:22">
      <c r="L553" s="62" t="s">
        <v>72</v>
      </c>
      <c r="M553" s="50">
        <f>M11</f>
        <v>3.8296863072798479</v>
      </c>
      <c r="N553" s="50">
        <f t="shared" ref="N553:P553" si="13">N11</f>
        <v>5.9484371942857134E-2</v>
      </c>
      <c r="O553" s="50">
        <f t="shared" si="13"/>
        <v>1.410291693809524E-2</v>
      </c>
      <c r="P553" s="50">
        <f t="shared" si="13"/>
        <v>1.2858652571476188</v>
      </c>
      <c r="Q553" s="50">
        <f t="shared" ref="Q553:R553" si="14">Q11</f>
        <v>3.8776428556190484E-2</v>
      </c>
      <c r="R553" s="50">
        <f t="shared" si="14"/>
        <v>0</v>
      </c>
      <c r="S553" s="50">
        <f t="shared" ref="S553:S567" si="15">N553/M553</f>
        <v>1.5532439779671597E-2</v>
      </c>
      <c r="T553" s="50">
        <f t="shared" ref="T553:T567" si="16">O553/M553</f>
        <v>3.6825253575696304E-3</v>
      </c>
      <c r="U553" s="50">
        <f t="shared" ref="U553:U567" si="17">P553/M553</f>
        <v>0.33576255441687702</v>
      </c>
      <c r="V553" s="50">
        <f t="shared" ref="V553:V567" si="18">Q553/M553</f>
        <v>1.0125223176237803E-2</v>
      </c>
    </row>
    <row r="554" spans="1:22">
      <c r="L554" s="62" t="s">
        <v>73</v>
      </c>
      <c r="M554" s="50">
        <f>M47</f>
        <v>5.4497429926341061</v>
      </c>
      <c r="N554" s="50">
        <f t="shared" ref="N554:P554" si="19">N47</f>
        <v>0.17464876125813936</v>
      </c>
      <c r="O554" s="50">
        <f t="shared" si="19"/>
        <v>0.16444143353153884</v>
      </c>
      <c r="P554" s="50">
        <f t="shared" si="19"/>
        <v>1.7396118844735078</v>
      </c>
      <c r="Q554" s="50">
        <f t="shared" ref="Q554:R554" si="20">Q47</f>
        <v>8.7967053016325708E-2</v>
      </c>
      <c r="R554" s="50">
        <f t="shared" si="20"/>
        <v>0</v>
      </c>
      <c r="S554" s="50">
        <f t="shared" si="15"/>
        <v>3.2047155525351437E-2</v>
      </c>
      <c r="T554" s="50">
        <f t="shared" si="16"/>
        <v>3.0174163030036193E-2</v>
      </c>
      <c r="U554" s="50">
        <f t="shared" si="17"/>
        <v>0.31920989426928464</v>
      </c>
      <c r="V554" s="50">
        <f t="shared" si="18"/>
        <v>1.6141504862747163E-2</v>
      </c>
    </row>
    <row r="555" spans="1:22">
      <c r="L555" s="62" t="s">
        <v>46</v>
      </c>
      <c r="M555" s="50">
        <f>M83</f>
        <v>4.5789280293277441</v>
      </c>
      <c r="N555" s="50">
        <f t="shared" ref="N555:P555" si="21">N83</f>
        <v>8.1786924318305504E-2</v>
      </c>
      <c r="O555" s="50">
        <f t="shared" si="21"/>
        <v>9.106780976727305E-2</v>
      </c>
      <c r="P555" s="50">
        <f t="shared" si="21"/>
        <v>0.95042819241420939</v>
      </c>
      <c r="Q555" s="50">
        <f t="shared" ref="Q555:R555" si="22">Q83</f>
        <v>2.1299905785898805E-2</v>
      </c>
      <c r="R555" s="50">
        <f t="shared" si="22"/>
        <v>0</v>
      </c>
      <c r="S555" s="50">
        <f t="shared" si="15"/>
        <v>1.7861587645506858E-2</v>
      </c>
      <c r="T555" s="50">
        <f t="shared" si="16"/>
        <v>1.9888456246525278E-2</v>
      </c>
      <c r="U555" s="50">
        <f t="shared" si="17"/>
        <v>0.20756565430309823</v>
      </c>
      <c r="V555" s="50">
        <f t="shared" si="18"/>
        <v>4.6517232088982962E-3</v>
      </c>
    </row>
    <row r="556" spans="1:22">
      <c r="L556" s="62" t="s">
        <v>74</v>
      </c>
      <c r="M556" s="50">
        <f>M119</f>
        <v>7.0053423723301229</v>
      </c>
      <c r="N556" s="50">
        <f t="shared" ref="N556:P556" si="23">N119</f>
        <v>0.12407632194219187</v>
      </c>
      <c r="O556" s="50">
        <f t="shared" si="23"/>
        <v>2.0559355159571767E-2</v>
      </c>
      <c r="P556" s="50">
        <f t="shared" si="23"/>
        <v>1.8716878423147172</v>
      </c>
      <c r="Q556" s="50">
        <f t="shared" ref="Q556:R556" si="24">Q119</f>
        <v>0.17992544276895853</v>
      </c>
      <c r="R556" s="50">
        <f t="shared" si="24"/>
        <v>0</v>
      </c>
      <c r="S556" s="50">
        <f t="shared" si="15"/>
        <v>1.7711671371305367E-2</v>
      </c>
      <c r="T556" s="50">
        <f t="shared" si="16"/>
        <v>2.9348109010028725E-3</v>
      </c>
      <c r="U556" s="50">
        <f t="shared" si="17"/>
        <v>0.26718006670274341</v>
      </c>
      <c r="V556" s="50">
        <f t="shared" si="18"/>
        <v>2.568403272902586E-2</v>
      </c>
    </row>
    <row r="557" spans="1:22">
      <c r="L557" s="62" t="s">
        <v>49</v>
      </c>
      <c r="M557" s="50">
        <f>M155</f>
        <v>8.4070744444444419</v>
      </c>
      <c r="N557" s="50">
        <f t="shared" ref="N557:P557" si="25">N155</f>
        <v>0.10245657357165963</v>
      </c>
      <c r="O557" s="50">
        <f t="shared" si="25"/>
        <v>6.6368082869065342E-2</v>
      </c>
      <c r="P557" s="50">
        <f t="shared" si="25"/>
        <v>2.226866206007883</v>
      </c>
      <c r="Q557" s="50">
        <f t="shared" ref="Q557:R557" si="26">Q155</f>
        <v>0.3376667040305581</v>
      </c>
      <c r="R557" s="50">
        <f t="shared" si="26"/>
        <v>5.7552545935138626E-4</v>
      </c>
      <c r="S557" s="50">
        <f t="shared" si="15"/>
        <v>1.2186947344015125E-2</v>
      </c>
      <c r="T557" s="50">
        <f t="shared" si="16"/>
        <v>7.8943136887437287E-3</v>
      </c>
      <c r="U557" s="50">
        <f t="shared" si="17"/>
        <v>0.26488003891525419</v>
      </c>
      <c r="V557" s="50">
        <f t="shared" si="18"/>
        <v>4.0164590698217831E-2</v>
      </c>
    </row>
    <row r="558" spans="1:22">
      <c r="L558" s="62" t="s">
        <v>75</v>
      </c>
      <c r="M558" s="50">
        <f>M191</f>
        <v>7.4236836111111115</v>
      </c>
      <c r="N558" s="50">
        <f t="shared" ref="N558:P558" si="27">N191</f>
        <v>0.12816452913925955</v>
      </c>
      <c r="O558" s="50">
        <f t="shared" si="27"/>
        <v>0.16930587371252795</v>
      </c>
      <c r="P558" s="50">
        <f t="shared" si="27"/>
        <v>2.1447305676735136</v>
      </c>
      <c r="Q558" s="50">
        <f t="shared" ref="Q558:R558" si="28">Q191</f>
        <v>0.16780059319478308</v>
      </c>
      <c r="R558" s="50">
        <f t="shared" si="28"/>
        <v>1.5782670836701782E-3</v>
      </c>
      <c r="S558" s="50">
        <f t="shared" si="15"/>
        <v>1.7264276854072048E-2</v>
      </c>
      <c r="T558" s="50">
        <f t="shared" si="16"/>
        <v>2.2806181214286386E-2</v>
      </c>
      <c r="U558" s="50">
        <f t="shared" si="17"/>
        <v>0.28890382187940644</v>
      </c>
      <c r="V558" s="50">
        <f t="shared" si="18"/>
        <v>2.2603413882514339E-2</v>
      </c>
    </row>
    <row r="559" spans="1:22">
      <c r="L559" s="62" t="s">
        <v>52</v>
      </c>
      <c r="M559" s="50">
        <f>M227</f>
        <v>6.6460916666666661</v>
      </c>
      <c r="N559" s="50">
        <f t="shared" ref="N559:P559" si="29">N227</f>
        <v>0.12922777500000004</v>
      </c>
      <c r="O559" s="50">
        <f t="shared" si="29"/>
        <v>1.6027755555555565E-2</v>
      </c>
      <c r="P559" s="50">
        <f t="shared" si="29"/>
        <v>2.1408472222222219</v>
      </c>
      <c r="Q559" s="50">
        <f t="shared" ref="Q559:R559" si="30">Q227</f>
        <v>0.11369722222222221</v>
      </c>
      <c r="R559" s="50">
        <f t="shared" si="30"/>
        <v>3.2497499999999992E-4</v>
      </c>
      <c r="S559" s="50">
        <f t="shared" si="15"/>
        <v>1.9444175837679045E-2</v>
      </c>
      <c r="T559" s="50">
        <f t="shared" si="16"/>
        <v>2.4116061528224831E-3</v>
      </c>
      <c r="U559" s="50">
        <f t="shared" si="17"/>
        <v>0.3221212299793571</v>
      </c>
      <c r="V559" s="50">
        <f t="shared" si="18"/>
        <v>1.7107380987907261E-2</v>
      </c>
    </row>
    <row r="560" spans="1:22">
      <c r="L560" s="62" t="s">
        <v>54</v>
      </c>
      <c r="M560" s="50">
        <f>M263</f>
        <v>6.535222222222222</v>
      </c>
      <c r="N560" s="50">
        <f t="shared" ref="N560:P560" si="31">N263</f>
        <v>0.10236110555555558</v>
      </c>
      <c r="O560" s="50">
        <f t="shared" si="31"/>
        <v>9.4749913888888926E-2</v>
      </c>
      <c r="P560" s="50">
        <f t="shared" si="31"/>
        <v>2.1288055555555561</v>
      </c>
      <c r="Q560" s="50">
        <f t="shared" ref="Q560:R560" si="32">Q263</f>
        <v>0.15777777777777771</v>
      </c>
      <c r="R560" s="50">
        <f t="shared" si="32"/>
        <v>9.999000000000004E-4</v>
      </c>
      <c r="S560" s="50">
        <f t="shared" si="15"/>
        <v>1.5662987741639326E-2</v>
      </c>
      <c r="T560" s="50">
        <f t="shared" si="16"/>
        <v>1.4498346141421705E-2</v>
      </c>
      <c r="U560" s="50">
        <f t="shared" si="17"/>
        <v>0.32574340751823461</v>
      </c>
      <c r="V560" s="50">
        <f t="shared" si="18"/>
        <v>2.4142679837461947E-2</v>
      </c>
    </row>
    <row r="561" spans="12:22">
      <c r="L561" s="62" t="s">
        <v>56</v>
      </c>
      <c r="M561" s="50">
        <f>M299</f>
        <v>5.6511111111111108</v>
      </c>
      <c r="N561" s="50">
        <f t="shared" ref="N561:P561" si="33">N299</f>
        <v>0.10322221388888889</v>
      </c>
      <c r="O561" s="50">
        <f t="shared" si="33"/>
        <v>5.0055480555555559E-2</v>
      </c>
      <c r="P561" s="50">
        <f t="shared" si="33"/>
        <v>1.70025</v>
      </c>
      <c r="Q561" s="50">
        <f t="shared" ref="Q561:R561" si="34">Q299</f>
        <v>9.988888888888886E-2</v>
      </c>
      <c r="R561" s="50">
        <f t="shared" si="34"/>
        <v>1.1666575E-2</v>
      </c>
      <c r="S561" s="50">
        <f t="shared" si="15"/>
        <v>1.8265826287848997E-2</v>
      </c>
      <c r="T561" s="50">
        <f t="shared" si="16"/>
        <v>8.8576351749901708E-3</v>
      </c>
      <c r="U561" s="50">
        <f t="shared" si="17"/>
        <v>0.30087003539127016</v>
      </c>
      <c r="V561" s="50">
        <f t="shared" si="18"/>
        <v>1.7675973259929215E-2</v>
      </c>
    </row>
    <row r="562" spans="12:22">
      <c r="L562" s="62" t="s">
        <v>58</v>
      </c>
      <c r="M562" s="50">
        <f>M335</f>
        <v>6.0009444444444444</v>
      </c>
      <c r="N562" s="50">
        <f t="shared" ref="N562:P562" si="35">N335</f>
        <v>0.15166666111111113</v>
      </c>
      <c r="O562" s="50">
        <f t="shared" si="35"/>
        <v>3.3055138888888887E-3</v>
      </c>
      <c r="P562" s="50">
        <f t="shared" si="35"/>
        <v>1.7761388888888883</v>
      </c>
      <c r="Q562" s="50">
        <f t="shared" ref="Q562:R562" si="36">Q335</f>
        <v>0.14136111111111113</v>
      </c>
      <c r="R562" s="50">
        <f t="shared" si="36"/>
        <v>9.999000000000004E-4</v>
      </c>
      <c r="S562" s="50">
        <f t="shared" si="15"/>
        <v>2.5273798568743813E-2</v>
      </c>
      <c r="T562" s="50">
        <f t="shared" si="16"/>
        <v>5.5083227640093687E-4</v>
      </c>
      <c r="U562" s="50">
        <f t="shared" si="17"/>
        <v>0.29597655924530386</v>
      </c>
      <c r="V562" s="50">
        <f t="shared" si="18"/>
        <v>2.3556477221178151E-2</v>
      </c>
    </row>
    <row r="563" spans="12:22">
      <c r="L563" s="62" t="s">
        <v>61</v>
      </c>
      <c r="M563" s="50">
        <f>M371</f>
        <v>5.3373055555555542</v>
      </c>
      <c r="N563" s="50">
        <f t="shared" ref="N563:P563" si="37">N371</f>
        <v>0.38955068402777776</v>
      </c>
      <c r="O563" s="50">
        <f t="shared" si="37"/>
        <v>2.2643159722222223E-3</v>
      </c>
      <c r="P563" s="50">
        <f t="shared" si="37"/>
        <v>1.9248021284722219</v>
      </c>
      <c r="Q563" s="50">
        <f t="shared" ref="Q563:R563" si="38">Q371</f>
        <v>0.11809648958333334</v>
      </c>
      <c r="R563" s="50">
        <f t="shared" si="38"/>
        <v>6.8738541666666644E-4</v>
      </c>
      <c r="S563" s="50">
        <f t="shared" si="15"/>
        <v>7.2986393597476898E-2</v>
      </c>
      <c r="T563" s="50">
        <f t="shared" si="16"/>
        <v>4.2424327193808792E-4</v>
      </c>
      <c r="U563" s="50">
        <f t="shared" si="17"/>
        <v>0.36063180352654017</v>
      </c>
      <c r="V563" s="50">
        <f t="shared" si="18"/>
        <v>2.212661208058582E-2</v>
      </c>
    </row>
    <row r="564" spans="12:22">
      <c r="L564" s="62" t="s">
        <v>63</v>
      </c>
      <c r="M564" s="50">
        <f>M407</f>
        <v>7.0397222222222222</v>
      </c>
      <c r="N564" s="50">
        <f t="shared" ref="N564:P564" si="39">N407</f>
        <v>0.2456047569444445</v>
      </c>
      <c r="O564" s="50">
        <f t="shared" si="39"/>
        <v>5.7180069444444431E-3</v>
      </c>
      <c r="P564" s="50">
        <f t="shared" si="39"/>
        <v>2.4926435555555551</v>
      </c>
      <c r="Q564" s="50">
        <f t="shared" ref="Q564:R564" si="40">Q407</f>
        <v>0.16129421527777779</v>
      </c>
      <c r="R564" s="50">
        <f t="shared" si="40"/>
        <v>1.9325312499999996E-3</v>
      </c>
      <c r="S564" s="50">
        <f t="shared" si="15"/>
        <v>3.4888415933393847E-2</v>
      </c>
      <c r="T564" s="50">
        <f t="shared" si="16"/>
        <v>8.1224894448171073E-4</v>
      </c>
      <c r="U564" s="50">
        <f t="shared" si="17"/>
        <v>0.35408265793315702</v>
      </c>
      <c r="V564" s="50">
        <f t="shared" si="18"/>
        <v>2.291201416564732E-2</v>
      </c>
    </row>
    <row r="565" spans="12:22">
      <c r="L565" s="62" t="s">
        <v>65</v>
      </c>
      <c r="M565" s="50">
        <f>M443</f>
        <v>7.1292500000000008</v>
      </c>
      <c r="N565" s="50">
        <f t="shared" ref="N565:P565" si="41">N443</f>
        <v>0.1116957037037037</v>
      </c>
      <c r="O565" s="50">
        <f t="shared" si="41"/>
        <v>4.9493620370370368E-2</v>
      </c>
      <c r="P565" s="50">
        <f t="shared" si="41"/>
        <v>3.4248193553240736</v>
      </c>
      <c r="Q565" s="50">
        <f t="shared" ref="Q565:R565" si="42">Q443</f>
        <v>0.15870221643518512</v>
      </c>
      <c r="R565" s="50">
        <f t="shared" si="42"/>
        <v>1.3534305555555556E-3</v>
      </c>
      <c r="S565" s="50">
        <f t="shared" si="15"/>
        <v>1.5667244619518701E-2</v>
      </c>
      <c r="T565" s="50">
        <f t="shared" si="16"/>
        <v>6.9423319943009943E-3</v>
      </c>
      <c r="U565" s="50">
        <f t="shared" si="17"/>
        <v>0.48038985241421933</v>
      </c>
      <c r="V565" s="50">
        <f t="shared" si="18"/>
        <v>2.2260716966747567E-2</v>
      </c>
    </row>
    <row r="566" spans="12:22">
      <c r="L566" s="62" t="s">
        <v>67</v>
      </c>
      <c r="M566" s="50">
        <f>M479</f>
        <v>5.1323888888888876</v>
      </c>
      <c r="N566" s="50">
        <f t="shared" ref="N566:P566" si="43">N479</f>
        <v>0.13159494097222224</v>
      </c>
      <c r="O566" s="50">
        <f t="shared" si="43"/>
        <v>6.4818749999999989E-4</v>
      </c>
      <c r="P566" s="50">
        <f t="shared" si="43"/>
        <v>2.1445920624999997</v>
      </c>
      <c r="Q566" s="50">
        <f t="shared" ref="Q566:R566" si="44">Q479</f>
        <v>6.0498833333333328E-2</v>
      </c>
      <c r="R566" s="50">
        <f t="shared" si="44"/>
        <v>0</v>
      </c>
      <c r="S566" s="50">
        <f t="shared" si="15"/>
        <v>2.5640095445049423E-2</v>
      </c>
      <c r="T566" s="50">
        <f t="shared" si="16"/>
        <v>1.2629352803004884E-4</v>
      </c>
      <c r="U566" s="50">
        <f t="shared" si="17"/>
        <v>0.41785455251507314</v>
      </c>
      <c r="V566" s="50">
        <f t="shared" si="18"/>
        <v>1.1787655737527469E-2</v>
      </c>
    </row>
    <row r="567" spans="12:22">
      <c r="L567" s="62" t="s">
        <v>69</v>
      </c>
      <c r="M567" s="50">
        <f>M515</f>
        <v>4.5619722222222219</v>
      </c>
      <c r="N567" s="50">
        <f t="shared" ref="N567:P567" si="45">N515</f>
        <v>0.18053809027777773</v>
      </c>
      <c r="O567" s="50">
        <f t="shared" si="45"/>
        <v>1.3017635416666666E-2</v>
      </c>
      <c r="P567" s="50">
        <f t="shared" si="45"/>
        <v>1.7996244131944445</v>
      </c>
      <c r="Q567" s="50">
        <f t="shared" ref="Q567:R567" si="46">Q515</f>
        <v>7.7947979166666626E-2</v>
      </c>
      <c r="R567" s="50">
        <f t="shared" si="46"/>
        <v>1.8522847222222222E-3</v>
      </c>
      <c r="S567" s="50">
        <f t="shared" si="15"/>
        <v>3.9574570269924669E-2</v>
      </c>
      <c r="T567" s="50">
        <f t="shared" si="16"/>
        <v>2.8535104517417539E-3</v>
      </c>
      <c r="U567" s="50">
        <f t="shared" si="17"/>
        <v>0.39448386038567634</v>
      </c>
      <c r="V567" s="50">
        <f t="shared" si="18"/>
        <v>1.7086465100985798E-2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zea update</vt:lpstr>
      <vt:lpstr>fuco update</vt:lpstr>
      <vt:lpstr>but-fuco update</vt:lpstr>
      <vt:lpstr>peridin update</vt:lpstr>
      <vt:lpstr>1999-2014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2026-02-18T21:20:49Z</dcterms:modified>
</cp:coreProperties>
</file>