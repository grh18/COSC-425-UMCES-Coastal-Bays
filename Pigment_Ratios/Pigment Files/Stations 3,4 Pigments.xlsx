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92D99D-9B10-474D-8537-51236AE280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Zea update" sheetId="7" r:id="rId1"/>
    <sheet name="Fuco update" sheetId="6" r:id="rId2"/>
    <sheet name="but-fuco update" sheetId="5" r:id="rId3"/>
    <sheet name="Peridin update" sheetId="4" r:id="rId4"/>
    <sheet name="Sheet1" sheetId="1" r:id="rId5"/>
    <sheet name="Sheet2" sheetId="2" r:id="rId6"/>
    <sheet name="Sheet3" sheetId="3" r:id="rId7"/>
  </sheets>
  <definedNames>
    <definedName name="_xlnm._FilterDatabase" localSheetId="5" hidden="1">Sheet2!$L$1:$L$368</definedName>
  </definedNames>
  <calcPr calcId="191029"/>
</workbook>
</file>

<file path=xl/calcChain.xml><?xml version="1.0" encoding="utf-8"?>
<calcChain xmlns="http://schemas.openxmlformats.org/spreadsheetml/2006/main">
  <c r="N598" i="4" l="1"/>
  <c r="N572" i="4"/>
  <c r="N574" i="4"/>
  <c r="N576" i="4" s="1"/>
  <c r="N578" i="4" s="1"/>
  <c r="N580" i="4" s="1"/>
  <c r="N582" i="4" s="1"/>
  <c r="N584" i="4" s="1"/>
  <c r="N586" i="4" s="1"/>
  <c r="N588" i="4" s="1"/>
  <c r="N590" i="4" s="1"/>
  <c r="N592" i="4" s="1"/>
  <c r="N594" i="4" s="1"/>
  <c r="N600" i="4" s="1"/>
  <c r="N570" i="4"/>
  <c r="M570" i="4"/>
  <c r="M572" i="4"/>
  <c r="M574" i="4"/>
  <c r="M576" i="4"/>
  <c r="M578" i="4"/>
  <c r="M580" i="4"/>
  <c r="M582" i="4"/>
  <c r="M584" i="4"/>
  <c r="M586" i="4"/>
  <c r="M588" i="4"/>
  <c r="M590" i="4"/>
  <c r="M592" i="4"/>
  <c r="M594" i="4"/>
  <c r="M598" i="4"/>
  <c r="M600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8" i="4"/>
  <c r="L600" i="4"/>
  <c r="J570" i="4"/>
  <c r="J572" i="4"/>
  <c r="J574" i="4"/>
  <c r="J576" i="4"/>
  <c r="J578" i="4"/>
  <c r="J580" i="4"/>
  <c r="J582" i="4"/>
  <c r="J584" i="4"/>
  <c r="J586" i="4"/>
  <c r="J588" i="4"/>
  <c r="J590" i="4"/>
  <c r="J592" i="4"/>
  <c r="J594" i="4"/>
  <c r="J598" i="4"/>
  <c r="J600" i="4"/>
  <c r="I570" i="4"/>
  <c r="I572" i="4"/>
  <c r="I574" i="4"/>
  <c r="I576" i="4"/>
  <c r="I578" i="4"/>
  <c r="I580" i="4"/>
  <c r="I582" i="4"/>
  <c r="I584" i="4"/>
  <c r="I586" i="4"/>
  <c r="I588" i="4"/>
  <c r="I590" i="4"/>
  <c r="I592" i="4"/>
  <c r="I594" i="4"/>
  <c r="I598" i="4"/>
  <c r="I600" i="4"/>
  <c r="L568" i="4"/>
  <c r="J568" i="4"/>
  <c r="I568" i="4"/>
  <c r="L508" i="4"/>
  <c r="L510" i="4"/>
  <c r="L512" i="4"/>
  <c r="L514" i="4"/>
  <c r="L516" i="4"/>
  <c r="L522" i="4"/>
  <c r="L524" i="4"/>
  <c r="L526" i="4"/>
  <c r="L528" i="4"/>
  <c r="L530" i="4"/>
  <c r="L534" i="4"/>
  <c r="L536" i="4"/>
  <c r="L538" i="4"/>
  <c r="L540" i="4"/>
  <c r="L542" i="4"/>
  <c r="J508" i="4"/>
  <c r="J510" i="4"/>
  <c r="J512" i="4"/>
  <c r="J514" i="4"/>
  <c r="J516" i="4"/>
  <c r="J522" i="4"/>
  <c r="J524" i="4"/>
  <c r="J526" i="4"/>
  <c r="J528" i="4"/>
  <c r="J530" i="4"/>
  <c r="J534" i="4"/>
  <c r="J536" i="4"/>
  <c r="J538" i="4"/>
  <c r="J540" i="4"/>
  <c r="J542" i="4"/>
  <c r="I508" i="4"/>
  <c r="I510" i="4"/>
  <c r="I512" i="4"/>
  <c r="I514" i="4"/>
  <c r="I516" i="4"/>
  <c r="I522" i="4"/>
  <c r="I524" i="4"/>
  <c r="I526" i="4"/>
  <c r="I528" i="4"/>
  <c r="I530" i="4"/>
  <c r="I534" i="4"/>
  <c r="I536" i="4"/>
  <c r="I538" i="4"/>
  <c r="I540" i="4"/>
  <c r="I542" i="4"/>
  <c r="L506" i="4"/>
  <c r="J506" i="4"/>
  <c r="I506" i="4"/>
  <c r="L498" i="4"/>
  <c r="J498" i="4"/>
  <c r="I498" i="4"/>
  <c r="L620" i="4"/>
  <c r="L619" i="4"/>
  <c r="M498" i="4" s="1"/>
  <c r="L619" i="5"/>
  <c r="L620" i="5"/>
  <c r="L570" i="5"/>
  <c r="L572" i="5"/>
  <c r="L574" i="5"/>
  <c r="L576" i="5"/>
  <c r="L578" i="5"/>
  <c r="L580" i="5"/>
  <c r="L582" i="5"/>
  <c r="L584" i="5"/>
  <c r="L586" i="5"/>
  <c r="L588" i="5"/>
  <c r="L590" i="5"/>
  <c r="L592" i="5"/>
  <c r="L594" i="5"/>
  <c r="L598" i="5"/>
  <c r="L600" i="5"/>
  <c r="J570" i="5"/>
  <c r="J572" i="5"/>
  <c r="J574" i="5"/>
  <c r="J576" i="5"/>
  <c r="J578" i="5"/>
  <c r="J580" i="5"/>
  <c r="J582" i="5"/>
  <c r="J584" i="5"/>
  <c r="J586" i="5"/>
  <c r="J588" i="5"/>
  <c r="J590" i="5"/>
  <c r="J592" i="5"/>
  <c r="J594" i="5"/>
  <c r="J598" i="5"/>
  <c r="J600" i="5"/>
  <c r="I570" i="5"/>
  <c r="I572" i="5"/>
  <c r="I574" i="5"/>
  <c r="I576" i="5"/>
  <c r="I578" i="5"/>
  <c r="I580" i="5"/>
  <c r="I582" i="5"/>
  <c r="I584" i="5"/>
  <c r="I586" i="5"/>
  <c r="I588" i="5"/>
  <c r="I590" i="5"/>
  <c r="I592" i="5"/>
  <c r="I594" i="5"/>
  <c r="I598" i="5"/>
  <c r="I600" i="5"/>
  <c r="L568" i="5"/>
  <c r="J568" i="5"/>
  <c r="I568" i="5"/>
  <c r="L508" i="5"/>
  <c r="L510" i="5"/>
  <c r="L512" i="5"/>
  <c r="L514" i="5"/>
  <c r="L516" i="5"/>
  <c r="L522" i="5"/>
  <c r="L524" i="5"/>
  <c r="L526" i="5"/>
  <c r="L528" i="5"/>
  <c r="L530" i="5"/>
  <c r="L534" i="5"/>
  <c r="L536" i="5"/>
  <c r="L538" i="5"/>
  <c r="L540" i="5"/>
  <c r="L542" i="5"/>
  <c r="J508" i="5"/>
  <c r="J510" i="5"/>
  <c r="J512" i="5"/>
  <c r="J514" i="5"/>
  <c r="J516" i="5"/>
  <c r="J522" i="5"/>
  <c r="J524" i="5"/>
  <c r="J526" i="5"/>
  <c r="J528" i="5"/>
  <c r="J530" i="5"/>
  <c r="J534" i="5"/>
  <c r="J536" i="5"/>
  <c r="J538" i="5"/>
  <c r="J540" i="5"/>
  <c r="J542" i="5"/>
  <c r="I508" i="5"/>
  <c r="I510" i="5"/>
  <c r="I512" i="5"/>
  <c r="I514" i="5"/>
  <c r="I516" i="5"/>
  <c r="I522" i="5"/>
  <c r="I524" i="5"/>
  <c r="I526" i="5"/>
  <c r="I528" i="5"/>
  <c r="I530" i="5"/>
  <c r="I534" i="5"/>
  <c r="I536" i="5"/>
  <c r="I538" i="5"/>
  <c r="I540" i="5"/>
  <c r="I542" i="5"/>
  <c r="L506" i="5"/>
  <c r="J506" i="5"/>
  <c r="I506" i="5"/>
  <c r="L498" i="5"/>
  <c r="J498" i="5"/>
  <c r="I498" i="5"/>
  <c r="N598" i="6"/>
  <c r="N572" i="6"/>
  <c r="N574" i="6" s="1"/>
  <c r="N576" i="6" s="1"/>
  <c r="N578" i="6" s="1"/>
  <c r="N580" i="6" s="1"/>
  <c r="N582" i="6" s="1"/>
  <c r="N584" i="6" s="1"/>
  <c r="N586" i="6" s="1"/>
  <c r="N588" i="6" s="1"/>
  <c r="N590" i="6" s="1"/>
  <c r="N592" i="6" s="1"/>
  <c r="N594" i="6" s="1"/>
  <c r="N570" i="6"/>
  <c r="M570" i="6"/>
  <c r="M572" i="6"/>
  <c r="M574" i="6"/>
  <c r="M576" i="6"/>
  <c r="M578" i="6"/>
  <c r="M580" i="6"/>
  <c r="M582" i="6"/>
  <c r="M584" i="6"/>
  <c r="M586" i="6"/>
  <c r="M588" i="6"/>
  <c r="M590" i="6"/>
  <c r="M592" i="6"/>
  <c r="M594" i="6"/>
  <c r="M598" i="6"/>
  <c r="M600" i="6"/>
  <c r="L570" i="6"/>
  <c r="L572" i="6"/>
  <c r="L574" i="6"/>
  <c r="L576" i="6"/>
  <c r="L578" i="6"/>
  <c r="L580" i="6"/>
  <c r="L582" i="6"/>
  <c r="L584" i="6"/>
  <c r="L586" i="6"/>
  <c r="L588" i="6"/>
  <c r="L590" i="6"/>
  <c r="L592" i="6"/>
  <c r="L594" i="6"/>
  <c r="L598" i="6"/>
  <c r="L600" i="6"/>
  <c r="J570" i="6"/>
  <c r="J572" i="6"/>
  <c r="J574" i="6"/>
  <c r="J576" i="6"/>
  <c r="J578" i="6"/>
  <c r="J580" i="6"/>
  <c r="J582" i="6"/>
  <c r="J584" i="6"/>
  <c r="J586" i="6"/>
  <c r="J588" i="6"/>
  <c r="J590" i="6"/>
  <c r="J592" i="6"/>
  <c r="J594" i="6"/>
  <c r="J598" i="6"/>
  <c r="J600" i="6"/>
  <c r="I570" i="6"/>
  <c r="I572" i="6"/>
  <c r="I574" i="6"/>
  <c r="I576" i="6"/>
  <c r="I578" i="6"/>
  <c r="I580" i="6"/>
  <c r="I582" i="6"/>
  <c r="I584" i="6"/>
  <c r="I586" i="6"/>
  <c r="I588" i="6"/>
  <c r="I590" i="6"/>
  <c r="I592" i="6"/>
  <c r="I594" i="6"/>
  <c r="I598" i="6"/>
  <c r="I600" i="6"/>
  <c r="L568" i="6"/>
  <c r="J568" i="6"/>
  <c r="I568" i="6"/>
  <c r="L524" i="6"/>
  <c r="L526" i="6"/>
  <c r="L528" i="6"/>
  <c r="L530" i="6"/>
  <c r="L534" i="6"/>
  <c r="L536" i="6"/>
  <c r="L538" i="6"/>
  <c r="L540" i="6"/>
  <c r="L542" i="6"/>
  <c r="J524" i="6"/>
  <c r="J526" i="6"/>
  <c r="J528" i="6"/>
  <c r="J530" i="6"/>
  <c r="J534" i="6"/>
  <c r="J536" i="6"/>
  <c r="J538" i="6"/>
  <c r="J540" i="6"/>
  <c r="J542" i="6"/>
  <c r="I524" i="6"/>
  <c r="I526" i="6"/>
  <c r="I528" i="6"/>
  <c r="I530" i="6"/>
  <c r="I534" i="6"/>
  <c r="I536" i="6"/>
  <c r="I538" i="6"/>
  <c r="I540" i="6"/>
  <c r="I542" i="6"/>
  <c r="L522" i="6"/>
  <c r="J522" i="6"/>
  <c r="I522" i="6"/>
  <c r="L508" i="6"/>
  <c r="L510" i="6"/>
  <c r="L512" i="6"/>
  <c r="L514" i="6"/>
  <c r="L516" i="6"/>
  <c r="J508" i="6"/>
  <c r="J510" i="6"/>
  <c r="J512" i="6"/>
  <c r="J514" i="6"/>
  <c r="J516" i="6"/>
  <c r="I508" i="6"/>
  <c r="I510" i="6"/>
  <c r="I512" i="6"/>
  <c r="I514" i="6"/>
  <c r="I516" i="6"/>
  <c r="L506" i="6"/>
  <c r="J506" i="6"/>
  <c r="I506" i="6"/>
  <c r="L498" i="6"/>
  <c r="J498" i="6"/>
  <c r="I498" i="6"/>
  <c r="L620" i="6"/>
  <c r="L619" i="6"/>
  <c r="M538" i="6" s="1"/>
  <c r="M570" i="7"/>
  <c r="N570" i="7" s="1"/>
  <c r="N572" i="7" s="1"/>
  <c r="N574" i="7" s="1"/>
  <c r="N576" i="7" s="1"/>
  <c r="N578" i="7" s="1"/>
  <c r="N580" i="7" s="1"/>
  <c r="N582" i="7" s="1"/>
  <c r="N584" i="7" s="1"/>
  <c r="N586" i="7" s="1"/>
  <c r="N588" i="7" s="1"/>
  <c r="N590" i="7" s="1"/>
  <c r="N592" i="7" s="1"/>
  <c r="N594" i="7" s="1"/>
  <c r="N598" i="7" s="1"/>
  <c r="M572" i="7"/>
  <c r="M574" i="7"/>
  <c r="M576" i="7"/>
  <c r="M578" i="7"/>
  <c r="M580" i="7"/>
  <c r="M582" i="7"/>
  <c r="M584" i="7"/>
  <c r="M586" i="7"/>
  <c r="M588" i="7"/>
  <c r="M590" i="7"/>
  <c r="M592" i="7"/>
  <c r="M594" i="7"/>
  <c r="M598" i="7"/>
  <c r="M600" i="7"/>
  <c r="N568" i="7"/>
  <c r="M568" i="7"/>
  <c r="L570" i="7"/>
  <c r="L572" i="7"/>
  <c r="L574" i="7"/>
  <c r="L576" i="7"/>
  <c r="L578" i="7"/>
  <c r="L580" i="7"/>
  <c r="L582" i="7"/>
  <c r="L584" i="7"/>
  <c r="L586" i="7"/>
  <c r="L588" i="7"/>
  <c r="L590" i="7"/>
  <c r="L592" i="7"/>
  <c r="L594" i="7"/>
  <c r="L598" i="7"/>
  <c r="L600" i="7"/>
  <c r="L568" i="7"/>
  <c r="J570" i="7"/>
  <c r="J572" i="7"/>
  <c r="J574" i="7"/>
  <c r="J576" i="7"/>
  <c r="J578" i="7"/>
  <c r="J580" i="7"/>
  <c r="J582" i="7"/>
  <c r="J584" i="7"/>
  <c r="J586" i="7"/>
  <c r="J588" i="7"/>
  <c r="J590" i="7"/>
  <c r="J592" i="7"/>
  <c r="J594" i="7"/>
  <c r="J598" i="7"/>
  <c r="J600" i="7"/>
  <c r="I570" i="7"/>
  <c r="I572" i="7"/>
  <c r="I574" i="7"/>
  <c r="I576" i="7"/>
  <c r="I578" i="7"/>
  <c r="I580" i="7"/>
  <c r="I582" i="7"/>
  <c r="I584" i="7"/>
  <c r="I586" i="7"/>
  <c r="I588" i="7"/>
  <c r="I590" i="7"/>
  <c r="I592" i="7"/>
  <c r="I594" i="7"/>
  <c r="I598" i="7"/>
  <c r="I600" i="7"/>
  <c r="J568" i="7"/>
  <c r="I568" i="7"/>
  <c r="L524" i="7"/>
  <c r="L526" i="7"/>
  <c r="L528" i="7"/>
  <c r="L530" i="7"/>
  <c r="L522" i="7"/>
  <c r="J524" i="7"/>
  <c r="J526" i="7"/>
  <c r="J528" i="7"/>
  <c r="J530" i="7"/>
  <c r="I524" i="7"/>
  <c r="I526" i="7"/>
  <c r="I528" i="7"/>
  <c r="I530" i="7"/>
  <c r="J522" i="7"/>
  <c r="I522" i="7"/>
  <c r="L508" i="7"/>
  <c r="L510" i="7"/>
  <c r="L512" i="7"/>
  <c r="L514" i="7"/>
  <c r="L516" i="7"/>
  <c r="J516" i="7"/>
  <c r="J514" i="7"/>
  <c r="J512" i="7"/>
  <c r="J510" i="7"/>
  <c r="J508" i="7"/>
  <c r="I516" i="7"/>
  <c r="I514" i="7"/>
  <c r="I512" i="7"/>
  <c r="I510" i="7"/>
  <c r="I508" i="7"/>
  <c r="L506" i="7"/>
  <c r="J506" i="7"/>
  <c r="I506" i="7"/>
  <c r="L620" i="7"/>
  <c r="L619" i="7"/>
  <c r="M524" i="7" s="1"/>
  <c r="M568" i="4" l="1"/>
  <c r="M516" i="4"/>
  <c r="M534" i="4"/>
  <c r="M512" i="4"/>
  <c r="M530" i="4"/>
  <c r="M510" i="4"/>
  <c r="M528" i="4"/>
  <c r="M508" i="4"/>
  <c r="M526" i="4"/>
  <c r="M542" i="4"/>
  <c r="M524" i="4"/>
  <c r="M540" i="4"/>
  <c r="M522" i="4"/>
  <c r="M538" i="4"/>
  <c r="M536" i="4"/>
  <c r="M514" i="4"/>
  <c r="M506" i="4"/>
  <c r="M578" i="5"/>
  <c r="M574" i="5"/>
  <c r="M588" i="5"/>
  <c r="M572" i="5"/>
  <c r="M576" i="5"/>
  <c r="M586" i="5"/>
  <c r="M570" i="5"/>
  <c r="M592" i="5"/>
  <c r="M590" i="5"/>
  <c r="M584" i="5"/>
  <c r="M600" i="5"/>
  <c r="M582" i="5"/>
  <c r="M598" i="5"/>
  <c r="M580" i="5"/>
  <c r="M594" i="5"/>
  <c r="N600" i="6"/>
  <c r="M568" i="6"/>
  <c r="M526" i="6"/>
  <c r="M542" i="6"/>
  <c r="M524" i="6"/>
  <c r="M514" i="6"/>
  <c r="M536" i="6"/>
  <c r="M534" i="6"/>
  <c r="M540" i="6"/>
  <c r="M530" i="6"/>
  <c r="M528" i="6"/>
  <c r="M522" i="6"/>
  <c r="M512" i="6"/>
  <c r="M510" i="6"/>
  <c r="M508" i="6"/>
  <c r="M516" i="6"/>
  <c r="M498" i="6"/>
  <c r="M506" i="6"/>
  <c r="N600" i="7"/>
  <c r="M522" i="7"/>
  <c r="M530" i="7"/>
  <c r="M528" i="7"/>
  <c r="M526" i="7"/>
  <c r="M506" i="7"/>
  <c r="M510" i="7"/>
  <c r="M508" i="7"/>
  <c r="M512" i="7"/>
  <c r="M516" i="7"/>
  <c r="M514" i="7"/>
  <c r="M498" i="7"/>
  <c r="L498" i="7"/>
  <c r="J498" i="7"/>
  <c r="I498" i="7"/>
  <c r="F619" i="7" l="1"/>
  <c r="M468" i="4"/>
  <c r="M488" i="4"/>
  <c r="M480" i="5"/>
  <c r="M568" i="5"/>
  <c r="M478" i="6"/>
  <c r="F620" i="7"/>
  <c r="M494" i="6"/>
  <c r="M490" i="6"/>
  <c r="M484" i="6"/>
  <c r="M482" i="6"/>
  <c r="M476" i="6"/>
  <c r="M468" i="6"/>
  <c r="M466" i="6"/>
  <c r="M462" i="6"/>
  <c r="M456" i="6"/>
  <c r="M454" i="6"/>
  <c r="M450" i="6"/>
  <c r="M446" i="6"/>
  <c r="M442" i="6"/>
  <c r="M436" i="6"/>
  <c r="M432" i="6"/>
  <c r="M428" i="6"/>
  <c r="M418" i="6"/>
  <c r="M414" i="6"/>
  <c r="M412" i="6"/>
  <c r="M410" i="6"/>
  <c r="M404" i="6"/>
  <c r="M402" i="6"/>
  <c r="M396" i="6"/>
  <c r="M394" i="6"/>
  <c r="M392" i="6"/>
  <c r="M388" i="6"/>
  <c r="M382" i="6"/>
  <c r="M380" i="6"/>
  <c r="M374" i="6"/>
  <c r="M370" i="6"/>
  <c r="M368" i="6"/>
  <c r="M364" i="6"/>
  <c r="M360" i="6"/>
  <c r="M358" i="6"/>
  <c r="M352" i="6"/>
  <c r="M348" i="6"/>
  <c r="M346" i="6"/>
  <c r="M344" i="6"/>
  <c r="M338" i="6"/>
  <c r="M336" i="6"/>
  <c r="M330" i="6"/>
  <c r="M328" i="6"/>
  <c r="M326" i="6"/>
  <c r="M322" i="6"/>
  <c r="M315" i="6"/>
  <c r="M313" i="6"/>
  <c r="M309" i="6"/>
  <c r="M305" i="6"/>
  <c r="M303" i="6"/>
  <c r="M299" i="6"/>
  <c r="M295" i="6"/>
  <c r="M293" i="6"/>
  <c r="M287" i="6"/>
  <c r="M283" i="6"/>
  <c r="M281" i="6"/>
  <c r="M279" i="6"/>
  <c r="M273" i="6"/>
  <c r="M271" i="6"/>
  <c r="M264" i="6"/>
  <c r="M262" i="6"/>
  <c r="M260" i="6"/>
  <c r="M256" i="6"/>
  <c r="M250" i="6"/>
  <c r="M248" i="6"/>
  <c r="M244" i="6"/>
  <c r="M240" i="6"/>
  <c r="M238" i="6"/>
  <c r="M234" i="6"/>
  <c r="M230" i="6"/>
  <c r="M228" i="6"/>
  <c r="M222" i="6"/>
  <c r="M218" i="6"/>
  <c r="M216" i="6"/>
  <c r="M214" i="6"/>
  <c r="M208" i="6"/>
  <c r="M206" i="6"/>
  <c r="M200" i="6"/>
  <c r="M198" i="6"/>
  <c r="M196" i="6"/>
  <c r="M192" i="6"/>
  <c r="M186" i="6"/>
  <c r="M184" i="6"/>
  <c r="M180" i="6"/>
  <c r="M176" i="6"/>
  <c r="M174" i="6"/>
  <c r="M170" i="6"/>
  <c r="M166" i="6"/>
  <c r="M164" i="6"/>
  <c r="M158" i="6"/>
  <c r="M154" i="6"/>
  <c r="M152" i="6"/>
  <c r="M150" i="6"/>
  <c r="M144" i="6"/>
  <c r="M142" i="6"/>
  <c r="M136" i="6"/>
  <c r="M134" i="6"/>
  <c r="M132" i="6"/>
  <c r="M128" i="6"/>
  <c r="M122" i="6"/>
  <c r="M118" i="6"/>
  <c r="M114" i="6"/>
  <c r="M110" i="6"/>
  <c r="M108" i="6"/>
  <c r="M104" i="6"/>
  <c r="M100" i="6"/>
  <c r="M98" i="6"/>
  <c r="M92" i="6"/>
  <c r="M88" i="6"/>
  <c r="M86" i="6"/>
  <c r="M84" i="6"/>
  <c r="M78" i="6"/>
  <c r="M76" i="6"/>
  <c r="M60" i="6"/>
  <c r="M58" i="6"/>
  <c r="M56" i="6"/>
  <c r="M52" i="6"/>
  <c r="M46" i="6"/>
  <c r="M44" i="6"/>
  <c r="M40" i="6"/>
  <c r="M36" i="6"/>
  <c r="M34" i="6"/>
  <c r="M30" i="6"/>
  <c r="M26" i="6"/>
  <c r="M24" i="6"/>
  <c r="M18" i="6"/>
  <c r="M14" i="6"/>
  <c r="M12" i="6"/>
  <c r="M10" i="6"/>
  <c r="M4" i="6"/>
  <c r="N4" i="6" s="1"/>
  <c r="M494" i="4"/>
  <c r="M490" i="4"/>
  <c r="M478" i="4"/>
  <c r="M476" i="4"/>
  <c r="M454" i="4"/>
  <c r="M452" i="4"/>
  <c r="M436" i="4"/>
  <c r="M434" i="4"/>
  <c r="M432" i="4"/>
  <c r="M414" i="4"/>
  <c r="M398" i="4"/>
  <c r="M396" i="4"/>
  <c r="M394" i="4"/>
  <c r="M382" i="4"/>
  <c r="M380" i="4"/>
  <c r="M376" i="4"/>
  <c r="M360" i="4"/>
  <c r="M348" i="4"/>
  <c r="M346" i="4"/>
  <c r="M344" i="4"/>
  <c r="M332" i="4"/>
  <c r="M330" i="4"/>
  <c r="M313" i="4"/>
  <c r="M311" i="4"/>
  <c r="M299" i="4"/>
  <c r="M297" i="4"/>
  <c r="M295" i="4"/>
  <c r="M283" i="4"/>
  <c r="M266" i="4"/>
  <c r="M264" i="4"/>
  <c r="M262" i="4"/>
  <c r="M250" i="4"/>
  <c r="M248" i="4"/>
  <c r="M246" i="4"/>
  <c r="M230" i="4"/>
  <c r="M218" i="4"/>
  <c r="M216" i="4"/>
  <c r="M214" i="4"/>
  <c r="M202" i="4"/>
  <c r="M200" i="4"/>
  <c r="M184" i="4"/>
  <c r="M182" i="4"/>
  <c r="M170" i="4"/>
  <c r="M168" i="4"/>
  <c r="M166" i="4"/>
  <c r="M154" i="4"/>
  <c r="M138" i="4"/>
  <c r="M136" i="4"/>
  <c r="M134" i="4"/>
  <c r="M128" i="4"/>
  <c r="M126" i="4"/>
  <c r="M124" i="4"/>
  <c r="M116" i="4"/>
  <c r="M114" i="4"/>
  <c r="M112" i="4"/>
  <c r="M110" i="4"/>
  <c r="M108" i="4"/>
  <c r="M106" i="4"/>
  <c r="M100" i="4"/>
  <c r="M98" i="4"/>
  <c r="M96" i="4"/>
  <c r="M94" i="4"/>
  <c r="M92" i="4"/>
  <c r="M90" i="4"/>
  <c r="M84" i="4"/>
  <c r="M82" i="4"/>
  <c r="M80" i="4"/>
  <c r="M78" i="4"/>
  <c r="M76" i="4"/>
  <c r="M64" i="4"/>
  <c r="M58" i="4"/>
  <c r="M56" i="4"/>
  <c r="M54" i="4"/>
  <c r="M52" i="4"/>
  <c r="M50" i="4"/>
  <c r="M48" i="4"/>
  <c r="M42" i="4"/>
  <c r="M40" i="4"/>
  <c r="M38" i="4"/>
  <c r="M36" i="4"/>
  <c r="M34" i="4"/>
  <c r="M32" i="4"/>
  <c r="M26" i="4"/>
  <c r="M24" i="4"/>
  <c r="M22" i="4"/>
  <c r="M20" i="4"/>
  <c r="M18" i="4"/>
  <c r="M16" i="4"/>
  <c r="M10" i="4"/>
  <c r="M8" i="4"/>
  <c r="M6" i="4"/>
  <c r="M4" i="4"/>
  <c r="N4" i="4" s="1"/>
  <c r="N6" i="4" l="1"/>
  <c r="N8" i="4" s="1"/>
  <c r="M506" i="5"/>
  <c r="M516" i="5"/>
  <c r="M538" i="5"/>
  <c r="M522" i="5"/>
  <c r="M540" i="5"/>
  <c r="M524" i="5"/>
  <c r="M542" i="5"/>
  <c r="M510" i="5"/>
  <c r="M530" i="5"/>
  <c r="M534" i="5"/>
  <c r="M536" i="5"/>
  <c r="M526" i="5"/>
  <c r="M508" i="5"/>
  <c r="M528" i="5"/>
  <c r="M512" i="5"/>
  <c r="M514" i="5"/>
  <c r="M498" i="5"/>
  <c r="M12" i="4"/>
  <c r="M28" i="4"/>
  <c r="M44" i="4"/>
  <c r="M60" i="4"/>
  <c r="M86" i="4"/>
  <c r="M102" i="4"/>
  <c r="M118" i="4"/>
  <c r="M150" i="4"/>
  <c r="M186" i="4"/>
  <c r="M232" i="4"/>
  <c r="M279" i="4"/>
  <c r="M315" i="4"/>
  <c r="M362" i="4"/>
  <c r="M410" i="4"/>
  <c r="M456" i="4"/>
  <c r="M14" i="4"/>
  <c r="M30" i="4"/>
  <c r="M46" i="4"/>
  <c r="M62" i="4"/>
  <c r="M88" i="4"/>
  <c r="M104" i="4"/>
  <c r="M122" i="4"/>
  <c r="M152" i="4"/>
  <c r="M198" i="4"/>
  <c r="M234" i="4"/>
  <c r="M281" i="4"/>
  <c r="M328" i="4"/>
  <c r="M364" i="4"/>
  <c r="M412" i="4"/>
  <c r="M140" i="4"/>
  <c r="M156" i="4"/>
  <c r="M172" i="4"/>
  <c r="M188" i="4"/>
  <c r="M204" i="4"/>
  <c r="M220" i="4"/>
  <c r="M236" i="4"/>
  <c r="M252" i="4"/>
  <c r="M268" i="4"/>
  <c r="M285" i="4"/>
  <c r="M301" i="4"/>
  <c r="M318" i="4"/>
  <c r="M334" i="4"/>
  <c r="M350" i="4"/>
  <c r="M366" i="4"/>
  <c r="M384" i="4"/>
  <c r="M400" i="4"/>
  <c r="M416" i="4"/>
  <c r="M440" i="4"/>
  <c r="M458" i="4"/>
  <c r="M480" i="4"/>
  <c r="M142" i="4"/>
  <c r="M158" i="4"/>
  <c r="M174" i="4"/>
  <c r="M190" i="4"/>
  <c r="M206" i="4"/>
  <c r="M222" i="4"/>
  <c r="M238" i="4"/>
  <c r="M254" i="4"/>
  <c r="M271" i="4"/>
  <c r="M287" i="4"/>
  <c r="M303" i="4"/>
  <c r="M320" i="4"/>
  <c r="M336" i="4"/>
  <c r="M352" i="4"/>
  <c r="M368" i="4"/>
  <c r="M386" i="4"/>
  <c r="M402" i="4"/>
  <c r="M418" i="4"/>
  <c r="M442" i="4"/>
  <c r="M460" i="4"/>
  <c r="M482" i="4"/>
  <c r="N10" i="4"/>
  <c r="M144" i="4"/>
  <c r="M160" i="4"/>
  <c r="M176" i="4"/>
  <c r="M192" i="4"/>
  <c r="M208" i="4"/>
  <c r="M224" i="4"/>
  <c r="M240" i="4"/>
  <c r="M256" i="4"/>
  <c r="M273" i="4"/>
  <c r="M289" i="4"/>
  <c r="M305" i="4"/>
  <c r="M322" i="4"/>
  <c r="M338" i="4"/>
  <c r="M354" i="4"/>
  <c r="M370" i="4"/>
  <c r="M388" i="4"/>
  <c r="M404" i="4"/>
  <c r="M420" i="4"/>
  <c r="M446" i="4"/>
  <c r="M462" i="4"/>
  <c r="M484" i="4"/>
  <c r="M130" i="4"/>
  <c r="M146" i="4"/>
  <c r="M162" i="4"/>
  <c r="M178" i="4"/>
  <c r="M194" i="4"/>
  <c r="M210" i="4"/>
  <c r="M226" i="4"/>
  <c r="M242" i="4"/>
  <c r="M258" i="4"/>
  <c r="M275" i="4"/>
  <c r="M291" i="4"/>
  <c r="M307" i="4"/>
  <c r="M324" i="4"/>
  <c r="M340" i="4"/>
  <c r="M356" i="4"/>
  <c r="M372" i="4"/>
  <c r="M390" i="4"/>
  <c r="M406" i="4"/>
  <c r="M422" i="4"/>
  <c r="M448" i="4"/>
  <c r="M464" i="4"/>
  <c r="M486" i="4"/>
  <c r="M132" i="4"/>
  <c r="M148" i="4"/>
  <c r="M164" i="4"/>
  <c r="M180" i="4"/>
  <c r="M196" i="4"/>
  <c r="M212" i="4"/>
  <c r="M228" i="4"/>
  <c r="M244" i="4"/>
  <c r="M260" i="4"/>
  <c r="M277" i="4"/>
  <c r="M293" i="4"/>
  <c r="M309" i="4"/>
  <c r="M326" i="4"/>
  <c r="M342" i="4"/>
  <c r="M358" i="4"/>
  <c r="M374" i="4"/>
  <c r="M392" i="4"/>
  <c r="M408" i="4"/>
  <c r="M428" i="4"/>
  <c r="M450" i="4"/>
  <c r="M466" i="4"/>
  <c r="M4" i="5"/>
  <c r="N4" i="5" s="1"/>
  <c r="M114" i="5"/>
  <c r="M212" i="5"/>
  <c r="M309" i="5"/>
  <c r="M408" i="5"/>
  <c r="M488" i="5"/>
  <c r="M12" i="5"/>
  <c r="M44" i="5"/>
  <c r="M86" i="5"/>
  <c r="M118" i="5"/>
  <c r="M152" i="5"/>
  <c r="M184" i="5"/>
  <c r="M216" i="5"/>
  <c r="M248" i="5"/>
  <c r="M281" i="5"/>
  <c r="M313" i="5"/>
  <c r="M346" i="5"/>
  <c r="M380" i="5"/>
  <c r="M412" i="5"/>
  <c r="M454" i="5"/>
  <c r="M494" i="5"/>
  <c r="M14" i="5"/>
  <c r="M46" i="5"/>
  <c r="M88" i="5"/>
  <c r="M122" i="5"/>
  <c r="M154" i="5"/>
  <c r="M186" i="5"/>
  <c r="M218" i="5"/>
  <c r="M250" i="5"/>
  <c r="M283" i="5"/>
  <c r="M315" i="5"/>
  <c r="M348" i="5"/>
  <c r="M382" i="5"/>
  <c r="M414" i="5"/>
  <c r="M456" i="5"/>
  <c r="M277" i="5"/>
  <c r="M48" i="5"/>
  <c r="M156" i="5"/>
  <c r="M252" i="5"/>
  <c r="M318" i="5"/>
  <c r="M384" i="5"/>
  <c r="M24" i="5"/>
  <c r="M164" i="5"/>
  <c r="M260" i="5"/>
  <c r="M358" i="5"/>
  <c r="M428" i="5"/>
  <c r="M28" i="5"/>
  <c r="M60" i="5"/>
  <c r="M102" i="5"/>
  <c r="M136" i="5"/>
  <c r="M168" i="5"/>
  <c r="M200" i="5"/>
  <c r="M232" i="5"/>
  <c r="M264" i="5"/>
  <c r="M297" i="5"/>
  <c r="M330" i="5"/>
  <c r="M362" i="5"/>
  <c r="M396" i="5"/>
  <c r="M434" i="5"/>
  <c r="M476" i="5"/>
  <c r="M40" i="5"/>
  <c r="M148" i="5"/>
  <c r="M244" i="5"/>
  <c r="M374" i="5"/>
  <c r="M90" i="5"/>
  <c r="M188" i="5"/>
  <c r="M285" i="5"/>
  <c r="M458" i="5"/>
  <c r="M56" i="5"/>
  <c r="M98" i="5"/>
  <c r="M196" i="5"/>
  <c r="M326" i="5"/>
  <c r="M30" i="5"/>
  <c r="M62" i="5"/>
  <c r="M104" i="5"/>
  <c r="M138" i="5"/>
  <c r="M170" i="5"/>
  <c r="M202" i="5"/>
  <c r="M234" i="5"/>
  <c r="M266" i="5"/>
  <c r="M299" i="5"/>
  <c r="M332" i="5"/>
  <c r="M364" i="5"/>
  <c r="M398" i="5"/>
  <c r="M436" i="5"/>
  <c r="M478" i="5"/>
  <c r="M82" i="5"/>
  <c r="M180" i="5"/>
  <c r="M342" i="5"/>
  <c r="M450" i="5"/>
  <c r="M16" i="5"/>
  <c r="M124" i="5"/>
  <c r="M220" i="5"/>
  <c r="M350" i="5"/>
  <c r="M416" i="5"/>
  <c r="M132" i="5"/>
  <c r="M228" i="5"/>
  <c r="M293" i="5"/>
  <c r="M392" i="5"/>
  <c r="M466" i="5"/>
  <c r="M32" i="5"/>
  <c r="M64" i="5"/>
  <c r="M106" i="5"/>
  <c r="M140" i="5"/>
  <c r="M172" i="5"/>
  <c r="M204" i="5"/>
  <c r="M236" i="5"/>
  <c r="M268" i="5"/>
  <c r="M301" i="5"/>
  <c r="M334" i="5"/>
  <c r="M366" i="5"/>
  <c r="M400" i="5"/>
  <c r="M440" i="5"/>
  <c r="M486" i="5"/>
  <c r="M10" i="5"/>
  <c r="M26" i="5"/>
  <c r="M42" i="5"/>
  <c r="M58" i="5"/>
  <c r="M84" i="5"/>
  <c r="M100" i="5"/>
  <c r="M116" i="5"/>
  <c r="M134" i="5"/>
  <c r="M150" i="5"/>
  <c r="M166" i="5"/>
  <c r="M182" i="5"/>
  <c r="M198" i="5"/>
  <c r="M214" i="5"/>
  <c r="M230" i="5"/>
  <c r="M246" i="5"/>
  <c r="M262" i="5"/>
  <c r="M279" i="5"/>
  <c r="M295" i="5"/>
  <c r="M311" i="5"/>
  <c r="M328" i="5"/>
  <c r="M344" i="5"/>
  <c r="M360" i="5"/>
  <c r="M376" i="5"/>
  <c r="M394" i="5"/>
  <c r="M410" i="5"/>
  <c r="M432" i="5"/>
  <c r="M452" i="5"/>
  <c r="M468" i="5"/>
  <c r="M490" i="5"/>
  <c r="M6" i="5"/>
  <c r="M18" i="5"/>
  <c r="M34" i="5"/>
  <c r="M50" i="5"/>
  <c r="M76" i="5"/>
  <c r="M92" i="5"/>
  <c r="M108" i="5"/>
  <c r="M126" i="5"/>
  <c r="M142" i="5"/>
  <c r="M158" i="5"/>
  <c r="M174" i="5"/>
  <c r="M190" i="5"/>
  <c r="M206" i="5"/>
  <c r="M222" i="5"/>
  <c r="M238" i="5"/>
  <c r="M254" i="5"/>
  <c r="M271" i="5"/>
  <c r="M287" i="5"/>
  <c r="M303" i="5"/>
  <c r="M320" i="5"/>
  <c r="M336" i="5"/>
  <c r="M352" i="5"/>
  <c r="M368" i="5"/>
  <c r="M386" i="5"/>
  <c r="M402" i="5"/>
  <c r="M418" i="5"/>
  <c r="M442" i="5"/>
  <c r="M460" i="5"/>
  <c r="M482" i="5"/>
  <c r="M20" i="5"/>
  <c r="M36" i="5"/>
  <c r="M52" i="5"/>
  <c r="M78" i="5"/>
  <c r="M94" i="5"/>
  <c r="M110" i="5"/>
  <c r="M128" i="5"/>
  <c r="M144" i="5"/>
  <c r="M160" i="5"/>
  <c r="M176" i="5"/>
  <c r="M192" i="5"/>
  <c r="M208" i="5"/>
  <c r="M224" i="5"/>
  <c r="M240" i="5"/>
  <c r="M256" i="5"/>
  <c r="M273" i="5"/>
  <c r="M289" i="5"/>
  <c r="M305" i="5"/>
  <c r="M322" i="5"/>
  <c r="M338" i="5"/>
  <c r="M354" i="5"/>
  <c r="M370" i="5"/>
  <c r="M388" i="5"/>
  <c r="M404" i="5"/>
  <c r="M420" i="5"/>
  <c r="M446" i="5"/>
  <c r="M462" i="5"/>
  <c r="M484" i="5"/>
  <c r="M8" i="5"/>
  <c r="M22" i="5"/>
  <c r="M38" i="5"/>
  <c r="M54" i="5"/>
  <c r="M80" i="5"/>
  <c r="M96" i="5"/>
  <c r="M112" i="5"/>
  <c r="M130" i="5"/>
  <c r="M146" i="5"/>
  <c r="M162" i="5"/>
  <c r="M178" i="5"/>
  <c r="M194" i="5"/>
  <c r="M210" i="5"/>
  <c r="M226" i="5"/>
  <c r="M242" i="5"/>
  <c r="M258" i="5"/>
  <c r="M275" i="5"/>
  <c r="M291" i="5"/>
  <c r="M307" i="5"/>
  <c r="M324" i="5"/>
  <c r="M340" i="5"/>
  <c r="M356" i="5"/>
  <c r="M372" i="5"/>
  <c r="M390" i="5"/>
  <c r="M406" i="5"/>
  <c r="M422" i="5"/>
  <c r="M448" i="5"/>
  <c r="M464" i="5"/>
  <c r="M8" i="6"/>
  <c r="M28" i="6"/>
  <c r="M50" i="6"/>
  <c r="M82" i="6"/>
  <c r="M102" i="6"/>
  <c r="M126" i="6"/>
  <c r="M148" i="6"/>
  <c r="M168" i="6"/>
  <c r="M190" i="6"/>
  <c r="M212" i="6"/>
  <c r="M232" i="6"/>
  <c r="M254" i="6"/>
  <c r="M277" i="6"/>
  <c r="M297" i="6"/>
  <c r="M320" i="6"/>
  <c r="M342" i="6"/>
  <c r="M362" i="6"/>
  <c r="M386" i="6"/>
  <c r="M408" i="6"/>
  <c r="M434" i="6"/>
  <c r="M460" i="6"/>
  <c r="M488" i="6"/>
  <c r="M20" i="6"/>
  <c r="M42" i="6"/>
  <c r="M62" i="6"/>
  <c r="M94" i="6"/>
  <c r="M116" i="6"/>
  <c r="M138" i="6"/>
  <c r="M160" i="6"/>
  <c r="M182" i="6"/>
  <c r="M202" i="6"/>
  <c r="M224" i="6"/>
  <c r="M246" i="6"/>
  <c r="M266" i="6"/>
  <c r="M289" i="6"/>
  <c r="M311" i="6"/>
  <c r="M332" i="6"/>
  <c r="M354" i="6"/>
  <c r="M376" i="6"/>
  <c r="M398" i="6"/>
  <c r="M420" i="6"/>
  <c r="M452" i="6"/>
  <c r="M480" i="6"/>
  <c r="M6" i="6"/>
  <c r="N6" i="6" s="1"/>
  <c r="M22" i="6"/>
  <c r="M38" i="6"/>
  <c r="M54" i="6"/>
  <c r="M80" i="6"/>
  <c r="M96" i="6"/>
  <c r="M112" i="6"/>
  <c r="M130" i="6"/>
  <c r="M146" i="6"/>
  <c r="M162" i="6"/>
  <c r="M178" i="6"/>
  <c r="M194" i="6"/>
  <c r="M210" i="6"/>
  <c r="M226" i="6"/>
  <c r="M242" i="6"/>
  <c r="M258" i="6"/>
  <c r="M275" i="6"/>
  <c r="M291" i="6"/>
  <c r="M307" i="6"/>
  <c r="M324" i="6"/>
  <c r="M340" i="6"/>
  <c r="M356" i="6"/>
  <c r="M372" i="6"/>
  <c r="M390" i="6"/>
  <c r="M406" i="6"/>
  <c r="M422" i="6"/>
  <c r="M448" i="6"/>
  <c r="M464" i="6"/>
  <c r="M486" i="6"/>
  <c r="M16" i="6"/>
  <c r="M32" i="6"/>
  <c r="M48" i="6"/>
  <c r="M64" i="6"/>
  <c r="M90" i="6"/>
  <c r="M106" i="6"/>
  <c r="M124" i="6"/>
  <c r="M140" i="6"/>
  <c r="M156" i="6"/>
  <c r="M172" i="6"/>
  <c r="M188" i="6"/>
  <c r="M204" i="6"/>
  <c r="M220" i="6"/>
  <c r="M236" i="6"/>
  <c r="M252" i="6"/>
  <c r="M268" i="6"/>
  <c r="M285" i="6"/>
  <c r="M301" i="6"/>
  <c r="M318" i="6"/>
  <c r="M334" i="6"/>
  <c r="M350" i="6"/>
  <c r="M366" i="6"/>
  <c r="M384" i="6"/>
  <c r="M400" i="6"/>
  <c r="M416" i="6"/>
  <c r="M440" i="6"/>
  <c r="M458" i="6"/>
  <c r="Z494" i="7"/>
  <c r="Z482" i="7"/>
  <c r="Z484" i="7"/>
  <c r="Z486" i="7"/>
  <c r="Z488" i="7"/>
  <c r="Z490" i="7"/>
  <c r="Z458" i="7"/>
  <c r="Z456" i="7"/>
  <c r="Z454" i="7"/>
  <c r="Z468" i="7"/>
  <c r="Z452" i="7"/>
  <c r="Z450" i="7"/>
  <c r="Z466" i="7"/>
  <c r="Z448" i="7"/>
  <c r="Z460" i="7"/>
  <c r="Z462" i="7"/>
  <c r="Z464" i="7"/>
  <c r="N12" i="4" l="1"/>
  <c r="N14" i="4" s="1"/>
  <c r="N16" i="4" s="1"/>
  <c r="N18" i="4" s="1"/>
  <c r="N20" i="4" s="1"/>
  <c r="N22" i="4" s="1"/>
  <c r="N24" i="4" s="1"/>
  <c r="N26" i="4" s="1"/>
  <c r="N28" i="4" s="1"/>
  <c r="N30" i="4" s="1"/>
  <c r="N32" i="4" s="1"/>
  <c r="N34" i="4" s="1"/>
  <c r="N36" i="4" s="1"/>
  <c r="N38" i="4" s="1"/>
  <c r="N40" i="4" s="1"/>
  <c r="N42" i="4" s="1"/>
  <c r="N44" i="4" s="1"/>
  <c r="N46" i="4" s="1"/>
  <c r="N48" i="4" s="1"/>
  <c r="N50" i="4" s="1"/>
  <c r="N52" i="4" s="1"/>
  <c r="N54" i="4" s="1"/>
  <c r="N56" i="4" s="1"/>
  <c r="N58" i="4" s="1"/>
  <c r="N60" i="4" s="1"/>
  <c r="N62" i="4" s="1"/>
  <c r="N64" i="4" s="1"/>
  <c r="N76" i="4" s="1"/>
  <c r="N78" i="4" s="1"/>
  <c r="N80" i="4" s="1"/>
  <c r="N82" i="4" s="1"/>
  <c r="N84" i="4" s="1"/>
  <c r="N86" i="4" s="1"/>
  <c r="N88" i="4" s="1"/>
  <c r="N90" i="4" s="1"/>
  <c r="N92" i="4" s="1"/>
  <c r="N94" i="4" s="1"/>
  <c r="N96" i="4" s="1"/>
  <c r="N98" i="4" s="1"/>
  <c r="N100" i="4" s="1"/>
  <c r="N102" i="4" s="1"/>
  <c r="N104" i="4" s="1"/>
  <c r="N106" i="4" s="1"/>
  <c r="N108" i="4" s="1"/>
  <c r="N110" i="4" s="1"/>
  <c r="N112" i="4" s="1"/>
  <c r="N114" i="4" s="1"/>
  <c r="N116" i="4" s="1"/>
  <c r="N118" i="4" s="1"/>
  <c r="N122" i="4" s="1"/>
  <c r="N124" i="4" s="1"/>
  <c r="N126" i="4" s="1"/>
  <c r="N128" i="4" s="1"/>
  <c r="N130" i="4" s="1"/>
  <c r="N132" i="4" s="1"/>
  <c r="N134" i="4" s="1"/>
  <c r="N136" i="4" s="1"/>
  <c r="N138" i="4" s="1"/>
  <c r="N140" i="4" s="1"/>
  <c r="N142" i="4" s="1"/>
  <c r="N144" i="4" s="1"/>
  <c r="N146" i="4" s="1"/>
  <c r="N148" i="4" s="1"/>
  <c r="N150" i="4" s="1"/>
  <c r="N152" i="4" s="1"/>
  <c r="N154" i="4" s="1"/>
  <c r="N156" i="4" s="1"/>
  <c r="N158" i="4" s="1"/>
  <c r="N160" i="4" s="1"/>
  <c r="N162" i="4" s="1"/>
  <c r="N164" i="4" s="1"/>
  <c r="N166" i="4" s="1"/>
  <c r="N168" i="4" s="1"/>
  <c r="N170" i="4" s="1"/>
  <c r="N172" i="4" s="1"/>
  <c r="N174" i="4" s="1"/>
  <c r="N176" i="4" s="1"/>
  <c r="N178" i="4" s="1"/>
  <c r="N180" i="4" s="1"/>
  <c r="N182" i="4" s="1"/>
  <c r="N184" i="4" s="1"/>
  <c r="N186" i="4" s="1"/>
  <c r="N188" i="4" s="1"/>
  <c r="N190" i="4" s="1"/>
  <c r="N192" i="4" s="1"/>
  <c r="N194" i="4" s="1"/>
  <c r="N196" i="4" s="1"/>
  <c r="N198" i="4" s="1"/>
  <c r="N200" i="4" s="1"/>
  <c r="N202" i="4" s="1"/>
  <c r="N204" i="4" s="1"/>
  <c r="N206" i="4" s="1"/>
  <c r="N208" i="4" s="1"/>
  <c r="N210" i="4" s="1"/>
  <c r="N212" i="4" s="1"/>
  <c r="N214" i="4" s="1"/>
  <c r="N216" i="4" s="1"/>
  <c r="N218" i="4" s="1"/>
  <c r="N220" i="4" s="1"/>
  <c r="N222" i="4" s="1"/>
  <c r="N224" i="4" s="1"/>
  <c r="N226" i="4" s="1"/>
  <c r="N228" i="4" s="1"/>
  <c r="N230" i="4" s="1"/>
  <c r="N232" i="4" s="1"/>
  <c r="N234" i="4" s="1"/>
  <c r="N236" i="4" s="1"/>
  <c r="N238" i="4" s="1"/>
  <c r="N240" i="4" s="1"/>
  <c r="N242" i="4" s="1"/>
  <c r="N244" i="4" s="1"/>
  <c r="N246" i="4" s="1"/>
  <c r="N248" i="4" s="1"/>
  <c r="N250" i="4" s="1"/>
  <c r="N252" i="4" s="1"/>
  <c r="N254" i="4" s="1"/>
  <c r="N256" i="4" s="1"/>
  <c r="N258" i="4" s="1"/>
  <c r="N260" i="4" s="1"/>
  <c r="N262" i="4" s="1"/>
  <c r="N264" i="4" s="1"/>
  <c r="N266" i="4" s="1"/>
  <c r="N268" i="4" s="1"/>
  <c r="N271" i="4" s="1"/>
  <c r="N273" i="4" s="1"/>
  <c r="N275" i="4" s="1"/>
  <c r="N277" i="4" s="1"/>
  <c r="N279" i="4" s="1"/>
  <c r="N281" i="4" s="1"/>
  <c r="N283" i="4" s="1"/>
  <c r="N285" i="4" s="1"/>
  <c r="N287" i="4" s="1"/>
  <c r="N289" i="4" s="1"/>
  <c r="N291" i="4" s="1"/>
  <c r="N293" i="4" s="1"/>
  <c r="N295" i="4" s="1"/>
  <c r="N297" i="4" s="1"/>
  <c r="N299" i="4" s="1"/>
  <c r="N301" i="4" s="1"/>
  <c r="N303" i="4" s="1"/>
  <c r="N305" i="4" s="1"/>
  <c r="N307" i="4" s="1"/>
  <c r="N309" i="4" s="1"/>
  <c r="N311" i="4" s="1"/>
  <c r="N313" i="4" s="1"/>
  <c r="N315" i="4" s="1"/>
  <c r="N318" i="4" s="1"/>
  <c r="N320" i="4" s="1"/>
  <c r="N322" i="4" s="1"/>
  <c r="N324" i="4" s="1"/>
  <c r="N326" i="4" s="1"/>
  <c r="N328" i="4" s="1"/>
  <c r="N330" i="4" s="1"/>
  <c r="N332" i="4" s="1"/>
  <c r="N334" i="4" s="1"/>
  <c r="N336" i="4" s="1"/>
  <c r="N338" i="4" s="1"/>
  <c r="N340" i="4" s="1"/>
  <c r="N342" i="4" s="1"/>
  <c r="N344" i="4" s="1"/>
  <c r="N346" i="4" s="1"/>
  <c r="N348" i="4" s="1"/>
  <c r="N350" i="4" s="1"/>
  <c r="N352" i="4" s="1"/>
  <c r="N354" i="4" s="1"/>
  <c r="N356" i="4" s="1"/>
  <c r="N358" i="4" s="1"/>
  <c r="N360" i="4" s="1"/>
  <c r="N362" i="4" s="1"/>
  <c r="N364" i="4" s="1"/>
  <c r="N366" i="4" s="1"/>
  <c r="N368" i="4" s="1"/>
  <c r="N370" i="4" s="1"/>
  <c r="N372" i="4" s="1"/>
  <c r="N374" i="4" s="1"/>
  <c r="N376" i="4" s="1"/>
  <c r="N380" i="4" s="1"/>
  <c r="N382" i="4" s="1"/>
  <c r="N384" i="4" s="1"/>
  <c r="N386" i="4" s="1"/>
  <c r="N388" i="4" s="1"/>
  <c r="N390" i="4" s="1"/>
  <c r="N392" i="4" s="1"/>
  <c r="N394" i="4" s="1"/>
  <c r="N396" i="4" s="1"/>
  <c r="N398" i="4" s="1"/>
  <c r="N400" i="4" s="1"/>
  <c r="N402" i="4" s="1"/>
  <c r="N404" i="4" s="1"/>
  <c r="N406" i="4" s="1"/>
  <c r="N408" i="4" s="1"/>
  <c r="N410" i="4" s="1"/>
  <c r="N412" i="4" s="1"/>
  <c r="N414" i="4" s="1"/>
  <c r="N416" i="4" s="1"/>
  <c r="N418" i="4" s="1"/>
  <c r="N420" i="4" s="1"/>
  <c r="N422" i="4" s="1"/>
  <c r="N428" i="4" s="1"/>
  <c r="N432" i="4" s="1"/>
  <c r="N434" i="4" s="1"/>
  <c r="N436" i="4" s="1"/>
  <c r="N440" i="4" s="1"/>
  <c r="N442" i="4" s="1"/>
  <c r="N446" i="4" s="1"/>
  <c r="N448" i="4" s="1"/>
  <c r="N450" i="4" s="1"/>
  <c r="N452" i="4" s="1"/>
  <c r="N454" i="4" s="1"/>
  <c r="N456" i="4" s="1"/>
  <c r="N458" i="4" s="1"/>
  <c r="N460" i="4" s="1"/>
  <c r="N462" i="4" s="1"/>
  <c r="N464" i="4" s="1"/>
  <c r="N466" i="4" s="1"/>
  <c r="N468" i="4" s="1"/>
  <c r="N476" i="4" s="1"/>
  <c r="N478" i="4" s="1"/>
  <c r="N480" i="4" s="1"/>
  <c r="N482" i="4" s="1"/>
  <c r="N484" i="4" s="1"/>
  <c r="N486" i="4" s="1"/>
  <c r="N488" i="4" s="1"/>
  <c r="N490" i="4" s="1"/>
  <c r="N494" i="4" s="1"/>
  <c r="N498" i="4" s="1"/>
  <c r="N506" i="4" s="1"/>
  <c r="N508" i="4" s="1"/>
  <c r="N510" i="4" s="1"/>
  <c r="N512" i="4" s="1"/>
  <c r="N514" i="4" s="1"/>
  <c r="N516" i="4" s="1"/>
  <c r="N522" i="4" s="1"/>
  <c r="N524" i="4" s="1"/>
  <c r="N526" i="4" s="1"/>
  <c r="N528" i="4" s="1"/>
  <c r="N530" i="4" s="1"/>
  <c r="N6" i="5"/>
  <c r="N8" i="5" s="1"/>
  <c r="N10" i="5" s="1"/>
  <c r="N12" i="5" s="1"/>
  <c r="N14" i="5" s="1"/>
  <c r="N16" i="5" s="1"/>
  <c r="N18" i="5" s="1"/>
  <c r="N20" i="5" s="1"/>
  <c r="N22" i="5" s="1"/>
  <c r="N24" i="5" s="1"/>
  <c r="N26" i="5" s="1"/>
  <c r="N28" i="5" s="1"/>
  <c r="N30" i="5" s="1"/>
  <c r="N32" i="5" s="1"/>
  <c r="N34" i="5" s="1"/>
  <c r="N36" i="5" s="1"/>
  <c r="N38" i="5" s="1"/>
  <c r="N40" i="5" s="1"/>
  <c r="N42" i="5" s="1"/>
  <c r="N44" i="5" s="1"/>
  <c r="N46" i="5" s="1"/>
  <c r="N48" i="5" s="1"/>
  <c r="N50" i="5" s="1"/>
  <c r="N52" i="5" s="1"/>
  <c r="N54" i="5" s="1"/>
  <c r="N56" i="5" s="1"/>
  <c r="N58" i="5" s="1"/>
  <c r="N60" i="5" s="1"/>
  <c r="N62" i="5" s="1"/>
  <c r="N64" i="5" s="1"/>
  <c r="N76" i="5" s="1"/>
  <c r="N78" i="5" s="1"/>
  <c r="N80" i="5" s="1"/>
  <c r="N82" i="5" s="1"/>
  <c r="N84" i="5" s="1"/>
  <c r="N86" i="5" s="1"/>
  <c r="N88" i="5" s="1"/>
  <c r="N90" i="5" s="1"/>
  <c r="N92" i="5" s="1"/>
  <c r="N94" i="5" s="1"/>
  <c r="N96" i="5" s="1"/>
  <c r="N98" i="5" s="1"/>
  <c r="N100" i="5" s="1"/>
  <c r="N102" i="5" s="1"/>
  <c r="N104" i="5" s="1"/>
  <c r="N106" i="5" s="1"/>
  <c r="N108" i="5" s="1"/>
  <c r="N110" i="5" s="1"/>
  <c r="N112" i="5" s="1"/>
  <c r="N114" i="5" s="1"/>
  <c r="N116" i="5" s="1"/>
  <c r="N118" i="5" s="1"/>
  <c r="N122" i="5" s="1"/>
  <c r="N124" i="5" s="1"/>
  <c r="N126" i="5" s="1"/>
  <c r="N128" i="5" s="1"/>
  <c r="N130" i="5" s="1"/>
  <c r="N132" i="5" s="1"/>
  <c r="N134" i="5" s="1"/>
  <c r="N136" i="5" s="1"/>
  <c r="N138" i="5" s="1"/>
  <c r="N140" i="5" s="1"/>
  <c r="N142" i="5" s="1"/>
  <c r="N144" i="5" s="1"/>
  <c r="N146" i="5" s="1"/>
  <c r="N148" i="5" s="1"/>
  <c r="N150" i="5" s="1"/>
  <c r="N152" i="5" s="1"/>
  <c r="N154" i="5" s="1"/>
  <c r="N156" i="5" s="1"/>
  <c r="N158" i="5" s="1"/>
  <c r="N160" i="5" s="1"/>
  <c r="N162" i="5" s="1"/>
  <c r="N164" i="5" s="1"/>
  <c r="N166" i="5" s="1"/>
  <c r="N168" i="5" s="1"/>
  <c r="N170" i="5" s="1"/>
  <c r="N172" i="5" s="1"/>
  <c r="N174" i="5" s="1"/>
  <c r="N176" i="5" s="1"/>
  <c r="N178" i="5" s="1"/>
  <c r="N180" i="5" s="1"/>
  <c r="N182" i="5" s="1"/>
  <c r="N184" i="5" s="1"/>
  <c r="N186" i="5" s="1"/>
  <c r="N188" i="5" s="1"/>
  <c r="N190" i="5" s="1"/>
  <c r="N192" i="5" s="1"/>
  <c r="N194" i="5" s="1"/>
  <c r="N196" i="5" s="1"/>
  <c r="N198" i="5" s="1"/>
  <c r="N200" i="5" s="1"/>
  <c r="N202" i="5" s="1"/>
  <c r="N204" i="5" s="1"/>
  <c r="N206" i="5" s="1"/>
  <c r="N208" i="5" s="1"/>
  <c r="N210" i="5" s="1"/>
  <c r="N212" i="5" s="1"/>
  <c r="N214" i="5" s="1"/>
  <c r="N216" i="5" s="1"/>
  <c r="N218" i="5" s="1"/>
  <c r="N220" i="5" s="1"/>
  <c r="N222" i="5" s="1"/>
  <c r="N224" i="5" s="1"/>
  <c r="N226" i="5" s="1"/>
  <c r="N228" i="5" s="1"/>
  <c r="N230" i="5" s="1"/>
  <c r="N232" i="5" s="1"/>
  <c r="N234" i="5" s="1"/>
  <c r="N236" i="5" s="1"/>
  <c r="N238" i="5" s="1"/>
  <c r="N240" i="5" s="1"/>
  <c r="N242" i="5" s="1"/>
  <c r="N244" i="5" s="1"/>
  <c r="N246" i="5" s="1"/>
  <c r="N248" i="5" s="1"/>
  <c r="N250" i="5" s="1"/>
  <c r="N252" i="5" s="1"/>
  <c r="N254" i="5" s="1"/>
  <c r="N256" i="5" s="1"/>
  <c r="N258" i="5" s="1"/>
  <c r="N260" i="5" s="1"/>
  <c r="N262" i="5" s="1"/>
  <c r="N264" i="5" s="1"/>
  <c r="N266" i="5" s="1"/>
  <c r="N268" i="5" s="1"/>
  <c r="N271" i="5" s="1"/>
  <c r="N273" i="5" s="1"/>
  <c r="N275" i="5" s="1"/>
  <c r="N277" i="5" s="1"/>
  <c r="N279" i="5" s="1"/>
  <c r="N281" i="5" s="1"/>
  <c r="N283" i="5" s="1"/>
  <c r="N285" i="5" s="1"/>
  <c r="N287" i="5" s="1"/>
  <c r="N289" i="5" s="1"/>
  <c r="N291" i="5" s="1"/>
  <c r="N293" i="5" s="1"/>
  <c r="N295" i="5" s="1"/>
  <c r="N297" i="5" s="1"/>
  <c r="N299" i="5" s="1"/>
  <c r="N301" i="5" s="1"/>
  <c r="N303" i="5" s="1"/>
  <c r="N305" i="5" s="1"/>
  <c r="N307" i="5" s="1"/>
  <c r="N309" i="5" s="1"/>
  <c r="N311" i="5" s="1"/>
  <c r="N313" i="5" s="1"/>
  <c r="N315" i="5" s="1"/>
  <c r="N318" i="5" s="1"/>
  <c r="N320" i="5" s="1"/>
  <c r="N322" i="5" s="1"/>
  <c r="N324" i="5" s="1"/>
  <c r="N326" i="5" s="1"/>
  <c r="N328" i="5" s="1"/>
  <c r="N330" i="5" s="1"/>
  <c r="N332" i="5" s="1"/>
  <c r="N334" i="5" s="1"/>
  <c r="N336" i="5" s="1"/>
  <c r="N338" i="5" s="1"/>
  <c r="N340" i="5" s="1"/>
  <c r="N342" i="5" s="1"/>
  <c r="N344" i="5" s="1"/>
  <c r="N346" i="5" s="1"/>
  <c r="N348" i="5" s="1"/>
  <c r="N350" i="5" s="1"/>
  <c r="N352" i="5" s="1"/>
  <c r="N354" i="5" s="1"/>
  <c r="N356" i="5" s="1"/>
  <c r="N358" i="5" s="1"/>
  <c r="N360" i="5" s="1"/>
  <c r="N362" i="5" s="1"/>
  <c r="N364" i="5" s="1"/>
  <c r="N366" i="5" s="1"/>
  <c r="N368" i="5" s="1"/>
  <c r="N370" i="5" s="1"/>
  <c r="N372" i="5" s="1"/>
  <c r="N374" i="5" s="1"/>
  <c r="N376" i="5" s="1"/>
  <c r="N380" i="5" s="1"/>
  <c r="N382" i="5" s="1"/>
  <c r="N384" i="5" s="1"/>
  <c r="N386" i="5" s="1"/>
  <c r="N388" i="5" s="1"/>
  <c r="N390" i="5" s="1"/>
  <c r="N392" i="5" s="1"/>
  <c r="N394" i="5" s="1"/>
  <c r="N396" i="5" s="1"/>
  <c r="N398" i="5" s="1"/>
  <c r="N400" i="5" s="1"/>
  <c r="N402" i="5" s="1"/>
  <c r="N404" i="5" s="1"/>
  <c r="N406" i="5" s="1"/>
  <c r="N408" i="5" s="1"/>
  <c r="N410" i="5" s="1"/>
  <c r="N412" i="5" s="1"/>
  <c r="N414" i="5" s="1"/>
  <c r="N416" i="5" s="1"/>
  <c r="N418" i="5" s="1"/>
  <c r="N420" i="5" s="1"/>
  <c r="N422" i="5" s="1"/>
  <c r="N428" i="5" s="1"/>
  <c r="N432" i="5" s="1"/>
  <c r="N434" i="5" s="1"/>
  <c r="N436" i="5" s="1"/>
  <c r="N440" i="5" s="1"/>
  <c r="N442" i="5" s="1"/>
  <c r="N446" i="5" s="1"/>
  <c r="N448" i="5" s="1"/>
  <c r="N450" i="5" s="1"/>
  <c r="N452" i="5" s="1"/>
  <c r="N454" i="5" s="1"/>
  <c r="N456" i="5" s="1"/>
  <c r="N458" i="5" s="1"/>
  <c r="N460" i="5" s="1"/>
  <c r="N462" i="5" s="1"/>
  <c r="N464" i="5" s="1"/>
  <c r="N466" i="5" s="1"/>
  <c r="N468" i="5" s="1"/>
  <c r="N476" i="5" s="1"/>
  <c r="N478" i="5" s="1"/>
  <c r="N480" i="5" s="1"/>
  <c r="N482" i="5" s="1"/>
  <c r="N484" i="5" s="1"/>
  <c r="N486" i="5" s="1"/>
  <c r="N488" i="5" s="1"/>
  <c r="N490" i="5" s="1"/>
  <c r="N494" i="5" s="1"/>
  <c r="N498" i="5" s="1"/>
  <c r="N506" i="5" s="1"/>
  <c r="N508" i="5" s="1"/>
  <c r="N510" i="5" s="1"/>
  <c r="N512" i="5" s="1"/>
  <c r="N514" i="5" s="1"/>
  <c r="N516" i="5" s="1"/>
  <c r="N522" i="5" s="1"/>
  <c r="N524" i="5" s="1"/>
  <c r="N526" i="5" s="1"/>
  <c r="N528" i="5" s="1"/>
  <c r="N530" i="5" s="1"/>
  <c r="N8" i="6"/>
  <c r="N10" i="6" s="1"/>
  <c r="N12" i="6" s="1"/>
  <c r="N14" i="6" s="1"/>
  <c r="N16" i="6" s="1"/>
  <c r="N18" i="6" s="1"/>
  <c r="N20" i="6" s="1"/>
  <c r="N22" i="6" s="1"/>
  <c r="N24" i="6" s="1"/>
  <c r="N26" i="6" s="1"/>
  <c r="N28" i="6" s="1"/>
  <c r="N30" i="6" s="1"/>
  <c r="N32" i="6" s="1"/>
  <c r="N34" i="6" s="1"/>
  <c r="N36" i="6" s="1"/>
  <c r="N38" i="6" s="1"/>
  <c r="N40" i="6" s="1"/>
  <c r="N42" i="6" s="1"/>
  <c r="N44" i="6" s="1"/>
  <c r="N46" i="6" s="1"/>
  <c r="N48" i="6" s="1"/>
  <c r="N50" i="6" s="1"/>
  <c r="N52" i="6" s="1"/>
  <c r="N54" i="6" s="1"/>
  <c r="N56" i="6" s="1"/>
  <c r="N58" i="6" s="1"/>
  <c r="N60" i="6" s="1"/>
  <c r="N62" i="6" s="1"/>
  <c r="N64" i="6" s="1"/>
  <c r="N76" i="6" s="1"/>
  <c r="N78" i="6" s="1"/>
  <c r="N80" i="6" s="1"/>
  <c r="N82" i="6" s="1"/>
  <c r="N84" i="6" s="1"/>
  <c r="N86" i="6" s="1"/>
  <c r="N88" i="6" s="1"/>
  <c r="N90" i="6" s="1"/>
  <c r="N92" i="6" s="1"/>
  <c r="N94" i="6" s="1"/>
  <c r="N96" i="6" s="1"/>
  <c r="N98" i="6" s="1"/>
  <c r="N100" i="6" s="1"/>
  <c r="N102" i="6" s="1"/>
  <c r="N104" i="6" s="1"/>
  <c r="N106" i="6" s="1"/>
  <c r="N108" i="6" s="1"/>
  <c r="N110" i="6" s="1"/>
  <c r="N112" i="6" s="1"/>
  <c r="N114" i="6" s="1"/>
  <c r="N116" i="6" s="1"/>
  <c r="N118" i="6" s="1"/>
  <c r="N122" i="6" s="1"/>
  <c r="N124" i="6" s="1"/>
  <c r="N126" i="6" s="1"/>
  <c r="N128" i="6" s="1"/>
  <c r="N130" i="6" s="1"/>
  <c r="N132" i="6" s="1"/>
  <c r="N134" i="6" s="1"/>
  <c r="N136" i="6" s="1"/>
  <c r="N138" i="6" s="1"/>
  <c r="N140" i="6" s="1"/>
  <c r="N142" i="6" s="1"/>
  <c r="N144" i="6" s="1"/>
  <c r="N146" i="6" s="1"/>
  <c r="N148" i="6" s="1"/>
  <c r="N150" i="6" s="1"/>
  <c r="N152" i="6" s="1"/>
  <c r="N154" i="6" s="1"/>
  <c r="N156" i="6" s="1"/>
  <c r="N158" i="6" s="1"/>
  <c r="N160" i="6" s="1"/>
  <c r="N162" i="6" s="1"/>
  <c r="N164" i="6" s="1"/>
  <c r="N166" i="6" s="1"/>
  <c r="N168" i="6" s="1"/>
  <c r="N170" i="6" s="1"/>
  <c r="N172" i="6" s="1"/>
  <c r="N174" i="6" s="1"/>
  <c r="N176" i="6" s="1"/>
  <c r="N178" i="6" s="1"/>
  <c r="N180" i="6" s="1"/>
  <c r="N182" i="6" s="1"/>
  <c r="N184" i="6" s="1"/>
  <c r="N186" i="6" s="1"/>
  <c r="N188" i="6" s="1"/>
  <c r="N190" i="6" s="1"/>
  <c r="N192" i="6" s="1"/>
  <c r="N194" i="6" s="1"/>
  <c r="N196" i="6" s="1"/>
  <c r="N198" i="6" s="1"/>
  <c r="N200" i="6" s="1"/>
  <c r="N202" i="6" s="1"/>
  <c r="N204" i="6" s="1"/>
  <c r="N206" i="6" s="1"/>
  <c r="N208" i="6" s="1"/>
  <c r="N210" i="6" s="1"/>
  <c r="N212" i="6" s="1"/>
  <c r="N214" i="6" s="1"/>
  <c r="N216" i="6" s="1"/>
  <c r="N218" i="6" s="1"/>
  <c r="N220" i="6" s="1"/>
  <c r="N222" i="6" s="1"/>
  <c r="N224" i="6" s="1"/>
  <c r="N226" i="6" s="1"/>
  <c r="N228" i="6" s="1"/>
  <c r="N230" i="6" s="1"/>
  <c r="N232" i="6" s="1"/>
  <c r="N234" i="6" s="1"/>
  <c r="N236" i="6" s="1"/>
  <c r="N238" i="6" s="1"/>
  <c r="N240" i="6" s="1"/>
  <c r="N242" i="6" s="1"/>
  <c r="N244" i="6" s="1"/>
  <c r="N246" i="6" s="1"/>
  <c r="N248" i="6" s="1"/>
  <c r="N250" i="6" s="1"/>
  <c r="N252" i="6" s="1"/>
  <c r="N254" i="6" s="1"/>
  <c r="N256" i="6" s="1"/>
  <c r="N258" i="6" s="1"/>
  <c r="N260" i="6" s="1"/>
  <c r="N262" i="6" s="1"/>
  <c r="N264" i="6" s="1"/>
  <c r="N266" i="6" s="1"/>
  <c r="N268" i="6" s="1"/>
  <c r="N271" i="6" s="1"/>
  <c r="N273" i="6" s="1"/>
  <c r="N275" i="6" s="1"/>
  <c r="N277" i="6" s="1"/>
  <c r="N279" i="6" s="1"/>
  <c r="N281" i="6" s="1"/>
  <c r="N283" i="6" s="1"/>
  <c r="N285" i="6" s="1"/>
  <c r="N287" i="6" s="1"/>
  <c r="N289" i="6" s="1"/>
  <c r="N291" i="6" s="1"/>
  <c r="N293" i="6" s="1"/>
  <c r="N295" i="6" s="1"/>
  <c r="N297" i="6" s="1"/>
  <c r="N299" i="6" s="1"/>
  <c r="N301" i="6" s="1"/>
  <c r="N303" i="6" s="1"/>
  <c r="N305" i="6" s="1"/>
  <c r="N307" i="6" s="1"/>
  <c r="N309" i="6" s="1"/>
  <c r="N311" i="6" s="1"/>
  <c r="N313" i="6" s="1"/>
  <c r="N315" i="6" s="1"/>
  <c r="N318" i="6" s="1"/>
  <c r="N320" i="6" s="1"/>
  <c r="N322" i="6" s="1"/>
  <c r="N324" i="6" s="1"/>
  <c r="N326" i="6" s="1"/>
  <c r="N328" i="6" s="1"/>
  <c r="N330" i="6" s="1"/>
  <c r="N332" i="6" s="1"/>
  <c r="N334" i="6" s="1"/>
  <c r="N336" i="6" s="1"/>
  <c r="N338" i="6" s="1"/>
  <c r="N340" i="6" s="1"/>
  <c r="N342" i="6" s="1"/>
  <c r="N344" i="6" s="1"/>
  <c r="N346" i="6" s="1"/>
  <c r="N348" i="6" s="1"/>
  <c r="N350" i="6" s="1"/>
  <c r="N352" i="6" s="1"/>
  <c r="N354" i="6" s="1"/>
  <c r="N356" i="6" s="1"/>
  <c r="N358" i="6" s="1"/>
  <c r="N360" i="6" s="1"/>
  <c r="N362" i="6" s="1"/>
  <c r="N364" i="6" s="1"/>
  <c r="N366" i="6" s="1"/>
  <c r="N368" i="6" s="1"/>
  <c r="N370" i="6" s="1"/>
  <c r="N372" i="6" s="1"/>
  <c r="N374" i="6" s="1"/>
  <c r="N376" i="6" s="1"/>
  <c r="N380" i="6" s="1"/>
  <c r="N382" i="6" s="1"/>
  <c r="N384" i="6" s="1"/>
  <c r="N386" i="6" s="1"/>
  <c r="N388" i="6" s="1"/>
  <c r="N390" i="6" s="1"/>
  <c r="N392" i="6" s="1"/>
  <c r="N394" i="6" s="1"/>
  <c r="N396" i="6" s="1"/>
  <c r="N398" i="6" s="1"/>
  <c r="N400" i="6" s="1"/>
  <c r="N402" i="6" s="1"/>
  <c r="N404" i="6" s="1"/>
  <c r="N406" i="6" s="1"/>
  <c r="N408" i="6" s="1"/>
  <c r="N410" i="6" s="1"/>
  <c r="N412" i="6" s="1"/>
  <c r="N414" i="6" s="1"/>
  <c r="N416" i="6" s="1"/>
  <c r="N418" i="6" s="1"/>
  <c r="N420" i="6" s="1"/>
  <c r="N422" i="6" s="1"/>
  <c r="N428" i="6" s="1"/>
  <c r="N432" i="6" s="1"/>
  <c r="N434" i="6" s="1"/>
  <c r="N436" i="6" s="1"/>
  <c r="N440" i="6" s="1"/>
  <c r="N442" i="6" s="1"/>
  <c r="N446" i="6" s="1"/>
  <c r="N448" i="6" s="1"/>
  <c r="N450" i="6" s="1"/>
  <c r="N452" i="6" s="1"/>
  <c r="N454" i="6" s="1"/>
  <c r="N456" i="6" s="1"/>
  <c r="N458" i="6" s="1"/>
  <c r="N460" i="6" s="1"/>
  <c r="N462" i="6" s="1"/>
  <c r="N464" i="6" s="1"/>
  <c r="N466" i="6" s="1"/>
  <c r="N468" i="6" s="1"/>
  <c r="N476" i="6" s="1"/>
  <c r="N478" i="6" s="1"/>
  <c r="N480" i="6" s="1"/>
  <c r="N482" i="6" s="1"/>
  <c r="N484" i="6" s="1"/>
  <c r="N486" i="6" s="1"/>
  <c r="N488" i="6" s="1"/>
  <c r="N490" i="6" s="1"/>
  <c r="N494" i="6" s="1"/>
  <c r="N498" i="6" s="1"/>
  <c r="N506" i="6" s="1"/>
  <c r="N508" i="6" s="1"/>
  <c r="N510" i="6" s="1"/>
  <c r="N512" i="6" s="1"/>
  <c r="N514" i="6" s="1"/>
  <c r="N516" i="6" s="1"/>
  <c r="N522" i="6" s="1"/>
  <c r="N524" i="6" s="1"/>
  <c r="N526" i="6" s="1"/>
  <c r="N528" i="6" s="1"/>
  <c r="N530" i="6" s="1"/>
  <c r="N534" i="6" s="1"/>
  <c r="N536" i="6" s="1"/>
  <c r="N538" i="6" s="1"/>
  <c r="N540" i="6" s="1"/>
  <c r="N542" i="6" s="1"/>
  <c r="N568" i="6" s="1"/>
  <c r="J494" i="4"/>
  <c r="L494" i="4" s="1"/>
  <c r="I494" i="4"/>
  <c r="J490" i="4"/>
  <c r="L490" i="4" s="1"/>
  <c r="I490" i="4"/>
  <c r="J488" i="4"/>
  <c r="L488" i="4" s="1"/>
  <c r="I488" i="4"/>
  <c r="J486" i="4"/>
  <c r="L486" i="4" s="1"/>
  <c r="I486" i="4"/>
  <c r="J484" i="4"/>
  <c r="L484" i="4" s="1"/>
  <c r="I484" i="4"/>
  <c r="L482" i="4"/>
  <c r="J482" i="4"/>
  <c r="I482" i="4"/>
  <c r="J480" i="4"/>
  <c r="L480" i="4" s="1"/>
  <c r="I480" i="4"/>
  <c r="J478" i="4"/>
  <c r="L478" i="4" s="1"/>
  <c r="I478" i="4"/>
  <c r="J476" i="4"/>
  <c r="L476" i="4" s="1"/>
  <c r="I476" i="4"/>
  <c r="J494" i="5"/>
  <c r="L494" i="5" s="1"/>
  <c r="I494" i="5"/>
  <c r="J490" i="5"/>
  <c r="L490" i="5" s="1"/>
  <c r="I490" i="5"/>
  <c r="J488" i="5"/>
  <c r="L488" i="5" s="1"/>
  <c r="I488" i="5"/>
  <c r="J486" i="5"/>
  <c r="L486" i="5" s="1"/>
  <c r="I486" i="5"/>
  <c r="J484" i="5"/>
  <c r="L484" i="5" s="1"/>
  <c r="I484" i="5"/>
  <c r="L482" i="5"/>
  <c r="J482" i="5"/>
  <c r="I482" i="5"/>
  <c r="J480" i="5"/>
  <c r="L480" i="5" s="1"/>
  <c r="I480" i="5"/>
  <c r="J478" i="5"/>
  <c r="L478" i="5" s="1"/>
  <c r="I478" i="5"/>
  <c r="J476" i="5"/>
  <c r="L476" i="5" s="1"/>
  <c r="I476" i="5"/>
  <c r="J494" i="6"/>
  <c r="I494" i="6"/>
  <c r="L494" i="6" s="1"/>
  <c r="J490" i="6"/>
  <c r="L490" i="6" s="1"/>
  <c r="I490" i="6"/>
  <c r="J488" i="6"/>
  <c r="L488" i="6" s="1"/>
  <c r="I488" i="6"/>
  <c r="J486" i="6"/>
  <c r="L486" i="6" s="1"/>
  <c r="I486" i="6"/>
  <c r="J484" i="6"/>
  <c r="L484" i="6" s="1"/>
  <c r="I484" i="6"/>
  <c r="L482" i="6"/>
  <c r="J482" i="6"/>
  <c r="I482" i="6"/>
  <c r="J480" i="6"/>
  <c r="L480" i="6" s="1"/>
  <c r="I480" i="6"/>
  <c r="J478" i="6"/>
  <c r="L478" i="6" s="1"/>
  <c r="I478" i="6"/>
  <c r="J476" i="6"/>
  <c r="I476" i="6"/>
  <c r="L476" i="6" s="1"/>
  <c r="J494" i="7"/>
  <c r="L494" i="7" s="1"/>
  <c r="I494" i="7"/>
  <c r="J490" i="7"/>
  <c r="I490" i="7"/>
  <c r="L490" i="7" s="1"/>
  <c r="J488" i="7"/>
  <c r="L488" i="7" s="1"/>
  <c r="I488" i="7"/>
  <c r="J486" i="7"/>
  <c r="I486" i="7"/>
  <c r="J484" i="7"/>
  <c r="I484" i="7"/>
  <c r="J482" i="7"/>
  <c r="I482" i="7"/>
  <c r="J480" i="7"/>
  <c r="I480" i="7"/>
  <c r="Z480" i="7" s="1"/>
  <c r="J478" i="7"/>
  <c r="I478" i="7"/>
  <c r="Z478" i="7" s="1"/>
  <c r="J476" i="7"/>
  <c r="L476" i="7" s="1"/>
  <c r="I476" i="7"/>
  <c r="Z476" i="7" s="1"/>
  <c r="J422" i="7"/>
  <c r="I422" i="7"/>
  <c r="Z422" i="7" s="1"/>
  <c r="J420" i="7"/>
  <c r="L420" i="7" s="1"/>
  <c r="I420" i="7"/>
  <c r="Z420" i="7" s="1"/>
  <c r="J422" i="6"/>
  <c r="L422" i="6" s="1"/>
  <c r="I422" i="6"/>
  <c r="J420" i="6"/>
  <c r="I420" i="6"/>
  <c r="L420" i="6" s="1"/>
  <c r="J422" i="5"/>
  <c r="L422" i="5" s="1"/>
  <c r="I422" i="5"/>
  <c r="J420" i="5"/>
  <c r="L420" i="5" s="1"/>
  <c r="I420" i="5"/>
  <c r="J422" i="4"/>
  <c r="L422" i="4" s="1"/>
  <c r="I422" i="4"/>
  <c r="J420" i="4"/>
  <c r="L420" i="4" s="1"/>
  <c r="I420" i="4"/>
  <c r="J446" i="7"/>
  <c r="I446" i="7"/>
  <c r="Z446" i="7" s="1"/>
  <c r="J442" i="7"/>
  <c r="L442" i="7" s="1"/>
  <c r="I442" i="7"/>
  <c r="Z442" i="7" s="1"/>
  <c r="J440" i="7"/>
  <c r="L440" i="7" s="1"/>
  <c r="I440" i="7"/>
  <c r="Z440" i="7" s="1"/>
  <c r="J436" i="7"/>
  <c r="I436" i="7"/>
  <c r="Z436" i="7" s="1"/>
  <c r="J434" i="7"/>
  <c r="I434" i="7"/>
  <c r="Z434" i="7" s="1"/>
  <c r="L432" i="7"/>
  <c r="J432" i="7"/>
  <c r="I432" i="7"/>
  <c r="Z432" i="7" s="1"/>
  <c r="J428" i="7"/>
  <c r="I428" i="7"/>
  <c r="Z428" i="7" s="1"/>
  <c r="J446" i="6"/>
  <c r="L446" i="6" s="1"/>
  <c r="I446" i="6"/>
  <c r="J442" i="6"/>
  <c r="L442" i="6" s="1"/>
  <c r="I442" i="6"/>
  <c r="J440" i="6"/>
  <c r="L440" i="6" s="1"/>
  <c r="I440" i="6"/>
  <c r="J436" i="6"/>
  <c r="L436" i="6" s="1"/>
  <c r="I436" i="6"/>
  <c r="J434" i="6"/>
  <c r="L434" i="6" s="1"/>
  <c r="I434" i="6"/>
  <c r="L432" i="6"/>
  <c r="J432" i="6"/>
  <c r="I432" i="6"/>
  <c r="J428" i="6"/>
  <c r="L428" i="6" s="1"/>
  <c r="I428" i="6"/>
  <c r="J446" i="5"/>
  <c r="L446" i="5" s="1"/>
  <c r="I446" i="5"/>
  <c r="J442" i="5"/>
  <c r="L442" i="5" s="1"/>
  <c r="I442" i="5"/>
  <c r="J440" i="5"/>
  <c r="L440" i="5" s="1"/>
  <c r="I440" i="5"/>
  <c r="J436" i="5"/>
  <c r="L436" i="5" s="1"/>
  <c r="I436" i="5"/>
  <c r="J434" i="5"/>
  <c r="L434" i="5" s="1"/>
  <c r="I434" i="5"/>
  <c r="L432" i="5"/>
  <c r="J432" i="5"/>
  <c r="I432" i="5"/>
  <c r="J428" i="5"/>
  <c r="L428" i="5" s="1"/>
  <c r="I428" i="5"/>
  <c r="J446" i="4"/>
  <c r="L446" i="4" s="1"/>
  <c r="I446" i="4"/>
  <c r="J442" i="4"/>
  <c r="L442" i="4" s="1"/>
  <c r="I442" i="4"/>
  <c r="J440" i="4"/>
  <c r="I440" i="4"/>
  <c r="L440" i="4" s="1"/>
  <c r="J436" i="4"/>
  <c r="I436" i="4"/>
  <c r="L436" i="4" s="1"/>
  <c r="J434" i="4"/>
  <c r="L434" i="4" s="1"/>
  <c r="I434" i="4"/>
  <c r="J432" i="4"/>
  <c r="L432" i="4" s="1"/>
  <c r="I432" i="4"/>
  <c r="J428" i="4"/>
  <c r="L428" i="4" s="1"/>
  <c r="I428" i="4"/>
  <c r="N534" i="4" l="1"/>
  <c r="N536" i="4" s="1"/>
  <c r="N538" i="4" s="1"/>
  <c r="N540" i="4" s="1"/>
  <c r="N542" i="4" s="1"/>
  <c r="N568" i="4" s="1"/>
  <c r="N534" i="5"/>
  <c r="N536" i="5" s="1"/>
  <c r="N538" i="5" s="1"/>
  <c r="N540" i="5" s="1"/>
  <c r="N542" i="5" s="1"/>
  <c r="N568" i="5" s="1"/>
  <c r="N570" i="5" s="1"/>
  <c r="N572" i="5" s="1"/>
  <c r="N574" i="5" s="1"/>
  <c r="N576" i="5" s="1"/>
  <c r="N578" i="5" s="1"/>
  <c r="N580" i="5" s="1"/>
  <c r="N582" i="5" s="1"/>
  <c r="N584" i="5" s="1"/>
  <c r="N586" i="5" s="1"/>
  <c r="N588" i="5" s="1"/>
  <c r="N590" i="5" s="1"/>
  <c r="N592" i="5" s="1"/>
  <c r="N594" i="5" s="1"/>
  <c r="N598" i="5" s="1"/>
  <c r="N600" i="5" s="1"/>
  <c r="L480" i="7"/>
  <c r="L422" i="7"/>
  <c r="L436" i="7"/>
  <c r="L446" i="7"/>
  <c r="L482" i="7"/>
  <c r="L428" i="7"/>
  <c r="L484" i="7"/>
  <c r="L434" i="7"/>
  <c r="L478" i="7"/>
  <c r="L486" i="7"/>
  <c r="J418" i="4"/>
  <c r="I418" i="4"/>
  <c r="J416" i="4"/>
  <c r="I416" i="4"/>
  <c r="J414" i="4"/>
  <c r="I414" i="4"/>
  <c r="J412" i="4"/>
  <c r="I412" i="4"/>
  <c r="J410" i="4"/>
  <c r="L410" i="4" s="1"/>
  <c r="I410" i="4"/>
  <c r="J408" i="4"/>
  <c r="I408" i="4"/>
  <c r="J406" i="4"/>
  <c r="L406" i="4" s="1"/>
  <c r="I406" i="4"/>
  <c r="J404" i="4"/>
  <c r="L404" i="4" s="1"/>
  <c r="I404" i="4"/>
  <c r="J402" i="4"/>
  <c r="I402" i="4"/>
  <c r="J400" i="4"/>
  <c r="I400" i="4"/>
  <c r="J398" i="4"/>
  <c r="L398" i="4" s="1"/>
  <c r="I398" i="4"/>
  <c r="J396" i="4"/>
  <c r="L396" i="4" s="1"/>
  <c r="I396" i="4"/>
  <c r="J394" i="4"/>
  <c r="L394" i="4" s="1"/>
  <c r="I394" i="4"/>
  <c r="L392" i="4"/>
  <c r="J392" i="4"/>
  <c r="I392" i="4"/>
  <c r="J390" i="4"/>
  <c r="L390" i="4" s="1"/>
  <c r="I390" i="4"/>
  <c r="J388" i="4"/>
  <c r="L388" i="4" s="1"/>
  <c r="I388" i="4"/>
  <c r="J386" i="4"/>
  <c r="L386" i="4" s="1"/>
  <c r="I386" i="4"/>
  <c r="J384" i="4"/>
  <c r="I384" i="4"/>
  <c r="L384" i="4" s="1"/>
  <c r="J382" i="4"/>
  <c r="L382" i="4" s="1"/>
  <c r="I382" i="4"/>
  <c r="J380" i="4"/>
  <c r="L380" i="4" s="1"/>
  <c r="I380" i="4"/>
  <c r="J376" i="4"/>
  <c r="L376" i="4" s="1"/>
  <c r="I376" i="4"/>
  <c r="J418" i="5"/>
  <c r="I418" i="5"/>
  <c r="J416" i="5"/>
  <c r="L416" i="5" s="1"/>
  <c r="I416" i="5"/>
  <c r="J414" i="5"/>
  <c r="I414" i="5"/>
  <c r="J412" i="5"/>
  <c r="I412" i="5"/>
  <c r="J410" i="5"/>
  <c r="L410" i="5" s="1"/>
  <c r="I410" i="5"/>
  <c r="L408" i="5"/>
  <c r="J408" i="5"/>
  <c r="I408" i="5"/>
  <c r="J406" i="5"/>
  <c r="L406" i="5" s="1"/>
  <c r="I406" i="5"/>
  <c r="J404" i="5"/>
  <c r="L404" i="5" s="1"/>
  <c r="I404" i="5"/>
  <c r="J402" i="5"/>
  <c r="I402" i="5"/>
  <c r="J400" i="5"/>
  <c r="I400" i="5"/>
  <c r="J398" i="5"/>
  <c r="L398" i="5" s="1"/>
  <c r="I398" i="5"/>
  <c r="J396" i="5"/>
  <c r="L396" i="5" s="1"/>
  <c r="I396" i="5"/>
  <c r="J394" i="5"/>
  <c r="L394" i="5" s="1"/>
  <c r="I394" i="5"/>
  <c r="L392" i="5"/>
  <c r="J392" i="5"/>
  <c r="I392" i="5"/>
  <c r="J390" i="5"/>
  <c r="L390" i="5" s="1"/>
  <c r="I390" i="5"/>
  <c r="J388" i="5"/>
  <c r="L388" i="5" s="1"/>
  <c r="I388" i="5"/>
  <c r="J386" i="5"/>
  <c r="L386" i="5" s="1"/>
  <c r="I386" i="5"/>
  <c r="J384" i="5"/>
  <c r="L384" i="5" s="1"/>
  <c r="I384" i="5"/>
  <c r="J382" i="5"/>
  <c r="L382" i="5" s="1"/>
  <c r="I382" i="5"/>
  <c r="J380" i="5"/>
  <c r="L380" i="5" s="1"/>
  <c r="I380" i="5"/>
  <c r="J376" i="5"/>
  <c r="L376" i="5" s="1"/>
  <c r="I376" i="5"/>
  <c r="J418" i="6"/>
  <c r="L418" i="6" s="1"/>
  <c r="I418" i="6"/>
  <c r="J416" i="6"/>
  <c r="L416" i="6" s="1"/>
  <c r="I416" i="6"/>
  <c r="J414" i="6"/>
  <c r="L414" i="6" s="1"/>
  <c r="I414" i="6"/>
  <c r="J412" i="6"/>
  <c r="I412" i="6"/>
  <c r="J410" i="6"/>
  <c r="L410" i="6" s="1"/>
  <c r="I410" i="6"/>
  <c r="J408" i="6"/>
  <c r="I408" i="6"/>
  <c r="J406" i="6"/>
  <c r="I406" i="6"/>
  <c r="J404" i="6"/>
  <c r="I404" i="6"/>
  <c r="J402" i="6"/>
  <c r="I402" i="6"/>
  <c r="J400" i="6"/>
  <c r="I400" i="6"/>
  <c r="J398" i="6"/>
  <c r="L398" i="6" s="1"/>
  <c r="I398" i="6"/>
  <c r="J396" i="6"/>
  <c r="L396" i="6" s="1"/>
  <c r="I396" i="6"/>
  <c r="J394" i="6"/>
  <c r="L394" i="6" s="1"/>
  <c r="I394" i="6"/>
  <c r="L392" i="6"/>
  <c r="J392" i="6"/>
  <c r="I392" i="6"/>
  <c r="J390" i="6"/>
  <c r="L390" i="6" s="1"/>
  <c r="I390" i="6"/>
  <c r="J388" i="6"/>
  <c r="L388" i="6" s="1"/>
  <c r="I388" i="6"/>
  <c r="J386" i="6"/>
  <c r="L386" i="6" s="1"/>
  <c r="I386" i="6"/>
  <c r="J384" i="6"/>
  <c r="L384" i="6" s="1"/>
  <c r="I384" i="6"/>
  <c r="J382" i="6"/>
  <c r="L382" i="6" s="1"/>
  <c r="I382" i="6"/>
  <c r="J380" i="6"/>
  <c r="L380" i="6" s="1"/>
  <c r="I380" i="6"/>
  <c r="J376" i="6"/>
  <c r="L376" i="6" s="1"/>
  <c r="I376" i="6"/>
  <c r="J418" i="7"/>
  <c r="I418" i="7"/>
  <c r="Z418" i="7" s="1"/>
  <c r="J416" i="7"/>
  <c r="L416" i="7" s="1"/>
  <c r="I416" i="7"/>
  <c r="Z416" i="7" s="1"/>
  <c r="J414" i="7"/>
  <c r="I414" i="7"/>
  <c r="Z414" i="7" s="1"/>
  <c r="J412" i="7"/>
  <c r="I412" i="7"/>
  <c r="Z412" i="7" s="1"/>
  <c r="J410" i="7"/>
  <c r="I410" i="7"/>
  <c r="L408" i="7"/>
  <c r="J408" i="7"/>
  <c r="I408" i="7"/>
  <c r="Z408" i="7" s="1"/>
  <c r="J406" i="7"/>
  <c r="I406" i="7"/>
  <c r="Z406" i="7" s="1"/>
  <c r="J404" i="7"/>
  <c r="I404" i="7"/>
  <c r="Z404" i="7" s="1"/>
  <c r="J402" i="7"/>
  <c r="I402" i="7"/>
  <c r="Z402" i="7" s="1"/>
  <c r="J400" i="7"/>
  <c r="I400" i="7"/>
  <c r="Z400" i="7" s="1"/>
  <c r="J398" i="7"/>
  <c r="I398" i="7"/>
  <c r="Z398" i="7" s="1"/>
  <c r="J396" i="7"/>
  <c r="I396" i="7"/>
  <c r="Z396" i="7" s="1"/>
  <c r="J394" i="7"/>
  <c r="I394" i="7"/>
  <c r="Z394" i="7" s="1"/>
  <c r="J392" i="7"/>
  <c r="I392" i="7"/>
  <c r="Z392" i="7" s="1"/>
  <c r="J390" i="7"/>
  <c r="I390" i="7"/>
  <c r="Z390" i="7" s="1"/>
  <c r="J388" i="7"/>
  <c r="I388" i="7"/>
  <c r="Z388" i="7" s="1"/>
  <c r="J386" i="7"/>
  <c r="L386" i="7" s="1"/>
  <c r="I386" i="7"/>
  <c r="Z386" i="7" s="1"/>
  <c r="J384" i="7"/>
  <c r="I384" i="7"/>
  <c r="Z384" i="7" s="1"/>
  <c r="J382" i="7"/>
  <c r="I382" i="7"/>
  <c r="Z382" i="7" s="1"/>
  <c r="J380" i="7"/>
  <c r="I380" i="7"/>
  <c r="Z380" i="7" s="1"/>
  <c r="J376" i="7"/>
  <c r="L376" i="7" s="1"/>
  <c r="I376" i="7"/>
  <c r="Z376" i="7" s="1"/>
  <c r="L410" i="7" l="1"/>
  <c r="Z410" i="7"/>
  <c r="L380" i="7"/>
  <c r="L396" i="7"/>
  <c r="L390" i="7"/>
  <c r="L384" i="7"/>
  <c r="L414" i="7"/>
  <c r="L392" i="7"/>
  <c r="L412" i="7"/>
  <c r="L394" i="7"/>
  <c r="L388" i="7"/>
  <c r="L398" i="7"/>
  <c r="L402" i="7"/>
  <c r="L382" i="7"/>
  <c r="L408" i="6"/>
  <c r="L404" i="6"/>
  <c r="L412" i="6"/>
  <c r="L406" i="6"/>
  <c r="L400" i="6"/>
  <c r="L402" i="6"/>
  <c r="L400" i="4"/>
  <c r="L408" i="4"/>
  <c r="L412" i="4"/>
  <c r="L414" i="4"/>
  <c r="L416" i="4"/>
  <c r="L402" i="4"/>
  <c r="L418" i="4"/>
  <c r="L402" i="5"/>
  <c r="L418" i="5"/>
  <c r="L412" i="5"/>
  <c r="L414" i="5"/>
  <c r="L400" i="5"/>
  <c r="L418" i="7"/>
  <c r="L404" i="7"/>
  <c r="L406" i="7"/>
  <c r="L400" i="7"/>
  <c r="J374" i="4" l="1"/>
  <c r="L374" i="4" s="1"/>
  <c r="I374" i="4"/>
  <c r="J372" i="4"/>
  <c r="L372" i="4" s="1"/>
  <c r="I372" i="4"/>
  <c r="J370" i="4"/>
  <c r="L370" i="4" s="1"/>
  <c r="I370" i="4"/>
  <c r="J368" i="4"/>
  <c r="L368" i="4" s="1"/>
  <c r="I368" i="4"/>
  <c r="J366" i="4"/>
  <c r="L366" i="4" s="1"/>
  <c r="I366" i="4"/>
  <c r="L364" i="4"/>
  <c r="J364" i="4"/>
  <c r="I364" i="4"/>
  <c r="J362" i="4"/>
  <c r="L362" i="4" s="1"/>
  <c r="I362" i="4"/>
  <c r="J360" i="4"/>
  <c r="L360" i="4" s="1"/>
  <c r="I360" i="4"/>
  <c r="J358" i="4"/>
  <c r="L358" i="4" s="1"/>
  <c r="I358" i="4"/>
  <c r="J356" i="4"/>
  <c r="L356" i="4" s="1"/>
  <c r="I356" i="4"/>
  <c r="J354" i="4"/>
  <c r="L354" i="4" s="1"/>
  <c r="I354" i="4"/>
  <c r="J352" i="4"/>
  <c r="L352" i="4" s="1"/>
  <c r="I352" i="4"/>
  <c r="J350" i="4"/>
  <c r="L350" i="4" s="1"/>
  <c r="I350" i="4"/>
  <c r="L348" i="4"/>
  <c r="J348" i="4"/>
  <c r="I348" i="4"/>
  <c r="J346" i="4"/>
  <c r="L346" i="4" s="1"/>
  <c r="I346" i="4"/>
  <c r="J344" i="4"/>
  <c r="L344" i="4" s="1"/>
  <c r="I344" i="4"/>
  <c r="J342" i="4"/>
  <c r="L342" i="4" s="1"/>
  <c r="I342" i="4"/>
  <c r="J340" i="4"/>
  <c r="L340" i="4" s="1"/>
  <c r="I340" i="4"/>
  <c r="J338" i="4"/>
  <c r="L338" i="4" s="1"/>
  <c r="I338" i="4"/>
  <c r="J336" i="4"/>
  <c r="L336" i="4" s="1"/>
  <c r="I336" i="4"/>
  <c r="J334" i="4"/>
  <c r="L334" i="4" s="1"/>
  <c r="I334" i="4"/>
  <c r="L332" i="4"/>
  <c r="J332" i="4"/>
  <c r="I332" i="4"/>
  <c r="J330" i="4"/>
  <c r="L330" i="4" s="1"/>
  <c r="I330" i="4"/>
  <c r="J328" i="4"/>
  <c r="L328" i="4" s="1"/>
  <c r="I328" i="4"/>
  <c r="J326" i="4"/>
  <c r="L326" i="4" s="1"/>
  <c r="I326" i="4"/>
  <c r="J324" i="4"/>
  <c r="L324" i="4" s="1"/>
  <c r="I324" i="4"/>
  <c r="J322" i="4"/>
  <c r="L322" i="4" s="1"/>
  <c r="I322" i="4"/>
  <c r="J320" i="4"/>
  <c r="L320" i="4" s="1"/>
  <c r="I320" i="4"/>
  <c r="J318" i="4"/>
  <c r="L318" i="4" s="1"/>
  <c r="I318" i="4"/>
  <c r="L315" i="4"/>
  <c r="J315" i="4"/>
  <c r="I315" i="4"/>
  <c r="J313" i="4"/>
  <c r="L313" i="4" s="1"/>
  <c r="I313" i="4"/>
  <c r="J311" i="4"/>
  <c r="L311" i="4" s="1"/>
  <c r="I311" i="4"/>
  <c r="J309" i="4"/>
  <c r="L309" i="4" s="1"/>
  <c r="I309" i="4"/>
  <c r="J307" i="4"/>
  <c r="L307" i="4" s="1"/>
  <c r="I307" i="4"/>
  <c r="J305" i="4"/>
  <c r="L305" i="4" s="1"/>
  <c r="I305" i="4"/>
  <c r="J303" i="4"/>
  <c r="L303" i="4" s="1"/>
  <c r="I303" i="4"/>
  <c r="J301" i="4"/>
  <c r="L301" i="4" s="1"/>
  <c r="I301" i="4"/>
  <c r="L299" i="4"/>
  <c r="J299" i="4"/>
  <c r="I299" i="4"/>
  <c r="J297" i="4"/>
  <c r="L297" i="4" s="1"/>
  <c r="I297" i="4"/>
  <c r="J295" i="4"/>
  <c r="L295" i="4" s="1"/>
  <c r="I295" i="4"/>
  <c r="J293" i="4"/>
  <c r="L293" i="4" s="1"/>
  <c r="I293" i="4"/>
  <c r="J291" i="4"/>
  <c r="L291" i="4" s="1"/>
  <c r="I291" i="4"/>
  <c r="J289" i="4"/>
  <c r="L289" i="4" s="1"/>
  <c r="I289" i="4"/>
  <c r="J287" i="4"/>
  <c r="L287" i="4" s="1"/>
  <c r="I287" i="4"/>
  <c r="J285" i="4"/>
  <c r="L285" i="4" s="1"/>
  <c r="I285" i="4"/>
  <c r="L283" i="4"/>
  <c r="J283" i="4"/>
  <c r="I283" i="4"/>
  <c r="J281" i="4"/>
  <c r="L281" i="4" s="1"/>
  <c r="I281" i="4"/>
  <c r="J279" i="4"/>
  <c r="L279" i="4" s="1"/>
  <c r="I279" i="4"/>
  <c r="J277" i="4"/>
  <c r="L277" i="4" s="1"/>
  <c r="I277" i="4"/>
  <c r="J275" i="4"/>
  <c r="L275" i="4" s="1"/>
  <c r="I275" i="4"/>
  <c r="J273" i="4"/>
  <c r="L273" i="4" s="1"/>
  <c r="I273" i="4"/>
  <c r="J271" i="4"/>
  <c r="L271" i="4" s="1"/>
  <c r="I271" i="4"/>
  <c r="J268" i="4"/>
  <c r="L268" i="4" s="1"/>
  <c r="I268" i="4"/>
  <c r="L266" i="4"/>
  <c r="J266" i="4"/>
  <c r="I266" i="4"/>
  <c r="J264" i="4"/>
  <c r="L264" i="4" s="1"/>
  <c r="I264" i="4"/>
  <c r="J262" i="4"/>
  <c r="L262" i="4" s="1"/>
  <c r="I262" i="4"/>
  <c r="J260" i="4"/>
  <c r="L260" i="4" s="1"/>
  <c r="I260" i="4"/>
  <c r="J258" i="4"/>
  <c r="L258" i="4" s="1"/>
  <c r="I258" i="4"/>
  <c r="J256" i="4"/>
  <c r="L256" i="4" s="1"/>
  <c r="I256" i="4"/>
  <c r="J254" i="4"/>
  <c r="L254" i="4" s="1"/>
  <c r="I254" i="4"/>
  <c r="J252" i="4"/>
  <c r="L252" i="4" s="1"/>
  <c r="I252" i="4"/>
  <c r="L250" i="4"/>
  <c r="J250" i="4"/>
  <c r="I250" i="4"/>
  <c r="J248" i="4"/>
  <c r="L248" i="4" s="1"/>
  <c r="I248" i="4"/>
  <c r="J246" i="4"/>
  <c r="L246" i="4" s="1"/>
  <c r="I246" i="4"/>
  <c r="J244" i="4"/>
  <c r="L244" i="4" s="1"/>
  <c r="I244" i="4"/>
  <c r="J242" i="4"/>
  <c r="L242" i="4" s="1"/>
  <c r="I242" i="4"/>
  <c r="J240" i="4"/>
  <c r="L240" i="4" s="1"/>
  <c r="I240" i="4"/>
  <c r="J238" i="4"/>
  <c r="L238" i="4" s="1"/>
  <c r="I238" i="4"/>
  <c r="J236" i="4"/>
  <c r="L236" i="4" s="1"/>
  <c r="I236" i="4"/>
  <c r="L234" i="4"/>
  <c r="J234" i="4"/>
  <c r="I234" i="4"/>
  <c r="J232" i="4"/>
  <c r="L232" i="4" s="1"/>
  <c r="I232" i="4"/>
  <c r="J230" i="4"/>
  <c r="L230" i="4" s="1"/>
  <c r="I230" i="4"/>
  <c r="J228" i="4"/>
  <c r="L228" i="4" s="1"/>
  <c r="I228" i="4"/>
  <c r="J226" i="4"/>
  <c r="L226" i="4" s="1"/>
  <c r="I226" i="4"/>
  <c r="J224" i="4"/>
  <c r="L224" i="4" s="1"/>
  <c r="I224" i="4"/>
  <c r="J222" i="4"/>
  <c r="L222" i="4" s="1"/>
  <c r="I222" i="4"/>
  <c r="J220" i="4"/>
  <c r="L220" i="4" s="1"/>
  <c r="I220" i="4"/>
  <c r="L218" i="4"/>
  <c r="J218" i="4"/>
  <c r="I218" i="4"/>
  <c r="J216" i="4"/>
  <c r="L216" i="4" s="1"/>
  <c r="I216" i="4"/>
  <c r="J214" i="4"/>
  <c r="L214" i="4" s="1"/>
  <c r="I214" i="4"/>
  <c r="J212" i="4"/>
  <c r="L212" i="4" s="1"/>
  <c r="I212" i="4"/>
  <c r="J210" i="4"/>
  <c r="L210" i="4" s="1"/>
  <c r="I210" i="4"/>
  <c r="J208" i="4"/>
  <c r="L208" i="4" s="1"/>
  <c r="I208" i="4"/>
  <c r="J206" i="4"/>
  <c r="L206" i="4" s="1"/>
  <c r="I206" i="4"/>
  <c r="J204" i="4"/>
  <c r="L204" i="4" s="1"/>
  <c r="I204" i="4"/>
  <c r="L202" i="4"/>
  <c r="J202" i="4"/>
  <c r="I202" i="4"/>
  <c r="J200" i="4"/>
  <c r="L200" i="4" s="1"/>
  <c r="I200" i="4"/>
  <c r="J198" i="4"/>
  <c r="L198" i="4" s="1"/>
  <c r="I198" i="4"/>
  <c r="J196" i="4"/>
  <c r="L196" i="4" s="1"/>
  <c r="I196" i="4"/>
  <c r="J194" i="4"/>
  <c r="L194" i="4" s="1"/>
  <c r="I194" i="4"/>
  <c r="J192" i="4"/>
  <c r="L192" i="4" s="1"/>
  <c r="I192" i="4"/>
  <c r="J190" i="4"/>
  <c r="L190" i="4" s="1"/>
  <c r="I190" i="4"/>
  <c r="J188" i="4"/>
  <c r="L188" i="4" s="1"/>
  <c r="I188" i="4"/>
  <c r="L186" i="4"/>
  <c r="J186" i="4"/>
  <c r="I186" i="4"/>
  <c r="J184" i="4"/>
  <c r="L184" i="4" s="1"/>
  <c r="I184" i="4"/>
  <c r="J182" i="4"/>
  <c r="L182" i="4" s="1"/>
  <c r="I182" i="4"/>
  <c r="J180" i="4"/>
  <c r="L180" i="4" s="1"/>
  <c r="I180" i="4"/>
  <c r="J178" i="4"/>
  <c r="L178" i="4" s="1"/>
  <c r="I178" i="4"/>
  <c r="J176" i="4"/>
  <c r="L176" i="4" s="1"/>
  <c r="I176" i="4"/>
  <c r="J174" i="4"/>
  <c r="L174" i="4" s="1"/>
  <c r="I174" i="4"/>
  <c r="J172" i="4"/>
  <c r="L172" i="4" s="1"/>
  <c r="I172" i="4"/>
  <c r="L170" i="4"/>
  <c r="J170" i="4"/>
  <c r="I170" i="4"/>
  <c r="J168" i="4"/>
  <c r="L168" i="4" s="1"/>
  <c r="I168" i="4"/>
  <c r="J166" i="4"/>
  <c r="L166" i="4" s="1"/>
  <c r="I166" i="4"/>
  <c r="J164" i="4"/>
  <c r="L164" i="4" s="1"/>
  <c r="I164" i="4"/>
  <c r="J162" i="4"/>
  <c r="L162" i="4" s="1"/>
  <c r="I162" i="4"/>
  <c r="J160" i="4"/>
  <c r="L160" i="4" s="1"/>
  <c r="I160" i="4"/>
  <c r="J158" i="4"/>
  <c r="L158" i="4" s="1"/>
  <c r="I158" i="4"/>
  <c r="J156" i="4"/>
  <c r="L156" i="4" s="1"/>
  <c r="I156" i="4"/>
  <c r="L154" i="4"/>
  <c r="J154" i="4"/>
  <c r="I154" i="4"/>
  <c r="J152" i="4"/>
  <c r="L152" i="4" s="1"/>
  <c r="I152" i="4"/>
  <c r="J150" i="4"/>
  <c r="L150" i="4" s="1"/>
  <c r="I150" i="4"/>
  <c r="J148" i="4"/>
  <c r="L148" i="4" s="1"/>
  <c r="I148" i="4"/>
  <c r="J146" i="4"/>
  <c r="L146" i="4" s="1"/>
  <c r="I146" i="4"/>
  <c r="J144" i="4"/>
  <c r="L144" i="4" s="1"/>
  <c r="I144" i="4"/>
  <c r="J142" i="4"/>
  <c r="L142" i="4" s="1"/>
  <c r="I142" i="4"/>
  <c r="J140" i="4"/>
  <c r="L140" i="4" s="1"/>
  <c r="I140" i="4"/>
  <c r="L138" i="4"/>
  <c r="J138" i="4"/>
  <c r="I138" i="4"/>
  <c r="J136" i="4"/>
  <c r="L136" i="4" s="1"/>
  <c r="I136" i="4"/>
  <c r="J134" i="4"/>
  <c r="L134" i="4" s="1"/>
  <c r="I134" i="4"/>
  <c r="J132" i="4"/>
  <c r="L132" i="4" s="1"/>
  <c r="I132" i="4"/>
  <c r="J130" i="4"/>
  <c r="L130" i="4" s="1"/>
  <c r="I130" i="4"/>
  <c r="J128" i="4"/>
  <c r="L128" i="4" s="1"/>
  <c r="I128" i="4"/>
  <c r="J126" i="4"/>
  <c r="L126" i="4" s="1"/>
  <c r="I126" i="4"/>
  <c r="J124" i="4"/>
  <c r="L124" i="4" s="1"/>
  <c r="I124" i="4"/>
  <c r="L122" i="4"/>
  <c r="J122" i="4"/>
  <c r="I122" i="4"/>
  <c r="J120" i="4"/>
  <c r="I120" i="4"/>
  <c r="J118" i="4"/>
  <c r="L118" i="4" s="1"/>
  <c r="I118" i="4"/>
  <c r="J116" i="4"/>
  <c r="L116" i="4" s="1"/>
  <c r="I116" i="4"/>
  <c r="J114" i="4"/>
  <c r="L114" i="4" s="1"/>
  <c r="I114" i="4"/>
  <c r="J112" i="4"/>
  <c r="L112" i="4" s="1"/>
  <c r="I112" i="4"/>
  <c r="J110" i="4"/>
  <c r="L110" i="4" s="1"/>
  <c r="I110" i="4"/>
  <c r="J108" i="4"/>
  <c r="L108" i="4" s="1"/>
  <c r="I108" i="4"/>
  <c r="L106" i="4"/>
  <c r="J106" i="4"/>
  <c r="I106" i="4"/>
  <c r="J104" i="4"/>
  <c r="L104" i="4" s="1"/>
  <c r="I104" i="4"/>
  <c r="J102" i="4"/>
  <c r="L102" i="4" s="1"/>
  <c r="I102" i="4"/>
  <c r="J100" i="4"/>
  <c r="L100" i="4" s="1"/>
  <c r="I100" i="4"/>
  <c r="J98" i="4"/>
  <c r="L98" i="4" s="1"/>
  <c r="I98" i="4"/>
  <c r="J96" i="4"/>
  <c r="L96" i="4" s="1"/>
  <c r="I96" i="4"/>
  <c r="J94" i="4"/>
  <c r="L94" i="4" s="1"/>
  <c r="I94" i="4"/>
  <c r="J92" i="4"/>
  <c r="L92" i="4" s="1"/>
  <c r="I92" i="4"/>
  <c r="L90" i="4"/>
  <c r="J90" i="4"/>
  <c r="I90" i="4"/>
  <c r="J88" i="4"/>
  <c r="L88" i="4" s="1"/>
  <c r="I88" i="4"/>
  <c r="J86" i="4"/>
  <c r="L86" i="4" s="1"/>
  <c r="I86" i="4"/>
  <c r="J84" i="4"/>
  <c r="L84" i="4" s="1"/>
  <c r="I84" i="4"/>
  <c r="J82" i="4"/>
  <c r="L82" i="4" s="1"/>
  <c r="I82" i="4"/>
  <c r="J80" i="4"/>
  <c r="L80" i="4" s="1"/>
  <c r="I80" i="4"/>
  <c r="J78" i="4"/>
  <c r="L78" i="4" s="1"/>
  <c r="I78" i="4"/>
  <c r="J76" i="4"/>
  <c r="L76" i="4" s="1"/>
  <c r="I76" i="4"/>
  <c r="J74" i="4"/>
  <c r="I74" i="4"/>
  <c r="J72" i="4"/>
  <c r="I72" i="4"/>
  <c r="J70" i="4"/>
  <c r="I70" i="4"/>
  <c r="J68" i="4"/>
  <c r="I68" i="4"/>
  <c r="J66" i="4"/>
  <c r="I66" i="4"/>
  <c r="J64" i="4"/>
  <c r="L64" i="4" s="1"/>
  <c r="I64" i="4"/>
  <c r="J62" i="4"/>
  <c r="L62" i="4" s="1"/>
  <c r="I62" i="4"/>
  <c r="J60" i="4"/>
  <c r="L60" i="4" s="1"/>
  <c r="I60" i="4"/>
  <c r="L58" i="4"/>
  <c r="J58" i="4"/>
  <c r="I58" i="4"/>
  <c r="J56" i="4"/>
  <c r="L56" i="4" s="1"/>
  <c r="I56" i="4"/>
  <c r="J54" i="4"/>
  <c r="L54" i="4" s="1"/>
  <c r="I54" i="4"/>
  <c r="J52" i="4"/>
  <c r="L52" i="4" s="1"/>
  <c r="I52" i="4"/>
  <c r="J50" i="4"/>
  <c r="L50" i="4" s="1"/>
  <c r="I50" i="4"/>
  <c r="J48" i="4"/>
  <c r="L48" i="4" s="1"/>
  <c r="I48" i="4"/>
  <c r="J46" i="4"/>
  <c r="L46" i="4" s="1"/>
  <c r="I46" i="4"/>
  <c r="J44" i="4"/>
  <c r="L44" i="4" s="1"/>
  <c r="I44" i="4"/>
  <c r="L42" i="4"/>
  <c r="J42" i="4"/>
  <c r="I42" i="4"/>
  <c r="J40" i="4"/>
  <c r="L40" i="4" s="1"/>
  <c r="I40" i="4"/>
  <c r="J38" i="4"/>
  <c r="L38" i="4" s="1"/>
  <c r="I38" i="4"/>
  <c r="J36" i="4"/>
  <c r="L36" i="4" s="1"/>
  <c r="I36" i="4"/>
  <c r="J34" i="4"/>
  <c r="L34" i="4" s="1"/>
  <c r="I34" i="4"/>
  <c r="J32" i="4"/>
  <c r="L32" i="4" s="1"/>
  <c r="I32" i="4"/>
  <c r="J30" i="4"/>
  <c r="L30" i="4" s="1"/>
  <c r="I30" i="4"/>
  <c r="J28" i="4"/>
  <c r="L28" i="4" s="1"/>
  <c r="I28" i="4"/>
  <c r="L26" i="4"/>
  <c r="J26" i="4"/>
  <c r="I26" i="4"/>
  <c r="J24" i="4"/>
  <c r="L24" i="4" s="1"/>
  <c r="I24" i="4"/>
  <c r="J22" i="4"/>
  <c r="L22" i="4" s="1"/>
  <c r="I22" i="4"/>
  <c r="J20" i="4"/>
  <c r="L20" i="4" s="1"/>
  <c r="I20" i="4"/>
  <c r="J18" i="4"/>
  <c r="L18" i="4" s="1"/>
  <c r="I18" i="4"/>
  <c r="J16" i="4"/>
  <c r="L16" i="4" s="1"/>
  <c r="I16" i="4"/>
  <c r="J14" i="4"/>
  <c r="L14" i="4" s="1"/>
  <c r="I14" i="4"/>
  <c r="J12" i="4"/>
  <c r="L12" i="4" s="1"/>
  <c r="I12" i="4"/>
  <c r="L10" i="4"/>
  <c r="J10" i="4"/>
  <c r="I10" i="4"/>
  <c r="J8" i="4"/>
  <c r="L8" i="4" s="1"/>
  <c r="I8" i="4"/>
  <c r="J6" i="4"/>
  <c r="L6" i="4" s="1"/>
  <c r="I6" i="4"/>
  <c r="J4" i="4"/>
  <c r="L4" i="4" s="1"/>
  <c r="I4" i="4"/>
  <c r="J374" i="5"/>
  <c r="L374" i="5" s="1"/>
  <c r="I374" i="5"/>
  <c r="J372" i="5"/>
  <c r="L372" i="5" s="1"/>
  <c r="I372" i="5"/>
  <c r="J370" i="5"/>
  <c r="L370" i="5" s="1"/>
  <c r="I370" i="5"/>
  <c r="J368" i="5"/>
  <c r="L368" i="5" s="1"/>
  <c r="I368" i="5"/>
  <c r="J366" i="5"/>
  <c r="L366" i="5" s="1"/>
  <c r="I366" i="5"/>
  <c r="L364" i="5"/>
  <c r="J364" i="5"/>
  <c r="I364" i="5"/>
  <c r="J362" i="5"/>
  <c r="L362" i="5" s="1"/>
  <c r="I362" i="5"/>
  <c r="J360" i="5"/>
  <c r="L360" i="5" s="1"/>
  <c r="I360" i="5"/>
  <c r="J358" i="5"/>
  <c r="L358" i="5" s="1"/>
  <c r="I358" i="5"/>
  <c r="J356" i="5"/>
  <c r="L356" i="5" s="1"/>
  <c r="I356" i="5"/>
  <c r="J354" i="5"/>
  <c r="L354" i="5" s="1"/>
  <c r="I354" i="5"/>
  <c r="J352" i="5"/>
  <c r="L352" i="5" s="1"/>
  <c r="I352" i="5"/>
  <c r="J350" i="5"/>
  <c r="L350" i="5" s="1"/>
  <c r="I350" i="5"/>
  <c r="L348" i="5"/>
  <c r="J348" i="5"/>
  <c r="I348" i="5"/>
  <c r="J346" i="5"/>
  <c r="L346" i="5" s="1"/>
  <c r="I346" i="5"/>
  <c r="J344" i="5"/>
  <c r="L344" i="5" s="1"/>
  <c r="I344" i="5"/>
  <c r="J342" i="5"/>
  <c r="L342" i="5" s="1"/>
  <c r="I342" i="5"/>
  <c r="J340" i="5"/>
  <c r="L340" i="5" s="1"/>
  <c r="I340" i="5"/>
  <c r="J338" i="5"/>
  <c r="L338" i="5" s="1"/>
  <c r="I338" i="5"/>
  <c r="J336" i="5"/>
  <c r="L336" i="5" s="1"/>
  <c r="I336" i="5"/>
  <c r="J334" i="5"/>
  <c r="L334" i="5" s="1"/>
  <c r="I334" i="5"/>
  <c r="L332" i="5"/>
  <c r="J332" i="5"/>
  <c r="I332" i="5"/>
  <c r="J330" i="5"/>
  <c r="L330" i="5" s="1"/>
  <c r="I330" i="5"/>
  <c r="J328" i="5"/>
  <c r="L328" i="5" s="1"/>
  <c r="I328" i="5"/>
  <c r="J326" i="5"/>
  <c r="L326" i="5" s="1"/>
  <c r="I326" i="5"/>
  <c r="J324" i="5"/>
  <c r="L324" i="5" s="1"/>
  <c r="I324" i="5"/>
  <c r="J322" i="5"/>
  <c r="L322" i="5" s="1"/>
  <c r="I322" i="5"/>
  <c r="J320" i="5"/>
  <c r="L320" i="5" s="1"/>
  <c r="I320" i="5"/>
  <c r="J318" i="5"/>
  <c r="L318" i="5" s="1"/>
  <c r="I318" i="5"/>
  <c r="L315" i="5"/>
  <c r="J315" i="5"/>
  <c r="I315" i="5"/>
  <c r="J313" i="5"/>
  <c r="L313" i="5" s="1"/>
  <c r="I313" i="5"/>
  <c r="J311" i="5"/>
  <c r="L311" i="5" s="1"/>
  <c r="I311" i="5"/>
  <c r="J309" i="5"/>
  <c r="L309" i="5" s="1"/>
  <c r="I309" i="5"/>
  <c r="J307" i="5"/>
  <c r="L307" i="5" s="1"/>
  <c r="I307" i="5"/>
  <c r="J305" i="5"/>
  <c r="L305" i="5" s="1"/>
  <c r="I305" i="5"/>
  <c r="J303" i="5"/>
  <c r="L303" i="5" s="1"/>
  <c r="I303" i="5"/>
  <c r="J301" i="5"/>
  <c r="L301" i="5" s="1"/>
  <c r="I301" i="5"/>
  <c r="L299" i="5"/>
  <c r="J299" i="5"/>
  <c r="I299" i="5"/>
  <c r="J297" i="5"/>
  <c r="L297" i="5" s="1"/>
  <c r="I297" i="5"/>
  <c r="J295" i="5"/>
  <c r="L295" i="5" s="1"/>
  <c r="I295" i="5"/>
  <c r="J293" i="5"/>
  <c r="L293" i="5" s="1"/>
  <c r="I293" i="5"/>
  <c r="J291" i="5"/>
  <c r="L291" i="5" s="1"/>
  <c r="I291" i="5"/>
  <c r="J289" i="5"/>
  <c r="L289" i="5" s="1"/>
  <c r="I289" i="5"/>
  <c r="J287" i="5"/>
  <c r="L287" i="5" s="1"/>
  <c r="I287" i="5"/>
  <c r="J285" i="5"/>
  <c r="L285" i="5" s="1"/>
  <c r="I285" i="5"/>
  <c r="L283" i="5"/>
  <c r="J283" i="5"/>
  <c r="I283" i="5"/>
  <c r="J281" i="5"/>
  <c r="L281" i="5" s="1"/>
  <c r="I281" i="5"/>
  <c r="J279" i="5"/>
  <c r="L279" i="5" s="1"/>
  <c r="I279" i="5"/>
  <c r="J277" i="5"/>
  <c r="L277" i="5" s="1"/>
  <c r="I277" i="5"/>
  <c r="J275" i="5"/>
  <c r="L275" i="5" s="1"/>
  <c r="I275" i="5"/>
  <c r="J273" i="5"/>
  <c r="L273" i="5" s="1"/>
  <c r="I273" i="5"/>
  <c r="J271" i="5"/>
  <c r="L271" i="5" s="1"/>
  <c r="I271" i="5"/>
  <c r="J268" i="5"/>
  <c r="L268" i="5" s="1"/>
  <c r="I268" i="5"/>
  <c r="L266" i="5"/>
  <c r="J266" i="5"/>
  <c r="I266" i="5"/>
  <c r="J264" i="5"/>
  <c r="L264" i="5" s="1"/>
  <c r="I264" i="5"/>
  <c r="J262" i="5"/>
  <c r="L262" i="5" s="1"/>
  <c r="I262" i="5"/>
  <c r="J260" i="5"/>
  <c r="L260" i="5" s="1"/>
  <c r="I260" i="5"/>
  <c r="J258" i="5"/>
  <c r="L258" i="5" s="1"/>
  <c r="I258" i="5"/>
  <c r="J256" i="5"/>
  <c r="L256" i="5" s="1"/>
  <c r="I256" i="5"/>
  <c r="J254" i="5"/>
  <c r="L254" i="5" s="1"/>
  <c r="I254" i="5"/>
  <c r="J252" i="5"/>
  <c r="L252" i="5" s="1"/>
  <c r="I252" i="5"/>
  <c r="L250" i="5"/>
  <c r="J250" i="5"/>
  <c r="I250" i="5"/>
  <c r="J248" i="5"/>
  <c r="L248" i="5" s="1"/>
  <c r="I248" i="5"/>
  <c r="J246" i="5"/>
  <c r="L246" i="5" s="1"/>
  <c r="I246" i="5"/>
  <c r="J244" i="5"/>
  <c r="L244" i="5" s="1"/>
  <c r="I244" i="5"/>
  <c r="J242" i="5"/>
  <c r="L242" i="5" s="1"/>
  <c r="I242" i="5"/>
  <c r="J240" i="5"/>
  <c r="L240" i="5" s="1"/>
  <c r="I240" i="5"/>
  <c r="J238" i="5"/>
  <c r="L238" i="5" s="1"/>
  <c r="I238" i="5"/>
  <c r="J236" i="5"/>
  <c r="L236" i="5" s="1"/>
  <c r="I236" i="5"/>
  <c r="L234" i="5"/>
  <c r="J234" i="5"/>
  <c r="I234" i="5"/>
  <c r="J232" i="5"/>
  <c r="L232" i="5" s="1"/>
  <c r="I232" i="5"/>
  <c r="J230" i="5"/>
  <c r="L230" i="5" s="1"/>
  <c r="I230" i="5"/>
  <c r="J228" i="5"/>
  <c r="L228" i="5" s="1"/>
  <c r="I228" i="5"/>
  <c r="J226" i="5"/>
  <c r="L226" i="5" s="1"/>
  <c r="I226" i="5"/>
  <c r="J224" i="5"/>
  <c r="L224" i="5" s="1"/>
  <c r="I224" i="5"/>
  <c r="J222" i="5"/>
  <c r="L222" i="5" s="1"/>
  <c r="I222" i="5"/>
  <c r="J220" i="5"/>
  <c r="L220" i="5" s="1"/>
  <c r="I220" i="5"/>
  <c r="L218" i="5"/>
  <c r="J218" i="5"/>
  <c r="I218" i="5"/>
  <c r="J216" i="5"/>
  <c r="L216" i="5" s="1"/>
  <c r="I216" i="5"/>
  <c r="J214" i="5"/>
  <c r="L214" i="5" s="1"/>
  <c r="I214" i="5"/>
  <c r="J212" i="5"/>
  <c r="L212" i="5" s="1"/>
  <c r="I212" i="5"/>
  <c r="J210" i="5"/>
  <c r="L210" i="5" s="1"/>
  <c r="I210" i="5"/>
  <c r="J208" i="5"/>
  <c r="L208" i="5" s="1"/>
  <c r="I208" i="5"/>
  <c r="J206" i="5"/>
  <c r="L206" i="5" s="1"/>
  <c r="I206" i="5"/>
  <c r="J204" i="5"/>
  <c r="L204" i="5" s="1"/>
  <c r="I204" i="5"/>
  <c r="L202" i="5"/>
  <c r="J202" i="5"/>
  <c r="I202" i="5"/>
  <c r="J200" i="5"/>
  <c r="L200" i="5" s="1"/>
  <c r="I200" i="5"/>
  <c r="J198" i="5"/>
  <c r="L198" i="5" s="1"/>
  <c r="I198" i="5"/>
  <c r="J196" i="5"/>
  <c r="L196" i="5" s="1"/>
  <c r="I196" i="5"/>
  <c r="J194" i="5"/>
  <c r="L194" i="5" s="1"/>
  <c r="I194" i="5"/>
  <c r="J192" i="5"/>
  <c r="L192" i="5" s="1"/>
  <c r="I192" i="5"/>
  <c r="J190" i="5"/>
  <c r="L190" i="5" s="1"/>
  <c r="I190" i="5"/>
  <c r="J188" i="5"/>
  <c r="L188" i="5" s="1"/>
  <c r="I188" i="5"/>
  <c r="L186" i="5"/>
  <c r="J186" i="5"/>
  <c r="I186" i="5"/>
  <c r="J184" i="5"/>
  <c r="L184" i="5" s="1"/>
  <c r="I184" i="5"/>
  <c r="J182" i="5"/>
  <c r="L182" i="5" s="1"/>
  <c r="I182" i="5"/>
  <c r="J180" i="5"/>
  <c r="L180" i="5" s="1"/>
  <c r="I180" i="5"/>
  <c r="J178" i="5"/>
  <c r="L178" i="5" s="1"/>
  <c r="I178" i="5"/>
  <c r="J176" i="5"/>
  <c r="L176" i="5" s="1"/>
  <c r="I176" i="5"/>
  <c r="J174" i="5"/>
  <c r="L174" i="5" s="1"/>
  <c r="I174" i="5"/>
  <c r="J172" i="5"/>
  <c r="L172" i="5" s="1"/>
  <c r="I172" i="5"/>
  <c r="L170" i="5"/>
  <c r="J170" i="5"/>
  <c r="I170" i="5"/>
  <c r="J168" i="5"/>
  <c r="L168" i="5" s="1"/>
  <c r="I168" i="5"/>
  <c r="J166" i="5"/>
  <c r="L166" i="5" s="1"/>
  <c r="I166" i="5"/>
  <c r="J164" i="5"/>
  <c r="L164" i="5" s="1"/>
  <c r="I164" i="5"/>
  <c r="J162" i="5"/>
  <c r="L162" i="5" s="1"/>
  <c r="I162" i="5"/>
  <c r="J160" i="5"/>
  <c r="L160" i="5" s="1"/>
  <c r="I160" i="5"/>
  <c r="J158" i="5"/>
  <c r="L158" i="5" s="1"/>
  <c r="I158" i="5"/>
  <c r="J156" i="5"/>
  <c r="L156" i="5" s="1"/>
  <c r="I156" i="5"/>
  <c r="L154" i="5"/>
  <c r="J154" i="5"/>
  <c r="I154" i="5"/>
  <c r="J152" i="5"/>
  <c r="L152" i="5" s="1"/>
  <c r="I152" i="5"/>
  <c r="J150" i="5"/>
  <c r="L150" i="5" s="1"/>
  <c r="I150" i="5"/>
  <c r="J148" i="5"/>
  <c r="L148" i="5" s="1"/>
  <c r="I148" i="5"/>
  <c r="J146" i="5"/>
  <c r="L146" i="5" s="1"/>
  <c r="I146" i="5"/>
  <c r="J144" i="5"/>
  <c r="L144" i="5" s="1"/>
  <c r="I144" i="5"/>
  <c r="J142" i="5"/>
  <c r="L142" i="5" s="1"/>
  <c r="I142" i="5"/>
  <c r="J140" i="5"/>
  <c r="L140" i="5" s="1"/>
  <c r="I140" i="5"/>
  <c r="L138" i="5"/>
  <c r="J138" i="5"/>
  <c r="I138" i="5"/>
  <c r="J136" i="5"/>
  <c r="L136" i="5" s="1"/>
  <c r="I136" i="5"/>
  <c r="J134" i="5"/>
  <c r="L134" i="5" s="1"/>
  <c r="I134" i="5"/>
  <c r="J132" i="5"/>
  <c r="L132" i="5" s="1"/>
  <c r="I132" i="5"/>
  <c r="J130" i="5"/>
  <c r="L130" i="5" s="1"/>
  <c r="I130" i="5"/>
  <c r="J128" i="5"/>
  <c r="L128" i="5" s="1"/>
  <c r="I128" i="5"/>
  <c r="J126" i="5"/>
  <c r="L126" i="5" s="1"/>
  <c r="I126" i="5"/>
  <c r="J124" i="5"/>
  <c r="L124" i="5" s="1"/>
  <c r="I124" i="5"/>
  <c r="L122" i="5"/>
  <c r="J122" i="5"/>
  <c r="I122" i="5"/>
  <c r="J120" i="5"/>
  <c r="I120" i="5"/>
  <c r="J118" i="5"/>
  <c r="L118" i="5" s="1"/>
  <c r="I118" i="5"/>
  <c r="J116" i="5"/>
  <c r="L116" i="5" s="1"/>
  <c r="I116" i="5"/>
  <c r="J114" i="5"/>
  <c r="L114" i="5" s="1"/>
  <c r="I114" i="5"/>
  <c r="J112" i="5"/>
  <c r="L112" i="5" s="1"/>
  <c r="I112" i="5"/>
  <c r="J110" i="5"/>
  <c r="L110" i="5" s="1"/>
  <c r="I110" i="5"/>
  <c r="J108" i="5"/>
  <c r="L108" i="5" s="1"/>
  <c r="I108" i="5"/>
  <c r="L106" i="5"/>
  <c r="J106" i="5"/>
  <c r="I106" i="5"/>
  <c r="J104" i="5"/>
  <c r="L104" i="5" s="1"/>
  <c r="I104" i="5"/>
  <c r="J102" i="5"/>
  <c r="L102" i="5" s="1"/>
  <c r="I102" i="5"/>
  <c r="J100" i="5"/>
  <c r="L100" i="5" s="1"/>
  <c r="I100" i="5"/>
  <c r="J98" i="5"/>
  <c r="L98" i="5" s="1"/>
  <c r="I98" i="5"/>
  <c r="J96" i="5"/>
  <c r="L96" i="5" s="1"/>
  <c r="I96" i="5"/>
  <c r="J94" i="5"/>
  <c r="L94" i="5" s="1"/>
  <c r="I94" i="5"/>
  <c r="J92" i="5"/>
  <c r="L92" i="5" s="1"/>
  <c r="I92" i="5"/>
  <c r="L90" i="5"/>
  <c r="J90" i="5"/>
  <c r="I90" i="5"/>
  <c r="J88" i="5"/>
  <c r="L88" i="5" s="1"/>
  <c r="I88" i="5"/>
  <c r="J86" i="5"/>
  <c r="L86" i="5" s="1"/>
  <c r="I86" i="5"/>
  <c r="J84" i="5"/>
  <c r="L84" i="5" s="1"/>
  <c r="I84" i="5"/>
  <c r="J82" i="5"/>
  <c r="L82" i="5" s="1"/>
  <c r="I82" i="5"/>
  <c r="J80" i="5"/>
  <c r="L80" i="5" s="1"/>
  <c r="I80" i="5"/>
  <c r="J78" i="5"/>
  <c r="L78" i="5" s="1"/>
  <c r="I78" i="5"/>
  <c r="J76" i="5"/>
  <c r="L76" i="5" s="1"/>
  <c r="I76" i="5"/>
  <c r="L74" i="5"/>
  <c r="J74" i="5"/>
  <c r="I74" i="5"/>
  <c r="J72" i="5"/>
  <c r="L72" i="5" s="1"/>
  <c r="I72" i="5"/>
  <c r="J70" i="5"/>
  <c r="L70" i="5" s="1"/>
  <c r="I70" i="5"/>
  <c r="J68" i="5"/>
  <c r="L68" i="5" s="1"/>
  <c r="I68" i="5"/>
  <c r="J66" i="5"/>
  <c r="L66" i="5" s="1"/>
  <c r="I66" i="5"/>
  <c r="J64" i="5"/>
  <c r="L64" i="5" s="1"/>
  <c r="I64" i="5"/>
  <c r="J62" i="5"/>
  <c r="L62" i="5" s="1"/>
  <c r="I62" i="5"/>
  <c r="J60" i="5"/>
  <c r="L60" i="5" s="1"/>
  <c r="I60" i="5"/>
  <c r="L58" i="5"/>
  <c r="J58" i="5"/>
  <c r="I58" i="5"/>
  <c r="J56" i="5"/>
  <c r="L56" i="5" s="1"/>
  <c r="I56" i="5"/>
  <c r="J54" i="5"/>
  <c r="L54" i="5" s="1"/>
  <c r="I54" i="5"/>
  <c r="J52" i="5"/>
  <c r="L52" i="5" s="1"/>
  <c r="I52" i="5"/>
  <c r="J50" i="5"/>
  <c r="L50" i="5" s="1"/>
  <c r="I50" i="5"/>
  <c r="J48" i="5"/>
  <c r="L48" i="5" s="1"/>
  <c r="I48" i="5"/>
  <c r="J46" i="5"/>
  <c r="L46" i="5" s="1"/>
  <c r="I46" i="5"/>
  <c r="J44" i="5"/>
  <c r="L44" i="5" s="1"/>
  <c r="I44" i="5"/>
  <c r="L42" i="5"/>
  <c r="J42" i="5"/>
  <c r="I42" i="5"/>
  <c r="J40" i="5"/>
  <c r="L40" i="5" s="1"/>
  <c r="I40" i="5"/>
  <c r="J38" i="5"/>
  <c r="L38" i="5" s="1"/>
  <c r="I38" i="5"/>
  <c r="J36" i="5"/>
  <c r="L36" i="5" s="1"/>
  <c r="I36" i="5"/>
  <c r="J34" i="5"/>
  <c r="L34" i="5" s="1"/>
  <c r="I34" i="5"/>
  <c r="J32" i="5"/>
  <c r="L32" i="5" s="1"/>
  <c r="I32" i="5"/>
  <c r="J30" i="5"/>
  <c r="L30" i="5" s="1"/>
  <c r="I30" i="5"/>
  <c r="J28" i="5"/>
  <c r="L28" i="5" s="1"/>
  <c r="I28" i="5"/>
  <c r="L26" i="5"/>
  <c r="J26" i="5"/>
  <c r="I26" i="5"/>
  <c r="J24" i="5"/>
  <c r="L24" i="5" s="1"/>
  <c r="I24" i="5"/>
  <c r="J22" i="5"/>
  <c r="L22" i="5" s="1"/>
  <c r="I22" i="5"/>
  <c r="J20" i="5"/>
  <c r="L20" i="5" s="1"/>
  <c r="I20" i="5"/>
  <c r="J18" i="5"/>
  <c r="L18" i="5" s="1"/>
  <c r="I18" i="5"/>
  <c r="J16" i="5"/>
  <c r="L16" i="5" s="1"/>
  <c r="I16" i="5"/>
  <c r="J14" i="5"/>
  <c r="L14" i="5" s="1"/>
  <c r="I14" i="5"/>
  <c r="J12" i="5"/>
  <c r="L12" i="5" s="1"/>
  <c r="I12" i="5"/>
  <c r="L10" i="5"/>
  <c r="J10" i="5"/>
  <c r="I10" i="5"/>
  <c r="J8" i="5"/>
  <c r="L8" i="5" s="1"/>
  <c r="I8" i="5"/>
  <c r="J6" i="5"/>
  <c r="L6" i="5" s="1"/>
  <c r="I6" i="5"/>
  <c r="J4" i="5"/>
  <c r="L4" i="5" s="1"/>
  <c r="I4" i="5"/>
  <c r="J374" i="6"/>
  <c r="L374" i="6" s="1"/>
  <c r="I374" i="6"/>
  <c r="J372" i="6"/>
  <c r="L372" i="6" s="1"/>
  <c r="I372" i="6"/>
  <c r="J370" i="6"/>
  <c r="L370" i="6" s="1"/>
  <c r="I370" i="6"/>
  <c r="J368" i="6"/>
  <c r="L368" i="6" s="1"/>
  <c r="I368" i="6"/>
  <c r="J366" i="6"/>
  <c r="L366" i="6" s="1"/>
  <c r="I366" i="6"/>
  <c r="L364" i="6"/>
  <c r="J364" i="6"/>
  <c r="I364" i="6"/>
  <c r="J362" i="6"/>
  <c r="L362" i="6" s="1"/>
  <c r="I362" i="6"/>
  <c r="J360" i="6"/>
  <c r="L360" i="6" s="1"/>
  <c r="I360" i="6"/>
  <c r="J358" i="6"/>
  <c r="L358" i="6" s="1"/>
  <c r="I358" i="6"/>
  <c r="J356" i="6"/>
  <c r="L356" i="6" s="1"/>
  <c r="I356" i="6"/>
  <c r="J354" i="6"/>
  <c r="L354" i="6" s="1"/>
  <c r="I354" i="6"/>
  <c r="J352" i="6"/>
  <c r="L352" i="6" s="1"/>
  <c r="I352" i="6"/>
  <c r="J350" i="6"/>
  <c r="L350" i="6" s="1"/>
  <c r="I350" i="6"/>
  <c r="L348" i="6"/>
  <c r="J348" i="6"/>
  <c r="I348" i="6"/>
  <c r="J346" i="6"/>
  <c r="L346" i="6" s="1"/>
  <c r="I346" i="6"/>
  <c r="J344" i="6"/>
  <c r="I344" i="6"/>
  <c r="J342" i="6"/>
  <c r="L342" i="6" s="1"/>
  <c r="I342" i="6"/>
  <c r="J340" i="6"/>
  <c r="L340" i="6" s="1"/>
  <c r="I340" i="6"/>
  <c r="J338" i="6"/>
  <c r="L338" i="6" s="1"/>
  <c r="I338" i="6"/>
  <c r="J336" i="6"/>
  <c r="L336" i="6" s="1"/>
  <c r="I336" i="6"/>
  <c r="J334" i="6"/>
  <c r="L334" i="6" s="1"/>
  <c r="I334" i="6"/>
  <c r="L332" i="6"/>
  <c r="J332" i="6"/>
  <c r="I332" i="6"/>
  <c r="J330" i="6"/>
  <c r="L330" i="6" s="1"/>
  <c r="I330" i="6"/>
  <c r="J328" i="6"/>
  <c r="L328" i="6" s="1"/>
  <c r="I328" i="6"/>
  <c r="J326" i="6"/>
  <c r="L326" i="6" s="1"/>
  <c r="I326" i="6"/>
  <c r="J324" i="6"/>
  <c r="L324" i="6" s="1"/>
  <c r="I324" i="6"/>
  <c r="J322" i="6"/>
  <c r="L322" i="6" s="1"/>
  <c r="I322" i="6"/>
  <c r="J320" i="6"/>
  <c r="L320" i="6" s="1"/>
  <c r="I320" i="6"/>
  <c r="J318" i="6"/>
  <c r="L318" i="6" s="1"/>
  <c r="I318" i="6"/>
  <c r="L315" i="6"/>
  <c r="J315" i="6"/>
  <c r="I315" i="6"/>
  <c r="J313" i="6"/>
  <c r="L313" i="6" s="1"/>
  <c r="I313" i="6"/>
  <c r="J311" i="6"/>
  <c r="I311" i="6"/>
  <c r="J309" i="6"/>
  <c r="L309" i="6" s="1"/>
  <c r="I309" i="6"/>
  <c r="J307" i="6"/>
  <c r="L307" i="6" s="1"/>
  <c r="I307" i="6"/>
  <c r="J305" i="6"/>
  <c r="L305" i="6" s="1"/>
  <c r="I305" i="6"/>
  <c r="J303" i="6"/>
  <c r="L303" i="6" s="1"/>
  <c r="I303" i="6"/>
  <c r="J301" i="6"/>
  <c r="L301" i="6" s="1"/>
  <c r="I301" i="6"/>
  <c r="L299" i="6"/>
  <c r="J299" i="6"/>
  <c r="I299" i="6"/>
  <c r="J297" i="6"/>
  <c r="L297" i="6" s="1"/>
  <c r="I297" i="6"/>
  <c r="J295" i="6"/>
  <c r="I295" i="6"/>
  <c r="J293" i="6"/>
  <c r="L293" i="6" s="1"/>
  <c r="I293" i="6"/>
  <c r="J291" i="6"/>
  <c r="L291" i="6" s="1"/>
  <c r="I291" i="6"/>
  <c r="J289" i="6"/>
  <c r="L289" i="6" s="1"/>
  <c r="I289" i="6"/>
  <c r="J287" i="6"/>
  <c r="L287" i="6" s="1"/>
  <c r="I287" i="6"/>
  <c r="J285" i="6"/>
  <c r="L285" i="6" s="1"/>
  <c r="I285" i="6"/>
  <c r="L283" i="6"/>
  <c r="J283" i="6"/>
  <c r="I283" i="6"/>
  <c r="J281" i="6"/>
  <c r="L281" i="6" s="1"/>
  <c r="I281" i="6"/>
  <c r="J279" i="6"/>
  <c r="I279" i="6"/>
  <c r="J277" i="6"/>
  <c r="L277" i="6" s="1"/>
  <c r="I277" i="6"/>
  <c r="J275" i="6"/>
  <c r="L275" i="6" s="1"/>
  <c r="I275" i="6"/>
  <c r="J273" i="6"/>
  <c r="L273" i="6" s="1"/>
  <c r="I273" i="6"/>
  <c r="J271" i="6"/>
  <c r="L271" i="6" s="1"/>
  <c r="I271" i="6"/>
  <c r="J268" i="6"/>
  <c r="L268" i="6" s="1"/>
  <c r="I268" i="6"/>
  <c r="L266" i="6"/>
  <c r="J266" i="6"/>
  <c r="I266" i="6"/>
  <c r="J264" i="6"/>
  <c r="L264" i="6" s="1"/>
  <c r="I264" i="6"/>
  <c r="J262" i="6"/>
  <c r="I262" i="6"/>
  <c r="J260" i="6"/>
  <c r="L260" i="6" s="1"/>
  <c r="I260" i="6"/>
  <c r="J258" i="6"/>
  <c r="L258" i="6" s="1"/>
  <c r="I258" i="6"/>
  <c r="J256" i="6"/>
  <c r="L256" i="6" s="1"/>
  <c r="I256" i="6"/>
  <c r="J254" i="6"/>
  <c r="L254" i="6" s="1"/>
  <c r="I254" i="6"/>
  <c r="J252" i="6"/>
  <c r="L252" i="6" s="1"/>
  <c r="I252" i="6"/>
  <c r="L250" i="6"/>
  <c r="J250" i="6"/>
  <c r="I250" i="6"/>
  <c r="J248" i="6"/>
  <c r="L248" i="6" s="1"/>
  <c r="I248" i="6"/>
  <c r="J246" i="6"/>
  <c r="L246" i="6" s="1"/>
  <c r="I246" i="6"/>
  <c r="J244" i="6"/>
  <c r="L244" i="6" s="1"/>
  <c r="I244" i="6"/>
  <c r="J242" i="6"/>
  <c r="L242" i="6" s="1"/>
  <c r="I242" i="6"/>
  <c r="J240" i="6"/>
  <c r="L240" i="6" s="1"/>
  <c r="I240" i="6"/>
  <c r="J238" i="6"/>
  <c r="L238" i="6" s="1"/>
  <c r="I238" i="6"/>
  <c r="J236" i="6"/>
  <c r="L236" i="6" s="1"/>
  <c r="I236" i="6"/>
  <c r="L234" i="6"/>
  <c r="J234" i="6"/>
  <c r="I234" i="6"/>
  <c r="J232" i="6"/>
  <c r="L232" i="6" s="1"/>
  <c r="I232" i="6"/>
  <c r="J230" i="6"/>
  <c r="L230" i="6" s="1"/>
  <c r="I230" i="6"/>
  <c r="J228" i="6"/>
  <c r="L228" i="6" s="1"/>
  <c r="I228" i="6"/>
  <c r="J226" i="6"/>
  <c r="L226" i="6" s="1"/>
  <c r="I226" i="6"/>
  <c r="J224" i="6"/>
  <c r="L224" i="6" s="1"/>
  <c r="I224" i="6"/>
  <c r="J222" i="6"/>
  <c r="L222" i="6" s="1"/>
  <c r="I222" i="6"/>
  <c r="J220" i="6"/>
  <c r="L220" i="6" s="1"/>
  <c r="I220" i="6"/>
  <c r="L218" i="6"/>
  <c r="J218" i="6"/>
  <c r="I218" i="6"/>
  <c r="J216" i="6"/>
  <c r="L216" i="6" s="1"/>
  <c r="I216" i="6"/>
  <c r="J214" i="6"/>
  <c r="I214" i="6"/>
  <c r="J212" i="6"/>
  <c r="L212" i="6" s="1"/>
  <c r="I212" i="6"/>
  <c r="J210" i="6"/>
  <c r="L210" i="6" s="1"/>
  <c r="I210" i="6"/>
  <c r="J208" i="6"/>
  <c r="L208" i="6" s="1"/>
  <c r="I208" i="6"/>
  <c r="J206" i="6"/>
  <c r="L206" i="6" s="1"/>
  <c r="I206" i="6"/>
  <c r="J204" i="6"/>
  <c r="L204" i="6" s="1"/>
  <c r="I204" i="6"/>
  <c r="L202" i="6"/>
  <c r="J202" i="6"/>
  <c r="I202" i="6"/>
  <c r="J200" i="6"/>
  <c r="L200" i="6" s="1"/>
  <c r="I200" i="6"/>
  <c r="J198" i="6"/>
  <c r="L198" i="6" s="1"/>
  <c r="I198" i="6"/>
  <c r="J196" i="6"/>
  <c r="L196" i="6" s="1"/>
  <c r="I196" i="6"/>
  <c r="J194" i="6"/>
  <c r="L194" i="6" s="1"/>
  <c r="I194" i="6"/>
  <c r="J192" i="6"/>
  <c r="L192" i="6" s="1"/>
  <c r="I192" i="6"/>
  <c r="J190" i="6"/>
  <c r="L190" i="6" s="1"/>
  <c r="I190" i="6"/>
  <c r="J188" i="6"/>
  <c r="L188" i="6" s="1"/>
  <c r="I188" i="6"/>
  <c r="L186" i="6"/>
  <c r="J186" i="6"/>
  <c r="I186" i="6"/>
  <c r="J184" i="6"/>
  <c r="L184" i="6" s="1"/>
  <c r="I184" i="6"/>
  <c r="J182" i="6"/>
  <c r="I182" i="6"/>
  <c r="J180" i="6"/>
  <c r="L180" i="6" s="1"/>
  <c r="I180" i="6"/>
  <c r="J178" i="6"/>
  <c r="L178" i="6" s="1"/>
  <c r="I178" i="6"/>
  <c r="J176" i="6"/>
  <c r="L176" i="6" s="1"/>
  <c r="I176" i="6"/>
  <c r="J174" i="6"/>
  <c r="L174" i="6" s="1"/>
  <c r="I174" i="6"/>
  <c r="J172" i="6"/>
  <c r="L172" i="6" s="1"/>
  <c r="I172" i="6"/>
  <c r="L170" i="6"/>
  <c r="J170" i="6"/>
  <c r="I170" i="6"/>
  <c r="J168" i="6"/>
  <c r="L168" i="6" s="1"/>
  <c r="I168" i="6"/>
  <c r="J166" i="6"/>
  <c r="I166" i="6"/>
  <c r="J164" i="6"/>
  <c r="L164" i="6" s="1"/>
  <c r="I164" i="6"/>
  <c r="J162" i="6"/>
  <c r="L162" i="6" s="1"/>
  <c r="I162" i="6"/>
  <c r="J160" i="6"/>
  <c r="L160" i="6" s="1"/>
  <c r="I160" i="6"/>
  <c r="J158" i="6"/>
  <c r="L158" i="6" s="1"/>
  <c r="I158" i="6"/>
  <c r="J156" i="6"/>
  <c r="L156" i="6" s="1"/>
  <c r="I156" i="6"/>
  <c r="L154" i="6"/>
  <c r="J154" i="6"/>
  <c r="I154" i="6"/>
  <c r="J152" i="6"/>
  <c r="L152" i="6" s="1"/>
  <c r="I152" i="6"/>
  <c r="J150" i="6"/>
  <c r="I150" i="6"/>
  <c r="J148" i="6"/>
  <c r="L148" i="6" s="1"/>
  <c r="I148" i="6"/>
  <c r="J146" i="6"/>
  <c r="L146" i="6" s="1"/>
  <c r="I146" i="6"/>
  <c r="J144" i="6"/>
  <c r="L144" i="6" s="1"/>
  <c r="I144" i="6"/>
  <c r="J142" i="6"/>
  <c r="L142" i="6" s="1"/>
  <c r="I142" i="6"/>
  <c r="J140" i="6"/>
  <c r="L140" i="6" s="1"/>
  <c r="I140" i="6"/>
  <c r="L138" i="6"/>
  <c r="J138" i="6"/>
  <c r="I138" i="6"/>
  <c r="J136" i="6"/>
  <c r="L136" i="6" s="1"/>
  <c r="I136" i="6"/>
  <c r="J134" i="6"/>
  <c r="I134" i="6"/>
  <c r="J132" i="6"/>
  <c r="L132" i="6" s="1"/>
  <c r="I132" i="6"/>
  <c r="J130" i="6"/>
  <c r="L130" i="6" s="1"/>
  <c r="I130" i="6"/>
  <c r="J128" i="6"/>
  <c r="L128" i="6" s="1"/>
  <c r="I128" i="6"/>
  <c r="J126" i="6"/>
  <c r="L126" i="6" s="1"/>
  <c r="I126" i="6"/>
  <c r="J124" i="6"/>
  <c r="L124" i="6" s="1"/>
  <c r="I124" i="6"/>
  <c r="L122" i="6"/>
  <c r="J122" i="6"/>
  <c r="I122" i="6"/>
  <c r="J120" i="6"/>
  <c r="I120" i="6"/>
  <c r="J118" i="6"/>
  <c r="L118" i="6" s="1"/>
  <c r="I118" i="6"/>
  <c r="J116" i="6"/>
  <c r="L116" i="6" s="1"/>
  <c r="I116" i="6"/>
  <c r="J114" i="6"/>
  <c r="L114" i="6" s="1"/>
  <c r="I114" i="6"/>
  <c r="J112" i="6"/>
  <c r="L112" i="6" s="1"/>
  <c r="I112" i="6"/>
  <c r="J110" i="6"/>
  <c r="L110" i="6" s="1"/>
  <c r="I110" i="6"/>
  <c r="J108" i="6"/>
  <c r="L108" i="6" s="1"/>
  <c r="I108" i="6"/>
  <c r="L106" i="6"/>
  <c r="J106" i="6"/>
  <c r="I106" i="6"/>
  <c r="J104" i="6"/>
  <c r="L104" i="6" s="1"/>
  <c r="I104" i="6"/>
  <c r="J102" i="6"/>
  <c r="L102" i="6" s="1"/>
  <c r="I102" i="6"/>
  <c r="J100" i="6"/>
  <c r="L100" i="6" s="1"/>
  <c r="I100" i="6"/>
  <c r="J98" i="6"/>
  <c r="L98" i="6" s="1"/>
  <c r="I98" i="6"/>
  <c r="J96" i="6"/>
  <c r="L96" i="6" s="1"/>
  <c r="I96" i="6"/>
  <c r="J94" i="6"/>
  <c r="L94" i="6" s="1"/>
  <c r="I94" i="6"/>
  <c r="J92" i="6"/>
  <c r="L92" i="6" s="1"/>
  <c r="I92" i="6"/>
  <c r="L90" i="6"/>
  <c r="J90" i="6"/>
  <c r="I90" i="6"/>
  <c r="J88" i="6"/>
  <c r="L88" i="6" s="1"/>
  <c r="I88" i="6"/>
  <c r="J86" i="6"/>
  <c r="L86" i="6" s="1"/>
  <c r="I86" i="6"/>
  <c r="J84" i="6"/>
  <c r="L84" i="6" s="1"/>
  <c r="I84" i="6"/>
  <c r="J82" i="6"/>
  <c r="L82" i="6" s="1"/>
  <c r="I82" i="6"/>
  <c r="J80" i="6"/>
  <c r="L80" i="6" s="1"/>
  <c r="I80" i="6"/>
  <c r="J78" i="6"/>
  <c r="L78" i="6" s="1"/>
  <c r="I78" i="6"/>
  <c r="J76" i="6"/>
  <c r="L76" i="6" s="1"/>
  <c r="I76" i="6"/>
  <c r="J74" i="6"/>
  <c r="I74" i="6"/>
  <c r="J72" i="6"/>
  <c r="I72" i="6"/>
  <c r="J70" i="6"/>
  <c r="I70" i="6"/>
  <c r="J68" i="6"/>
  <c r="I68" i="6"/>
  <c r="J66" i="6"/>
  <c r="I66" i="6"/>
  <c r="L64" i="6"/>
  <c r="J64" i="6"/>
  <c r="I64" i="6"/>
  <c r="J62" i="6"/>
  <c r="L62" i="6" s="1"/>
  <c r="I62" i="6"/>
  <c r="J60" i="6"/>
  <c r="I60" i="6"/>
  <c r="L58" i="6"/>
  <c r="J58" i="6"/>
  <c r="I58" i="6"/>
  <c r="J56" i="6"/>
  <c r="L56" i="6" s="1"/>
  <c r="I56" i="6"/>
  <c r="J54" i="6"/>
  <c r="I54" i="6"/>
  <c r="J52" i="6"/>
  <c r="L52" i="6" s="1"/>
  <c r="I52" i="6"/>
  <c r="J50" i="6"/>
  <c r="L50" i="6" s="1"/>
  <c r="I50" i="6"/>
  <c r="L48" i="6"/>
  <c r="J48" i="6"/>
  <c r="I48" i="6"/>
  <c r="J46" i="6"/>
  <c r="L46" i="6" s="1"/>
  <c r="I46" i="6"/>
  <c r="J44" i="6"/>
  <c r="L44" i="6" s="1"/>
  <c r="I44" i="6"/>
  <c r="L42" i="6"/>
  <c r="J42" i="6"/>
  <c r="I42" i="6"/>
  <c r="J40" i="6"/>
  <c r="L40" i="6" s="1"/>
  <c r="I40" i="6"/>
  <c r="J38" i="6"/>
  <c r="I38" i="6"/>
  <c r="J36" i="6"/>
  <c r="L36" i="6" s="1"/>
  <c r="I36" i="6"/>
  <c r="J34" i="6"/>
  <c r="L34" i="6" s="1"/>
  <c r="I34" i="6"/>
  <c r="J32" i="6"/>
  <c r="L32" i="6" s="1"/>
  <c r="I32" i="6"/>
  <c r="J30" i="6"/>
  <c r="L30" i="6" s="1"/>
  <c r="I30" i="6"/>
  <c r="J28" i="6"/>
  <c r="I28" i="6"/>
  <c r="L26" i="6"/>
  <c r="J26" i="6"/>
  <c r="I26" i="6"/>
  <c r="J24" i="6"/>
  <c r="L24" i="6" s="1"/>
  <c r="I24" i="6"/>
  <c r="J22" i="6"/>
  <c r="L22" i="6" s="1"/>
  <c r="I22" i="6"/>
  <c r="J20" i="6"/>
  <c r="L20" i="6" s="1"/>
  <c r="I20" i="6"/>
  <c r="J18" i="6"/>
  <c r="L18" i="6" s="1"/>
  <c r="I18" i="6"/>
  <c r="J16" i="6"/>
  <c r="L16" i="6" s="1"/>
  <c r="I16" i="6"/>
  <c r="J14" i="6"/>
  <c r="L14" i="6" s="1"/>
  <c r="I14" i="6"/>
  <c r="J12" i="6"/>
  <c r="I12" i="6"/>
  <c r="L10" i="6"/>
  <c r="J10" i="6"/>
  <c r="I10" i="6"/>
  <c r="J8" i="6"/>
  <c r="L8" i="6" s="1"/>
  <c r="I8" i="6"/>
  <c r="J6" i="6"/>
  <c r="L6" i="6" s="1"/>
  <c r="I6" i="6"/>
  <c r="J4" i="6"/>
  <c r="L4" i="6" s="1"/>
  <c r="I4" i="6"/>
  <c r="J374" i="7"/>
  <c r="I374" i="7"/>
  <c r="Z374" i="7" s="1"/>
  <c r="J372" i="7"/>
  <c r="L372" i="7" s="1"/>
  <c r="I372" i="7"/>
  <c r="Z372" i="7" s="1"/>
  <c r="J370" i="7"/>
  <c r="L370" i="7" s="1"/>
  <c r="I370" i="7"/>
  <c r="Z370" i="7" s="1"/>
  <c r="J368" i="7"/>
  <c r="I368" i="7"/>
  <c r="Z368" i="7" s="1"/>
  <c r="J366" i="7"/>
  <c r="I366" i="7"/>
  <c r="Z366" i="7" s="1"/>
  <c r="J364" i="7"/>
  <c r="L364" i="7" s="1"/>
  <c r="I364" i="7"/>
  <c r="Z364" i="7" s="1"/>
  <c r="J362" i="7"/>
  <c r="L362" i="7" s="1"/>
  <c r="I362" i="7"/>
  <c r="Z362" i="7" s="1"/>
  <c r="J360" i="7"/>
  <c r="I360" i="7"/>
  <c r="Z360" i="7" s="1"/>
  <c r="J358" i="7"/>
  <c r="I358" i="7"/>
  <c r="Z358" i="7" s="1"/>
  <c r="J356" i="7"/>
  <c r="L356" i="7" s="1"/>
  <c r="I356" i="7"/>
  <c r="Z356" i="7" s="1"/>
  <c r="J354" i="7"/>
  <c r="L354" i="7" s="1"/>
  <c r="I354" i="7"/>
  <c r="Z354" i="7" s="1"/>
  <c r="J352" i="7"/>
  <c r="I352" i="7"/>
  <c r="Z352" i="7" s="1"/>
  <c r="J350" i="7"/>
  <c r="I350" i="7"/>
  <c r="Z350" i="7" s="1"/>
  <c r="J348" i="7"/>
  <c r="L348" i="7" s="1"/>
  <c r="I348" i="7"/>
  <c r="Z348" i="7" s="1"/>
  <c r="J346" i="7"/>
  <c r="L346" i="7" s="1"/>
  <c r="I346" i="7"/>
  <c r="Z346" i="7" s="1"/>
  <c r="J344" i="7"/>
  <c r="I344" i="7"/>
  <c r="Z344" i="7" s="1"/>
  <c r="J342" i="7"/>
  <c r="I342" i="7"/>
  <c r="Z342" i="7" s="1"/>
  <c r="J340" i="7"/>
  <c r="L340" i="7" s="1"/>
  <c r="I340" i="7"/>
  <c r="Z340" i="7" s="1"/>
  <c r="J338" i="7"/>
  <c r="L338" i="7" s="1"/>
  <c r="I338" i="7"/>
  <c r="Z338" i="7" s="1"/>
  <c r="J336" i="7"/>
  <c r="L336" i="7" s="1"/>
  <c r="I336" i="7"/>
  <c r="Z336" i="7" s="1"/>
  <c r="J334" i="7"/>
  <c r="I334" i="7"/>
  <c r="Z334" i="7" s="1"/>
  <c r="J332" i="7"/>
  <c r="I332" i="7"/>
  <c r="Z332" i="7" s="1"/>
  <c r="J330" i="7"/>
  <c r="I330" i="7"/>
  <c r="Z330" i="7" s="1"/>
  <c r="J328" i="7"/>
  <c r="I328" i="7"/>
  <c r="Z328" i="7" s="1"/>
  <c r="J326" i="7"/>
  <c r="I326" i="7"/>
  <c r="Z326" i="7" s="1"/>
  <c r="J324" i="7"/>
  <c r="I324" i="7"/>
  <c r="Z324" i="7" s="1"/>
  <c r="J322" i="7"/>
  <c r="L322" i="7" s="1"/>
  <c r="I322" i="7"/>
  <c r="Z322" i="7" s="1"/>
  <c r="J320" i="7"/>
  <c r="I320" i="7"/>
  <c r="Z320" i="7" s="1"/>
  <c r="J318" i="7"/>
  <c r="L318" i="7" s="1"/>
  <c r="I318" i="7"/>
  <c r="Z318" i="7" s="1"/>
  <c r="J315" i="7"/>
  <c r="L315" i="7" s="1"/>
  <c r="I315" i="7"/>
  <c r="Z315" i="7" s="1"/>
  <c r="J313" i="7"/>
  <c r="I313" i="7"/>
  <c r="Z313" i="7" s="1"/>
  <c r="J311" i="7"/>
  <c r="I311" i="7"/>
  <c r="Z311" i="7" s="1"/>
  <c r="L309" i="7"/>
  <c r="J309" i="7"/>
  <c r="I309" i="7"/>
  <c r="Z309" i="7" s="1"/>
  <c r="J307" i="7"/>
  <c r="I307" i="7"/>
  <c r="Z307" i="7" s="1"/>
  <c r="J305" i="7"/>
  <c r="I305" i="7"/>
  <c r="Z305" i="7" s="1"/>
  <c r="J303" i="7"/>
  <c r="I303" i="7"/>
  <c r="Z303" i="7" s="1"/>
  <c r="J301" i="7"/>
  <c r="I301" i="7"/>
  <c r="Z301" i="7" s="1"/>
  <c r="J299" i="7"/>
  <c r="I299" i="7"/>
  <c r="Z299" i="7" s="1"/>
  <c r="J297" i="7"/>
  <c r="L297" i="7" s="1"/>
  <c r="I297" i="7"/>
  <c r="Z297" i="7" s="1"/>
  <c r="J295" i="7"/>
  <c r="L295" i="7" s="1"/>
  <c r="I295" i="7"/>
  <c r="Z295" i="7" s="1"/>
  <c r="J293" i="7"/>
  <c r="L293" i="7" s="1"/>
  <c r="I293" i="7"/>
  <c r="Z293" i="7" s="1"/>
  <c r="J291" i="7"/>
  <c r="I291" i="7"/>
  <c r="Z291" i="7" s="1"/>
  <c r="J289" i="7"/>
  <c r="I289" i="7"/>
  <c r="Z289" i="7" s="1"/>
  <c r="J287" i="7"/>
  <c r="L287" i="7" s="1"/>
  <c r="I287" i="7"/>
  <c r="Z287" i="7" s="1"/>
  <c r="J285" i="7"/>
  <c r="L285" i="7" s="1"/>
  <c r="I285" i="7"/>
  <c r="Z285" i="7" s="1"/>
  <c r="J283" i="7"/>
  <c r="I283" i="7"/>
  <c r="Z283" i="7" s="1"/>
  <c r="J281" i="7"/>
  <c r="I281" i="7"/>
  <c r="Z281" i="7" s="1"/>
  <c r="L279" i="7"/>
  <c r="J279" i="7"/>
  <c r="I279" i="7"/>
  <c r="Z279" i="7" s="1"/>
  <c r="J277" i="7"/>
  <c r="I277" i="7"/>
  <c r="Z277" i="7" s="1"/>
  <c r="J275" i="7"/>
  <c r="I275" i="7"/>
  <c r="Z275" i="7" s="1"/>
  <c r="J273" i="7"/>
  <c r="I273" i="7"/>
  <c r="Z273" i="7" s="1"/>
  <c r="J271" i="7"/>
  <c r="L271" i="7" s="1"/>
  <c r="I271" i="7"/>
  <c r="Z271" i="7" s="1"/>
  <c r="J268" i="7"/>
  <c r="I268" i="7"/>
  <c r="Z268" i="7" s="1"/>
  <c r="J266" i="7"/>
  <c r="L266" i="7" s="1"/>
  <c r="I266" i="7"/>
  <c r="Z266" i="7" s="1"/>
  <c r="J264" i="7"/>
  <c r="I264" i="7"/>
  <c r="Z264" i="7" s="1"/>
  <c r="J262" i="7"/>
  <c r="I262" i="7"/>
  <c r="Z262" i="7" s="1"/>
  <c r="J260" i="7"/>
  <c r="I260" i="7"/>
  <c r="Z260" i="7" s="1"/>
  <c r="J258" i="7"/>
  <c r="I258" i="7"/>
  <c r="Z258" i="7" s="1"/>
  <c r="J256" i="7"/>
  <c r="I256" i="7"/>
  <c r="Z256" i="7" s="1"/>
  <c r="J254" i="7"/>
  <c r="I254" i="7"/>
  <c r="Z254" i="7" s="1"/>
  <c r="J252" i="7"/>
  <c r="L252" i="7" s="1"/>
  <c r="I252" i="7"/>
  <c r="Z252" i="7" s="1"/>
  <c r="J250" i="7"/>
  <c r="L250" i="7" s="1"/>
  <c r="I250" i="7"/>
  <c r="Z250" i="7" s="1"/>
  <c r="J248" i="7"/>
  <c r="L248" i="7" s="1"/>
  <c r="I248" i="7"/>
  <c r="Z248" i="7" s="1"/>
  <c r="J246" i="7"/>
  <c r="I246" i="7"/>
  <c r="Z246" i="7" s="1"/>
  <c r="J244" i="7"/>
  <c r="I244" i="7"/>
  <c r="Z244" i="7" s="1"/>
  <c r="L242" i="7"/>
  <c r="J242" i="7"/>
  <c r="I242" i="7"/>
  <c r="Z242" i="7" s="1"/>
  <c r="J240" i="7"/>
  <c r="I240" i="7"/>
  <c r="Z240" i="7" s="1"/>
  <c r="J238" i="7"/>
  <c r="I238" i="7"/>
  <c r="Z238" i="7" s="1"/>
  <c r="J236" i="7"/>
  <c r="L236" i="7" s="1"/>
  <c r="I236" i="7"/>
  <c r="Z236" i="7" s="1"/>
  <c r="J234" i="7"/>
  <c r="L234" i="7" s="1"/>
  <c r="I234" i="7"/>
  <c r="Z234" i="7" s="1"/>
  <c r="J232" i="7"/>
  <c r="I232" i="7"/>
  <c r="Z232" i="7" s="1"/>
  <c r="J230" i="7"/>
  <c r="I230" i="7"/>
  <c r="Z230" i="7" s="1"/>
  <c r="J228" i="7"/>
  <c r="L228" i="7" s="1"/>
  <c r="I228" i="7"/>
  <c r="Z228" i="7" s="1"/>
  <c r="J226" i="7"/>
  <c r="L226" i="7" s="1"/>
  <c r="I226" i="7"/>
  <c r="Z226" i="7" s="1"/>
  <c r="J224" i="7"/>
  <c r="I224" i="7"/>
  <c r="Z224" i="7" s="1"/>
  <c r="J222" i="7"/>
  <c r="I222" i="7"/>
  <c r="Z222" i="7" s="1"/>
  <c r="L220" i="7"/>
  <c r="J220" i="7"/>
  <c r="I220" i="7"/>
  <c r="Z220" i="7" s="1"/>
  <c r="J218" i="7"/>
  <c r="I218" i="7"/>
  <c r="Z218" i="7" s="1"/>
  <c r="J216" i="7"/>
  <c r="I216" i="7"/>
  <c r="Z216" i="7" s="1"/>
  <c r="J214" i="7"/>
  <c r="I214" i="7"/>
  <c r="Z214" i="7" s="1"/>
  <c r="J212" i="7"/>
  <c r="I212" i="7"/>
  <c r="Z212" i="7" s="1"/>
  <c r="J210" i="7"/>
  <c r="I210" i="7"/>
  <c r="Z210" i="7" s="1"/>
  <c r="J208" i="7"/>
  <c r="I208" i="7"/>
  <c r="Z208" i="7" s="1"/>
  <c r="J206" i="7"/>
  <c r="I206" i="7"/>
  <c r="Z206" i="7" s="1"/>
  <c r="J204" i="7"/>
  <c r="I204" i="7"/>
  <c r="Z204" i="7" s="1"/>
  <c r="J202" i="7"/>
  <c r="I202" i="7"/>
  <c r="Z202" i="7" s="1"/>
  <c r="J200" i="7"/>
  <c r="L200" i="7" s="1"/>
  <c r="I200" i="7"/>
  <c r="Z200" i="7" s="1"/>
  <c r="J198" i="7"/>
  <c r="L198" i="7" s="1"/>
  <c r="I198" i="7"/>
  <c r="Z198" i="7" s="1"/>
  <c r="J196" i="7"/>
  <c r="I196" i="7"/>
  <c r="Z196" i="7" s="1"/>
  <c r="J194" i="7"/>
  <c r="I194" i="7"/>
  <c r="Z194" i="7" s="1"/>
  <c r="J192" i="7"/>
  <c r="I192" i="7"/>
  <c r="Z192" i="7" s="1"/>
  <c r="J190" i="7"/>
  <c r="L190" i="7" s="1"/>
  <c r="I190" i="7"/>
  <c r="Z190" i="7" s="1"/>
  <c r="J188" i="7"/>
  <c r="I188" i="7"/>
  <c r="Z188" i="7" s="1"/>
  <c r="J186" i="7"/>
  <c r="I186" i="7"/>
  <c r="Z186" i="7" s="1"/>
  <c r="J184" i="7"/>
  <c r="L184" i="7" s="1"/>
  <c r="I184" i="7"/>
  <c r="Z184" i="7" s="1"/>
  <c r="J182" i="7"/>
  <c r="I182" i="7"/>
  <c r="Z182" i="7" s="1"/>
  <c r="J180" i="7"/>
  <c r="L180" i="7" s="1"/>
  <c r="I180" i="7"/>
  <c r="Z180" i="7" s="1"/>
  <c r="J178" i="7"/>
  <c r="I178" i="7"/>
  <c r="Z178" i="7" s="1"/>
  <c r="J176" i="7"/>
  <c r="I176" i="7"/>
  <c r="Z176" i="7" s="1"/>
  <c r="J174" i="7"/>
  <c r="I174" i="7"/>
  <c r="Z174" i="7" s="1"/>
  <c r="J172" i="7"/>
  <c r="L172" i="7" s="1"/>
  <c r="I172" i="7"/>
  <c r="Z172" i="7" s="1"/>
  <c r="J170" i="7"/>
  <c r="I170" i="7"/>
  <c r="Z170" i="7" s="1"/>
  <c r="J168" i="7"/>
  <c r="L168" i="7" s="1"/>
  <c r="I168" i="7"/>
  <c r="Z168" i="7" s="1"/>
  <c r="J166" i="7"/>
  <c r="I166" i="7"/>
  <c r="Z166" i="7" s="1"/>
  <c r="J164" i="7"/>
  <c r="I164" i="7"/>
  <c r="Z164" i="7" s="1"/>
  <c r="J162" i="7"/>
  <c r="I162" i="7"/>
  <c r="Z162" i="7" s="1"/>
  <c r="J160" i="7"/>
  <c r="L160" i="7" s="1"/>
  <c r="I160" i="7"/>
  <c r="Z160" i="7" s="1"/>
  <c r="J158" i="7"/>
  <c r="I158" i="7"/>
  <c r="Z158" i="7" s="1"/>
  <c r="J156" i="7"/>
  <c r="I156" i="7"/>
  <c r="Z156" i="7" s="1"/>
  <c r="J154" i="7"/>
  <c r="L154" i="7" s="1"/>
  <c r="I154" i="7"/>
  <c r="Z154" i="7" s="1"/>
  <c r="J152" i="7"/>
  <c r="I152" i="7"/>
  <c r="Z152" i="7" s="1"/>
  <c r="J150" i="7"/>
  <c r="L150" i="7" s="1"/>
  <c r="I150" i="7"/>
  <c r="Z150" i="7" s="1"/>
  <c r="J148" i="7"/>
  <c r="L148" i="7" s="1"/>
  <c r="I148" i="7"/>
  <c r="Z148" i="7" s="1"/>
  <c r="J146" i="7"/>
  <c r="L146" i="7" s="1"/>
  <c r="I146" i="7"/>
  <c r="Z146" i="7" s="1"/>
  <c r="J144" i="7"/>
  <c r="I144" i="7"/>
  <c r="Z144" i="7" s="1"/>
  <c r="J142" i="7"/>
  <c r="I142" i="7"/>
  <c r="Z142" i="7" s="1"/>
  <c r="J140" i="7"/>
  <c r="I140" i="7"/>
  <c r="Z140" i="7" s="1"/>
  <c r="J138" i="7"/>
  <c r="L138" i="7" s="1"/>
  <c r="I138" i="7"/>
  <c r="Z138" i="7" s="1"/>
  <c r="J136" i="7"/>
  <c r="I136" i="7"/>
  <c r="Z136" i="7" s="1"/>
  <c r="J134" i="7"/>
  <c r="I134" i="7"/>
  <c r="Z134" i="7" s="1"/>
  <c r="J132" i="7"/>
  <c r="L132" i="7" s="1"/>
  <c r="I132" i="7"/>
  <c r="Z132" i="7" s="1"/>
  <c r="J130" i="7"/>
  <c r="I130" i="7"/>
  <c r="Z130" i="7" s="1"/>
  <c r="J128" i="7"/>
  <c r="L128" i="7" s="1"/>
  <c r="I128" i="7"/>
  <c r="Z128" i="7" s="1"/>
  <c r="J126" i="7"/>
  <c r="I126" i="7"/>
  <c r="Z126" i="7" s="1"/>
  <c r="J124" i="7"/>
  <c r="I124" i="7"/>
  <c r="Z124" i="7" s="1"/>
  <c r="J122" i="7"/>
  <c r="I122" i="7"/>
  <c r="Z122" i="7" s="1"/>
  <c r="J120" i="7"/>
  <c r="I120" i="7"/>
  <c r="Z120" i="7" s="1"/>
  <c r="J118" i="7"/>
  <c r="I118" i="7"/>
  <c r="Z118" i="7" s="1"/>
  <c r="J116" i="7"/>
  <c r="L116" i="7" s="1"/>
  <c r="I116" i="7"/>
  <c r="Z116" i="7" s="1"/>
  <c r="J114" i="7"/>
  <c r="I114" i="7"/>
  <c r="Z114" i="7" s="1"/>
  <c r="J112" i="7"/>
  <c r="I112" i="7"/>
  <c r="Z112" i="7" s="1"/>
  <c r="J110" i="7"/>
  <c r="I110" i="7"/>
  <c r="Z110" i="7" s="1"/>
  <c r="J108" i="7"/>
  <c r="L108" i="7" s="1"/>
  <c r="I108" i="7"/>
  <c r="Z108" i="7" s="1"/>
  <c r="J106" i="7"/>
  <c r="I106" i="7"/>
  <c r="Z106" i="7" s="1"/>
  <c r="J104" i="7"/>
  <c r="I104" i="7"/>
  <c r="Z104" i="7" s="1"/>
  <c r="J102" i="7"/>
  <c r="I102" i="7"/>
  <c r="Z102" i="7" s="1"/>
  <c r="J100" i="7"/>
  <c r="L100" i="7" s="1"/>
  <c r="I100" i="7"/>
  <c r="Z100" i="7" s="1"/>
  <c r="J98" i="7"/>
  <c r="I98" i="7"/>
  <c r="Z98" i="7" s="1"/>
  <c r="J96" i="7"/>
  <c r="L96" i="7" s="1"/>
  <c r="I96" i="7"/>
  <c r="Z96" i="7" s="1"/>
  <c r="J94" i="7"/>
  <c r="I94" i="7"/>
  <c r="Z94" i="7" s="1"/>
  <c r="J92" i="7"/>
  <c r="I92" i="7"/>
  <c r="Z92" i="7" s="1"/>
  <c r="J90" i="7"/>
  <c r="L90" i="7" s="1"/>
  <c r="I90" i="7"/>
  <c r="Z90" i="7" s="1"/>
  <c r="J88" i="7"/>
  <c r="I88" i="7"/>
  <c r="Z88" i="7" s="1"/>
  <c r="J86" i="7"/>
  <c r="I86" i="7"/>
  <c r="Z86" i="7" s="1"/>
  <c r="J84" i="7"/>
  <c r="I84" i="7"/>
  <c r="Z84" i="7" s="1"/>
  <c r="J82" i="7"/>
  <c r="L82" i="7" s="1"/>
  <c r="I82" i="7"/>
  <c r="Z82" i="7" s="1"/>
  <c r="J80" i="7"/>
  <c r="L80" i="7" s="1"/>
  <c r="I80" i="7"/>
  <c r="Z80" i="7" s="1"/>
  <c r="J78" i="7"/>
  <c r="L78" i="7" s="1"/>
  <c r="I78" i="7"/>
  <c r="Z78" i="7" s="1"/>
  <c r="J76" i="7"/>
  <c r="I76" i="7"/>
  <c r="Z76" i="7" s="1"/>
  <c r="J74" i="7"/>
  <c r="I74" i="7"/>
  <c r="Z74" i="7" s="1"/>
  <c r="J72" i="7"/>
  <c r="I72" i="7"/>
  <c r="Z72" i="7" s="1"/>
  <c r="J70" i="7"/>
  <c r="I70" i="7"/>
  <c r="Z70" i="7" s="1"/>
  <c r="J68" i="7"/>
  <c r="I68" i="7"/>
  <c r="Z68" i="7" s="1"/>
  <c r="J66" i="7"/>
  <c r="I66" i="7"/>
  <c r="Z66" i="7" s="1"/>
  <c r="J64" i="7"/>
  <c r="L64" i="7" s="1"/>
  <c r="I64" i="7"/>
  <c r="Z64" i="7" s="1"/>
  <c r="J62" i="7"/>
  <c r="I62" i="7"/>
  <c r="Z62" i="7" s="1"/>
  <c r="J60" i="7"/>
  <c r="I60" i="7"/>
  <c r="Z60" i="7" s="1"/>
  <c r="J58" i="7"/>
  <c r="I58" i="7"/>
  <c r="Z58" i="7" s="1"/>
  <c r="J56" i="7"/>
  <c r="I56" i="7"/>
  <c r="Z56" i="7" s="1"/>
  <c r="J54" i="7"/>
  <c r="I54" i="7"/>
  <c r="Z54" i="7" s="1"/>
  <c r="J52" i="7"/>
  <c r="I52" i="7"/>
  <c r="Z52" i="7" s="1"/>
  <c r="J50" i="7"/>
  <c r="I50" i="7"/>
  <c r="Z50" i="7" s="1"/>
  <c r="J48" i="7"/>
  <c r="I48" i="7"/>
  <c r="Z48" i="7" s="1"/>
  <c r="J46" i="7"/>
  <c r="I46" i="7"/>
  <c r="Z46" i="7" s="1"/>
  <c r="J44" i="7"/>
  <c r="L44" i="7" s="1"/>
  <c r="I44" i="7"/>
  <c r="Z44" i="7" s="1"/>
  <c r="J42" i="7"/>
  <c r="I42" i="7"/>
  <c r="Z42" i="7" s="1"/>
  <c r="J40" i="7"/>
  <c r="L40" i="7" s="1"/>
  <c r="I40" i="7"/>
  <c r="Z40" i="7" s="1"/>
  <c r="J38" i="7"/>
  <c r="I38" i="7"/>
  <c r="Z38" i="7" s="1"/>
  <c r="J36" i="7"/>
  <c r="I36" i="7"/>
  <c r="Z36" i="7" s="1"/>
  <c r="J34" i="7"/>
  <c r="I34" i="7"/>
  <c r="Z34" i="7" s="1"/>
  <c r="J32" i="7"/>
  <c r="L32" i="7" s="1"/>
  <c r="I32" i="7"/>
  <c r="Z32" i="7" s="1"/>
  <c r="J30" i="7"/>
  <c r="I30" i="7"/>
  <c r="Z30" i="7" s="1"/>
  <c r="J28" i="7"/>
  <c r="L28" i="7" s="1"/>
  <c r="I28" i="7"/>
  <c r="Z28" i="7" s="1"/>
  <c r="J26" i="7"/>
  <c r="I26" i="7"/>
  <c r="Z26" i="7" s="1"/>
  <c r="J24" i="7"/>
  <c r="I24" i="7"/>
  <c r="Z24" i="7" s="1"/>
  <c r="J22" i="7"/>
  <c r="I22" i="7"/>
  <c r="Z22" i="7" s="1"/>
  <c r="J20" i="7"/>
  <c r="I20" i="7"/>
  <c r="Z20" i="7" s="1"/>
  <c r="J18" i="7"/>
  <c r="I18" i="7"/>
  <c r="Z18" i="7" s="1"/>
  <c r="J16" i="7"/>
  <c r="I16" i="7"/>
  <c r="Z16" i="7" s="1"/>
  <c r="J14" i="7"/>
  <c r="I14" i="7"/>
  <c r="Z14" i="7" s="1"/>
  <c r="J12" i="7"/>
  <c r="L12" i="7" s="1"/>
  <c r="I12" i="7"/>
  <c r="Z12" i="7" s="1"/>
  <c r="J10" i="7"/>
  <c r="L10" i="7" s="1"/>
  <c r="I10" i="7"/>
  <c r="Z10" i="7" s="1"/>
  <c r="J8" i="7"/>
  <c r="I8" i="7"/>
  <c r="Z8" i="7" s="1"/>
  <c r="J6" i="7"/>
  <c r="I6" i="7"/>
  <c r="Z6" i="7" s="1"/>
  <c r="J4" i="7"/>
  <c r="I4" i="7"/>
  <c r="Z4" i="7" s="1"/>
  <c r="AA4" i="7" s="1"/>
  <c r="AA6" i="7" l="1"/>
  <c r="AA8" i="7" s="1"/>
  <c r="AA10" i="7" s="1"/>
  <c r="AA12" i="7" s="1"/>
  <c r="AA14" i="7" s="1"/>
  <c r="AA16" i="7" s="1"/>
  <c r="AA18" i="7" s="1"/>
  <c r="AA20" i="7" s="1"/>
  <c r="AA22" i="7" s="1"/>
  <c r="AA24" i="7" s="1"/>
  <c r="AA26" i="7" s="1"/>
  <c r="AA28" i="7" s="1"/>
  <c r="AA30" i="7" s="1"/>
  <c r="AA32" i="7" s="1"/>
  <c r="AA34" i="7" s="1"/>
  <c r="AA36" i="7" s="1"/>
  <c r="AA38" i="7" s="1"/>
  <c r="AA40" i="7" s="1"/>
  <c r="AA42" i="7" s="1"/>
  <c r="AA44" i="7" s="1"/>
  <c r="AA46" i="7" s="1"/>
  <c r="AA48" i="7" s="1"/>
  <c r="AA50" i="7" s="1"/>
  <c r="AA52" i="7" s="1"/>
  <c r="AA54" i="7" s="1"/>
  <c r="AA56" i="7" s="1"/>
  <c r="AA58" i="7" s="1"/>
  <c r="AA60" i="7" s="1"/>
  <c r="AA62" i="7" s="1"/>
  <c r="AA64" i="7" s="1"/>
  <c r="L26" i="7"/>
  <c r="L86" i="7"/>
  <c r="L176" i="7"/>
  <c r="L206" i="7"/>
  <c r="L273" i="7"/>
  <c r="L42" i="7"/>
  <c r="L192" i="7"/>
  <c r="L281" i="7"/>
  <c r="L311" i="7"/>
  <c r="L342" i="7"/>
  <c r="L374" i="7"/>
  <c r="L20" i="7"/>
  <c r="L50" i="7"/>
  <c r="L260" i="7"/>
  <c r="L60" i="7"/>
  <c r="L8" i="7"/>
  <c r="L98" i="7"/>
  <c r="L114" i="7"/>
  <c r="L136" i="7"/>
  <c r="L166" i="7"/>
  <c r="L188" i="7"/>
  <c r="L16" i="7"/>
  <c r="L24" i="7"/>
  <c r="L46" i="7"/>
  <c r="L54" i="7"/>
  <c r="L62" i="7"/>
  <c r="L84" i="7"/>
  <c r="L92" i="7"/>
  <c r="L122" i="7"/>
  <c r="L130" i="7"/>
  <c r="L152" i="7"/>
  <c r="L174" i="7"/>
  <c r="L182" i="7"/>
  <c r="L204" i="7"/>
  <c r="L212" i="7"/>
  <c r="L256" i="7"/>
  <c r="L264" i="7"/>
  <c r="L301" i="7"/>
  <c r="L324" i="7"/>
  <c r="L332" i="7"/>
  <c r="L48" i="7"/>
  <c r="L214" i="7"/>
  <c r="L258" i="7"/>
  <c r="L326" i="7"/>
  <c r="L366" i="7"/>
  <c r="L170" i="7"/>
  <c r="L208" i="7"/>
  <c r="L305" i="7"/>
  <c r="L36" i="7"/>
  <c r="L104" i="7"/>
  <c r="L112" i="7"/>
  <c r="L134" i="7"/>
  <c r="L142" i="7"/>
  <c r="L156" i="7"/>
  <c r="L164" i="7"/>
  <c r="L186" i="7"/>
  <c r="L194" i="7"/>
  <c r="L224" i="7"/>
  <c r="L232" i="7"/>
  <c r="L246" i="7"/>
  <c r="L268" i="7"/>
  <c r="L283" i="7"/>
  <c r="L291" i="7"/>
  <c r="L313" i="7"/>
  <c r="L344" i="7"/>
  <c r="L352" i="7"/>
  <c r="L360" i="7"/>
  <c r="L368" i="7"/>
  <c r="L18" i="7"/>
  <c r="L303" i="7"/>
  <c r="L334" i="7"/>
  <c r="L102" i="7"/>
  <c r="L140" i="7"/>
  <c r="L230" i="7"/>
  <c r="L244" i="7"/>
  <c r="L358" i="7"/>
  <c r="L58" i="7"/>
  <c r="L88" i="7"/>
  <c r="L118" i="7"/>
  <c r="L178" i="7"/>
  <c r="L238" i="7"/>
  <c r="L275" i="7"/>
  <c r="L328" i="7"/>
  <c r="L22" i="7"/>
  <c r="L52" i="7"/>
  <c r="L202" i="7"/>
  <c r="L210" i="7"/>
  <c r="L218" i="7"/>
  <c r="L240" i="7"/>
  <c r="L254" i="7"/>
  <c r="L262" i="7"/>
  <c r="L277" i="7"/>
  <c r="L299" i="7"/>
  <c r="L307" i="7"/>
  <c r="L330" i="7"/>
  <c r="L56" i="7"/>
  <c r="L94" i="7"/>
  <c r="L124" i="7"/>
  <c r="L4" i="7"/>
  <c r="L34" i="7"/>
  <c r="L110" i="7"/>
  <c r="L162" i="7"/>
  <c r="L222" i="7"/>
  <c r="L289" i="7"/>
  <c r="L320" i="7"/>
  <c r="L350" i="7"/>
  <c r="L126" i="7"/>
  <c r="L216" i="7"/>
  <c r="L6" i="7"/>
  <c r="L14" i="7"/>
  <c r="L30" i="7"/>
  <c r="L38" i="7"/>
  <c r="L76" i="7"/>
  <c r="L106" i="7"/>
  <c r="L144" i="7"/>
  <c r="L158" i="7"/>
  <c r="L196" i="7"/>
  <c r="L60" i="6"/>
  <c r="L262" i="6"/>
  <c r="L279" i="6"/>
  <c r="L54" i="6"/>
  <c r="L166" i="6"/>
  <c r="L295" i="6"/>
  <c r="L12" i="6"/>
  <c r="L182" i="6"/>
  <c r="L311" i="6"/>
  <c r="L38" i="6"/>
  <c r="L134" i="6"/>
  <c r="L150" i="6"/>
  <c r="L28" i="6"/>
  <c r="L214" i="6"/>
  <c r="L344" i="6"/>
  <c r="R369" i="3"/>
  <c r="R370" i="3"/>
  <c r="R371" i="3"/>
  <c r="R372" i="3"/>
  <c r="R374" i="3"/>
  <c r="R375" i="3"/>
  <c r="R376" i="3"/>
  <c r="R382" i="3"/>
  <c r="R383" i="3"/>
  <c r="R384" i="3"/>
  <c r="R344" i="3"/>
  <c r="R320" i="3"/>
  <c r="R296" i="3"/>
  <c r="R272" i="3"/>
  <c r="R381" i="3" s="1"/>
  <c r="R248" i="3"/>
  <c r="R380" i="3" s="1"/>
  <c r="R224" i="3"/>
  <c r="R379" i="3" s="1"/>
  <c r="R200" i="3"/>
  <c r="R378" i="3" s="1"/>
  <c r="R176" i="3"/>
  <c r="R377" i="3" s="1"/>
  <c r="R152" i="3"/>
  <c r="R128" i="3"/>
  <c r="R104" i="3"/>
  <c r="R80" i="3"/>
  <c r="R373" i="3" s="1"/>
  <c r="Q56" i="3"/>
  <c r="Q32" i="3"/>
  <c r="Q8" i="3"/>
  <c r="Q2" i="3"/>
  <c r="AA66" i="7" l="1"/>
  <c r="AA68" i="7" s="1"/>
  <c r="AA70" i="7" s="1"/>
  <c r="AA72" i="7" s="1"/>
  <c r="AA74" i="7" s="1"/>
  <c r="AA76" i="7" s="1"/>
  <c r="AA78" i="7" s="1"/>
  <c r="AA80" i="7" s="1"/>
  <c r="AA82" i="7" s="1"/>
  <c r="AA84" i="7" s="1"/>
  <c r="AA86" i="7" s="1"/>
  <c r="AA88" i="7" s="1"/>
  <c r="AA90" i="7" s="1"/>
  <c r="AA92" i="7" s="1"/>
  <c r="AA94" i="7" s="1"/>
  <c r="AA96" i="7" s="1"/>
  <c r="AA98" i="7" s="1"/>
  <c r="AA100" i="7" s="1"/>
  <c r="AA102" i="7" s="1"/>
  <c r="AA104" i="7" s="1"/>
  <c r="AA106" i="7" s="1"/>
  <c r="AA108" i="7" s="1"/>
  <c r="AA110" i="7" s="1"/>
  <c r="AA112" i="7" s="1"/>
  <c r="AA114" i="7" s="1"/>
  <c r="AA116" i="7" s="1"/>
  <c r="AA118" i="7" s="1"/>
  <c r="M232" i="7"/>
  <c r="Q344" i="3"/>
  <c r="Q320" i="3"/>
  <c r="Q296" i="3"/>
  <c r="Q272" i="3"/>
  <c r="Q248" i="3"/>
  <c r="Q224" i="3"/>
  <c r="Q200" i="3"/>
  <c r="Q176" i="3"/>
  <c r="Q152" i="3"/>
  <c r="Q128" i="3"/>
  <c r="Q104" i="3"/>
  <c r="Q80" i="3"/>
  <c r="M2" i="3"/>
  <c r="AA120" i="7" l="1"/>
  <c r="AA122" i="7" s="1"/>
  <c r="AA124" i="7" s="1"/>
  <c r="AA126" i="7" s="1"/>
  <c r="AA128" i="7" s="1"/>
  <c r="AA130" i="7" s="1"/>
  <c r="AA132" i="7" s="1"/>
  <c r="AA134" i="7" s="1"/>
  <c r="AA136" i="7" s="1"/>
  <c r="AA138" i="7" s="1"/>
  <c r="AA140" i="7" s="1"/>
  <c r="AA142" i="7" s="1"/>
  <c r="AA144" i="7" s="1"/>
  <c r="AA146" i="7" s="1"/>
  <c r="AA148" i="7" s="1"/>
  <c r="AA150" i="7" s="1"/>
  <c r="AA152" i="7" s="1"/>
  <c r="AA154" i="7" s="1"/>
  <c r="AA156" i="7" s="1"/>
  <c r="AA158" i="7" s="1"/>
  <c r="AA160" i="7" s="1"/>
  <c r="AA162" i="7" s="1"/>
  <c r="AA164" i="7" s="1"/>
  <c r="AA166" i="7" s="1"/>
  <c r="AA168" i="7" s="1"/>
  <c r="AA170" i="7" s="1"/>
  <c r="AA172" i="7" s="1"/>
  <c r="AA174" i="7" s="1"/>
  <c r="AA176" i="7" s="1"/>
  <c r="AA178" i="7" s="1"/>
  <c r="AA180" i="7" s="1"/>
  <c r="AA182" i="7" s="1"/>
  <c r="AA184" i="7" s="1"/>
  <c r="AA186" i="7" s="1"/>
  <c r="AA188" i="7" s="1"/>
  <c r="AA190" i="7" s="1"/>
  <c r="AA192" i="7" s="1"/>
  <c r="AA194" i="7" s="1"/>
  <c r="AA196" i="7" s="1"/>
  <c r="AA198" i="7" s="1"/>
  <c r="AA200" i="7" s="1"/>
  <c r="AA202" i="7" s="1"/>
  <c r="AA204" i="7" s="1"/>
  <c r="AA206" i="7" s="1"/>
  <c r="AA208" i="7" s="1"/>
  <c r="AA210" i="7" s="1"/>
  <c r="AA212" i="7" s="1"/>
  <c r="AA214" i="7" s="1"/>
  <c r="AA216" i="7" s="1"/>
  <c r="AA218" i="7" s="1"/>
  <c r="AA220" i="7" s="1"/>
  <c r="AA222" i="7" s="1"/>
  <c r="AA224" i="7" s="1"/>
  <c r="AA226" i="7" s="1"/>
  <c r="AA228" i="7" s="1"/>
  <c r="AA230" i="7" s="1"/>
  <c r="AA232" i="7" s="1"/>
  <c r="AA234" i="7" s="1"/>
  <c r="AA236" i="7" s="1"/>
  <c r="AA238" i="7" s="1"/>
  <c r="AA240" i="7" s="1"/>
  <c r="AA242" i="7" s="1"/>
  <c r="AA244" i="7" s="1"/>
  <c r="AA246" i="7" s="1"/>
  <c r="AA248" i="7" s="1"/>
  <c r="AA250" i="7" s="1"/>
  <c r="AA252" i="7" s="1"/>
  <c r="AA254" i="7" s="1"/>
  <c r="AA256" i="7" s="1"/>
  <c r="AA258" i="7" s="1"/>
  <c r="AA260" i="7" s="1"/>
  <c r="AA262" i="7" s="1"/>
  <c r="AA264" i="7" s="1"/>
  <c r="AA266" i="7" s="1"/>
  <c r="AA268" i="7" s="1"/>
  <c r="AA271" i="7" s="1"/>
  <c r="AA273" i="7" s="1"/>
  <c r="AA275" i="7" s="1"/>
  <c r="AA277" i="7" s="1"/>
  <c r="AA279" i="7" s="1"/>
  <c r="AA281" i="7" s="1"/>
  <c r="AA283" i="7" s="1"/>
  <c r="AA285" i="7" s="1"/>
  <c r="AA287" i="7" s="1"/>
  <c r="AA289" i="7" s="1"/>
  <c r="AA291" i="7" s="1"/>
  <c r="AA293" i="7" s="1"/>
  <c r="AA295" i="7" s="1"/>
  <c r="AA297" i="7" s="1"/>
  <c r="AA299" i="7" s="1"/>
  <c r="AA301" i="7" s="1"/>
  <c r="AA303" i="7" s="1"/>
  <c r="AA305" i="7" s="1"/>
  <c r="AA307" i="7" s="1"/>
  <c r="AA309" i="7" s="1"/>
  <c r="AA311" i="7" s="1"/>
  <c r="AA313" i="7" s="1"/>
  <c r="AA315" i="7" s="1"/>
  <c r="AA318" i="7" s="1"/>
  <c r="AA320" i="7" s="1"/>
  <c r="AA322" i="7" s="1"/>
  <c r="AA324" i="7" s="1"/>
  <c r="AA326" i="7" s="1"/>
  <c r="AA328" i="7" s="1"/>
  <c r="AA330" i="7" s="1"/>
  <c r="AA332" i="7" s="1"/>
  <c r="AA334" i="7" s="1"/>
  <c r="AA336" i="7" s="1"/>
  <c r="AA338" i="7" s="1"/>
  <c r="AA340" i="7" s="1"/>
  <c r="AA342" i="7" s="1"/>
  <c r="AA344" i="7" s="1"/>
  <c r="AA346" i="7" s="1"/>
  <c r="AA348" i="7" s="1"/>
  <c r="AA350" i="7" s="1"/>
  <c r="AA352" i="7" s="1"/>
  <c r="AA354" i="7" s="1"/>
  <c r="AA356" i="7" s="1"/>
  <c r="AA358" i="7" s="1"/>
  <c r="AA360" i="7" s="1"/>
  <c r="AA362" i="7" s="1"/>
  <c r="AA364" i="7" s="1"/>
  <c r="AA366" i="7" s="1"/>
  <c r="AA368" i="7" s="1"/>
  <c r="AA370" i="7" s="1"/>
  <c r="AA372" i="7" s="1"/>
  <c r="AA374" i="7" s="1"/>
  <c r="AA376" i="7" s="1"/>
  <c r="AA380" i="7" s="1"/>
  <c r="AA382" i="7" s="1"/>
  <c r="AA384" i="7" s="1"/>
  <c r="AA386" i="7" s="1"/>
  <c r="AA388" i="7" s="1"/>
  <c r="AA390" i="7" s="1"/>
  <c r="AA392" i="7" s="1"/>
  <c r="AA394" i="7" s="1"/>
  <c r="AA396" i="7" s="1"/>
  <c r="AA398" i="7" s="1"/>
  <c r="AA400" i="7" s="1"/>
  <c r="AA402" i="7" s="1"/>
  <c r="AA404" i="7" s="1"/>
  <c r="AA406" i="7" s="1"/>
  <c r="AA408" i="7" s="1"/>
  <c r="AA410" i="7" s="1"/>
  <c r="AA412" i="7" s="1"/>
  <c r="AA414" i="7" s="1"/>
  <c r="AA416" i="7" s="1"/>
  <c r="AA418" i="7" s="1"/>
  <c r="AA420" i="7" s="1"/>
  <c r="AA422" i="7" s="1"/>
  <c r="AA428" i="7" s="1"/>
  <c r="AA432" i="7" s="1"/>
  <c r="AA434" i="7" s="1"/>
  <c r="AA436" i="7" s="1"/>
  <c r="AA440" i="7" s="1"/>
  <c r="AA442" i="7" s="1"/>
  <c r="AA446" i="7" s="1"/>
  <c r="AA448" i="7" s="1"/>
  <c r="AA450" i="7" s="1"/>
  <c r="AA452" i="7" s="1"/>
  <c r="AA454" i="7" s="1"/>
  <c r="AA456" i="7" s="1"/>
  <c r="AA458" i="7" s="1"/>
  <c r="AA460" i="7" s="1"/>
  <c r="AA462" i="7" s="1"/>
  <c r="AA464" i="7" s="1"/>
  <c r="AA466" i="7" s="1"/>
  <c r="AA468" i="7" s="1"/>
  <c r="AA476" i="7" s="1"/>
  <c r="AA478" i="7" s="1"/>
  <c r="AA480" i="7" s="1"/>
  <c r="AA482" i="7" s="1"/>
  <c r="AA484" i="7" s="1"/>
  <c r="AA486" i="7" s="1"/>
  <c r="AA488" i="7" s="1"/>
  <c r="AA490" i="7" s="1"/>
  <c r="AA494" i="7" s="1"/>
  <c r="M50" i="7"/>
  <c r="M92" i="7"/>
  <c r="M194" i="7"/>
  <c r="M26" i="7"/>
  <c r="M134" i="7"/>
  <c r="M222" i="7"/>
  <c r="M102" i="7"/>
  <c r="M256" i="7"/>
  <c r="M307" i="7"/>
  <c r="M246" i="7"/>
  <c r="M20" i="7"/>
  <c r="M192" i="7"/>
  <c r="M4" i="7"/>
  <c r="N4" i="7" s="1"/>
  <c r="M52" i="7"/>
  <c r="M6" i="7"/>
  <c r="M350" i="7"/>
  <c r="M289" i="7"/>
  <c r="M34" i="7"/>
  <c r="M214" i="7"/>
  <c r="M144" i="7"/>
  <c r="M268" i="7"/>
  <c r="M24" i="7"/>
  <c r="M56" i="7"/>
  <c r="M130" i="7"/>
  <c r="M178" i="7"/>
  <c r="M305" i="7"/>
  <c r="M258" i="7"/>
  <c r="M301" i="7"/>
  <c r="M136" i="7"/>
  <c r="M186" i="7"/>
  <c r="M126" i="7"/>
  <c r="M240" i="7"/>
  <c r="M62" i="7"/>
  <c r="M196" i="7"/>
  <c r="M122" i="7"/>
  <c r="M216" i="7"/>
  <c r="M118" i="7"/>
  <c r="M283" i="7"/>
  <c r="M238" i="7"/>
  <c r="M162" i="7"/>
  <c r="M202" i="7"/>
  <c r="M30" i="7"/>
  <c r="M16" i="7"/>
  <c r="M166" i="7"/>
  <c r="M14" i="7"/>
  <c r="M332" i="7"/>
  <c r="M174" i="7"/>
  <c r="M110" i="7"/>
  <c r="M124" i="7"/>
  <c r="M368" i="7"/>
  <c r="M262" i="7"/>
  <c r="M328" i="7"/>
  <c r="M98" i="7"/>
  <c r="M456" i="7"/>
  <c r="M454" i="7"/>
  <c r="M468" i="7"/>
  <c r="M452" i="7"/>
  <c r="M466" i="7"/>
  <c r="M450" i="7"/>
  <c r="M464" i="7"/>
  <c r="M462" i="7"/>
  <c r="M460" i="7"/>
  <c r="M458" i="7"/>
  <c r="M448" i="7"/>
  <c r="M476" i="7"/>
  <c r="M488" i="7"/>
  <c r="M490" i="7"/>
  <c r="M432" i="7"/>
  <c r="M420" i="7"/>
  <c r="M494" i="7"/>
  <c r="M442" i="7"/>
  <c r="M440" i="7"/>
  <c r="M376" i="7"/>
  <c r="M416" i="7"/>
  <c r="M434" i="7"/>
  <c r="M436" i="7"/>
  <c r="M386" i="7"/>
  <c r="M478" i="7"/>
  <c r="M446" i="7"/>
  <c r="M486" i="7"/>
  <c r="M482" i="7"/>
  <c r="M422" i="7"/>
  <c r="M428" i="7"/>
  <c r="M484" i="7"/>
  <c r="M480" i="7"/>
  <c r="M408" i="7"/>
  <c r="M418" i="7"/>
  <c r="M414" i="7"/>
  <c r="M396" i="7"/>
  <c r="M394" i="7"/>
  <c r="M412" i="7"/>
  <c r="M410" i="7"/>
  <c r="M402" i="7"/>
  <c r="M392" i="7"/>
  <c r="M404" i="7"/>
  <c r="M380" i="7"/>
  <c r="M406" i="7"/>
  <c r="M398" i="7"/>
  <c r="M384" i="7"/>
  <c r="M388" i="7"/>
  <c r="M390" i="7"/>
  <c r="M400" i="7"/>
  <c r="M382" i="7"/>
  <c r="M116" i="7"/>
  <c r="M132" i="7"/>
  <c r="M271" i="7"/>
  <c r="M250" i="7"/>
  <c r="M220" i="7"/>
  <c r="M190" i="7"/>
  <c r="M150" i="7"/>
  <c r="M146" i="7"/>
  <c r="M346" i="7"/>
  <c r="M322" i="7"/>
  <c r="M252" i="7"/>
  <c r="M154" i="7"/>
  <c r="M279" i="7"/>
  <c r="M242" i="7"/>
  <c r="M228" i="7"/>
  <c r="M172" i="7"/>
  <c r="M295" i="7"/>
  <c r="M354" i="7"/>
  <c r="M44" i="7"/>
  <c r="M64" i="7"/>
  <c r="M336" i="7"/>
  <c r="M309" i="7"/>
  <c r="M372" i="7"/>
  <c r="M287" i="7"/>
  <c r="M180" i="7"/>
  <c r="M348" i="7"/>
  <c r="M226" i="7"/>
  <c r="M362" i="7"/>
  <c r="M148" i="7"/>
  <c r="M80" i="7"/>
  <c r="M297" i="7"/>
  <c r="M340" i="7"/>
  <c r="M234" i="7"/>
  <c r="M318" i="7"/>
  <c r="M236" i="7"/>
  <c r="M32" i="7"/>
  <c r="M338" i="7"/>
  <c r="M364" i="7"/>
  <c r="M12" i="7"/>
  <c r="M100" i="7"/>
  <c r="M370" i="7"/>
  <c r="M96" i="7"/>
  <c r="M82" i="7"/>
  <c r="M356" i="7"/>
  <c r="M108" i="7"/>
  <c r="M248" i="7"/>
  <c r="M168" i="7"/>
  <c r="M90" i="7"/>
  <c r="M266" i="7"/>
  <c r="M138" i="7"/>
  <c r="M40" i="7"/>
  <c r="M78" i="7"/>
  <c r="M285" i="7"/>
  <c r="M184" i="7"/>
  <c r="M10" i="7"/>
  <c r="M200" i="7"/>
  <c r="M128" i="7"/>
  <c r="M315" i="7"/>
  <c r="M28" i="7"/>
  <c r="M198" i="7"/>
  <c r="M160" i="7"/>
  <c r="M293" i="7"/>
  <c r="M8" i="7"/>
  <c r="M206" i="7"/>
  <c r="M277" i="7"/>
  <c r="M344" i="7"/>
  <c r="M342" i="7"/>
  <c r="M86" i="7"/>
  <c r="M84" i="7"/>
  <c r="M244" i="7"/>
  <c r="M182" i="7"/>
  <c r="M54" i="7"/>
  <c r="M212" i="7"/>
  <c r="M60" i="7"/>
  <c r="M112" i="7"/>
  <c r="M218" i="7"/>
  <c r="M303" i="7"/>
  <c r="M208" i="7"/>
  <c r="M313" i="7"/>
  <c r="M106" i="7"/>
  <c r="M176" i="7"/>
  <c r="M88" i="7"/>
  <c r="M204" i="7"/>
  <c r="M164" i="7"/>
  <c r="M42" i="7"/>
  <c r="M230" i="7"/>
  <c r="M264" i="7"/>
  <c r="M104" i="7"/>
  <c r="M142" i="7"/>
  <c r="M360" i="7"/>
  <c r="M366" i="7"/>
  <c r="M281" i="7"/>
  <c r="M38" i="7"/>
  <c r="M254" i="7"/>
  <c r="M374" i="7"/>
  <c r="M170" i="7"/>
  <c r="M158" i="7"/>
  <c r="M291" i="7"/>
  <c r="M260" i="7"/>
  <c r="M275" i="7"/>
  <c r="M48" i="7"/>
  <c r="M224" i="7"/>
  <c r="M152" i="7"/>
  <c r="M210" i="7"/>
  <c r="M46" i="7"/>
  <c r="M320" i="7"/>
  <c r="M324" i="7"/>
  <c r="M114" i="7"/>
  <c r="M311" i="7"/>
  <c r="M334" i="7"/>
  <c r="M156" i="7"/>
  <c r="M273" i="7"/>
  <c r="M140" i="7"/>
  <c r="M188" i="7"/>
  <c r="M299" i="7"/>
  <c r="M36" i="7"/>
  <c r="M352" i="7"/>
  <c r="M358" i="7"/>
  <c r="M330" i="7"/>
  <c r="M58" i="7"/>
  <c r="M326" i="7"/>
  <c r="M22" i="7"/>
  <c r="M94" i="7"/>
  <c r="M18" i="7"/>
  <c r="M76" i="7"/>
  <c r="Q369" i="3"/>
  <c r="Q370" i="3"/>
  <c r="Q371" i="3"/>
  <c r="Q372" i="3"/>
  <c r="Q373" i="3"/>
  <c r="Q374" i="3"/>
  <c r="V374" i="3" s="1"/>
  <c r="Q375" i="3"/>
  <c r="Q376" i="3"/>
  <c r="V376" i="3" s="1"/>
  <c r="Q377" i="3"/>
  <c r="Q378" i="3"/>
  <c r="Q379" i="3"/>
  <c r="Q380" i="3"/>
  <c r="Q381" i="3"/>
  <c r="Q382" i="3"/>
  <c r="V382" i="3" s="1"/>
  <c r="Q383" i="3"/>
  <c r="Q384" i="3"/>
  <c r="V384" i="3" s="1"/>
  <c r="P344" i="3"/>
  <c r="P384" i="3" s="1"/>
  <c r="O344" i="3"/>
  <c r="O384" i="3" s="1"/>
  <c r="N344" i="3"/>
  <c r="N384" i="3" s="1"/>
  <c r="M344" i="3"/>
  <c r="M384" i="3" s="1"/>
  <c r="P320" i="3"/>
  <c r="P383" i="3" s="1"/>
  <c r="O320" i="3"/>
  <c r="O383" i="3" s="1"/>
  <c r="N320" i="3"/>
  <c r="N383" i="3" s="1"/>
  <c r="M320" i="3"/>
  <c r="M383" i="3" s="1"/>
  <c r="P296" i="3"/>
  <c r="P382" i="3" s="1"/>
  <c r="O296" i="3"/>
  <c r="O382" i="3" s="1"/>
  <c r="N296" i="3"/>
  <c r="N382" i="3" s="1"/>
  <c r="M296" i="3"/>
  <c r="M382" i="3" s="1"/>
  <c r="P272" i="3"/>
  <c r="P381" i="3" s="1"/>
  <c r="O272" i="3"/>
  <c r="O381" i="3" s="1"/>
  <c r="N272" i="3"/>
  <c r="N381" i="3" s="1"/>
  <c r="M272" i="3"/>
  <c r="M381" i="3" s="1"/>
  <c r="P248" i="3"/>
  <c r="P380" i="3" s="1"/>
  <c r="O248" i="3"/>
  <c r="O380" i="3" s="1"/>
  <c r="N248" i="3"/>
  <c r="N380" i="3" s="1"/>
  <c r="M248" i="3"/>
  <c r="M380" i="3" s="1"/>
  <c r="P224" i="3"/>
  <c r="P379" i="3" s="1"/>
  <c r="O224" i="3"/>
  <c r="O379" i="3" s="1"/>
  <c r="N224" i="3"/>
  <c r="N379" i="3" s="1"/>
  <c r="M224" i="3"/>
  <c r="M379" i="3" s="1"/>
  <c r="P200" i="3"/>
  <c r="P378" i="3" s="1"/>
  <c r="O200" i="3"/>
  <c r="O378" i="3" s="1"/>
  <c r="N200" i="3"/>
  <c r="N378" i="3" s="1"/>
  <c r="M200" i="3"/>
  <c r="M378" i="3" s="1"/>
  <c r="P176" i="3"/>
  <c r="P377" i="3" s="1"/>
  <c r="O176" i="3"/>
  <c r="O377" i="3" s="1"/>
  <c r="N176" i="3"/>
  <c r="N377" i="3" s="1"/>
  <c r="M176" i="3"/>
  <c r="M377" i="3" s="1"/>
  <c r="P152" i="3"/>
  <c r="P376" i="3" s="1"/>
  <c r="O152" i="3"/>
  <c r="O376" i="3" s="1"/>
  <c r="N152" i="3"/>
  <c r="N376" i="3" s="1"/>
  <c r="M152" i="3"/>
  <c r="M376" i="3" s="1"/>
  <c r="P128" i="3"/>
  <c r="P375" i="3" s="1"/>
  <c r="O128" i="3"/>
  <c r="O375" i="3" s="1"/>
  <c r="N128" i="3"/>
  <c r="N375" i="3" s="1"/>
  <c r="M128" i="3"/>
  <c r="M375" i="3" s="1"/>
  <c r="P104" i="3"/>
  <c r="P374" i="3" s="1"/>
  <c r="O104" i="3"/>
  <c r="O374" i="3" s="1"/>
  <c r="N104" i="3"/>
  <c r="N374" i="3" s="1"/>
  <c r="M104" i="3"/>
  <c r="M374" i="3" s="1"/>
  <c r="P80" i="3"/>
  <c r="P373" i="3" s="1"/>
  <c r="O80" i="3"/>
  <c r="O373" i="3" s="1"/>
  <c r="N80" i="3"/>
  <c r="N373" i="3" s="1"/>
  <c r="M80" i="3"/>
  <c r="M373" i="3" s="1"/>
  <c r="P56" i="3"/>
  <c r="P372" i="3" s="1"/>
  <c r="O56" i="3"/>
  <c r="O372" i="3" s="1"/>
  <c r="N56" i="3"/>
  <c r="N372" i="3" s="1"/>
  <c r="M56" i="3"/>
  <c r="M372" i="3" s="1"/>
  <c r="P32" i="3"/>
  <c r="P371" i="3" s="1"/>
  <c r="O32" i="3"/>
  <c r="O371" i="3" s="1"/>
  <c r="N32" i="3"/>
  <c r="N371" i="3" s="1"/>
  <c r="M32" i="3"/>
  <c r="M371" i="3" s="1"/>
  <c r="P8" i="3"/>
  <c r="P370" i="3" s="1"/>
  <c r="O8" i="3"/>
  <c r="O370" i="3" s="1"/>
  <c r="N8" i="3"/>
  <c r="N370" i="3" s="1"/>
  <c r="M8" i="3"/>
  <c r="M370" i="3" s="1"/>
  <c r="P2" i="3"/>
  <c r="P369" i="3" s="1"/>
  <c r="O2" i="3"/>
  <c r="O369" i="3" s="1"/>
  <c r="N2" i="3"/>
  <c r="N369" i="3" s="1"/>
  <c r="M369" i="3"/>
  <c r="N6" i="7" l="1"/>
  <c r="N8" i="7" s="1"/>
  <c r="N10" i="7" s="1"/>
  <c r="N12" i="7" s="1"/>
  <c r="N14" i="7" s="1"/>
  <c r="N16" i="7" s="1"/>
  <c r="N18" i="7" s="1"/>
  <c r="N20" i="7" s="1"/>
  <c r="N22" i="7" s="1"/>
  <c r="N24" i="7" s="1"/>
  <c r="N26" i="7" s="1"/>
  <c r="N28" i="7" s="1"/>
  <c r="N30" i="7" s="1"/>
  <c r="N32" i="7" s="1"/>
  <c r="N34" i="7" s="1"/>
  <c r="N36" i="7" s="1"/>
  <c r="N38" i="7" s="1"/>
  <c r="N40" i="7" s="1"/>
  <c r="N42" i="7" s="1"/>
  <c r="N44" i="7" s="1"/>
  <c r="N46" i="7" s="1"/>
  <c r="N48" i="7" s="1"/>
  <c r="N50" i="7" s="1"/>
  <c r="N52" i="7" s="1"/>
  <c r="N54" i="7" s="1"/>
  <c r="N56" i="7" s="1"/>
  <c r="N58" i="7" s="1"/>
  <c r="N60" i="7" s="1"/>
  <c r="N62" i="7" s="1"/>
  <c r="N64" i="7" s="1"/>
  <c r="N76" i="7" s="1"/>
  <c r="N78" i="7" s="1"/>
  <c r="N80" i="7" s="1"/>
  <c r="N82" i="7" s="1"/>
  <c r="N84" i="7" s="1"/>
  <c r="N86" i="7" s="1"/>
  <c r="N88" i="7" s="1"/>
  <c r="N90" i="7" s="1"/>
  <c r="N92" i="7" s="1"/>
  <c r="N94" i="7" s="1"/>
  <c r="N96" i="7" s="1"/>
  <c r="N98" i="7" s="1"/>
  <c r="N100" i="7" s="1"/>
  <c r="N102" i="7" s="1"/>
  <c r="N104" i="7" s="1"/>
  <c r="N106" i="7" s="1"/>
  <c r="N108" i="7" s="1"/>
  <c r="N110" i="7" s="1"/>
  <c r="N112" i="7" s="1"/>
  <c r="N114" i="7" s="1"/>
  <c r="N116" i="7" s="1"/>
  <c r="N118" i="7" s="1"/>
  <c r="N122" i="7" s="1"/>
  <c r="N124" i="7" s="1"/>
  <c r="N126" i="7" s="1"/>
  <c r="N128" i="7" s="1"/>
  <c r="N130" i="7" s="1"/>
  <c r="N132" i="7" s="1"/>
  <c r="N134" i="7" s="1"/>
  <c r="N136" i="7" s="1"/>
  <c r="N138" i="7" s="1"/>
  <c r="N140" i="7" s="1"/>
  <c r="N142" i="7" s="1"/>
  <c r="N144" i="7" s="1"/>
  <c r="N146" i="7" s="1"/>
  <c r="N148" i="7" s="1"/>
  <c r="N150" i="7" s="1"/>
  <c r="N152" i="7" s="1"/>
  <c r="N154" i="7" s="1"/>
  <c r="N156" i="7" s="1"/>
  <c r="N158" i="7" s="1"/>
  <c r="N160" i="7" s="1"/>
  <c r="N162" i="7" s="1"/>
  <c r="N164" i="7" s="1"/>
  <c r="N166" i="7" s="1"/>
  <c r="N168" i="7" s="1"/>
  <c r="N170" i="7" s="1"/>
  <c r="N172" i="7" s="1"/>
  <c r="N174" i="7" s="1"/>
  <c r="N176" i="7" s="1"/>
  <c r="N178" i="7" s="1"/>
  <c r="N180" i="7" s="1"/>
  <c r="N182" i="7" s="1"/>
  <c r="N184" i="7" s="1"/>
  <c r="N186" i="7" s="1"/>
  <c r="N188" i="7" s="1"/>
  <c r="N190" i="7" s="1"/>
  <c r="N192" i="7" s="1"/>
  <c r="N194" i="7" s="1"/>
  <c r="N196" i="7" s="1"/>
  <c r="N198" i="7" s="1"/>
  <c r="N200" i="7" s="1"/>
  <c r="N202" i="7" s="1"/>
  <c r="N204" i="7" s="1"/>
  <c r="N206" i="7" s="1"/>
  <c r="N208" i="7" s="1"/>
  <c r="N210" i="7" s="1"/>
  <c r="N212" i="7" s="1"/>
  <c r="N214" i="7" s="1"/>
  <c r="N216" i="7" s="1"/>
  <c r="N218" i="7" s="1"/>
  <c r="N220" i="7" s="1"/>
  <c r="N222" i="7" s="1"/>
  <c r="N224" i="7" s="1"/>
  <c r="N226" i="7" s="1"/>
  <c r="N228" i="7" s="1"/>
  <c r="N230" i="7" s="1"/>
  <c r="N232" i="7" s="1"/>
  <c r="N234" i="7" s="1"/>
  <c r="N236" i="7" s="1"/>
  <c r="N238" i="7" s="1"/>
  <c r="N240" i="7" s="1"/>
  <c r="N242" i="7" s="1"/>
  <c r="N244" i="7" s="1"/>
  <c r="N246" i="7" s="1"/>
  <c r="N248" i="7" s="1"/>
  <c r="N250" i="7" s="1"/>
  <c r="N252" i="7" s="1"/>
  <c r="N254" i="7" s="1"/>
  <c r="N256" i="7" s="1"/>
  <c r="N258" i="7" s="1"/>
  <c r="N260" i="7" s="1"/>
  <c r="N262" i="7" s="1"/>
  <c r="N264" i="7" s="1"/>
  <c r="N266" i="7" s="1"/>
  <c r="N268" i="7" s="1"/>
  <c r="N271" i="7" s="1"/>
  <c r="N273" i="7" s="1"/>
  <c r="N275" i="7" s="1"/>
  <c r="N277" i="7" s="1"/>
  <c r="N279" i="7" s="1"/>
  <c r="N281" i="7" s="1"/>
  <c r="N283" i="7" s="1"/>
  <c r="N285" i="7" s="1"/>
  <c r="N287" i="7" s="1"/>
  <c r="N289" i="7" s="1"/>
  <c r="N291" i="7" s="1"/>
  <c r="N293" i="7" s="1"/>
  <c r="N295" i="7" s="1"/>
  <c r="N297" i="7" s="1"/>
  <c r="N299" i="7" s="1"/>
  <c r="N301" i="7" s="1"/>
  <c r="N303" i="7" s="1"/>
  <c r="N305" i="7" s="1"/>
  <c r="N307" i="7" s="1"/>
  <c r="N309" i="7" s="1"/>
  <c r="N311" i="7" s="1"/>
  <c r="N313" i="7" s="1"/>
  <c r="N315" i="7" s="1"/>
  <c r="N318" i="7" s="1"/>
  <c r="N320" i="7" s="1"/>
  <c r="N322" i="7" s="1"/>
  <c r="N324" i="7" s="1"/>
  <c r="N326" i="7" s="1"/>
  <c r="N328" i="7" s="1"/>
  <c r="N330" i="7" s="1"/>
  <c r="N332" i="7" s="1"/>
  <c r="N334" i="7" s="1"/>
  <c r="N336" i="7" s="1"/>
  <c r="N338" i="7" s="1"/>
  <c r="N340" i="7" s="1"/>
  <c r="N342" i="7" s="1"/>
  <c r="N344" i="7" s="1"/>
  <c r="N346" i="7" s="1"/>
  <c r="N348" i="7" s="1"/>
  <c r="N350" i="7" s="1"/>
  <c r="N352" i="7" s="1"/>
  <c r="N354" i="7" s="1"/>
  <c r="N356" i="7" s="1"/>
  <c r="N358" i="7" s="1"/>
  <c r="N360" i="7" s="1"/>
  <c r="N362" i="7" s="1"/>
  <c r="N364" i="7" s="1"/>
  <c r="N366" i="7" s="1"/>
  <c r="N368" i="7" s="1"/>
  <c r="N370" i="7" s="1"/>
  <c r="N372" i="7" s="1"/>
  <c r="N374" i="7" s="1"/>
  <c r="N376" i="7" s="1"/>
  <c r="N380" i="7" s="1"/>
  <c r="N382" i="7" s="1"/>
  <c r="N384" i="7" s="1"/>
  <c r="N386" i="7" s="1"/>
  <c r="N388" i="7" s="1"/>
  <c r="N390" i="7" s="1"/>
  <c r="N392" i="7" s="1"/>
  <c r="N394" i="7" s="1"/>
  <c r="N396" i="7" s="1"/>
  <c r="N398" i="7" s="1"/>
  <c r="N400" i="7" s="1"/>
  <c r="N402" i="7" s="1"/>
  <c r="N404" i="7" s="1"/>
  <c r="N406" i="7" s="1"/>
  <c r="N408" i="7" s="1"/>
  <c r="N410" i="7" s="1"/>
  <c r="N412" i="7" s="1"/>
  <c r="N414" i="7" s="1"/>
  <c r="N416" i="7" s="1"/>
  <c r="N418" i="7" s="1"/>
  <c r="N420" i="7" s="1"/>
  <c r="N422" i="7" s="1"/>
  <c r="N428" i="7" s="1"/>
  <c r="N432" i="7" s="1"/>
  <c r="N434" i="7" s="1"/>
  <c r="N436" i="7" s="1"/>
  <c r="N440" i="7" s="1"/>
  <c r="N442" i="7" s="1"/>
  <c r="N446" i="7" s="1"/>
  <c r="N448" i="7" s="1"/>
  <c r="N450" i="7" s="1"/>
  <c r="N452" i="7" s="1"/>
  <c r="N454" i="7" s="1"/>
  <c r="N456" i="7" s="1"/>
  <c r="N458" i="7" s="1"/>
  <c r="N460" i="7" s="1"/>
  <c r="N462" i="7" s="1"/>
  <c r="N464" i="7" s="1"/>
  <c r="N466" i="7" s="1"/>
  <c r="N468" i="7" s="1"/>
  <c r="N476" i="7" s="1"/>
  <c r="N478" i="7" s="1"/>
  <c r="N480" i="7" s="1"/>
  <c r="N482" i="7" s="1"/>
  <c r="N484" i="7" s="1"/>
  <c r="N486" i="7" s="1"/>
  <c r="N488" i="7" s="1"/>
  <c r="N490" i="7" s="1"/>
  <c r="N494" i="7" s="1"/>
  <c r="N498" i="7" s="1"/>
  <c r="N506" i="7" s="1"/>
  <c r="N508" i="7" s="1"/>
  <c r="N510" i="7" s="1"/>
  <c r="N512" i="7" s="1"/>
  <c r="N514" i="7" s="1"/>
  <c r="N516" i="7" s="1"/>
  <c r="N522" i="7" s="1"/>
  <c r="N524" i="7" s="1"/>
  <c r="N526" i="7" s="1"/>
  <c r="N528" i="7" s="1"/>
  <c r="N530" i="7" s="1"/>
  <c r="S369" i="3"/>
  <c r="S371" i="3"/>
  <c r="S373" i="3"/>
  <c r="S375" i="3"/>
  <c r="S377" i="3"/>
  <c r="S379" i="3"/>
  <c r="S381" i="3"/>
  <c r="S383" i="3"/>
  <c r="V383" i="3"/>
  <c r="V375" i="3"/>
  <c r="T369" i="3"/>
  <c r="T371" i="3"/>
  <c r="T373" i="3"/>
  <c r="T375" i="3"/>
  <c r="T377" i="3"/>
  <c r="T379" i="3"/>
  <c r="T381" i="3"/>
  <c r="T383" i="3"/>
  <c r="U369" i="3"/>
  <c r="U371" i="3"/>
  <c r="U373" i="3"/>
  <c r="U375" i="3"/>
  <c r="U377" i="3"/>
  <c r="U379" i="3"/>
  <c r="U381" i="3"/>
  <c r="U383" i="3"/>
  <c r="V381" i="3"/>
  <c r="V373" i="3"/>
  <c r="V380" i="3"/>
  <c r="V372" i="3"/>
  <c r="S370" i="3"/>
  <c r="S372" i="3"/>
  <c r="S374" i="3"/>
  <c r="S376" i="3"/>
  <c r="S378" i="3"/>
  <c r="S380" i="3"/>
  <c r="S382" i="3"/>
  <c r="S384" i="3"/>
  <c r="V379" i="3"/>
  <c r="V371" i="3"/>
  <c r="T370" i="3"/>
  <c r="T372" i="3"/>
  <c r="T374" i="3"/>
  <c r="T376" i="3"/>
  <c r="T378" i="3"/>
  <c r="T380" i="3"/>
  <c r="T382" i="3"/>
  <c r="T384" i="3"/>
  <c r="V378" i="3"/>
  <c r="V370" i="3"/>
  <c r="U370" i="3"/>
  <c r="U372" i="3"/>
  <c r="U374" i="3"/>
  <c r="U376" i="3"/>
  <c r="U378" i="3"/>
  <c r="U380" i="3"/>
  <c r="U382" i="3"/>
  <c r="U384" i="3"/>
  <c r="V377" i="3"/>
  <c r="V369" i="3"/>
</calcChain>
</file>

<file path=xl/sharedStrings.xml><?xml version="1.0" encoding="utf-8"?>
<sst xmlns="http://schemas.openxmlformats.org/spreadsheetml/2006/main" count="3684" uniqueCount="108">
  <si>
    <t>ug/l</t>
  </si>
  <si>
    <t>ug/L</t>
  </si>
  <si>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</si>
  <si>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</si>
  <si>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</si>
  <si>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</si>
  <si>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</si>
  <si>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</si>
  <si>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</si>
  <si>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</si>
  <si>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</si>
  <si>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</si>
  <si>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</si>
  <si>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</si>
  <si>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</si>
  <si>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</si>
  <si>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</si>
  <si>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</si>
  <si>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</si>
  <si>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</si>
  <si>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</si>
  <si>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</si>
  <si>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</si>
  <si>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</si>
  <si>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</si>
  <si>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</si>
  <si>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</si>
  <si>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</si>
  <si>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</si>
  <si>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</si>
  <si>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</si>
  <si>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</si>
  <si>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</si>
  <si>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</si>
  <si>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</si>
  <si>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</si>
  <si>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</si>
  <si>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</si>
  <si>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</si>
  <si>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</si>
  <si>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</si>
  <si>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</si>
  <si>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MONTH</t>
    <phoneticPr fontId="1" type="noConversion"/>
  </si>
  <si>
    <t>Average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</si>
  <si>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</si>
  <si>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</si>
  <si>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</si>
  <si>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</si>
  <si>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</si>
  <si>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</si>
  <si>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</si>
  <si>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Average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</si>
  <si>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</si>
  <si>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</si>
  <si>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</si>
  <si>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</si>
  <si>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</si>
  <si>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</si>
  <si>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</si>
  <si>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</si>
  <si>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</si>
  <si>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</si>
  <si>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</si>
  <si>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</si>
  <si>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</si>
  <si>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</si>
  <si>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</si>
  <si>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</si>
  <si>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</si>
  <si>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</si>
  <si>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</si>
  <si>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</si>
  <si>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</si>
  <si>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</si>
  <si>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</si>
  <si>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</si>
  <si>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</si>
  <si>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</si>
  <si>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</si>
  <si>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</si>
  <si>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</si>
  <si>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</si>
  <si>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average</t>
  </si>
  <si>
    <t>butfuco/chl</t>
  </si>
  <si>
    <t>z score</t>
  </si>
  <si>
    <t>CUSUM</t>
  </si>
  <si>
    <t>peridin</t>
  </si>
  <si>
    <t>perid/chl</t>
  </si>
  <si>
    <t>fuco/CHL</t>
  </si>
  <si>
    <t>zea/chl</t>
  </si>
  <si>
    <t>mean</t>
  </si>
  <si>
    <t>stdev</t>
  </si>
  <si>
    <t>chlorophyll</t>
  </si>
  <si>
    <t>are these dups? Or is the</t>
  </si>
  <si>
    <t>transposed. Is it correct?</t>
  </si>
  <si>
    <t>2nd one sta 4?</t>
  </si>
  <si>
    <t>from here to Jan-18 sta #s</t>
  </si>
  <si>
    <t>from here to Dec-16 sta #s</t>
  </si>
  <si>
    <t>from here to Feb-19 sta #s</t>
  </si>
  <si>
    <t>from here to Dec-19 sta #s</t>
  </si>
  <si>
    <t>unassigned</t>
  </si>
  <si>
    <t>values in July</t>
  </si>
  <si>
    <t>values in</t>
  </si>
  <si>
    <t>2022 not yet</t>
  </si>
  <si>
    <t>available</t>
  </si>
  <si>
    <t>remaining</t>
  </si>
  <si>
    <t>dates unavail.</t>
  </si>
  <si>
    <t>graphs not updated for 2020-2024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</si>
</sst>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indexed="41"/>
      <name val="Geneva"/>
      <family val="2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sz val="10"/>
      <name val="Helv"/>
    </font>
    <font>
      <b/>
      <sz val="14"/>
      <color rgb="FFCCFFFF"/>
      <name val="Geneva"/>
      <family val="2"/>
      <charset val="1"/>
    </font>
    <font>
      <sz val="10"/>
      <name val="Geneva"/>
      <family val="2"/>
      <charset val="1"/>
    </font>
    <font>
      <sz val="10"/>
      <name val="Geneva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3">
    <xf numFmtId="0" fontId="0" fillId="0" borderId="0"/>
    <xf numFmtId="0" fontId="5" fillId="0" borderId="0"/>
    <xf numFmtId="0" fontId="12" fillId="0" borderId="0"/>
  </cellStyleXfs>
  <cellXfs count="99">
    <xf numFmtId="0" fontId="0" fillId="0" borderId="0" xfId="0"/>
    <xf numFmtId="164" fontId="2" fillId="2" borderId="0" xfId="0" applyNumberFormat="1" applyFont="1" applyFill="1" applyAlignment="1">
      <alignment horizontal="center"/>
    </xf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0" fillId="0" borderId="2" xfId="0" applyNumberFormat="1" applyBorder="1" applyAlignment="1">
      <alignment horizontal="center"/>
    </xf>
    <xf numFmtId="164" fontId="7" fillId="0" borderId="2" xfId="0" applyNumberFormat="1" applyFont="1" applyBorder="1" applyAlignment="1">
      <alignment horizontal="center" vertical="center" wrapText="1"/>
    </xf>
    <xf numFmtId="0" fontId="5" fillId="0" borderId="0" xfId="0" applyFont="1"/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4" fontId="0" fillId="0" borderId="0" xfId="0" applyNumberFormat="1"/>
    <xf numFmtId="164" fontId="0" fillId="4" borderId="0" xfId="0" applyNumberFormat="1" applyFill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4" fontId="5" fillId="0" borderId="0" xfId="0" applyNumberFormat="1" applyFont="1"/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 vertical="center" wrapText="1"/>
    </xf>
    <xf numFmtId="14" fontId="5" fillId="0" borderId="0" xfId="1" applyNumberFormat="1"/>
    <xf numFmtId="164" fontId="5" fillId="0" borderId="2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4" fontId="11" fillId="0" borderId="2" xfId="2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5" borderId="0" xfId="0" applyFill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right"/>
    </xf>
    <xf numFmtId="164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14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left"/>
    </xf>
    <xf numFmtId="164" fontId="5" fillId="0" borderId="0" xfId="0" applyNumberFormat="1" applyFont="1" applyAlignment="1" applyProtection="1">
      <alignment horizontal="center"/>
      <protection locked="0"/>
    </xf>
    <xf numFmtId="164" fontId="5" fillId="5" borderId="0" xfId="0" applyNumberFormat="1" applyFont="1" applyFill="1" applyAlignment="1" applyProtection="1">
      <alignment horizontal="center"/>
      <protection locked="0"/>
    </xf>
    <xf numFmtId="164" fontId="5" fillId="0" borderId="0" xfId="0" applyNumberFormat="1" applyFont="1"/>
    <xf numFmtId="0" fontId="5" fillId="5" borderId="0" xfId="0" applyFont="1" applyFill="1"/>
    <xf numFmtId="164" fontId="5" fillId="5" borderId="0" xfId="0" applyNumberFormat="1" applyFont="1" applyFill="1"/>
    <xf numFmtId="164" fontId="0" fillId="5" borderId="0" xfId="0" applyNumberFormat="1" applyFill="1"/>
    <xf numFmtId="164" fontId="6" fillId="0" borderId="0" xfId="0" applyNumberFormat="1" applyFont="1" applyAlignment="1">
      <alignment horizontal="right" vertical="center"/>
    </xf>
    <xf numFmtId="14" fontId="0" fillId="5" borderId="0" xfId="0" applyNumberFormat="1" applyFill="1"/>
    <xf numFmtId="164" fontId="6" fillId="5" borderId="0" xfId="0" applyNumberFormat="1" applyFont="1" applyFill="1" applyAlignment="1">
      <alignment horizontal="right" vertical="center"/>
    </xf>
    <xf numFmtId="164" fontId="0" fillId="5" borderId="0" xfId="0" applyNumberFormat="1" applyFill="1" applyAlignment="1">
      <alignment horizontal="center"/>
    </xf>
    <xf numFmtId="14" fontId="5" fillId="5" borderId="0" xfId="0" applyNumberFormat="1" applyFont="1" applyFill="1"/>
    <xf numFmtId="164" fontId="5" fillId="5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6" fillId="0" borderId="0" xfId="0" applyNumberFormat="1" applyFont="1" applyAlignment="1">
      <alignment horizontal="center" vertical="center" wrapText="1"/>
    </xf>
    <xf numFmtId="165" fontId="6" fillId="5" borderId="0" xfId="0" applyNumberFormat="1" applyFont="1" applyFill="1" applyAlignment="1">
      <alignment horizontal="center" vertical="center" wrapText="1"/>
    </xf>
    <xf numFmtId="164" fontId="11" fillId="5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5" borderId="3" xfId="0" applyNumberFormat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4" fontId="11" fillId="0" borderId="3" xfId="2" applyNumberFormat="1" applyFont="1" applyBorder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13" fillId="6" borderId="0" xfId="0" applyNumberFormat="1" applyFont="1" applyFill="1" applyAlignment="1">
      <alignment horizontal="center"/>
    </xf>
    <xf numFmtId="164" fontId="3" fillId="3" borderId="5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10" fillId="0" borderId="0" xfId="0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5" fillId="0" borderId="0" xfId="1" applyNumberForma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7" borderId="0" xfId="0" applyFill="1"/>
    <xf numFmtId="0" fontId="5" fillId="8" borderId="0" xfId="0" applyFont="1" applyFill="1"/>
    <xf numFmtId="0" fontId="5" fillId="9" borderId="0" xfId="0" applyFont="1" applyFill="1" applyAlignment="1">
      <alignment horizontal="left"/>
    </xf>
    <xf numFmtId="0" fontId="5" fillId="7" borderId="0" xfId="0" applyFont="1" applyFill="1"/>
    <xf numFmtId="166" fontId="0" fillId="10" borderId="0" xfId="0" applyNumberFormat="1" applyFill="1" applyAlignment="1">
      <alignment horizontal="center"/>
    </xf>
    <xf numFmtId="0" fontId="0" fillId="10" borderId="0" xfId="0" applyFill="1"/>
    <xf numFmtId="0" fontId="5" fillId="10" borderId="0" xfId="0" applyFont="1" applyFill="1" applyAlignment="1">
      <alignment horizontal="left"/>
    </xf>
    <xf numFmtId="0" fontId="5" fillId="10" borderId="0" xfId="0" applyFont="1" applyFill="1"/>
    <xf numFmtId="164" fontId="0" fillId="7" borderId="0" xfId="0" applyNumberFormat="1" applyFill="1"/>
    <xf numFmtId="164" fontId="15" fillId="0" borderId="2" xfId="0" applyNumberFormat="1" applyFont="1" applyBorder="1" applyAlignment="1">
      <alignment horizontal="center" vertical="center" wrapText="1"/>
    </xf>
    <xf numFmtId="0" fontId="0" fillId="11" borderId="0" xfId="0" applyFill="1"/>
    <xf numFmtId="164" fontId="15" fillId="0" borderId="7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'Zea update'!$N$4:$N$494</c:f>
              <c:numCache>
                <c:formatCode>General</c:formatCode>
                <c:ptCount val="491"/>
                <c:pt idx="0">
                  <c:v>0.5887126365363019</c:v>
                </c:pt>
                <c:pt idx="2">
                  <c:v>-0.12914348085277927</c:v>
                </c:pt>
                <c:pt idx="4">
                  <c:v>-0.98553537256047175</c:v>
                </c:pt>
                <c:pt idx="6">
                  <c:v>-1.8706386846695868</c:v>
                </c:pt>
                <c:pt idx="8">
                  <c:v>-2.5984687172980983</c:v>
                </c:pt>
                <c:pt idx="10">
                  <c:v>-3.4262571493830514</c:v>
                </c:pt>
                <c:pt idx="12">
                  <c:v>-4.1362925496316523</c:v>
                </c:pt>
                <c:pt idx="14">
                  <c:v>-4.3646835037944713</c:v>
                </c:pt>
                <c:pt idx="16">
                  <c:v>-3.4776491756811478</c:v>
                </c:pt>
                <c:pt idx="18">
                  <c:v>-2.8171084056144204</c:v>
                </c:pt>
                <c:pt idx="20">
                  <c:v>-1.7793317099519383</c:v>
                </c:pt>
                <c:pt idx="22">
                  <c:v>-0.70405990631744042</c:v>
                </c:pt>
                <c:pt idx="24">
                  <c:v>-0.94460915296958925</c:v>
                </c:pt>
                <c:pt idx="26">
                  <c:v>9.2847124191460573E-2</c:v>
                </c:pt>
                <c:pt idx="28">
                  <c:v>-0.62034686822509444</c:v>
                </c:pt>
                <c:pt idx="30">
                  <c:v>-1.3180710336585184</c:v>
                </c:pt>
                <c:pt idx="32">
                  <c:v>-1.9446842332102952</c:v>
                </c:pt>
                <c:pt idx="34">
                  <c:v>-2.8081791584966869</c:v>
                </c:pt>
                <c:pt idx="36">
                  <c:v>-3.4044799305117057</c:v>
                </c:pt>
                <c:pt idx="38">
                  <c:v>-3.4641404724776605</c:v>
                </c:pt>
                <c:pt idx="40">
                  <c:v>-2.9313622529805277</c:v>
                </c:pt>
                <c:pt idx="42">
                  <c:v>-2.8223772917827499</c:v>
                </c:pt>
                <c:pt idx="44">
                  <c:v>-2.2677193435518199</c:v>
                </c:pt>
                <c:pt idx="46">
                  <c:v>-1.6467672878330943</c:v>
                </c:pt>
                <c:pt idx="48">
                  <c:v>-2.2158798701093376</c:v>
                </c:pt>
                <c:pt idx="50">
                  <c:v>-2.6713175598061305</c:v>
                </c:pt>
                <c:pt idx="52">
                  <c:v>-3.3510105944044781</c:v>
                </c:pt>
                <c:pt idx="54">
                  <c:v>-4.1686061786347661</c:v>
                </c:pt>
                <c:pt idx="56">
                  <c:v>-4.7726907276841146</c:v>
                </c:pt>
                <c:pt idx="58">
                  <c:v>-5.4759122419582784</c:v>
                </c:pt>
                <c:pt idx="60">
                  <c:v>-6.1588845368709029</c:v>
                </c:pt>
                <c:pt idx="72">
                  <c:v>-5.4862086404898562</c:v>
                </c:pt>
                <c:pt idx="74">
                  <c:v>-6.2757363864762512</c:v>
                </c:pt>
                <c:pt idx="76">
                  <c:v>-7.1934563972981378</c:v>
                </c:pt>
                <c:pt idx="78">
                  <c:v>-8.0636589031388315</c:v>
                </c:pt>
                <c:pt idx="80">
                  <c:v>-8.8514001734337739</c:v>
                </c:pt>
                <c:pt idx="82">
                  <c:v>-9.7197014829820318</c:v>
                </c:pt>
                <c:pt idx="84">
                  <c:v>-10.478182799166085</c:v>
                </c:pt>
                <c:pt idx="86">
                  <c:v>-10.457263604891235</c:v>
                </c:pt>
                <c:pt idx="88">
                  <c:v>-9.4714319834756733</c:v>
                </c:pt>
                <c:pt idx="90">
                  <c:v>-8.0124662054451932</c:v>
                </c:pt>
                <c:pt idx="92">
                  <c:v>-8.2540753678620025</c:v>
                </c:pt>
                <c:pt idx="94">
                  <c:v>-7.6132951363594952</c:v>
                </c:pt>
                <c:pt idx="96">
                  <c:v>-6.6475038145663765</c:v>
                </c:pt>
                <c:pt idx="98">
                  <c:v>-7.1182750876604723</c:v>
                </c:pt>
                <c:pt idx="100">
                  <c:v>-7.9573430569899042</c:v>
                </c:pt>
                <c:pt idx="102">
                  <c:v>-8.773541106833985</c:v>
                </c:pt>
                <c:pt idx="104">
                  <c:v>-9.3183302110223458</c:v>
                </c:pt>
                <c:pt idx="106">
                  <c:v>-10.195990959411425</c:v>
                </c:pt>
                <c:pt idx="108">
                  <c:v>-10.940738504111927</c:v>
                </c:pt>
                <c:pt idx="110">
                  <c:v>-9.4373142772599046</c:v>
                </c:pt>
                <c:pt idx="112">
                  <c:v>-7.7796989102312208</c:v>
                </c:pt>
                <c:pt idx="114">
                  <c:v>-6.6658697439216459</c:v>
                </c:pt>
                <c:pt idx="118">
                  <c:v>-5.7002259623158036</c:v>
                </c:pt>
                <c:pt idx="120">
                  <c:v>-4.0375998224667082</c:v>
                </c:pt>
                <c:pt idx="122">
                  <c:v>-4.7594579290082741</c:v>
                </c:pt>
                <c:pt idx="124">
                  <c:v>-5.5605329446268144</c:v>
                </c:pt>
                <c:pt idx="126">
                  <c:v>-6.4580484285274613</c:v>
                </c:pt>
                <c:pt idx="128">
                  <c:v>-7.2445502953826955</c:v>
                </c:pt>
                <c:pt idx="130">
                  <c:v>-8.0524048907930297</c:v>
                </c:pt>
                <c:pt idx="132">
                  <c:v>-8.5969981802421707</c:v>
                </c:pt>
                <c:pt idx="134">
                  <c:v>-8.9087234927567955</c:v>
                </c:pt>
                <c:pt idx="136">
                  <c:v>-7.6461685761710108</c:v>
                </c:pt>
                <c:pt idx="138">
                  <c:v>-7.2442311981528658</c:v>
                </c:pt>
                <c:pt idx="140">
                  <c:v>-7.1859196018632243</c:v>
                </c:pt>
                <c:pt idx="142">
                  <c:v>-5.2157728065941136</c:v>
                </c:pt>
                <c:pt idx="144">
                  <c:v>-5.2209914664030732</c:v>
                </c:pt>
                <c:pt idx="146">
                  <c:v>-5.7979085161311446</c:v>
                </c:pt>
                <c:pt idx="148">
                  <c:v>-6.6538675300123131</c:v>
                </c:pt>
                <c:pt idx="150">
                  <c:v>-7.4409241123146961</c:v>
                </c:pt>
                <c:pt idx="152">
                  <c:v>-8.1250128244404074</c:v>
                </c:pt>
                <c:pt idx="154">
                  <c:v>-8.9608693918875577</c:v>
                </c:pt>
                <c:pt idx="156">
                  <c:v>-9.2474294103798389</c:v>
                </c:pt>
                <c:pt idx="158">
                  <c:v>-8.9326713963598081</c:v>
                </c:pt>
                <c:pt idx="160">
                  <c:v>-8.7122465362737724</c:v>
                </c:pt>
                <c:pt idx="162">
                  <c:v>-7.8135599486791802</c:v>
                </c:pt>
                <c:pt idx="164">
                  <c:v>-7.0942059272582476</c:v>
                </c:pt>
                <c:pt idx="166">
                  <c:v>-7.2194162219180145</c:v>
                </c:pt>
                <c:pt idx="168">
                  <c:v>-6.7450336548958463</c:v>
                </c:pt>
                <c:pt idx="170">
                  <c:v>-7.5032268227638292</c:v>
                </c:pt>
                <c:pt idx="172">
                  <c:v>-7.9711673639307117</c:v>
                </c:pt>
                <c:pt idx="174">
                  <c:v>-8.5899442971660687</c:v>
                </c:pt>
                <c:pt idx="176">
                  <c:v>-9.2904394833013786</c:v>
                </c:pt>
                <c:pt idx="178">
                  <c:v>-10.045717798270106</c:v>
                </c:pt>
                <c:pt idx="180">
                  <c:v>-10.899649791479073</c:v>
                </c:pt>
                <c:pt idx="182">
                  <c:v>-11.596744468555325</c:v>
                </c:pt>
                <c:pt idx="184">
                  <c:v>-11.168040299486853</c:v>
                </c:pt>
                <c:pt idx="186">
                  <c:v>-10.297243988460586</c:v>
                </c:pt>
                <c:pt idx="188">
                  <c:v>-8.8695907522995885</c:v>
                </c:pt>
                <c:pt idx="190">
                  <c:v>-8.0045467752617867</c:v>
                </c:pt>
                <c:pt idx="192">
                  <c:v>-6.3025063363396621</c:v>
                </c:pt>
                <c:pt idx="194">
                  <c:v>-6.7796392684639626</c:v>
                </c:pt>
                <c:pt idx="196">
                  <c:v>-7.6488116068961132</c:v>
                </c:pt>
                <c:pt idx="198">
                  <c:v>-8.3830004259596862</c:v>
                </c:pt>
                <c:pt idx="200">
                  <c:v>-9.0267116788320987</c:v>
                </c:pt>
                <c:pt idx="202">
                  <c:v>-9.7220237930264908</c:v>
                </c:pt>
                <c:pt idx="204">
                  <c:v>-10.489339443653929</c:v>
                </c:pt>
                <c:pt idx="206">
                  <c:v>-10.932172434258625</c:v>
                </c:pt>
                <c:pt idx="208">
                  <c:v>-9.3440936540236752</c:v>
                </c:pt>
                <c:pt idx="210">
                  <c:v>-9.6576880611300275</c:v>
                </c:pt>
                <c:pt idx="212">
                  <c:v>-9.9138874225182274</c:v>
                </c:pt>
                <c:pt idx="214">
                  <c:v>-9.0470566340464273</c:v>
                </c:pt>
                <c:pt idx="216">
                  <c:v>-8.041626041050673</c:v>
                </c:pt>
                <c:pt idx="218">
                  <c:v>-8.3324917424067166</c:v>
                </c:pt>
                <c:pt idx="220">
                  <c:v>-9.2073459264497739</c:v>
                </c:pt>
                <c:pt idx="222">
                  <c:v>-10.051012858090886</c:v>
                </c:pt>
                <c:pt idx="224">
                  <c:v>-10.919610135244524</c:v>
                </c:pt>
                <c:pt idx="226">
                  <c:v>-11.73010575473857</c:v>
                </c:pt>
                <c:pt idx="228">
                  <c:v>-12.538381108200861</c:v>
                </c:pt>
                <c:pt idx="230">
                  <c:v>-12.940036807115597</c:v>
                </c:pt>
                <c:pt idx="232">
                  <c:v>-12.254258335489803</c:v>
                </c:pt>
                <c:pt idx="234">
                  <c:v>-10.207819164288136</c:v>
                </c:pt>
                <c:pt idx="236">
                  <c:v>-10.208848503126362</c:v>
                </c:pt>
                <c:pt idx="238">
                  <c:v>-9.9968430539627882</c:v>
                </c:pt>
                <c:pt idx="240">
                  <c:v>-7.9891566113156154</c:v>
                </c:pt>
                <c:pt idx="242">
                  <c:v>-8.6180294112669813</c:v>
                </c:pt>
                <c:pt idx="244">
                  <c:v>-9.4283752984789988</c:v>
                </c:pt>
                <c:pt idx="246">
                  <c:v>-10.293609987605135</c:v>
                </c:pt>
                <c:pt idx="248">
                  <c:v>-11.158425024748608</c:v>
                </c:pt>
                <c:pt idx="250">
                  <c:v>-11.876697767719847</c:v>
                </c:pt>
                <c:pt idx="252">
                  <c:v>-12.441357206342852</c:v>
                </c:pt>
                <c:pt idx="254">
                  <c:v>-11.501768627471796</c:v>
                </c:pt>
                <c:pt idx="256">
                  <c:v>-7.6350605744548474</c:v>
                </c:pt>
                <c:pt idx="258">
                  <c:v>-3.3786183631050486</c:v>
                </c:pt>
                <c:pt idx="260">
                  <c:v>-2.8707435774952885</c:v>
                </c:pt>
                <c:pt idx="262">
                  <c:v>-2.8765287713194345</c:v>
                </c:pt>
                <c:pt idx="264">
                  <c:v>-0.36424040952245607</c:v>
                </c:pt>
                <c:pt idx="267">
                  <c:v>0.61770710971334564</c:v>
                </c:pt>
                <c:pt idx="269">
                  <c:v>0.87558865067227476</c:v>
                </c:pt>
                <c:pt idx="271">
                  <c:v>1.4036446174715844</c:v>
                </c:pt>
                <c:pt idx="273">
                  <c:v>0.66939733058845685</c:v>
                </c:pt>
                <c:pt idx="275">
                  <c:v>-0.11261446822269139</c:v>
                </c:pt>
                <c:pt idx="277">
                  <c:v>-0.87085006160677469</c:v>
                </c:pt>
                <c:pt idx="279">
                  <c:v>-1.6503327080058643</c:v>
                </c:pt>
                <c:pt idx="281">
                  <c:v>-0.82421950819039003</c:v>
                </c:pt>
                <c:pt idx="283">
                  <c:v>1.4583992175151463</c:v>
                </c:pt>
                <c:pt idx="285">
                  <c:v>2.2194160411274204</c:v>
                </c:pt>
                <c:pt idx="287">
                  <c:v>2.6550594920755359</c:v>
                </c:pt>
                <c:pt idx="289">
                  <c:v>4.5847979876677334</c:v>
                </c:pt>
                <c:pt idx="291">
                  <c:v>5.6541005863785738</c:v>
                </c:pt>
                <c:pt idx="293">
                  <c:v>5.2942241494501374</c:v>
                </c:pt>
                <c:pt idx="295">
                  <c:v>4.4456255441349741</c:v>
                </c:pt>
                <c:pt idx="297">
                  <c:v>3.5874488286921626</c:v>
                </c:pt>
                <c:pt idx="299">
                  <c:v>2.8585663788093161</c:v>
                </c:pt>
                <c:pt idx="301">
                  <c:v>2.110583500317639</c:v>
                </c:pt>
                <c:pt idx="303">
                  <c:v>1.3843918980742118</c:v>
                </c:pt>
                <c:pt idx="305">
                  <c:v>1.6902702342208917</c:v>
                </c:pt>
                <c:pt idx="307">
                  <c:v>2.3899583888043763</c:v>
                </c:pt>
                <c:pt idx="309">
                  <c:v>2.3797350295753636</c:v>
                </c:pt>
                <c:pt idx="311">
                  <c:v>2.6792010118207985</c:v>
                </c:pt>
                <c:pt idx="314">
                  <c:v>3.1663785668074853</c:v>
                </c:pt>
                <c:pt idx="316">
                  <c:v>3.1780797853118687</c:v>
                </c:pt>
                <c:pt idx="318">
                  <c:v>2.3402915357369189</c:v>
                </c:pt>
                <c:pt idx="320">
                  <c:v>1.4571548562155643</c:v>
                </c:pt>
                <c:pt idx="322">
                  <c:v>0.55116658290969645</c:v>
                </c:pt>
                <c:pt idx="324">
                  <c:v>-0.34377218991564484</c:v>
                </c:pt>
                <c:pt idx="326">
                  <c:v>-1.1609354363757109</c:v>
                </c:pt>
                <c:pt idx="328">
                  <c:v>-1.92317442076518</c:v>
                </c:pt>
                <c:pt idx="330">
                  <c:v>1.1861110836017597E-2</c:v>
                </c:pt>
                <c:pt idx="332">
                  <c:v>2.2312691591318421</c:v>
                </c:pt>
                <c:pt idx="334">
                  <c:v>2.067984671495529</c:v>
                </c:pt>
                <c:pt idx="336">
                  <c:v>2.6027026399164033</c:v>
                </c:pt>
                <c:pt idx="338">
                  <c:v>3.1588147078539479</c:v>
                </c:pt>
                <c:pt idx="340">
                  <c:v>2.7073290393741769</c:v>
                </c:pt>
                <c:pt idx="342">
                  <c:v>2.0846694521570086</c:v>
                </c:pt>
                <c:pt idx="344">
                  <c:v>1.2296980913093556</c:v>
                </c:pt>
                <c:pt idx="346">
                  <c:v>0.43718089500330015</c:v>
                </c:pt>
                <c:pt idx="348">
                  <c:v>-0.34489044451988815</c:v>
                </c:pt>
                <c:pt idx="350">
                  <c:v>-1.0515339552121126</c:v>
                </c:pt>
                <c:pt idx="352">
                  <c:v>-1.7874209820492015</c:v>
                </c:pt>
                <c:pt idx="354">
                  <c:v>-2.1151327183844741</c:v>
                </c:pt>
                <c:pt idx="356">
                  <c:v>1.5348740830719532</c:v>
                </c:pt>
                <c:pt idx="358">
                  <c:v>3.8625700697830965</c:v>
                </c:pt>
                <c:pt idx="360">
                  <c:v>4.8536530880640916</c:v>
                </c:pt>
                <c:pt idx="362">
                  <c:v>4.7590597638636849</c:v>
                </c:pt>
                <c:pt idx="364">
                  <c:v>5.0925001296172345</c:v>
                </c:pt>
                <c:pt idx="366">
                  <c:v>5.2966217903673876</c:v>
                </c:pt>
                <c:pt idx="368">
                  <c:v>4.6207125818051242</c:v>
                </c:pt>
                <c:pt idx="370">
                  <c:v>3.7732232509619328</c:v>
                </c:pt>
                <c:pt idx="372">
                  <c:v>3.0056993634105509</c:v>
                </c:pt>
                <c:pt idx="376">
                  <c:v>2.2068454745109478</c:v>
                </c:pt>
                <c:pt idx="378">
                  <c:v>1.5042669672593645</c:v>
                </c:pt>
                <c:pt idx="380">
                  <c:v>0.65895184649843608</c:v>
                </c:pt>
                <c:pt idx="382">
                  <c:v>0.7605462554332032</c:v>
                </c:pt>
                <c:pt idx="384">
                  <c:v>2.6765036743836292</c:v>
                </c:pt>
                <c:pt idx="386">
                  <c:v>2.434043474839414</c:v>
                </c:pt>
                <c:pt idx="388">
                  <c:v>4.1684421699990146</c:v>
                </c:pt>
                <c:pt idx="390">
                  <c:v>3.6767530017388044</c:v>
                </c:pt>
                <c:pt idx="392">
                  <c:v>2.9921325407645849</c:v>
                </c:pt>
                <c:pt idx="394">
                  <c:v>2.0620109603265528</c:v>
                </c:pt>
                <c:pt idx="396">
                  <c:v>1.227919084067</c:v>
                </c:pt>
                <c:pt idx="398">
                  <c:v>0.32786364850906613</c:v>
                </c:pt>
                <c:pt idx="400">
                  <c:v>-0.51273092821370514</c:v>
                </c:pt>
                <c:pt idx="402">
                  <c:v>-1.1504778402592024</c:v>
                </c:pt>
                <c:pt idx="404">
                  <c:v>-1.7736816786185456</c:v>
                </c:pt>
                <c:pt idx="406">
                  <c:v>1.2400258439129295</c:v>
                </c:pt>
                <c:pt idx="408">
                  <c:v>1.9421460899774048</c:v>
                </c:pt>
                <c:pt idx="410">
                  <c:v>2.1610937972487392</c:v>
                </c:pt>
                <c:pt idx="412">
                  <c:v>2.0789810377866731</c:v>
                </c:pt>
                <c:pt idx="414">
                  <c:v>1.3532815225857868</c:v>
                </c:pt>
                <c:pt idx="416">
                  <c:v>0.55811999635925236</c:v>
                </c:pt>
                <c:pt idx="418">
                  <c:v>-0.36118818665131014</c:v>
                </c:pt>
                <c:pt idx="424">
                  <c:v>-0.97552915626914671</c:v>
                </c:pt>
                <c:pt idx="428">
                  <c:v>-0.75340543519601122</c:v>
                </c:pt>
                <c:pt idx="430">
                  <c:v>1.4331723782600938</c:v>
                </c:pt>
                <c:pt idx="432">
                  <c:v>2.0702001447916842</c:v>
                </c:pt>
                <c:pt idx="436">
                  <c:v>2.9468179754392283</c:v>
                </c:pt>
                <c:pt idx="438">
                  <c:v>2.2290989069758584</c:v>
                </c:pt>
                <c:pt idx="442">
                  <c:v>1.3072147527499136</c:v>
                </c:pt>
                <c:pt idx="444">
                  <c:v>0.46925224724486303</c:v>
                </c:pt>
                <c:pt idx="446">
                  <c:v>-0.32949193082619133</c:v>
                </c:pt>
                <c:pt idx="448">
                  <c:v>-1.2436584462638771</c:v>
                </c:pt>
                <c:pt idx="450">
                  <c:v>-1.9772750468312936</c:v>
                </c:pt>
                <c:pt idx="452">
                  <c:v>-2.3162946797273607</c:v>
                </c:pt>
                <c:pt idx="454">
                  <c:v>-0.90895772579023326</c:v>
                </c:pt>
                <c:pt idx="456">
                  <c:v>-1.225109081250392</c:v>
                </c:pt>
                <c:pt idx="458">
                  <c:v>0.62259782993619428</c:v>
                </c:pt>
                <c:pt idx="460">
                  <c:v>1.053943326096124</c:v>
                </c:pt>
                <c:pt idx="462">
                  <c:v>0.94293826300739769</c:v>
                </c:pt>
                <c:pt idx="464">
                  <c:v>4.094270523195942E-2</c:v>
                </c:pt>
                <c:pt idx="472">
                  <c:v>-0.84849847071874629</c:v>
                </c:pt>
                <c:pt idx="474">
                  <c:v>-0.35666364156239166</c:v>
                </c:pt>
                <c:pt idx="476">
                  <c:v>0.81772917443084103</c:v>
                </c:pt>
                <c:pt idx="478">
                  <c:v>2.1337992362292066</c:v>
                </c:pt>
                <c:pt idx="480">
                  <c:v>2.1296134551450896</c:v>
                </c:pt>
                <c:pt idx="482">
                  <c:v>3.3947642510771705</c:v>
                </c:pt>
                <c:pt idx="484">
                  <c:v>5.154092091956386</c:v>
                </c:pt>
                <c:pt idx="486">
                  <c:v>4.7839291819473271</c:v>
                </c:pt>
                <c:pt idx="490">
                  <c:v>3.9723679899953157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B-4F4E-9518-086806F41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'Zea update'!$L$4:$L$494</c:f>
              <c:numCache>
                <c:formatCode>General</c:formatCode>
                <c:ptCount val="491"/>
                <c:pt idx="0">
                  <c:v>9.6547221239234537E-2</c:v>
                </c:pt>
                <c:pt idx="2">
                  <c:v>1.4638876175979844E-2</c:v>
                </c:pt>
                <c:pt idx="4">
                  <c:v>5.9541162103041141E-3</c:v>
                </c:pt>
                <c:pt idx="6">
                  <c:v>4.1542071565856941E-3</c:v>
                </c:pt>
                <c:pt idx="8">
                  <c:v>1.4013614865690187E-2</c:v>
                </c:pt>
                <c:pt idx="10">
                  <c:v>7.7472572399999891E-3</c:v>
                </c:pt>
                <c:pt idx="12">
                  <c:v>1.5129154239235266E-2</c:v>
                </c:pt>
                <c:pt idx="14">
                  <c:v>4.5323278635116385E-2</c:v>
                </c:pt>
                <c:pt idx="16">
                  <c:v>0.11524890531068753</c:v>
                </c:pt>
                <c:pt idx="18">
                  <c:v>0.10105010218505855</c:v>
                </c:pt>
                <c:pt idx="20">
                  <c:v>0.12469889240074584</c:v>
                </c:pt>
                <c:pt idx="22">
                  <c:v>0.12704944780223471</c:v>
                </c:pt>
                <c:pt idx="24">
                  <c:v>4.4561079467560827E-2</c:v>
                </c:pt>
                <c:pt idx="26">
                  <c:v>0.12467880547527703</c:v>
                </c:pt>
                <c:pt idx="28">
                  <c:v>1.4931143184379082E-2</c:v>
                </c:pt>
                <c:pt idx="30">
                  <c:v>1.5900941308508661E-2</c:v>
                </c:pt>
                <c:pt idx="32">
                  <c:v>2.0358863261499053E-2</c:v>
                </c:pt>
                <c:pt idx="34">
                  <c:v>5.5088294822906994E-3</c:v>
                </c:pt>
                <c:pt idx="36">
                  <c:v>2.2259138900975643E-2</c:v>
                </c:pt>
                <c:pt idx="38">
                  <c:v>5.5900930047156197E-2</c:v>
                </c:pt>
                <c:pt idx="40">
                  <c:v>9.3040711904772144E-2</c:v>
                </c:pt>
                <c:pt idx="42">
                  <c:v>6.6473258541160637E-2</c:v>
                </c:pt>
                <c:pt idx="44">
                  <c:v>9.4412344561403544E-2</c:v>
                </c:pt>
                <c:pt idx="46">
                  <c:v>9.8568299321118366E-2</c:v>
                </c:pt>
                <c:pt idx="48">
                  <c:v>2.3963557149214307E-2</c:v>
                </c:pt>
                <c:pt idx="50">
                  <c:v>3.1089797003376437E-2</c:v>
                </c:pt>
                <c:pt idx="52">
                  <c:v>1.7031306688733015E-2</c:v>
                </c:pt>
                <c:pt idx="54">
                  <c:v>8.3862433605151818E-3</c:v>
                </c:pt>
                <c:pt idx="56">
                  <c:v>2.1771176600248764E-2</c:v>
                </c:pt>
                <c:pt idx="58">
                  <c:v>1.555631440355045E-2</c:v>
                </c:pt>
                <c:pt idx="60">
                  <c:v>1.6825730989354731E-2</c:v>
                </c:pt>
                <c:pt idx="72">
                  <c:v>0.10181084907308355</c:v>
                </c:pt>
                <c:pt idx="74">
                  <c:v>1.0145806470495766E-2</c:v>
                </c:pt>
                <c:pt idx="76">
                  <c:v>2.1094775509192974E-3</c:v>
                </c:pt>
                <c:pt idx="78">
                  <c:v>5.0883335681409418E-3</c:v>
                </c:pt>
                <c:pt idx="80">
                  <c:v>1.0257800016142007E-2</c:v>
                </c:pt>
                <c:pt idx="82">
                  <c:v>5.2075189087409249E-3</c:v>
                </c:pt>
                <c:pt idx="84">
                  <c:v>1.2092096459133866E-2</c:v>
                </c:pt>
                <c:pt idx="86">
                  <c:v>6.0952445951917164E-2</c:v>
                </c:pt>
                <c:pt idx="88">
                  <c:v>0.12144247359157832</c:v>
                </c:pt>
                <c:pt idx="90">
                  <c:v>0.15110309087237389</c:v>
                </c:pt>
                <c:pt idx="92">
                  <c:v>4.4494633713421189E-2</c:v>
                </c:pt>
                <c:pt idx="94">
                  <c:v>9.981132083008494E-2</c:v>
                </c:pt>
                <c:pt idx="96">
                  <c:v>0.120186154112244</c:v>
                </c:pt>
                <c:pt idx="98">
                  <c:v>3.0128539942705763E-2</c:v>
                </c:pt>
                <c:pt idx="100">
                  <c:v>7.0401469360080035E-3</c:v>
                </c:pt>
                <c:pt idx="102">
                  <c:v>8.4738543097279597E-3</c:v>
                </c:pt>
                <c:pt idx="104">
                  <c:v>2.5488387610967791E-2</c:v>
                </c:pt>
                <c:pt idx="106">
                  <c:v>4.6207789121893812E-3</c:v>
                </c:pt>
                <c:pt idx="108">
                  <c:v>1.2953061862075716E-2</c:v>
                </c:pt>
                <c:pt idx="110">
                  <c:v>0.15389017571280925</c:v>
                </c:pt>
                <c:pt idx="112">
                  <c:v>0.16355636517076405</c:v>
                </c:pt>
                <c:pt idx="114">
                  <c:v>0.1294665955851057</c:v>
                </c:pt>
                <c:pt idx="118">
                  <c:v>0.12017690486873207</c:v>
                </c:pt>
                <c:pt idx="120">
                  <c:v>0.16387048879263608</c:v>
                </c:pt>
                <c:pt idx="122">
                  <c:v>1.4387992854718475E-2</c:v>
                </c:pt>
                <c:pt idx="124">
                  <c:v>9.4219121153563349E-3</c:v>
                </c:pt>
                <c:pt idx="126">
                  <c:v>3.3760923830379458E-3</c:v>
                </c:pt>
                <c:pt idx="128">
                  <c:v>1.0335497790795784E-2</c:v>
                </c:pt>
                <c:pt idx="130">
                  <c:v>8.9969025938122921E-3</c:v>
                </c:pt>
                <c:pt idx="132">
                  <c:v>2.5500663169510284E-2</c:v>
                </c:pt>
                <c:pt idx="134">
                  <c:v>4.0099076419199582E-2</c:v>
                </c:pt>
                <c:pt idx="136">
                  <c:v>0.13879016163305893</c:v>
                </c:pt>
                <c:pt idx="138">
                  <c:v>8.4838344627864493E-2</c:v>
                </c:pt>
                <c:pt idx="140">
                  <c:v>6.3296562752330449E-2</c:v>
                </c:pt>
                <c:pt idx="142">
                  <c:v>0.18314885273831127</c:v>
                </c:pt>
                <c:pt idx="144">
                  <c:v>5.9313872884041843E-2</c:v>
                </c:pt>
                <c:pt idx="146">
                  <c:v>2.3474297773342402E-2</c:v>
                </c:pt>
                <c:pt idx="148">
                  <c:v>5.9812531721200358E-3</c:v>
                </c:pt>
                <c:pt idx="150">
                  <c:v>1.0300722870516636E-2</c:v>
                </c:pt>
                <c:pt idx="152">
                  <c:v>1.6755743178878343E-2</c:v>
                </c:pt>
                <c:pt idx="154">
                  <c:v>7.2414686136621706E-3</c:v>
                </c:pt>
                <c:pt idx="156">
                  <c:v>4.1676680031874129E-2</c:v>
                </c:pt>
                <c:pt idx="158">
                  <c:v>7.9373100332606791E-2</c:v>
                </c:pt>
                <c:pt idx="160">
                  <c:v>7.3459387410789917E-2</c:v>
                </c:pt>
                <c:pt idx="162">
                  <c:v>0.11597938144329896</c:v>
                </c:pt>
                <c:pt idx="164">
                  <c:v>0.10473708465095585</c:v>
                </c:pt>
                <c:pt idx="166">
                  <c:v>5.1791638633041787E-2</c:v>
                </c:pt>
                <c:pt idx="168">
                  <c:v>8.937990856874925E-2</c:v>
                </c:pt>
                <c:pt idx="170">
                  <c:v>1.2110160377799597E-2</c:v>
                </c:pt>
                <c:pt idx="172">
                  <c:v>3.0305997552019587E-2</c:v>
                </c:pt>
                <c:pt idx="174">
                  <c:v>2.0850116097237355E-2</c:v>
                </c:pt>
                <c:pt idx="176">
                  <c:v>1.5727226975339709E-2</c:v>
                </c:pt>
                <c:pt idx="178">
                  <c:v>1.2292891501870656E-2</c:v>
                </c:pt>
                <c:pt idx="180">
                  <c:v>6.1083263997402434E-3</c:v>
                </c:pt>
                <c:pt idx="182">
                  <c:v>1.5940403716757451E-2</c:v>
                </c:pt>
                <c:pt idx="184">
                  <c:v>8.6516345537498596E-2</c:v>
                </c:pt>
                <c:pt idx="186">
                  <c:v>0.11423094961358865</c:v>
                </c:pt>
                <c:pt idx="188">
                  <c:v>0.14914011840992389</c:v>
                </c:pt>
                <c:pt idx="190">
                  <c:v>0.11387033777756346</c:v>
                </c:pt>
                <c:pt idx="192">
                  <c:v>0.16634135762307525</c:v>
                </c:pt>
                <c:pt idx="194">
                  <c:v>2.9729729729729735E-2</c:v>
                </c:pt>
                <c:pt idx="196">
                  <c:v>5.1529144080840533E-3</c:v>
                </c:pt>
                <c:pt idx="198">
                  <c:v>1.3614984734714087E-2</c:v>
                </c:pt>
                <c:pt idx="200">
                  <c:v>1.9286992189204516E-2</c:v>
                </c:pt>
                <c:pt idx="202">
                  <c:v>1.6052151969718213E-2</c:v>
                </c:pt>
                <c:pt idx="204">
                  <c:v>1.1538275076356233E-2</c:v>
                </c:pt>
                <c:pt idx="206">
                  <c:v>3.1879981247069852E-2</c:v>
                </c:pt>
                <c:pt idx="208">
                  <c:v>0.15919714050041242</c:v>
                </c:pt>
                <c:pt idx="210">
                  <c:v>3.9981903523157843E-2</c:v>
                </c:pt>
                <c:pt idx="212">
                  <c:v>4.35799791663109E-2</c:v>
                </c:pt>
                <c:pt idx="214">
                  <c:v>0.11398235237079414</c:v>
                </c:pt>
                <c:pt idx="216">
                  <c:v>0.12267112636798405</c:v>
                </c:pt>
                <c:pt idx="218">
                  <c:v>4.1406758256476973E-2</c:v>
                </c:pt>
                <c:pt idx="220">
                  <c:v>4.7967214641643002E-3</c:v>
                </c:pt>
                <c:pt idx="222">
                  <c:v>6.7518395730573298E-3</c:v>
                </c:pt>
                <c:pt idx="224">
                  <c:v>5.1889648015220969E-3</c:v>
                </c:pt>
                <c:pt idx="226">
                  <c:v>8.8313377038521951E-3</c:v>
                </c:pt>
                <c:pt idx="228">
                  <c:v>8.9705254164886804E-3</c:v>
                </c:pt>
                <c:pt idx="230">
                  <c:v>3.4461371477303562E-2</c:v>
                </c:pt>
                <c:pt idx="232">
                  <c:v>0.10263224500126548</c:v>
                </c:pt>
                <c:pt idx="234">
                  <c:v>0.18793159550236815</c:v>
                </c:pt>
                <c:pt idx="236">
                  <c:v>5.957649997245229E-2</c:v>
                </c:pt>
                <c:pt idx="238">
                  <c:v>7.2931577440595488E-2</c:v>
                </c:pt>
                <c:pt idx="240">
                  <c:v>0.18550220029982106</c:v>
                </c:pt>
                <c:pt idx="242">
                  <c:v>2.0217209690893904E-2</c:v>
                </c:pt>
                <c:pt idx="244">
                  <c:v>8.8407243690289457E-3</c:v>
                </c:pt>
                <c:pt idx="246">
                  <c:v>5.3997642865355874E-3</c:v>
                </c:pt>
                <c:pt idx="248">
                  <c:v>5.4260721247563343E-3</c:v>
                </c:pt>
                <c:pt idx="250">
                  <c:v>1.4612758061764201E-2</c:v>
                </c:pt>
                <c:pt idx="252">
                  <c:v>2.4242723190702586E-2</c:v>
                </c:pt>
                <c:pt idx="254">
                  <c:v>0.11854351318545316</c:v>
                </c:pt>
                <c:pt idx="256">
                  <c:v>0.30204362461044015</c:v>
                </c:pt>
                <c:pt idx="258">
                  <c:v>0.32647592473070414</c:v>
                </c:pt>
                <c:pt idx="260">
                  <c:v>9.147952421374661E-2</c:v>
                </c:pt>
                <c:pt idx="262">
                  <c:v>5.9278357061803962E-2</c:v>
                </c:pt>
                <c:pt idx="264">
                  <c:v>0.21713552077310647</c:v>
                </c:pt>
                <c:pt idx="267">
                  <c:v>0.12119898056402438</c:v>
                </c:pt>
                <c:pt idx="269">
                  <c:v>7.5807533830673124E-2</c:v>
                </c:pt>
                <c:pt idx="271">
                  <c:v>9.274467550998837E-2</c:v>
                </c:pt>
                <c:pt idx="273">
                  <c:v>1.3611319407248705E-2</c:v>
                </c:pt>
                <c:pt idx="275">
                  <c:v>1.0616978609625669E-2</c:v>
                </c:pt>
                <c:pt idx="277">
                  <c:v>1.2107500736811083E-2</c:v>
                </c:pt>
                <c:pt idx="279">
                  <c:v>1.0775530303030304E-2</c:v>
                </c:pt>
                <c:pt idx="281">
                  <c:v>0.11142978076536872</c:v>
                </c:pt>
                <c:pt idx="283">
                  <c:v>0.20273761040902294</c:v>
                </c:pt>
                <c:pt idx="285">
                  <c:v>0.10734891136725999</c:v>
                </c:pt>
                <c:pt idx="287">
                  <c:v>8.6951366727911539E-2</c:v>
                </c:pt>
                <c:pt idx="289">
                  <c:v>0.18061567035245341</c:v>
                </c:pt>
                <c:pt idx="291">
                  <c:v>0.12667524040199549</c:v>
                </c:pt>
                <c:pt idx="293">
                  <c:v>3.7080499018032495E-2</c:v>
                </c:pt>
                <c:pt idx="295">
                  <c:v>6.4426746494205033E-3</c:v>
                </c:pt>
                <c:pt idx="297">
                  <c:v>5.8422262252313803E-3</c:v>
                </c:pt>
                <c:pt idx="299">
                  <c:v>1.3947639190579625E-2</c:v>
                </c:pt>
                <c:pt idx="301">
                  <c:v>1.2750239901297748E-2</c:v>
                </c:pt>
                <c:pt idx="303">
                  <c:v>1.4116327502082587E-2</c:v>
                </c:pt>
                <c:pt idx="305">
                  <c:v>7.8816436385825736E-2</c:v>
                </c:pt>
                <c:pt idx="307">
                  <c:v>0.10350423823391862</c:v>
                </c:pt>
                <c:pt idx="309">
                  <c:v>5.9000130001545949E-2</c:v>
                </c:pt>
                <c:pt idx="311">
                  <c:v>7.8414448128848888E-2</c:v>
                </c:pt>
                <c:pt idx="314">
                  <c:v>9.018202195629918E-2</c:v>
                </c:pt>
                <c:pt idx="316">
                  <c:v>6.0374574226511504E-2</c:v>
                </c:pt>
                <c:pt idx="318">
                  <c:v>7.1203721265457849E-3</c:v>
                </c:pt>
                <c:pt idx="320">
                  <c:v>4.2774946759963489E-3</c:v>
                </c:pt>
                <c:pt idx="322">
                  <c:v>2.8449361341485561E-3</c:v>
                </c:pt>
                <c:pt idx="324">
                  <c:v>3.5376255126573328E-3</c:v>
                </c:pt>
                <c:pt idx="326">
                  <c:v>8.4133464663875904E-3</c:v>
                </c:pt>
                <c:pt idx="328">
                  <c:v>1.1856529533874321E-2</c:v>
                </c:pt>
                <c:pt idx="330">
                  <c:v>0.18094773971499875</c:v>
                </c:pt>
                <c:pt idx="332">
                  <c:v>0.1987749548186441</c:v>
                </c:pt>
                <c:pt idx="334">
                  <c:v>4.9404780592116955E-2</c:v>
                </c:pt>
                <c:pt idx="336">
                  <c:v>9.3162314096547016E-2</c:v>
                </c:pt>
                <c:pt idx="338">
                  <c:v>9.4503502824858754E-2</c:v>
                </c:pt>
                <c:pt idx="340">
                  <c:v>3.1337547851977871E-2</c:v>
                </c:pt>
                <c:pt idx="342">
                  <c:v>2.0606713856713858E-2</c:v>
                </c:pt>
                <c:pt idx="344">
                  <c:v>6.0431688005390827E-3</c:v>
                </c:pt>
                <c:pt idx="346">
                  <c:v>9.9583988598388046E-3</c:v>
                </c:pt>
                <c:pt idx="348">
                  <c:v>1.0613246022899989E-2</c:v>
                </c:pt>
                <c:pt idx="350">
                  <c:v>1.5341790626999358E-2</c:v>
                </c:pt>
                <c:pt idx="352">
                  <c:v>1.3508524674434542E-2</c:v>
                </c:pt>
                <c:pt idx="354">
                  <c:v>3.9096893017296602E-2</c:v>
                </c:pt>
                <c:pt idx="356">
                  <c:v>0.28845869780491828</c:v>
                </c:pt>
                <c:pt idx="358">
                  <c:v>0.20556348837209301</c:v>
                </c:pt>
                <c:pt idx="360">
                  <c:v>0.12177168185193646</c:v>
                </c:pt>
                <c:pt idx="362">
                  <c:v>5.3711005963419517E-2</c:v>
                </c:pt>
                <c:pt idx="364">
                  <c:v>8.0544290526605264E-2</c:v>
                </c:pt>
                <c:pt idx="366">
                  <c:v>7.2437345460967847E-2</c:v>
                </c:pt>
                <c:pt idx="368">
                  <c:v>1.7268513439385624E-2</c:v>
                </c:pt>
                <c:pt idx="370">
                  <c:v>6.5122146839171119E-3</c:v>
                </c:pt>
                <c:pt idx="372">
                  <c:v>1.1525220775333033E-2</c:v>
                </c:pt>
                <c:pt idx="376">
                  <c:v>9.5611537841757532E-3</c:v>
                </c:pt>
                <c:pt idx="378">
                  <c:v>1.5596624292276463E-2</c:v>
                </c:pt>
                <c:pt idx="380">
                  <c:v>6.6485151649464955E-3</c:v>
                </c:pt>
                <c:pt idx="382">
                  <c:v>6.6009947365879576E-2</c:v>
                </c:pt>
                <c:pt idx="384">
                  <c:v>0.17975173940543962</c:v>
                </c:pt>
                <c:pt idx="386">
                  <c:v>4.4441282489091259E-2</c:v>
                </c:pt>
                <c:pt idx="388">
                  <c:v>0.16836988555900026</c:v>
                </c:pt>
                <c:pt idx="390">
                  <c:v>2.8817204301075268E-2</c:v>
                </c:pt>
                <c:pt idx="392">
                  <c:v>1.6722408026755852E-2</c:v>
                </c:pt>
                <c:pt idx="394">
                  <c:v>1.3320274240940257E-3</c:v>
                </c:pt>
                <c:pt idx="396">
                  <c:v>7.3520964962665138E-3</c:v>
                </c:pt>
                <c:pt idx="398">
                  <c:v>3.2168636886703633E-3</c:v>
                </c:pt>
                <c:pt idx="400">
                  <c:v>6.9444444444444441E-3</c:v>
                </c:pt>
                <c:pt idx="402">
                  <c:v>1.966089466089466E-2</c:v>
                </c:pt>
                <c:pt idx="404">
                  <c:v>2.0572594940108508E-2</c:v>
                </c:pt>
                <c:pt idx="406">
                  <c:v>0.24856931521781445</c:v>
                </c:pt>
                <c:pt idx="408">
                  <c:v>0.10365670521099264</c:v>
                </c:pt>
                <c:pt idx="410">
                  <c:v>7.336678520972377E-2</c:v>
                </c:pt>
                <c:pt idx="412">
                  <c:v>5.4493408267240924E-2</c:v>
                </c:pt>
                <c:pt idx="414">
                  <c:v>1.4147176269252708E-2</c:v>
                </c:pt>
                <c:pt idx="416">
                  <c:v>9.7926267281106E-3</c:v>
                </c:pt>
                <c:pt idx="418">
                  <c:v>2.0099155835454907E-3</c:v>
                </c:pt>
                <c:pt idx="424">
                  <c:v>2.1128205128205131E-2</c:v>
                </c:pt>
                <c:pt idx="428">
                  <c:v>7.3565888420803971E-2</c:v>
                </c:pt>
                <c:pt idx="430">
                  <c:v>0.1967168387067437</c:v>
                </c:pt>
                <c:pt idx="432">
                  <c:v>9.957608009380356E-2</c:v>
                </c:pt>
                <c:pt idx="436">
                  <c:v>0.11459589867310012</c:v>
                </c:pt>
                <c:pt idx="438">
                  <c:v>1.4647467725918567E-2</c:v>
                </c:pt>
                <c:pt idx="442">
                  <c:v>1.8484288354898334E-3</c:v>
                </c:pt>
                <c:pt idx="444">
                  <c:v>7.1094480823199252E-3</c:v>
                </c:pt>
                <c:pt idx="446">
                  <c:v>9.5680315182214721E-3</c:v>
                </c:pt>
                <c:pt idx="448">
                  <c:v>2.3322449523555675E-3</c:v>
                </c:pt>
                <c:pt idx="450">
                  <c:v>1.3650856915105619E-2</c:v>
                </c:pt>
                <c:pt idx="452">
                  <c:v>3.8388004877534729E-2</c:v>
                </c:pt>
                <c:pt idx="454">
                  <c:v>0.14786649767638363</c:v>
                </c:pt>
                <c:pt idx="456">
                  <c:v>3.9821609311740891E-2</c:v>
                </c:pt>
                <c:pt idx="458">
                  <c:v>0.17547313858641056</c:v>
                </c:pt>
                <c:pt idx="460">
                  <c:v>8.668192942290992E-2</c:v>
                </c:pt>
                <c:pt idx="462">
                  <c:v>5.2682159706447657E-2</c:v>
                </c:pt>
                <c:pt idx="464">
                  <c:v>3.0952380952380953E-3</c:v>
                </c:pt>
                <c:pt idx="472">
                  <c:v>3.8822679667750086E-3</c:v>
                </c:pt>
                <c:pt idx="474">
                  <c:v>9.0473984869538365E-2</c:v>
                </c:pt>
                <c:pt idx="476">
                  <c:v>0.13326330991925425</c:v>
                </c:pt>
                <c:pt idx="478">
                  <c:v>0.14214500765016533</c:v>
                </c:pt>
                <c:pt idx="480">
                  <c:v>5.9378623695469625E-2</c:v>
                </c:pt>
                <c:pt idx="482">
                  <c:v>0.1389528964149831</c:v>
                </c:pt>
                <c:pt idx="484">
                  <c:v>0.16993268511593121</c:v>
                </c:pt>
                <c:pt idx="486">
                  <c:v>3.643564356435644E-2</c:v>
                </c:pt>
                <c:pt idx="490">
                  <c:v>8.7645373335580642E-3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0B43-B1A9-EC207AE1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'Zea update'!$AA$4:$AA$494</c:f>
              <c:numCache>
                <c:formatCode>General</c:formatCode>
                <c:ptCount val="491"/>
                <c:pt idx="0">
                  <c:v>0.1161830275423211</c:v>
                </c:pt>
                <c:pt idx="2">
                  <c:v>-0.626380341194549</c:v>
                </c:pt>
                <c:pt idx="4">
                  <c:v>-1.2383894771108699</c:v>
                </c:pt>
                <c:pt idx="6">
                  <c:v>-1.6940665805662185</c:v>
                </c:pt>
                <c:pt idx="8">
                  <c:v>-2.3143444698537534</c:v>
                </c:pt>
                <c:pt idx="10">
                  <c:v>-2.5315372193773729</c:v>
                </c:pt>
                <c:pt idx="12">
                  <c:v>-1.1068092404375627</c:v>
                </c:pt>
                <c:pt idx="14">
                  <c:v>-1.0190843643511833</c:v>
                </c:pt>
                <c:pt idx="16">
                  <c:v>0.36066256883061598</c:v>
                </c:pt>
                <c:pt idx="18">
                  <c:v>1.7690523795448578</c:v>
                </c:pt>
                <c:pt idx="20">
                  <c:v>3.7533570360908879</c:v>
                </c:pt>
                <c:pt idx="22">
                  <c:v>3.3516524917237955</c:v>
                </c:pt>
                <c:pt idx="24">
                  <c:v>2.8130186602015068</c:v>
                </c:pt>
                <c:pt idx="26">
                  <c:v>1.9997317983429657</c:v>
                </c:pt>
                <c:pt idx="28">
                  <c:v>1.1063372545699055</c:v>
                </c:pt>
                <c:pt idx="30">
                  <c:v>0.47147616559280869</c:v>
                </c:pt>
                <c:pt idx="32">
                  <c:v>-0.28023619714241255</c:v>
                </c:pt>
                <c:pt idx="34">
                  <c:v>-0.5103490144055991</c:v>
                </c:pt>
                <c:pt idx="36">
                  <c:v>-1.3119194278581565</c:v>
                </c:pt>
                <c:pt idx="38">
                  <c:v>-1.4960763398037422</c:v>
                </c:pt>
                <c:pt idx="40">
                  <c:v>-0.65761370248371631</c:v>
                </c:pt>
                <c:pt idx="42">
                  <c:v>1.5722842146206035</c:v>
                </c:pt>
                <c:pt idx="44">
                  <c:v>3.3477167539294479</c:v>
                </c:pt>
                <c:pt idx="46">
                  <c:v>3.2155722039137915</c:v>
                </c:pt>
                <c:pt idx="48">
                  <c:v>2.4165842513394704</c:v>
                </c:pt>
                <c:pt idx="50">
                  <c:v>1.5144506041502575</c:v>
                </c:pt>
                <c:pt idx="52">
                  <c:v>0.89826924044018064</c:v>
                </c:pt>
                <c:pt idx="54">
                  <c:v>0.19604038995948614</c:v>
                </c:pt>
                <c:pt idx="56">
                  <c:v>-0.76487469293601251</c:v>
                </c:pt>
                <c:pt idx="58">
                  <c:v>-1.5243512501211121</c:v>
                </c:pt>
                <c:pt idx="60">
                  <c:v>-1.9340138086192842</c:v>
                </c:pt>
                <c:pt idx="62">
                  <c:v>-1.540547323434047</c:v>
                </c:pt>
                <c:pt idx="64">
                  <c:v>-7.1298940426908652E-2</c:v>
                </c:pt>
                <c:pt idx="66">
                  <c:v>6.4478076918501132E-2</c:v>
                </c:pt>
                <c:pt idx="68">
                  <c:v>0.96695211700057804</c:v>
                </c:pt>
                <c:pt idx="70">
                  <c:v>1.4291761481826115</c:v>
                </c:pt>
                <c:pt idx="72">
                  <c:v>1.3458465181509023</c:v>
                </c:pt>
                <c:pt idx="74">
                  <c:v>0.56158614244450389</c:v>
                </c:pt>
                <c:pt idx="76">
                  <c:v>1.2227347693124151</c:v>
                </c:pt>
                <c:pt idx="78">
                  <c:v>2.573595172763012</c:v>
                </c:pt>
                <c:pt idx="80">
                  <c:v>2.3027273679032896</c:v>
                </c:pt>
                <c:pt idx="82">
                  <c:v>2.9663790676388988</c:v>
                </c:pt>
                <c:pt idx="84">
                  <c:v>2.5013853168603593</c:v>
                </c:pt>
                <c:pt idx="86">
                  <c:v>2.3936525926975678</c:v>
                </c:pt>
                <c:pt idx="88">
                  <c:v>4.2293095691999998</c:v>
                </c:pt>
                <c:pt idx="90">
                  <c:v>5.3327235204440173</c:v>
                </c:pt>
                <c:pt idx="92">
                  <c:v>10.113126383425289</c:v>
                </c:pt>
                <c:pt idx="94">
                  <c:v>10.471944714138578</c:v>
                </c:pt>
                <c:pt idx="96">
                  <c:v>10.280026894293394</c:v>
                </c:pt>
                <c:pt idx="98">
                  <c:v>9.5352547469157312</c:v>
                </c:pt>
                <c:pt idx="100">
                  <c:v>9.4865269726802435</c:v>
                </c:pt>
                <c:pt idx="102">
                  <c:v>8.8482869080720974</c:v>
                </c:pt>
                <c:pt idx="104">
                  <c:v>8.069762218293425</c:v>
                </c:pt>
                <c:pt idx="106">
                  <c:v>8.1751260244778479</c:v>
                </c:pt>
                <c:pt idx="108">
                  <c:v>7.5559425380322498</c:v>
                </c:pt>
                <c:pt idx="110">
                  <c:v>6.8105992396280826</c:v>
                </c:pt>
                <c:pt idx="112">
                  <c:v>7.2609183996978031</c:v>
                </c:pt>
                <c:pt idx="114">
                  <c:v>7.8694414275782574</c:v>
                </c:pt>
                <c:pt idx="116">
                  <c:v>9.4882263241989797</c:v>
                </c:pt>
                <c:pt idx="118">
                  <c:v>9.645475476243222</c:v>
                </c:pt>
                <c:pt idx="120">
                  <c:v>9.1749025069753696</c:v>
                </c:pt>
                <c:pt idx="122">
                  <c:v>8.6395361786487221</c:v>
                </c:pt>
                <c:pt idx="124">
                  <c:v>8.2746733313252889</c:v>
                </c:pt>
                <c:pt idx="126">
                  <c:v>7.8139708451015446</c:v>
                </c:pt>
                <c:pt idx="128">
                  <c:v>7.0031557595497107</c:v>
                </c:pt>
                <c:pt idx="130">
                  <c:v>6.0281094245718014</c:v>
                </c:pt>
                <c:pt idx="132">
                  <c:v>5.2770729920660635</c:v>
                </c:pt>
                <c:pt idx="134">
                  <c:v>5.1300819119656245</c:v>
                </c:pt>
                <c:pt idx="136">
                  <c:v>5.4224306311658781</c:v>
                </c:pt>
                <c:pt idx="138">
                  <c:v>6.5189709220501637</c:v>
                </c:pt>
                <c:pt idx="140">
                  <c:v>8.1301262342629368</c:v>
                </c:pt>
                <c:pt idx="142">
                  <c:v>9.1502271483314939</c:v>
                </c:pt>
                <c:pt idx="144">
                  <c:v>10.421667789816935</c:v>
                </c:pt>
                <c:pt idx="146">
                  <c:v>10.02986201028761</c:v>
                </c:pt>
                <c:pt idx="148">
                  <c:v>9.6297720576086565</c:v>
                </c:pt>
                <c:pt idx="150">
                  <c:v>9.138874058246353</c:v>
                </c:pt>
                <c:pt idx="152">
                  <c:v>8.4610259115828743</c:v>
                </c:pt>
                <c:pt idx="154">
                  <c:v>7.7864904408731137</c:v>
                </c:pt>
                <c:pt idx="156">
                  <c:v>7.3986628524066518</c:v>
                </c:pt>
                <c:pt idx="158">
                  <c:v>6.8840248364644738</c:v>
                </c:pt>
                <c:pt idx="160">
                  <c:v>7.8981048254075539</c:v>
                </c:pt>
                <c:pt idx="162">
                  <c:v>8.9313903884331385</c:v>
                </c:pt>
                <c:pt idx="164">
                  <c:v>9.633477887516154</c:v>
                </c:pt>
                <c:pt idx="166">
                  <c:v>10.172911507312376</c:v>
                </c:pt>
                <c:pt idx="168">
                  <c:v>10.694545081204359</c:v>
                </c:pt>
                <c:pt idx="170">
                  <c:v>11.645783557640085</c:v>
                </c:pt>
                <c:pt idx="172">
                  <c:v>11.487052095700072</c:v>
                </c:pt>
                <c:pt idx="174">
                  <c:v>12.410080677957204</c:v>
                </c:pt>
                <c:pt idx="176">
                  <c:v>11.631675184914497</c:v>
                </c:pt>
                <c:pt idx="178">
                  <c:v>10.923148778331797</c:v>
                </c:pt>
                <c:pt idx="180">
                  <c:v>12.197360743928446</c:v>
                </c:pt>
                <c:pt idx="182">
                  <c:v>12.264258770110541</c:v>
                </c:pt>
                <c:pt idx="184">
                  <c:v>13.725460615253686</c:v>
                </c:pt>
                <c:pt idx="186">
                  <c:v>14.987951568480355</c:v>
                </c:pt>
                <c:pt idx="188">
                  <c:v>15.752597487822804</c:v>
                </c:pt>
                <c:pt idx="190">
                  <c:v>16.639420061530295</c:v>
                </c:pt>
                <c:pt idx="192">
                  <c:v>16.611308356086241</c:v>
                </c:pt>
                <c:pt idx="194">
                  <c:v>16.136457217303345</c:v>
                </c:pt>
                <c:pt idx="196">
                  <c:v>15.705460544294569</c:v>
                </c:pt>
                <c:pt idx="198">
                  <c:v>15.134209045299256</c:v>
                </c:pt>
                <c:pt idx="200">
                  <c:v>15.099243527537164</c:v>
                </c:pt>
                <c:pt idx="202">
                  <c:v>14.634623441924674</c:v>
                </c:pt>
                <c:pt idx="204">
                  <c:v>14.485924371928457</c:v>
                </c:pt>
                <c:pt idx="206">
                  <c:v>14.795884408867671</c:v>
                </c:pt>
                <c:pt idx="208">
                  <c:v>15.42906626150107</c:v>
                </c:pt>
                <c:pt idx="210">
                  <c:v>18.647078998861542</c:v>
                </c:pt>
                <c:pt idx="212">
                  <c:v>20.382284340806287</c:v>
                </c:pt>
                <c:pt idx="214">
                  <c:v>21.257932220516977</c:v>
                </c:pt>
                <c:pt idx="216">
                  <c:v>21.777529516836211</c:v>
                </c:pt>
                <c:pt idx="218">
                  <c:v>21.902188294655112</c:v>
                </c:pt>
                <c:pt idx="220">
                  <c:v>22.861969203835059</c:v>
                </c:pt>
                <c:pt idx="222">
                  <c:v>22.917245548260478</c:v>
                </c:pt>
                <c:pt idx="224">
                  <c:v>22.3183801387664</c:v>
                </c:pt>
                <c:pt idx="226">
                  <c:v>22.061907353334355</c:v>
                </c:pt>
                <c:pt idx="228">
                  <c:v>21.470094417384924</c:v>
                </c:pt>
                <c:pt idx="230">
                  <c:v>21.578164982781907</c:v>
                </c:pt>
                <c:pt idx="232">
                  <c:v>22.367295898304018</c:v>
                </c:pt>
                <c:pt idx="234">
                  <c:v>22.567843264687873</c:v>
                </c:pt>
                <c:pt idx="236">
                  <c:v>24.099023526904329</c:v>
                </c:pt>
                <c:pt idx="238">
                  <c:v>24.313725505684133</c:v>
                </c:pt>
                <c:pt idx="240">
                  <c:v>24.167609031633845</c:v>
                </c:pt>
                <c:pt idx="242">
                  <c:v>23.291710541632366</c:v>
                </c:pt>
                <c:pt idx="244">
                  <c:v>22.815170782423287</c:v>
                </c:pt>
                <c:pt idx="246">
                  <c:v>22.505903776019679</c:v>
                </c:pt>
                <c:pt idx="248">
                  <c:v>22.097107495084551</c:v>
                </c:pt>
                <c:pt idx="250">
                  <c:v>21.506138869348213</c:v>
                </c:pt>
                <c:pt idx="252">
                  <c:v>21.27315777396278</c:v>
                </c:pt>
                <c:pt idx="254">
                  <c:v>21.143381185801147</c:v>
                </c:pt>
                <c:pt idx="256">
                  <c:v>20.990162572899557</c:v>
                </c:pt>
                <c:pt idx="258">
                  <c:v>20.932798001837206</c:v>
                </c:pt>
                <c:pt idx="260">
                  <c:v>22.714291409582039</c:v>
                </c:pt>
                <c:pt idx="262">
                  <c:v>25.305180319841948</c:v>
                </c:pt>
                <c:pt idx="264">
                  <c:v>25.334630704808092</c:v>
                </c:pt>
                <c:pt idx="267">
                  <c:v>24.85653476599057</c:v>
                </c:pt>
                <c:pt idx="269">
                  <c:v>23.9696602432189</c:v>
                </c:pt>
                <c:pt idx="271">
                  <c:v>23.266398359141359</c:v>
                </c:pt>
                <c:pt idx="273">
                  <c:v>22.371428391385336</c:v>
                </c:pt>
                <c:pt idx="275">
                  <c:v>21.541917297797252</c:v>
                </c:pt>
                <c:pt idx="277">
                  <c:v>20.537286332952608</c:v>
                </c:pt>
                <c:pt idx="279">
                  <c:v>19.528036494589283</c:v>
                </c:pt>
                <c:pt idx="281">
                  <c:v>19.245191431324784</c:v>
                </c:pt>
                <c:pt idx="283">
                  <c:v>19.899481039285476</c:v>
                </c:pt>
                <c:pt idx="285">
                  <c:v>20.626480656185365</c:v>
                </c:pt>
                <c:pt idx="287">
                  <c:v>22.534868922427226</c:v>
                </c:pt>
                <c:pt idx="289">
                  <c:v>22.655306149180667</c:v>
                </c:pt>
                <c:pt idx="291">
                  <c:v>22.169081655174359</c:v>
                </c:pt>
                <c:pt idx="293">
                  <c:v>21.552287069978746</c:v>
                </c:pt>
                <c:pt idx="295">
                  <c:v>21.154764813653724</c:v>
                </c:pt>
                <c:pt idx="297">
                  <c:v>20.781181235135186</c:v>
                </c:pt>
                <c:pt idx="299">
                  <c:v>20.042458322107791</c:v>
                </c:pt>
                <c:pt idx="301">
                  <c:v>19.956188542573713</c:v>
                </c:pt>
                <c:pt idx="303">
                  <c:v>19.200380764057872</c:v>
                </c:pt>
                <c:pt idx="305">
                  <c:v>19.166706544268745</c:v>
                </c:pt>
                <c:pt idx="307">
                  <c:v>20.329916549497156</c:v>
                </c:pt>
                <c:pt idx="309">
                  <c:v>22.690606763422934</c:v>
                </c:pt>
                <c:pt idx="311">
                  <c:v>24.138547971689874</c:v>
                </c:pt>
                <c:pt idx="314">
                  <c:v>24.841360584250015</c:v>
                </c:pt>
                <c:pt idx="316">
                  <c:v>24.368098735279997</c:v>
                </c:pt>
                <c:pt idx="318">
                  <c:v>23.849591791949592</c:v>
                </c:pt>
                <c:pt idx="320">
                  <c:v>23.00294616756641</c:v>
                </c:pt>
                <c:pt idx="322">
                  <c:v>22.650222017841905</c:v>
                </c:pt>
                <c:pt idx="324">
                  <c:v>23.23299358422306</c:v>
                </c:pt>
                <c:pt idx="326">
                  <c:v>23.068302285484751</c:v>
                </c:pt>
                <c:pt idx="328">
                  <c:v>22.421509855071054</c:v>
                </c:pt>
                <c:pt idx="330">
                  <c:v>21.865257278684783</c:v>
                </c:pt>
                <c:pt idx="332">
                  <c:v>21.930069361987474</c:v>
                </c:pt>
                <c:pt idx="334">
                  <c:v>24.949122880898209</c:v>
                </c:pt>
                <c:pt idx="336">
                  <c:v>25.366409645513382</c:v>
                </c:pt>
                <c:pt idx="338">
                  <c:v>25.072340222945428</c:v>
                </c:pt>
                <c:pt idx="340">
                  <c:v>24.483010552328622</c:v>
                </c:pt>
                <c:pt idx="342">
                  <c:v>23.541404861625946</c:v>
                </c:pt>
                <c:pt idx="344">
                  <c:v>22.810479401742988</c:v>
                </c:pt>
                <c:pt idx="346">
                  <c:v>21.889981466367605</c:v>
                </c:pt>
                <c:pt idx="348">
                  <c:v>21.206983027404267</c:v>
                </c:pt>
                <c:pt idx="350">
                  <c:v>20.344345174278995</c:v>
                </c:pt>
                <c:pt idx="352">
                  <c:v>19.4610465535863</c:v>
                </c:pt>
                <c:pt idx="354">
                  <c:v>18.830594009061258</c:v>
                </c:pt>
                <c:pt idx="356">
                  <c:v>18.259292844759294</c:v>
                </c:pt>
                <c:pt idx="358">
                  <c:v>18.314122201424841</c:v>
                </c:pt>
                <c:pt idx="360">
                  <c:v>18.879858567624204</c:v>
                </c:pt>
                <c:pt idx="362">
                  <c:v>19.07255881555697</c:v>
                </c:pt>
                <c:pt idx="364">
                  <c:v>18.621845015807168</c:v>
                </c:pt>
                <c:pt idx="366">
                  <c:v>17.729904631756945</c:v>
                </c:pt>
                <c:pt idx="368">
                  <c:v>16.737838989495373</c:v>
                </c:pt>
                <c:pt idx="370">
                  <c:v>16.036861709523844</c:v>
                </c:pt>
                <c:pt idx="372">
                  <c:v>15.195530272952475</c:v>
                </c:pt>
                <c:pt idx="376">
                  <c:v>14.947003936584821</c:v>
                </c:pt>
                <c:pt idx="378">
                  <c:v>14.238775521842035</c:v>
                </c:pt>
                <c:pt idx="380">
                  <c:v>13.849994359487846</c:v>
                </c:pt>
                <c:pt idx="382">
                  <c:v>13.705367844637131</c:v>
                </c:pt>
                <c:pt idx="384">
                  <c:v>13.788556091401231</c:v>
                </c:pt>
                <c:pt idx="386">
                  <c:v>14.70969739200557</c:v>
                </c:pt>
                <c:pt idx="388">
                  <c:v>14.834157508597862</c:v>
                </c:pt>
                <c:pt idx="390">
                  <c:v>14.122899510149276</c:v>
                </c:pt>
                <c:pt idx="392">
                  <c:v>13.127953280101861</c:v>
                </c:pt>
                <c:pt idx="394">
                  <c:v>13.222514882089374</c:v>
                </c:pt>
                <c:pt idx="396">
                  <c:v>12.481706026182577</c:v>
                </c:pt>
                <c:pt idx="398">
                  <c:v>13.207563341029459</c:v>
                </c:pt>
                <c:pt idx="400">
                  <c:v>12.263275723767549</c:v>
                </c:pt>
                <c:pt idx="402">
                  <c:v>11.365474833532337</c:v>
                </c:pt>
                <c:pt idx="404">
                  <c:v>11.116948497164683</c:v>
                </c:pt>
                <c:pt idx="406">
                  <c:v>11.219555878829894</c:v>
                </c:pt>
                <c:pt idx="408">
                  <c:v>11.369295636508285</c:v>
                </c:pt>
                <c:pt idx="410">
                  <c:v>13.254589535156754</c:v>
                </c:pt>
                <c:pt idx="412">
                  <c:v>13.972599731552547</c:v>
                </c:pt>
                <c:pt idx="414">
                  <c:v>13.234770794044897</c:v>
                </c:pt>
                <c:pt idx="416">
                  <c:v>12.578939277820451</c:v>
                </c:pt>
                <c:pt idx="418">
                  <c:v>12.147098294598582</c:v>
                </c:pt>
                <c:pt idx="424">
                  <c:v>11.216071314212877</c:v>
                </c:pt>
                <c:pt idx="428">
                  <c:v>12.565824211227913</c:v>
                </c:pt>
                <c:pt idx="430">
                  <c:v>12.484868619505646</c:v>
                </c:pt>
                <c:pt idx="432">
                  <c:v>13.514280288612339</c:v>
                </c:pt>
                <c:pt idx="436">
                  <c:v>13.082240644163861</c:v>
                </c:pt>
                <c:pt idx="438">
                  <c:v>12.30919900423962</c:v>
                </c:pt>
                <c:pt idx="442">
                  <c:v>11.915252649993574</c:v>
                </c:pt>
                <c:pt idx="444">
                  <c:v>11.273029427791903</c:v>
                </c:pt>
                <c:pt idx="446">
                  <c:v>10.452855411854481</c:v>
                </c:pt>
                <c:pt idx="448">
                  <c:v>10.025037318471462</c:v>
                </c:pt>
                <c:pt idx="450">
                  <c:v>9.3503329857190831</c:v>
                </c:pt>
                <c:pt idx="452">
                  <c:v>11.476304960405352</c:v>
                </c:pt>
                <c:pt idx="454">
                  <c:v>11.126064076013469</c:v>
                </c:pt>
                <c:pt idx="456">
                  <c:v>13.093355395945141</c:v>
                </c:pt>
                <c:pt idx="458">
                  <c:v>13.156230532288387</c:v>
                </c:pt>
                <c:pt idx="460">
                  <c:v>13.241306060705281</c:v>
                </c:pt>
                <c:pt idx="462">
                  <c:v>12.636629810332865</c:v>
                </c:pt>
                <c:pt idx="464">
                  <c:v>11.880673035897068</c:v>
                </c:pt>
                <c:pt idx="472">
                  <c:v>11.257620622063245</c:v>
                </c:pt>
                <c:pt idx="474">
                  <c:v>10.406157462934775</c:v>
                </c:pt>
                <c:pt idx="476">
                  <c:v>9.9895637288552113</c:v>
                </c:pt>
                <c:pt idx="478">
                  <c:v>9.8226871566241964</c:v>
                </c:pt>
                <c:pt idx="480">
                  <c:v>9.8916214603790422</c:v>
                </c:pt>
                <c:pt idx="482">
                  <c:v>9.6452803975040968</c:v>
                </c:pt>
                <c:pt idx="484">
                  <c:v>9.1361601971310069</c:v>
                </c:pt>
                <c:pt idx="486">
                  <c:v>8.3392295447069333</c:v>
                </c:pt>
                <c:pt idx="490">
                  <c:v>7.7554127231285488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3-0342-A3E6-CD4019E5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'Zea update'!$Z$4:$Z$494</c:f>
              <c:numCache>
                <c:formatCode>General</c:formatCode>
                <c:ptCount val="491"/>
                <c:pt idx="0">
                  <c:v>0.1161830275423211</c:v>
                </c:pt>
                <c:pt idx="2">
                  <c:v>-0.74256336873687012</c:v>
                </c:pt>
                <c:pt idx="4">
                  <c:v>-0.61200913591632089</c:v>
                </c:pt>
                <c:pt idx="6">
                  <c:v>-0.45567710345534851</c:v>
                </c:pt>
                <c:pt idx="8">
                  <c:v>-0.62027788928753469</c:v>
                </c:pt>
                <c:pt idx="10">
                  <c:v>-0.21719274952361942</c:v>
                </c:pt>
                <c:pt idx="12">
                  <c:v>1.4247279789398102</c:v>
                </c:pt>
                <c:pt idx="14">
                  <c:v>8.7724876086379383E-2</c:v>
                </c:pt>
                <c:pt idx="16">
                  <c:v>1.3797469331817993</c:v>
                </c:pt>
                <c:pt idx="18">
                  <c:v>1.4083898107142419</c:v>
                </c:pt>
                <c:pt idx="20">
                  <c:v>1.9843046565460301</c:v>
                </c:pt>
                <c:pt idx="22">
                  <c:v>-0.40170454436709219</c:v>
                </c:pt>
                <c:pt idx="24">
                  <c:v>-0.53863383152228861</c:v>
                </c:pt>
                <c:pt idx="26">
                  <c:v>-0.81328686185854115</c:v>
                </c:pt>
                <c:pt idx="28">
                  <c:v>-0.89339454377306005</c:v>
                </c:pt>
                <c:pt idx="30">
                  <c:v>-0.63486108897709681</c:v>
                </c:pt>
                <c:pt idx="32">
                  <c:v>-0.75171236273522124</c:v>
                </c:pt>
                <c:pt idx="34">
                  <c:v>-0.2301128172631865</c:v>
                </c:pt>
                <c:pt idx="36">
                  <c:v>-0.80157041345255742</c:v>
                </c:pt>
                <c:pt idx="38">
                  <c:v>-0.18415691194558567</c:v>
                </c:pt>
                <c:pt idx="40">
                  <c:v>0.83846263732002591</c:v>
                </c:pt>
                <c:pt idx="42">
                  <c:v>2.2298979171043198</c:v>
                </c:pt>
                <c:pt idx="44">
                  <c:v>1.7754325393088446</c:v>
                </c:pt>
                <c:pt idx="46">
                  <c:v>-0.13214455001565639</c:v>
                </c:pt>
                <c:pt idx="48">
                  <c:v>-0.79898795257432109</c:v>
                </c:pt>
                <c:pt idx="50">
                  <c:v>-0.90213364718921307</c:v>
                </c:pt>
                <c:pt idx="52">
                  <c:v>-0.61618136371007681</c:v>
                </c:pt>
                <c:pt idx="54">
                  <c:v>-0.7022288504806945</c:v>
                </c:pt>
                <c:pt idx="56">
                  <c:v>-0.96091508289549865</c:v>
                </c:pt>
                <c:pt idx="58">
                  <c:v>-0.75947655718509943</c:v>
                </c:pt>
                <c:pt idx="60">
                  <c:v>-0.40966255849817212</c:v>
                </c:pt>
                <c:pt idx="62">
                  <c:v>0.39346648518523725</c:v>
                </c:pt>
                <c:pt idx="64">
                  <c:v>1.4692483830071383</c:v>
                </c:pt>
                <c:pt idx="66">
                  <c:v>0.13577701734540978</c:v>
                </c:pt>
                <c:pt idx="68">
                  <c:v>0.90247404008207688</c:v>
                </c:pt>
                <c:pt idx="70">
                  <c:v>0.46222403118203348</c:v>
                </c:pt>
                <c:pt idx="72">
                  <c:v>-8.332963003170922E-2</c:v>
                </c:pt>
                <c:pt idx="74">
                  <c:v>-0.78426037570639839</c:v>
                </c:pt>
                <c:pt idx="76">
                  <c:v>0.66114862686791132</c:v>
                </c:pt>
                <c:pt idx="78">
                  <c:v>1.3508604034505971</c:v>
                </c:pt>
                <c:pt idx="80">
                  <c:v>-0.27086780485972239</c:v>
                </c:pt>
                <c:pt idx="82">
                  <c:v>0.66365169973560911</c:v>
                </c:pt>
                <c:pt idx="84">
                  <c:v>-0.46499375077853977</c:v>
                </c:pt>
                <c:pt idx="86">
                  <c:v>-0.10773272416279146</c:v>
                </c:pt>
                <c:pt idx="88">
                  <c:v>1.8356569765024324</c:v>
                </c:pt>
                <c:pt idx="90">
                  <c:v>1.1034139512440178</c:v>
                </c:pt>
                <c:pt idx="92">
                  <c:v>4.7804028629812718</c:v>
                </c:pt>
                <c:pt idx="94">
                  <c:v>0.35881833071328828</c:v>
                </c:pt>
                <c:pt idx="96">
                  <c:v>-0.19191781984518416</c:v>
                </c:pt>
                <c:pt idx="98">
                  <c:v>-0.74477214737766373</c:v>
                </c:pt>
                <c:pt idx="100">
                  <c:v>-4.8727774235488026E-2</c:v>
                </c:pt>
                <c:pt idx="102">
                  <c:v>-0.63824006460814542</c:v>
                </c:pt>
                <c:pt idx="104">
                  <c:v>-0.77852468977867273</c:v>
                </c:pt>
                <c:pt idx="106">
                  <c:v>0.10536380618442202</c:v>
                </c:pt>
                <c:pt idx="108">
                  <c:v>-0.61918348644559806</c:v>
                </c:pt>
                <c:pt idx="110">
                  <c:v>-0.74534329840416691</c:v>
                </c:pt>
                <c:pt idx="112">
                  <c:v>0.45031916006972061</c:v>
                </c:pt>
                <c:pt idx="114">
                  <c:v>0.60852302788045409</c:v>
                </c:pt>
                <c:pt idx="116">
                  <c:v>1.6187848966207232</c:v>
                </c:pt>
                <c:pt idx="118">
                  <c:v>0.15724915204424278</c:v>
                </c:pt>
                <c:pt idx="120">
                  <c:v>-0.47057296926785308</c:v>
                </c:pt>
                <c:pt idx="122">
                  <c:v>-0.53536632832664721</c:v>
                </c:pt>
                <c:pt idx="124">
                  <c:v>-0.36486284732343299</c:v>
                </c:pt>
                <c:pt idx="126">
                  <c:v>-0.46070248622374393</c:v>
                </c:pt>
                <c:pt idx="128">
                  <c:v>-0.81081508555183368</c:v>
                </c:pt>
                <c:pt idx="130">
                  <c:v>-0.97504633497790927</c:v>
                </c:pt>
                <c:pt idx="132">
                  <c:v>-0.75103643250573804</c:v>
                </c:pt>
                <c:pt idx="134">
                  <c:v>-0.14699108010043899</c:v>
                </c:pt>
                <c:pt idx="136">
                  <c:v>0.29234871920025363</c:v>
                </c:pt>
                <c:pt idx="138">
                  <c:v>1.0965402908842852</c:v>
                </c:pt>
                <c:pt idx="140">
                  <c:v>1.6111553122127726</c:v>
                </c:pt>
                <c:pt idx="142">
                  <c:v>1.0201009140685566</c:v>
                </c:pt>
                <c:pt idx="144">
                  <c:v>1.2714406414854413</c:v>
                </c:pt>
                <c:pt idx="146">
                  <c:v>-0.39180577952932383</c:v>
                </c:pt>
                <c:pt idx="148">
                  <c:v>-0.40008995267895353</c:v>
                </c:pt>
                <c:pt idx="150">
                  <c:v>-0.49089799936230416</c:v>
                </c:pt>
                <c:pt idx="152">
                  <c:v>-0.67784814666347915</c:v>
                </c:pt>
                <c:pt idx="154">
                  <c:v>-0.67453547070976039</c:v>
                </c:pt>
                <c:pt idx="156">
                  <c:v>-0.3878275884664622</c:v>
                </c:pt>
                <c:pt idx="158">
                  <c:v>-0.51463801594217817</c:v>
                </c:pt>
                <c:pt idx="160">
                  <c:v>1.0140799889430796</c:v>
                </c:pt>
                <c:pt idx="162">
                  <c:v>1.0332855630255844</c:v>
                </c:pt>
                <c:pt idx="164">
                  <c:v>0.70208749908301593</c:v>
                </c:pt>
                <c:pt idx="166">
                  <c:v>0.53943361979622251</c:v>
                </c:pt>
                <c:pt idx="168">
                  <c:v>0.52163357389198239</c:v>
                </c:pt>
                <c:pt idx="170">
                  <c:v>0.95123847643572712</c:v>
                </c:pt>
                <c:pt idx="172">
                  <c:v>-0.15873146194001309</c:v>
                </c:pt>
                <c:pt idx="174">
                  <c:v>0.92302858225713214</c:v>
                </c:pt>
                <c:pt idx="176">
                  <c:v>-0.7784054930427069</c:v>
                </c:pt>
                <c:pt idx="178">
                  <c:v>-0.70852640658270127</c:v>
                </c:pt>
                <c:pt idx="180">
                  <c:v>1.2742119655966486</c:v>
                </c:pt>
                <c:pt idx="182">
                  <c:v>6.6898026182094825E-2</c:v>
                </c:pt>
                <c:pt idx="184">
                  <c:v>1.4612018451431457</c:v>
                </c:pt>
                <c:pt idx="186">
                  <c:v>1.2624909532266688</c:v>
                </c:pt>
                <c:pt idx="188">
                  <c:v>0.76464591934244952</c:v>
                </c:pt>
                <c:pt idx="190">
                  <c:v>0.88682257370749173</c:v>
                </c:pt>
                <c:pt idx="192">
                  <c:v>-2.8111705444053583E-2</c:v>
                </c:pt>
                <c:pt idx="194">
                  <c:v>-0.4748511387828957</c:v>
                </c:pt>
                <c:pt idx="196">
                  <c:v>-0.43099667300877686</c:v>
                </c:pt>
                <c:pt idx="198">
                  <c:v>-0.5712514989953128</c:v>
                </c:pt>
                <c:pt idx="200">
                  <c:v>-3.4965517762092418E-2</c:v>
                </c:pt>
                <c:pt idx="202">
                  <c:v>-0.46462008561248969</c:v>
                </c:pt>
                <c:pt idx="204">
                  <c:v>-0.14869906999621688</c:v>
                </c:pt>
                <c:pt idx="206">
                  <c:v>0.30996003693921476</c:v>
                </c:pt>
                <c:pt idx="208">
                  <c:v>0.63318185263339877</c:v>
                </c:pt>
                <c:pt idx="210">
                  <c:v>3.2180127373604726</c:v>
                </c:pt>
                <c:pt idx="212">
                  <c:v>1.7352053419447453</c:v>
                </c:pt>
                <c:pt idx="214">
                  <c:v>0.87564787971068903</c:v>
                </c:pt>
                <c:pt idx="216">
                  <c:v>0.51959729631923157</c:v>
                </c:pt>
                <c:pt idx="218">
                  <c:v>0.12465877781890121</c:v>
                </c:pt>
                <c:pt idx="220">
                  <c:v>0.9597809091799494</c:v>
                </c:pt>
                <c:pt idx="222">
                  <c:v>5.5276344425420204E-2</c:v>
                </c:pt>
                <c:pt idx="224">
                  <c:v>-0.5988654094940784</c:v>
                </c:pt>
                <c:pt idx="226">
                  <c:v>-0.25647278543204638</c:v>
                </c:pt>
                <c:pt idx="228">
                  <c:v>-0.59181293594942963</c:v>
                </c:pt>
                <c:pt idx="230">
                  <c:v>0.10807056539698091</c:v>
                </c:pt>
                <c:pt idx="232">
                  <c:v>0.78913091552211079</c:v>
                </c:pt>
                <c:pt idx="234">
                  <c:v>0.20054736638385398</c:v>
                </c:pt>
                <c:pt idx="236">
                  <c:v>1.5311802622164561</c:v>
                </c:pt>
                <c:pt idx="238">
                  <c:v>0.21470197877980396</c:v>
                </c:pt>
                <c:pt idx="240">
                  <c:v>-0.14611647405028902</c:v>
                </c:pt>
                <c:pt idx="242">
                  <c:v>-0.87589849000147812</c:v>
                </c:pt>
                <c:pt idx="244">
                  <c:v>-0.47653975920907915</c:v>
                </c:pt>
                <c:pt idx="246">
                  <c:v>-0.30926700640360727</c:v>
                </c:pt>
                <c:pt idx="248">
                  <c:v>-0.40879628093512904</c:v>
                </c:pt>
                <c:pt idx="250">
                  <c:v>-0.59096862573633779</c:v>
                </c:pt>
                <c:pt idx="252">
                  <c:v>-0.23298109538543474</c:v>
                </c:pt>
                <c:pt idx="254">
                  <c:v>-0.12977658816163112</c:v>
                </c:pt>
                <c:pt idx="256">
                  <c:v>-0.15321861290159025</c:v>
                </c:pt>
                <c:pt idx="258">
                  <c:v>-5.7364571062350121E-2</c:v>
                </c:pt>
                <c:pt idx="260">
                  <c:v>1.7814934077448343</c:v>
                </c:pt>
                <c:pt idx="262">
                  <c:v>2.5908889102599111</c:v>
                </c:pt>
                <c:pt idx="264">
                  <c:v>2.9450384966142912E-2</c:v>
                </c:pt>
                <c:pt idx="267">
                  <c:v>-0.47809593881752271</c:v>
                </c:pt>
                <c:pt idx="269">
                  <c:v>-0.88687452277167089</c:v>
                </c:pt>
                <c:pt idx="271">
                  <c:v>-0.70326188407754087</c:v>
                </c:pt>
                <c:pt idx="273">
                  <c:v>-0.89496996775602133</c:v>
                </c:pt>
                <c:pt idx="275">
                  <c:v>-0.82951109358808417</c:v>
                </c:pt>
                <c:pt idx="277">
                  <c:v>-1.0046309648446441</c:v>
                </c:pt>
                <c:pt idx="279">
                  <c:v>-1.0092498383633226</c:v>
                </c:pt>
                <c:pt idx="281">
                  <c:v>-0.28284506326450048</c:v>
                </c:pt>
                <c:pt idx="283">
                  <c:v>0.65428960796069247</c:v>
                </c:pt>
                <c:pt idx="285">
                  <c:v>0.72699961689988801</c:v>
                </c:pt>
                <c:pt idx="287">
                  <c:v>1.9083882662418599</c:v>
                </c:pt>
                <c:pt idx="289">
                  <c:v>0.12043722675344241</c:v>
                </c:pt>
                <c:pt idx="291">
                  <c:v>-0.48622449400630807</c:v>
                </c:pt>
                <c:pt idx="293">
                  <c:v>-0.61679458519561503</c:v>
                </c:pt>
                <c:pt idx="295">
                  <c:v>-0.39752225632502164</c:v>
                </c:pt>
                <c:pt idx="297">
                  <c:v>-0.37358357851853774</c:v>
                </c:pt>
                <c:pt idx="299">
                  <c:v>-0.73872291302739457</c:v>
                </c:pt>
                <c:pt idx="301">
                  <c:v>-8.6269779534079577E-2</c:v>
                </c:pt>
                <c:pt idx="303">
                  <c:v>-0.75580777851583936</c:v>
                </c:pt>
                <c:pt idx="305">
                  <c:v>-3.3674219789128573E-2</c:v>
                </c:pt>
                <c:pt idx="307">
                  <c:v>1.1632100052284096</c:v>
                </c:pt>
                <c:pt idx="309">
                  <c:v>2.360690213925777</c:v>
                </c:pt>
                <c:pt idx="311">
                  <c:v>1.4479412082669401</c:v>
                </c:pt>
                <c:pt idx="314">
                  <c:v>0.70281261256014183</c:v>
                </c:pt>
                <c:pt idx="316">
                  <c:v>-0.47326184897001711</c:v>
                </c:pt>
                <c:pt idx="318">
                  <c:v>-0.51850694333040448</c:v>
                </c:pt>
                <c:pt idx="320">
                  <c:v>-0.84664562438318147</c:v>
                </c:pt>
                <c:pt idx="322">
                  <c:v>-0.35272414972450633</c:v>
                </c:pt>
                <c:pt idx="324">
                  <c:v>0.5827715663811559</c:v>
                </c:pt>
                <c:pt idx="326">
                  <c:v>-0.16469129873830768</c:v>
                </c:pt>
                <c:pt idx="328">
                  <c:v>-0.64679243041369849</c:v>
                </c:pt>
                <c:pt idx="330">
                  <c:v>-0.55625257638627101</c:v>
                </c:pt>
                <c:pt idx="332">
                  <c:v>6.4812083302691767E-2</c:v>
                </c:pt>
                <c:pt idx="334">
                  <c:v>3.0190535189107344</c:v>
                </c:pt>
                <c:pt idx="336">
                  <c:v>0.41728676461517233</c:v>
                </c:pt>
                <c:pt idx="338">
                  <c:v>-0.29406942256795571</c:v>
                </c:pt>
                <c:pt idx="340">
                  <c:v>-0.58932967061680674</c:v>
                </c:pt>
                <c:pt idx="342">
                  <c:v>-0.94160569070267752</c:v>
                </c:pt>
                <c:pt idx="344">
                  <c:v>-0.73092545988295898</c:v>
                </c:pt>
                <c:pt idx="346">
                  <c:v>-0.9204979353753836</c:v>
                </c:pt>
                <c:pt idx="348">
                  <c:v>-0.68299843896333889</c:v>
                </c:pt>
                <c:pt idx="350">
                  <c:v>-0.86263785312527241</c:v>
                </c:pt>
                <c:pt idx="352">
                  <c:v>-0.88329862069269394</c:v>
                </c:pt>
                <c:pt idx="354">
                  <c:v>-0.6304525445250404</c:v>
                </c:pt>
                <c:pt idx="356">
                  <c:v>-0.5713011643019652</c:v>
                </c:pt>
                <c:pt idx="358">
                  <c:v>5.4829356665548085E-2</c:v>
                </c:pt>
                <c:pt idx="360">
                  <c:v>0.56573636619936329</c:v>
                </c:pt>
                <c:pt idx="362">
                  <c:v>0.19270024793276586</c:v>
                </c:pt>
                <c:pt idx="364">
                  <c:v>-0.45071379974980202</c:v>
                </c:pt>
                <c:pt idx="366">
                  <c:v>-0.89194038405022147</c:v>
                </c:pt>
                <c:pt idx="368">
                  <c:v>-0.99206564226157279</c:v>
                </c:pt>
                <c:pt idx="370">
                  <c:v>-0.70097727997152792</c:v>
                </c:pt>
                <c:pt idx="372">
                  <c:v>-0.84133143657136866</c:v>
                </c:pt>
                <c:pt idx="376">
                  <c:v>-0.24852633636765342</c:v>
                </c:pt>
                <c:pt idx="378">
                  <c:v>-0.70822841474278653</c:v>
                </c:pt>
                <c:pt idx="380">
                  <c:v>-0.38878116235418925</c:v>
                </c:pt>
                <c:pt idx="382">
                  <c:v>-0.14462651485071545</c:v>
                </c:pt>
                <c:pt idx="384">
                  <c:v>8.3188246764100374E-2</c:v>
                </c:pt>
                <c:pt idx="386">
                  <c:v>0.92114130060433863</c:v>
                </c:pt>
                <c:pt idx="388">
                  <c:v>0.1244601165922915</c:v>
                </c:pt>
                <c:pt idx="390">
                  <c:v>-0.71125799844858628</c:v>
                </c:pt>
                <c:pt idx="392">
                  <c:v>-0.99494623004741523</c:v>
                </c:pt>
                <c:pt idx="394">
                  <c:v>9.4561601987512775E-2</c:v>
                </c:pt>
                <c:pt idx="396">
                  <c:v>-0.74080885590679768</c:v>
                </c:pt>
                <c:pt idx="398">
                  <c:v>0.72585731484688143</c:v>
                </c:pt>
                <c:pt idx="400">
                  <c:v>-0.94428761726191002</c:v>
                </c:pt>
                <c:pt idx="402">
                  <c:v>-0.89780089023521126</c:v>
                </c:pt>
                <c:pt idx="404">
                  <c:v>-0.24852633636765359</c:v>
                </c:pt>
                <c:pt idx="406">
                  <c:v>0.10260738166521077</c:v>
                </c:pt>
                <c:pt idx="408">
                  <c:v>0.14973975767839165</c:v>
                </c:pt>
                <c:pt idx="410">
                  <c:v>1.8852938986484677</c:v>
                </c:pt>
                <c:pt idx="412">
                  <c:v>0.71801019639579367</c:v>
                </c:pt>
                <c:pt idx="414">
                  <c:v>-0.73782893750765033</c:v>
                </c:pt>
                <c:pt idx="416">
                  <c:v>-0.65583151622444535</c:v>
                </c:pt>
                <c:pt idx="418">
                  <c:v>-0.43184098322186859</c:v>
                </c:pt>
                <c:pt idx="424">
                  <c:v>-0.93102698038570431</c:v>
                </c:pt>
                <c:pt idx="428">
                  <c:v>1.3497528970150343</c:v>
                </c:pt>
                <c:pt idx="430">
                  <c:v>-8.0955591722266809E-2</c:v>
                </c:pt>
                <c:pt idx="432">
                  <c:v>1.0294116691066928</c:v>
                </c:pt>
                <c:pt idx="436">
                  <c:v>-0.43203964444847848</c:v>
                </c:pt>
                <c:pt idx="438">
                  <c:v>-0.77304163992424157</c:v>
                </c:pt>
                <c:pt idx="442">
                  <c:v>-0.39394635424604474</c:v>
                </c:pt>
                <c:pt idx="444">
                  <c:v>-0.64222322220167249</c:v>
                </c:pt>
                <c:pt idx="446">
                  <c:v>-0.82017401593742245</c:v>
                </c:pt>
                <c:pt idx="448">
                  <c:v>-0.42781809338301979</c:v>
                </c:pt>
                <c:pt idx="450">
                  <c:v>-0.67470433275237862</c:v>
                </c:pt>
                <c:pt idx="452">
                  <c:v>2.1259719746862697</c:v>
                </c:pt>
                <c:pt idx="454">
                  <c:v>-0.35024088439188344</c:v>
                </c:pt>
                <c:pt idx="456">
                  <c:v>1.9672913199316724</c:v>
                </c:pt>
                <c:pt idx="458">
                  <c:v>6.2875136343245916E-2</c:v>
                </c:pt>
                <c:pt idx="460">
                  <c:v>8.5075528416893725E-2</c:v>
                </c:pt>
                <c:pt idx="462">
                  <c:v>-0.60467625037241568</c:v>
                </c:pt>
                <c:pt idx="464">
                  <c:v>-0.75595677443579679</c:v>
                </c:pt>
                <c:pt idx="472">
                  <c:v>-0.62305241383382437</c:v>
                </c:pt>
                <c:pt idx="474">
                  <c:v>-0.8514631591284697</c:v>
                </c:pt>
                <c:pt idx="476">
                  <c:v>-0.41659373407956468</c:v>
                </c:pt>
                <c:pt idx="478">
                  <c:v>-0.1668765722310156</c:v>
                </c:pt>
                <c:pt idx="480">
                  <c:v>6.893430375484555E-2</c:v>
                </c:pt>
                <c:pt idx="482">
                  <c:v>-0.24634106287494534</c:v>
                </c:pt>
                <c:pt idx="484">
                  <c:v>-0.50912020037309036</c:v>
                </c:pt>
                <c:pt idx="486">
                  <c:v>-0.79693065242407302</c:v>
                </c:pt>
                <c:pt idx="490">
                  <c:v>-0.58381682157838422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D-F24A-BC7C-CAB7D7A0F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'Fuco update'!$N$4:$N$494</c:f>
              <c:numCache>
                <c:formatCode>General</c:formatCode>
                <c:ptCount val="491"/>
                <c:pt idx="0">
                  <c:v>-0.5920476153871983</c:v>
                </c:pt>
                <c:pt idx="2">
                  <c:v>-1.2343155893863851</c:v>
                </c:pt>
                <c:pt idx="4">
                  <c:v>-0.68983370076698103</c:v>
                </c:pt>
                <c:pt idx="6">
                  <c:v>0.26239301420356809</c:v>
                </c:pt>
                <c:pt idx="8">
                  <c:v>1.2379504459671948</c:v>
                </c:pt>
                <c:pt idx="10">
                  <c:v>1.8819230765177872</c:v>
                </c:pt>
                <c:pt idx="12">
                  <c:v>1.0707467459604949</c:v>
                </c:pt>
                <c:pt idx="14">
                  <c:v>2.402633510203577</c:v>
                </c:pt>
                <c:pt idx="16">
                  <c:v>1.9870178446349505</c:v>
                </c:pt>
                <c:pt idx="18">
                  <c:v>1.2762025418237672</c:v>
                </c:pt>
                <c:pt idx="20">
                  <c:v>0.22462067733720814</c:v>
                </c:pt>
                <c:pt idx="22">
                  <c:v>-7.1231200123105243E-2</c:v>
                </c:pt>
                <c:pt idx="24">
                  <c:v>-1.6927934625964622</c:v>
                </c:pt>
                <c:pt idx="26">
                  <c:v>-2.5319252604124367</c:v>
                </c:pt>
                <c:pt idx="28">
                  <c:v>-3.6435621522141277</c:v>
                </c:pt>
                <c:pt idx="30">
                  <c:v>-5.0063613186502627</c:v>
                </c:pt>
                <c:pt idx="32">
                  <c:v>-4.6298213995032915</c:v>
                </c:pt>
                <c:pt idx="34">
                  <c:v>-3.7772074212612945</c:v>
                </c:pt>
                <c:pt idx="36">
                  <c:v>-3.6910202090384474</c:v>
                </c:pt>
                <c:pt idx="38">
                  <c:v>-2.1769455097928314</c:v>
                </c:pt>
                <c:pt idx="40">
                  <c:v>-0.82890624937555302</c:v>
                </c:pt>
                <c:pt idx="42">
                  <c:v>-1.8004579451959413</c:v>
                </c:pt>
                <c:pt idx="44">
                  <c:v>-2.8193911721189799</c:v>
                </c:pt>
                <c:pt idx="46">
                  <c:v>-3.0742294925338274</c:v>
                </c:pt>
                <c:pt idx="48">
                  <c:v>-4.3636332897759207</c:v>
                </c:pt>
                <c:pt idx="50">
                  <c:v>-5.5434947170679942</c:v>
                </c:pt>
                <c:pt idx="52">
                  <c:v>-3.4082834568513993</c:v>
                </c:pt>
                <c:pt idx="54">
                  <c:v>-4.8253271505961965</c:v>
                </c:pt>
                <c:pt idx="56">
                  <c:v>-3.4142898968504669</c:v>
                </c:pt>
                <c:pt idx="58">
                  <c:v>-3.1439192128821629</c:v>
                </c:pt>
                <c:pt idx="60">
                  <c:v>-3.9607710320119143</c:v>
                </c:pt>
                <c:pt idx="72">
                  <c:v>-4.4886767021320173</c:v>
                </c:pt>
                <c:pt idx="74">
                  <c:v>-4.6127233056842458</c:v>
                </c:pt>
                <c:pt idx="76">
                  <c:v>-6.2870727327224207</c:v>
                </c:pt>
                <c:pt idx="78">
                  <c:v>-7.8421205774689025</c:v>
                </c:pt>
                <c:pt idx="80">
                  <c:v>-7.823678200399244</c:v>
                </c:pt>
                <c:pt idx="82">
                  <c:v>-8.0040022554015895</c:v>
                </c:pt>
                <c:pt idx="84">
                  <c:v>-7.5405541470987547</c:v>
                </c:pt>
                <c:pt idx="86">
                  <c:v>-5.905364499940581</c:v>
                </c:pt>
                <c:pt idx="88">
                  <c:v>-5.4463648444991559</c:v>
                </c:pt>
                <c:pt idx="90">
                  <c:v>-6.6349502290042315</c:v>
                </c:pt>
                <c:pt idx="92">
                  <c:v>-7.2968441713796848</c:v>
                </c:pt>
                <c:pt idx="94">
                  <c:v>-7.8874991001579824</c:v>
                </c:pt>
                <c:pt idx="96">
                  <c:v>-8.7907133861629347</c:v>
                </c:pt>
                <c:pt idx="98">
                  <c:v>-9.020026645307242</c:v>
                </c:pt>
                <c:pt idx="100">
                  <c:v>-9.9916684635097504</c:v>
                </c:pt>
                <c:pt idx="102">
                  <c:v>-8.8129597466498986</c:v>
                </c:pt>
                <c:pt idx="104">
                  <c:v>-9.0135534829078559</c:v>
                </c:pt>
                <c:pt idx="106">
                  <c:v>-6.6816911211974386</c:v>
                </c:pt>
                <c:pt idx="108">
                  <c:v>-7.0551712677552212</c:v>
                </c:pt>
                <c:pt idx="110">
                  <c:v>-7.8406790612385082</c:v>
                </c:pt>
                <c:pt idx="112">
                  <c:v>-8.1361785651163743</c:v>
                </c:pt>
                <c:pt idx="114">
                  <c:v>-9.1016440458501648</c:v>
                </c:pt>
                <c:pt idx="118">
                  <c:v>-9.3877161132357152</c:v>
                </c:pt>
                <c:pt idx="120">
                  <c:v>-10.854525622161271</c:v>
                </c:pt>
                <c:pt idx="122">
                  <c:v>-10.358330810085464</c:v>
                </c:pt>
                <c:pt idx="124">
                  <c:v>-11.480104688730441</c:v>
                </c:pt>
                <c:pt idx="126">
                  <c:v>-12.006227569843897</c:v>
                </c:pt>
                <c:pt idx="128">
                  <c:v>-12.478451882840776</c:v>
                </c:pt>
                <c:pt idx="130">
                  <c:v>-13.679970224900995</c:v>
                </c:pt>
                <c:pt idx="132">
                  <c:v>-12.934280802648624</c:v>
                </c:pt>
                <c:pt idx="134">
                  <c:v>-10.537108199438153</c:v>
                </c:pt>
                <c:pt idx="136">
                  <c:v>-10.6391409332743</c:v>
                </c:pt>
                <c:pt idx="138">
                  <c:v>-11.654752558059155</c:v>
                </c:pt>
                <c:pt idx="140">
                  <c:v>-12.323896229646927</c:v>
                </c:pt>
                <c:pt idx="142">
                  <c:v>-13.239094573526604</c:v>
                </c:pt>
                <c:pt idx="144">
                  <c:v>-12.986364797322949</c:v>
                </c:pt>
                <c:pt idx="146">
                  <c:v>-11.770842150779465</c:v>
                </c:pt>
                <c:pt idx="148">
                  <c:v>-11.469888227967736</c:v>
                </c:pt>
                <c:pt idx="150">
                  <c:v>-11.305763596449175</c:v>
                </c:pt>
                <c:pt idx="152">
                  <c:v>-11.217925150709149</c:v>
                </c:pt>
                <c:pt idx="154">
                  <c:v>-9.84381165163345</c:v>
                </c:pt>
                <c:pt idx="156">
                  <c:v>-8.9572417831817095</c:v>
                </c:pt>
                <c:pt idx="158">
                  <c:v>-7.7806858456820454</c:v>
                </c:pt>
                <c:pt idx="160">
                  <c:v>-7.6828253205015686</c:v>
                </c:pt>
                <c:pt idx="162">
                  <c:v>-8.4821014268277732</c:v>
                </c:pt>
                <c:pt idx="164">
                  <c:v>-9.0044887449514786</c:v>
                </c:pt>
                <c:pt idx="166">
                  <c:v>-8.5049401021922666</c:v>
                </c:pt>
                <c:pt idx="168">
                  <c:v>-6.5758612364346005</c:v>
                </c:pt>
                <c:pt idx="170">
                  <c:v>-5.1135663369777822</c:v>
                </c:pt>
                <c:pt idx="172">
                  <c:v>-3.5334426596759183</c:v>
                </c:pt>
                <c:pt idx="174">
                  <c:v>-2.1882203317066589</c:v>
                </c:pt>
                <c:pt idx="176">
                  <c:v>-2.3665656492487623</c:v>
                </c:pt>
                <c:pt idx="178">
                  <c:v>-1.8679727787668041</c:v>
                </c:pt>
                <c:pt idx="180">
                  <c:v>-0.36958996408407718</c:v>
                </c:pt>
                <c:pt idx="182">
                  <c:v>1.8171636784306322</c:v>
                </c:pt>
                <c:pt idx="184">
                  <c:v>2.3738029067390078</c:v>
                </c:pt>
                <c:pt idx="186">
                  <c:v>1.7145002768278026</c:v>
                </c:pt>
                <c:pt idx="188">
                  <c:v>0.56718224135889783</c:v>
                </c:pt>
                <c:pt idx="190">
                  <c:v>-0.18696045175888265</c:v>
                </c:pt>
                <c:pt idx="192">
                  <c:v>-0.87651053539415191</c:v>
                </c:pt>
                <c:pt idx="194">
                  <c:v>-0.16316817560297248</c:v>
                </c:pt>
                <c:pt idx="196">
                  <c:v>0.7232260727994253</c:v>
                </c:pt>
                <c:pt idx="198">
                  <c:v>0.69497051458625547</c:v>
                </c:pt>
                <c:pt idx="200">
                  <c:v>0.83210011299770714</c:v>
                </c:pt>
                <c:pt idx="202">
                  <c:v>1.6233209094922647</c:v>
                </c:pt>
                <c:pt idx="204">
                  <c:v>3.0172472715863363</c:v>
                </c:pt>
                <c:pt idx="206">
                  <c:v>4.223379975652791</c:v>
                </c:pt>
                <c:pt idx="208">
                  <c:v>3.3203064325254061</c:v>
                </c:pt>
                <c:pt idx="210">
                  <c:v>2.4703567287792572</c:v>
                </c:pt>
                <c:pt idx="212">
                  <c:v>1.6715595639294598</c:v>
                </c:pt>
                <c:pt idx="214">
                  <c:v>1.6893897127100694</c:v>
                </c:pt>
                <c:pt idx="216">
                  <c:v>2.4453988063500978</c:v>
                </c:pt>
                <c:pt idx="218">
                  <c:v>4.506001552911453</c:v>
                </c:pt>
                <c:pt idx="220">
                  <c:v>4.6859105210304959</c:v>
                </c:pt>
                <c:pt idx="222">
                  <c:v>4.3534980679918087</c:v>
                </c:pt>
                <c:pt idx="224">
                  <c:v>5.6200654126607112</c:v>
                </c:pt>
                <c:pt idx="226">
                  <c:v>7.7791623384970441</c:v>
                </c:pt>
                <c:pt idx="228">
                  <c:v>8.1285074954935492</c:v>
                </c:pt>
                <c:pt idx="230">
                  <c:v>7.9966066884546461</c:v>
                </c:pt>
                <c:pt idx="232">
                  <c:v>8.4001059031174119</c:v>
                </c:pt>
                <c:pt idx="234">
                  <c:v>7.6366993185531138</c:v>
                </c:pt>
                <c:pt idx="236">
                  <c:v>6.9196007017151802</c:v>
                </c:pt>
                <c:pt idx="238">
                  <c:v>7.1212256760995158</c:v>
                </c:pt>
                <c:pt idx="240">
                  <c:v>6.3106165693459726</c:v>
                </c:pt>
                <c:pt idx="242">
                  <c:v>6.0096564433645208</c:v>
                </c:pt>
                <c:pt idx="244">
                  <c:v>6.0319516759561473</c:v>
                </c:pt>
                <c:pt idx="246">
                  <c:v>6.6120869363350163</c:v>
                </c:pt>
                <c:pt idx="248">
                  <c:v>8.0323035981911204</c:v>
                </c:pt>
                <c:pt idx="250">
                  <c:v>8.7724887647903689</c:v>
                </c:pt>
                <c:pt idx="252">
                  <c:v>8.9462345315691625</c:v>
                </c:pt>
                <c:pt idx="254">
                  <c:v>9.2657021150171399</c:v>
                </c:pt>
                <c:pt idx="256">
                  <c:v>8.906174902404338</c:v>
                </c:pt>
                <c:pt idx="258">
                  <c:v>9.0535378443579813</c:v>
                </c:pt>
                <c:pt idx="260">
                  <c:v>8.4372308769131834</c:v>
                </c:pt>
                <c:pt idx="262">
                  <c:v>7.9253706107195265</c:v>
                </c:pt>
                <c:pt idx="264">
                  <c:v>7.6917788290751297</c:v>
                </c:pt>
                <c:pt idx="267">
                  <c:v>7.2510363631840526</c:v>
                </c:pt>
                <c:pt idx="269">
                  <c:v>8.4540000986262918</c:v>
                </c:pt>
                <c:pt idx="271">
                  <c:v>8.7890227847137368</c:v>
                </c:pt>
                <c:pt idx="273">
                  <c:v>9.4109030482642027</c:v>
                </c:pt>
                <c:pt idx="275">
                  <c:v>10.893178502553777</c:v>
                </c:pt>
                <c:pt idx="277">
                  <c:v>12.186535143779663</c:v>
                </c:pt>
                <c:pt idx="279">
                  <c:v>11.876501336673378</c:v>
                </c:pt>
                <c:pt idx="281">
                  <c:v>12.673053716591323</c:v>
                </c:pt>
                <c:pt idx="283">
                  <c:v>11.630430904734055</c:v>
                </c:pt>
                <c:pt idx="285">
                  <c:v>10.756707740442888</c:v>
                </c:pt>
                <c:pt idx="287">
                  <c:v>9.9916528743316206</c:v>
                </c:pt>
                <c:pt idx="289">
                  <c:v>9.8954423779871767</c:v>
                </c:pt>
                <c:pt idx="291">
                  <c:v>9.2593537463641304</c:v>
                </c:pt>
                <c:pt idx="293">
                  <c:v>8.7228496469713175</c:v>
                </c:pt>
                <c:pt idx="295">
                  <c:v>9.8241452944249428</c:v>
                </c:pt>
                <c:pt idx="297">
                  <c:v>11.281083399033522</c:v>
                </c:pt>
                <c:pt idx="299">
                  <c:v>12.825876490215322</c:v>
                </c:pt>
                <c:pt idx="301">
                  <c:v>14.47428924344397</c:v>
                </c:pt>
                <c:pt idx="303">
                  <c:v>15.92654157887932</c:v>
                </c:pt>
                <c:pt idx="305">
                  <c:v>18.069900950185698</c:v>
                </c:pt>
                <c:pt idx="307">
                  <c:v>18.181740095365264</c:v>
                </c:pt>
                <c:pt idx="309">
                  <c:v>17.585606659154067</c:v>
                </c:pt>
                <c:pt idx="311">
                  <c:v>19.184410036575663</c:v>
                </c:pt>
                <c:pt idx="314">
                  <c:v>22.064050393092259</c:v>
                </c:pt>
                <c:pt idx="316">
                  <c:v>22.399184369265384</c:v>
                </c:pt>
                <c:pt idx="318">
                  <c:v>22.377221881493309</c:v>
                </c:pt>
                <c:pt idx="320">
                  <c:v>23.021162236987781</c:v>
                </c:pt>
                <c:pt idx="322">
                  <c:v>25.985366616647319</c:v>
                </c:pt>
                <c:pt idx="324">
                  <c:v>27.98340868644415</c:v>
                </c:pt>
                <c:pt idx="326">
                  <c:v>31.954095250777151</c:v>
                </c:pt>
                <c:pt idx="328">
                  <c:v>33.47332246285508</c:v>
                </c:pt>
                <c:pt idx="330">
                  <c:v>34.624402773554188</c:v>
                </c:pt>
                <c:pt idx="332">
                  <c:v>35.70955328993675</c:v>
                </c:pt>
                <c:pt idx="334">
                  <c:v>35.325704208452805</c:v>
                </c:pt>
                <c:pt idx="336">
                  <c:v>35.029728636606947</c:v>
                </c:pt>
                <c:pt idx="338">
                  <c:v>35.361110725761812</c:v>
                </c:pt>
                <c:pt idx="340">
                  <c:v>34.206867777675704</c:v>
                </c:pt>
                <c:pt idx="342">
                  <c:v>34.032673184371127</c:v>
                </c:pt>
                <c:pt idx="344">
                  <c:v>35.033047534870846</c:v>
                </c:pt>
                <c:pt idx="346">
                  <c:v>35.505069473974011</c:v>
                </c:pt>
                <c:pt idx="348">
                  <c:v>36.10879840566821</c:v>
                </c:pt>
                <c:pt idx="350">
                  <c:v>38.232545789313654</c:v>
                </c:pt>
                <c:pt idx="352">
                  <c:v>39.455010130769232</c:v>
                </c:pt>
                <c:pt idx="354">
                  <c:v>39.386312654470572</c:v>
                </c:pt>
                <c:pt idx="356">
                  <c:v>38.604241058046838</c:v>
                </c:pt>
                <c:pt idx="358">
                  <c:v>38.058586161864049</c:v>
                </c:pt>
                <c:pt idx="360">
                  <c:v>37.448704141099881</c:v>
                </c:pt>
                <c:pt idx="362">
                  <c:v>36.829146207428387</c:v>
                </c:pt>
                <c:pt idx="364">
                  <c:v>36.351093830672212</c:v>
                </c:pt>
                <c:pt idx="366">
                  <c:v>35.140978703616106</c:v>
                </c:pt>
                <c:pt idx="368">
                  <c:v>34.061433906712459</c:v>
                </c:pt>
                <c:pt idx="370">
                  <c:v>34.133328835936901</c:v>
                </c:pt>
                <c:pt idx="372">
                  <c:v>34.600455109102192</c:v>
                </c:pt>
                <c:pt idx="376">
                  <c:v>35.091954725947616</c:v>
                </c:pt>
                <c:pt idx="378">
                  <c:v>34.659500571772128</c:v>
                </c:pt>
                <c:pt idx="380">
                  <c:v>35.097847688446997</c:v>
                </c:pt>
                <c:pt idx="382">
                  <c:v>35.6570007351336</c:v>
                </c:pt>
                <c:pt idx="384">
                  <c:v>34.528357643768267</c:v>
                </c:pt>
                <c:pt idx="386">
                  <c:v>34.238039147631255</c:v>
                </c:pt>
                <c:pt idx="388">
                  <c:v>33.318455014324613</c:v>
                </c:pt>
                <c:pt idx="390">
                  <c:v>32.237260115500455</c:v>
                </c:pt>
                <c:pt idx="392">
                  <c:v>31.23296783793911</c:v>
                </c:pt>
                <c:pt idx="394">
                  <c:v>29.557624361858302</c:v>
                </c:pt>
                <c:pt idx="396">
                  <c:v>29.156462394481579</c:v>
                </c:pt>
                <c:pt idx="398">
                  <c:v>27.473059526137682</c:v>
                </c:pt>
                <c:pt idx="400">
                  <c:v>26.388561165190374</c:v>
                </c:pt>
                <c:pt idx="402">
                  <c:v>25.563577364042839</c:v>
                </c:pt>
                <c:pt idx="404">
                  <c:v>26.581617633354089</c:v>
                </c:pt>
                <c:pt idx="406">
                  <c:v>26.382120586051933</c:v>
                </c:pt>
                <c:pt idx="408">
                  <c:v>26.190057917263228</c:v>
                </c:pt>
                <c:pt idx="410">
                  <c:v>25.723928143382214</c:v>
                </c:pt>
                <c:pt idx="412">
                  <c:v>26.487066287030522</c:v>
                </c:pt>
                <c:pt idx="414">
                  <c:v>25.477011782001135</c:v>
                </c:pt>
                <c:pt idx="416">
                  <c:v>24.887747761772111</c:v>
                </c:pt>
                <c:pt idx="418">
                  <c:v>23.892420891293188</c:v>
                </c:pt>
                <c:pt idx="424">
                  <c:v>23.706770390403793</c:v>
                </c:pt>
                <c:pt idx="428">
                  <c:v>25.366860091001058</c:v>
                </c:pt>
                <c:pt idx="430">
                  <c:v>24.92204574395199</c:v>
                </c:pt>
                <c:pt idx="432">
                  <c:v>24.027554618101927</c:v>
                </c:pt>
                <c:pt idx="436">
                  <c:v>23.630210728271319</c:v>
                </c:pt>
                <c:pt idx="438">
                  <c:v>23.667297813444637</c:v>
                </c:pt>
                <c:pt idx="442">
                  <c:v>23.013616825213713</c:v>
                </c:pt>
                <c:pt idx="444">
                  <c:v>21.951093997255601</c:v>
                </c:pt>
                <c:pt idx="446">
                  <c:v>21.311620385331846</c:v>
                </c:pt>
                <c:pt idx="448">
                  <c:v>23.118829811770883</c:v>
                </c:pt>
                <c:pt idx="450">
                  <c:v>23.555471530503677</c:v>
                </c:pt>
                <c:pt idx="452">
                  <c:v>23.876454031191674</c:v>
                </c:pt>
                <c:pt idx="454">
                  <c:v>23.054649319587853</c:v>
                </c:pt>
                <c:pt idx="456">
                  <c:v>21.776568685561283</c:v>
                </c:pt>
                <c:pt idx="458">
                  <c:v>20.557053649797201</c:v>
                </c:pt>
                <c:pt idx="460">
                  <c:v>20.079549755996258</c:v>
                </c:pt>
                <c:pt idx="462">
                  <c:v>19.332675181315732</c:v>
                </c:pt>
                <c:pt idx="464">
                  <c:v>18.650102604995478</c:v>
                </c:pt>
                <c:pt idx="472">
                  <c:v>17.518477074596994</c:v>
                </c:pt>
                <c:pt idx="474">
                  <c:v>17.553248601760853</c:v>
                </c:pt>
                <c:pt idx="476">
                  <c:v>18.108544739865081</c:v>
                </c:pt>
                <c:pt idx="478">
                  <c:v>17.108392089080066</c:v>
                </c:pt>
                <c:pt idx="480">
                  <c:v>16.311397985469828</c:v>
                </c:pt>
                <c:pt idx="482">
                  <c:v>14.928532473151037</c:v>
                </c:pt>
                <c:pt idx="484">
                  <c:v>13.96478942185559</c:v>
                </c:pt>
                <c:pt idx="486">
                  <c:v>13.373978914824601</c:v>
                </c:pt>
                <c:pt idx="490">
                  <c:v>12.397557538478541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7-8D4D-91BB-404D3217F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'Fuco update'!$L$4:$L$494</c:f>
              <c:numCache>
                <c:formatCode>General</c:formatCode>
                <c:ptCount val="491"/>
                <c:pt idx="0">
                  <c:v>0.14429220181114122</c:v>
                </c:pt>
                <c:pt idx="2">
                  <c:v>0.13900509723182672</c:v>
                </c:pt>
                <c:pt idx="4">
                  <c:v>0.26394388314590789</c:v>
                </c:pt>
                <c:pt idx="6">
                  <c:v>0.30687048897222136</c:v>
                </c:pt>
                <c:pt idx="8">
                  <c:v>0.30932670280670249</c:v>
                </c:pt>
                <c:pt idx="10">
                  <c:v>0.27441808069849594</c:v>
                </c:pt>
                <c:pt idx="12">
                  <c:v>0.12122274421554093</c:v>
                </c:pt>
                <c:pt idx="14">
                  <c:v>0.34684038246900739</c:v>
                </c:pt>
                <c:pt idx="16">
                  <c:v>0.16286662452743936</c:v>
                </c:pt>
                <c:pt idx="18">
                  <c:v>0.1317885638163292</c:v>
                </c:pt>
                <c:pt idx="20">
                  <c:v>9.5913303294373295E-2</c:v>
                </c:pt>
                <c:pt idx="22">
                  <c:v>0.17547513012246627</c:v>
                </c:pt>
                <c:pt idx="24">
                  <c:v>3.5906842655597251E-2</c:v>
                </c:pt>
                <c:pt idx="26">
                  <c:v>0.11827964537982349</c:v>
                </c:pt>
                <c:pt idx="28">
                  <c:v>8.9590823353879689E-2</c:v>
                </c:pt>
                <c:pt idx="30">
                  <c:v>6.3148933071283886E-2</c:v>
                </c:pt>
                <c:pt idx="32">
                  <c:v>0.24626326953824576</c:v>
                </c:pt>
                <c:pt idx="34">
                  <c:v>0.2963834480375942</c:v>
                </c:pt>
                <c:pt idx="36">
                  <c:v>0.21569548450398199</c:v>
                </c:pt>
                <c:pt idx="38">
                  <c:v>0.3660207844428357</c:v>
                </c:pt>
                <c:pt idx="40">
                  <c:v>0.34854088678339845</c:v>
                </c:pt>
                <c:pt idx="42">
                  <c:v>0.10433872841941842</c:v>
                </c:pt>
                <c:pt idx="44">
                  <c:v>9.9350490242880299E-2</c:v>
                </c:pt>
                <c:pt idx="46">
                  <c:v>0.17979296000784059</c:v>
                </c:pt>
                <c:pt idx="48">
                  <c:v>7.0875859029030028E-2</c:v>
                </c:pt>
                <c:pt idx="50">
                  <c:v>8.2408273010109376E-2</c:v>
                </c:pt>
                <c:pt idx="52">
                  <c:v>0.43141286937919004</c:v>
                </c:pt>
                <c:pt idx="54">
                  <c:v>5.7438171605954214E-2</c:v>
                </c:pt>
                <c:pt idx="56">
                  <c:v>0.35517319663183844</c:v>
                </c:pt>
                <c:pt idx="58">
                  <c:v>0.2350859728201484</c:v>
                </c:pt>
                <c:pt idx="60">
                  <c:v>0.1206252394893574</c:v>
                </c:pt>
                <c:pt idx="72">
                  <c:v>0.15104494476082705</c:v>
                </c:pt>
                <c:pt idx="74">
                  <c:v>0.19356246513032457</c:v>
                </c:pt>
                <c:pt idx="76">
                  <c:v>3.0349509589619239E-2</c:v>
                </c:pt>
                <c:pt idx="78">
                  <c:v>4.2909355028542595E-2</c:v>
                </c:pt>
                <c:pt idx="80">
                  <c:v>0.20856343610642583</c:v>
                </c:pt>
                <c:pt idx="82">
                  <c:v>0.18763768124789665</c:v>
                </c:pt>
                <c:pt idx="84">
                  <c:v>0.25541279968031461</c:v>
                </c:pt>
                <c:pt idx="86">
                  <c:v>0.37877153759215826</c:v>
                </c:pt>
                <c:pt idx="88">
                  <c:v>0.25494447495814093</c:v>
                </c:pt>
                <c:pt idx="90">
                  <c:v>8.1489831258488854E-2</c:v>
                </c:pt>
                <c:pt idx="92">
                  <c:v>0.13693891231910346</c:v>
                </c:pt>
                <c:pt idx="94">
                  <c:v>0.1444388212290621</c:v>
                </c:pt>
                <c:pt idx="96">
                  <c:v>0.111533161959115</c:v>
                </c:pt>
                <c:pt idx="98">
                  <c:v>0.18248019028776422</c:v>
                </c:pt>
                <c:pt idx="100">
                  <c:v>0.10432924050510696</c:v>
                </c:pt>
                <c:pt idx="102">
                  <c:v>0.33071408671657115</c:v>
                </c:pt>
                <c:pt idx="104">
                  <c:v>0.18550372745804444</c:v>
                </c:pt>
                <c:pt idx="106">
                  <c:v>0.45211592622647889</c:v>
                </c:pt>
                <c:pt idx="108">
                  <c:v>0.16730257245117333</c:v>
                </c:pt>
                <c:pt idx="110">
                  <c:v>0.12392507935728724</c:v>
                </c:pt>
                <c:pt idx="112">
                  <c:v>0.17551222734823052</c:v>
                </c:pt>
                <c:pt idx="114">
                  <c:v>0.10497947365789145</c:v>
                </c:pt>
                <c:pt idx="118">
                  <c:v>0.17650473007077813</c:v>
                </c:pt>
                <c:pt idx="120">
                  <c:v>5.2198920501269792E-2</c:v>
                </c:pt>
                <c:pt idx="122">
                  <c:v>0.25886031085428307</c:v>
                </c:pt>
                <c:pt idx="124">
                  <c:v>8.8523620509438253E-2</c:v>
                </c:pt>
                <c:pt idx="126">
                  <c:v>0.15123263342298537</c:v>
                </c:pt>
                <c:pt idx="128">
                  <c:v>0.15690697295746306</c:v>
                </c:pt>
                <c:pt idx="130">
                  <c:v>8.0128273894030849E-2</c:v>
                </c:pt>
                <c:pt idx="132">
                  <c:v>0.28512663256995296</c:v>
                </c:pt>
                <c:pt idx="134">
                  <c:v>0.45899166519877377</c:v>
                </c:pt>
                <c:pt idx="136">
                  <c:v>0.19588004378968016</c:v>
                </c:pt>
                <c:pt idx="138">
                  <c:v>9.9700182247494121E-2</c:v>
                </c:pt>
                <c:pt idx="140">
                  <c:v>0.1361756745092467</c:v>
                </c:pt>
                <c:pt idx="142">
                  <c:v>0.11027150296225752</c:v>
                </c:pt>
                <c:pt idx="144">
                  <c:v>0.23322877134242972</c:v>
                </c:pt>
                <c:pt idx="146">
                  <c:v>0.33458978775878617</c:v>
                </c:pt>
                <c:pt idx="148">
                  <c:v>0.23830571848920354</c:v>
                </c:pt>
                <c:pt idx="150">
                  <c:v>0.22390058892472101</c:v>
                </c:pt>
                <c:pt idx="152">
                  <c:v>0.21586932325247929</c:v>
                </c:pt>
                <c:pt idx="154">
                  <c:v>0.35128593342231607</c:v>
                </c:pt>
                <c:pt idx="156">
                  <c:v>0.29995826007766158</c:v>
                </c:pt>
                <c:pt idx="158">
                  <c:v>0.33048744616823417</c:v>
                </c:pt>
                <c:pt idx="160">
                  <c:v>0.21692442886240246</c:v>
                </c:pt>
                <c:pt idx="162">
                  <c:v>0.12247557736460632</c:v>
                </c:pt>
                <c:pt idx="164">
                  <c:v>0.15162590644482937</c:v>
                </c:pt>
                <c:pt idx="166">
                  <c:v>0.25921339581931652</c:v>
                </c:pt>
                <c:pt idx="168">
                  <c:v>0.40971163990153553</c:v>
                </c:pt>
                <c:pt idx="170">
                  <c:v>0.36056950483938843</c:v>
                </c:pt>
                <c:pt idx="172">
                  <c:v>0.37297429620563044</c:v>
                </c:pt>
                <c:pt idx="174">
                  <c:v>0.34824432545135758</c:v>
                </c:pt>
                <c:pt idx="176">
                  <c:v>0.18784599899345744</c:v>
                </c:pt>
                <c:pt idx="178">
                  <c:v>0.25911277391769105</c:v>
                </c:pt>
                <c:pt idx="180">
                  <c:v>0.36436877244962146</c:v>
                </c:pt>
                <c:pt idx="182">
                  <c:v>0.43683915411727009</c:v>
                </c:pt>
                <c:pt idx="184">
                  <c:v>0.26522378492515364</c:v>
                </c:pt>
                <c:pt idx="186">
                  <c:v>0.13721172080504071</c:v>
                </c:pt>
                <c:pt idx="188">
                  <c:v>8.583437988569087E-2</c:v>
                </c:pt>
                <c:pt idx="190">
                  <c:v>0.12722713793186582</c:v>
                </c:pt>
                <c:pt idx="192">
                  <c:v>0.13402732595966169</c:v>
                </c:pt>
                <c:pt idx="194">
                  <c:v>0.28172119487908964</c:v>
                </c:pt>
                <c:pt idx="196">
                  <c:v>0.29993977113029513</c:v>
                </c:pt>
                <c:pt idx="198">
                  <c:v>0.20364716560772342</c:v>
                </c:pt>
                <c:pt idx="200">
                  <c:v>0.22105860278395947</c:v>
                </c:pt>
                <c:pt idx="202">
                  <c:v>0.28992008972381889</c:v>
                </c:pt>
                <c:pt idx="204">
                  <c:v>0.3533717942502545</c:v>
                </c:pt>
                <c:pt idx="206">
                  <c:v>0.3336012323354095</c:v>
                </c:pt>
                <c:pt idx="208">
                  <c:v>0.11154797910365684</c:v>
                </c:pt>
                <c:pt idx="210">
                  <c:v>0.11714075665893797</c:v>
                </c:pt>
                <c:pt idx="212">
                  <c:v>0.12252599941938901</c:v>
                </c:pt>
                <c:pt idx="214">
                  <c:v>0.20849898186754581</c:v>
                </c:pt>
                <c:pt idx="216">
                  <c:v>0.28621306809846547</c:v>
                </c:pt>
                <c:pt idx="218">
                  <c:v>0.42355822586200298</c:v>
                </c:pt>
                <c:pt idx="220">
                  <c:v>0.22556233409397849</c:v>
                </c:pt>
                <c:pt idx="222">
                  <c:v>0.17162610172232554</c:v>
                </c:pt>
                <c:pt idx="224">
                  <c:v>0.33996367724638937</c:v>
                </c:pt>
                <c:pt idx="226">
                  <c:v>0.43392750717884815</c:v>
                </c:pt>
                <c:pt idx="228">
                  <c:v>0.2434002563007262</c:v>
                </c:pt>
                <c:pt idx="230">
                  <c:v>0.19273558940962129</c:v>
                </c:pt>
                <c:pt idx="232">
                  <c:v>0.24910149329283721</c:v>
                </c:pt>
                <c:pt idx="234">
                  <c:v>0.12625185292309918</c:v>
                </c:pt>
                <c:pt idx="236">
                  <c:v>0.13112706837339994</c:v>
                </c:pt>
                <c:pt idx="238">
                  <c:v>0.22784855425135986</c:v>
                </c:pt>
                <c:pt idx="240">
                  <c:v>0.12128246046714057</c:v>
                </c:pt>
                <c:pt idx="242">
                  <c:v>0.174937343358396</c:v>
                </c:pt>
                <c:pt idx="244">
                  <c:v>0.2089690574647084</c:v>
                </c:pt>
                <c:pt idx="246">
                  <c:v>0.26769740284005983</c:v>
                </c:pt>
                <c:pt idx="248">
                  <c:v>0.35613958739441193</c:v>
                </c:pt>
                <c:pt idx="250">
                  <c:v>0.2845471549223681</c:v>
                </c:pt>
                <c:pt idx="252">
                  <c:v>0.22491348388800853</c:v>
                </c:pt>
                <c:pt idx="254">
                  <c:v>0.24025480174219346</c:v>
                </c:pt>
                <c:pt idx="256">
                  <c:v>0.16877151100506427</c:v>
                </c:pt>
                <c:pt idx="258">
                  <c:v>0.22213594987981836</c:v>
                </c:pt>
                <c:pt idx="260">
                  <c:v>0.14173822300852229</c:v>
                </c:pt>
                <c:pt idx="262">
                  <c:v>0.15273417460547842</c:v>
                </c:pt>
                <c:pt idx="264">
                  <c:v>0.18202975551333939</c:v>
                </c:pt>
                <c:pt idx="267">
                  <c:v>0.16022132240853657</c:v>
                </c:pt>
                <c:pt idx="269">
                  <c:v>0.33326760929909777</c:v>
                </c:pt>
                <c:pt idx="271">
                  <c:v>0.24189241359264349</c:v>
                </c:pt>
                <c:pt idx="273">
                  <c:v>0.27209223799321547</c:v>
                </c:pt>
                <c:pt idx="275">
                  <c:v>0.36267301994507878</c:v>
                </c:pt>
                <c:pt idx="277">
                  <c:v>0.34278400383141761</c:v>
                </c:pt>
                <c:pt idx="279">
                  <c:v>0.17398208333333331</c:v>
                </c:pt>
                <c:pt idx="281">
                  <c:v>0.29048138876492241</c:v>
                </c:pt>
                <c:pt idx="283">
                  <c:v>9.6856495447751045E-2</c:v>
                </c:pt>
                <c:pt idx="285">
                  <c:v>0.11463793159779399</c:v>
                </c:pt>
                <c:pt idx="287">
                  <c:v>0.12607832495245463</c:v>
                </c:pt>
                <c:pt idx="289">
                  <c:v>0.19649299796513861</c:v>
                </c:pt>
                <c:pt idx="291">
                  <c:v>0.13965564673559397</c:v>
                </c:pt>
                <c:pt idx="293">
                  <c:v>0.15013971835386539</c:v>
                </c:pt>
                <c:pt idx="295">
                  <c:v>0.32256418486264965</c:v>
                </c:pt>
                <c:pt idx="297">
                  <c:v>0.36000555158705505</c:v>
                </c:pt>
                <c:pt idx="299">
                  <c:v>0.36925475877443692</c:v>
                </c:pt>
                <c:pt idx="301">
                  <c:v>0.38016364124474494</c:v>
                </c:pt>
                <c:pt idx="303">
                  <c:v>0.359512242651434</c:v>
                </c:pt>
                <c:pt idx="305">
                  <c:v>0.43227068713768901</c:v>
                </c:pt>
                <c:pt idx="307">
                  <c:v>0.2183960715955954</c:v>
                </c:pt>
                <c:pt idx="309">
                  <c:v>0.14386205430551066</c:v>
                </c:pt>
                <c:pt idx="311">
                  <c:v>0.37494085978209374</c:v>
                </c:pt>
                <c:pt idx="314">
                  <c:v>0.50978495975855131</c:v>
                </c:pt>
                <c:pt idx="316">
                  <c:v>0.24190413000283847</c:v>
                </c:pt>
                <c:pt idx="318">
                  <c:v>0.20430968818754267</c:v>
                </c:pt>
                <c:pt idx="320">
                  <c:v>0.27441468284149684</c:v>
                </c:pt>
                <c:pt idx="322">
                  <c:v>0.51868770052666635</c:v>
                </c:pt>
                <c:pt idx="324">
                  <c:v>0.41697195587611369</c:v>
                </c:pt>
                <c:pt idx="326">
                  <c:v>0.62464824550603304</c:v>
                </c:pt>
                <c:pt idx="328">
                  <c:v>0.36656323127005103</c:v>
                </c:pt>
                <c:pt idx="330">
                  <c:v>0.327805420256018</c:v>
                </c:pt>
                <c:pt idx="332">
                  <c:v>0.32086445593241708</c:v>
                </c:pt>
                <c:pt idx="334">
                  <c:v>0.16621095055029675</c:v>
                </c:pt>
                <c:pt idx="336">
                  <c:v>0.17546210781099122</c:v>
                </c:pt>
                <c:pt idx="338">
                  <c:v>0.24150913841807908</c:v>
                </c:pt>
                <c:pt idx="340">
                  <c:v>8.5105338153977028E-2</c:v>
                </c:pt>
                <c:pt idx="342">
                  <c:v>0.18828297940797939</c:v>
                </c:pt>
                <c:pt idx="344">
                  <c:v>0.3119393811769991</c:v>
                </c:pt>
                <c:pt idx="346">
                  <c:v>0.25631543640652643</c:v>
                </c:pt>
                <c:pt idx="348">
                  <c:v>0.27018130003039825</c:v>
                </c:pt>
                <c:pt idx="350">
                  <c:v>0.43020597408829175</c:v>
                </c:pt>
                <c:pt idx="352">
                  <c:v>0.33532059629883476</c:v>
                </c:pt>
                <c:pt idx="354">
                  <c:v>0.19938951679326436</c:v>
                </c:pt>
                <c:pt idx="356">
                  <c:v>0.12428683569896024</c:v>
                </c:pt>
                <c:pt idx="358">
                  <c:v>0.1491763397371082</c:v>
                </c:pt>
                <c:pt idx="360">
                  <c:v>0.14241462926996459</c:v>
                </c:pt>
                <c:pt idx="362">
                  <c:v>0.14139596741936655</c:v>
                </c:pt>
                <c:pt idx="364">
                  <c:v>0.15629340540354736</c:v>
                </c:pt>
                <c:pt idx="366">
                  <c:v>7.9223220593429886E-2</c:v>
                </c:pt>
                <c:pt idx="368">
                  <c:v>9.2969418540866697E-2</c:v>
                </c:pt>
                <c:pt idx="370">
                  <c:v>0.21419081992216257</c:v>
                </c:pt>
                <c:pt idx="372">
                  <c:v>0.25580002993563838</c:v>
                </c:pt>
                <c:pt idx="376">
                  <c:v>0.25836600956115374</c:v>
                </c:pt>
                <c:pt idx="378">
                  <c:v>0.16109390022433501</c:v>
                </c:pt>
                <c:pt idx="380">
                  <c:v>0.25277021465206101</c:v>
                </c:pt>
                <c:pt idx="382">
                  <c:v>0.26548843497996044</c:v>
                </c:pt>
                <c:pt idx="384">
                  <c:v>8.7800442757748259E-2</c:v>
                </c:pt>
                <c:pt idx="386">
                  <c:v>0.17605767406564218</c:v>
                </c:pt>
                <c:pt idx="388">
                  <c:v>0.10980977532820452</c:v>
                </c:pt>
                <c:pt idx="390">
                  <c:v>9.2795698924731176E-2</c:v>
                </c:pt>
                <c:pt idx="392">
                  <c:v>0.10089186176142698</c:v>
                </c:pt>
                <c:pt idx="394">
                  <c:v>3.0244857982370227E-2</c:v>
                </c:pt>
                <c:pt idx="396">
                  <c:v>0.16438828259620908</c:v>
                </c:pt>
                <c:pt idx="398">
                  <c:v>2.9396380374516168E-2</c:v>
                </c:pt>
                <c:pt idx="400">
                  <c:v>9.2447916666666657E-2</c:v>
                </c:pt>
                <c:pt idx="402">
                  <c:v>0.11976911976911975</c:v>
                </c:pt>
                <c:pt idx="404">
                  <c:v>0.31379921577053238</c:v>
                </c:pt>
                <c:pt idx="406">
                  <c:v>0.18561918480165066</c:v>
                </c:pt>
                <c:pt idx="408">
                  <c:v>0.18640186214146265</c:v>
                </c:pt>
                <c:pt idx="410">
                  <c:v>0.15754859453402834</c:v>
                </c:pt>
                <c:pt idx="412">
                  <c:v>0.28696360102946578</c:v>
                </c:pt>
                <c:pt idx="414">
                  <c:v>0.10028522532800913</c:v>
                </c:pt>
                <c:pt idx="416">
                  <c:v>0.1445852534562212</c:v>
                </c:pt>
                <c:pt idx="418">
                  <c:v>0.1018357228996382</c:v>
                </c:pt>
                <c:pt idx="424">
                  <c:v>0.18707692307692309</c:v>
                </c:pt>
                <c:pt idx="428">
                  <c:v>0.38139296822709556</c:v>
                </c:pt>
                <c:pt idx="430">
                  <c:v>0.15979264244463642</c:v>
                </c:pt>
                <c:pt idx="432">
                  <c:v>0.11245151979796159</c:v>
                </c:pt>
                <c:pt idx="436">
                  <c:v>0.16479024259482639</c:v>
                </c:pt>
                <c:pt idx="438">
                  <c:v>0.21052631578947364</c:v>
                </c:pt>
                <c:pt idx="442">
                  <c:v>0.13780355663203517</c:v>
                </c:pt>
                <c:pt idx="444">
                  <c:v>9.4761459307764265E-2</c:v>
                </c:pt>
                <c:pt idx="446">
                  <c:v>0.13929928239763611</c:v>
                </c:pt>
                <c:pt idx="448">
                  <c:v>0.39688145532085023</c:v>
                </c:pt>
                <c:pt idx="450">
                  <c:v>0.25259067357512949</c:v>
                </c:pt>
                <c:pt idx="452">
                  <c:v>0.24041428937028614</c:v>
                </c:pt>
                <c:pt idx="454">
                  <c:v>0.12010380831673606</c:v>
                </c:pt>
                <c:pt idx="456">
                  <c:v>7.2067940283400814E-2</c:v>
                </c:pt>
                <c:pt idx="458">
                  <c:v>7.8233615944067178E-2</c:v>
                </c:pt>
                <c:pt idx="460">
                  <c:v>0.15635114865398281</c:v>
                </c:pt>
                <c:pt idx="462">
                  <c:v>0.12799231172461992</c:v>
                </c:pt>
                <c:pt idx="464">
                  <c:v>0.13476190476190478</c:v>
                </c:pt>
                <c:pt idx="472">
                  <c:v>8.7486457204767068E-2</c:v>
                </c:pt>
                <c:pt idx="474">
                  <c:v>0.21028253821213527</c:v>
                </c:pt>
                <c:pt idx="476">
                  <c:v>0.26508238692312741</c:v>
                </c:pt>
                <c:pt idx="478">
                  <c:v>0.10132767385617687</c:v>
                </c:pt>
                <c:pt idx="480">
                  <c:v>0.12271582230397057</c:v>
                </c:pt>
                <c:pt idx="482">
                  <c:v>6.1036386045763891E-2</c:v>
                </c:pt>
                <c:pt idx="484">
                  <c:v>0.10516080777860884</c:v>
                </c:pt>
                <c:pt idx="486">
                  <c:v>0.1444224422442244</c:v>
                </c:pt>
                <c:pt idx="490">
                  <c:v>0.10382605764368785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A-1344-A10E-1ABBD075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'but-fuco update'!$N$4:$N$494</c:f>
              <c:numCache>
                <c:formatCode>General</c:formatCode>
                <c:ptCount val="491"/>
                <c:pt idx="0">
                  <c:v>-0.22383608623575421</c:v>
                </c:pt>
                <c:pt idx="2">
                  <c:v>-0.58831655423172979</c:v>
                </c:pt>
                <c:pt idx="4">
                  <c:v>-0.95115911645592111</c:v>
                </c:pt>
                <c:pt idx="6">
                  <c:v>-1.3767396266982068</c:v>
                </c:pt>
                <c:pt idx="8">
                  <c:v>-1.7504132593103299</c:v>
                </c:pt>
                <c:pt idx="10">
                  <c:v>-2.1424118961023222</c:v>
                </c:pt>
                <c:pt idx="12">
                  <c:v>-2.567992406344608</c:v>
                </c:pt>
                <c:pt idx="14">
                  <c:v>-0.14638877307667331</c:v>
                </c:pt>
                <c:pt idx="16">
                  <c:v>0.16558789570285681</c:v>
                </c:pt>
                <c:pt idx="18">
                  <c:v>6.7044852265715493E-3</c:v>
                </c:pt>
                <c:pt idx="20">
                  <c:v>-0.41887602501571408</c:v>
                </c:pt>
                <c:pt idx="22">
                  <c:v>-0.65922829167215302</c:v>
                </c:pt>
                <c:pt idx="24">
                  <c:v>-1.0848088019144386</c:v>
                </c:pt>
                <c:pt idx="26">
                  <c:v>-1.5103893121567242</c:v>
                </c:pt>
                <c:pt idx="28">
                  <c:v>-1.9359698223990098</c:v>
                </c:pt>
                <c:pt idx="30">
                  <c:v>-2.3615503326412952</c:v>
                </c:pt>
                <c:pt idx="32">
                  <c:v>-2.787130842883581</c:v>
                </c:pt>
                <c:pt idx="34">
                  <c:v>-3.1436950302904516</c:v>
                </c:pt>
                <c:pt idx="36">
                  <c:v>-3.569275540532737</c:v>
                </c:pt>
                <c:pt idx="38">
                  <c:v>-1.1045247647965946</c:v>
                </c:pt>
                <c:pt idx="40">
                  <c:v>4.2239283063162265</c:v>
                </c:pt>
                <c:pt idx="42">
                  <c:v>3.9077982489662912</c:v>
                </c:pt>
                <c:pt idx="44">
                  <c:v>3.5552795941117168</c:v>
                </c:pt>
                <c:pt idx="46">
                  <c:v>3.4436131096096254</c:v>
                </c:pt>
                <c:pt idx="48">
                  <c:v>3.1144138265767412</c:v>
                </c:pt>
                <c:pt idx="50">
                  <c:v>2.8613569586431229</c:v>
                </c:pt>
                <c:pt idx="52">
                  <c:v>4.1500292019078682</c:v>
                </c:pt>
                <c:pt idx="54">
                  <c:v>3.8591743763994204</c:v>
                </c:pt>
                <c:pt idx="56">
                  <c:v>5.0333049719630178</c:v>
                </c:pt>
                <c:pt idx="58">
                  <c:v>4.9872804013304943</c:v>
                </c:pt>
                <c:pt idx="60">
                  <c:v>4.6950320151464027</c:v>
                </c:pt>
                <c:pt idx="72">
                  <c:v>4.2694515049041168</c:v>
                </c:pt>
                <c:pt idx="74">
                  <c:v>3.843870994661831</c:v>
                </c:pt>
                <c:pt idx="76">
                  <c:v>3.4182904844195452</c:v>
                </c:pt>
                <c:pt idx="78">
                  <c:v>2.9927099741772594</c:v>
                </c:pt>
                <c:pt idx="80">
                  <c:v>2.5967205367758783</c:v>
                </c:pt>
                <c:pt idx="82">
                  <c:v>2.1711400265335925</c:v>
                </c:pt>
                <c:pt idx="84">
                  <c:v>1.7455595162913069</c:v>
                </c:pt>
                <c:pt idx="86">
                  <c:v>3.6431530989044125</c:v>
                </c:pt>
                <c:pt idx="88">
                  <c:v>6.3336012586277413</c:v>
                </c:pt>
                <c:pt idx="90">
                  <c:v>5.9080207483854554</c:v>
                </c:pt>
                <c:pt idx="92">
                  <c:v>5.499758522774143</c:v>
                </c:pt>
                <c:pt idx="94">
                  <c:v>5.0741780125318572</c:v>
                </c:pt>
                <c:pt idx="96">
                  <c:v>4.8151768146861906</c:v>
                </c:pt>
                <c:pt idx="98">
                  <c:v>4.445897246777565</c:v>
                </c:pt>
                <c:pt idx="100">
                  <c:v>4.0203167365352792</c:v>
                </c:pt>
                <c:pt idx="102">
                  <c:v>3.5947362262929934</c:v>
                </c:pt>
                <c:pt idx="104">
                  <c:v>3.1691557160507076</c:v>
                </c:pt>
                <c:pt idx="106">
                  <c:v>2.7435752058084217</c:v>
                </c:pt>
                <c:pt idx="108">
                  <c:v>2.3179946955661359</c:v>
                </c:pt>
                <c:pt idx="110">
                  <c:v>1.8924141853238503</c:v>
                </c:pt>
                <c:pt idx="112">
                  <c:v>2.8161543330504748</c:v>
                </c:pt>
                <c:pt idx="114">
                  <c:v>2.4628083417495543</c:v>
                </c:pt>
                <c:pt idx="118">
                  <c:v>2.0372278315072689</c:v>
                </c:pt>
                <c:pt idx="120">
                  <c:v>1.6116473212649833</c:v>
                </c:pt>
                <c:pt idx="122">
                  <c:v>1.1860668110226977</c:v>
                </c:pt>
                <c:pt idx="124">
                  <c:v>0.76048630078041213</c:v>
                </c:pt>
                <c:pt idx="126">
                  <c:v>0.41565849398223559</c:v>
                </c:pt>
                <c:pt idx="128">
                  <c:v>-9.922016260050015E-3</c:v>
                </c:pt>
                <c:pt idx="130">
                  <c:v>-0.43550252650233562</c:v>
                </c:pt>
                <c:pt idx="132">
                  <c:v>-0.4225402941052977</c:v>
                </c:pt>
                <c:pt idx="134">
                  <c:v>2.9770683907320925</c:v>
                </c:pt>
                <c:pt idx="136">
                  <c:v>2.8098809068302089</c:v>
                </c:pt>
                <c:pt idx="138">
                  <c:v>2.5104478284132363</c:v>
                </c:pt>
                <c:pt idx="140">
                  <c:v>2.0848673181709509</c:v>
                </c:pt>
                <c:pt idx="142">
                  <c:v>1.8208156873759607</c:v>
                </c:pt>
                <c:pt idx="144">
                  <c:v>1.3953844164060483</c:v>
                </c:pt>
                <c:pt idx="146">
                  <c:v>2.0428012489550054</c:v>
                </c:pt>
                <c:pt idx="148">
                  <c:v>1.6176926689725502</c:v>
                </c:pt>
                <c:pt idx="150">
                  <c:v>1.3193814251188942</c:v>
                </c:pt>
                <c:pt idx="152">
                  <c:v>1.1313494106351152</c:v>
                </c:pt>
                <c:pt idx="154">
                  <c:v>1.2633172486887461</c:v>
                </c:pt>
                <c:pt idx="156">
                  <c:v>1.5057758774313679</c:v>
                </c:pt>
                <c:pt idx="158">
                  <c:v>3.4716358155335763</c:v>
                </c:pt>
                <c:pt idx="160">
                  <c:v>4.3484263071148304</c:v>
                </c:pt>
                <c:pt idx="162">
                  <c:v>3.9230111445534823</c:v>
                </c:pt>
                <c:pt idx="164">
                  <c:v>3.4976251852091225</c:v>
                </c:pt>
                <c:pt idx="166">
                  <c:v>3.0722577035284608</c:v>
                </c:pt>
                <c:pt idx="168">
                  <c:v>4.6357347866991558</c:v>
                </c:pt>
                <c:pt idx="170">
                  <c:v>4.8988062999776378</c:v>
                </c:pt>
                <c:pt idx="172">
                  <c:v>6.4692519932611674</c:v>
                </c:pt>
                <c:pt idx="174">
                  <c:v>6.3256241067881165</c:v>
                </c:pt>
                <c:pt idx="176">
                  <c:v>5.9092849170034665</c:v>
                </c:pt>
                <c:pt idx="178">
                  <c:v>5.4915558247192022</c:v>
                </c:pt>
                <c:pt idx="180">
                  <c:v>5.0674658681834588</c:v>
                </c:pt>
                <c:pt idx="182">
                  <c:v>10.487759107427962</c:v>
                </c:pt>
                <c:pt idx="184">
                  <c:v>16.718654679627786</c:v>
                </c:pt>
                <c:pt idx="186">
                  <c:v>16.439866064980396</c:v>
                </c:pt>
                <c:pt idx="188">
                  <c:v>16.067942450656115</c:v>
                </c:pt>
                <c:pt idx="190">
                  <c:v>15.644132801734496</c:v>
                </c:pt>
                <c:pt idx="192">
                  <c:v>15.221738152042949</c:v>
                </c:pt>
                <c:pt idx="194">
                  <c:v>16.635203941810811</c:v>
                </c:pt>
                <c:pt idx="196">
                  <c:v>16.408714607157968</c:v>
                </c:pt>
                <c:pt idx="198">
                  <c:v>16.589267639325779</c:v>
                </c:pt>
                <c:pt idx="200">
                  <c:v>17.336850895213864</c:v>
                </c:pt>
                <c:pt idx="202">
                  <c:v>17.910199866414999</c:v>
                </c:pt>
                <c:pt idx="204">
                  <c:v>18.556547682189166</c:v>
                </c:pt>
                <c:pt idx="206">
                  <c:v>19.417491840875527</c:v>
                </c:pt>
                <c:pt idx="208">
                  <c:v>18.993930852629319</c:v>
                </c:pt>
                <c:pt idx="210">
                  <c:v>18.629000541262059</c:v>
                </c:pt>
                <c:pt idx="212">
                  <c:v>18.628039929041297</c:v>
                </c:pt>
                <c:pt idx="214">
                  <c:v>19.910148959749563</c:v>
                </c:pt>
                <c:pt idx="216">
                  <c:v>22.651707245906433</c:v>
                </c:pt>
                <c:pt idx="218">
                  <c:v>24.25434937425889</c:v>
                </c:pt>
                <c:pt idx="220">
                  <c:v>24.280329969442185</c:v>
                </c:pt>
                <c:pt idx="222">
                  <c:v>23.921571928013378</c:v>
                </c:pt>
                <c:pt idx="224">
                  <c:v>23.553166249020094</c:v>
                </c:pt>
                <c:pt idx="226">
                  <c:v>23.131565458551623</c:v>
                </c:pt>
                <c:pt idx="228">
                  <c:v>22.712260673275878</c:v>
                </c:pt>
                <c:pt idx="230">
                  <c:v>22.490277530651348</c:v>
                </c:pt>
                <c:pt idx="232">
                  <c:v>23.784465653118701</c:v>
                </c:pt>
                <c:pt idx="234">
                  <c:v>23.71742101543159</c:v>
                </c:pt>
                <c:pt idx="236">
                  <c:v>23.29318955958194</c:v>
                </c:pt>
                <c:pt idx="238">
                  <c:v>22.870237783977981</c:v>
                </c:pt>
                <c:pt idx="240">
                  <c:v>22.584971880291512</c:v>
                </c:pt>
                <c:pt idx="242">
                  <c:v>22.171663720090542</c:v>
                </c:pt>
                <c:pt idx="244">
                  <c:v>21.751319914182869</c:v>
                </c:pt>
                <c:pt idx="246">
                  <c:v>21.325739403940585</c:v>
                </c:pt>
                <c:pt idx="248">
                  <c:v>20.9001588936983</c:v>
                </c:pt>
                <c:pt idx="250">
                  <c:v>20.474578383456016</c:v>
                </c:pt>
                <c:pt idx="252">
                  <c:v>20.048997873213732</c:v>
                </c:pt>
                <c:pt idx="254">
                  <c:v>19.778226180688435</c:v>
                </c:pt>
                <c:pt idx="256">
                  <c:v>19.520984412167174</c:v>
                </c:pt>
                <c:pt idx="258">
                  <c:v>19.449430590957615</c:v>
                </c:pt>
                <c:pt idx="260">
                  <c:v>19.023850080715331</c:v>
                </c:pt>
                <c:pt idx="262">
                  <c:v>18.635095296786886</c:v>
                </c:pt>
                <c:pt idx="264">
                  <c:v>18.209514786544602</c:v>
                </c:pt>
                <c:pt idx="267">
                  <c:v>17.885176974714938</c:v>
                </c:pt>
                <c:pt idx="269">
                  <c:v>20.124398746931085</c:v>
                </c:pt>
                <c:pt idx="271">
                  <c:v>19.887555942592719</c:v>
                </c:pt>
                <c:pt idx="273">
                  <c:v>19.61772641462667</c:v>
                </c:pt>
                <c:pt idx="275">
                  <c:v>19.357661852486441</c:v>
                </c:pt>
                <c:pt idx="277">
                  <c:v>18.932081342244157</c:v>
                </c:pt>
                <c:pt idx="279">
                  <c:v>18.506500832001873</c:v>
                </c:pt>
                <c:pt idx="281">
                  <c:v>19.433652054203804</c:v>
                </c:pt>
                <c:pt idx="283">
                  <c:v>19.05795746677726</c:v>
                </c:pt>
                <c:pt idx="285">
                  <c:v>18.632376956534976</c:v>
                </c:pt>
                <c:pt idx="287">
                  <c:v>18.206796446292692</c:v>
                </c:pt>
                <c:pt idx="289">
                  <c:v>17.781215936050408</c:v>
                </c:pt>
                <c:pt idx="291">
                  <c:v>17.355635425808124</c:v>
                </c:pt>
                <c:pt idx="293">
                  <c:v>16.93005491556584</c:v>
                </c:pt>
                <c:pt idx="295">
                  <c:v>16.504474405323556</c:v>
                </c:pt>
                <c:pt idx="297">
                  <c:v>16.078893895081272</c:v>
                </c:pt>
                <c:pt idx="299">
                  <c:v>15.917183990199982</c:v>
                </c:pt>
                <c:pt idx="301">
                  <c:v>15.577881640787979</c:v>
                </c:pt>
                <c:pt idx="303">
                  <c:v>15.701744137010458</c:v>
                </c:pt>
                <c:pt idx="305">
                  <c:v>15.276163626768172</c:v>
                </c:pt>
                <c:pt idx="307">
                  <c:v>15.146151612740049</c:v>
                </c:pt>
                <c:pt idx="309">
                  <c:v>14.720571102497763</c:v>
                </c:pt>
                <c:pt idx="311">
                  <c:v>14.294990592255477</c:v>
                </c:pt>
                <c:pt idx="314">
                  <c:v>13.869410082013191</c:v>
                </c:pt>
                <c:pt idx="316">
                  <c:v>13.514092525118912</c:v>
                </c:pt>
                <c:pt idx="318">
                  <c:v>13.088512014876626</c:v>
                </c:pt>
                <c:pt idx="320">
                  <c:v>12.66293150463434</c:v>
                </c:pt>
                <c:pt idx="322">
                  <c:v>12.237350994392054</c:v>
                </c:pt>
                <c:pt idx="324">
                  <c:v>11.811770484149768</c:v>
                </c:pt>
                <c:pt idx="326">
                  <c:v>11.386189973907483</c:v>
                </c:pt>
                <c:pt idx="328">
                  <c:v>10.960609463665197</c:v>
                </c:pt>
                <c:pt idx="330">
                  <c:v>10.708718043093894</c:v>
                </c:pt>
                <c:pt idx="332">
                  <c:v>10.283137532851608</c:v>
                </c:pt>
                <c:pt idx="334">
                  <c:v>9.8575570226093223</c:v>
                </c:pt>
                <c:pt idx="336">
                  <c:v>9.4319765123670365</c:v>
                </c:pt>
                <c:pt idx="338">
                  <c:v>9.0063960021247507</c:v>
                </c:pt>
                <c:pt idx="340">
                  <c:v>8.5808154918824648</c:v>
                </c:pt>
                <c:pt idx="342">
                  <c:v>8.155234981640179</c:v>
                </c:pt>
                <c:pt idx="344">
                  <c:v>7.7296544713978932</c:v>
                </c:pt>
                <c:pt idx="346">
                  <c:v>7.3040739611556074</c:v>
                </c:pt>
                <c:pt idx="348">
                  <c:v>6.8784934509133215</c:v>
                </c:pt>
                <c:pt idx="350">
                  <c:v>6.4529129406710357</c:v>
                </c:pt>
                <c:pt idx="352">
                  <c:v>6.0273324304287499</c:v>
                </c:pt>
                <c:pt idx="354">
                  <c:v>5.6017519201864641</c:v>
                </c:pt>
                <c:pt idx="356">
                  <c:v>5.1761714099441782</c:v>
                </c:pt>
                <c:pt idx="358">
                  <c:v>4.7505908997018924</c:v>
                </c:pt>
                <c:pt idx="360">
                  <c:v>4.3250103894596066</c:v>
                </c:pt>
                <c:pt idx="362">
                  <c:v>3.8994298792173208</c:v>
                </c:pt>
                <c:pt idx="364">
                  <c:v>3.4738493689750349</c:v>
                </c:pt>
                <c:pt idx="366">
                  <c:v>3.0482688587327491</c:v>
                </c:pt>
                <c:pt idx="368">
                  <c:v>2.6226883484904633</c:v>
                </c:pt>
                <c:pt idx="370">
                  <c:v>2.1971078382481775</c:v>
                </c:pt>
                <c:pt idx="372">
                  <c:v>1.8265021526828562</c:v>
                </c:pt>
                <c:pt idx="376">
                  <c:v>1.4897002113023958</c:v>
                </c:pt>
                <c:pt idx="378">
                  <c:v>1.2995348086341725</c:v>
                </c:pt>
                <c:pt idx="380">
                  <c:v>2.2949144518802331</c:v>
                </c:pt>
                <c:pt idx="382">
                  <c:v>1.9349557086748472</c:v>
                </c:pt>
                <c:pt idx="384">
                  <c:v>1.5834249572363519</c:v>
                </c:pt>
                <c:pt idx="386">
                  <c:v>1.2336221739884969</c:v>
                </c:pt>
                <c:pt idx="388">
                  <c:v>0.87973618277635934</c:v>
                </c:pt>
                <c:pt idx="390">
                  <c:v>0.58053392755920907</c:v>
                </c:pt>
                <c:pt idx="392">
                  <c:v>0.28802732252840696</c:v>
                </c:pt>
                <c:pt idx="394">
                  <c:v>-0.11309152685724699</c:v>
                </c:pt>
                <c:pt idx="396">
                  <c:v>-0.36568227316686419</c:v>
                </c:pt>
                <c:pt idx="398">
                  <c:v>-0.77973584114531058</c:v>
                </c:pt>
                <c:pt idx="400">
                  <c:v>-1.1335806475464243</c:v>
                </c:pt>
                <c:pt idx="402">
                  <c:v>-1.4929117343278875</c:v>
                </c:pt>
                <c:pt idx="404">
                  <c:v>-0.35598943260205096</c:v>
                </c:pt>
                <c:pt idx="406">
                  <c:v>1.3546331352815579</c:v>
                </c:pt>
                <c:pt idx="408">
                  <c:v>1.0559124611158062</c:v>
                </c:pt>
                <c:pt idx="410">
                  <c:v>0.67804625283897091</c:v>
                </c:pt>
                <c:pt idx="412">
                  <c:v>0.30744590912068231</c:v>
                </c:pt>
                <c:pt idx="414">
                  <c:v>3.2719077509369754E-2</c:v>
                </c:pt>
                <c:pt idx="416">
                  <c:v>-0.25534045209730544</c:v>
                </c:pt>
                <c:pt idx="418">
                  <c:v>-0.65385330783299556</c:v>
                </c:pt>
                <c:pt idx="424">
                  <c:v>-0.6123203446939155</c:v>
                </c:pt>
                <c:pt idx="428">
                  <c:v>1.7559024628489746</c:v>
                </c:pt>
                <c:pt idx="430">
                  <c:v>1.4171707261534743</c:v>
                </c:pt>
                <c:pt idx="432">
                  <c:v>1.0321716477224838</c:v>
                </c:pt>
                <c:pt idx="436">
                  <c:v>0.70750762957468138</c:v>
                </c:pt>
                <c:pt idx="438">
                  <c:v>0.76064005857040418</c:v>
                </c:pt>
                <c:pt idx="442">
                  <c:v>0.36783396685482411</c:v>
                </c:pt>
                <c:pt idx="444">
                  <c:v>-4.3577944815454017E-2</c:v>
                </c:pt>
                <c:pt idx="446">
                  <c:v>-0.4529693400043372</c:v>
                </c:pt>
                <c:pt idx="448">
                  <c:v>-0.78518276305923507</c:v>
                </c:pt>
                <c:pt idx="450">
                  <c:v>2.4617007519225558</c:v>
                </c:pt>
                <c:pt idx="452">
                  <c:v>4.2585494664439558</c:v>
                </c:pt>
                <c:pt idx="454">
                  <c:v>3.8769276917586417</c:v>
                </c:pt>
                <c:pt idx="456">
                  <c:v>3.4980657081987059</c:v>
                </c:pt>
                <c:pt idx="458">
                  <c:v>3.1541044876601534</c:v>
                </c:pt>
                <c:pt idx="460">
                  <c:v>2.8434257799988347</c:v>
                </c:pt>
                <c:pt idx="462">
                  <c:v>2.4347653377126162</c:v>
                </c:pt>
                <c:pt idx="464">
                  <c:v>2.0228372466148077</c:v>
                </c:pt>
                <c:pt idx="472">
                  <c:v>1.7365312556394559</c:v>
                </c:pt>
                <c:pt idx="474">
                  <c:v>2.0481328432307961</c:v>
                </c:pt>
                <c:pt idx="476">
                  <c:v>4.5376035089430875</c:v>
                </c:pt>
                <c:pt idx="478">
                  <c:v>4.1954107533460459</c:v>
                </c:pt>
                <c:pt idx="480">
                  <c:v>3.8050770873918291</c:v>
                </c:pt>
                <c:pt idx="482">
                  <c:v>3.3913056125352163</c:v>
                </c:pt>
                <c:pt idx="484">
                  <c:v>2.9712187458978137</c:v>
                </c:pt>
                <c:pt idx="486">
                  <c:v>2.6474603198403832</c:v>
                </c:pt>
                <c:pt idx="490">
                  <c:v>2.2280697653538102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1-D445-BCC0-A7FE61D04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'but-fuco update'!$L$4:$L$494</c:f>
              <c:numCache>
                <c:formatCode>General</c:formatCode>
                <c:ptCount val="491"/>
                <c:pt idx="0">
                  <c:v>5.4928307249925788E-3</c:v>
                </c:pt>
                <c:pt idx="2">
                  <c:v>1.6635512530349325E-3</c:v>
                </c:pt>
                <c:pt idx="4">
                  <c:v>1.7081459881420019E-3</c:v>
                </c:pt>
                <c:pt idx="6">
                  <c:v>0</c:v>
                </c:pt>
                <c:pt idx="8">
                  <c:v>1.4132519086433658E-3</c:v>
                </c:pt>
                <c:pt idx="10">
                  <c:v>9.1432289739323976E-4</c:v>
                </c:pt>
                <c:pt idx="12">
                  <c:v>0</c:v>
                </c:pt>
                <c:pt idx="14">
                  <c:v>7.7519369470545121E-2</c:v>
                </c:pt>
                <c:pt idx="16">
                  <c:v>2.0081232749405372E-2</c:v>
                </c:pt>
                <c:pt idx="18">
                  <c:v>7.2612763949980175E-3</c:v>
                </c:pt>
                <c:pt idx="20">
                  <c:v>0</c:v>
                </c:pt>
                <c:pt idx="22">
                  <c:v>5.0431499780723031E-3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1.8790852855695317E-3</c:v>
                </c:pt>
                <c:pt idx="36">
                  <c:v>0</c:v>
                </c:pt>
                <c:pt idx="38">
                  <c:v>7.8694122879528219E-2</c:v>
                </c:pt>
                <c:pt idx="40">
                  <c:v>0.15666322677291536</c:v>
                </c:pt>
                <c:pt idx="42">
                  <c:v>2.9799723758015271E-3</c:v>
                </c:pt>
                <c:pt idx="44">
                  <c:v>1.9892317028082666E-3</c:v>
                </c:pt>
                <c:pt idx="46">
                  <c:v>8.5468364941577186E-3</c:v>
                </c:pt>
                <c:pt idx="48">
                  <c:v>2.6241407599505826E-3</c:v>
                </c:pt>
                <c:pt idx="50">
                  <c:v>4.6972458739677377E-3</c:v>
                </c:pt>
                <c:pt idx="52">
                  <c:v>4.6673409890930669E-2</c:v>
                </c:pt>
                <c:pt idx="54">
                  <c:v>3.6681330063810351E-3</c:v>
                </c:pt>
                <c:pt idx="56">
                  <c:v>4.3554821187017978E-2</c:v>
                </c:pt>
                <c:pt idx="58">
                  <c:v>1.033404782912084E-2</c:v>
                </c:pt>
                <c:pt idx="60">
                  <c:v>3.6301909768354113E-3</c:v>
                </c:pt>
                <c:pt idx="62">
                  <c:v>6.793673629198213E-2</c:v>
                </c:pt>
                <c:pt idx="64">
                  <c:v>0.16705961586131104</c:v>
                </c:pt>
                <c:pt idx="66">
                  <c:v>2.1406245994921519E-3</c:v>
                </c:pt>
                <c:pt idx="68">
                  <c:v>0</c:v>
                </c:pt>
                <c:pt idx="70">
                  <c:v>1.3971483350825938E-3</c:v>
                </c:pt>
                <c:pt idx="72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  <c:pt idx="80">
                  <c:v>8.0566664920935719E-4</c:v>
                </c:pt>
                <c:pt idx="82">
                  <c:v>0</c:v>
                </c:pt>
                <c:pt idx="84">
                  <c:v>0</c:v>
                </c:pt>
                <c:pt idx="86">
                  <c:v>6.3252315892159336E-2</c:v>
                </c:pt>
                <c:pt idx="88">
                  <c:v>8.4839113163250421E-2</c:v>
                </c:pt>
                <c:pt idx="90">
                  <c:v>0</c:v>
                </c:pt>
                <c:pt idx="92">
                  <c:v>4.7151938098718396E-4</c:v>
                </c:pt>
                <c:pt idx="94">
                  <c:v>0</c:v>
                </c:pt>
                <c:pt idx="96">
                  <c:v>4.5354015100346106E-3</c:v>
                </c:pt>
                <c:pt idx="98">
                  <c:v>1.5328876989747677E-3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8">
                  <c:v>0</c:v>
                </c:pt>
                <c:pt idx="110">
                  <c:v>0</c:v>
                </c:pt>
                <c:pt idx="112">
                  <c:v>3.6737520773901959E-2</c:v>
                </c:pt>
                <c:pt idx="114">
                  <c:v>1.9667060787431894E-3</c:v>
                </c:pt>
                <c:pt idx="118">
                  <c:v>0</c:v>
                </c:pt>
                <c:pt idx="120">
                  <c:v>0</c:v>
                </c:pt>
                <c:pt idx="122">
                  <c:v>0</c:v>
                </c:pt>
                <c:pt idx="124">
                  <c:v>0</c:v>
                </c:pt>
                <c:pt idx="126">
                  <c:v>2.1986279560799972E-3</c:v>
                </c:pt>
                <c:pt idx="128">
                  <c:v>0</c:v>
                </c:pt>
                <c:pt idx="130">
                  <c:v>0</c:v>
                </c:pt>
                <c:pt idx="132">
                  <c:v>1.1940062595800934E-2</c:v>
                </c:pt>
                <c:pt idx="134">
                  <c:v>0.10414719932464181</c:v>
                </c:pt>
                <c:pt idx="136">
                  <c:v>7.0351840512847437E-3</c:v>
                </c:pt>
                <c:pt idx="138">
                  <c:v>3.4345756658263524E-3</c:v>
                </c:pt>
                <c:pt idx="140">
                  <c:v>0</c:v>
                </c:pt>
                <c:pt idx="142">
                  <c:v>4.3978949919974055E-3</c:v>
                </c:pt>
                <c:pt idx="144">
                  <c:v>4.0632898019552553E-6</c:v>
                </c:pt>
                <c:pt idx="146">
                  <c:v>2.9214154499399316E-2</c:v>
                </c:pt>
                <c:pt idx="148">
                  <c:v>1.284909381765851E-5</c:v>
                </c:pt>
                <c:pt idx="150">
                  <c:v>3.4651194956649609E-3</c:v>
                </c:pt>
                <c:pt idx="152">
                  <c:v>6.4676567027986409E-3</c:v>
                </c:pt>
                <c:pt idx="154">
                  <c:v>1.5180190051198276E-2</c:v>
                </c:pt>
                <c:pt idx="156">
                  <c:v>1.8188487370511375E-2</c:v>
                </c:pt>
                <c:pt idx="158">
                  <c:v>6.5110982057335079E-2</c:v>
                </c:pt>
                <c:pt idx="160">
                  <c:v>3.5459237544647623E-2</c:v>
                </c:pt>
                <c:pt idx="162">
                  <c:v>4.501868275334264E-6</c:v>
                </c:pt>
                <c:pt idx="164">
                  <c:v>5.296974897635961E-6</c:v>
                </c:pt>
                <c:pt idx="166">
                  <c:v>5.8000603206273353E-6</c:v>
                </c:pt>
                <c:pt idx="168">
                  <c:v>5.4155433126245447E-2</c:v>
                </c:pt>
                <c:pt idx="170">
                  <c:v>1.8749707766400149E-2</c:v>
                </c:pt>
                <c:pt idx="172">
                  <c:v>5.4345165238678106E-2</c:v>
                </c:pt>
                <c:pt idx="174">
                  <c:v>7.676633653982844E-3</c:v>
                </c:pt>
                <c:pt idx="176">
                  <c:v>2.5161046804227479E-4</c:v>
                </c:pt>
                <c:pt idx="178">
                  <c:v>2.1376803848209512E-4</c:v>
                </c:pt>
                <c:pt idx="180">
                  <c:v>4.0582827688373886E-5</c:v>
                </c:pt>
                <c:pt idx="182">
                  <c:v>0.15916372957385452</c:v>
                </c:pt>
                <c:pt idx="184">
                  <c:v>0.18123373930093131</c:v>
                </c:pt>
                <c:pt idx="186">
                  <c:v>3.9966558593829658E-3</c:v>
                </c:pt>
                <c:pt idx="188">
                  <c:v>1.4608990952661661E-3</c:v>
                </c:pt>
                <c:pt idx="190">
                  <c:v>4.8214673192371669E-5</c:v>
                </c:pt>
                <c:pt idx="192">
                  <c:v>8.6740403383214052E-5</c:v>
                </c:pt>
                <c:pt idx="194">
                  <c:v>5.0071123755334283E-2</c:v>
                </c:pt>
                <c:pt idx="196">
                  <c:v>5.420591581342434E-3</c:v>
                </c:pt>
                <c:pt idx="198">
                  <c:v>1.6503003548147537E-2</c:v>
                </c:pt>
                <c:pt idx="200">
                  <c:v>3.1941353580311554E-2</c:v>
                </c:pt>
                <c:pt idx="202">
                  <c:v>2.7197532594981075E-2</c:v>
                </c:pt>
                <c:pt idx="204">
                  <c:v>2.9185048722548124E-2</c:v>
                </c:pt>
                <c:pt idx="206">
                  <c:v>3.5027794521465407E-2</c:v>
                </c:pt>
                <c:pt idx="208">
                  <c:v>5.4984877646411872E-5</c:v>
                </c:pt>
                <c:pt idx="210">
                  <c:v>1.6513035118475372E-3</c:v>
                </c:pt>
                <c:pt idx="212">
                  <c:v>1.156098977100019E-2</c:v>
                </c:pt>
                <c:pt idx="214">
                  <c:v>4.6494715407737801E-2</c:v>
                </c:pt>
                <c:pt idx="216">
                  <c:v>8.6230672182613044E-2</c:v>
                </c:pt>
                <c:pt idx="218">
                  <c:v>5.522176724962688E-2</c:v>
                </c:pt>
                <c:pt idx="220">
                  <c:v>1.2294509383877428E-2</c:v>
                </c:pt>
                <c:pt idx="222">
                  <c:v>1.8193539257701946E-3</c:v>
                </c:pt>
                <c:pt idx="224">
                  <c:v>1.5566807921819602E-3</c:v>
                </c:pt>
                <c:pt idx="226">
                  <c:v>1.0835455382781599E-4</c:v>
                </c:pt>
                <c:pt idx="228">
                  <c:v>1.7086715079026057E-4</c:v>
                </c:pt>
                <c:pt idx="230">
                  <c:v>5.5432802263829135E-3</c:v>
                </c:pt>
                <c:pt idx="232">
                  <c:v>4.6823588964819023E-2</c:v>
                </c:pt>
                <c:pt idx="234">
                  <c:v>9.7617412053942667E-3</c:v>
                </c:pt>
                <c:pt idx="236">
                  <c:v>3.6730271253053204E-5</c:v>
                </c:pt>
                <c:pt idx="238">
                  <c:v>7.1571714858288012E-5</c:v>
                </c:pt>
                <c:pt idx="240">
                  <c:v>3.8203007882392764E-3</c:v>
                </c:pt>
                <c:pt idx="242">
                  <c:v>3.3413533834586467E-4</c:v>
                </c:pt>
                <c:pt idx="244">
                  <c:v>1.4257806929987167E-4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4">
                  <c:v>4.2149300266565116E-3</c:v>
                </c:pt>
                <c:pt idx="256">
                  <c:v>4.5833049279314381E-3</c:v>
                </c:pt>
                <c:pt idx="258">
                  <c:v>9.6389711119024297E-3</c:v>
                </c:pt>
                <c:pt idx="260">
                  <c:v>0</c:v>
                </c:pt>
                <c:pt idx="262">
                  <c:v>1.0026422388768668E-3</c:v>
                </c:pt>
                <c:pt idx="264">
                  <c:v>0</c:v>
                </c:pt>
                <c:pt idx="267">
                  <c:v>2.7565024771341461E-3</c:v>
                </c:pt>
                <c:pt idx="269">
                  <c:v>7.2553717036779999E-2</c:v>
                </c:pt>
                <c:pt idx="271">
                  <c:v>5.1387009829827702E-3</c:v>
                </c:pt>
                <c:pt idx="273">
                  <c:v>4.24058203892162E-3</c:v>
                </c:pt>
                <c:pt idx="275">
                  <c:v>4.5064496314496313E-3</c:v>
                </c:pt>
                <c:pt idx="277">
                  <c:v>0</c:v>
                </c:pt>
                <c:pt idx="279">
                  <c:v>0</c:v>
                </c:pt>
                <c:pt idx="281">
                  <c:v>3.6830393004574351E-2</c:v>
                </c:pt>
                <c:pt idx="283">
                  <c:v>1.3582280201114281E-3</c:v>
                </c:pt>
                <c:pt idx="285">
                  <c:v>0</c:v>
                </c:pt>
                <c:pt idx="287">
                  <c:v>0</c:v>
                </c:pt>
                <c:pt idx="289">
                  <c:v>0</c:v>
                </c:pt>
                <c:pt idx="291">
                  <c:v>0</c:v>
                </c:pt>
                <c:pt idx="293">
                  <c:v>0</c:v>
                </c:pt>
                <c:pt idx="295">
                  <c:v>0</c:v>
                </c:pt>
                <c:pt idx="297">
                  <c:v>0</c:v>
                </c:pt>
                <c:pt idx="299">
                  <c:v>7.1843203384017382E-3</c:v>
                </c:pt>
                <c:pt idx="301">
                  <c:v>2.3490678121001643E-3</c:v>
                </c:pt>
                <c:pt idx="303">
                  <c:v>1.4959508508865882E-2</c:v>
                </c:pt>
                <c:pt idx="305">
                  <c:v>0</c:v>
                </c:pt>
                <c:pt idx="307">
                  <c:v>8.047348645890906E-3</c:v>
                </c:pt>
                <c:pt idx="309">
                  <c:v>0</c:v>
                </c:pt>
                <c:pt idx="311">
                  <c:v>0</c:v>
                </c:pt>
                <c:pt idx="314">
                  <c:v>0</c:v>
                </c:pt>
                <c:pt idx="316">
                  <c:v>1.913026894692024E-3</c:v>
                </c:pt>
                <c:pt idx="318">
                  <c:v>0</c:v>
                </c:pt>
                <c:pt idx="320">
                  <c:v>0</c:v>
                </c:pt>
                <c:pt idx="322">
                  <c:v>0</c:v>
                </c:pt>
                <c:pt idx="324">
                  <c:v>0</c:v>
                </c:pt>
                <c:pt idx="326">
                  <c:v>0</c:v>
                </c:pt>
                <c:pt idx="328">
                  <c:v>0</c:v>
                </c:pt>
                <c:pt idx="330">
                  <c:v>4.728977135496336E-3</c:v>
                </c:pt>
                <c:pt idx="332">
                  <c:v>0</c:v>
                </c:pt>
                <c:pt idx="334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6">
                  <c:v>0</c:v>
                </c:pt>
                <c:pt idx="348">
                  <c:v>0</c:v>
                </c:pt>
                <c:pt idx="350">
                  <c:v>0</c:v>
                </c:pt>
                <c:pt idx="352">
                  <c:v>0</c:v>
                </c:pt>
                <c:pt idx="354">
                  <c:v>0</c:v>
                </c:pt>
                <c:pt idx="356">
                  <c:v>0</c:v>
                </c:pt>
                <c:pt idx="358">
                  <c:v>0</c:v>
                </c:pt>
                <c:pt idx="360">
                  <c:v>0</c:v>
                </c:pt>
                <c:pt idx="362">
                  <c:v>0</c:v>
                </c:pt>
                <c:pt idx="364">
                  <c:v>0</c:v>
                </c:pt>
                <c:pt idx="366">
                  <c:v>0</c:v>
                </c:pt>
                <c:pt idx="368">
                  <c:v>0</c:v>
                </c:pt>
                <c:pt idx="370">
                  <c:v>0</c:v>
                </c:pt>
                <c:pt idx="372">
                  <c:v>1.4967819188744201E-3</c:v>
                </c:pt>
                <c:pt idx="376">
                  <c:v>2.4171456195949937E-3</c:v>
                </c:pt>
                <c:pt idx="378">
                  <c:v>6.4095716269629305E-3</c:v>
                </c:pt>
                <c:pt idx="380">
                  <c:v>3.8688026340783888E-2</c:v>
                </c:pt>
                <c:pt idx="382">
                  <c:v>1.7866628036119561E-3</c:v>
                </c:pt>
                <c:pt idx="384">
                  <c:v>2.0161290322580649E-3</c:v>
                </c:pt>
                <c:pt idx="386">
                  <c:v>2.0631758679567442E-3</c:v>
                </c:pt>
                <c:pt idx="388">
                  <c:v>1.9520036743598576E-3</c:v>
                </c:pt>
                <c:pt idx="390">
                  <c:v>3.4408602150537634E-3</c:v>
                </c:pt>
                <c:pt idx="392">
                  <c:v>3.6231605351170568E-3</c:v>
                </c:pt>
                <c:pt idx="394">
                  <c:v>6.6600979431929487E-4</c:v>
                </c:pt>
                <c:pt idx="396">
                  <c:v>4.7099368179207351E-3</c:v>
                </c:pt>
                <c:pt idx="398">
                  <c:v>3.1384035987027937E-4</c:v>
                </c:pt>
                <c:pt idx="400">
                  <c:v>1.953125E-3</c:v>
                </c:pt>
                <c:pt idx="402">
                  <c:v>1.8037518037518035E-3</c:v>
                </c:pt>
                <c:pt idx="404">
                  <c:v>4.2541762904871896E-2</c:v>
                </c:pt>
                <c:pt idx="406">
                  <c:v>5.8161716043134658E-2</c:v>
                </c:pt>
                <c:pt idx="408">
                  <c:v>3.4539720678780595E-3</c:v>
                </c:pt>
                <c:pt idx="410">
                  <c:v>1.299101995745441E-3</c:v>
                </c:pt>
                <c:pt idx="412">
                  <c:v>1.4969273596302326E-3</c:v>
                </c:pt>
                <c:pt idx="414">
                  <c:v>4.1072447233314316E-3</c:v>
                </c:pt>
                <c:pt idx="416">
                  <c:v>3.7442396313364054E-3</c:v>
                </c:pt>
                <c:pt idx="418">
                  <c:v>7.3696234758140146E-4</c:v>
                </c:pt>
                <c:pt idx="424">
                  <c:v>1.2717948717948718E-2</c:v>
                </c:pt>
                <c:pt idx="428">
                  <c:v>7.6065986849875977E-2</c:v>
                </c:pt>
                <c:pt idx="430">
                  <c:v>2.3646037015142558E-3</c:v>
                </c:pt>
                <c:pt idx="432">
                  <c:v>1.1048976278524398E-3</c:v>
                </c:pt>
                <c:pt idx="436">
                  <c:v>2.747620962337488E-3</c:v>
                </c:pt>
                <c:pt idx="438">
                  <c:v>1.3033763654419066E-2</c:v>
                </c:pt>
                <c:pt idx="442">
                  <c:v>8.923385811715214E-4</c:v>
                </c:pt>
                <c:pt idx="444">
                  <c:v>3.8576388888888894E-4</c:v>
                </c:pt>
                <c:pt idx="446">
                  <c:v>4.4077584306810667E-4</c:v>
                </c:pt>
                <c:pt idx="448">
                  <c:v>2.5420757363253852E-3</c:v>
                </c:pt>
                <c:pt idx="450">
                  <c:v>9.9989000109998893E-2</c:v>
                </c:pt>
                <c:pt idx="452">
                  <c:v>6.0509367681498838E-2</c:v>
                </c:pt>
                <c:pt idx="454">
                  <c:v>1.1968503937007874E-3</c:v>
                </c:pt>
                <c:pt idx="456">
                  <c:v>1.2719903414970678E-3</c:v>
                </c:pt>
                <c:pt idx="458">
                  <c:v>2.2222222222222222E-3</c:v>
                </c:pt>
                <c:pt idx="460">
                  <c:v>3.1283945253095806E-3</c:v>
                </c:pt>
                <c:pt idx="462">
                  <c:v>4.606772633033863E-4</c:v>
                </c:pt>
                <c:pt idx="464">
                  <c:v>3.7171003717472118E-4</c:v>
                </c:pt>
                <c:pt idx="472">
                  <c:v>3.7919826652221011E-3</c:v>
                </c:pt>
                <c:pt idx="474">
                  <c:v>2.0071020534197934E-2</c:v>
                </c:pt>
                <c:pt idx="476">
                  <c:v>7.9367163395260287E-2</c:v>
                </c:pt>
                <c:pt idx="478">
                  <c:v>2.2703716499679182E-3</c:v>
                </c:pt>
                <c:pt idx="480">
                  <c:v>9.5965452437122634E-4</c:v>
                </c:pt>
                <c:pt idx="482">
                  <c:v>3.2152081881999889E-4</c:v>
                </c:pt>
                <c:pt idx="484">
                  <c:v>1.4957367240089753E-4</c:v>
                </c:pt>
                <c:pt idx="486">
                  <c:v>2.7722772277227721E-3</c:v>
                </c:pt>
                <c:pt idx="490">
                  <c:v>1.6853193999662901E-4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91-4741-94B3-1C9394AC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CUSUM but fuco vs peri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'but-fuco update'!$N$4:$N$494</c:f>
              <c:numCache>
                <c:formatCode>General</c:formatCode>
                <c:ptCount val="491"/>
                <c:pt idx="0">
                  <c:v>-0.22383608623575421</c:v>
                </c:pt>
                <c:pt idx="2">
                  <c:v>-0.58831655423172979</c:v>
                </c:pt>
                <c:pt idx="4">
                  <c:v>-0.95115911645592111</c:v>
                </c:pt>
                <c:pt idx="6">
                  <c:v>-1.3767396266982068</c:v>
                </c:pt>
                <c:pt idx="8">
                  <c:v>-1.7504132593103299</c:v>
                </c:pt>
                <c:pt idx="10">
                  <c:v>-2.1424118961023222</c:v>
                </c:pt>
                <c:pt idx="12">
                  <c:v>-2.567992406344608</c:v>
                </c:pt>
                <c:pt idx="14">
                  <c:v>-0.14638877307667331</c:v>
                </c:pt>
                <c:pt idx="16">
                  <c:v>0.16558789570285681</c:v>
                </c:pt>
                <c:pt idx="18">
                  <c:v>6.7044852265715493E-3</c:v>
                </c:pt>
                <c:pt idx="20">
                  <c:v>-0.41887602501571408</c:v>
                </c:pt>
                <c:pt idx="22">
                  <c:v>-0.65922829167215302</c:v>
                </c:pt>
                <c:pt idx="24">
                  <c:v>-1.0848088019144386</c:v>
                </c:pt>
                <c:pt idx="26">
                  <c:v>-1.5103893121567242</c:v>
                </c:pt>
                <c:pt idx="28">
                  <c:v>-1.9359698223990098</c:v>
                </c:pt>
                <c:pt idx="30">
                  <c:v>-2.3615503326412952</c:v>
                </c:pt>
                <c:pt idx="32">
                  <c:v>-2.787130842883581</c:v>
                </c:pt>
                <c:pt idx="34">
                  <c:v>-3.1436950302904516</c:v>
                </c:pt>
                <c:pt idx="36">
                  <c:v>-3.569275540532737</c:v>
                </c:pt>
                <c:pt idx="38">
                  <c:v>-1.1045247647965946</c:v>
                </c:pt>
                <c:pt idx="40">
                  <c:v>4.2239283063162265</c:v>
                </c:pt>
                <c:pt idx="42">
                  <c:v>3.9077982489662912</c:v>
                </c:pt>
                <c:pt idx="44">
                  <c:v>3.5552795941117168</c:v>
                </c:pt>
                <c:pt idx="46">
                  <c:v>3.4436131096096254</c:v>
                </c:pt>
                <c:pt idx="48">
                  <c:v>3.1144138265767412</c:v>
                </c:pt>
                <c:pt idx="50">
                  <c:v>2.8613569586431229</c:v>
                </c:pt>
                <c:pt idx="52">
                  <c:v>4.1500292019078682</c:v>
                </c:pt>
                <c:pt idx="54">
                  <c:v>3.8591743763994204</c:v>
                </c:pt>
                <c:pt idx="56">
                  <c:v>5.0333049719630178</c:v>
                </c:pt>
                <c:pt idx="58">
                  <c:v>4.9872804013304943</c:v>
                </c:pt>
                <c:pt idx="60">
                  <c:v>4.6950320151464027</c:v>
                </c:pt>
                <c:pt idx="72">
                  <c:v>4.2694515049041168</c:v>
                </c:pt>
                <c:pt idx="74">
                  <c:v>3.843870994661831</c:v>
                </c:pt>
                <c:pt idx="76">
                  <c:v>3.4182904844195452</c:v>
                </c:pt>
                <c:pt idx="78">
                  <c:v>2.9927099741772594</c:v>
                </c:pt>
                <c:pt idx="80">
                  <c:v>2.5967205367758783</c:v>
                </c:pt>
                <c:pt idx="82">
                  <c:v>2.1711400265335925</c:v>
                </c:pt>
                <c:pt idx="84">
                  <c:v>1.7455595162913069</c:v>
                </c:pt>
                <c:pt idx="86">
                  <c:v>3.6431530989044125</c:v>
                </c:pt>
                <c:pt idx="88">
                  <c:v>6.3336012586277413</c:v>
                </c:pt>
                <c:pt idx="90">
                  <c:v>5.9080207483854554</c:v>
                </c:pt>
                <c:pt idx="92">
                  <c:v>5.499758522774143</c:v>
                </c:pt>
                <c:pt idx="94">
                  <c:v>5.0741780125318572</c:v>
                </c:pt>
                <c:pt idx="96">
                  <c:v>4.8151768146861906</c:v>
                </c:pt>
                <c:pt idx="98">
                  <c:v>4.445897246777565</c:v>
                </c:pt>
                <c:pt idx="100">
                  <c:v>4.0203167365352792</c:v>
                </c:pt>
                <c:pt idx="102">
                  <c:v>3.5947362262929934</c:v>
                </c:pt>
                <c:pt idx="104">
                  <c:v>3.1691557160507076</c:v>
                </c:pt>
                <c:pt idx="106">
                  <c:v>2.7435752058084217</c:v>
                </c:pt>
                <c:pt idx="108">
                  <c:v>2.3179946955661359</c:v>
                </c:pt>
                <c:pt idx="110">
                  <c:v>1.8924141853238503</c:v>
                </c:pt>
                <c:pt idx="112">
                  <c:v>2.8161543330504748</c:v>
                </c:pt>
                <c:pt idx="114">
                  <c:v>2.4628083417495543</c:v>
                </c:pt>
                <c:pt idx="118">
                  <c:v>2.0372278315072689</c:v>
                </c:pt>
                <c:pt idx="120">
                  <c:v>1.6116473212649833</c:v>
                </c:pt>
                <c:pt idx="122">
                  <c:v>1.1860668110226977</c:v>
                </c:pt>
                <c:pt idx="124">
                  <c:v>0.76048630078041213</c:v>
                </c:pt>
                <c:pt idx="126">
                  <c:v>0.41565849398223559</c:v>
                </c:pt>
                <c:pt idx="128">
                  <c:v>-9.922016260050015E-3</c:v>
                </c:pt>
                <c:pt idx="130">
                  <c:v>-0.43550252650233562</c:v>
                </c:pt>
                <c:pt idx="132">
                  <c:v>-0.4225402941052977</c:v>
                </c:pt>
                <c:pt idx="134">
                  <c:v>2.9770683907320925</c:v>
                </c:pt>
                <c:pt idx="136">
                  <c:v>2.8098809068302089</c:v>
                </c:pt>
                <c:pt idx="138">
                  <c:v>2.5104478284132363</c:v>
                </c:pt>
                <c:pt idx="140">
                  <c:v>2.0848673181709509</c:v>
                </c:pt>
                <c:pt idx="142">
                  <c:v>1.8208156873759607</c:v>
                </c:pt>
                <c:pt idx="144">
                  <c:v>1.3953844164060483</c:v>
                </c:pt>
                <c:pt idx="146">
                  <c:v>2.0428012489550054</c:v>
                </c:pt>
                <c:pt idx="148">
                  <c:v>1.6176926689725502</c:v>
                </c:pt>
                <c:pt idx="150">
                  <c:v>1.3193814251188942</c:v>
                </c:pt>
                <c:pt idx="152">
                  <c:v>1.1313494106351152</c:v>
                </c:pt>
                <c:pt idx="154">
                  <c:v>1.2633172486887461</c:v>
                </c:pt>
                <c:pt idx="156">
                  <c:v>1.5057758774313679</c:v>
                </c:pt>
                <c:pt idx="158">
                  <c:v>3.4716358155335763</c:v>
                </c:pt>
                <c:pt idx="160">
                  <c:v>4.3484263071148304</c:v>
                </c:pt>
                <c:pt idx="162">
                  <c:v>3.9230111445534823</c:v>
                </c:pt>
                <c:pt idx="164">
                  <c:v>3.4976251852091225</c:v>
                </c:pt>
                <c:pt idx="166">
                  <c:v>3.0722577035284608</c:v>
                </c:pt>
                <c:pt idx="168">
                  <c:v>4.6357347866991558</c:v>
                </c:pt>
                <c:pt idx="170">
                  <c:v>4.8988062999776378</c:v>
                </c:pt>
                <c:pt idx="172">
                  <c:v>6.4692519932611674</c:v>
                </c:pt>
                <c:pt idx="174">
                  <c:v>6.3256241067881165</c:v>
                </c:pt>
                <c:pt idx="176">
                  <c:v>5.9092849170034665</c:v>
                </c:pt>
                <c:pt idx="178">
                  <c:v>5.4915558247192022</c:v>
                </c:pt>
                <c:pt idx="180">
                  <c:v>5.0674658681834588</c:v>
                </c:pt>
                <c:pt idx="182">
                  <c:v>10.487759107427962</c:v>
                </c:pt>
                <c:pt idx="184">
                  <c:v>16.718654679627786</c:v>
                </c:pt>
                <c:pt idx="186">
                  <c:v>16.439866064980396</c:v>
                </c:pt>
                <c:pt idx="188">
                  <c:v>16.067942450656115</c:v>
                </c:pt>
                <c:pt idx="190">
                  <c:v>15.644132801734496</c:v>
                </c:pt>
                <c:pt idx="192">
                  <c:v>15.221738152042949</c:v>
                </c:pt>
                <c:pt idx="194">
                  <c:v>16.635203941810811</c:v>
                </c:pt>
                <c:pt idx="196">
                  <c:v>16.408714607157968</c:v>
                </c:pt>
                <c:pt idx="198">
                  <c:v>16.589267639325779</c:v>
                </c:pt>
                <c:pt idx="200">
                  <c:v>17.336850895213864</c:v>
                </c:pt>
                <c:pt idx="202">
                  <c:v>17.910199866414999</c:v>
                </c:pt>
                <c:pt idx="204">
                  <c:v>18.556547682189166</c:v>
                </c:pt>
                <c:pt idx="206">
                  <c:v>19.417491840875527</c:v>
                </c:pt>
                <c:pt idx="208">
                  <c:v>18.993930852629319</c:v>
                </c:pt>
                <c:pt idx="210">
                  <c:v>18.629000541262059</c:v>
                </c:pt>
                <c:pt idx="212">
                  <c:v>18.628039929041297</c:v>
                </c:pt>
                <c:pt idx="214">
                  <c:v>19.910148959749563</c:v>
                </c:pt>
                <c:pt idx="216">
                  <c:v>22.651707245906433</c:v>
                </c:pt>
                <c:pt idx="218">
                  <c:v>24.25434937425889</c:v>
                </c:pt>
                <c:pt idx="220">
                  <c:v>24.280329969442185</c:v>
                </c:pt>
                <c:pt idx="222">
                  <c:v>23.921571928013378</c:v>
                </c:pt>
                <c:pt idx="224">
                  <c:v>23.553166249020094</c:v>
                </c:pt>
                <c:pt idx="226">
                  <c:v>23.131565458551623</c:v>
                </c:pt>
                <c:pt idx="228">
                  <c:v>22.712260673275878</c:v>
                </c:pt>
                <c:pt idx="230">
                  <c:v>22.490277530651348</c:v>
                </c:pt>
                <c:pt idx="232">
                  <c:v>23.784465653118701</c:v>
                </c:pt>
                <c:pt idx="234">
                  <c:v>23.71742101543159</c:v>
                </c:pt>
                <c:pt idx="236">
                  <c:v>23.29318955958194</c:v>
                </c:pt>
                <c:pt idx="238">
                  <c:v>22.870237783977981</c:v>
                </c:pt>
                <c:pt idx="240">
                  <c:v>22.584971880291512</c:v>
                </c:pt>
                <c:pt idx="242">
                  <c:v>22.171663720090542</c:v>
                </c:pt>
                <c:pt idx="244">
                  <c:v>21.751319914182869</c:v>
                </c:pt>
                <c:pt idx="246">
                  <c:v>21.325739403940585</c:v>
                </c:pt>
                <c:pt idx="248">
                  <c:v>20.9001588936983</c:v>
                </c:pt>
                <c:pt idx="250">
                  <c:v>20.474578383456016</c:v>
                </c:pt>
                <c:pt idx="252">
                  <c:v>20.048997873213732</c:v>
                </c:pt>
                <c:pt idx="254">
                  <c:v>19.778226180688435</c:v>
                </c:pt>
                <c:pt idx="256">
                  <c:v>19.520984412167174</c:v>
                </c:pt>
                <c:pt idx="258">
                  <c:v>19.449430590957615</c:v>
                </c:pt>
                <c:pt idx="260">
                  <c:v>19.023850080715331</c:v>
                </c:pt>
                <c:pt idx="262">
                  <c:v>18.635095296786886</c:v>
                </c:pt>
                <c:pt idx="264">
                  <c:v>18.209514786544602</c:v>
                </c:pt>
                <c:pt idx="267">
                  <c:v>17.885176974714938</c:v>
                </c:pt>
                <c:pt idx="269">
                  <c:v>20.124398746931085</c:v>
                </c:pt>
                <c:pt idx="271">
                  <c:v>19.887555942592719</c:v>
                </c:pt>
                <c:pt idx="273">
                  <c:v>19.61772641462667</c:v>
                </c:pt>
                <c:pt idx="275">
                  <c:v>19.357661852486441</c:v>
                </c:pt>
                <c:pt idx="277">
                  <c:v>18.932081342244157</c:v>
                </c:pt>
                <c:pt idx="279">
                  <c:v>18.506500832001873</c:v>
                </c:pt>
                <c:pt idx="281">
                  <c:v>19.433652054203804</c:v>
                </c:pt>
                <c:pt idx="283">
                  <c:v>19.05795746677726</c:v>
                </c:pt>
                <c:pt idx="285">
                  <c:v>18.632376956534976</c:v>
                </c:pt>
                <c:pt idx="287">
                  <c:v>18.206796446292692</c:v>
                </c:pt>
                <c:pt idx="289">
                  <c:v>17.781215936050408</c:v>
                </c:pt>
                <c:pt idx="291">
                  <c:v>17.355635425808124</c:v>
                </c:pt>
                <c:pt idx="293">
                  <c:v>16.93005491556584</c:v>
                </c:pt>
                <c:pt idx="295">
                  <c:v>16.504474405323556</c:v>
                </c:pt>
                <c:pt idx="297">
                  <c:v>16.078893895081272</c:v>
                </c:pt>
                <c:pt idx="299">
                  <c:v>15.917183990199982</c:v>
                </c:pt>
                <c:pt idx="301">
                  <c:v>15.577881640787979</c:v>
                </c:pt>
                <c:pt idx="303">
                  <c:v>15.701744137010458</c:v>
                </c:pt>
                <c:pt idx="305">
                  <c:v>15.276163626768172</c:v>
                </c:pt>
                <c:pt idx="307">
                  <c:v>15.146151612740049</c:v>
                </c:pt>
                <c:pt idx="309">
                  <c:v>14.720571102497763</c:v>
                </c:pt>
                <c:pt idx="311">
                  <c:v>14.294990592255477</c:v>
                </c:pt>
                <c:pt idx="314">
                  <c:v>13.869410082013191</c:v>
                </c:pt>
                <c:pt idx="316">
                  <c:v>13.514092525118912</c:v>
                </c:pt>
                <c:pt idx="318">
                  <c:v>13.088512014876626</c:v>
                </c:pt>
                <c:pt idx="320">
                  <c:v>12.66293150463434</c:v>
                </c:pt>
                <c:pt idx="322">
                  <c:v>12.237350994392054</c:v>
                </c:pt>
                <c:pt idx="324">
                  <c:v>11.811770484149768</c:v>
                </c:pt>
                <c:pt idx="326">
                  <c:v>11.386189973907483</c:v>
                </c:pt>
                <c:pt idx="328">
                  <c:v>10.960609463665197</c:v>
                </c:pt>
                <c:pt idx="330">
                  <c:v>10.708718043093894</c:v>
                </c:pt>
                <c:pt idx="332">
                  <c:v>10.283137532851608</c:v>
                </c:pt>
                <c:pt idx="334">
                  <c:v>9.8575570226093223</c:v>
                </c:pt>
                <c:pt idx="336">
                  <c:v>9.4319765123670365</c:v>
                </c:pt>
                <c:pt idx="338">
                  <c:v>9.0063960021247507</c:v>
                </c:pt>
                <c:pt idx="340">
                  <c:v>8.5808154918824648</c:v>
                </c:pt>
                <c:pt idx="342">
                  <c:v>8.155234981640179</c:v>
                </c:pt>
                <c:pt idx="344">
                  <c:v>7.7296544713978932</c:v>
                </c:pt>
                <c:pt idx="346">
                  <c:v>7.3040739611556074</c:v>
                </c:pt>
                <c:pt idx="348">
                  <c:v>6.8784934509133215</c:v>
                </c:pt>
                <c:pt idx="350">
                  <c:v>6.4529129406710357</c:v>
                </c:pt>
                <c:pt idx="352">
                  <c:v>6.0273324304287499</c:v>
                </c:pt>
                <c:pt idx="354">
                  <c:v>5.6017519201864641</c:v>
                </c:pt>
                <c:pt idx="356">
                  <c:v>5.1761714099441782</c:v>
                </c:pt>
                <c:pt idx="358">
                  <c:v>4.7505908997018924</c:v>
                </c:pt>
                <c:pt idx="360">
                  <c:v>4.3250103894596066</c:v>
                </c:pt>
                <c:pt idx="362">
                  <c:v>3.8994298792173208</c:v>
                </c:pt>
                <c:pt idx="364">
                  <c:v>3.4738493689750349</c:v>
                </c:pt>
                <c:pt idx="366">
                  <c:v>3.0482688587327491</c:v>
                </c:pt>
                <c:pt idx="368">
                  <c:v>2.6226883484904633</c:v>
                </c:pt>
                <c:pt idx="370">
                  <c:v>2.1971078382481775</c:v>
                </c:pt>
                <c:pt idx="372">
                  <c:v>1.8265021526828562</c:v>
                </c:pt>
                <c:pt idx="376">
                  <c:v>1.4897002113023958</c:v>
                </c:pt>
                <c:pt idx="378">
                  <c:v>1.2995348086341725</c:v>
                </c:pt>
                <c:pt idx="380">
                  <c:v>2.2949144518802331</c:v>
                </c:pt>
                <c:pt idx="382">
                  <c:v>1.9349557086748472</c:v>
                </c:pt>
                <c:pt idx="384">
                  <c:v>1.5834249572363519</c:v>
                </c:pt>
                <c:pt idx="386">
                  <c:v>1.2336221739884969</c:v>
                </c:pt>
                <c:pt idx="388">
                  <c:v>0.87973618277635934</c:v>
                </c:pt>
                <c:pt idx="390">
                  <c:v>0.58053392755920907</c:v>
                </c:pt>
                <c:pt idx="392">
                  <c:v>0.28802732252840696</c:v>
                </c:pt>
                <c:pt idx="394">
                  <c:v>-0.11309152685724699</c:v>
                </c:pt>
                <c:pt idx="396">
                  <c:v>-0.36568227316686419</c:v>
                </c:pt>
                <c:pt idx="398">
                  <c:v>-0.77973584114531058</c:v>
                </c:pt>
                <c:pt idx="400">
                  <c:v>-1.1335806475464243</c:v>
                </c:pt>
                <c:pt idx="402">
                  <c:v>-1.4929117343278875</c:v>
                </c:pt>
                <c:pt idx="404">
                  <c:v>-0.35598943260205096</c:v>
                </c:pt>
                <c:pt idx="406">
                  <c:v>1.3546331352815579</c:v>
                </c:pt>
                <c:pt idx="408">
                  <c:v>1.0559124611158062</c:v>
                </c:pt>
                <c:pt idx="410">
                  <c:v>0.67804625283897091</c:v>
                </c:pt>
                <c:pt idx="412">
                  <c:v>0.30744590912068231</c:v>
                </c:pt>
                <c:pt idx="414">
                  <c:v>3.2719077509369754E-2</c:v>
                </c:pt>
                <c:pt idx="416">
                  <c:v>-0.25534045209730544</c:v>
                </c:pt>
                <c:pt idx="418">
                  <c:v>-0.65385330783299556</c:v>
                </c:pt>
                <c:pt idx="424">
                  <c:v>-0.6123203446939155</c:v>
                </c:pt>
                <c:pt idx="428">
                  <c:v>1.7559024628489746</c:v>
                </c:pt>
                <c:pt idx="430">
                  <c:v>1.4171707261534743</c:v>
                </c:pt>
                <c:pt idx="432">
                  <c:v>1.0321716477224838</c:v>
                </c:pt>
                <c:pt idx="436">
                  <c:v>0.70750762957468138</c:v>
                </c:pt>
                <c:pt idx="438">
                  <c:v>0.76064005857040418</c:v>
                </c:pt>
                <c:pt idx="442">
                  <c:v>0.36783396685482411</c:v>
                </c:pt>
                <c:pt idx="444">
                  <c:v>-4.3577944815454017E-2</c:v>
                </c:pt>
                <c:pt idx="446">
                  <c:v>-0.4529693400043372</c:v>
                </c:pt>
                <c:pt idx="448">
                  <c:v>-0.78518276305923507</c:v>
                </c:pt>
                <c:pt idx="450">
                  <c:v>2.4617007519225558</c:v>
                </c:pt>
                <c:pt idx="452">
                  <c:v>4.2585494664439558</c:v>
                </c:pt>
                <c:pt idx="454">
                  <c:v>3.8769276917586417</c:v>
                </c:pt>
                <c:pt idx="456">
                  <c:v>3.4980657081987059</c:v>
                </c:pt>
                <c:pt idx="458">
                  <c:v>3.1541044876601534</c:v>
                </c:pt>
                <c:pt idx="460">
                  <c:v>2.8434257799988347</c:v>
                </c:pt>
                <c:pt idx="462">
                  <c:v>2.4347653377126162</c:v>
                </c:pt>
                <c:pt idx="464">
                  <c:v>2.0228372466148077</c:v>
                </c:pt>
                <c:pt idx="472">
                  <c:v>1.7365312556394559</c:v>
                </c:pt>
                <c:pt idx="474">
                  <c:v>2.0481328432307961</c:v>
                </c:pt>
                <c:pt idx="476">
                  <c:v>4.5376035089430875</c:v>
                </c:pt>
                <c:pt idx="478">
                  <c:v>4.1954107533460459</c:v>
                </c:pt>
                <c:pt idx="480">
                  <c:v>3.8050770873918291</c:v>
                </c:pt>
                <c:pt idx="482">
                  <c:v>3.3913056125352163</c:v>
                </c:pt>
                <c:pt idx="484">
                  <c:v>2.9712187458978137</c:v>
                </c:pt>
                <c:pt idx="486">
                  <c:v>2.6474603198403832</c:v>
                </c:pt>
                <c:pt idx="490">
                  <c:v>2.2280697653538102</c:v>
                </c:pt>
              </c:numCache>
            </c:numRef>
          </c:xVal>
          <c:yVal>
            <c:numRef>
              <c:f>'Peridin update'!$N$4:$N$494</c:f>
              <c:numCache>
                <c:formatCode>General</c:formatCode>
                <c:ptCount val="491"/>
                <c:pt idx="0">
                  <c:v>-0.11794030482195789</c:v>
                </c:pt>
                <c:pt idx="2">
                  <c:v>-0.27385092585263798</c:v>
                </c:pt>
                <c:pt idx="4">
                  <c:v>-0.65684562049118456</c:v>
                </c:pt>
                <c:pt idx="6">
                  <c:v>-0.32171597232142085</c:v>
                </c:pt>
                <c:pt idx="8">
                  <c:v>2.6437537385141776</c:v>
                </c:pt>
                <c:pt idx="10">
                  <c:v>2.7373182063700718</c:v>
                </c:pt>
                <c:pt idx="12">
                  <c:v>4.7954023515045536</c:v>
                </c:pt>
                <c:pt idx="14">
                  <c:v>4.2515265164332554</c:v>
                </c:pt>
                <c:pt idx="16">
                  <c:v>3.6743631941430195</c:v>
                </c:pt>
                <c:pt idx="18">
                  <c:v>3.1585084219558679</c:v>
                </c:pt>
                <c:pt idx="20">
                  <c:v>2.6628680164603566</c:v>
                </c:pt>
                <c:pt idx="22">
                  <c:v>2.2977111199452929</c:v>
                </c:pt>
                <c:pt idx="24">
                  <c:v>3.5888812657212652</c:v>
                </c:pt>
                <c:pt idx="26">
                  <c:v>2.9625922235010087</c:v>
                </c:pt>
                <c:pt idx="28">
                  <c:v>4.828768791955981</c:v>
                </c:pt>
                <c:pt idx="30">
                  <c:v>8.1121328687244727</c:v>
                </c:pt>
                <c:pt idx="32">
                  <c:v>7.4438602073106237</c:v>
                </c:pt>
                <c:pt idx="34">
                  <c:v>6.7755875458967747</c:v>
                </c:pt>
                <c:pt idx="36">
                  <c:v>6.1073148844829257</c:v>
                </c:pt>
                <c:pt idx="38">
                  <c:v>5.8550718916058813</c:v>
                </c:pt>
                <c:pt idx="40">
                  <c:v>5.3079917062323823</c:v>
                </c:pt>
                <c:pt idx="42">
                  <c:v>4.7982309807431944</c:v>
                </c:pt>
                <c:pt idx="44">
                  <c:v>4.2499158620363744</c:v>
                </c:pt>
                <c:pt idx="46">
                  <c:v>3.8869731993508596</c:v>
                </c:pt>
                <c:pt idx="48">
                  <c:v>3.7147236591263559</c:v>
                </c:pt>
                <c:pt idx="50">
                  <c:v>3.0464509977125065</c:v>
                </c:pt>
                <c:pt idx="52">
                  <c:v>2.6037690283835984</c:v>
                </c:pt>
                <c:pt idx="54">
                  <c:v>5.8988087588778493</c:v>
                </c:pt>
                <c:pt idx="56">
                  <c:v>5.5691732517184835</c:v>
                </c:pt>
                <c:pt idx="58">
                  <c:v>5.1976085372385565</c:v>
                </c:pt>
                <c:pt idx="60">
                  <c:v>6.1468949202913912</c:v>
                </c:pt>
                <c:pt idx="72">
                  <c:v>5.7057408737306456</c:v>
                </c:pt>
                <c:pt idx="74">
                  <c:v>5.6621029186032317</c:v>
                </c:pt>
                <c:pt idx="76">
                  <c:v>5.5827129893156062</c:v>
                </c:pt>
                <c:pt idx="78">
                  <c:v>5.6882304359910574</c:v>
                </c:pt>
                <c:pt idx="80">
                  <c:v>5.4715238116969198</c:v>
                </c:pt>
                <c:pt idx="82">
                  <c:v>7.0616195800132342</c:v>
                </c:pt>
                <c:pt idx="84">
                  <c:v>6.5305507157911045</c:v>
                </c:pt>
                <c:pt idx="86">
                  <c:v>6.643706042310745</c:v>
                </c:pt>
                <c:pt idx="88">
                  <c:v>6.0143781118137873</c:v>
                </c:pt>
                <c:pt idx="90">
                  <c:v>5.3557183201955274</c:v>
                </c:pt>
                <c:pt idx="92">
                  <c:v>4.7296325514323296</c:v>
                </c:pt>
                <c:pt idx="94">
                  <c:v>4.1327229221230262</c:v>
                </c:pt>
                <c:pt idx="96">
                  <c:v>3.8233969754551236</c:v>
                </c:pt>
                <c:pt idx="98">
                  <c:v>3.8539418891256214</c:v>
                </c:pt>
                <c:pt idx="100">
                  <c:v>5.2537432318078601</c:v>
                </c:pt>
                <c:pt idx="102">
                  <c:v>4.8828354676696977</c:v>
                </c:pt>
                <c:pt idx="104">
                  <c:v>4.726604395391802</c:v>
                </c:pt>
                <c:pt idx="106">
                  <c:v>4.0912917877881192</c:v>
                </c:pt>
                <c:pt idx="108">
                  <c:v>3.8053107062353724</c:v>
                </c:pt>
                <c:pt idx="110">
                  <c:v>3.2127108640958815</c:v>
                </c:pt>
                <c:pt idx="112">
                  <c:v>2.6680889491427937</c:v>
                </c:pt>
                <c:pt idx="114">
                  <c:v>2.1400476961893173</c:v>
                </c:pt>
                <c:pt idx="118">
                  <c:v>1.732829801691669</c:v>
                </c:pt>
                <c:pt idx="120">
                  <c:v>1.99156442174489</c:v>
                </c:pt>
                <c:pt idx="122">
                  <c:v>1.4140375985824252</c:v>
                </c:pt>
                <c:pt idx="124">
                  <c:v>1.7933390930890172</c:v>
                </c:pt>
                <c:pt idx="126">
                  <c:v>3.1097410701370283</c:v>
                </c:pt>
                <c:pt idx="128">
                  <c:v>2.9924993101327959</c:v>
                </c:pt>
                <c:pt idx="130">
                  <c:v>2.6330374615915817</c:v>
                </c:pt>
                <c:pt idx="132">
                  <c:v>2.1116866707179787</c:v>
                </c:pt>
                <c:pt idx="134">
                  <c:v>1.6339667607219801</c:v>
                </c:pt>
                <c:pt idx="136">
                  <c:v>1.0989403140041301</c:v>
                </c:pt>
                <c:pt idx="138">
                  <c:v>0.67322686498279283</c:v>
                </c:pt>
                <c:pt idx="140">
                  <c:v>0.1638869601128139</c:v>
                </c:pt>
                <c:pt idx="142">
                  <c:v>-0.36273581966801594</c:v>
                </c:pt>
                <c:pt idx="144">
                  <c:v>-0.99998425540471469</c:v>
                </c:pt>
                <c:pt idx="146">
                  <c:v>-1.6130531331235631</c:v>
                </c:pt>
                <c:pt idx="148">
                  <c:v>-1.9146008053416375</c:v>
                </c:pt>
                <c:pt idx="150">
                  <c:v>-1.7271094798461943</c:v>
                </c:pt>
                <c:pt idx="152">
                  <c:v>-2.2338709423506393</c:v>
                </c:pt>
                <c:pt idx="154">
                  <c:v>-2.8489672207522068</c:v>
                </c:pt>
                <c:pt idx="156">
                  <c:v>-3.3731481871888125</c:v>
                </c:pt>
                <c:pt idx="158">
                  <c:v>-3.804194745454331</c:v>
                </c:pt>
                <c:pt idx="160">
                  <c:v>-4.3644025229144168</c:v>
                </c:pt>
                <c:pt idx="162">
                  <c:v>-4.8077793117025944</c:v>
                </c:pt>
                <c:pt idx="164">
                  <c:v>-5.3556876028841911</c:v>
                </c:pt>
                <c:pt idx="166">
                  <c:v>-5.8297065818366143</c:v>
                </c:pt>
                <c:pt idx="168">
                  <c:v>-6.4574189679007095</c:v>
                </c:pt>
                <c:pt idx="170">
                  <c:v>-7.0360850061371787</c:v>
                </c:pt>
                <c:pt idx="172">
                  <c:v>-7.4861726169325724</c:v>
                </c:pt>
                <c:pt idx="174">
                  <c:v>-7.7555188011748637</c:v>
                </c:pt>
                <c:pt idx="176">
                  <c:v>-7.6870377946903989</c:v>
                </c:pt>
                <c:pt idx="178">
                  <c:v>-7.3586754939115444</c:v>
                </c:pt>
                <c:pt idx="180">
                  <c:v>-7.9260175382991394</c:v>
                </c:pt>
                <c:pt idx="182">
                  <c:v>-8.5254544378622352</c:v>
                </c:pt>
                <c:pt idx="184">
                  <c:v>-9.1421125606653177</c:v>
                </c:pt>
                <c:pt idx="186">
                  <c:v>-9.6270914963097471</c:v>
                </c:pt>
                <c:pt idx="188">
                  <c:v>-10.165163844578695</c:v>
                </c:pt>
                <c:pt idx="190">
                  <c:v>-10.79566633926073</c:v>
                </c:pt>
                <c:pt idx="192">
                  <c:v>-11.356405963206267</c:v>
                </c:pt>
                <c:pt idx="194">
                  <c:v>-11.974917298390606</c:v>
                </c:pt>
                <c:pt idx="196">
                  <c:v>-12.247248262514006</c:v>
                </c:pt>
                <c:pt idx="198">
                  <c:v>-12.12234462517789</c:v>
                </c:pt>
                <c:pt idx="200">
                  <c:v>-12.213875461690689</c:v>
                </c:pt>
                <c:pt idx="202">
                  <c:v>-12.348008320289315</c:v>
                </c:pt>
                <c:pt idx="204">
                  <c:v>-12.946968536429903</c:v>
                </c:pt>
                <c:pt idx="206">
                  <c:v>-13.358028785509772</c:v>
                </c:pt>
                <c:pt idx="208">
                  <c:v>-13.943081159592568</c:v>
                </c:pt>
                <c:pt idx="210">
                  <c:v>-14.514503318327343</c:v>
                </c:pt>
                <c:pt idx="212">
                  <c:v>-14.950055934064077</c:v>
                </c:pt>
                <c:pt idx="214">
                  <c:v>-15.50698086502288</c:v>
                </c:pt>
                <c:pt idx="216">
                  <c:v>-16.098497926968328</c:v>
                </c:pt>
                <c:pt idx="218">
                  <c:v>-16.730101175617747</c:v>
                </c:pt>
                <c:pt idx="220">
                  <c:v>-15.376487400826289</c:v>
                </c:pt>
                <c:pt idx="222">
                  <c:v>-14.400439521329858</c:v>
                </c:pt>
                <c:pt idx="224">
                  <c:v>-14.70961536460784</c:v>
                </c:pt>
                <c:pt idx="226">
                  <c:v>-15.318555775775337</c:v>
                </c:pt>
                <c:pt idx="228">
                  <c:v>-15.794514954425475</c:v>
                </c:pt>
                <c:pt idx="230">
                  <c:v>-15.449282118716532</c:v>
                </c:pt>
                <c:pt idx="232">
                  <c:v>-16.025934975163402</c:v>
                </c:pt>
                <c:pt idx="234">
                  <c:v>-16.499543376526216</c:v>
                </c:pt>
                <c:pt idx="236">
                  <c:v>-17.035973494032049</c:v>
                </c:pt>
                <c:pt idx="238">
                  <c:v>-17.626412594464828</c:v>
                </c:pt>
                <c:pt idx="240">
                  <c:v>-18.214514422098791</c:v>
                </c:pt>
                <c:pt idx="242">
                  <c:v>-17.901846764382373</c:v>
                </c:pt>
                <c:pt idx="244">
                  <c:v>-17.972620402275314</c:v>
                </c:pt>
                <c:pt idx="246">
                  <c:v>-14.271927024038487</c:v>
                </c:pt>
                <c:pt idx="248">
                  <c:v>-13.226288208688548</c:v>
                </c:pt>
                <c:pt idx="250">
                  <c:v>-12.754465370614945</c:v>
                </c:pt>
                <c:pt idx="252">
                  <c:v>-8.9243339767223553</c:v>
                </c:pt>
                <c:pt idx="254">
                  <c:v>-7.7382319672569757</c:v>
                </c:pt>
                <c:pt idx="256">
                  <c:v>-8.1838411044193453</c:v>
                </c:pt>
                <c:pt idx="258">
                  <c:v>-8.6432087031773364</c:v>
                </c:pt>
                <c:pt idx="260">
                  <c:v>-9.2158539121084537</c:v>
                </c:pt>
                <c:pt idx="262">
                  <c:v>-9.71159831736699</c:v>
                </c:pt>
                <c:pt idx="264">
                  <c:v>-10.108747087028993</c:v>
                </c:pt>
                <c:pt idx="267">
                  <c:v>-10.654725356567251</c:v>
                </c:pt>
                <c:pt idx="269">
                  <c:v>-11.249293914796944</c:v>
                </c:pt>
                <c:pt idx="271">
                  <c:v>-11.821050319107684</c:v>
                </c:pt>
                <c:pt idx="273">
                  <c:v>-11.048225579630689</c:v>
                </c:pt>
                <c:pt idx="275">
                  <c:v>-11.299768682458781</c:v>
                </c:pt>
                <c:pt idx="277">
                  <c:v>-11.905651153824634</c:v>
                </c:pt>
                <c:pt idx="279">
                  <c:v>-12.18656955737435</c:v>
                </c:pt>
                <c:pt idx="281">
                  <c:v>-12.659654123760834</c:v>
                </c:pt>
                <c:pt idx="283">
                  <c:v>-13.09217058286989</c:v>
                </c:pt>
                <c:pt idx="285">
                  <c:v>-13.598105771803816</c:v>
                </c:pt>
                <c:pt idx="287">
                  <c:v>-14.055736804367804</c:v>
                </c:pt>
                <c:pt idx="289">
                  <c:v>-14.363898808495748</c:v>
                </c:pt>
                <c:pt idx="291">
                  <c:v>-13.294291735108214</c:v>
                </c:pt>
                <c:pt idx="293">
                  <c:v>-13.251712497694928</c:v>
                </c:pt>
                <c:pt idx="295">
                  <c:v>-12.732245257137492</c:v>
                </c:pt>
                <c:pt idx="297">
                  <c:v>-12.879281636757801</c:v>
                </c:pt>
                <c:pt idx="299">
                  <c:v>-12.631926437143861</c:v>
                </c:pt>
                <c:pt idx="301">
                  <c:v>-12.611530318296056</c:v>
                </c:pt>
                <c:pt idx="303">
                  <c:v>-13.038458267905419</c:v>
                </c:pt>
                <c:pt idx="305">
                  <c:v>-13.368473081186879</c:v>
                </c:pt>
                <c:pt idx="307">
                  <c:v>-13.839013041122808</c:v>
                </c:pt>
                <c:pt idx="309">
                  <c:v>-14.44689329615416</c:v>
                </c:pt>
                <c:pt idx="311">
                  <c:v>-14.758391558073665</c:v>
                </c:pt>
                <c:pt idx="314">
                  <c:v>-15.426664219487515</c:v>
                </c:pt>
                <c:pt idx="316">
                  <c:v>-15.689268752484528</c:v>
                </c:pt>
                <c:pt idx="318">
                  <c:v>-16.018207590405691</c:v>
                </c:pt>
                <c:pt idx="320">
                  <c:v>-15.139663690617741</c:v>
                </c:pt>
                <c:pt idx="322">
                  <c:v>-14.89206560954525</c:v>
                </c:pt>
                <c:pt idx="324">
                  <c:v>-13.704599157091177</c:v>
                </c:pt>
                <c:pt idx="326">
                  <c:v>-14.183120292077104</c:v>
                </c:pt>
                <c:pt idx="328">
                  <c:v>-14.679400436785016</c:v>
                </c:pt>
                <c:pt idx="330">
                  <c:v>-15.017993576986004</c:v>
                </c:pt>
                <c:pt idx="332">
                  <c:v>-15.602292131639528</c:v>
                </c:pt>
                <c:pt idx="334">
                  <c:v>-16.068344810976452</c:v>
                </c:pt>
                <c:pt idx="336">
                  <c:v>-16.062556563528826</c:v>
                </c:pt>
                <c:pt idx="338">
                  <c:v>-16.344871490179838</c:v>
                </c:pt>
                <c:pt idx="340">
                  <c:v>-15.853170659216763</c:v>
                </c:pt>
                <c:pt idx="342">
                  <c:v>-15.668549213611811</c:v>
                </c:pt>
                <c:pt idx="344">
                  <c:v>-15.415490976380209</c:v>
                </c:pt>
                <c:pt idx="346">
                  <c:v>-13.871379619096903</c:v>
                </c:pt>
                <c:pt idx="348">
                  <c:v>-12.590070740758996</c:v>
                </c:pt>
                <c:pt idx="350">
                  <c:v>-13.087916841830188</c:v>
                </c:pt>
                <c:pt idx="352">
                  <c:v>-13.368686274244299</c:v>
                </c:pt>
                <c:pt idx="354">
                  <c:v>-11.305669232657797</c:v>
                </c:pt>
                <c:pt idx="356">
                  <c:v>-10.158607043772513</c:v>
                </c:pt>
                <c:pt idx="358">
                  <c:v>-10.272614101833707</c:v>
                </c:pt>
                <c:pt idx="360">
                  <c:v>-10.260488030910176</c:v>
                </c:pt>
                <c:pt idx="362">
                  <c:v>-10.034406793818288</c:v>
                </c:pt>
                <c:pt idx="364">
                  <c:v>-9.9342425108556167</c:v>
                </c:pt>
                <c:pt idx="366">
                  <c:v>-10.044439675173027</c:v>
                </c:pt>
                <c:pt idx="368">
                  <c:v>-9.9499382077511989</c:v>
                </c:pt>
                <c:pt idx="370">
                  <c:v>-7.8800413558976947</c:v>
                </c:pt>
                <c:pt idx="372">
                  <c:v>-8.0156003720353848</c:v>
                </c:pt>
                <c:pt idx="376">
                  <c:v>-8.225549034991225</c:v>
                </c:pt>
                <c:pt idx="378">
                  <c:v>-8.0716780456566291</c:v>
                </c:pt>
                <c:pt idx="380">
                  <c:v>-7.6382063757565986</c:v>
                </c:pt>
                <c:pt idx="382">
                  <c:v>-7.5962690395817516</c:v>
                </c:pt>
                <c:pt idx="384">
                  <c:v>-7.3902990515062577</c:v>
                </c:pt>
                <c:pt idx="386">
                  <c:v>-7.9619062741890598</c:v>
                </c:pt>
                <c:pt idx="388">
                  <c:v>-7.7220354150839006</c:v>
                </c:pt>
                <c:pt idx="390">
                  <c:v>-8.120459313711768</c:v>
                </c:pt>
                <c:pt idx="392">
                  <c:v>-8.5725411907105791</c:v>
                </c:pt>
                <c:pt idx="394">
                  <c:v>-8.9029538785876667</c:v>
                </c:pt>
                <c:pt idx="396">
                  <c:v>-9.104715504634262</c:v>
                </c:pt>
                <c:pt idx="398">
                  <c:v>-4.0023400355940257</c:v>
                </c:pt>
                <c:pt idx="400">
                  <c:v>-0.22125975378636209</c:v>
                </c:pt>
                <c:pt idx="402">
                  <c:v>-0.785281515763675</c:v>
                </c:pt>
                <c:pt idx="404">
                  <c:v>-0.5949115347900612</c:v>
                </c:pt>
                <c:pt idx="406">
                  <c:v>-1.0790364368477698</c:v>
                </c:pt>
                <c:pt idx="408">
                  <c:v>-1.1260406119173967</c:v>
                </c:pt>
                <c:pt idx="410">
                  <c:v>-1.5752365087941871</c:v>
                </c:pt>
                <c:pt idx="412">
                  <c:v>-2.0829365999413154</c:v>
                </c:pt>
                <c:pt idx="414">
                  <c:v>0.27163425634821836</c:v>
                </c:pt>
                <c:pt idx="416">
                  <c:v>-0.29296274403854916</c:v>
                </c:pt>
                <c:pt idx="418">
                  <c:v>2.4921700212627229</c:v>
                </c:pt>
                <c:pt idx="424">
                  <c:v>1.8301365953660398</c:v>
                </c:pt>
                <c:pt idx="428">
                  <c:v>1.2133632271661272</c:v>
                </c:pt>
                <c:pt idx="430">
                  <c:v>0.65851805137688724</c:v>
                </c:pt>
                <c:pt idx="432">
                  <c:v>0.14492103599035955</c:v>
                </c:pt>
                <c:pt idx="436">
                  <c:v>-6.4676790114495675E-2</c:v>
                </c:pt>
                <c:pt idx="438">
                  <c:v>-0.31570338448700691</c:v>
                </c:pt>
                <c:pt idx="442">
                  <c:v>0.47116424129451667</c:v>
                </c:pt>
                <c:pt idx="444">
                  <c:v>2.8732789483399932</c:v>
                </c:pt>
                <c:pt idx="446">
                  <c:v>2.662986688405403</c:v>
                </c:pt>
                <c:pt idx="448">
                  <c:v>2.061605304233098</c:v>
                </c:pt>
                <c:pt idx="450">
                  <c:v>1.5206354759462997</c:v>
                </c:pt>
                <c:pt idx="452">
                  <c:v>0.94852937581499253</c:v>
                </c:pt>
                <c:pt idx="454">
                  <c:v>0.49046925446969236</c:v>
                </c:pt>
                <c:pt idx="456">
                  <c:v>-7.9664169282066988E-2</c:v>
                </c:pt>
                <c:pt idx="458">
                  <c:v>-0.68009932570086129</c:v>
                </c:pt>
                <c:pt idx="460">
                  <c:v>-1.1568554182786819</c:v>
                </c:pt>
                <c:pt idx="462">
                  <c:v>-1.3334652027597067</c:v>
                </c:pt>
                <c:pt idx="464">
                  <c:v>2.8780272628729455</c:v>
                </c:pt>
                <c:pt idx="472">
                  <c:v>6.3554711155234518</c:v>
                </c:pt>
                <c:pt idx="474">
                  <c:v>5.9478549288373985</c:v>
                </c:pt>
                <c:pt idx="476">
                  <c:v>5.4393370896000999</c:v>
                </c:pt>
                <c:pt idx="478">
                  <c:v>4.9820073119736152</c:v>
                </c:pt>
                <c:pt idx="480">
                  <c:v>4.5959243062047204</c:v>
                </c:pt>
                <c:pt idx="482">
                  <c:v>4.0588747766570226</c:v>
                </c:pt>
                <c:pt idx="484">
                  <c:v>3.4634081407869584</c:v>
                </c:pt>
                <c:pt idx="486">
                  <c:v>2.9055686364208375</c:v>
                </c:pt>
                <c:pt idx="490">
                  <c:v>4.7906111458633607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D-B64B-867A-574CE7FCC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093872"/>
        <c:axId val="1638223072"/>
      </c:scatterChart>
      <c:valAx>
        <c:axId val="87709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23072"/>
        <c:crosses val="autoZero"/>
        <c:crossBetween val="midCat"/>
      </c:valAx>
      <c:valAx>
        <c:axId val="16382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9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'Peridin update'!$N$4:$N$494</c:f>
              <c:numCache>
                <c:formatCode>General</c:formatCode>
                <c:ptCount val="491"/>
                <c:pt idx="0">
                  <c:v>-0.11794030482195789</c:v>
                </c:pt>
                <c:pt idx="2">
                  <c:v>-0.27385092585263798</c:v>
                </c:pt>
                <c:pt idx="4">
                  <c:v>-0.65684562049118456</c:v>
                </c:pt>
                <c:pt idx="6">
                  <c:v>-0.32171597232142085</c:v>
                </c:pt>
                <c:pt idx="8">
                  <c:v>2.6437537385141776</c:v>
                </c:pt>
                <c:pt idx="10">
                  <c:v>2.7373182063700718</c:v>
                </c:pt>
                <c:pt idx="12">
                  <c:v>4.7954023515045536</c:v>
                </c:pt>
                <c:pt idx="14">
                  <c:v>4.2515265164332554</c:v>
                </c:pt>
                <c:pt idx="16">
                  <c:v>3.6743631941430195</c:v>
                </c:pt>
                <c:pt idx="18">
                  <c:v>3.1585084219558679</c:v>
                </c:pt>
                <c:pt idx="20">
                  <c:v>2.6628680164603566</c:v>
                </c:pt>
                <c:pt idx="22">
                  <c:v>2.2977111199452929</c:v>
                </c:pt>
                <c:pt idx="24">
                  <c:v>3.5888812657212652</c:v>
                </c:pt>
                <c:pt idx="26">
                  <c:v>2.9625922235010087</c:v>
                </c:pt>
                <c:pt idx="28">
                  <c:v>4.828768791955981</c:v>
                </c:pt>
                <c:pt idx="30">
                  <c:v>8.1121328687244727</c:v>
                </c:pt>
                <c:pt idx="32">
                  <c:v>7.4438602073106237</c:v>
                </c:pt>
                <c:pt idx="34">
                  <c:v>6.7755875458967747</c:v>
                </c:pt>
                <c:pt idx="36">
                  <c:v>6.1073148844829257</c:v>
                </c:pt>
                <c:pt idx="38">
                  <c:v>5.8550718916058813</c:v>
                </c:pt>
                <c:pt idx="40">
                  <c:v>5.3079917062323823</c:v>
                </c:pt>
                <c:pt idx="42">
                  <c:v>4.7982309807431944</c:v>
                </c:pt>
                <c:pt idx="44">
                  <c:v>4.2499158620363744</c:v>
                </c:pt>
                <c:pt idx="46">
                  <c:v>3.8869731993508596</c:v>
                </c:pt>
                <c:pt idx="48">
                  <c:v>3.7147236591263559</c:v>
                </c:pt>
                <c:pt idx="50">
                  <c:v>3.0464509977125065</c:v>
                </c:pt>
                <c:pt idx="52">
                  <c:v>2.6037690283835984</c:v>
                </c:pt>
                <c:pt idx="54">
                  <c:v>5.8988087588778493</c:v>
                </c:pt>
                <c:pt idx="56">
                  <c:v>5.5691732517184835</c:v>
                </c:pt>
                <c:pt idx="58">
                  <c:v>5.1976085372385565</c:v>
                </c:pt>
                <c:pt idx="60">
                  <c:v>6.1468949202913912</c:v>
                </c:pt>
                <c:pt idx="72">
                  <c:v>5.7057408737306456</c:v>
                </c:pt>
                <c:pt idx="74">
                  <c:v>5.6621029186032317</c:v>
                </c:pt>
                <c:pt idx="76">
                  <c:v>5.5827129893156062</c:v>
                </c:pt>
                <c:pt idx="78">
                  <c:v>5.6882304359910574</c:v>
                </c:pt>
                <c:pt idx="80">
                  <c:v>5.4715238116969198</c:v>
                </c:pt>
                <c:pt idx="82">
                  <c:v>7.0616195800132342</c:v>
                </c:pt>
                <c:pt idx="84">
                  <c:v>6.5305507157911045</c:v>
                </c:pt>
                <c:pt idx="86">
                  <c:v>6.643706042310745</c:v>
                </c:pt>
                <c:pt idx="88">
                  <c:v>6.0143781118137873</c:v>
                </c:pt>
                <c:pt idx="90">
                  <c:v>5.3557183201955274</c:v>
                </c:pt>
                <c:pt idx="92">
                  <c:v>4.7296325514323296</c:v>
                </c:pt>
                <c:pt idx="94">
                  <c:v>4.1327229221230262</c:v>
                </c:pt>
                <c:pt idx="96">
                  <c:v>3.8233969754551236</c:v>
                </c:pt>
                <c:pt idx="98">
                  <c:v>3.8539418891256214</c:v>
                </c:pt>
                <c:pt idx="100">
                  <c:v>5.2537432318078601</c:v>
                </c:pt>
                <c:pt idx="102">
                  <c:v>4.8828354676696977</c:v>
                </c:pt>
                <c:pt idx="104">
                  <c:v>4.726604395391802</c:v>
                </c:pt>
                <c:pt idx="106">
                  <c:v>4.0912917877881192</c:v>
                </c:pt>
                <c:pt idx="108">
                  <c:v>3.8053107062353724</c:v>
                </c:pt>
                <c:pt idx="110">
                  <c:v>3.2127108640958815</c:v>
                </c:pt>
                <c:pt idx="112">
                  <c:v>2.6680889491427937</c:v>
                </c:pt>
                <c:pt idx="114">
                  <c:v>2.1400476961893173</c:v>
                </c:pt>
                <c:pt idx="118">
                  <c:v>1.732829801691669</c:v>
                </c:pt>
                <c:pt idx="120">
                  <c:v>1.99156442174489</c:v>
                </c:pt>
                <c:pt idx="122">
                  <c:v>1.4140375985824252</c:v>
                </c:pt>
                <c:pt idx="124">
                  <c:v>1.7933390930890172</c:v>
                </c:pt>
                <c:pt idx="126">
                  <c:v>3.1097410701370283</c:v>
                </c:pt>
                <c:pt idx="128">
                  <c:v>2.9924993101327959</c:v>
                </c:pt>
                <c:pt idx="130">
                  <c:v>2.6330374615915817</c:v>
                </c:pt>
                <c:pt idx="132">
                  <c:v>2.1116866707179787</c:v>
                </c:pt>
                <c:pt idx="134">
                  <c:v>1.6339667607219801</c:v>
                </c:pt>
                <c:pt idx="136">
                  <c:v>1.0989403140041301</c:v>
                </c:pt>
                <c:pt idx="138">
                  <c:v>0.67322686498279283</c:v>
                </c:pt>
                <c:pt idx="140">
                  <c:v>0.1638869601128139</c:v>
                </c:pt>
                <c:pt idx="142">
                  <c:v>-0.36273581966801594</c:v>
                </c:pt>
                <c:pt idx="144">
                  <c:v>-0.99998425540471469</c:v>
                </c:pt>
                <c:pt idx="146">
                  <c:v>-1.6130531331235631</c:v>
                </c:pt>
                <c:pt idx="148">
                  <c:v>-1.9146008053416375</c:v>
                </c:pt>
                <c:pt idx="150">
                  <c:v>-1.7271094798461943</c:v>
                </c:pt>
                <c:pt idx="152">
                  <c:v>-2.2338709423506393</c:v>
                </c:pt>
                <c:pt idx="154">
                  <c:v>-2.8489672207522068</c:v>
                </c:pt>
                <c:pt idx="156">
                  <c:v>-3.3731481871888125</c:v>
                </c:pt>
                <c:pt idx="158">
                  <c:v>-3.804194745454331</c:v>
                </c:pt>
                <c:pt idx="160">
                  <c:v>-4.3644025229144168</c:v>
                </c:pt>
                <c:pt idx="162">
                  <c:v>-4.8077793117025944</c:v>
                </c:pt>
                <c:pt idx="164">
                  <c:v>-5.3556876028841911</c:v>
                </c:pt>
                <c:pt idx="166">
                  <c:v>-5.8297065818366143</c:v>
                </c:pt>
                <c:pt idx="168">
                  <c:v>-6.4574189679007095</c:v>
                </c:pt>
                <c:pt idx="170">
                  <c:v>-7.0360850061371787</c:v>
                </c:pt>
                <c:pt idx="172">
                  <c:v>-7.4861726169325724</c:v>
                </c:pt>
                <c:pt idx="174">
                  <c:v>-7.7555188011748637</c:v>
                </c:pt>
                <c:pt idx="176">
                  <c:v>-7.6870377946903989</c:v>
                </c:pt>
                <c:pt idx="178">
                  <c:v>-7.3586754939115444</c:v>
                </c:pt>
                <c:pt idx="180">
                  <c:v>-7.9260175382991394</c:v>
                </c:pt>
                <c:pt idx="182">
                  <c:v>-8.5254544378622352</c:v>
                </c:pt>
                <c:pt idx="184">
                  <c:v>-9.1421125606653177</c:v>
                </c:pt>
                <c:pt idx="186">
                  <c:v>-9.6270914963097471</c:v>
                </c:pt>
                <c:pt idx="188">
                  <c:v>-10.165163844578695</c:v>
                </c:pt>
                <c:pt idx="190">
                  <c:v>-10.79566633926073</c:v>
                </c:pt>
                <c:pt idx="192">
                  <c:v>-11.356405963206267</c:v>
                </c:pt>
                <c:pt idx="194">
                  <c:v>-11.974917298390606</c:v>
                </c:pt>
                <c:pt idx="196">
                  <c:v>-12.247248262514006</c:v>
                </c:pt>
                <c:pt idx="198">
                  <c:v>-12.12234462517789</c:v>
                </c:pt>
                <c:pt idx="200">
                  <c:v>-12.213875461690689</c:v>
                </c:pt>
                <c:pt idx="202">
                  <c:v>-12.348008320289315</c:v>
                </c:pt>
                <c:pt idx="204">
                  <c:v>-12.946968536429903</c:v>
                </c:pt>
                <c:pt idx="206">
                  <c:v>-13.358028785509772</c:v>
                </c:pt>
                <c:pt idx="208">
                  <c:v>-13.943081159592568</c:v>
                </c:pt>
                <c:pt idx="210">
                  <c:v>-14.514503318327343</c:v>
                </c:pt>
                <c:pt idx="212">
                  <c:v>-14.950055934064077</c:v>
                </c:pt>
                <c:pt idx="214">
                  <c:v>-15.50698086502288</c:v>
                </c:pt>
                <c:pt idx="216">
                  <c:v>-16.098497926968328</c:v>
                </c:pt>
                <c:pt idx="218">
                  <c:v>-16.730101175617747</c:v>
                </c:pt>
                <c:pt idx="220">
                  <c:v>-15.376487400826289</c:v>
                </c:pt>
                <c:pt idx="222">
                  <c:v>-14.400439521329858</c:v>
                </c:pt>
                <c:pt idx="224">
                  <c:v>-14.70961536460784</c:v>
                </c:pt>
                <c:pt idx="226">
                  <c:v>-15.318555775775337</c:v>
                </c:pt>
                <c:pt idx="228">
                  <c:v>-15.794514954425475</c:v>
                </c:pt>
                <c:pt idx="230">
                  <c:v>-15.449282118716532</c:v>
                </c:pt>
                <c:pt idx="232">
                  <c:v>-16.025934975163402</c:v>
                </c:pt>
                <c:pt idx="234">
                  <c:v>-16.499543376526216</c:v>
                </c:pt>
                <c:pt idx="236">
                  <c:v>-17.035973494032049</c:v>
                </c:pt>
                <c:pt idx="238">
                  <c:v>-17.626412594464828</c:v>
                </c:pt>
                <c:pt idx="240">
                  <c:v>-18.214514422098791</c:v>
                </c:pt>
                <c:pt idx="242">
                  <c:v>-17.901846764382373</c:v>
                </c:pt>
                <c:pt idx="244">
                  <c:v>-17.972620402275314</c:v>
                </c:pt>
                <c:pt idx="246">
                  <c:v>-14.271927024038487</c:v>
                </c:pt>
                <c:pt idx="248">
                  <c:v>-13.226288208688548</c:v>
                </c:pt>
                <c:pt idx="250">
                  <c:v>-12.754465370614945</c:v>
                </c:pt>
                <c:pt idx="252">
                  <c:v>-8.9243339767223553</c:v>
                </c:pt>
                <c:pt idx="254">
                  <c:v>-7.7382319672569757</c:v>
                </c:pt>
                <c:pt idx="256">
                  <c:v>-8.1838411044193453</c:v>
                </c:pt>
                <c:pt idx="258">
                  <c:v>-8.6432087031773364</c:v>
                </c:pt>
                <c:pt idx="260">
                  <c:v>-9.2158539121084537</c:v>
                </c:pt>
                <c:pt idx="262">
                  <c:v>-9.71159831736699</c:v>
                </c:pt>
                <c:pt idx="264">
                  <c:v>-10.108747087028993</c:v>
                </c:pt>
                <c:pt idx="267">
                  <c:v>-10.654725356567251</c:v>
                </c:pt>
                <c:pt idx="269">
                  <c:v>-11.249293914796944</c:v>
                </c:pt>
                <c:pt idx="271">
                  <c:v>-11.821050319107684</c:v>
                </c:pt>
                <c:pt idx="273">
                  <c:v>-11.048225579630689</c:v>
                </c:pt>
                <c:pt idx="275">
                  <c:v>-11.299768682458781</c:v>
                </c:pt>
                <c:pt idx="277">
                  <c:v>-11.905651153824634</c:v>
                </c:pt>
                <c:pt idx="279">
                  <c:v>-12.18656955737435</c:v>
                </c:pt>
                <c:pt idx="281">
                  <c:v>-12.659654123760834</c:v>
                </c:pt>
                <c:pt idx="283">
                  <c:v>-13.09217058286989</c:v>
                </c:pt>
                <c:pt idx="285">
                  <c:v>-13.598105771803816</c:v>
                </c:pt>
                <c:pt idx="287">
                  <c:v>-14.055736804367804</c:v>
                </c:pt>
                <c:pt idx="289">
                  <c:v>-14.363898808495748</c:v>
                </c:pt>
                <c:pt idx="291">
                  <c:v>-13.294291735108214</c:v>
                </c:pt>
                <c:pt idx="293">
                  <c:v>-13.251712497694928</c:v>
                </c:pt>
                <c:pt idx="295">
                  <c:v>-12.732245257137492</c:v>
                </c:pt>
                <c:pt idx="297">
                  <c:v>-12.879281636757801</c:v>
                </c:pt>
                <c:pt idx="299">
                  <c:v>-12.631926437143861</c:v>
                </c:pt>
                <c:pt idx="301">
                  <c:v>-12.611530318296056</c:v>
                </c:pt>
                <c:pt idx="303">
                  <c:v>-13.038458267905419</c:v>
                </c:pt>
                <c:pt idx="305">
                  <c:v>-13.368473081186879</c:v>
                </c:pt>
                <c:pt idx="307">
                  <c:v>-13.839013041122808</c:v>
                </c:pt>
                <c:pt idx="309">
                  <c:v>-14.44689329615416</c:v>
                </c:pt>
                <c:pt idx="311">
                  <c:v>-14.758391558073665</c:v>
                </c:pt>
                <c:pt idx="314">
                  <c:v>-15.426664219487515</c:v>
                </c:pt>
                <c:pt idx="316">
                  <c:v>-15.689268752484528</c:v>
                </c:pt>
                <c:pt idx="318">
                  <c:v>-16.018207590405691</c:v>
                </c:pt>
                <c:pt idx="320">
                  <c:v>-15.139663690617741</c:v>
                </c:pt>
                <c:pt idx="322">
                  <c:v>-14.89206560954525</c:v>
                </c:pt>
                <c:pt idx="324">
                  <c:v>-13.704599157091177</c:v>
                </c:pt>
                <c:pt idx="326">
                  <c:v>-14.183120292077104</c:v>
                </c:pt>
                <c:pt idx="328">
                  <c:v>-14.679400436785016</c:v>
                </c:pt>
                <c:pt idx="330">
                  <c:v>-15.017993576986004</c:v>
                </c:pt>
                <c:pt idx="332">
                  <c:v>-15.602292131639528</c:v>
                </c:pt>
                <c:pt idx="334">
                  <c:v>-16.068344810976452</c:v>
                </c:pt>
                <c:pt idx="336">
                  <c:v>-16.062556563528826</c:v>
                </c:pt>
                <c:pt idx="338">
                  <c:v>-16.344871490179838</c:v>
                </c:pt>
                <c:pt idx="340">
                  <c:v>-15.853170659216763</c:v>
                </c:pt>
                <c:pt idx="342">
                  <c:v>-15.668549213611811</c:v>
                </c:pt>
                <c:pt idx="344">
                  <c:v>-15.415490976380209</c:v>
                </c:pt>
                <c:pt idx="346">
                  <c:v>-13.871379619096903</c:v>
                </c:pt>
                <c:pt idx="348">
                  <c:v>-12.590070740758996</c:v>
                </c:pt>
                <c:pt idx="350">
                  <c:v>-13.087916841830188</c:v>
                </c:pt>
                <c:pt idx="352">
                  <c:v>-13.368686274244299</c:v>
                </c:pt>
                <c:pt idx="354">
                  <c:v>-11.305669232657797</c:v>
                </c:pt>
                <c:pt idx="356">
                  <c:v>-10.158607043772513</c:v>
                </c:pt>
                <c:pt idx="358">
                  <c:v>-10.272614101833707</c:v>
                </c:pt>
                <c:pt idx="360">
                  <c:v>-10.260488030910176</c:v>
                </c:pt>
                <c:pt idx="362">
                  <c:v>-10.034406793818288</c:v>
                </c:pt>
                <c:pt idx="364">
                  <c:v>-9.9342425108556167</c:v>
                </c:pt>
                <c:pt idx="366">
                  <c:v>-10.044439675173027</c:v>
                </c:pt>
                <c:pt idx="368">
                  <c:v>-9.9499382077511989</c:v>
                </c:pt>
                <c:pt idx="370">
                  <c:v>-7.8800413558976947</c:v>
                </c:pt>
                <c:pt idx="372">
                  <c:v>-8.0156003720353848</c:v>
                </c:pt>
                <c:pt idx="376">
                  <c:v>-8.225549034991225</c:v>
                </c:pt>
                <c:pt idx="378">
                  <c:v>-8.0716780456566291</c:v>
                </c:pt>
                <c:pt idx="380">
                  <c:v>-7.6382063757565986</c:v>
                </c:pt>
                <c:pt idx="382">
                  <c:v>-7.5962690395817516</c:v>
                </c:pt>
                <c:pt idx="384">
                  <c:v>-7.3902990515062577</c:v>
                </c:pt>
                <c:pt idx="386">
                  <c:v>-7.9619062741890598</c:v>
                </c:pt>
                <c:pt idx="388">
                  <c:v>-7.7220354150839006</c:v>
                </c:pt>
                <c:pt idx="390">
                  <c:v>-8.120459313711768</c:v>
                </c:pt>
                <c:pt idx="392">
                  <c:v>-8.5725411907105791</c:v>
                </c:pt>
                <c:pt idx="394">
                  <c:v>-8.9029538785876667</c:v>
                </c:pt>
                <c:pt idx="396">
                  <c:v>-9.104715504634262</c:v>
                </c:pt>
                <c:pt idx="398">
                  <c:v>-4.0023400355940257</c:v>
                </c:pt>
                <c:pt idx="400">
                  <c:v>-0.22125975378636209</c:v>
                </c:pt>
                <c:pt idx="402">
                  <c:v>-0.785281515763675</c:v>
                </c:pt>
                <c:pt idx="404">
                  <c:v>-0.5949115347900612</c:v>
                </c:pt>
                <c:pt idx="406">
                  <c:v>-1.0790364368477698</c:v>
                </c:pt>
                <c:pt idx="408">
                  <c:v>-1.1260406119173967</c:v>
                </c:pt>
                <c:pt idx="410">
                  <c:v>-1.5752365087941871</c:v>
                </c:pt>
                <c:pt idx="412">
                  <c:v>-2.0829365999413154</c:v>
                </c:pt>
                <c:pt idx="414">
                  <c:v>0.27163425634821836</c:v>
                </c:pt>
                <c:pt idx="416">
                  <c:v>-0.29296274403854916</c:v>
                </c:pt>
                <c:pt idx="418">
                  <c:v>2.4921700212627229</c:v>
                </c:pt>
                <c:pt idx="424">
                  <c:v>1.8301365953660398</c:v>
                </c:pt>
                <c:pt idx="428">
                  <c:v>1.2133632271661272</c:v>
                </c:pt>
                <c:pt idx="430">
                  <c:v>0.65851805137688724</c:v>
                </c:pt>
                <c:pt idx="432">
                  <c:v>0.14492103599035955</c:v>
                </c:pt>
                <c:pt idx="436">
                  <c:v>-6.4676790114495675E-2</c:v>
                </c:pt>
                <c:pt idx="438">
                  <c:v>-0.31570338448700691</c:v>
                </c:pt>
                <c:pt idx="442">
                  <c:v>0.47116424129451667</c:v>
                </c:pt>
                <c:pt idx="444">
                  <c:v>2.8732789483399932</c:v>
                </c:pt>
                <c:pt idx="446">
                  <c:v>2.662986688405403</c:v>
                </c:pt>
                <c:pt idx="448">
                  <c:v>2.061605304233098</c:v>
                </c:pt>
                <c:pt idx="450">
                  <c:v>1.5206354759462997</c:v>
                </c:pt>
                <c:pt idx="452">
                  <c:v>0.94852937581499253</c:v>
                </c:pt>
                <c:pt idx="454">
                  <c:v>0.49046925446969236</c:v>
                </c:pt>
                <c:pt idx="456">
                  <c:v>-7.9664169282066988E-2</c:v>
                </c:pt>
                <c:pt idx="458">
                  <c:v>-0.68009932570086129</c:v>
                </c:pt>
                <c:pt idx="460">
                  <c:v>-1.1568554182786819</c:v>
                </c:pt>
                <c:pt idx="462">
                  <c:v>-1.3334652027597067</c:v>
                </c:pt>
                <c:pt idx="464">
                  <c:v>2.8780272628729455</c:v>
                </c:pt>
                <c:pt idx="472">
                  <c:v>6.3554711155234518</c:v>
                </c:pt>
                <c:pt idx="474">
                  <c:v>5.9478549288373985</c:v>
                </c:pt>
                <c:pt idx="476">
                  <c:v>5.4393370896000999</c:v>
                </c:pt>
                <c:pt idx="478">
                  <c:v>4.9820073119736152</c:v>
                </c:pt>
                <c:pt idx="480">
                  <c:v>4.5959243062047204</c:v>
                </c:pt>
                <c:pt idx="482">
                  <c:v>4.0588747766570226</c:v>
                </c:pt>
                <c:pt idx="484">
                  <c:v>3.4634081407869584</c:v>
                </c:pt>
                <c:pt idx="486">
                  <c:v>2.9055686364208375</c:v>
                </c:pt>
                <c:pt idx="490">
                  <c:v>4.7906111458633607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0-EB4C-A698-4EA643553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update'!$B$3:$B$494</c:f>
              <c:numCache>
                <c:formatCode>[$-409]mmm\-yy;@</c:formatCode>
                <c:ptCount val="492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36598</c:v>
                </c:pt>
                <c:pt idx="11">
                  <c:v>36598</c:v>
                </c:pt>
                <c:pt idx="12">
                  <c:v>36627</c:v>
                </c:pt>
                <c:pt idx="13">
                  <c:v>36627</c:v>
                </c:pt>
                <c:pt idx="14">
                  <c:v>36662</c:v>
                </c:pt>
                <c:pt idx="15">
                  <c:v>36662</c:v>
                </c:pt>
                <c:pt idx="16">
                  <c:v>36690</c:v>
                </c:pt>
                <c:pt idx="17">
                  <c:v>36690</c:v>
                </c:pt>
                <c:pt idx="18">
                  <c:v>36718</c:v>
                </c:pt>
                <c:pt idx="19">
                  <c:v>36718</c:v>
                </c:pt>
                <c:pt idx="20">
                  <c:v>36753</c:v>
                </c:pt>
                <c:pt idx="21">
                  <c:v>36753</c:v>
                </c:pt>
                <c:pt idx="22">
                  <c:v>36781</c:v>
                </c:pt>
                <c:pt idx="23">
                  <c:v>36781</c:v>
                </c:pt>
                <c:pt idx="24">
                  <c:v>36817</c:v>
                </c:pt>
                <c:pt idx="25">
                  <c:v>36817</c:v>
                </c:pt>
                <c:pt idx="26">
                  <c:v>36848</c:v>
                </c:pt>
                <c:pt idx="27">
                  <c:v>36848</c:v>
                </c:pt>
                <c:pt idx="28">
                  <c:v>36871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36965</c:v>
                </c:pt>
                <c:pt idx="35">
                  <c:v>36965</c:v>
                </c:pt>
                <c:pt idx="36">
                  <c:v>37000</c:v>
                </c:pt>
                <c:pt idx="37">
                  <c:v>37000</c:v>
                </c:pt>
                <c:pt idx="38">
                  <c:v>37026</c:v>
                </c:pt>
                <c:pt idx="39">
                  <c:v>37026</c:v>
                </c:pt>
                <c:pt idx="40">
                  <c:v>37055</c:v>
                </c:pt>
                <c:pt idx="41">
                  <c:v>37055</c:v>
                </c:pt>
                <c:pt idx="42">
                  <c:v>37092</c:v>
                </c:pt>
                <c:pt idx="43">
                  <c:v>37092</c:v>
                </c:pt>
                <c:pt idx="44">
                  <c:v>37118</c:v>
                </c:pt>
                <c:pt idx="45">
                  <c:v>37118</c:v>
                </c:pt>
                <c:pt idx="46">
                  <c:v>37152</c:v>
                </c:pt>
                <c:pt idx="47">
                  <c:v>37152</c:v>
                </c:pt>
                <c:pt idx="48">
                  <c:v>37180</c:v>
                </c:pt>
                <c:pt idx="49">
                  <c:v>37180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37692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37819</c:v>
                </c:pt>
                <c:pt idx="91">
                  <c:v>37819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37910</c:v>
                </c:pt>
                <c:pt idx="97">
                  <c:v>37910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38336</c:v>
                </c:pt>
                <c:pt idx="125">
                  <c:v>38336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38469</c:v>
                </c:pt>
                <c:pt idx="133">
                  <c:v>38469</c:v>
                </c:pt>
                <c:pt idx="134">
                  <c:v>38490</c:v>
                </c:pt>
                <c:pt idx="135">
                  <c:v>38490</c:v>
                </c:pt>
                <c:pt idx="136">
                  <c:v>38518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38589</c:v>
                </c:pt>
                <c:pt idx="141">
                  <c:v>38589</c:v>
                </c:pt>
                <c:pt idx="142">
                  <c:v>38608</c:v>
                </c:pt>
                <c:pt idx="143">
                  <c:v>38608</c:v>
                </c:pt>
                <c:pt idx="144">
                  <c:v>38636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39008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39101</c:v>
                </c:pt>
                <c:pt idx="175">
                  <c:v>39101</c:v>
                </c:pt>
                <c:pt idx="176">
                  <c:v>39134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39246</c:v>
                </c:pt>
                <c:pt idx="185">
                  <c:v>39246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39336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39427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39582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39434</c:v>
                </c:pt>
                <c:pt idx="221">
                  <c:v>39434</c:v>
                </c:pt>
                <c:pt idx="222">
                  <c:v>39825</c:v>
                </c:pt>
                <c:pt idx="223">
                  <c:v>39825</c:v>
                </c:pt>
                <c:pt idx="224">
                  <c:v>39854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40043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40134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40280</c:v>
                </c:pt>
                <c:pt idx="253">
                  <c:v>40280</c:v>
                </c:pt>
                <c:pt idx="254">
                  <c:v>40280</c:v>
                </c:pt>
                <c:pt idx="255">
                  <c:v>40315</c:v>
                </c:pt>
                <c:pt idx="256">
                  <c:v>40315</c:v>
                </c:pt>
                <c:pt idx="257">
                  <c:v>40344</c:v>
                </c:pt>
                <c:pt idx="258">
                  <c:v>40344</c:v>
                </c:pt>
                <c:pt idx="259">
                  <c:v>40344</c:v>
                </c:pt>
                <c:pt idx="260">
                  <c:v>40371</c:v>
                </c:pt>
                <c:pt idx="261">
                  <c:v>40371</c:v>
                </c:pt>
                <c:pt idx="262">
                  <c:v>40407</c:v>
                </c:pt>
                <c:pt idx="263">
                  <c:v>40407</c:v>
                </c:pt>
                <c:pt idx="264">
                  <c:v>40436</c:v>
                </c:pt>
                <c:pt idx="265">
                  <c:v>40436</c:v>
                </c:pt>
                <c:pt idx="266">
                  <c:v>40464</c:v>
                </c:pt>
                <c:pt idx="267">
                  <c:v>40464</c:v>
                </c:pt>
                <c:pt idx="268">
                  <c:v>40464</c:v>
                </c:pt>
                <c:pt idx="269">
                  <c:v>40498</c:v>
                </c:pt>
                <c:pt idx="270">
                  <c:v>40498</c:v>
                </c:pt>
                <c:pt idx="271">
                  <c:v>40520</c:v>
                </c:pt>
                <c:pt idx="272">
                  <c:v>40520</c:v>
                </c:pt>
                <c:pt idx="273">
                  <c:v>40562</c:v>
                </c:pt>
                <c:pt idx="274">
                  <c:v>40562</c:v>
                </c:pt>
                <c:pt idx="275">
                  <c:v>40591</c:v>
                </c:pt>
                <c:pt idx="276">
                  <c:v>40591</c:v>
                </c:pt>
                <c:pt idx="277">
                  <c:v>40619</c:v>
                </c:pt>
                <c:pt idx="278">
                  <c:v>40619</c:v>
                </c:pt>
                <c:pt idx="279">
                  <c:v>40646</c:v>
                </c:pt>
                <c:pt idx="280">
                  <c:v>40646</c:v>
                </c:pt>
                <c:pt idx="281">
                  <c:v>40681</c:v>
                </c:pt>
                <c:pt idx="282">
                  <c:v>40681</c:v>
                </c:pt>
                <c:pt idx="283">
                  <c:v>40708</c:v>
                </c:pt>
                <c:pt idx="284">
                  <c:v>40708</c:v>
                </c:pt>
                <c:pt idx="285">
                  <c:v>40735</c:v>
                </c:pt>
                <c:pt idx="286">
                  <c:v>40735</c:v>
                </c:pt>
                <c:pt idx="287">
                  <c:v>40771</c:v>
                </c:pt>
                <c:pt idx="288">
                  <c:v>40771</c:v>
                </c:pt>
                <c:pt idx="289">
                  <c:v>40799</c:v>
                </c:pt>
                <c:pt idx="290">
                  <c:v>40799</c:v>
                </c:pt>
                <c:pt idx="291">
                  <c:v>40827</c:v>
                </c:pt>
                <c:pt idx="292">
                  <c:v>40827</c:v>
                </c:pt>
                <c:pt idx="293">
                  <c:v>40862</c:v>
                </c:pt>
                <c:pt idx="294">
                  <c:v>40862</c:v>
                </c:pt>
                <c:pt idx="295">
                  <c:v>40890</c:v>
                </c:pt>
                <c:pt idx="296">
                  <c:v>40890</c:v>
                </c:pt>
                <c:pt idx="297">
                  <c:v>40917</c:v>
                </c:pt>
                <c:pt idx="298">
                  <c:v>40917</c:v>
                </c:pt>
                <c:pt idx="299">
                  <c:v>40962</c:v>
                </c:pt>
                <c:pt idx="300">
                  <c:v>40962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41135</c:v>
                </c:pt>
                <c:pt idx="312">
                  <c:v>41135</c:v>
                </c:pt>
                <c:pt idx="313">
                  <c:v>41164</c:v>
                </c:pt>
                <c:pt idx="314">
                  <c:v>41164</c:v>
                </c:pt>
                <c:pt idx="315">
                  <c:v>41164</c:v>
                </c:pt>
                <c:pt idx="316">
                  <c:v>41199</c:v>
                </c:pt>
                <c:pt idx="317">
                  <c:v>41199</c:v>
                </c:pt>
                <c:pt idx="318">
                  <c:v>41225</c:v>
                </c:pt>
                <c:pt idx="319">
                  <c:v>41225</c:v>
                </c:pt>
                <c:pt idx="320">
                  <c:v>41254</c:v>
                </c:pt>
                <c:pt idx="321">
                  <c:v>41254</c:v>
                </c:pt>
                <c:pt idx="322">
                  <c:v>41288</c:v>
                </c:pt>
                <c:pt idx="323">
                  <c:v>41288</c:v>
                </c:pt>
                <c:pt idx="324">
                  <c:v>41318</c:v>
                </c:pt>
                <c:pt idx="325">
                  <c:v>41318</c:v>
                </c:pt>
                <c:pt idx="326">
                  <c:v>41344</c:v>
                </c:pt>
                <c:pt idx="327">
                  <c:v>41344</c:v>
                </c:pt>
                <c:pt idx="328">
                  <c:v>41379</c:v>
                </c:pt>
                <c:pt idx="329">
                  <c:v>41379</c:v>
                </c:pt>
                <c:pt idx="330">
                  <c:v>41408</c:v>
                </c:pt>
                <c:pt idx="331">
                  <c:v>41408</c:v>
                </c:pt>
                <c:pt idx="332">
                  <c:v>41436</c:v>
                </c:pt>
                <c:pt idx="333">
                  <c:v>41436</c:v>
                </c:pt>
                <c:pt idx="334">
                  <c:v>41471</c:v>
                </c:pt>
                <c:pt idx="335">
                  <c:v>41471</c:v>
                </c:pt>
                <c:pt idx="336">
                  <c:v>41499</c:v>
                </c:pt>
                <c:pt idx="337">
                  <c:v>41499</c:v>
                </c:pt>
                <c:pt idx="338">
                  <c:v>41533</c:v>
                </c:pt>
                <c:pt idx="339">
                  <c:v>41533</c:v>
                </c:pt>
                <c:pt idx="340">
                  <c:v>41569</c:v>
                </c:pt>
                <c:pt idx="341">
                  <c:v>41569</c:v>
                </c:pt>
                <c:pt idx="342">
                  <c:v>41597</c:v>
                </c:pt>
                <c:pt idx="343">
                  <c:v>41597</c:v>
                </c:pt>
                <c:pt idx="344">
                  <c:v>41624</c:v>
                </c:pt>
                <c:pt idx="345">
                  <c:v>41624</c:v>
                </c:pt>
                <c:pt idx="346">
                  <c:v>41654</c:v>
                </c:pt>
                <c:pt idx="347">
                  <c:v>41654</c:v>
                </c:pt>
                <c:pt idx="348">
                  <c:v>41688</c:v>
                </c:pt>
                <c:pt idx="349">
                  <c:v>41688</c:v>
                </c:pt>
                <c:pt idx="350">
                  <c:v>41719</c:v>
                </c:pt>
                <c:pt idx="351">
                  <c:v>41719</c:v>
                </c:pt>
                <c:pt idx="352">
                  <c:v>41719</c:v>
                </c:pt>
                <c:pt idx="353">
                  <c:v>41747</c:v>
                </c:pt>
                <c:pt idx="354">
                  <c:v>41747</c:v>
                </c:pt>
                <c:pt idx="355">
                  <c:v>41772</c:v>
                </c:pt>
                <c:pt idx="356">
                  <c:v>41772</c:v>
                </c:pt>
                <c:pt idx="357">
                  <c:v>41808</c:v>
                </c:pt>
                <c:pt idx="358">
                  <c:v>41808</c:v>
                </c:pt>
                <c:pt idx="359">
                  <c:v>41834</c:v>
                </c:pt>
                <c:pt idx="360">
                  <c:v>41834</c:v>
                </c:pt>
                <c:pt idx="361">
                  <c:v>41864</c:v>
                </c:pt>
                <c:pt idx="362">
                  <c:v>41864</c:v>
                </c:pt>
                <c:pt idx="363">
                  <c:v>41898</c:v>
                </c:pt>
                <c:pt idx="364">
                  <c:v>41898</c:v>
                </c:pt>
                <c:pt idx="365">
                  <c:v>41929</c:v>
                </c:pt>
                <c:pt idx="366">
                  <c:v>41929</c:v>
                </c:pt>
                <c:pt idx="367">
                  <c:v>41953</c:v>
                </c:pt>
                <c:pt idx="368">
                  <c:v>41953</c:v>
                </c:pt>
                <c:pt idx="369">
                  <c:v>41953</c:v>
                </c:pt>
                <c:pt idx="370">
                  <c:v>41988</c:v>
                </c:pt>
                <c:pt idx="371">
                  <c:v>41988</c:v>
                </c:pt>
                <c:pt idx="372">
                  <c:v>42014</c:v>
                </c:pt>
                <c:pt idx="373">
                  <c:v>42009</c:v>
                </c:pt>
                <c:pt idx="374">
                  <c:v>42036</c:v>
                </c:pt>
                <c:pt idx="375">
                  <c:v>42036</c:v>
                </c:pt>
                <c:pt idx="376">
                  <c:v>42064</c:v>
                </c:pt>
                <c:pt idx="377">
                  <c:v>42064</c:v>
                </c:pt>
                <c:pt idx="378">
                  <c:v>42095</c:v>
                </c:pt>
                <c:pt idx="379">
                  <c:v>42095</c:v>
                </c:pt>
                <c:pt idx="380">
                  <c:v>42125</c:v>
                </c:pt>
                <c:pt idx="381">
                  <c:v>42125</c:v>
                </c:pt>
                <c:pt idx="382">
                  <c:v>42156</c:v>
                </c:pt>
                <c:pt idx="383">
                  <c:v>42156</c:v>
                </c:pt>
                <c:pt idx="384">
                  <c:v>42186</c:v>
                </c:pt>
                <c:pt idx="385">
                  <c:v>42186</c:v>
                </c:pt>
                <c:pt idx="386">
                  <c:v>42217</c:v>
                </c:pt>
                <c:pt idx="387">
                  <c:v>42217</c:v>
                </c:pt>
                <c:pt idx="388">
                  <c:v>42248</c:v>
                </c:pt>
                <c:pt idx="389">
                  <c:v>42248</c:v>
                </c:pt>
                <c:pt idx="390">
                  <c:v>42278</c:v>
                </c:pt>
                <c:pt idx="391">
                  <c:v>42278</c:v>
                </c:pt>
                <c:pt idx="392">
                  <c:v>42309</c:v>
                </c:pt>
                <c:pt idx="393">
                  <c:v>42309</c:v>
                </c:pt>
                <c:pt idx="394">
                  <c:v>42339</c:v>
                </c:pt>
                <c:pt idx="395">
                  <c:v>42339</c:v>
                </c:pt>
                <c:pt idx="396">
                  <c:v>42379</c:v>
                </c:pt>
                <c:pt idx="397">
                  <c:v>42374</c:v>
                </c:pt>
                <c:pt idx="398">
                  <c:v>42401</c:v>
                </c:pt>
                <c:pt idx="399">
                  <c:v>42401</c:v>
                </c:pt>
                <c:pt idx="400">
                  <c:v>42430</c:v>
                </c:pt>
                <c:pt idx="401">
                  <c:v>42430</c:v>
                </c:pt>
                <c:pt idx="402">
                  <c:v>42461</c:v>
                </c:pt>
                <c:pt idx="403">
                  <c:v>42461</c:v>
                </c:pt>
                <c:pt idx="404">
                  <c:v>42491</c:v>
                </c:pt>
                <c:pt idx="405">
                  <c:v>42491</c:v>
                </c:pt>
                <c:pt idx="406">
                  <c:v>42522</c:v>
                </c:pt>
                <c:pt idx="407">
                  <c:v>42522</c:v>
                </c:pt>
                <c:pt idx="408">
                  <c:v>42552</c:v>
                </c:pt>
                <c:pt idx="409">
                  <c:v>42552</c:v>
                </c:pt>
                <c:pt idx="410">
                  <c:v>42583</c:v>
                </c:pt>
                <c:pt idx="411">
                  <c:v>42583</c:v>
                </c:pt>
                <c:pt idx="412">
                  <c:v>42614</c:v>
                </c:pt>
                <c:pt idx="413">
                  <c:v>42614</c:v>
                </c:pt>
                <c:pt idx="414">
                  <c:v>42644</c:v>
                </c:pt>
                <c:pt idx="415">
                  <c:v>42644</c:v>
                </c:pt>
                <c:pt idx="416">
                  <c:v>42675</c:v>
                </c:pt>
                <c:pt idx="417">
                  <c:v>42675</c:v>
                </c:pt>
                <c:pt idx="418">
                  <c:v>42705</c:v>
                </c:pt>
                <c:pt idx="419">
                  <c:v>42705</c:v>
                </c:pt>
                <c:pt idx="420">
                  <c:v>42745</c:v>
                </c:pt>
                <c:pt idx="421">
                  <c:v>42740</c:v>
                </c:pt>
                <c:pt idx="422">
                  <c:v>42767</c:v>
                </c:pt>
                <c:pt idx="423">
                  <c:v>42767</c:v>
                </c:pt>
                <c:pt idx="424">
                  <c:v>42795</c:v>
                </c:pt>
                <c:pt idx="425">
                  <c:v>42795</c:v>
                </c:pt>
                <c:pt idx="426">
                  <c:v>42826</c:v>
                </c:pt>
                <c:pt idx="427">
                  <c:v>42826</c:v>
                </c:pt>
                <c:pt idx="428">
                  <c:v>42856</c:v>
                </c:pt>
                <c:pt idx="429">
                  <c:v>42856</c:v>
                </c:pt>
                <c:pt idx="430">
                  <c:v>42887</c:v>
                </c:pt>
                <c:pt idx="431">
                  <c:v>42887</c:v>
                </c:pt>
                <c:pt idx="432">
                  <c:v>42917</c:v>
                </c:pt>
                <c:pt idx="433">
                  <c:v>42917</c:v>
                </c:pt>
                <c:pt idx="434">
                  <c:v>42948</c:v>
                </c:pt>
                <c:pt idx="435">
                  <c:v>42948</c:v>
                </c:pt>
                <c:pt idx="436">
                  <c:v>42979</c:v>
                </c:pt>
                <c:pt idx="437">
                  <c:v>42979</c:v>
                </c:pt>
                <c:pt idx="438">
                  <c:v>43009</c:v>
                </c:pt>
                <c:pt idx="439">
                  <c:v>43009</c:v>
                </c:pt>
                <c:pt idx="440">
                  <c:v>43040</c:v>
                </c:pt>
                <c:pt idx="441">
                  <c:v>43040</c:v>
                </c:pt>
                <c:pt idx="442">
                  <c:v>43070</c:v>
                </c:pt>
                <c:pt idx="443">
                  <c:v>43070</c:v>
                </c:pt>
                <c:pt idx="444">
                  <c:v>43110</c:v>
                </c:pt>
                <c:pt idx="445">
                  <c:v>43105</c:v>
                </c:pt>
                <c:pt idx="446">
                  <c:v>43132</c:v>
                </c:pt>
                <c:pt idx="447">
                  <c:v>43132</c:v>
                </c:pt>
                <c:pt idx="448">
                  <c:v>43160</c:v>
                </c:pt>
                <c:pt idx="449">
                  <c:v>43160</c:v>
                </c:pt>
                <c:pt idx="450">
                  <c:v>43191</c:v>
                </c:pt>
                <c:pt idx="451">
                  <c:v>43191</c:v>
                </c:pt>
                <c:pt idx="452">
                  <c:v>43221</c:v>
                </c:pt>
                <c:pt idx="453">
                  <c:v>43221</c:v>
                </c:pt>
                <c:pt idx="454">
                  <c:v>43252</c:v>
                </c:pt>
                <c:pt idx="455">
                  <c:v>43252</c:v>
                </c:pt>
                <c:pt idx="456">
                  <c:v>43282</c:v>
                </c:pt>
                <c:pt idx="457">
                  <c:v>43282</c:v>
                </c:pt>
                <c:pt idx="458">
                  <c:v>43313</c:v>
                </c:pt>
                <c:pt idx="459">
                  <c:v>43313</c:v>
                </c:pt>
                <c:pt idx="460">
                  <c:v>43344</c:v>
                </c:pt>
                <c:pt idx="461">
                  <c:v>43344</c:v>
                </c:pt>
                <c:pt idx="462">
                  <c:v>43374</c:v>
                </c:pt>
                <c:pt idx="463">
                  <c:v>43374</c:v>
                </c:pt>
                <c:pt idx="464">
                  <c:v>43405</c:v>
                </c:pt>
                <c:pt idx="465">
                  <c:v>43405</c:v>
                </c:pt>
                <c:pt idx="466">
                  <c:v>43435</c:v>
                </c:pt>
                <c:pt idx="467">
                  <c:v>43435</c:v>
                </c:pt>
                <c:pt idx="468">
                  <c:v>43475</c:v>
                </c:pt>
                <c:pt idx="469">
                  <c:v>43470</c:v>
                </c:pt>
                <c:pt idx="470">
                  <c:v>43497</c:v>
                </c:pt>
                <c:pt idx="471">
                  <c:v>43497</c:v>
                </c:pt>
                <c:pt idx="472">
                  <c:v>43525</c:v>
                </c:pt>
                <c:pt idx="473">
                  <c:v>43525</c:v>
                </c:pt>
                <c:pt idx="474">
                  <c:v>43556</c:v>
                </c:pt>
                <c:pt idx="475">
                  <c:v>43556</c:v>
                </c:pt>
                <c:pt idx="476">
                  <c:v>43586</c:v>
                </c:pt>
                <c:pt idx="477">
                  <c:v>43586</c:v>
                </c:pt>
                <c:pt idx="478">
                  <c:v>43617</c:v>
                </c:pt>
                <c:pt idx="479">
                  <c:v>43617</c:v>
                </c:pt>
                <c:pt idx="480">
                  <c:v>43647</c:v>
                </c:pt>
                <c:pt idx="481">
                  <c:v>43647</c:v>
                </c:pt>
                <c:pt idx="482">
                  <c:v>43678</c:v>
                </c:pt>
                <c:pt idx="483">
                  <c:v>43678</c:v>
                </c:pt>
                <c:pt idx="484">
                  <c:v>43709</c:v>
                </c:pt>
                <c:pt idx="485">
                  <c:v>43709</c:v>
                </c:pt>
                <c:pt idx="486">
                  <c:v>43739</c:v>
                </c:pt>
                <c:pt idx="487">
                  <c:v>43739</c:v>
                </c:pt>
                <c:pt idx="488">
                  <c:v>43770</c:v>
                </c:pt>
                <c:pt idx="489">
                  <c:v>43770</c:v>
                </c:pt>
                <c:pt idx="490">
                  <c:v>43800</c:v>
                </c:pt>
                <c:pt idx="491">
                  <c:v>43800</c:v>
                </c:pt>
              </c:numCache>
            </c:numRef>
          </c:xVal>
          <c:yVal>
            <c:numRef>
              <c:f>'Peridin update'!$L$4:$L$494</c:f>
              <c:numCache>
                <c:formatCode>General</c:formatCode>
                <c:ptCount val="491"/>
                <c:pt idx="0">
                  <c:v>3.6183086646514852E-2</c:v>
                </c:pt>
                <c:pt idx="2">
                  <c:v>3.3686625689932227E-2</c:v>
                </c:pt>
                <c:pt idx="4">
                  <c:v>1.8756370158018891E-2</c:v>
                </c:pt>
                <c:pt idx="6">
                  <c:v>6.5971393966029301E-2</c:v>
                </c:pt>
                <c:pt idx="8">
                  <c:v>0.2389102031369664</c:v>
                </c:pt>
                <c:pt idx="10">
                  <c:v>5.0089038975662172E-2</c:v>
                </c:pt>
                <c:pt idx="12">
                  <c:v>0.17925168923659698</c:v>
                </c:pt>
                <c:pt idx="14">
                  <c:v>8.1788052114148586E-3</c:v>
                </c:pt>
                <c:pt idx="16">
                  <c:v>5.9902294901062417E-3</c:v>
                </c:pt>
                <c:pt idx="18">
                  <c:v>1.0021125645821706E-2</c:v>
                </c:pt>
                <c:pt idx="20">
                  <c:v>1.1350173761468763E-2</c:v>
                </c:pt>
                <c:pt idx="22">
                  <c:v>1.9929164356568337E-2</c:v>
                </c:pt>
                <c:pt idx="24">
                  <c:v>0.12882885772972236</c:v>
                </c:pt>
                <c:pt idx="26">
                  <c:v>2.7603263969859025E-3</c:v>
                </c:pt>
                <c:pt idx="28">
                  <c:v>0.16663420746954419</c:v>
                </c:pt>
                <c:pt idx="30">
                  <c:v>0.25981102651980559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2.7352993811612387E-2</c:v>
                </c:pt>
                <c:pt idx="40">
                  <c:v>7.9681265492545349E-3</c:v>
                </c:pt>
                <c:pt idx="42">
                  <c:v>1.0421795199518058E-2</c:v>
                </c:pt>
                <c:pt idx="44">
                  <c:v>7.8869325230138451E-3</c:v>
                </c:pt>
                <c:pt idx="46">
                  <c:v>2.0074745137982641E-2</c:v>
                </c:pt>
                <c:pt idx="48">
                  <c:v>3.2612379333491058E-2</c:v>
                </c:pt>
                <c:pt idx="50">
                  <c:v>0</c:v>
                </c:pt>
                <c:pt idx="52">
                  <c:v>1.4832069131653408E-2</c:v>
                </c:pt>
                <c:pt idx="54">
                  <c:v>0.26057867389752848</c:v>
                </c:pt>
                <c:pt idx="56">
                  <c:v>2.2264614005252061E-2</c:v>
                </c:pt>
                <c:pt idx="58">
                  <c:v>1.9507865063767196E-2</c:v>
                </c:pt>
                <c:pt idx="60">
                  <c:v>0.10635078668506216</c:v>
                </c:pt>
                <c:pt idx="72">
                  <c:v>1.4932526539340629E-2</c:v>
                </c:pt>
                <c:pt idx="74">
                  <c:v>4.106829523880378E-2</c:v>
                </c:pt>
                <c:pt idx="76">
                  <c:v>3.8717685169583044E-2</c:v>
                </c:pt>
                <c:pt idx="78">
                  <c:v>5.0874919840436961E-2</c:v>
                </c:pt>
                <c:pt idx="80">
                  <c:v>2.9689428310031876E-2</c:v>
                </c:pt>
                <c:pt idx="82">
                  <c:v>0.14848252986381683</c:v>
                </c:pt>
                <c:pt idx="84">
                  <c:v>9.0208340879006556E-3</c:v>
                </c:pt>
                <c:pt idx="86">
                  <c:v>5.1377092872583255E-2</c:v>
                </c:pt>
                <c:pt idx="88">
                  <c:v>2.5605264824289961E-3</c:v>
                </c:pt>
                <c:pt idx="90">
                  <c:v>6.3202407884844017E-4</c:v>
                </c:pt>
                <c:pt idx="92">
                  <c:v>2.7736911592456536E-3</c:v>
                </c:pt>
                <c:pt idx="94">
                  <c:v>4.6919552213638641E-3</c:v>
                </c:pt>
                <c:pt idx="96">
                  <c:v>2.3599920894285635E-2</c:v>
                </c:pt>
                <c:pt idx="98">
                  <c:v>4.5945648236952817E-2</c:v>
                </c:pt>
                <c:pt idx="100">
                  <c:v>0.13597110906765136</c:v>
                </c:pt>
                <c:pt idx="102">
                  <c:v>1.9551058037710668E-2</c:v>
                </c:pt>
                <c:pt idx="104">
                  <c:v>3.3665556757486066E-2</c:v>
                </c:pt>
                <c:pt idx="106">
                  <c:v>2.1670477277995698E-3</c:v>
                </c:pt>
                <c:pt idx="108">
                  <c:v>2.513479208093345E-2</c:v>
                </c:pt>
                <c:pt idx="110">
                  <c:v>4.9753138149945903E-3</c:v>
                </c:pt>
                <c:pt idx="112">
                  <c:v>8.1297521752183421E-3</c:v>
                </c:pt>
                <c:pt idx="114">
                  <c:v>9.219892565116251E-3</c:v>
                </c:pt>
                <c:pt idx="118">
                  <c:v>1.7163750482182369E-2</c:v>
                </c:pt>
                <c:pt idx="120">
                  <c:v>6.0948596580787336E-2</c:v>
                </c:pt>
                <c:pt idx="122">
                  <c:v>5.9663301438322887E-3</c:v>
                </c:pt>
                <c:pt idx="124">
                  <c:v>6.8875591264621408E-2</c:v>
                </c:pt>
                <c:pt idx="126">
                  <c:v>0.13048779260104312</c:v>
                </c:pt>
                <c:pt idx="128">
                  <c:v>3.6229014361582816E-2</c:v>
                </c:pt>
                <c:pt idx="130">
                  <c:v>2.0303600661876593E-2</c:v>
                </c:pt>
                <c:pt idx="132">
                  <c:v>9.6597750583798728E-3</c:v>
                </c:pt>
                <c:pt idx="134">
                  <c:v>1.2528405122282954E-2</c:v>
                </c:pt>
                <c:pt idx="136">
                  <c:v>8.7606321414983677E-3</c:v>
                </c:pt>
                <c:pt idx="138">
                  <c:v>1.5947710313200903E-2</c:v>
                </c:pt>
                <c:pt idx="140">
                  <c:v>1.0449463187316873E-2</c:v>
                </c:pt>
                <c:pt idx="142">
                  <c:v>9.3131539136393042E-3</c:v>
                </c:pt>
                <c:pt idx="144">
                  <c:v>2.0397714805815378E-3</c:v>
                </c:pt>
                <c:pt idx="146">
                  <c:v>3.6295218057347711E-3</c:v>
                </c:pt>
                <c:pt idx="148">
                  <c:v>2.4111324548836195E-2</c:v>
                </c:pt>
                <c:pt idx="150">
                  <c:v>5.6264513827719499E-2</c:v>
                </c:pt>
                <c:pt idx="152">
                  <c:v>1.0618989842269395E-2</c:v>
                </c:pt>
                <c:pt idx="154">
                  <c:v>3.4962248739964542E-3</c:v>
                </c:pt>
                <c:pt idx="156">
                  <c:v>9.4736975246961213E-3</c:v>
                </c:pt>
                <c:pt idx="158">
                  <c:v>1.5597070646886242E-2</c:v>
                </c:pt>
                <c:pt idx="160">
                  <c:v>7.1050175638577356E-3</c:v>
                </c:pt>
                <c:pt idx="162">
                  <c:v>1.4786386350335389E-2</c:v>
                </c:pt>
                <c:pt idx="164">
                  <c:v>7.9136804970681238E-3</c:v>
                </c:pt>
                <c:pt idx="166">
                  <c:v>1.2771732826021391E-2</c:v>
                </c:pt>
                <c:pt idx="168">
                  <c:v>2.6667448130348139E-3</c:v>
                </c:pt>
                <c:pt idx="170">
                  <c:v>5.8914293729835877E-3</c:v>
                </c:pt>
                <c:pt idx="172">
                  <c:v>1.4345165238678091E-2</c:v>
                </c:pt>
                <c:pt idx="174">
                  <c:v>2.6228498317774723E-2</c:v>
                </c:pt>
                <c:pt idx="176">
                  <c:v>4.8439859084046299E-2</c:v>
                </c:pt>
                <c:pt idx="178">
                  <c:v>6.5526456440406194E-2</c:v>
                </c:pt>
                <c:pt idx="180">
                  <c:v>6.6359559226413936E-3</c:v>
                </c:pt>
                <c:pt idx="182">
                  <c:v>4.5257930150592761E-3</c:v>
                </c:pt>
                <c:pt idx="184">
                  <c:v>3.393537196938275E-3</c:v>
                </c:pt>
                <c:pt idx="186">
                  <c:v>1.2051140882119043E-2</c:v>
                </c:pt>
                <c:pt idx="188">
                  <c:v>8.5603711202809039E-3</c:v>
                </c:pt>
                <c:pt idx="190">
                  <c:v>2.4833015888323646E-3</c:v>
                </c:pt>
                <c:pt idx="192">
                  <c:v>7.0700498807200179E-3</c:v>
                </c:pt>
                <c:pt idx="194">
                  <c:v>3.271692745376956E-3</c:v>
                </c:pt>
                <c:pt idx="196">
                  <c:v>2.6032255905775278E-2</c:v>
                </c:pt>
                <c:pt idx="198">
                  <c:v>5.214951728690486E-2</c:v>
                </c:pt>
                <c:pt idx="200">
                  <c:v>3.7919448444386258E-2</c:v>
                </c:pt>
                <c:pt idx="202">
                  <c:v>3.5118463479601854E-2</c:v>
                </c:pt>
                <c:pt idx="204">
                  <c:v>4.5571338536869151E-3</c:v>
                </c:pt>
                <c:pt idx="206">
                  <c:v>1.6911124506061213E-2</c:v>
                </c:pt>
                <c:pt idx="208">
                  <c:v>5.4715424800659881E-3</c:v>
                </c:pt>
                <c:pt idx="210">
                  <c:v>6.3676977888367358E-3</c:v>
                </c:pt>
                <c:pt idx="212">
                  <c:v>1.530080773237248E-2</c:v>
                </c:pt>
                <c:pt idx="214">
                  <c:v>7.320857170561427E-3</c:v>
                </c:pt>
                <c:pt idx="216">
                  <c:v>5.0465041222897047E-3</c:v>
                </c:pt>
                <c:pt idx="218">
                  <c:v>2.4109295472810074E-3</c:v>
                </c:pt>
                <c:pt idx="220">
                  <c:v>0.13293438271317468</c:v>
                </c:pt>
                <c:pt idx="222">
                  <c:v>0.10811029352308563</c:v>
                </c:pt>
                <c:pt idx="224">
                  <c:v>2.3609789846925543E-2</c:v>
                </c:pt>
                <c:pt idx="226">
                  <c:v>3.9009589857506642E-3</c:v>
                </c:pt>
                <c:pt idx="228">
                  <c:v>1.2644169158479282E-2</c:v>
                </c:pt>
                <c:pt idx="230">
                  <c:v>6.6635655308756828E-2</c:v>
                </c:pt>
                <c:pt idx="232">
                  <c:v>6.0237914452037451E-3</c:v>
                </c:pt>
                <c:pt idx="234">
                  <c:v>1.2798727358183593E-2</c:v>
                </c:pt>
                <c:pt idx="236">
                  <c:v>8.6683440157205548E-3</c:v>
                </c:pt>
                <c:pt idx="238">
                  <c:v>5.1173776123675917E-3</c:v>
                </c:pt>
                <c:pt idx="240">
                  <c:v>5.2710479230136846E-3</c:v>
                </c:pt>
                <c:pt idx="242">
                  <c:v>6.449456975772766E-2</c:v>
                </c:pt>
                <c:pt idx="244">
                  <c:v>3.928418651076572E-2</c:v>
                </c:pt>
                <c:pt idx="246">
                  <c:v>0.2872494682074278</c:v>
                </c:pt>
                <c:pt idx="248">
                  <c:v>0.11268573749187785</c:v>
                </c:pt>
                <c:pt idx="250">
                  <c:v>7.4958656799181012E-2</c:v>
                </c:pt>
                <c:pt idx="252">
                  <c:v>0.29575972002113043</c:v>
                </c:pt>
                <c:pt idx="254">
                  <c:v>0.12192086943069307</c:v>
                </c:pt>
                <c:pt idx="256">
                  <c:v>1.4639614579275418E-2</c:v>
                </c:pt>
                <c:pt idx="258">
                  <c:v>1.3735027374699546E-2</c:v>
                </c:pt>
                <c:pt idx="260">
                  <c:v>6.2872850515203992E-3</c:v>
                </c:pt>
                <c:pt idx="262">
                  <c:v>1.1343336016255869E-2</c:v>
                </c:pt>
                <c:pt idx="264">
                  <c:v>1.7825772280498885E-2</c:v>
                </c:pt>
                <c:pt idx="267">
                  <c:v>8.040574980945122E-3</c:v>
                </c:pt>
                <c:pt idx="269">
                  <c:v>4.8458752602359477E-3</c:v>
                </c:pt>
                <c:pt idx="271">
                  <c:v>6.3457219110030641E-3</c:v>
                </c:pt>
                <c:pt idx="273">
                  <c:v>9.4748839492947684E-2</c:v>
                </c:pt>
                <c:pt idx="275">
                  <c:v>2.7399009972539381E-2</c:v>
                </c:pt>
                <c:pt idx="277">
                  <c:v>4.102011494252873E-3</c:v>
                </c:pt>
                <c:pt idx="279">
                  <c:v>2.5467651515151513E-2</c:v>
                </c:pt>
                <c:pt idx="281">
                  <c:v>1.2833168303023539E-2</c:v>
                </c:pt>
                <c:pt idx="283">
                  <c:v>1.5500428047289032E-2</c:v>
                </c:pt>
                <c:pt idx="285">
                  <c:v>1.0673315429049373E-2</c:v>
                </c:pt>
                <c:pt idx="287">
                  <c:v>1.3849202607742644E-2</c:v>
                </c:pt>
                <c:pt idx="289">
                  <c:v>2.3676447439146122E-2</c:v>
                </c:pt>
                <c:pt idx="291">
                  <c:v>0.11426159532933267</c:v>
                </c:pt>
                <c:pt idx="293">
                  <c:v>4.673687734333154E-2</c:v>
                </c:pt>
                <c:pt idx="295">
                  <c:v>7.80911666773388E-2</c:v>
                </c:pt>
                <c:pt idx="297">
                  <c:v>3.427008665134481E-2</c:v>
                </c:pt>
                <c:pt idx="299">
                  <c:v>6.0200425860294955E-2</c:v>
                </c:pt>
                <c:pt idx="301">
                  <c:v>4.5278388320233953E-2</c:v>
                </c:pt>
                <c:pt idx="303">
                  <c:v>1.5867859692966797E-2</c:v>
                </c:pt>
                <c:pt idx="305">
                  <c:v>2.2239675500152548E-2</c:v>
                </c:pt>
                <c:pt idx="307">
                  <c:v>1.3000470324390969E-2</c:v>
                </c:pt>
                <c:pt idx="309">
                  <c:v>3.9706618132756165E-3</c:v>
                </c:pt>
                <c:pt idx="311">
                  <c:v>2.3457096162955944E-2</c:v>
                </c:pt>
                <c:pt idx="314">
                  <c:v>0</c:v>
                </c:pt>
                <c:pt idx="316">
                  <c:v>2.6671746380925346E-2</c:v>
                </c:pt>
                <c:pt idx="318">
                  <c:v>2.2310418405280325E-2</c:v>
                </c:pt>
                <c:pt idx="320">
                  <c:v>0.10169963112260419</c:v>
                </c:pt>
                <c:pt idx="322">
                  <c:v>6.021639475755191E-2</c:v>
                </c:pt>
                <c:pt idx="324">
                  <c:v>0.12201057841889404</c:v>
                </c:pt>
                <c:pt idx="326">
                  <c:v>1.2475726422063531E-2</c:v>
                </c:pt>
                <c:pt idx="328">
                  <c:v>1.1308112379694283E-2</c:v>
                </c:pt>
                <c:pt idx="330">
                  <c:v>2.1675670235890825E-2</c:v>
                </c:pt>
                <c:pt idx="332">
                  <c:v>5.5211043737080807E-3</c:v>
                </c:pt>
                <c:pt idx="334">
                  <c:v>1.3295498702744967E-2</c:v>
                </c:pt>
                <c:pt idx="336">
                  <c:v>4.4317954374704933E-2</c:v>
                </c:pt>
                <c:pt idx="338">
                  <c:v>2.537583333333333E-2</c:v>
                </c:pt>
                <c:pt idx="340">
                  <c:v>7.626558911101658E-2</c:v>
                </c:pt>
                <c:pt idx="342">
                  <c:v>5.607582582582582E-2</c:v>
                </c:pt>
                <c:pt idx="344">
                  <c:v>6.0575387466307272E-2</c:v>
                </c:pt>
                <c:pt idx="346">
                  <c:v>0.1454591606054649</c:v>
                </c:pt>
                <c:pt idx="348">
                  <c:v>0.12818050207721146</c:v>
                </c:pt>
                <c:pt idx="350">
                  <c:v>1.1205154350607805E-2</c:v>
                </c:pt>
                <c:pt idx="352">
                  <c:v>2.5477446024674433E-2</c:v>
                </c:pt>
                <c:pt idx="354">
                  <c:v>0.1795760158323419</c:v>
                </c:pt>
                <c:pt idx="356">
                  <c:v>0.1193540910216207</c:v>
                </c:pt>
                <c:pt idx="358">
                  <c:v>3.6441688574317489E-2</c:v>
                </c:pt>
                <c:pt idx="360">
                  <c:v>4.4734651690848851E-2</c:v>
                </c:pt>
                <c:pt idx="362">
                  <c:v>5.8801711755936154E-2</c:v>
                </c:pt>
                <c:pt idx="364">
                  <c:v>5.0522961638938539E-2</c:v>
                </c:pt>
                <c:pt idx="366">
                  <c:v>3.6692180324973504E-2</c:v>
                </c:pt>
                <c:pt idx="368">
                  <c:v>5.0150644541963788E-2</c:v>
                </c:pt>
                <c:pt idx="370">
                  <c:v>0.18002834753339639</c:v>
                </c:pt>
                <c:pt idx="372">
                  <c:v>3.5024696901661427E-2</c:v>
                </c:pt>
                <c:pt idx="376">
                  <c:v>3.0133748724284252E-2</c:v>
                </c:pt>
                <c:pt idx="378">
                  <c:v>5.405405405405405E-2</c:v>
                </c:pt>
                <c:pt idx="380">
                  <c:v>7.2437155701893241E-2</c:v>
                </c:pt>
                <c:pt idx="382">
                  <c:v>4.6694673813317884E-2</c:v>
                </c:pt>
                <c:pt idx="384">
                  <c:v>5.747944339025933E-2</c:v>
                </c:pt>
                <c:pt idx="386">
                  <c:v>6.355530259912731E-3</c:v>
                </c:pt>
                <c:pt idx="388">
                  <c:v>5.9708347686301524E-2</c:v>
                </c:pt>
                <c:pt idx="390">
                  <c:v>1.7741935483870968E-2</c:v>
                </c:pt>
                <c:pt idx="392">
                  <c:v>1.4214046822742476E-2</c:v>
                </c:pt>
                <c:pt idx="394">
                  <c:v>2.2213516160626837E-2</c:v>
                </c:pt>
                <c:pt idx="396">
                  <c:v>3.0672027570361863E-2</c:v>
                </c:pt>
                <c:pt idx="398">
                  <c:v>0.37940684171984523</c:v>
                </c:pt>
                <c:pt idx="400">
                  <c:v>0.29253472222222221</c:v>
                </c:pt>
                <c:pt idx="402">
                  <c:v>6.8542568542568532E-3</c:v>
                </c:pt>
                <c:pt idx="404">
                  <c:v>5.6453778804318636E-2</c:v>
                </c:pt>
                <c:pt idx="406">
                  <c:v>1.2107291626114377E-2</c:v>
                </c:pt>
                <c:pt idx="408">
                  <c:v>4.084697402012314E-2</c:v>
                </c:pt>
                <c:pt idx="410">
                  <c:v>1.4403793377827576E-2</c:v>
                </c:pt>
                <c:pt idx="412">
                  <c:v>1.0557277167918483E-2</c:v>
                </c:pt>
                <c:pt idx="414">
                  <c:v>0.19874500855675983</c:v>
                </c:pt>
                <c:pt idx="416">
                  <c:v>6.8164362519201232E-3</c:v>
                </c:pt>
                <c:pt idx="418">
                  <c:v>0.22705346375452226</c:v>
                </c:pt>
                <c:pt idx="424">
                  <c:v>4.1021538461538459E-4</c:v>
                </c:pt>
                <c:pt idx="428">
                  <c:v>3.3859600771683923E-3</c:v>
                </c:pt>
                <c:pt idx="430">
                  <c:v>7.4575962893911139E-3</c:v>
                </c:pt>
                <c:pt idx="432">
                  <c:v>1.0169567962478579E-2</c:v>
                </c:pt>
                <c:pt idx="436">
                  <c:v>3.0156815440289506E-2</c:v>
                </c:pt>
                <c:pt idx="438">
                  <c:v>2.7432969215491557E-2</c:v>
                </c:pt>
                <c:pt idx="442">
                  <c:v>9.5672126967939308E-2</c:v>
                </c:pt>
                <c:pt idx="444">
                  <c:v>0.2018709073900842</c:v>
                </c:pt>
                <c:pt idx="446">
                  <c:v>3.0111158013226395E-2</c:v>
                </c:pt>
                <c:pt idx="448">
                  <c:v>4.3979476244419271E-3</c:v>
                </c:pt>
                <c:pt idx="450">
                  <c:v>8.3698684734954138E-3</c:v>
                </c:pt>
                <c:pt idx="452">
                  <c:v>6.3227302151233683E-3</c:v>
                </c:pt>
                <c:pt idx="454">
                  <c:v>1.3820991007302793E-2</c:v>
                </c:pt>
                <c:pt idx="456">
                  <c:v>6.4524291497975702E-3</c:v>
                </c:pt>
                <c:pt idx="458">
                  <c:v>4.4601599228512876E-3</c:v>
                </c:pt>
                <c:pt idx="460">
                  <c:v>1.2591773900686824E-2</c:v>
                </c:pt>
                <c:pt idx="462">
                  <c:v>3.2325703302463739E-2</c:v>
                </c:pt>
                <c:pt idx="464">
                  <c:v>0.3208333333333333</c:v>
                </c:pt>
                <c:pt idx="472">
                  <c:v>0.27257132538822682</c:v>
                </c:pt>
                <c:pt idx="474">
                  <c:v>1.7137563686892083E-2</c:v>
                </c:pt>
                <c:pt idx="476">
                  <c:v>1.0503512111862404E-2</c:v>
                </c:pt>
                <c:pt idx="478">
                  <c:v>1.3869009426977934E-2</c:v>
                </c:pt>
                <c:pt idx="480">
                  <c:v>1.8553320804510373E-2</c:v>
                </c:pt>
                <c:pt idx="482">
                  <c:v>8.6276190986549484E-3</c:v>
                </c:pt>
                <c:pt idx="484">
                  <c:v>4.7868287210172025E-3</c:v>
                </c:pt>
                <c:pt idx="486">
                  <c:v>7.2607260726072608E-3</c:v>
                </c:pt>
                <c:pt idx="490">
                  <c:v>0.16787459969661217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1-7A48-BE75-96B1668A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24</xdr:col>
      <xdr:colOff>152400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C3D62-92B0-024B-998E-DBE66CE04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24</xdr:col>
      <xdr:colOff>152400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A79327-F505-9745-BDE0-5FD19921C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24</xdr:col>
      <xdr:colOff>152400</xdr:colOff>
      <xdr:row>53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5825C0-32B8-4D42-AE83-BDF8C1916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55</xdr:row>
      <xdr:rowOff>0</xdr:rowOff>
    </xdr:from>
    <xdr:to>
      <xdr:col>24</xdr:col>
      <xdr:colOff>152400</xdr:colOff>
      <xdr:row>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ADC9D7-5209-AA4C-A8C8-C2AC0150D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24</xdr:col>
      <xdr:colOff>152400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83FA2-F552-5547-AF66-AE0157C1F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24</xdr:col>
      <xdr:colOff>152400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946E6C-7014-5044-A908-9761EA0ED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24</xdr:col>
      <xdr:colOff>152400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E019C-2F99-694A-956E-65BDD767C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24</xdr:col>
      <xdr:colOff>152400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E8B1D-D064-0D49-BDCC-FDCC85F7F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12700</xdr:colOff>
      <xdr:row>39</xdr:row>
      <xdr:rowOff>101600</xdr:rowOff>
    </xdr:from>
    <xdr:to>
      <xdr:col>20</xdr:col>
      <xdr:colOff>457200</xdr:colOff>
      <xdr:row>53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60E8E-579C-AF9A-FF58-F8611C2C2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24</xdr:col>
      <xdr:colOff>152400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64079-DA65-3E4B-BA3D-1B02F896C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152400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F422F-605C-C74A-8EF0-27A90DC3C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B3A5-098F-4A4F-BF94-8A6DA023E032}">
  <sheetPr>
    <tabColor theme="9" tint="0.39997558519241921"/>
  </sheetPr>
  <dimension ref="A1:AA620"/>
  <sheetViews>
    <sheetView tabSelected="1" workbookViewId="0">
      <pane ySplit="2" topLeftCell="A476" activePane="bottomLeft" state="frozen"/>
      <selection pane="bottomLeft" activeCell="M490" sqref="M490"/>
    </sheetView>
  </sheetViews>
  <sheetFormatPr defaultColWidth="11.42578125" defaultRowHeight="15"/>
  <cols>
    <col min="2" max="2" width="10.85546875" style="70"/>
    <col min="14" max="14" width="12.28515625" bestFit="1" customWidth="1"/>
    <col min="27" max="27" width="12.28515625" bestFit="1" customWidth="1"/>
  </cols>
  <sheetData>
    <row r="1" spans="1:27" ht="18">
      <c r="F1" s="1" t="s">
        <v>0</v>
      </c>
      <c r="G1" s="1" t="s">
        <v>1</v>
      </c>
      <c r="I1" s="68" t="s">
        <v>82</v>
      </c>
      <c r="Z1" t="s">
        <v>92</v>
      </c>
    </row>
    <row r="2" spans="1:2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11</v>
      </c>
      <c r="I2" s="6" t="s">
        <v>7</v>
      </c>
      <c r="J2" s="6" t="s">
        <v>11</v>
      </c>
      <c r="L2" s="69" t="s">
        <v>89</v>
      </c>
      <c r="M2" s="69" t="s">
        <v>84</v>
      </c>
      <c r="N2" s="69" t="s">
        <v>85</v>
      </c>
      <c r="Z2" s="69" t="s">
        <v>84</v>
      </c>
      <c r="AA2" s="69" t="s">
        <v>85</v>
      </c>
    </row>
    <row r="3" spans="1:27">
      <c r="A3" s="8">
        <v>3</v>
      </c>
      <c r="B3" s="74">
        <v>36445</v>
      </c>
      <c r="C3" s="10">
        <v>1999</v>
      </c>
      <c r="D3" s="11" t="s">
        <v>14</v>
      </c>
      <c r="E3" s="12">
        <v>10</v>
      </c>
      <c r="F3" s="13">
        <v>11.587624269536716</v>
      </c>
      <c r="G3" s="13">
        <v>0.8778340773333333</v>
      </c>
    </row>
    <row r="4" spans="1:27">
      <c r="A4" s="8">
        <v>4</v>
      </c>
      <c r="B4" s="74">
        <v>36444</v>
      </c>
      <c r="C4" s="10">
        <v>1999</v>
      </c>
      <c r="D4" s="11" t="s">
        <v>14</v>
      </c>
      <c r="E4" s="12">
        <v>10</v>
      </c>
      <c r="F4" s="13">
        <v>14.372718367248131</v>
      </c>
      <c r="G4" s="13">
        <v>1.6285648666666668</v>
      </c>
      <c r="I4" s="27">
        <f>AVERAGE(F3:F4)</f>
        <v>12.980171318392424</v>
      </c>
      <c r="J4" s="27">
        <f>AVERAGE(G3:G4)</f>
        <v>1.2531994719999999</v>
      </c>
      <c r="L4">
        <f>+J4/I4</f>
        <v>9.6547221239234537E-2</v>
      </c>
      <c r="M4">
        <f>+(L4-$L$619)/$L$620</f>
        <v>0.5887126365363019</v>
      </c>
      <c r="N4">
        <f>+M4</f>
        <v>0.5887126365363019</v>
      </c>
      <c r="Q4" t="s">
        <v>107</v>
      </c>
      <c r="Z4">
        <f>+(I4-$F$619)/$F$620</f>
        <v>0.1161830275423211</v>
      </c>
      <c r="AA4">
        <f>+Z4</f>
        <v>0.1161830275423211</v>
      </c>
    </row>
    <row r="5" spans="1:27">
      <c r="A5" s="8">
        <v>3</v>
      </c>
      <c r="B5" s="74">
        <v>36472</v>
      </c>
      <c r="C5" s="10">
        <v>1999</v>
      </c>
      <c r="D5" s="11" t="s">
        <v>16</v>
      </c>
      <c r="E5" s="10">
        <v>11</v>
      </c>
      <c r="F5" s="13">
        <v>4.1068763245169384</v>
      </c>
      <c r="G5" s="13">
        <v>6.3241861499999996E-2</v>
      </c>
    </row>
    <row r="6" spans="1:27">
      <c r="A6" s="8">
        <v>4</v>
      </c>
      <c r="B6" s="74">
        <v>36472</v>
      </c>
      <c r="C6" s="10">
        <v>1999</v>
      </c>
      <c r="D6" s="11" t="s">
        <v>16</v>
      </c>
      <c r="E6" s="10">
        <v>11</v>
      </c>
      <c r="F6" s="13">
        <v>4.5627969464577083</v>
      </c>
      <c r="G6" s="13">
        <v>6.3672411999999998E-2</v>
      </c>
      <c r="I6" s="27">
        <f>AVERAGE(F5:F6)</f>
        <v>4.3348366354873233</v>
      </c>
      <c r="J6" s="27">
        <f>AVERAGE(G5:G6)</f>
        <v>6.3457136750000004E-2</v>
      </c>
      <c r="L6">
        <f>+J6/I6</f>
        <v>1.4638876175979844E-2</v>
      </c>
      <c r="M6">
        <f>+(L6-$L$619)/$L$620</f>
        <v>-0.71785611738908117</v>
      </c>
      <c r="N6">
        <f>+N4+M6</f>
        <v>-0.12914348085277927</v>
      </c>
      <c r="Z6">
        <f>+(I6-$F$619)/$F$620</f>
        <v>-0.74256336873687012</v>
      </c>
      <c r="AA6">
        <f>+AA4+Z6</f>
        <v>-0.626380341194549</v>
      </c>
    </row>
    <row r="7" spans="1:27">
      <c r="A7" s="8">
        <v>3</v>
      </c>
      <c r="B7" s="74">
        <v>36501</v>
      </c>
      <c r="C7" s="10">
        <v>1999</v>
      </c>
      <c r="D7" s="11" t="s">
        <v>17</v>
      </c>
      <c r="E7" s="10">
        <v>12</v>
      </c>
      <c r="F7" s="13">
        <v>3.6119794887362189</v>
      </c>
      <c r="G7" s="13">
        <v>2.1607093499999997E-2</v>
      </c>
    </row>
    <row r="8" spans="1:27">
      <c r="A8" s="8">
        <v>4</v>
      </c>
      <c r="B8" s="74">
        <v>36501</v>
      </c>
      <c r="C8" s="10">
        <v>1999</v>
      </c>
      <c r="D8" s="11" t="s">
        <v>17</v>
      </c>
      <c r="E8" s="10">
        <v>12</v>
      </c>
      <c r="F8" s="13">
        <v>7.6863744774797018</v>
      </c>
      <c r="G8" s="13">
        <v>4.5664619000000004E-2</v>
      </c>
      <c r="I8" s="27">
        <f>AVERAGE(F7:F8)</f>
        <v>5.6491769831079601</v>
      </c>
      <c r="J8" s="27">
        <f>AVERAGE(G7:G8)</f>
        <v>3.3635856249999999E-2</v>
      </c>
      <c r="L8">
        <f>+J8/I8</f>
        <v>5.9541162103041141E-3</v>
      </c>
      <c r="M8">
        <f>+(L8-$L$619)/$L$620</f>
        <v>-0.85639189170769248</v>
      </c>
      <c r="N8">
        <f>+N6+M8</f>
        <v>-0.98553537256047175</v>
      </c>
      <c r="Z8">
        <f>+(I8-$F$619)/$F$620</f>
        <v>-0.61200913591632089</v>
      </c>
      <c r="AA8">
        <f>+AA6+Z8</f>
        <v>-1.2383894771108699</v>
      </c>
    </row>
    <row r="9" spans="1:27">
      <c r="A9" s="8">
        <v>3</v>
      </c>
      <c r="B9" s="74">
        <v>36530</v>
      </c>
      <c r="C9" s="12">
        <v>2000</v>
      </c>
      <c r="D9" s="11" t="s">
        <v>18</v>
      </c>
      <c r="E9" s="10">
        <v>1</v>
      </c>
      <c r="F9" s="13">
        <v>5.2430358388163469</v>
      </c>
      <c r="G9" s="13">
        <v>1.8754892999999998E-2</v>
      </c>
    </row>
    <row r="10" spans="1:27">
      <c r="A10" s="8">
        <v>4</v>
      </c>
      <c r="B10" s="74">
        <v>36530</v>
      </c>
      <c r="C10" s="12">
        <v>2000</v>
      </c>
      <c r="D10" s="11" t="s">
        <v>18</v>
      </c>
      <c r="E10" s="10">
        <v>1</v>
      </c>
      <c r="F10" s="13">
        <v>9.2030291353057638</v>
      </c>
      <c r="G10" s="13">
        <v>4.1257053499999995E-2</v>
      </c>
      <c r="I10" s="27">
        <f>AVERAGE(F9:F10)</f>
        <v>7.2230324870610554</v>
      </c>
      <c r="J10" s="27">
        <f>AVERAGE(G9:G10)</f>
        <v>3.0005973249999998E-2</v>
      </c>
      <c r="L10">
        <f>+J10/I10</f>
        <v>4.1542071565856941E-3</v>
      </c>
      <c r="M10">
        <f>+(L10-$L$619)/$L$620</f>
        <v>-0.88510331210911508</v>
      </c>
      <c r="N10">
        <f>+N8+M10</f>
        <v>-1.8706386846695868</v>
      </c>
      <c r="Z10">
        <f>+(I10-$F$619)/$F$620</f>
        <v>-0.45567710345534851</v>
      </c>
      <c r="AA10">
        <f>+AA8+Z10</f>
        <v>-1.6940665805662185</v>
      </c>
    </row>
    <row r="11" spans="1:27">
      <c r="A11" s="8">
        <v>3</v>
      </c>
      <c r="B11" s="74">
        <v>36579</v>
      </c>
      <c r="C11" s="12">
        <v>2000</v>
      </c>
      <c r="D11" s="11" t="s">
        <v>19</v>
      </c>
      <c r="E11" s="12">
        <v>2</v>
      </c>
      <c r="F11" s="13">
        <v>4.3640586854323722</v>
      </c>
      <c r="G11" s="13">
        <v>6.4468516333333337E-2</v>
      </c>
    </row>
    <row r="12" spans="1:27">
      <c r="A12" s="8">
        <v>4</v>
      </c>
      <c r="B12" s="74">
        <v>36579</v>
      </c>
      <c r="C12" s="12">
        <v>2000</v>
      </c>
      <c r="D12" s="11" t="s">
        <v>19</v>
      </c>
      <c r="E12" s="12">
        <v>2</v>
      </c>
      <c r="F12" s="13">
        <v>6.7678057546224348</v>
      </c>
      <c r="G12" s="13">
        <v>9.1529144666666659E-2</v>
      </c>
      <c r="I12" s="27">
        <f>AVERAGE(F11:F12)</f>
        <v>5.5659322200274035</v>
      </c>
      <c r="J12" s="27">
        <f>AVERAGE(G11:G12)</f>
        <v>7.7998830500000005E-2</v>
      </c>
      <c r="L12">
        <f>+J12/I12</f>
        <v>1.4013614865690187E-2</v>
      </c>
      <c r="M12">
        <f>+(L12-$L$619)/$L$620</f>
        <v>-0.72783003262851154</v>
      </c>
      <c r="N12">
        <f>+N10+M12</f>
        <v>-2.5984687172980983</v>
      </c>
      <c r="Z12">
        <f>+(I12-$F$619)/$F$620</f>
        <v>-0.62027788928753469</v>
      </c>
      <c r="AA12">
        <f>+AA10+Z12</f>
        <v>-2.3143444698537534</v>
      </c>
    </row>
    <row r="13" spans="1:27">
      <c r="A13" s="8">
        <v>3</v>
      </c>
      <c r="B13" s="74">
        <v>36598</v>
      </c>
      <c r="C13" s="12">
        <v>2000</v>
      </c>
      <c r="D13" s="11" t="s">
        <v>20</v>
      </c>
      <c r="E13" s="12">
        <v>3</v>
      </c>
      <c r="F13" s="13">
        <v>3.9525320086953584</v>
      </c>
      <c r="G13" s="13">
        <v>3.8138052166666665E-2</v>
      </c>
    </row>
    <row r="14" spans="1:27">
      <c r="A14" s="8">
        <v>4</v>
      </c>
      <c r="B14" s="74">
        <v>36598</v>
      </c>
      <c r="C14" s="12">
        <v>2000</v>
      </c>
      <c r="D14" s="11" t="s">
        <v>20</v>
      </c>
      <c r="E14" s="12">
        <v>3</v>
      </c>
      <c r="F14" s="13">
        <v>15.295362854459274</v>
      </c>
      <c r="G14" s="13">
        <v>0.11098034066666665</v>
      </c>
      <c r="I14" s="27">
        <f>AVERAGE(F13:F14)</f>
        <v>9.6239474315773155</v>
      </c>
      <c r="J14" s="27">
        <f>AVERAGE(G13:G14)</f>
        <v>7.4559196416666654E-2</v>
      </c>
      <c r="L14">
        <f>+J14/I14</f>
        <v>7.7472572399999891E-3</v>
      </c>
      <c r="M14">
        <f>+(L14-$L$619)/$L$620</f>
        <v>-0.82778843208495301</v>
      </c>
      <c r="N14">
        <f>+N12+M14</f>
        <v>-3.4262571493830514</v>
      </c>
      <c r="Z14">
        <f>+(I14-$F$619)/$F$620</f>
        <v>-0.21719274952361942</v>
      </c>
      <c r="AA14">
        <f>+AA12+Z14</f>
        <v>-2.5315372193773729</v>
      </c>
    </row>
    <row r="15" spans="1:27">
      <c r="A15" s="8">
        <v>3</v>
      </c>
      <c r="B15" s="74">
        <v>36627</v>
      </c>
      <c r="C15" s="12">
        <v>2000</v>
      </c>
      <c r="D15" s="15" t="s">
        <v>21</v>
      </c>
      <c r="E15" s="12">
        <v>4</v>
      </c>
      <c r="F15" s="13">
        <v>20.474116121754371</v>
      </c>
      <c r="G15" s="13">
        <v>0.3009719921666667</v>
      </c>
    </row>
    <row r="16" spans="1:27">
      <c r="A16" s="8">
        <v>4</v>
      </c>
      <c r="B16" s="74">
        <v>36627</v>
      </c>
      <c r="C16" s="12">
        <v>2000</v>
      </c>
      <c r="D16" s="15" t="s">
        <v>21</v>
      </c>
      <c r="E16" s="12">
        <v>4</v>
      </c>
      <c r="F16" s="13">
        <v>31.833490623441644</v>
      </c>
      <c r="G16" s="13">
        <v>0.4903978581666667</v>
      </c>
      <c r="I16" s="27">
        <f>AVERAGE(F15:F16)</f>
        <v>26.153803372598006</v>
      </c>
      <c r="J16" s="27">
        <f>AVERAGE(G15:G16)</f>
        <v>0.3956849251666667</v>
      </c>
      <c r="L16">
        <f>+J16/I16</f>
        <v>1.5129154239235266E-2</v>
      </c>
      <c r="M16">
        <f>+(L16-$L$619)/$L$620</f>
        <v>-0.71003540024860068</v>
      </c>
      <c r="N16">
        <f>+N14+M16</f>
        <v>-4.1362925496316523</v>
      </c>
      <c r="Z16">
        <f>+(I16-$F$619)/$F$620</f>
        <v>1.4247279789398102</v>
      </c>
      <c r="AA16">
        <f>+AA14+Z16</f>
        <v>-1.1068092404375627</v>
      </c>
    </row>
    <row r="17" spans="1:27">
      <c r="A17" s="8">
        <v>3</v>
      </c>
      <c r="B17" s="74">
        <v>36662</v>
      </c>
      <c r="C17" s="12">
        <v>2000</v>
      </c>
      <c r="D17" s="15" t="s">
        <v>22</v>
      </c>
      <c r="E17" s="12">
        <v>5</v>
      </c>
      <c r="F17" s="13">
        <v>12.217087705074391</v>
      </c>
      <c r="G17" s="13">
        <v>0.46249782933333333</v>
      </c>
    </row>
    <row r="18" spans="1:27">
      <c r="A18" s="8">
        <v>4</v>
      </c>
      <c r="B18" s="74">
        <v>36662</v>
      </c>
      <c r="C18" s="12">
        <v>2000</v>
      </c>
      <c r="D18" s="15" t="s">
        <v>22</v>
      </c>
      <c r="E18" s="12">
        <v>5</v>
      </c>
      <c r="F18" s="13">
        <v>13.170256326163051</v>
      </c>
      <c r="G18" s="13">
        <v>0.688139838</v>
      </c>
      <c r="I18" s="27">
        <f>AVERAGE(F17:F18)</f>
        <v>12.69367201561872</v>
      </c>
      <c r="J18" s="27">
        <f>AVERAGE(G17:G18)</f>
        <v>0.5753188336666667</v>
      </c>
      <c r="L18">
        <f>+J18/I18</f>
        <v>4.5323278635116385E-2</v>
      </c>
      <c r="M18">
        <f>+(L18-$L$619)/$L$620</f>
        <v>-0.22839095416281871</v>
      </c>
      <c r="N18">
        <f>+N16+M18</f>
        <v>-4.3646835037944713</v>
      </c>
      <c r="Z18">
        <f>+(I18-$F$619)/$F$620</f>
        <v>8.7724876086379383E-2</v>
      </c>
      <c r="AA18">
        <f>+AA16+Z18</f>
        <v>-1.0190843643511833</v>
      </c>
    </row>
    <row r="19" spans="1:27">
      <c r="A19" s="8">
        <v>3</v>
      </c>
      <c r="B19" s="74">
        <v>36690</v>
      </c>
      <c r="C19" s="12">
        <v>2000</v>
      </c>
      <c r="D19" s="15" t="s">
        <v>23</v>
      </c>
      <c r="E19" s="12">
        <v>6</v>
      </c>
      <c r="F19" s="13">
        <v>18.42501600604221</v>
      </c>
      <c r="G19" s="13">
        <v>1.4544563038333334</v>
      </c>
    </row>
    <row r="20" spans="1:27">
      <c r="A20" s="8">
        <v>4</v>
      </c>
      <c r="B20" s="74">
        <v>36690</v>
      </c>
      <c r="C20" s="12">
        <v>2000</v>
      </c>
      <c r="D20" s="15" t="s">
        <v>23</v>
      </c>
      <c r="E20" s="12">
        <v>6</v>
      </c>
      <c r="F20" s="13">
        <v>32.976907299549254</v>
      </c>
      <c r="G20" s="13">
        <v>4.4695590880000005</v>
      </c>
      <c r="I20" s="27">
        <f>AVERAGE(F19:F20)</f>
        <v>25.700961652795733</v>
      </c>
      <c r="J20" s="27">
        <f>AVERAGE(G19:G20)</f>
        <v>2.9620076959166668</v>
      </c>
      <c r="L20">
        <f>+J20/I20</f>
        <v>0.11524890531068753</v>
      </c>
      <c r="M20">
        <f>+(L20-$L$619)/$L$620</f>
        <v>0.8870343281133235</v>
      </c>
      <c r="N20">
        <f>+N18+M20</f>
        <v>-3.4776491756811478</v>
      </c>
      <c r="Z20">
        <f>+(I20-$F$619)/$F$620</f>
        <v>1.3797469331817993</v>
      </c>
      <c r="AA20">
        <f>+AA18+Z20</f>
        <v>0.36066256883061598</v>
      </c>
    </row>
    <row r="21" spans="1:27">
      <c r="A21" s="8">
        <v>3</v>
      </c>
      <c r="B21" s="74">
        <v>36718</v>
      </c>
      <c r="C21" s="12">
        <v>2000</v>
      </c>
      <c r="D21" s="15" t="s">
        <v>24</v>
      </c>
      <c r="E21" s="12">
        <v>7</v>
      </c>
      <c r="F21" s="13">
        <v>20.025245213728596</v>
      </c>
      <c r="G21" s="13">
        <v>2.3464952978333331</v>
      </c>
    </row>
    <row r="22" spans="1:27">
      <c r="A22" s="8">
        <v>4</v>
      </c>
      <c r="B22" s="74">
        <v>36718</v>
      </c>
      <c r="C22" s="12">
        <v>2000</v>
      </c>
      <c r="D22" s="15" t="s">
        <v>24</v>
      </c>
      <c r="E22" s="12">
        <v>7</v>
      </c>
      <c r="F22" s="13">
        <v>31.953396116235044</v>
      </c>
      <c r="G22" s="13">
        <v>2.90595172</v>
      </c>
      <c r="I22" s="27">
        <f>AVERAGE(F21:F22)</f>
        <v>25.989320664981818</v>
      </c>
      <c r="J22" s="27">
        <f>AVERAGE(G21:G22)</f>
        <v>2.6262235089166666</v>
      </c>
      <c r="L22">
        <f>+J22/I22</f>
        <v>0.10105010218505855</v>
      </c>
      <c r="M22">
        <f>+(L22-$L$619)/$L$620</f>
        <v>0.66054077006672751</v>
      </c>
      <c r="N22">
        <f>+N20+M22</f>
        <v>-2.8171084056144204</v>
      </c>
      <c r="Z22">
        <f>+(I22-$F$619)/$F$620</f>
        <v>1.4083898107142419</v>
      </c>
      <c r="AA22">
        <f>+AA20+Z22</f>
        <v>1.7690523795448578</v>
      </c>
    </row>
    <row r="23" spans="1:27">
      <c r="A23" s="8">
        <v>3</v>
      </c>
      <c r="B23" s="74">
        <v>36753</v>
      </c>
      <c r="C23" s="12">
        <v>2000</v>
      </c>
      <c r="D23" s="15" t="s">
        <v>25</v>
      </c>
      <c r="E23" s="12">
        <v>8</v>
      </c>
      <c r="F23" s="13">
        <v>28.156610334451724</v>
      </c>
      <c r="G23" s="13">
        <v>3.4888973633333329</v>
      </c>
    </row>
    <row r="24" spans="1:27">
      <c r="A24" s="8">
        <v>4</v>
      </c>
      <c r="B24" s="74">
        <v>36753</v>
      </c>
      <c r="C24" s="12">
        <v>2000</v>
      </c>
      <c r="D24" s="15" t="s">
        <v>25</v>
      </c>
      <c r="E24" s="12">
        <v>8</v>
      </c>
      <c r="F24" s="13">
        <v>35.417949447438119</v>
      </c>
      <c r="G24" s="13">
        <v>4.4387798263333336</v>
      </c>
      <c r="I24" s="27">
        <f>AVERAGE(F23:F24)</f>
        <v>31.787279890944923</v>
      </c>
      <c r="J24" s="27">
        <f>AVERAGE(G23:G24)</f>
        <v>3.9638385948333332</v>
      </c>
      <c r="L24">
        <f>+J24/I24</f>
        <v>0.12469889240074584</v>
      </c>
      <c r="M24">
        <f>+(L24-$L$619)/$L$620</f>
        <v>1.0377766956624821</v>
      </c>
      <c r="N24">
        <f>+N22+M24</f>
        <v>-1.7793317099519383</v>
      </c>
      <c r="Z24">
        <f>+(I24-$F$619)/$F$620</f>
        <v>1.9843046565460301</v>
      </c>
      <c r="AA24">
        <f>+AA22+Z24</f>
        <v>3.7533570360908879</v>
      </c>
    </row>
    <row r="25" spans="1:27">
      <c r="A25" s="8">
        <v>3</v>
      </c>
      <c r="B25" s="74">
        <v>36781</v>
      </c>
      <c r="C25" s="12">
        <v>2000</v>
      </c>
      <c r="D25" s="15" t="s">
        <v>26</v>
      </c>
      <c r="E25" s="12">
        <v>9</v>
      </c>
      <c r="F25" s="16">
        <v>5.505185712210781</v>
      </c>
      <c r="G25" s="16">
        <v>0.76140345166666679</v>
      </c>
    </row>
    <row r="26" spans="1:27">
      <c r="A26" s="8">
        <v>4</v>
      </c>
      <c r="B26" s="74">
        <v>36781</v>
      </c>
      <c r="C26" s="12">
        <v>2000</v>
      </c>
      <c r="D26" s="15" t="s">
        <v>26</v>
      </c>
      <c r="E26" s="12">
        <v>9</v>
      </c>
      <c r="F26" s="16">
        <v>10.02760484010903</v>
      </c>
      <c r="G26" s="16">
        <v>1.2120290108333334</v>
      </c>
      <c r="I26" s="27">
        <f>AVERAGE(F25:F26)</f>
        <v>7.7663952761599049</v>
      </c>
      <c r="J26" s="27">
        <f>AVERAGE(G25:G26)</f>
        <v>0.98671623125000008</v>
      </c>
      <c r="L26">
        <f>+J26/I26</f>
        <v>0.12704944780223471</v>
      </c>
      <c r="M26">
        <f>+(L26-$L$619)/$L$620</f>
        <v>1.0752718036344979</v>
      </c>
      <c r="N26">
        <f>+N24+M26</f>
        <v>-0.70405990631744042</v>
      </c>
      <c r="Z26">
        <f>+(I26-$F$619)/$F$620</f>
        <v>-0.40170454436709219</v>
      </c>
      <c r="AA26">
        <f>+AA24+Z26</f>
        <v>3.3516524917237955</v>
      </c>
    </row>
    <row r="27" spans="1:27">
      <c r="A27" s="8">
        <v>3</v>
      </c>
      <c r="B27" s="74">
        <v>36817</v>
      </c>
      <c r="C27" s="12">
        <v>2000</v>
      </c>
      <c r="D27" s="15" t="s">
        <v>14</v>
      </c>
      <c r="E27" s="12">
        <v>10</v>
      </c>
      <c r="F27" s="17">
        <v>5.1552847540285232</v>
      </c>
      <c r="G27" s="17">
        <v>4.9894481500000004E-2</v>
      </c>
    </row>
    <row r="28" spans="1:27">
      <c r="A28" s="8">
        <v>4</v>
      </c>
      <c r="B28" s="74">
        <v>36817</v>
      </c>
      <c r="C28" s="12">
        <v>2000</v>
      </c>
      <c r="D28" s="15" t="s">
        <v>14</v>
      </c>
      <c r="E28" s="12">
        <v>10</v>
      </c>
      <c r="F28" s="17">
        <v>7.6204647894963671</v>
      </c>
      <c r="G28" s="17">
        <v>0.51940670916666665</v>
      </c>
      <c r="I28" s="27">
        <f>AVERAGE(F27:F28)</f>
        <v>6.3878747717624451</v>
      </c>
      <c r="J28" s="27">
        <f>AVERAGE(G27:G28)</f>
        <v>0.28465059533333331</v>
      </c>
      <c r="L28">
        <f>+J28/I28</f>
        <v>4.4561079467560827E-2</v>
      </c>
      <c r="M28">
        <f>+(L28-$L$619)/$L$620</f>
        <v>-0.24054924665214883</v>
      </c>
      <c r="N28">
        <f>+N26+M28</f>
        <v>-0.94460915296958925</v>
      </c>
      <c r="Z28">
        <f>+(I28-$F$619)/$F$620</f>
        <v>-0.53863383152228861</v>
      </c>
      <c r="AA28">
        <f>+AA26+Z28</f>
        <v>2.8130186602015068</v>
      </c>
    </row>
    <row r="29" spans="1:27">
      <c r="A29" s="8">
        <v>3</v>
      </c>
      <c r="B29" s="74">
        <v>36848</v>
      </c>
      <c r="C29" s="12">
        <v>2000</v>
      </c>
      <c r="D29" s="15" t="s">
        <v>16</v>
      </c>
      <c r="E29" s="12">
        <v>11</v>
      </c>
      <c r="F29" s="17">
        <v>2.1484922622143627</v>
      </c>
      <c r="G29" s="17">
        <v>0.24586865683333334</v>
      </c>
    </row>
    <row r="30" spans="1:27">
      <c r="A30" s="8">
        <v>4</v>
      </c>
      <c r="B30" s="74">
        <v>36848</v>
      </c>
      <c r="C30" s="12">
        <v>2000</v>
      </c>
      <c r="D30" s="15" t="s">
        <v>16</v>
      </c>
      <c r="E30" s="12">
        <v>11</v>
      </c>
      <c r="F30" s="17">
        <v>5.0971790667895167</v>
      </c>
      <c r="G30" s="17">
        <v>0.65751298933333335</v>
      </c>
      <c r="I30" s="27">
        <f>AVERAGE(F29:F30)</f>
        <v>3.6228356645019399</v>
      </c>
      <c r="J30" s="27">
        <f>AVERAGE(G29:G30)</f>
        <v>0.45169082308333336</v>
      </c>
      <c r="L30">
        <f>+J30/I30</f>
        <v>0.12467880547527703</v>
      </c>
      <c r="M30">
        <f>+(L30-$L$619)/$L$620</f>
        <v>1.0374562771610498</v>
      </c>
      <c r="N30">
        <f>+N28+M30</f>
        <v>9.2847124191460573E-2</v>
      </c>
      <c r="Z30">
        <f>+(I30-$F$619)/$F$620</f>
        <v>-0.81328686185854115</v>
      </c>
      <c r="AA30">
        <f>+AA28+Z30</f>
        <v>1.9997317983429657</v>
      </c>
    </row>
    <row r="31" spans="1:27">
      <c r="A31" s="8">
        <v>3</v>
      </c>
      <c r="B31" s="74">
        <v>36871</v>
      </c>
      <c r="C31" s="12">
        <v>2000</v>
      </c>
      <c r="D31" s="15" t="s">
        <v>17</v>
      </c>
      <c r="E31" s="12">
        <v>12</v>
      </c>
      <c r="F31" s="17">
        <v>1.8706891478801031</v>
      </c>
      <c r="G31" s="17">
        <v>2.5977385499999998E-2</v>
      </c>
    </row>
    <row r="32" spans="1:27">
      <c r="A32" s="8">
        <v>4</v>
      </c>
      <c r="B32" s="74">
        <v>36871</v>
      </c>
      <c r="C32" s="12">
        <v>2000</v>
      </c>
      <c r="D32" s="15" t="s">
        <v>17</v>
      </c>
      <c r="E32" s="12">
        <v>12</v>
      </c>
      <c r="F32" s="17">
        <v>3.7620316666914344</v>
      </c>
      <c r="G32" s="17">
        <v>5.8125575499999999E-2</v>
      </c>
      <c r="I32" s="27">
        <f>AVERAGE(F31:F32)</f>
        <v>2.8163604072857686</v>
      </c>
      <c r="J32" s="27">
        <f>AVERAGE(G31:G32)</f>
        <v>4.2051480500000002E-2</v>
      </c>
      <c r="L32">
        <f>+J32/I32</f>
        <v>1.4931143184379082E-2</v>
      </c>
      <c r="M32">
        <f>+(L32-$L$619)/$L$620</f>
        <v>-0.71319399241655501</v>
      </c>
      <c r="N32">
        <f>+N30+M32</f>
        <v>-0.62034686822509444</v>
      </c>
      <c r="Z32">
        <f>+(I32-$F$619)/$F$620</f>
        <v>-0.89339454377306005</v>
      </c>
      <c r="AA32">
        <f>+AA30+Z32</f>
        <v>1.1063372545699055</v>
      </c>
    </row>
    <row r="33" spans="1:27">
      <c r="A33" s="8">
        <v>3</v>
      </c>
      <c r="B33" s="74">
        <v>36901</v>
      </c>
      <c r="C33" s="12">
        <v>2001</v>
      </c>
      <c r="D33" s="15" t="s">
        <v>18</v>
      </c>
      <c r="E33" s="12">
        <v>1</v>
      </c>
      <c r="F33" s="17">
        <v>3.6603537246189437</v>
      </c>
      <c r="G33" s="17">
        <v>6.2355076333333335E-2</v>
      </c>
    </row>
    <row r="34" spans="1:27">
      <c r="A34" s="8">
        <v>4</v>
      </c>
      <c r="B34" s="74">
        <v>36901</v>
      </c>
      <c r="C34" s="12">
        <v>2001</v>
      </c>
      <c r="D34" s="15" t="s">
        <v>18</v>
      </c>
      <c r="E34" s="12">
        <v>1</v>
      </c>
      <c r="F34" s="17">
        <v>7.1778812047673535</v>
      </c>
      <c r="G34" s="17">
        <v>0.10998306116666667</v>
      </c>
      <c r="I34" s="27">
        <f>AVERAGE(F33:F34)</f>
        <v>5.4191174646931488</v>
      </c>
      <c r="J34" s="27">
        <f>AVERAGE(G33:G34)</f>
        <v>8.6169068750000008E-2</v>
      </c>
      <c r="L34">
        <f>+J34/I34</f>
        <v>1.5900941308508661E-2</v>
      </c>
      <c r="M34">
        <f>+(L34-$L$619)/$L$620</f>
        <v>-0.69772416543342386</v>
      </c>
      <c r="N34">
        <f>+N32+M34</f>
        <v>-1.3180710336585184</v>
      </c>
      <c r="Z34">
        <f>+(I34-$F$619)/$F$620</f>
        <v>-0.63486108897709681</v>
      </c>
      <c r="AA34">
        <f>+AA32+Z34</f>
        <v>0.47147616559280869</v>
      </c>
    </row>
    <row r="35" spans="1:27">
      <c r="A35" s="12">
        <v>3</v>
      </c>
      <c r="B35" s="74">
        <v>36928</v>
      </c>
      <c r="C35" s="12">
        <v>2001</v>
      </c>
      <c r="D35" s="11" t="s">
        <v>19</v>
      </c>
      <c r="E35" s="12">
        <v>2</v>
      </c>
      <c r="F35" s="17">
        <v>3.8381383827951239</v>
      </c>
      <c r="G35" s="17">
        <v>6.7767306833333332E-2</v>
      </c>
    </row>
    <row r="36" spans="1:27">
      <c r="A36" s="12">
        <v>4</v>
      </c>
      <c r="B36" s="74">
        <v>36928</v>
      </c>
      <c r="C36" s="12">
        <v>2001</v>
      </c>
      <c r="D36" s="11" t="s">
        <v>19</v>
      </c>
      <c r="E36" s="12">
        <v>2</v>
      </c>
      <c r="F36" s="17">
        <v>4.6473219110529893</v>
      </c>
      <c r="G36" s="17">
        <v>0.10498701899999999</v>
      </c>
      <c r="I36" s="27">
        <f>AVERAGE(F35:F36)</f>
        <v>4.2427301469240568</v>
      </c>
      <c r="J36" s="27">
        <f>AVERAGE(G35:G36)</f>
        <v>8.6377162916666667E-2</v>
      </c>
      <c r="L36">
        <f>+J36/I36</f>
        <v>2.0358863261499053E-2</v>
      </c>
      <c r="M36">
        <f>+(L36-$L$619)/$L$620</f>
        <v>-0.62661319955177686</v>
      </c>
      <c r="N36">
        <f>+N34+M36</f>
        <v>-1.9446842332102952</v>
      </c>
      <c r="Z36">
        <f>+(I36-$F$619)/$F$620</f>
        <v>-0.75171236273522124</v>
      </c>
      <c r="AA36">
        <f>+AA34+Z36</f>
        <v>-0.28023619714241255</v>
      </c>
    </row>
    <row r="37" spans="1:27">
      <c r="A37" s="8">
        <v>3</v>
      </c>
      <c r="B37" s="74">
        <v>36965</v>
      </c>
      <c r="C37" s="12">
        <v>2001</v>
      </c>
      <c r="D37" s="11" t="s">
        <v>20</v>
      </c>
      <c r="E37" s="12">
        <v>3</v>
      </c>
      <c r="F37" s="17">
        <v>3.0647509565419848</v>
      </c>
      <c r="G37" s="17">
        <v>2.2643161333333332E-2</v>
      </c>
    </row>
    <row r="38" spans="1:27">
      <c r="A38" s="8">
        <v>4</v>
      </c>
      <c r="B38" s="74">
        <v>36965</v>
      </c>
      <c r="C38" s="12">
        <v>2001</v>
      </c>
      <c r="D38" s="11" t="s">
        <v>20</v>
      </c>
      <c r="E38" s="12">
        <v>3</v>
      </c>
      <c r="F38" s="17">
        <v>15.923001191095393</v>
      </c>
      <c r="G38" s="17">
        <v>8.195712749999999E-2</v>
      </c>
      <c r="I38" s="27">
        <f>AVERAGE(F37:F38)</f>
        <v>9.4938760738186883</v>
      </c>
      <c r="J38" s="27">
        <f>AVERAGE(G37:G38)</f>
        <v>5.2300144416666659E-2</v>
      </c>
      <c r="L38">
        <f>+J38/I38</f>
        <v>5.5088294822906994E-3</v>
      </c>
      <c r="M38">
        <f>+(L38-$L$619)/$L$620</f>
        <v>-0.86349492528639193</v>
      </c>
      <c r="N38">
        <f>+N36+M38</f>
        <v>-2.8081791584966869</v>
      </c>
      <c r="Z38">
        <f>+(I38-$F$619)/$F$620</f>
        <v>-0.2301128172631865</v>
      </c>
      <c r="AA38">
        <f>+AA36+Z38</f>
        <v>-0.5103490144055991</v>
      </c>
    </row>
    <row r="39" spans="1:27">
      <c r="A39" s="8">
        <v>3</v>
      </c>
      <c r="B39" s="74">
        <v>37000</v>
      </c>
      <c r="C39" s="12">
        <v>2001</v>
      </c>
      <c r="D39" s="15" t="s">
        <v>21</v>
      </c>
      <c r="E39" s="12">
        <v>4</v>
      </c>
      <c r="F39" s="17">
        <v>1.787291100592947</v>
      </c>
      <c r="G39" s="17">
        <v>2.3421234333333332E-2</v>
      </c>
    </row>
    <row r="40" spans="1:27">
      <c r="A40" s="8">
        <v>4</v>
      </c>
      <c r="B40" s="74">
        <v>37000</v>
      </c>
      <c r="C40" s="12">
        <v>2001</v>
      </c>
      <c r="D40" s="15" t="s">
        <v>21</v>
      </c>
      <c r="E40" s="12">
        <v>4</v>
      </c>
      <c r="F40" s="17">
        <v>5.6942883340020707</v>
      </c>
      <c r="G40" s="17">
        <v>0.14311228149999999</v>
      </c>
      <c r="I40" s="27">
        <f>AVERAGE(F39:F40)</f>
        <v>3.7407897172975089</v>
      </c>
      <c r="J40" s="27">
        <f>AVERAGE(G39:G40)</f>
        <v>8.3266757916666656E-2</v>
      </c>
      <c r="L40">
        <f>+J40/I40</f>
        <v>2.2259138900975643E-2</v>
      </c>
      <c r="M40">
        <f>+(L40-$L$619)/$L$620</f>
        <v>-0.59630077201501874</v>
      </c>
      <c r="N40">
        <f>+N38+M40</f>
        <v>-3.4044799305117057</v>
      </c>
      <c r="Z40">
        <f>+(I40-$F$619)/$F$620</f>
        <v>-0.80157041345255742</v>
      </c>
      <c r="AA40">
        <f>+AA38+Z40</f>
        <v>-1.3119194278581565</v>
      </c>
    </row>
    <row r="41" spans="1:27">
      <c r="A41" s="8">
        <v>3</v>
      </c>
      <c r="B41" s="74">
        <v>37026</v>
      </c>
      <c r="C41" s="12">
        <v>2001</v>
      </c>
      <c r="D41" s="15" t="s">
        <v>22</v>
      </c>
      <c r="E41" s="12">
        <v>5</v>
      </c>
      <c r="F41" s="17">
        <v>6.2271437772758107</v>
      </c>
      <c r="G41" s="17">
        <v>0.25176333033333337</v>
      </c>
    </row>
    <row r="42" spans="1:27">
      <c r="A42" s="8">
        <v>4</v>
      </c>
      <c r="B42" s="74">
        <v>37026</v>
      </c>
      <c r="C42" s="12">
        <v>2001</v>
      </c>
      <c r="D42" s="15" t="s">
        <v>22</v>
      </c>
      <c r="E42" s="12">
        <v>5</v>
      </c>
      <c r="F42" s="17">
        <v>13.68592039227633</v>
      </c>
      <c r="G42" s="17">
        <v>0.86139547683333328</v>
      </c>
      <c r="I42" s="27">
        <f>AVERAGE(F41:F42)</f>
        <v>9.9565320847760699</v>
      </c>
      <c r="J42" s="27">
        <f>AVERAGE(G41:G42)</f>
        <v>0.55657940358333335</v>
      </c>
      <c r="L42">
        <f>+J42/I42</f>
        <v>5.5900930047156197E-2</v>
      </c>
      <c r="M42">
        <f>+(L42-$L$619)/$L$620</f>
        <v>-5.9660541965954793E-2</v>
      </c>
      <c r="N42">
        <f>+N40+M42</f>
        <v>-3.4641404724776605</v>
      </c>
      <c r="Z42">
        <f>+(I42-$F$619)/$F$620</f>
        <v>-0.18415691194558567</v>
      </c>
      <c r="AA42">
        <f>+AA40+Z42</f>
        <v>-1.4960763398037422</v>
      </c>
    </row>
    <row r="43" spans="1:27">
      <c r="A43" s="8">
        <v>3</v>
      </c>
      <c r="B43" s="74">
        <v>37055</v>
      </c>
      <c r="C43" s="12">
        <v>2001</v>
      </c>
      <c r="D43" s="15" t="s">
        <v>23</v>
      </c>
      <c r="E43" s="12">
        <v>6</v>
      </c>
      <c r="F43" s="17">
        <v>23.472226020072025</v>
      </c>
      <c r="G43" s="17">
        <v>1.2974531863333334</v>
      </c>
    </row>
    <row r="44" spans="1:27">
      <c r="A44" s="8">
        <v>4</v>
      </c>
      <c r="B44" s="74">
        <v>37055</v>
      </c>
      <c r="C44" s="12">
        <v>2001</v>
      </c>
      <c r="D44" s="15" t="s">
        <v>23</v>
      </c>
      <c r="E44" s="12">
        <v>6</v>
      </c>
      <c r="F44" s="17">
        <v>17.031057322425486</v>
      </c>
      <c r="G44" s="17">
        <v>2.4710011303333337</v>
      </c>
      <c r="I44" s="27">
        <f>AVERAGE(F43:F44)</f>
        <v>20.251641671248755</v>
      </c>
      <c r="J44" s="27">
        <f>AVERAGE(G43:G44)</f>
        <v>1.8842271583333337</v>
      </c>
      <c r="L44">
        <f>+J44/I44</f>
        <v>9.3040711904772144E-2</v>
      </c>
      <c r="M44">
        <f>+(L44-$L$619)/$L$620</f>
        <v>0.53277821949713289</v>
      </c>
      <c r="N44">
        <f>+N42+M44</f>
        <v>-2.9313622529805277</v>
      </c>
      <c r="Z44">
        <f>+(I44-$F$619)/$F$620</f>
        <v>0.83846263732002591</v>
      </c>
      <c r="AA44">
        <f>+AA42+Z44</f>
        <v>-0.65761370248371631</v>
      </c>
    </row>
    <row r="45" spans="1:27">
      <c r="A45" s="8">
        <v>3</v>
      </c>
      <c r="B45" s="74">
        <v>37092</v>
      </c>
      <c r="C45" s="12">
        <v>2001</v>
      </c>
      <c r="D45" s="15" t="s">
        <v>24</v>
      </c>
      <c r="E45" s="12">
        <v>7</v>
      </c>
      <c r="F45" s="17">
        <v>25.751491910508093</v>
      </c>
      <c r="G45" s="17">
        <v>1.6664413596666667</v>
      </c>
    </row>
    <row r="46" spans="1:27">
      <c r="A46" s="8">
        <v>4</v>
      </c>
      <c r="B46" s="74">
        <v>37092</v>
      </c>
      <c r="C46" s="12">
        <v>2001</v>
      </c>
      <c r="D46" s="15" t="s">
        <v>24</v>
      </c>
      <c r="E46" s="12">
        <v>7</v>
      </c>
      <c r="F46" s="17">
        <v>42.768034028077061</v>
      </c>
      <c r="G46" s="17">
        <v>2.8882748031666665</v>
      </c>
      <c r="I46" s="27">
        <f>AVERAGE(F45:F46)</f>
        <v>34.259762969292581</v>
      </c>
      <c r="J46" s="27">
        <f>AVERAGE(G45:G46)</f>
        <v>2.2773580814166667</v>
      </c>
      <c r="L46">
        <f>+J46/I46</f>
        <v>6.6473258541160637E-2</v>
      </c>
      <c r="M46">
        <f>+(L46-$L$619)/$L$620</f>
        <v>0.10898496119777761</v>
      </c>
      <c r="N46">
        <f>+N44+M46</f>
        <v>-2.8223772917827499</v>
      </c>
      <c r="Z46">
        <f>+(I46-$F$619)/$F$620</f>
        <v>2.2298979171043198</v>
      </c>
      <c r="AA46">
        <f>+AA44+Z46</f>
        <v>1.5722842146206035</v>
      </c>
    </row>
    <row r="47" spans="1:27">
      <c r="A47" s="8">
        <v>3</v>
      </c>
      <c r="B47" s="74">
        <v>37118</v>
      </c>
      <c r="C47" s="12">
        <v>2001</v>
      </c>
      <c r="D47" s="15" t="s">
        <v>25</v>
      </c>
      <c r="E47" s="12">
        <v>8</v>
      </c>
      <c r="F47" s="17">
        <v>23.00358451823671</v>
      </c>
      <c r="G47" s="17">
        <v>2.0210099176666669</v>
      </c>
    </row>
    <row r="48" spans="1:27">
      <c r="A48" s="8">
        <v>4</v>
      </c>
      <c r="B48" s="74">
        <v>37118</v>
      </c>
      <c r="C48" s="12">
        <v>2001</v>
      </c>
      <c r="D48" s="15" t="s">
        <v>25</v>
      </c>
      <c r="E48" s="12">
        <v>8</v>
      </c>
      <c r="F48" s="17">
        <v>36.365381232012211</v>
      </c>
      <c r="G48" s="17">
        <v>3.5841533329999997</v>
      </c>
      <c r="I48" s="27">
        <f>AVERAGE(F47:F48)</f>
        <v>29.684482875124459</v>
      </c>
      <c r="J48" s="27">
        <f>AVERAGE(G47:G48)</f>
        <v>2.8025816253333335</v>
      </c>
      <c r="L48">
        <f>+J48/I48</f>
        <v>9.4412344561403544E-2</v>
      </c>
      <c r="M48">
        <f>+(L48-$L$619)/$L$620</f>
        <v>0.55465794823092984</v>
      </c>
      <c r="N48">
        <f>+N46+M48</f>
        <v>-2.2677193435518199</v>
      </c>
      <c r="Z48">
        <f>+(I48-$F$619)/$F$620</f>
        <v>1.7754325393088446</v>
      </c>
      <c r="AA48">
        <f>+AA46+Z48</f>
        <v>3.3477167539294479</v>
      </c>
    </row>
    <row r="49" spans="1:27">
      <c r="A49" s="8">
        <v>3</v>
      </c>
      <c r="B49" s="74">
        <v>37152</v>
      </c>
      <c r="C49" s="12">
        <v>2001</v>
      </c>
      <c r="D49" s="15" t="s">
        <v>26</v>
      </c>
      <c r="E49" s="12">
        <v>9</v>
      </c>
      <c r="F49" s="17">
        <v>8.8993261414354574</v>
      </c>
      <c r="G49" s="17">
        <v>0.49798013866666674</v>
      </c>
    </row>
    <row r="50" spans="1:27">
      <c r="A50" s="8">
        <v>4</v>
      </c>
      <c r="B50" s="74">
        <v>37152</v>
      </c>
      <c r="C50" s="12">
        <v>2001</v>
      </c>
      <c r="D50" s="15" t="s">
        <v>26</v>
      </c>
      <c r="E50" s="12">
        <v>9</v>
      </c>
      <c r="F50" s="17">
        <v>12.060995468685757</v>
      </c>
      <c r="G50" s="17">
        <v>1.5680431156666668</v>
      </c>
      <c r="I50" s="27">
        <f>AVERAGE(F49:F50)</f>
        <v>10.480160805060606</v>
      </c>
      <c r="J50" s="27">
        <f>AVERAGE(G49:G50)</f>
        <v>1.0330116271666667</v>
      </c>
      <c r="L50">
        <f>+J50/I50</f>
        <v>9.8568299321118366E-2</v>
      </c>
      <c r="M50">
        <f>+(L50-$L$619)/$L$620</f>
        <v>0.62095205571872547</v>
      </c>
      <c r="N50">
        <f>+N48+M50</f>
        <v>-1.6467672878330943</v>
      </c>
      <c r="Z50">
        <f>+(I50-$F$619)/$F$620</f>
        <v>-0.13214455001565639</v>
      </c>
      <c r="AA50">
        <f>+AA48+Z50</f>
        <v>3.2155722039137915</v>
      </c>
    </row>
    <row r="51" spans="1:27">
      <c r="A51" s="8">
        <v>3</v>
      </c>
      <c r="B51" s="74">
        <v>37180</v>
      </c>
      <c r="C51" s="12">
        <v>2001</v>
      </c>
      <c r="D51" s="15" t="s">
        <v>14</v>
      </c>
      <c r="E51" s="12">
        <v>10</v>
      </c>
      <c r="F51" s="16">
        <v>3.2493851022036586</v>
      </c>
      <c r="G51" s="16">
        <v>6.3194794242695043E-2</v>
      </c>
    </row>
    <row r="52" spans="1:27">
      <c r="A52" s="8">
        <v>4</v>
      </c>
      <c r="B52" s="74">
        <v>37180</v>
      </c>
      <c r="C52" s="12">
        <v>2001</v>
      </c>
      <c r="D52" s="15" t="s">
        <v>14</v>
      </c>
      <c r="E52" s="12">
        <v>10</v>
      </c>
      <c r="F52" s="16">
        <v>4.2841916128331681</v>
      </c>
      <c r="G52" s="16">
        <v>0.11733650190608014</v>
      </c>
      <c r="I52" s="27">
        <f>AVERAGE(F51:F52)</f>
        <v>3.7667883575184131</v>
      </c>
      <c r="J52" s="27">
        <f>AVERAGE(G51:G52)</f>
        <v>9.0265648074387583E-2</v>
      </c>
      <c r="L52">
        <f>+J52/I52</f>
        <v>2.3963557149214307E-2</v>
      </c>
      <c r="M52">
        <f>+(L52-$L$619)/$L$620</f>
        <v>-0.56911258227624306</v>
      </c>
      <c r="N52">
        <f>+N50+M52</f>
        <v>-2.2158798701093376</v>
      </c>
      <c r="Z52">
        <f>+(I52-$F$619)/$F$620</f>
        <v>-0.79898795257432109</v>
      </c>
      <c r="AA52">
        <f>+AA50+Z52</f>
        <v>2.4165842513394704</v>
      </c>
    </row>
    <row r="53" spans="1:27">
      <c r="A53" s="8">
        <v>3</v>
      </c>
      <c r="B53" s="74">
        <v>37203</v>
      </c>
      <c r="C53" s="12">
        <v>2001</v>
      </c>
      <c r="D53" s="15" t="s">
        <v>16</v>
      </c>
      <c r="E53" s="12">
        <v>11</v>
      </c>
      <c r="F53" s="16">
        <v>1.3616965947949478</v>
      </c>
      <c r="G53" s="16">
        <v>5.6675309032092197E-2</v>
      </c>
    </row>
    <row r="54" spans="1:27">
      <c r="A54" s="8">
        <v>4</v>
      </c>
      <c r="B54" s="74">
        <v>37203</v>
      </c>
      <c r="C54" s="12">
        <v>2001</v>
      </c>
      <c r="D54" s="15" t="s">
        <v>16</v>
      </c>
      <c r="E54" s="12">
        <v>11</v>
      </c>
      <c r="F54" s="16">
        <v>4.0950642991562116</v>
      </c>
      <c r="G54" s="16">
        <v>0.11297427945681228</v>
      </c>
      <c r="I54" s="27">
        <f>AVERAGE(F53:F54)</f>
        <v>2.7283804469755797</v>
      </c>
      <c r="J54" s="27">
        <f>AVERAGE(G53:G54)</f>
        <v>8.4824794244452245E-2</v>
      </c>
      <c r="L54">
        <f>+J54/I54</f>
        <v>3.1089797003376437E-2</v>
      </c>
      <c r="M54">
        <f>+(L54-$L$619)/$L$620</f>
        <v>-0.45543768969679294</v>
      </c>
      <c r="N54">
        <f>+N52+M54</f>
        <v>-2.6713175598061305</v>
      </c>
      <c r="Z54">
        <f>+(I54-$F$619)/$F$620</f>
        <v>-0.90213364718921307</v>
      </c>
      <c r="AA54">
        <f>+AA52+Z54</f>
        <v>1.5144506041502575</v>
      </c>
    </row>
    <row r="55" spans="1:27">
      <c r="A55" s="8">
        <v>3</v>
      </c>
      <c r="B55" s="74">
        <v>37228</v>
      </c>
      <c r="C55" s="12">
        <v>2001</v>
      </c>
      <c r="D55" s="15" t="s">
        <v>17</v>
      </c>
      <c r="E55" s="12">
        <v>12</v>
      </c>
      <c r="F55" s="16">
        <v>4.0507025288412777</v>
      </c>
      <c r="G55" s="16">
        <v>8.2978962928461825E-2</v>
      </c>
    </row>
    <row r="56" spans="1:27">
      <c r="A56" s="8">
        <v>4</v>
      </c>
      <c r="B56" s="74">
        <v>37228</v>
      </c>
      <c r="C56" s="12">
        <v>2001</v>
      </c>
      <c r="D56" s="15" t="s">
        <v>17</v>
      </c>
      <c r="E56" s="12">
        <v>12</v>
      </c>
      <c r="F56" s="16">
        <v>7.1636445505763398</v>
      </c>
      <c r="G56" s="16">
        <v>0.10801602149499696</v>
      </c>
      <c r="I56" s="27">
        <f>AVERAGE(F55:F56)</f>
        <v>5.6071735397088087</v>
      </c>
      <c r="J56" s="27">
        <f>AVERAGE(G55:G56)</f>
        <v>9.5497492211729401E-2</v>
      </c>
      <c r="L56">
        <f>+J56/I56</f>
        <v>1.7031306688733015E-2</v>
      </c>
      <c r="M56">
        <f>+(L56-$L$619)/$L$620</f>
        <v>-0.6796930345983474</v>
      </c>
      <c r="N56">
        <f>+N54+M56</f>
        <v>-3.3510105944044781</v>
      </c>
      <c r="Z56">
        <f>+(I56-$F$619)/$F$620</f>
        <v>-0.61618136371007681</v>
      </c>
      <c r="AA56">
        <f>+AA54+Z56</f>
        <v>0.89826924044018064</v>
      </c>
    </row>
    <row r="57" spans="1:27">
      <c r="A57" s="8">
        <v>3</v>
      </c>
      <c r="B57" s="74">
        <v>37270</v>
      </c>
      <c r="C57" s="12">
        <v>2002</v>
      </c>
      <c r="D57" s="15" t="s">
        <v>18</v>
      </c>
      <c r="E57" s="12">
        <v>1</v>
      </c>
      <c r="F57" s="16">
        <v>4.2514887305959439</v>
      </c>
      <c r="G57" s="16">
        <v>4.5313730040364292E-2</v>
      </c>
    </row>
    <row r="58" spans="1:27">
      <c r="A58" s="8">
        <v>4</v>
      </c>
      <c r="B58" s="74">
        <v>37270</v>
      </c>
      <c r="C58" s="12">
        <v>2002</v>
      </c>
      <c r="D58" s="15" t="s">
        <v>18</v>
      </c>
      <c r="E58" s="12">
        <v>1</v>
      </c>
      <c r="F58" s="16">
        <v>5.2303111731291096</v>
      </c>
      <c r="G58" s="16">
        <v>3.4202951447983444E-2</v>
      </c>
      <c r="I58" s="27">
        <f>AVERAGE(F57:F58)</f>
        <v>4.7408999518625272</v>
      </c>
      <c r="J58" s="27">
        <f>AVERAGE(G57:G58)</f>
        <v>3.9758340744173865E-2</v>
      </c>
      <c r="L58">
        <f>+J58/I58</f>
        <v>8.3862433605151818E-3</v>
      </c>
      <c r="M58">
        <f>+(L58-$L$619)/$L$620</f>
        <v>-0.81759558423028811</v>
      </c>
      <c r="N58">
        <f>+N56+M58</f>
        <v>-4.1686061786347661</v>
      </c>
      <c r="Z58">
        <f>+(I58-$F$619)/$F$620</f>
        <v>-0.7022288504806945</v>
      </c>
      <c r="AA58">
        <f>+AA56+Z58</f>
        <v>0.19604038995948614</v>
      </c>
    </row>
    <row r="59" spans="1:27">
      <c r="A59" s="8">
        <v>3</v>
      </c>
      <c r="B59" s="74">
        <v>37300</v>
      </c>
      <c r="C59" s="12">
        <v>2002</v>
      </c>
      <c r="D59" s="11" t="s">
        <v>19</v>
      </c>
      <c r="E59" s="12">
        <v>2</v>
      </c>
      <c r="F59" s="16">
        <v>2.5319323297664096</v>
      </c>
      <c r="G59" s="16">
        <v>4.4538188278440326E-2</v>
      </c>
    </row>
    <row r="60" spans="1:27">
      <c r="A60" s="8">
        <v>4</v>
      </c>
      <c r="B60" s="74">
        <v>37300</v>
      </c>
      <c r="C60" s="12">
        <v>2002</v>
      </c>
      <c r="D60" s="11" t="s">
        <v>19</v>
      </c>
      <c r="E60" s="12">
        <v>2</v>
      </c>
      <c r="F60" s="16">
        <v>1.7412773154705985</v>
      </c>
      <c r="G60" s="16">
        <v>4.8494613557900947E-2</v>
      </c>
      <c r="I60" s="27">
        <f>AVERAGE(F59:F60)</f>
        <v>2.1366048226185042</v>
      </c>
      <c r="J60" s="27">
        <f>AVERAGE(G59:G60)</f>
        <v>4.6516400918170636E-2</v>
      </c>
      <c r="L60">
        <f>+J60/I60</f>
        <v>2.1771176600248764E-2</v>
      </c>
      <c r="M60">
        <f>+(L60-$L$619)/$L$620</f>
        <v>-0.60408454904934805</v>
      </c>
      <c r="N60">
        <f>+N58+M60</f>
        <v>-4.7726907276841146</v>
      </c>
      <c r="Z60">
        <f>+(I60-$F$619)/$F$620</f>
        <v>-0.96091508289549865</v>
      </c>
      <c r="AA60">
        <f>+AA58+Z60</f>
        <v>-0.76487469293601251</v>
      </c>
    </row>
    <row r="61" spans="1:27">
      <c r="A61" s="8">
        <v>3</v>
      </c>
      <c r="B61" s="70">
        <v>37334</v>
      </c>
      <c r="C61" s="12">
        <v>2002</v>
      </c>
      <c r="D61" s="11" t="s">
        <v>20</v>
      </c>
      <c r="E61" s="12">
        <v>3</v>
      </c>
      <c r="F61" s="16">
        <v>3.0997542691102855</v>
      </c>
      <c r="G61" s="16">
        <v>3.3957180355172471E-2</v>
      </c>
    </row>
    <row r="62" spans="1:27">
      <c r="A62" s="8">
        <v>4</v>
      </c>
      <c r="B62" s="70">
        <v>37334</v>
      </c>
      <c r="C62" s="12">
        <v>2002</v>
      </c>
      <c r="D62" s="11" t="s">
        <v>20</v>
      </c>
      <c r="E62" s="12">
        <v>3</v>
      </c>
      <c r="F62" s="16">
        <v>5.2293756812203727</v>
      </c>
      <c r="G62" s="16">
        <v>9.5613383860199797E-2</v>
      </c>
      <c r="I62" s="27">
        <f>AVERAGE(F61:F62)</f>
        <v>4.1645649751653293</v>
      </c>
      <c r="J62" s="27">
        <f>AVERAGE(G61:G62)</f>
        <v>6.4785282107686137E-2</v>
      </c>
      <c r="L62">
        <f>+J62/I62</f>
        <v>1.555631440355045E-2</v>
      </c>
      <c r="M62">
        <f>+(L62-$L$619)/$L$620</f>
        <v>-0.70322151427416379</v>
      </c>
      <c r="N62">
        <f>+N60+M62</f>
        <v>-5.4759122419582784</v>
      </c>
      <c r="Z62">
        <f>+(I62-$F$619)/$F$620</f>
        <v>-0.75947655718509943</v>
      </c>
      <c r="AA62">
        <f>+AA60+Z62</f>
        <v>-1.5243512501211121</v>
      </c>
    </row>
    <row r="63" spans="1:27">
      <c r="A63" s="8">
        <v>3</v>
      </c>
      <c r="B63" s="70">
        <v>37361</v>
      </c>
      <c r="C63" s="12">
        <v>2002</v>
      </c>
      <c r="D63" s="15" t="s">
        <v>21</v>
      </c>
      <c r="E63" s="12">
        <v>4</v>
      </c>
      <c r="F63" s="16">
        <v>4.0387561020184775</v>
      </c>
      <c r="G63" s="16">
        <v>6.5300542532303427E-2</v>
      </c>
    </row>
    <row r="64" spans="1:27">
      <c r="A64" s="8">
        <v>4</v>
      </c>
      <c r="B64" s="70">
        <v>37361</v>
      </c>
      <c r="C64" s="12">
        <v>2002</v>
      </c>
      <c r="D64" s="15" t="s">
        <v>21</v>
      </c>
      <c r="E64" s="12">
        <v>4</v>
      </c>
      <c r="F64" s="16">
        <v>11.333801590233278</v>
      </c>
      <c r="G64" s="16">
        <v>0.19335397781586039</v>
      </c>
      <c r="I64" s="27">
        <f>AVERAGE(F63:F64)</f>
        <v>7.6862788461258784</v>
      </c>
      <c r="J64" s="27">
        <f>AVERAGE(G63:G64)</f>
        <v>0.12932726017408191</v>
      </c>
      <c r="L64">
        <f>+J64/I64</f>
        <v>1.6825730989354731E-2</v>
      </c>
      <c r="M64">
        <f>+(L64-$L$619)/$L$620</f>
        <v>-0.68297229491262434</v>
      </c>
      <c r="N64">
        <f>+N62+M64</f>
        <v>-6.1588845368709029</v>
      </c>
      <c r="Z64">
        <f>+(I64-$F$619)/$F$620</f>
        <v>-0.40966255849817212</v>
      </c>
      <c r="AA64">
        <f>+AA62+Z64</f>
        <v>-1.9340138086192842</v>
      </c>
    </row>
    <row r="65" spans="1:27">
      <c r="A65" s="8">
        <v>3</v>
      </c>
      <c r="B65" s="70">
        <v>37389</v>
      </c>
      <c r="C65" s="12">
        <v>2002</v>
      </c>
      <c r="D65" s="15" t="s">
        <v>22</v>
      </c>
      <c r="E65" s="12">
        <v>5</v>
      </c>
      <c r="F65" s="16">
        <v>16.987336423440826</v>
      </c>
      <c r="G65" s="20"/>
    </row>
    <row r="66" spans="1:27">
      <c r="A66" s="8">
        <v>4</v>
      </c>
      <c r="B66" s="70">
        <v>37389</v>
      </c>
      <c r="C66" s="12">
        <v>2002</v>
      </c>
      <c r="D66" s="15" t="s">
        <v>22</v>
      </c>
      <c r="E66" s="12">
        <v>5</v>
      </c>
      <c r="F66" s="16">
        <v>14.556047501768324</v>
      </c>
      <c r="G66" s="20"/>
      <c r="I66" s="27">
        <f>AVERAGE(F65:F66)</f>
        <v>15.771691962604574</v>
      </c>
      <c r="J66" s="27" t="e">
        <f>AVERAGE(G65:G66)</f>
        <v>#DIV/0!</v>
      </c>
      <c r="Z66">
        <f>+(I66-$F$619)/$F$620</f>
        <v>0.39346648518523725</v>
      </c>
      <c r="AA66">
        <f>+AA64+Z66</f>
        <v>-1.540547323434047</v>
      </c>
    </row>
    <row r="67" spans="1:27">
      <c r="A67" s="8">
        <v>3</v>
      </c>
      <c r="B67" s="70">
        <v>37418</v>
      </c>
      <c r="C67" s="12">
        <v>2002</v>
      </c>
      <c r="D67" s="15" t="s">
        <v>23</v>
      </c>
      <c r="E67" s="12">
        <v>6</v>
      </c>
      <c r="F67" s="16">
        <v>27.635613950571745</v>
      </c>
      <c r="G67" s="20"/>
    </row>
    <row r="68" spans="1:27">
      <c r="A68" s="8">
        <v>4</v>
      </c>
      <c r="B68" s="70">
        <v>37418</v>
      </c>
      <c r="C68" s="12">
        <v>2002</v>
      </c>
      <c r="D68" s="15" t="s">
        <v>23</v>
      </c>
      <c r="E68" s="12">
        <v>6</v>
      </c>
      <c r="F68" s="16">
        <v>25.568401315342154</v>
      </c>
      <c r="G68" s="20"/>
      <c r="I68" s="27">
        <f>AVERAGE(F67:F68)</f>
        <v>26.602007632956948</v>
      </c>
      <c r="J68" s="27" t="e">
        <f>AVERAGE(G67:G68)</f>
        <v>#DIV/0!</v>
      </c>
      <c r="Z68">
        <f>+(I68-$F$619)/$F$620</f>
        <v>1.4692483830071383</v>
      </c>
      <c r="AA68">
        <f>+AA66+Z68</f>
        <v>-7.1298940426908652E-2</v>
      </c>
    </row>
    <row r="69" spans="1:27">
      <c r="A69" s="8">
        <v>3</v>
      </c>
      <c r="B69" s="70">
        <v>37455</v>
      </c>
      <c r="C69" s="12">
        <v>2002</v>
      </c>
      <c r="D69" s="15" t="s">
        <v>24</v>
      </c>
      <c r="E69" s="12">
        <v>7</v>
      </c>
      <c r="F69" s="16">
        <v>11.141478683415984</v>
      </c>
      <c r="G69" s="20"/>
    </row>
    <row r="70" spans="1:27">
      <c r="A70" s="8">
        <v>4</v>
      </c>
      <c r="B70" s="70">
        <v>37455</v>
      </c>
      <c r="C70" s="12">
        <v>2002</v>
      </c>
      <c r="D70" s="15" t="s">
        <v>24</v>
      </c>
      <c r="E70" s="12">
        <v>7</v>
      </c>
      <c r="F70" s="16">
        <v>15.213384618270862</v>
      </c>
      <c r="G70" s="20"/>
      <c r="I70" s="27">
        <f>AVERAGE(F69:F70)</f>
        <v>13.177431650843424</v>
      </c>
      <c r="J70" s="27" t="e">
        <f>AVERAGE(G69:G70)</f>
        <v>#DIV/0!</v>
      </c>
      <c r="Z70">
        <f>+(I70-$F$619)/$F$620</f>
        <v>0.13577701734540978</v>
      </c>
      <c r="AA70">
        <f>+AA68+Z70</f>
        <v>6.4478076918501132E-2</v>
      </c>
    </row>
    <row r="71" spans="1:27">
      <c r="A71" s="8">
        <v>3</v>
      </c>
      <c r="B71" s="70">
        <v>37483</v>
      </c>
      <c r="C71" s="12">
        <v>2002</v>
      </c>
      <c r="D71" s="15" t="s">
        <v>25</v>
      </c>
      <c r="E71" s="12">
        <v>8</v>
      </c>
      <c r="F71" s="16">
        <v>16.190633624498993</v>
      </c>
      <c r="G71" s="20"/>
    </row>
    <row r="72" spans="1:27">
      <c r="A72" s="8">
        <v>4</v>
      </c>
      <c r="B72" s="70">
        <v>37483</v>
      </c>
      <c r="C72" s="12">
        <v>2002</v>
      </c>
      <c r="D72" s="15" t="s">
        <v>25</v>
      </c>
      <c r="E72" s="12">
        <v>8</v>
      </c>
      <c r="F72" s="16">
        <v>25.601505200357359</v>
      </c>
      <c r="G72" s="20"/>
      <c r="I72" s="27">
        <f>AVERAGE(F71:F72)</f>
        <v>20.896069412428176</v>
      </c>
      <c r="J72" s="27" t="e">
        <f>AVERAGE(G71:G72)</f>
        <v>#DIV/0!</v>
      </c>
      <c r="Z72">
        <f>+(I72-$F$619)/$F$620</f>
        <v>0.90247404008207688</v>
      </c>
      <c r="AA72">
        <f>+AA70+Z72</f>
        <v>0.96695211700057804</v>
      </c>
    </row>
    <row r="73" spans="1:27">
      <c r="A73" s="8">
        <v>3</v>
      </c>
      <c r="B73" s="70">
        <v>37516</v>
      </c>
      <c r="C73" s="12">
        <v>2002</v>
      </c>
      <c r="D73" s="15" t="s">
        <v>26</v>
      </c>
      <c r="E73" s="12">
        <v>9</v>
      </c>
      <c r="F73" s="16">
        <v>18.390989346517241</v>
      </c>
      <c r="G73" s="20"/>
    </row>
    <row r="74" spans="1:27">
      <c r="A74" s="8">
        <v>4</v>
      </c>
      <c r="B74" s="70">
        <v>37516</v>
      </c>
      <c r="C74" s="12">
        <v>2002</v>
      </c>
      <c r="D74" s="15" t="s">
        <v>26</v>
      </c>
      <c r="E74" s="12">
        <v>9</v>
      </c>
      <c r="F74" s="16">
        <v>14.536812608725272</v>
      </c>
      <c r="G74" s="20"/>
      <c r="I74" s="27">
        <f>AVERAGE(F73:F74)</f>
        <v>16.463900977621257</v>
      </c>
      <c r="J74" s="27" t="e">
        <f>AVERAGE(G73:G74)</f>
        <v>#DIV/0!</v>
      </c>
      <c r="Z74">
        <f>+(I74-$F$619)/$F$620</f>
        <v>0.46222403118203348</v>
      </c>
      <c r="AA74">
        <f>+AA72+Z74</f>
        <v>1.4291761481826115</v>
      </c>
    </row>
    <row r="75" spans="1:27">
      <c r="A75" s="8">
        <v>3</v>
      </c>
      <c r="B75" s="70">
        <v>37544</v>
      </c>
      <c r="C75" s="12">
        <v>2002</v>
      </c>
      <c r="D75" s="15" t="s">
        <v>14</v>
      </c>
      <c r="E75" s="12">
        <v>10</v>
      </c>
      <c r="F75" s="17">
        <v>8.3616599397475788</v>
      </c>
      <c r="G75" s="17">
        <v>0.81460992828562784</v>
      </c>
    </row>
    <row r="76" spans="1:27">
      <c r="A76" s="8">
        <v>4</v>
      </c>
      <c r="B76" s="70">
        <v>37544</v>
      </c>
      <c r="C76" s="12">
        <v>2002</v>
      </c>
      <c r="D76" s="15" t="s">
        <v>14</v>
      </c>
      <c r="E76" s="12">
        <v>10</v>
      </c>
      <c r="F76" s="17">
        <v>13.581539322283454</v>
      </c>
      <c r="G76" s="17">
        <v>1.4194458199616122</v>
      </c>
      <c r="I76" s="27">
        <f>AVERAGE(F75:F76)</f>
        <v>10.971599631015517</v>
      </c>
      <c r="J76" s="27">
        <f>AVERAGE(G75:G76)</f>
        <v>1.1170278741236199</v>
      </c>
      <c r="L76">
        <f>+J76/I76</f>
        <v>0.10181084907308355</v>
      </c>
      <c r="M76">
        <f>+(L76-$L$619)/$L$620</f>
        <v>0.67267589638104663</v>
      </c>
      <c r="N76">
        <f>+N64+M76</f>
        <v>-5.4862086404898562</v>
      </c>
      <c r="Z76">
        <f>+(I76-$F$619)/$F$620</f>
        <v>-8.332963003170922E-2</v>
      </c>
      <c r="AA76">
        <f>+AA74+Z76</f>
        <v>1.3458465181509023</v>
      </c>
    </row>
    <row r="77" spans="1:27">
      <c r="A77" s="8">
        <v>3</v>
      </c>
      <c r="B77" s="70">
        <v>37575</v>
      </c>
      <c r="C77" s="12">
        <v>2002</v>
      </c>
      <c r="D77" s="15" t="s">
        <v>16</v>
      </c>
      <c r="E77" s="12">
        <v>11</v>
      </c>
      <c r="F77" s="17">
        <v>2.7732568032777918</v>
      </c>
      <c r="G77" s="17">
        <v>2.7715387081645147E-2</v>
      </c>
    </row>
    <row r="78" spans="1:27">
      <c r="A78" s="8">
        <v>4</v>
      </c>
      <c r="B78" s="70">
        <v>37575</v>
      </c>
      <c r="C78" s="12">
        <v>2002</v>
      </c>
      <c r="D78" s="15" t="s">
        <v>16</v>
      </c>
      <c r="E78" s="12">
        <v>11</v>
      </c>
      <c r="F78" s="17">
        <v>5.0568564250837627</v>
      </c>
      <c r="G78" s="17">
        <v>5.1727426375380005E-2</v>
      </c>
      <c r="I78" s="27">
        <f>AVERAGE(F77:F78)</f>
        <v>3.9150566141807772</v>
      </c>
      <c r="J78" s="27">
        <f>AVERAGE(G77:G78)</f>
        <v>3.9721406728512577E-2</v>
      </c>
      <c r="L78">
        <f>+J78/I78</f>
        <v>1.0145806470495766E-2</v>
      </c>
      <c r="M78">
        <f>+(L78-$L$619)/$L$620</f>
        <v>-0.78952774598639508</v>
      </c>
      <c r="N78">
        <f>+N76+M78</f>
        <v>-6.2757363864762512</v>
      </c>
      <c r="Z78">
        <f>+(I78-$F$619)/$F$620</f>
        <v>-0.78426037570639839</v>
      </c>
      <c r="AA78">
        <f>+AA76+Z78</f>
        <v>0.56158614244450389</v>
      </c>
    </row>
    <row r="79" spans="1:27">
      <c r="A79" s="8">
        <v>3</v>
      </c>
      <c r="B79" s="70">
        <v>37609</v>
      </c>
      <c r="C79" s="12">
        <v>2002</v>
      </c>
      <c r="D79" s="15" t="s">
        <v>17</v>
      </c>
      <c r="E79" s="12">
        <v>12</v>
      </c>
      <c r="F79" s="17">
        <v>13.67730923414349</v>
      </c>
      <c r="G79" s="17">
        <v>3.7524761154459012E-2</v>
      </c>
    </row>
    <row r="80" spans="1:27">
      <c r="A80" s="8">
        <v>4</v>
      </c>
      <c r="B80" s="70">
        <v>37609</v>
      </c>
      <c r="C80" s="12">
        <v>2002</v>
      </c>
      <c r="D80" s="15" t="s">
        <v>17</v>
      </c>
      <c r="E80" s="12">
        <v>12</v>
      </c>
      <c r="F80" s="17">
        <v>23.255795599381781</v>
      </c>
      <c r="G80" s="17">
        <v>4.0384794377611527E-2</v>
      </c>
      <c r="I80" s="27">
        <f>AVERAGE(F79:F80)</f>
        <v>18.466552416762635</v>
      </c>
      <c r="J80" s="27">
        <f>AVERAGE(G79:G80)</f>
        <v>3.8954777766035273E-2</v>
      </c>
      <c r="L80">
        <f>+J80/I80</f>
        <v>2.1094775509192974E-3</v>
      </c>
      <c r="M80">
        <f>+(L80-$L$619)/$L$620</f>
        <v>-0.91772001082188637</v>
      </c>
      <c r="N80">
        <f>+N78+M80</f>
        <v>-7.1934563972981378</v>
      </c>
      <c r="Z80">
        <f>+(I80-$F$619)/$F$620</f>
        <v>0.66114862686791132</v>
      </c>
      <c r="AA80">
        <f>+AA78+Z80</f>
        <v>1.2227347693124151</v>
      </c>
    </row>
    <row r="81" spans="1:27">
      <c r="A81" s="8">
        <v>3</v>
      </c>
      <c r="B81" s="70">
        <v>37635</v>
      </c>
      <c r="C81" s="12">
        <v>2003</v>
      </c>
      <c r="D81" s="15" t="s">
        <v>18</v>
      </c>
      <c r="E81" s="12">
        <v>1</v>
      </c>
      <c r="F81" s="17">
        <v>28.241100767398116</v>
      </c>
      <c r="G81" s="17">
        <v>0.13474935828465748</v>
      </c>
    </row>
    <row r="82" spans="1:27">
      <c r="A82" s="8">
        <v>4</v>
      </c>
      <c r="B82" s="70">
        <v>37635</v>
      </c>
      <c r="C82" s="12">
        <v>2003</v>
      </c>
      <c r="D82" s="15" t="s">
        <v>18</v>
      </c>
      <c r="E82" s="12">
        <v>1</v>
      </c>
      <c r="F82" s="17">
        <v>22.579198630515862</v>
      </c>
      <c r="G82" s="17">
        <v>0.12384127708472112</v>
      </c>
      <c r="I82" s="27">
        <f>AVERAGE(F81:F82)</f>
        <v>25.410149698956989</v>
      </c>
      <c r="J82" s="27">
        <f>AVERAGE(G81:G82)</f>
        <v>0.1292953176846893</v>
      </c>
      <c r="L82">
        <f>+J82/I82</f>
        <v>5.0883335681409418E-3</v>
      </c>
      <c r="M82">
        <f>+(L82-$L$619)/$L$620</f>
        <v>-0.87020250584069414</v>
      </c>
      <c r="N82">
        <f>+N80+M82</f>
        <v>-8.0636589031388315</v>
      </c>
      <c r="Z82">
        <f>+(I82-$F$619)/$F$620</f>
        <v>1.3508604034505971</v>
      </c>
      <c r="AA82">
        <f>+AA80+Z82</f>
        <v>2.573595172763012</v>
      </c>
    </row>
    <row r="83" spans="1:27">
      <c r="A83" s="8">
        <v>3</v>
      </c>
      <c r="B83" s="70">
        <v>37665</v>
      </c>
      <c r="C83" s="12">
        <v>2003</v>
      </c>
      <c r="D83" s="11" t="s">
        <v>19</v>
      </c>
      <c r="E83" s="12">
        <v>2</v>
      </c>
      <c r="F83" s="17">
        <v>11.599366221982605</v>
      </c>
      <c r="G83" s="17">
        <v>0.11849878120851445</v>
      </c>
    </row>
    <row r="84" spans="1:27">
      <c r="A84" s="8">
        <v>4</v>
      </c>
      <c r="B84" s="70">
        <v>37665</v>
      </c>
      <c r="C84" s="12">
        <v>2003</v>
      </c>
      <c r="D84" s="11" t="s">
        <v>19</v>
      </c>
      <c r="E84" s="12">
        <v>2</v>
      </c>
      <c r="F84" s="17">
        <v>6.5677932354348592</v>
      </c>
      <c r="G84" s="17">
        <v>6.7856307367036794E-2</v>
      </c>
      <c r="I84" s="27">
        <f>AVERAGE(F83:F84)</f>
        <v>9.083579728708731</v>
      </c>
      <c r="J84" s="27">
        <f>AVERAGE(G83:G84)</f>
        <v>9.3177544287775624E-2</v>
      </c>
      <c r="L84">
        <f>+J84/I84</f>
        <v>1.0257800016142007E-2</v>
      </c>
      <c r="M84">
        <f>+(L84-$L$619)/$L$620</f>
        <v>-0.78774127029494156</v>
      </c>
      <c r="N84">
        <f>+N82+M84</f>
        <v>-8.8514001734337739</v>
      </c>
      <c r="Z84">
        <f>+(I84-$F$619)/$F$620</f>
        <v>-0.27086780485972239</v>
      </c>
      <c r="AA84">
        <f>+AA82+Z84</f>
        <v>2.3027273679032896</v>
      </c>
    </row>
    <row r="85" spans="1:27">
      <c r="A85" s="8">
        <v>3</v>
      </c>
      <c r="B85" s="70">
        <v>37692</v>
      </c>
      <c r="C85" s="12">
        <v>2003</v>
      </c>
      <c r="D85" s="11" t="s">
        <v>20</v>
      </c>
      <c r="E85" s="12">
        <v>3</v>
      </c>
      <c r="F85" s="17">
        <v>13.908485665099207</v>
      </c>
      <c r="G85" s="17">
        <v>7.6411407490435318E-2</v>
      </c>
    </row>
    <row r="86" spans="1:27">
      <c r="A86" s="8">
        <v>4</v>
      </c>
      <c r="B86" s="70">
        <v>37692</v>
      </c>
      <c r="C86" s="12">
        <v>2003</v>
      </c>
      <c r="D86" s="11" t="s">
        <v>20</v>
      </c>
      <c r="E86" s="12">
        <v>3</v>
      </c>
      <c r="F86" s="17">
        <v>23.075017988777937</v>
      </c>
      <c r="G86" s="17">
        <v>0.11618088709861897</v>
      </c>
      <c r="I86" s="27">
        <f>AVERAGE(F85:F86)</f>
        <v>18.491751826938572</v>
      </c>
      <c r="J86" s="27">
        <f>AVERAGE(G85:G86)</f>
        <v>9.6296147294527151E-2</v>
      </c>
      <c r="L86">
        <f>+J86/I86</f>
        <v>5.2075189087409249E-3</v>
      </c>
      <c r="M86">
        <f>+(L86-$L$619)/$L$620</f>
        <v>-0.86830130954825735</v>
      </c>
      <c r="N86">
        <f>+N84+M86</f>
        <v>-9.7197014829820318</v>
      </c>
      <c r="Z86">
        <f>+(I86-$F$619)/$F$620</f>
        <v>0.66365169973560911</v>
      </c>
      <c r="AA86">
        <f>+AA84+Z86</f>
        <v>2.9663790676388988</v>
      </c>
    </row>
    <row r="87" spans="1:27">
      <c r="A87" s="8">
        <v>3</v>
      </c>
      <c r="B87" s="70">
        <v>37725</v>
      </c>
      <c r="C87" s="12">
        <v>2003</v>
      </c>
      <c r="D87" s="11" t="s">
        <v>21</v>
      </c>
      <c r="E87" s="12">
        <v>4</v>
      </c>
      <c r="F87" s="17">
        <v>7.8579158920229677</v>
      </c>
      <c r="G87" s="17">
        <v>8.6212233278918082E-2</v>
      </c>
    </row>
    <row r="88" spans="1:27">
      <c r="A88" s="8">
        <v>4</v>
      </c>
      <c r="B88" s="70">
        <v>37725</v>
      </c>
      <c r="C88" s="12">
        <v>2003</v>
      </c>
      <c r="D88" s="11" t="s">
        <v>21</v>
      </c>
      <c r="E88" s="12">
        <v>4</v>
      </c>
      <c r="F88" s="17">
        <v>6.4005604422385955</v>
      </c>
      <c r="G88" s="17">
        <v>8.620263791525018E-2</v>
      </c>
      <c r="I88" s="27">
        <f>AVERAGE(F87:F88)</f>
        <v>7.1292381671307812</v>
      </c>
      <c r="J88" s="27">
        <f>AVERAGE(G87:G88)</f>
        <v>8.6207435597084131E-2</v>
      </c>
      <c r="L88">
        <f>+J88/I88</f>
        <v>1.2092096459133866E-2</v>
      </c>
      <c r="M88">
        <f>+(L88-$L$619)/$L$620</f>
        <v>-0.75848131618405323</v>
      </c>
      <c r="N88">
        <f>+N86+M88</f>
        <v>-10.478182799166085</v>
      </c>
      <c r="Z88">
        <f>+(I88-$F$619)/$F$620</f>
        <v>-0.46499375077853977</v>
      </c>
      <c r="AA88">
        <f>+AA86+Z88</f>
        <v>2.5013853168603593</v>
      </c>
    </row>
    <row r="89" spans="1:27">
      <c r="A89" s="8">
        <v>3</v>
      </c>
      <c r="B89" s="70">
        <v>37753</v>
      </c>
      <c r="C89" s="12">
        <v>2003</v>
      </c>
      <c r="D89" s="11" t="s">
        <v>22</v>
      </c>
      <c r="E89" s="12">
        <v>5</v>
      </c>
      <c r="F89" s="17">
        <v>10.79591590739744</v>
      </c>
      <c r="G89" s="17">
        <v>0.43182370324431757</v>
      </c>
    </row>
    <row r="90" spans="1:27">
      <c r="A90" s="8">
        <v>4</v>
      </c>
      <c r="B90" s="70">
        <v>37753</v>
      </c>
      <c r="C90" s="12">
        <v>2003</v>
      </c>
      <c r="D90" s="11" t="s">
        <v>22</v>
      </c>
      <c r="E90" s="12">
        <v>5</v>
      </c>
      <c r="F90" s="17">
        <v>10.655932434325212</v>
      </c>
      <c r="G90" s="17">
        <v>0.87571892337325619</v>
      </c>
      <c r="I90" s="27">
        <f>AVERAGE(F89:F90)</f>
        <v>10.725924170861326</v>
      </c>
      <c r="J90" s="27">
        <f>AVERAGE(G89:G90)</f>
        <v>0.65377131330878691</v>
      </c>
      <c r="L90">
        <f>+J90/I90</f>
        <v>6.0952445951917164E-2</v>
      </c>
      <c r="M90">
        <f>+(L90-$L$619)/$L$620</f>
        <v>2.0919194274848809E-2</v>
      </c>
      <c r="N90">
        <f>+N88+M90</f>
        <v>-10.457263604891235</v>
      </c>
      <c r="Z90">
        <f>+(I90-$F$619)/$F$620</f>
        <v>-0.10773272416279146</v>
      </c>
      <c r="AA90">
        <f>+AA88+Z90</f>
        <v>2.3936525926975678</v>
      </c>
    </row>
    <row r="91" spans="1:27">
      <c r="A91" s="8">
        <v>3</v>
      </c>
      <c r="B91" s="70">
        <v>37792</v>
      </c>
      <c r="C91" s="12">
        <v>2003</v>
      </c>
      <c r="D91" s="11" t="s">
        <v>23</v>
      </c>
      <c r="E91" s="12">
        <v>6</v>
      </c>
      <c r="F91" s="17">
        <v>28.830816302160009</v>
      </c>
      <c r="G91" s="17">
        <v>2.624699768341257</v>
      </c>
    </row>
    <row r="92" spans="1:27">
      <c r="A92" s="8">
        <v>4</v>
      </c>
      <c r="B92" s="70">
        <v>37792</v>
      </c>
      <c r="C92" s="12">
        <v>2003</v>
      </c>
      <c r="D92" s="11" t="s">
        <v>23</v>
      </c>
      <c r="E92" s="12">
        <v>6</v>
      </c>
      <c r="F92" s="17">
        <v>31.750755213618987</v>
      </c>
      <c r="G92" s="17">
        <v>4.7324761306000473</v>
      </c>
      <c r="I92" s="27">
        <f>AVERAGE(F91:F92)</f>
        <v>30.290785757889498</v>
      </c>
      <c r="J92" s="27">
        <f>AVERAGE(G91:G92)</f>
        <v>3.6785879494706522</v>
      </c>
      <c r="L92">
        <f>+J92/I92</f>
        <v>0.12144247359157832</v>
      </c>
      <c r="M92">
        <f>+(L92-$L$619)/$L$620</f>
        <v>0.98583162141556113</v>
      </c>
      <c r="N92">
        <f>+N90+M92</f>
        <v>-9.4714319834756733</v>
      </c>
      <c r="Z92">
        <f>+(I92-$F$619)/$F$620</f>
        <v>1.8356569765024324</v>
      </c>
      <c r="AA92">
        <f>+AA90+Z92</f>
        <v>4.2293095691999998</v>
      </c>
    </row>
    <row r="93" spans="1:27">
      <c r="A93" s="8">
        <v>3</v>
      </c>
      <c r="B93" s="70">
        <v>37819</v>
      </c>
      <c r="C93" s="12">
        <v>2003</v>
      </c>
      <c r="D93" s="15" t="s">
        <v>24</v>
      </c>
      <c r="E93" s="12">
        <v>7</v>
      </c>
      <c r="F93" s="17">
        <v>22.777820949333798</v>
      </c>
      <c r="G93" s="17">
        <v>3.1845274111007167</v>
      </c>
    </row>
    <row r="94" spans="1:27">
      <c r="A94" s="8">
        <v>4</v>
      </c>
      <c r="B94" s="70">
        <v>37819</v>
      </c>
      <c r="C94" s="12">
        <v>2003</v>
      </c>
      <c r="D94" s="15" t="s">
        <v>24</v>
      </c>
      <c r="E94" s="12">
        <v>7</v>
      </c>
      <c r="F94" s="17">
        <v>23.060198686609905</v>
      </c>
      <c r="G94" s="17">
        <v>3.7417390353589441</v>
      </c>
      <c r="I94" s="27">
        <f>AVERAGE(F93:F94)</f>
        <v>22.919009817971851</v>
      </c>
      <c r="J94" s="27">
        <f>AVERAGE(G93:G94)</f>
        <v>3.4631332232298302</v>
      </c>
      <c r="L94">
        <f>+J94/I94</f>
        <v>0.15110309087237389</v>
      </c>
      <c r="M94">
        <f>+(L94-$L$619)/$L$620</f>
        <v>1.4589657780304797</v>
      </c>
      <c r="N94">
        <f>+N92+M94</f>
        <v>-8.0124662054451932</v>
      </c>
      <c r="Z94">
        <f>+(I94-$F$619)/$F$620</f>
        <v>1.1034139512440178</v>
      </c>
      <c r="AA94">
        <f>+AA92+Z94</f>
        <v>5.3327235204440173</v>
      </c>
    </row>
    <row r="95" spans="1:27">
      <c r="A95" s="8">
        <v>3</v>
      </c>
      <c r="B95" s="70">
        <v>37845</v>
      </c>
      <c r="C95" s="12">
        <v>2003</v>
      </c>
      <c r="D95" s="15" t="s">
        <v>25</v>
      </c>
      <c r="E95" s="12">
        <v>8</v>
      </c>
      <c r="F95" s="17">
        <v>41.826009294739215</v>
      </c>
      <c r="G95" s="17">
        <v>2.5746966183793627</v>
      </c>
    </row>
    <row r="96" spans="1:27">
      <c r="A96" s="8">
        <v>4</v>
      </c>
      <c r="B96" s="70">
        <v>37845</v>
      </c>
      <c r="C96" s="12">
        <v>2003</v>
      </c>
      <c r="D96" s="15" t="s">
        <v>25</v>
      </c>
      <c r="E96" s="12">
        <v>8</v>
      </c>
      <c r="F96" s="17">
        <v>78.047371432756734</v>
      </c>
      <c r="G96" s="17">
        <v>2.7590255490800528</v>
      </c>
      <c r="I96" s="27">
        <f>AVERAGE(F95:F96)</f>
        <v>59.936690363747971</v>
      </c>
      <c r="J96" s="27">
        <f>AVERAGE(G95:G96)</f>
        <v>2.6668610837297075</v>
      </c>
      <c r="L96">
        <f>+J96/I96</f>
        <v>4.4494633713421189E-2</v>
      </c>
      <c r="M96">
        <f>+(L96-$L$619)/$L$620</f>
        <v>-0.2416091624168101</v>
      </c>
      <c r="N96">
        <f>+N94+M96</f>
        <v>-8.2540753678620025</v>
      </c>
      <c r="Z96">
        <f>+(I96-$F$619)/$F$620</f>
        <v>4.7804028629812718</v>
      </c>
      <c r="AA96">
        <f>+AA94+Z96</f>
        <v>10.113126383425289</v>
      </c>
    </row>
    <row r="97" spans="1:27">
      <c r="A97" s="8">
        <v>3</v>
      </c>
      <c r="B97" s="70">
        <v>37888</v>
      </c>
      <c r="C97" s="12">
        <v>2003</v>
      </c>
      <c r="D97" s="15" t="s">
        <v>26</v>
      </c>
      <c r="E97" s="12">
        <v>9</v>
      </c>
      <c r="F97" s="17">
        <v>11.322446784959084</v>
      </c>
      <c r="G97" s="17">
        <v>1.1190005256627755</v>
      </c>
    </row>
    <row r="98" spans="1:27">
      <c r="A98" s="8">
        <v>4</v>
      </c>
      <c r="B98" s="70">
        <v>37888</v>
      </c>
      <c r="C98" s="12">
        <v>2003</v>
      </c>
      <c r="D98" s="15" t="s">
        <v>26</v>
      </c>
      <c r="E98" s="12">
        <v>9</v>
      </c>
      <c r="F98" s="17">
        <v>19.523304188652542</v>
      </c>
      <c r="G98" s="17">
        <v>1.9597546210092796</v>
      </c>
      <c r="I98" s="27">
        <f>AVERAGE(F97:F98)</f>
        <v>15.422875486805813</v>
      </c>
      <c r="J98" s="27">
        <f>AVERAGE(G97:G98)</f>
        <v>1.5393775733360275</v>
      </c>
      <c r="L98">
        <f>+J98/I98</f>
        <v>9.981132083008494E-2</v>
      </c>
      <c r="M98">
        <f>+(L98-$L$619)/$L$620</f>
        <v>0.64078023150250762</v>
      </c>
      <c r="N98">
        <f>+N96+M98</f>
        <v>-7.6132951363594952</v>
      </c>
      <c r="Z98">
        <f>+(I98-$F$619)/$F$620</f>
        <v>0.35881833071328828</v>
      </c>
      <c r="AA98">
        <f>+AA96+Z98</f>
        <v>10.471944714138578</v>
      </c>
    </row>
    <row r="99" spans="1:27">
      <c r="A99" s="8">
        <v>3</v>
      </c>
      <c r="B99" s="70">
        <v>37910</v>
      </c>
      <c r="C99" s="12">
        <v>2003</v>
      </c>
      <c r="D99" s="15" t="s">
        <v>14</v>
      </c>
      <c r="E99" s="12">
        <v>10</v>
      </c>
      <c r="F99" s="16">
        <v>9.7642000000000007</v>
      </c>
      <c r="G99" s="17">
        <v>0.59963481127173457</v>
      </c>
    </row>
    <row r="100" spans="1:27">
      <c r="A100" s="8">
        <v>4</v>
      </c>
      <c r="B100" s="70">
        <v>37910</v>
      </c>
      <c r="C100" s="12">
        <v>2003</v>
      </c>
      <c r="D100" s="15" t="s">
        <v>14</v>
      </c>
      <c r="E100" s="12">
        <v>10</v>
      </c>
      <c r="F100" s="16">
        <v>9.9925999999999995</v>
      </c>
      <c r="G100" s="17">
        <v>1.7748589982930474</v>
      </c>
      <c r="I100" s="27">
        <f>AVERAGE(F99:F100)</f>
        <v>9.8783999999999992</v>
      </c>
      <c r="J100" s="27">
        <f>AVERAGE(G99:G100)</f>
        <v>1.187246904782391</v>
      </c>
      <c r="L100">
        <f>+J100/I100</f>
        <v>0.120186154112244</v>
      </c>
      <c r="M100">
        <f>+(L100-$L$619)/$L$620</f>
        <v>0.96579132179311855</v>
      </c>
      <c r="N100">
        <f>+N98+M100</f>
        <v>-6.6475038145663765</v>
      </c>
      <c r="Z100">
        <f>+(I100-$F$619)/$F$620</f>
        <v>-0.19191781984518416</v>
      </c>
      <c r="AA100">
        <f>+AA98+Z100</f>
        <v>10.280026894293394</v>
      </c>
    </row>
    <row r="101" spans="1:27">
      <c r="A101" s="8">
        <v>3</v>
      </c>
      <c r="B101" s="70">
        <v>37943</v>
      </c>
      <c r="C101" s="12">
        <v>2003</v>
      </c>
      <c r="D101" s="15" t="s">
        <v>16</v>
      </c>
      <c r="E101" s="12">
        <v>11</v>
      </c>
      <c r="F101" s="16">
        <v>3.2075999999999998</v>
      </c>
      <c r="G101" s="17">
        <v>6.4714424751670677E-2</v>
      </c>
    </row>
    <row r="102" spans="1:27">
      <c r="A102" s="8">
        <v>4</v>
      </c>
      <c r="B102" s="70">
        <v>37943</v>
      </c>
      <c r="C102" s="12">
        <v>2003</v>
      </c>
      <c r="D102" s="15" t="s">
        <v>16</v>
      </c>
      <c r="E102" s="12">
        <v>11</v>
      </c>
      <c r="F102" s="16">
        <v>5.4176000000000002</v>
      </c>
      <c r="G102" s="17">
        <v>0.19515025796215507</v>
      </c>
      <c r="I102" s="27">
        <f>AVERAGE(F101:F102)</f>
        <v>4.3125999999999998</v>
      </c>
      <c r="J102" s="27">
        <f>AVERAGE(G101:G102)</f>
        <v>0.12993234135691287</v>
      </c>
      <c r="L102">
        <f>+J102/I102</f>
        <v>3.0128539942705763E-2</v>
      </c>
      <c r="M102">
        <f>+(L102-$L$619)/$L$620</f>
        <v>-0.47077127309409555</v>
      </c>
      <c r="N102">
        <f>+N100+M102</f>
        <v>-7.1182750876604723</v>
      </c>
      <c r="Z102">
        <f>+(I102-$F$619)/$F$620</f>
        <v>-0.74477214737766373</v>
      </c>
      <c r="AA102">
        <f>+AA100+Z102</f>
        <v>9.5352547469157312</v>
      </c>
    </row>
    <row r="103" spans="1:27">
      <c r="A103" s="8">
        <v>3</v>
      </c>
      <c r="B103" s="70">
        <v>37973</v>
      </c>
      <c r="C103" s="12">
        <v>2003</v>
      </c>
      <c r="D103" s="15" t="s">
        <v>17</v>
      </c>
      <c r="E103" s="12">
        <v>12</v>
      </c>
      <c r="F103" s="16">
        <v>11.6934</v>
      </c>
      <c r="G103" s="17">
        <v>6.0767688421533454E-2</v>
      </c>
    </row>
    <row r="104" spans="1:27">
      <c r="A104" s="8">
        <v>4</v>
      </c>
      <c r="B104" s="70">
        <v>37973</v>
      </c>
      <c r="C104" s="12">
        <v>2003</v>
      </c>
      <c r="D104" s="15" t="s">
        <v>17</v>
      </c>
      <c r="E104" s="12">
        <v>12</v>
      </c>
      <c r="F104" s="16">
        <v>10.9465</v>
      </c>
      <c r="G104" s="17">
        <v>9.8620534194994156E-2</v>
      </c>
      <c r="I104" s="27">
        <f>AVERAGE(F103:F104)</f>
        <v>11.31995</v>
      </c>
      <c r="J104" s="27">
        <f>AVERAGE(G103:G104)</f>
        <v>7.9694111308263801E-2</v>
      </c>
      <c r="L104">
        <f>+J104/I104</f>
        <v>7.0401469360080035E-3</v>
      </c>
      <c r="M104">
        <f>+(L104-$L$619)/$L$620</f>
        <v>-0.83906796932943184</v>
      </c>
      <c r="N104">
        <f>+N102+M104</f>
        <v>-7.9573430569899042</v>
      </c>
      <c r="Z104">
        <f>+(I104-$F$619)/$F$620</f>
        <v>-4.8727774235488026E-2</v>
      </c>
      <c r="AA104">
        <f>+AA102+Z104</f>
        <v>9.4865269726802435</v>
      </c>
    </row>
    <row r="105" spans="1:27">
      <c r="A105" s="8">
        <v>3</v>
      </c>
      <c r="B105" s="70">
        <v>37999</v>
      </c>
      <c r="C105" s="12">
        <v>2004</v>
      </c>
      <c r="D105" s="15" t="s">
        <v>18</v>
      </c>
      <c r="E105" s="12">
        <v>1</v>
      </c>
      <c r="F105" s="16">
        <v>5.3851000000000004</v>
      </c>
      <c r="G105" s="16">
        <v>4.5632552843316042E-2</v>
      </c>
    </row>
    <row r="106" spans="1:27">
      <c r="A106" s="8">
        <v>4</v>
      </c>
      <c r="C106" s="12">
        <v>2004</v>
      </c>
      <c r="D106" s="15" t="s">
        <v>18</v>
      </c>
      <c r="E106" s="12">
        <v>1</v>
      </c>
      <c r="F106" s="16"/>
      <c r="I106" s="27">
        <f>AVERAGE(F105:F106)</f>
        <v>5.3851000000000004</v>
      </c>
      <c r="J106" s="27">
        <f>AVERAGE(G105:G106)</f>
        <v>4.5632552843316042E-2</v>
      </c>
      <c r="L106">
        <f>+J106/I106</f>
        <v>8.4738543097279597E-3</v>
      </c>
      <c r="M106">
        <f>+(L106-$L$619)/$L$620</f>
        <v>-0.81619804984408162</v>
      </c>
      <c r="N106">
        <f>+N104+M106</f>
        <v>-8.773541106833985</v>
      </c>
      <c r="Z106">
        <f>+(I106-$F$619)/$F$620</f>
        <v>-0.63824006460814542</v>
      </c>
      <c r="AA106">
        <f>+AA104+Z106</f>
        <v>8.8482869080720974</v>
      </c>
    </row>
    <row r="107" spans="1:27">
      <c r="A107" s="8">
        <v>3</v>
      </c>
      <c r="B107" s="70">
        <v>38027</v>
      </c>
      <c r="C107" s="12">
        <v>2004</v>
      </c>
      <c r="D107" s="11" t="s">
        <v>19</v>
      </c>
      <c r="E107" s="12">
        <v>2</v>
      </c>
      <c r="F107" s="16">
        <v>5.3371000000000004</v>
      </c>
      <c r="G107" s="16">
        <v>8.6273192903857099E-2</v>
      </c>
    </row>
    <row r="108" spans="1:27">
      <c r="A108" s="8">
        <v>4</v>
      </c>
      <c r="B108" s="70">
        <v>38027</v>
      </c>
      <c r="C108" s="12">
        <v>2004</v>
      </c>
      <c r="D108" s="11" t="s">
        <v>19</v>
      </c>
      <c r="E108" s="12">
        <v>2</v>
      </c>
      <c r="F108" s="16">
        <v>2.6084999999999998</v>
      </c>
      <c r="G108" s="16">
        <v>0.11624733969784859</v>
      </c>
      <c r="I108" s="27">
        <f>AVERAGE(F107:F108)</f>
        <v>3.9728000000000003</v>
      </c>
      <c r="J108" s="27">
        <f>AVERAGE(G107:G108)</f>
        <v>0.10126026630085284</v>
      </c>
      <c r="L108">
        <f>+J108/I108</f>
        <v>2.5488387610967791E-2</v>
      </c>
      <c r="M108">
        <f>+(L108-$L$619)/$L$620</f>
        <v>-0.54478910418836157</v>
      </c>
      <c r="N108">
        <f>+N106+M108</f>
        <v>-9.3183302110223458</v>
      </c>
      <c r="Z108">
        <f>+(I108-$F$619)/$F$620</f>
        <v>-0.77852468977867273</v>
      </c>
      <c r="AA108">
        <f>+AA106+Z108</f>
        <v>8.069762218293425</v>
      </c>
    </row>
    <row r="109" spans="1:27">
      <c r="A109" s="8">
        <v>3</v>
      </c>
      <c r="B109" s="70">
        <v>38063</v>
      </c>
      <c r="C109" s="12">
        <v>2004</v>
      </c>
      <c r="D109" s="11" t="s">
        <v>20</v>
      </c>
      <c r="E109" s="12">
        <v>3</v>
      </c>
      <c r="F109" s="16">
        <v>13.4383</v>
      </c>
      <c r="G109" s="16">
        <v>4.7206611592298914E-2</v>
      </c>
    </row>
    <row r="110" spans="1:27">
      <c r="A110" s="8">
        <v>4</v>
      </c>
      <c r="B110" s="70">
        <v>38063</v>
      </c>
      <c r="C110" s="12">
        <v>2004</v>
      </c>
      <c r="D110" s="11" t="s">
        <v>20</v>
      </c>
      <c r="E110" s="12">
        <v>3</v>
      </c>
      <c r="F110" s="16">
        <v>12.3042</v>
      </c>
      <c r="G110" s="16">
        <v>7.1743789554736231E-2</v>
      </c>
      <c r="I110" s="27">
        <f>AVERAGE(F109:F110)</f>
        <v>12.87125</v>
      </c>
      <c r="J110" s="27">
        <f>AVERAGE(G109:G110)</f>
        <v>5.9475200573517573E-2</v>
      </c>
      <c r="L110">
        <f>+J110/I110</f>
        <v>4.6207789121893812E-3</v>
      </c>
      <c r="M110">
        <f>+(L110-$L$619)/$L$620</f>
        <v>-0.87766074838908015</v>
      </c>
      <c r="N110">
        <f>+N108+M110</f>
        <v>-10.195990959411425</v>
      </c>
      <c r="Z110">
        <f>+(I110-$F$619)/$F$620</f>
        <v>0.10536380618442202</v>
      </c>
      <c r="AA110">
        <f>+AA108+Z110</f>
        <v>8.1751260244778479</v>
      </c>
    </row>
    <row r="111" spans="1:27">
      <c r="A111" s="8">
        <v>3</v>
      </c>
      <c r="B111" s="70">
        <v>38094</v>
      </c>
      <c r="C111" s="12">
        <v>2004</v>
      </c>
      <c r="D111" s="11" t="s">
        <v>21</v>
      </c>
      <c r="E111" s="12">
        <v>4</v>
      </c>
      <c r="F111" s="16">
        <v>5.4115000000000002</v>
      </c>
      <c r="G111" s="21">
        <v>7.0277115039891938E-2</v>
      </c>
    </row>
    <row r="112" spans="1:27">
      <c r="A112" s="8">
        <v>4</v>
      </c>
      <c r="B112" s="70">
        <v>38094</v>
      </c>
      <c r="C112" s="12">
        <v>2004</v>
      </c>
      <c r="D112" s="11" t="s">
        <v>21</v>
      </c>
      <c r="E112" s="12">
        <v>4</v>
      </c>
      <c r="F112" s="16">
        <v>5.7423999999999999</v>
      </c>
      <c r="G112" s="21">
        <v>7.4200041663514404E-2</v>
      </c>
      <c r="I112" s="27">
        <f>AVERAGE(F111:F112)</f>
        <v>5.5769500000000001</v>
      </c>
      <c r="J112" s="27">
        <f>AVERAGE(G111:G112)</f>
        <v>7.2238578351703164E-2</v>
      </c>
      <c r="L112">
        <f>+J112/I112</f>
        <v>1.2953061862075716E-2</v>
      </c>
      <c r="M112">
        <f>+(L112-$L$619)/$L$620</f>
        <v>-0.74474754470050208</v>
      </c>
      <c r="N112">
        <f>+N110+M112</f>
        <v>-10.940738504111927</v>
      </c>
      <c r="Z112">
        <f>+(I112-$F$619)/$F$620</f>
        <v>-0.61918348644559806</v>
      </c>
      <c r="AA112">
        <f>+AA110+Z112</f>
        <v>7.5559425380322498</v>
      </c>
    </row>
    <row r="113" spans="1:27">
      <c r="A113" s="8">
        <v>3</v>
      </c>
      <c r="B113" s="70">
        <v>38118</v>
      </c>
      <c r="C113" s="12">
        <v>2004</v>
      </c>
      <c r="D113" s="11" t="s">
        <v>22</v>
      </c>
      <c r="E113" s="12">
        <v>5</v>
      </c>
      <c r="F113" s="16">
        <v>3.6282999999999999</v>
      </c>
      <c r="G113" s="21">
        <v>0.38247653781114183</v>
      </c>
    </row>
    <row r="114" spans="1:27">
      <c r="A114" s="8">
        <v>4</v>
      </c>
      <c r="B114" s="70">
        <v>38118</v>
      </c>
      <c r="C114" s="12">
        <v>2004</v>
      </c>
      <c r="D114" s="11" t="s">
        <v>22</v>
      </c>
      <c r="E114" s="12">
        <v>5</v>
      </c>
      <c r="F114" s="16">
        <v>4.9854000000000003</v>
      </c>
      <c r="G114" s="21">
        <v>0.94308726872628312</v>
      </c>
      <c r="I114" s="27">
        <f>AVERAGE(F113:F114)</f>
        <v>4.3068499999999998</v>
      </c>
      <c r="J114" s="27">
        <f>AVERAGE(G113:G114)</f>
        <v>0.66278190326871245</v>
      </c>
      <c r="L114">
        <f>+J114/I114</f>
        <v>0.15389017571280925</v>
      </c>
      <c r="M114">
        <f>+(L114-$L$619)/$L$620</f>
        <v>1.5034242268520221</v>
      </c>
      <c r="N114">
        <f>+N112+M114</f>
        <v>-9.4373142772599046</v>
      </c>
      <c r="Z114">
        <f>+(I114-$F$619)/$F$620</f>
        <v>-0.74534329840416691</v>
      </c>
      <c r="AA114">
        <f>+AA112+Z114</f>
        <v>6.8105992396280826</v>
      </c>
    </row>
    <row r="115" spans="1:27">
      <c r="A115" s="8">
        <v>3</v>
      </c>
      <c r="B115" s="70">
        <v>38153</v>
      </c>
      <c r="C115" s="12">
        <v>2004</v>
      </c>
      <c r="D115" s="11" t="s">
        <v>23</v>
      </c>
      <c r="E115" s="12">
        <v>6</v>
      </c>
      <c r="F115" s="16">
        <v>18.753</v>
      </c>
      <c r="G115" s="21">
        <v>2.3008646817213165</v>
      </c>
    </row>
    <row r="116" spans="1:27">
      <c r="A116" s="8">
        <v>4</v>
      </c>
      <c r="B116" s="70">
        <v>38153</v>
      </c>
      <c r="C116" s="12">
        <v>2004</v>
      </c>
      <c r="D116" s="11" t="s">
        <v>23</v>
      </c>
      <c r="E116" s="12">
        <v>6</v>
      </c>
      <c r="F116" s="16">
        <v>13.9351</v>
      </c>
      <c r="G116" s="21">
        <v>3.0454821386171358</v>
      </c>
      <c r="I116" s="27">
        <f>AVERAGE(F115:F116)</f>
        <v>16.344049999999999</v>
      </c>
      <c r="J116" s="27">
        <f>AVERAGE(G115:G116)</f>
        <v>2.6731734101692259</v>
      </c>
      <c r="L116">
        <f>+J116/I116</f>
        <v>0.16355636517076405</v>
      </c>
      <c r="M116">
        <f>+(L116-$L$619)/$L$620</f>
        <v>1.657615367028684</v>
      </c>
      <c r="N116">
        <f>+N114+M116</f>
        <v>-7.7796989102312208</v>
      </c>
      <c r="Z116">
        <f>+(I116-$F$619)/$F$620</f>
        <v>0.45031916006972061</v>
      </c>
      <c r="AA116">
        <f>+AA114+Z116</f>
        <v>7.2609183996978031</v>
      </c>
    </row>
    <row r="117" spans="1:27">
      <c r="A117" s="8">
        <v>3</v>
      </c>
      <c r="B117" s="70">
        <v>38181</v>
      </c>
      <c r="C117" s="12">
        <v>2004</v>
      </c>
      <c r="D117" s="15" t="s">
        <v>24</v>
      </c>
      <c r="E117" s="12">
        <v>7</v>
      </c>
      <c r="F117" s="16">
        <v>20.0915</v>
      </c>
      <c r="G117" s="21">
        <v>2.3369501123278074</v>
      </c>
    </row>
    <row r="118" spans="1:27">
      <c r="A118" s="8">
        <v>4</v>
      </c>
      <c r="B118" s="70">
        <v>38181</v>
      </c>
      <c r="C118" s="12">
        <v>2004</v>
      </c>
      <c r="D118" s="15" t="s">
        <v>24</v>
      </c>
      <c r="E118" s="12">
        <v>7</v>
      </c>
      <c r="F118" s="16">
        <v>15.782</v>
      </c>
      <c r="G118" s="21">
        <v>2.3074698043944819</v>
      </c>
      <c r="I118" s="27">
        <f>AVERAGE(F117:F118)</f>
        <v>17.93675</v>
      </c>
      <c r="J118" s="27">
        <f>AVERAGE(G117:G118)</f>
        <v>2.3222099583611446</v>
      </c>
      <c r="L118">
        <f>+J118/I118</f>
        <v>0.1294665955851057</v>
      </c>
      <c r="M118">
        <f>+(L118-$L$619)/$L$620</f>
        <v>1.113829166309575</v>
      </c>
      <c r="N118">
        <f>+N116+M118</f>
        <v>-6.6658697439216459</v>
      </c>
      <c r="Z118">
        <f>+(I118-$F$619)/$F$620</f>
        <v>0.60852302788045409</v>
      </c>
      <c r="AA118">
        <f>+AA116+Z118</f>
        <v>7.8694414275782574</v>
      </c>
    </row>
    <row r="119" spans="1:27">
      <c r="A119" s="8">
        <v>3</v>
      </c>
      <c r="B119" s="70">
        <v>38217</v>
      </c>
      <c r="C119" s="12">
        <v>2004</v>
      </c>
      <c r="D119" s="15" t="s">
        <v>25</v>
      </c>
      <c r="E119" s="12">
        <v>8</v>
      </c>
      <c r="F119" s="16">
        <v>10.997999999999999</v>
      </c>
      <c r="G119" s="20"/>
    </row>
    <row r="120" spans="1:27">
      <c r="A120" s="8">
        <v>4</v>
      </c>
      <c r="B120" s="70">
        <v>38217</v>
      </c>
      <c r="C120" s="12">
        <v>2004</v>
      </c>
      <c r="D120" s="15" t="s">
        <v>25</v>
      </c>
      <c r="E120" s="12">
        <v>8</v>
      </c>
      <c r="F120" s="16">
        <v>45.216900000000003</v>
      </c>
      <c r="G120" s="20"/>
      <c r="I120" s="27">
        <f>AVERAGE(F119:F120)</f>
        <v>28.10745</v>
      </c>
      <c r="J120" s="27" t="e">
        <f>AVERAGE(G119:G120)</f>
        <v>#DIV/0!</v>
      </c>
      <c r="Z120">
        <f>+(I120-$F$619)/$F$620</f>
        <v>1.6187848966207232</v>
      </c>
      <c r="AA120">
        <f>+AA118+Z120</f>
        <v>9.4882263241989797</v>
      </c>
    </row>
    <row r="121" spans="1:27">
      <c r="A121" s="8">
        <v>3</v>
      </c>
      <c r="B121" s="70">
        <v>38244</v>
      </c>
      <c r="C121" s="12">
        <v>2004</v>
      </c>
      <c r="D121" s="15" t="s">
        <v>26</v>
      </c>
      <c r="E121" s="12">
        <v>9</v>
      </c>
      <c r="F121" s="16">
        <v>12.7507</v>
      </c>
      <c r="G121" s="21">
        <v>1.5251476549326533</v>
      </c>
    </row>
    <row r="122" spans="1:27">
      <c r="A122" s="8">
        <v>4</v>
      </c>
      <c r="B122" s="70">
        <v>38244</v>
      </c>
      <c r="C122" s="12">
        <v>2004</v>
      </c>
      <c r="D122" s="15" t="s">
        <v>26</v>
      </c>
      <c r="E122" s="12">
        <v>9</v>
      </c>
      <c r="F122" s="16">
        <v>14.0365</v>
      </c>
      <c r="G122" s="21">
        <v>1.6940551311670464</v>
      </c>
      <c r="I122" s="27">
        <f>AVERAGE(F121:F122)</f>
        <v>13.393599999999999</v>
      </c>
      <c r="J122" s="27">
        <f>AVERAGE(G121:G122)</f>
        <v>1.6096013930498498</v>
      </c>
      <c r="L122">
        <f>+J122/I122</f>
        <v>0.12017690486873207</v>
      </c>
      <c r="M122">
        <f>+(L122-$L$619)/$L$620</f>
        <v>0.96564378160584219</v>
      </c>
      <c r="N122">
        <f>+N118+M122</f>
        <v>-5.7002259623158036</v>
      </c>
      <c r="Z122">
        <f>+(I122-$F$619)/$F$620</f>
        <v>0.15724915204424278</v>
      </c>
      <c r="AA122">
        <f>+AA120+Z122</f>
        <v>9.645475476243222</v>
      </c>
    </row>
    <row r="123" spans="1:27">
      <c r="A123" s="8">
        <v>3</v>
      </c>
      <c r="B123" s="70">
        <v>38272</v>
      </c>
      <c r="C123" s="12">
        <v>2004</v>
      </c>
      <c r="D123" s="15" t="s">
        <v>14</v>
      </c>
      <c r="E123" s="12">
        <v>10</v>
      </c>
      <c r="F123" s="17">
        <v>7.8767199999999997</v>
      </c>
      <c r="G123" s="17">
        <v>0.96561455546181008</v>
      </c>
    </row>
    <row r="124" spans="1:27">
      <c r="A124" s="8">
        <v>4</v>
      </c>
      <c r="B124" s="70">
        <v>38272</v>
      </c>
      <c r="C124" s="12">
        <v>2004</v>
      </c>
      <c r="D124" s="15" t="s">
        <v>14</v>
      </c>
      <c r="E124" s="12">
        <v>10</v>
      </c>
      <c r="F124" s="17">
        <v>6.2694200000000002</v>
      </c>
      <c r="G124" s="17">
        <v>1.3525203208672503</v>
      </c>
      <c r="I124" s="27">
        <f>AVERAGE(F123:F124)</f>
        <v>7.0730699999999995</v>
      </c>
      <c r="J124" s="27">
        <f>AVERAGE(G123:G124)</f>
        <v>1.1590674381645303</v>
      </c>
      <c r="L124">
        <f>+J124/I124</f>
        <v>0.16387048879263608</v>
      </c>
      <c r="M124">
        <f>+(L124-$L$619)/$L$620</f>
        <v>1.6626261398490956</v>
      </c>
      <c r="N124">
        <f>+N122+M124</f>
        <v>-4.0375998224667082</v>
      </c>
      <c r="Z124">
        <f>+(I124-$F$619)/$F$620</f>
        <v>-0.47057296926785308</v>
      </c>
      <c r="AA124">
        <f>+AA122+Z124</f>
        <v>9.1749025069753696</v>
      </c>
    </row>
    <row r="125" spans="1:27">
      <c r="A125" s="8">
        <v>3</v>
      </c>
      <c r="B125" s="70">
        <v>38306</v>
      </c>
      <c r="C125" s="12">
        <v>2004</v>
      </c>
      <c r="D125" s="15" t="s">
        <v>16</v>
      </c>
      <c r="E125" s="12">
        <v>11</v>
      </c>
      <c r="F125" s="17">
        <v>6.0825500000000003</v>
      </c>
      <c r="G125" s="17">
        <v>7.4091233090591221E-2</v>
      </c>
    </row>
    <row r="126" spans="1:27">
      <c r="A126" s="8">
        <v>4</v>
      </c>
      <c r="B126" s="70">
        <v>38306</v>
      </c>
      <c r="C126" s="12">
        <v>2004</v>
      </c>
      <c r="D126" s="15" t="s">
        <v>16</v>
      </c>
      <c r="E126" s="12">
        <v>11</v>
      </c>
      <c r="F126" s="17">
        <v>6.7589899999999998</v>
      </c>
      <c r="G126" s="17">
        <v>0.11067275267299027</v>
      </c>
      <c r="I126" s="27">
        <f>AVERAGE(F125:F126)</f>
        <v>6.4207700000000001</v>
      </c>
      <c r="J126" s="27">
        <f>AVERAGE(G125:G126)</f>
        <v>9.2381992881790748E-2</v>
      </c>
      <c r="L126">
        <f>+J126/I126</f>
        <v>1.4387992854718475E-2</v>
      </c>
      <c r="M126">
        <f>+(L126-$L$619)/$L$620</f>
        <v>-0.72185810654156612</v>
      </c>
      <c r="N126">
        <f>+N124+M126</f>
        <v>-4.7594579290082741</v>
      </c>
      <c r="Z126">
        <f>+(I126-$F$619)/$F$620</f>
        <v>-0.53536632832664721</v>
      </c>
      <c r="AA126">
        <f>+AA124+Z126</f>
        <v>8.6395361786487221</v>
      </c>
    </row>
    <row r="127" spans="1:27">
      <c r="A127" s="8">
        <v>3</v>
      </c>
      <c r="B127" s="70">
        <v>38336</v>
      </c>
      <c r="C127" s="12">
        <v>2004</v>
      </c>
      <c r="D127" s="15" t="s">
        <v>17</v>
      </c>
      <c r="E127" s="12">
        <v>12</v>
      </c>
      <c r="F127" s="17">
        <v>4.2297099999999999</v>
      </c>
      <c r="G127" s="17">
        <v>4.1446856512349708E-2</v>
      </c>
    </row>
    <row r="128" spans="1:27">
      <c r="A128" s="8">
        <v>4</v>
      </c>
      <c r="B128" s="70">
        <v>38336</v>
      </c>
      <c r="C128" s="12">
        <v>2004</v>
      </c>
      <c r="D128" s="15" t="s">
        <v>17</v>
      </c>
      <c r="E128" s="12">
        <v>12</v>
      </c>
      <c r="F128" s="17">
        <v>12.044879999999999</v>
      </c>
      <c r="G128" s="17">
        <v>0.11189090018110737</v>
      </c>
      <c r="I128" s="27">
        <f>AVERAGE(F127:F128)</f>
        <v>8.1372949999999999</v>
      </c>
      <c r="J128" s="27">
        <f>AVERAGE(G127:G128)</f>
        <v>7.6668878346728531E-2</v>
      </c>
      <c r="L128">
        <f>+J128/I128</f>
        <v>9.4219121153563349E-3</v>
      </c>
      <c r="M128">
        <f>+(L128-$L$619)/$L$620</f>
        <v>-0.80107501561853978</v>
      </c>
      <c r="N128">
        <f>+N126+M128</f>
        <v>-5.5605329446268144</v>
      </c>
      <c r="Z128">
        <f>+(I128-$F$619)/$F$620</f>
        <v>-0.36486284732343299</v>
      </c>
      <c r="AA128">
        <f>+AA126+Z128</f>
        <v>8.2746733313252889</v>
      </c>
    </row>
    <row r="129" spans="1:27">
      <c r="A129" s="8">
        <v>3</v>
      </c>
      <c r="B129" s="75">
        <v>38362</v>
      </c>
      <c r="C129" s="12">
        <v>2005</v>
      </c>
      <c r="D129" s="15" t="s">
        <v>18</v>
      </c>
      <c r="E129" s="12">
        <v>1</v>
      </c>
      <c r="F129" s="17">
        <v>6.4647300000000003</v>
      </c>
      <c r="G129" s="17">
        <v>2.4594402325787579E-2</v>
      </c>
    </row>
    <row r="130" spans="1:27">
      <c r="A130" s="8">
        <v>4</v>
      </c>
      <c r="B130" s="75">
        <v>38362</v>
      </c>
      <c r="C130" s="12">
        <v>2005</v>
      </c>
      <c r="D130" s="15" t="s">
        <v>18</v>
      </c>
      <c r="E130" s="12">
        <v>1</v>
      </c>
      <c r="F130" s="17">
        <v>7.8801500000000004</v>
      </c>
      <c r="G130" s="17">
        <v>2.3835237777805787E-2</v>
      </c>
      <c r="I130" s="27">
        <f>AVERAGE(F129:F130)</f>
        <v>7.1724399999999999</v>
      </c>
      <c r="J130" s="27">
        <f>AVERAGE(G129:G130)</f>
        <v>2.4214820051796683E-2</v>
      </c>
      <c r="L130">
        <f>+J130/I130</f>
        <v>3.3760923830379458E-3</v>
      </c>
      <c r="M130">
        <f>+(L130-$L$619)/$L$620</f>
        <v>-0.89751548390064728</v>
      </c>
      <c r="N130">
        <f>+N128+M130</f>
        <v>-6.4580484285274613</v>
      </c>
      <c r="Z130">
        <f>+(I130-$F$619)/$F$620</f>
        <v>-0.46070248622374393</v>
      </c>
      <c r="AA130">
        <f>+AA128+Z130</f>
        <v>7.8139708451015446</v>
      </c>
    </row>
    <row r="131" spans="1:27">
      <c r="A131" s="8">
        <v>3</v>
      </c>
      <c r="B131" s="75">
        <v>38399</v>
      </c>
      <c r="C131" s="12">
        <v>2005</v>
      </c>
      <c r="D131" s="11" t="s">
        <v>19</v>
      </c>
      <c r="E131" s="12">
        <v>2</v>
      </c>
      <c r="F131" s="17">
        <v>3.33995</v>
      </c>
      <c r="G131" s="17">
        <v>3.1026385013023614E-2</v>
      </c>
    </row>
    <row r="132" spans="1:27">
      <c r="A132" s="8">
        <v>4</v>
      </c>
      <c r="B132" s="75">
        <v>38399</v>
      </c>
      <c r="C132" s="12">
        <v>2005</v>
      </c>
      <c r="D132" s="11" t="s">
        <v>19</v>
      </c>
      <c r="E132" s="12">
        <v>2</v>
      </c>
      <c r="F132" s="17">
        <v>3.9554900000000002</v>
      </c>
      <c r="G132" s="17">
        <v>4.4375618989859575E-2</v>
      </c>
      <c r="I132" s="27">
        <f>AVERAGE(F131:F132)</f>
        <v>3.6477200000000001</v>
      </c>
      <c r="J132" s="27">
        <f>AVERAGE(G131:G132)</f>
        <v>3.7701002001441594E-2</v>
      </c>
      <c r="L132">
        <f>+J132/I132</f>
        <v>1.0335497790795784E-2</v>
      </c>
      <c r="M132">
        <f>+(L132-$L$619)/$L$620</f>
        <v>-0.78650186685523393</v>
      </c>
      <c r="N132">
        <f>+N130+M132</f>
        <v>-7.2445502953826955</v>
      </c>
      <c r="Z132">
        <f>+(I132-$F$619)/$F$620</f>
        <v>-0.81081508555183368</v>
      </c>
      <c r="AA132">
        <f>+AA130+Z132</f>
        <v>7.0031557595497107</v>
      </c>
    </row>
    <row r="133" spans="1:27">
      <c r="A133" s="8">
        <v>3</v>
      </c>
      <c r="B133" s="75">
        <v>38428</v>
      </c>
      <c r="C133" s="12">
        <v>2005</v>
      </c>
      <c r="D133" s="11" t="s">
        <v>20</v>
      </c>
      <c r="E133" s="12">
        <v>3</v>
      </c>
      <c r="F133" s="17">
        <v>1.1633800000000001</v>
      </c>
      <c r="G133" s="17">
        <v>8.4816007377382895E-3</v>
      </c>
    </row>
    <row r="134" spans="1:27">
      <c r="A134" s="8">
        <v>4</v>
      </c>
      <c r="B134" s="75">
        <v>38428</v>
      </c>
      <c r="C134" s="12">
        <v>2005</v>
      </c>
      <c r="D134" s="11" t="s">
        <v>20</v>
      </c>
      <c r="E134" s="12">
        <v>3</v>
      </c>
      <c r="F134" s="17">
        <v>2.8252999999999999</v>
      </c>
      <c r="G134" s="17">
        <v>2.7404164700148927E-2</v>
      </c>
      <c r="I134" s="27">
        <f>AVERAGE(F133:F134)</f>
        <v>1.99434</v>
      </c>
      <c r="J134" s="27">
        <f>AVERAGE(G133:G134)</f>
        <v>1.7942882718943606E-2</v>
      </c>
      <c r="L134">
        <f>+J134/I134</f>
        <v>8.9969025938122921E-3</v>
      </c>
      <c r="M134">
        <f>+(L134-$L$619)/$L$620</f>
        <v>-0.80785459541033489</v>
      </c>
      <c r="N134">
        <f>+N132+M134</f>
        <v>-8.0524048907930297</v>
      </c>
      <c r="Z134">
        <f>+(I134-$F$619)/$F$620</f>
        <v>-0.97504633497790927</v>
      </c>
      <c r="AA134">
        <f>+AA132+Z134</f>
        <v>6.0281094245718014</v>
      </c>
    </row>
    <row r="135" spans="1:27">
      <c r="A135" s="8">
        <v>3</v>
      </c>
      <c r="B135" s="75">
        <v>38469</v>
      </c>
      <c r="C135" s="12">
        <v>2005</v>
      </c>
      <c r="D135" s="11" t="s">
        <v>21</v>
      </c>
      <c r="E135" s="12">
        <v>4</v>
      </c>
      <c r="F135" s="17">
        <v>3.2155200000000002</v>
      </c>
      <c r="G135" s="17">
        <v>6.9128398466088245E-2</v>
      </c>
    </row>
    <row r="136" spans="1:27">
      <c r="A136" s="8">
        <v>4</v>
      </c>
      <c r="B136" s="75">
        <v>38469</v>
      </c>
      <c r="C136" s="12">
        <v>2005</v>
      </c>
      <c r="D136" s="11" t="s">
        <v>21</v>
      </c>
      <c r="E136" s="12">
        <v>4</v>
      </c>
      <c r="F136" s="17">
        <v>5.28355</v>
      </c>
      <c r="G136" s="17">
        <v>0.14760352285800149</v>
      </c>
      <c r="I136" s="27">
        <f>AVERAGE(F135:F136)</f>
        <v>4.2495349999999998</v>
      </c>
      <c r="J136" s="27">
        <f>AVERAGE(G135:G136)</f>
        <v>0.10836596066204487</v>
      </c>
      <c r="L136">
        <f>+J136/I136</f>
        <v>2.5500663169510284E-2</v>
      </c>
      <c r="M136">
        <f>+(L136-$L$619)/$L$620</f>
        <v>-0.54459328944914043</v>
      </c>
      <c r="N136">
        <f>+N134+M136</f>
        <v>-8.5969981802421707</v>
      </c>
      <c r="Z136">
        <f>+(I136-$F$619)/$F$620</f>
        <v>-0.75103643250573804</v>
      </c>
      <c r="AA136">
        <f>+AA134+Z136</f>
        <v>5.2770729920660635</v>
      </c>
    </row>
    <row r="137" spans="1:27">
      <c r="A137" s="8">
        <v>3</v>
      </c>
      <c r="B137" s="75">
        <v>38490</v>
      </c>
      <c r="C137" s="12">
        <v>2005</v>
      </c>
      <c r="D137" s="11" t="s">
        <v>22</v>
      </c>
      <c r="E137" s="12">
        <v>5</v>
      </c>
      <c r="F137" s="17">
        <v>10.451129999999999</v>
      </c>
      <c r="G137" s="17">
        <v>0.31513152104532005</v>
      </c>
    </row>
    <row r="138" spans="1:27">
      <c r="A138" s="8">
        <v>4</v>
      </c>
      <c r="B138" s="75">
        <v>38490</v>
      </c>
      <c r="C138" s="12">
        <v>2005</v>
      </c>
      <c r="D138" s="11" t="s">
        <v>22</v>
      </c>
      <c r="E138" s="12">
        <v>5</v>
      </c>
      <c r="F138" s="17">
        <v>10.21026</v>
      </c>
      <c r="G138" s="17">
        <v>0.51337113549156588</v>
      </c>
      <c r="I138" s="27">
        <f>AVERAGE(F137:F138)</f>
        <v>10.330694999999999</v>
      </c>
      <c r="J138" s="27">
        <f>AVERAGE(G137:G138)</f>
        <v>0.41425132826844296</v>
      </c>
      <c r="L138">
        <f>+J138/I138</f>
        <v>4.0099076419199582E-2</v>
      </c>
      <c r="M138">
        <f>+(L138-$L$619)/$L$620</f>
        <v>-0.31172531251462465</v>
      </c>
      <c r="N138">
        <f>+N136+M138</f>
        <v>-8.9087234927567955</v>
      </c>
      <c r="Z138">
        <f>+(I138-$F$619)/$F$620</f>
        <v>-0.14699108010043899</v>
      </c>
      <c r="AA138">
        <f>+AA136+Z138</f>
        <v>5.1300819119656245</v>
      </c>
    </row>
    <row r="139" spans="1:27">
      <c r="A139" s="8">
        <v>3</v>
      </c>
      <c r="B139" s="75">
        <v>38518</v>
      </c>
      <c r="C139" s="12">
        <v>2005</v>
      </c>
      <c r="D139" s="11" t="s">
        <v>23</v>
      </c>
      <c r="E139" s="12">
        <v>6</v>
      </c>
      <c r="F139" s="17">
        <v>13.36988</v>
      </c>
      <c r="G139" s="17">
        <v>1.301783497139914</v>
      </c>
    </row>
    <row r="140" spans="1:27">
      <c r="A140" s="8">
        <v>4</v>
      </c>
      <c r="B140" s="75">
        <v>38518</v>
      </c>
      <c r="C140" s="12">
        <v>2005</v>
      </c>
      <c r="D140" s="11" t="s">
        <v>23</v>
      </c>
      <c r="E140" s="12">
        <v>6</v>
      </c>
      <c r="F140" s="17">
        <v>16.137519999999999</v>
      </c>
      <c r="G140" s="17">
        <v>2.793553318231409</v>
      </c>
      <c r="I140" s="27">
        <f>AVERAGE(F139:F140)</f>
        <v>14.753699999999998</v>
      </c>
      <c r="J140" s="27">
        <f>AVERAGE(G139:G140)</f>
        <v>2.0476684076856615</v>
      </c>
      <c r="L140">
        <f>+J140/I140</f>
        <v>0.13879016163305893</v>
      </c>
      <c r="M140">
        <f>+(L140-$L$619)/$L$620</f>
        <v>1.262554916585785</v>
      </c>
      <c r="N140">
        <f>+N138+M140</f>
        <v>-7.6461685761710108</v>
      </c>
      <c r="Z140">
        <f>+(I140-$F$619)/$F$620</f>
        <v>0.29234871920025363</v>
      </c>
      <c r="AA140">
        <f>+AA138+Z140</f>
        <v>5.4224306311658781</v>
      </c>
    </row>
    <row r="141" spans="1:27">
      <c r="A141" s="8">
        <v>3</v>
      </c>
      <c r="B141" s="75">
        <v>38547</v>
      </c>
      <c r="C141" s="12">
        <v>2005</v>
      </c>
      <c r="D141" s="15" t="s">
        <v>24</v>
      </c>
      <c r="E141" s="12">
        <v>7</v>
      </c>
      <c r="F141" s="17">
        <v>21.922049999999999</v>
      </c>
      <c r="G141" s="17">
        <v>1.8903261202070181</v>
      </c>
    </row>
    <row r="142" spans="1:27">
      <c r="A142" s="8">
        <v>4</v>
      </c>
      <c r="B142" s="75">
        <v>38547</v>
      </c>
      <c r="C142" s="12">
        <v>2005</v>
      </c>
      <c r="D142" s="15" t="s">
        <v>24</v>
      </c>
      <c r="E142" s="12">
        <v>7</v>
      </c>
      <c r="F142" s="17">
        <v>23.777570000000001</v>
      </c>
      <c r="G142" s="17">
        <v>1.9867539907154301</v>
      </c>
      <c r="I142" s="27">
        <f>AVERAGE(F141:F142)</f>
        <v>22.849809999999998</v>
      </c>
      <c r="J142" s="27">
        <f>AVERAGE(G141:G142)</f>
        <v>1.9385400554612242</v>
      </c>
      <c r="L142">
        <f>+J142/I142</f>
        <v>8.4838344627864493E-2</v>
      </c>
      <c r="M142">
        <f>+(L142-$L$619)/$L$620</f>
        <v>0.40193737801814472</v>
      </c>
      <c r="N142">
        <f>+N140+M142</f>
        <v>-7.2442311981528658</v>
      </c>
      <c r="Z142">
        <f>+(I142-$F$619)/$F$620</f>
        <v>1.0965402908842852</v>
      </c>
      <c r="AA142">
        <f>+AA140+Z142</f>
        <v>6.5189709220501637</v>
      </c>
    </row>
    <row r="143" spans="1:27">
      <c r="A143" s="8">
        <v>3</v>
      </c>
      <c r="B143" s="75">
        <v>38589</v>
      </c>
      <c r="C143" s="12">
        <v>2005</v>
      </c>
      <c r="D143" s="15" t="s">
        <v>25</v>
      </c>
      <c r="E143" s="12">
        <v>8</v>
      </c>
      <c r="F143" s="17">
        <v>22.433710000000001</v>
      </c>
      <c r="G143" s="17">
        <v>1.6444007218854446</v>
      </c>
    </row>
    <row r="144" spans="1:27">
      <c r="A144" s="8">
        <v>4</v>
      </c>
      <c r="B144" s="75">
        <v>38589</v>
      </c>
      <c r="C144" s="12">
        <v>2005</v>
      </c>
      <c r="D144" s="15" t="s">
        <v>25</v>
      </c>
      <c r="E144" s="12">
        <v>8</v>
      </c>
      <c r="F144" s="17">
        <v>33.627569999999999</v>
      </c>
      <c r="G144" s="17">
        <v>1.9040856056105231</v>
      </c>
      <c r="I144" s="27">
        <f>AVERAGE(F143:F144)</f>
        <v>28.030639999999998</v>
      </c>
      <c r="J144" s="27">
        <f>AVERAGE(G143:G144)</f>
        <v>1.7742431637479839</v>
      </c>
      <c r="L144">
        <f>+J144/I144</f>
        <v>6.3296562752330449E-2</v>
      </c>
      <c r="M144">
        <f>+(L144-$L$619)/$L$620</f>
        <v>5.8311596289641027E-2</v>
      </c>
      <c r="N144">
        <f>+N142+M144</f>
        <v>-7.1859196018632243</v>
      </c>
      <c r="Z144">
        <f>+(I144-$F$619)/$F$620</f>
        <v>1.6111553122127726</v>
      </c>
      <c r="AA144">
        <f>+AA142+Z144</f>
        <v>8.1301262342629368</v>
      </c>
    </row>
    <row r="145" spans="1:27">
      <c r="A145" s="8">
        <v>3</v>
      </c>
      <c r="B145" s="75">
        <v>38608</v>
      </c>
      <c r="C145" s="12">
        <v>2005</v>
      </c>
      <c r="D145" s="15" t="s">
        <v>26</v>
      </c>
      <c r="E145" s="12">
        <v>9</v>
      </c>
      <c r="F145" s="17">
        <v>21.672129999999999</v>
      </c>
      <c r="G145" s="17">
        <v>3.8467312191804166</v>
      </c>
    </row>
    <row r="146" spans="1:27">
      <c r="A146" s="8">
        <v>4</v>
      </c>
      <c r="B146" s="75">
        <v>38608</v>
      </c>
      <c r="C146" s="12">
        <v>2005</v>
      </c>
      <c r="D146" s="15" t="s">
        <v>26</v>
      </c>
      <c r="E146" s="12">
        <v>9</v>
      </c>
      <c r="F146" s="17">
        <v>22.488399999999999</v>
      </c>
      <c r="G146" s="17">
        <v>4.2412191866353597</v>
      </c>
      <c r="I146" s="27">
        <f>AVERAGE(F145:F146)</f>
        <v>22.080264999999997</v>
      </c>
      <c r="J146" s="27">
        <f>AVERAGE(G145:G146)</f>
        <v>4.0439752029078884</v>
      </c>
      <c r="L146">
        <f>+J146/I146</f>
        <v>0.18314885273831127</v>
      </c>
      <c r="M146">
        <f>+(L146-$L$619)/$L$620</f>
        <v>1.9701467952691112</v>
      </c>
      <c r="N146">
        <f>+N144+M146</f>
        <v>-5.2157728065941136</v>
      </c>
      <c r="Z146">
        <f>+(I146-$F$619)/$F$620</f>
        <v>1.0201009140685566</v>
      </c>
      <c r="AA146">
        <f>+AA144+Z146</f>
        <v>9.1502271483314939</v>
      </c>
    </row>
    <row r="147" spans="1:27">
      <c r="A147" s="8">
        <v>3</v>
      </c>
      <c r="B147" s="75">
        <v>38636</v>
      </c>
      <c r="C147" s="12">
        <v>2005</v>
      </c>
      <c r="D147" s="15" t="s">
        <v>14</v>
      </c>
      <c r="E147" s="12">
        <v>10</v>
      </c>
      <c r="F147" s="17">
        <v>21.386600000000001</v>
      </c>
      <c r="G147" s="17">
        <v>0.96650000000000003</v>
      </c>
    </row>
    <row r="148" spans="1:27">
      <c r="A148" s="8">
        <v>4</v>
      </c>
      <c r="B148" s="75">
        <v>38636</v>
      </c>
      <c r="C148" s="12">
        <v>2005</v>
      </c>
      <c r="D148" s="15" t="s">
        <v>14</v>
      </c>
      <c r="E148" s="12">
        <v>10</v>
      </c>
      <c r="F148" s="17">
        <v>27.834599999999998</v>
      </c>
      <c r="G148" s="17">
        <v>1.9530000000000001</v>
      </c>
      <c r="I148" s="27">
        <f>AVERAGE(F147:F148)</f>
        <v>24.610599999999998</v>
      </c>
      <c r="J148" s="27">
        <f>AVERAGE(G147:G148)</f>
        <v>1.4597500000000001</v>
      </c>
      <c r="L148">
        <f>+J148/I148</f>
        <v>5.9313872884041843E-2</v>
      </c>
      <c r="M148">
        <f>+(L148-$L$619)/$L$620</f>
        <v>-5.2186598089592352E-3</v>
      </c>
      <c r="N148">
        <f>+N146+M148</f>
        <v>-5.2209914664030732</v>
      </c>
      <c r="Z148">
        <f>+(I148-$F$619)/$F$620</f>
        <v>1.2714406414854413</v>
      </c>
      <c r="AA148">
        <f>+AA146+Z148</f>
        <v>10.421667789816935</v>
      </c>
    </row>
    <row r="149" spans="1:27">
      <c r="A149" s="8">
        <v>3</v>
      </c>
      <c r="B149" s="75">
        <v>38671</v>
      </c>
      <c r="C149" s="12">
        <v>2005</v>
      </c>
      <c r="D149" s="15" t="s">
        <v>16</v>
      </c>
      <c r="E149" s="12">
        <v>11</v>
      </c>
      <c r="F149" s="17">
        <v>6.7521000000000004</v>
      </c>
      <c r="G149" s="17">
        <v>0.11799999999999999</v>
      </c>
    </row>
    <row r="150" spans="1:27">
      <c r="A150" s="8">
        <v>4</v>
      </c>
      <c r="B150" s="75">
        <v>38671</v>
      </c>
      <c r="C150" s="12">
        <v>2005</v>
      </c>
      <c r="D150" s="15" t="s">
        <v>16</v>
      </c>
      <c r="E150" s="12">
        <v>11</v>
      </c>
      <c r="F150" s="17">
        <v>8.98</v>
      </c>
      <c r="G150" s="17">
        <v>0.25130000000000002</v>
      </c>
      <c r="I150" s="27">
        <f>AVERAGE(F149:F150)</f>
        <v>7.8660500000000004</v>
      </c>
      <c r="J150" s="27">
        <f>AVERAGE(G149:G150)</f>
        <v>0.18465000000000001</v>
      </c>
      <c r="L150">
        <f>+J150/I150</f>
        <v>2.3474297773342402E-2</v>
      </c>
      <c r="M150">
        <f>+(L150-$L$619)/$L$620</f>
        <v>-0.57691704972807112</v>
      </c>
      <c r="N150">
        <f>+N148+M150</f>
        <v>-5.7979085161311446</v>
      </c>
      <c r="Z150">
        <f>+(I150-$F$619)/$F$620</f>
        <v>-0.39180577952932383</v>
      </c>
      <c r="AA150">
        <f>+AA148+Z150</f>
        <v>10.02986201028761</v>
      </c>
    </row>
    <row r="151" spans="1:27">
      <c r="A151" s="8">
        <v>3</v>
      </c>
      <c r="B151" s="75">
        <v>38707</v>
      </c>
      <c r="C151" s="12">
        <v>2005</v>
      </c>
      <c r="D151" s="15" t="s">
        <v>17</v>
      </c>
      <c r="E151" s="12">
        <v>12</v>
      </c>
      <c r="F151" s="17">
        <v>5.8943000000000003</v>
      </c>
      <c r="G151" s="17">
        <v>3.5200000000000002E-2</v>
      </c>
    </row>
    <row r="152" spans="1:27">
      <c r="A152" s="8">
        <v>4</v>
      </c>
      <c r="B152" s="75">
        <v>38707</v>
      </c>
      <c r="C152" s="12">
        <v>2005</v>
      </c>
      <c r="D152" s="15" t="s">
        <v>17</v>
      </c>
      <c r="E152" s="12">
        <v>12</v>
      </c>
      <c r="F152" s="17">
        <v>9.6709999999999994</v>
      </c>
      <c r="G152" s="17">
        <v>5.79E-2</v>
      </c>
      <c r="I152" s="27">
        <f>AVERAGE(F151:F152)</f>
        <v>7.7826500000000003</v>
      </c>
      <c r="J152" s="27">
        <f>AVERAGE(G151:G152)</f>
        <v>4.6550000000000001E-2</v>
      </c>
      <c r="L152">
        <f>+J152/I152</f>
        <v>5.9812531721200358E-3</v>
      </c>
      <c r="M152">
        <f>+(L152-$L$619)/$L$620</f>
        <v>-0.85595901388116857</v>
      </c>
      <c r="N152">
        <f>+N150+M152</f>
        <v>-6.6538675300123131</v>
      </c>
      <c r="Z152">
        <f>+(I152-$F$619)/$F$620</f>
        <v>-0.40008995267895353</v>
      </c>
      <c r="AA152">
        <f>+AA150+Z152</f>
        <v>9.6297720576086565</v>
      </c>
    </row>
    <row r="153" spans="1:27">
      <c r="A153" s="12">
        <v>3</v>
      </c>
      <c r="B153" s="75">
        <v>38734</v>
      </c>
      <c r="C153" s="12">
        <v>2006</v>
      </c>
      <c r="D153" s="11" t="s">
        <v>18</v>
      </c>
      <c r="E153" s="12">
        <v>1</v>
      </c>
      <c r="F153" s="17">
        <v>4.3461999999999996</v>
      </c>
      <c r="G153" s="17">
        <v>4.48E-2</v>
      </c>
    </row>
    <row r="154" spans="1:27">
      <c r="A154" s="12">
        <v>4</v>
      </c>
      <c r="B154" s="75">
        <v>38734</v>
      </c>
      <c r="C154" s="12">
        <v>2006</v>
      </c>
      <c r="D154" s="11" t="s">
        <v>18</v>
      </c>
      <c r="E154" s="12">
        <v>1</v>
      </c>
      <c r="F154" s="17">
        <v>9.3907000000000007</v>
      </c>
      <c r="G154" s="17">
        <v>9.6699999999999994E-2</v>
      </c>
      <c r="I154" s="27">
        <f>AVERAGE(F153:F154)</f>
        <v>6.8684500000000002</v>
      </c>
      <c r="J154" s="27">
        <f>AVERAGE(G153:G154)</f>
        <v>7.0749999999999993E-2</v>
      </c>
      <c r="L154">
        <f>+J154/I154</f>
        <v>1.0300722870516636E-2</v>
      </c>
      <c r="M154">
        <f>+(L154-$L$619)/$L$620</f>
        <v>-0.78705658230238262</v>
      </c>
      <c r="N154">
        <f>+N152+M154</f>
        <v>-7.4409241123146961</v>
      </c>
      <c r="Z154">
        <f>+(I154-$F$619)/$F$620</f>
        <v>-0.49089799936230416</v>
      </c>
      <c r="AA154">
        <f>+AA152+Z154</f>
        <v>9.138874058246353</v>
      </c>
    </row>
    <row r="155" spans="1:27">
      <c r="A155" s="12">
        <v>3</v>
      </c>
      <c r="B155" s="75">
        <v>38762</v>
      </c>
      <c r="C155" s="15">
        <v>2006</v>
      </c>
      <c r="D155" s="11" t="s">
        <v>28</v>
      </c>
      <c r="E155" s="15">
        <v>2</v>
      </c>
      <c r="F155" s="17">
        <v>6.3464999999999998</v>
      </c>
      <c r="G155" s="17">
        <v>9.0800000000000006E-2</v>
      </c>
    </row>
    <row r="156" spans="1:27">
      <c r="A156" s="12">
        <v>4</v>
      </c>
      <c r="B156" s="75">
        <v>38762</v>
      </c>
      <c r="C156" s="15">
        <v>2006</v>
      </c>
      <c r="D156" s="11" t="s">
        <v>28</v>
      </c>
      <c r="E156" s="15">
        <v>2</v>
      </c>
      <c r="F156" s="17">
        <v>3.6261999999999999</v>
      </c>
      <c r="G156" s="17">
        <v>7.6300000000000007E-2</v>
      </c>
      <c r="I156" s="27">
        <f>AVERAGE(F155:F156)</f>
        <v>4.9863499999999998</v>
      </c>
      <c r="J156" s="27">
        <f>AVERAGE(G155:G156)</f>
        <v>8.3550000000000013E-2</v>
      </c>
      <c r="L156">
        <f>+J156/I156</f>
        <v>1.6755743178878343E-2</v>
      </c>
      <c r="M156">
        <f>+(L156-$L$619)/$L$620</f>
        <v>-0.68408871212571154</v>
      </c>
      <c r="N156">
        <f>+N154+M156</f>
        <v>-8.1250128244404074</v>
      </c>
      <c r="Z156">
        <f>+(I156-$F$619)/$F$620</f>
        <v>-0.67784814666347915</v>
      </c>
      <c r="AA156">
        <f>+AA154+Z156</f>
        <v>8.4610259115828743</v>
      </c>
    </row>
    <row r="157" spans="1:27">
      <c r="A157" s="12">
        <v>3</v>
      </c>
      <c r="B157" s="75">
        <v>38789</v>
      </c>
      <c r="C157" s="12">
        <v>2006</v>
      </c>
      <c r="D157" s="11" t="s">
        <v>29</v>
      </c>
      <c r="E157" s="15">
        <v>3</v>
      </c>
      <c r="F157" s="17">
        <v>4.9821999999999997</v>
      </c>
      <c r="G157" s="17">
        <v>3.5900000000000001E-2</v>
      </c>
    </row>
    <row r="158" spans="1:27">
      <c r="A158" s="12">
        <v>4</v>
      </c>
      <c r="B158" s="75">
        <v>38789</v>
      </c>
      <c r="C158" s="12">
        <v>2006</v>
      </c>
      <c r="D158" s="11" t="s">
        <v>29</v>
      </c>
      <c r="E158" s="15">
        <v>3</v>
      </c>
      <c r="F158" s="17">
        <v>5.0571999999999999</v>
      </c>
      <c r="G158" s="17">
        <v>3.6799999999999999E-2</v>
      </c>
      <c r="I158" s="27">
        <f>AVERAGE(F157:F158)</f>
        <v>5.0197000000000003</v>
      </c>
      <c r="J158" s="27">
        <f>AVERAGE(G157:G158)</f>
        <v>3.635E-2</v>
      </c>
      <c r="L158">
        <f>+J158/I158</f>
        <v>7.2414686136621706E-3</v>
      </c>
      <c r="M158">
        <f>+(L158-$L$619)/$L$620</f>
        <v>-0.83585656744714953</v>
      </c>
      <c r="N158">
        <f>+N156+M158</f>
        <v>-8.9608693918875577</v>
      </c>
      <c r="Z158">
        <f>+(I158-$F$619)/$F$620</f>
        <v>-0.67453547070976039</v>
      </c>
      <c r="AA158">
        <f>+AA156+Z158</f>
        <v>7.7864904408731137</v>
      </c>
    </row>
    <row r="159" spans="1:27">
      <c r="A159" s="12">
        <v>3</v>
      </c>
      <c r="B159" s="74">
        <v>38825</v>
      </c>
      <c r="C159" s="12">
        <v>2006</v>
      </c>
      <c r="D159" s="11" t="s">
        <v>30</v>
      </c>
      <c r="E159" s="12">
        <v>4</v>
      </c>
      <c r="F159" s="17">
        <v>6.5778999999999996</v>
      </c>
      <c r="G159" s="17">
        <v>0.22359999999999999</v>
      </c>
    </row>
    <row r="160" spans="1:27">
      <c r="A160" s="12">
        <v>4</v>
      </c>
      <c r="B160" s="74">
        <v>38825</v>
      </c>
      <c r="C160" s="12">
        <v>2006</v>
      </c>
      <c r="D160" s="11" t="s">
        <v>30</v>
      </c>
      <c r="E160" s="12">
        <v>4</v>
      </c>
      <c r="F160" s="17">
        <v>9.2342999999999993</v>
      </c>
      <c r="G160" s="17">
        <v>0.43540000000000001</v>
      </c>
      <c r="I160" s="27">
        <f>AVERAGE(F159:F160)</f>
        <v>7.9060999999999995</v>
      </c>
      <c r="J160" s="27">
        <f>AVERAGE(G159:G160)</f>
        <v>0.32950000000000002</v>
      </c>
      <c r="L160">
        <f>+J160/I160</f>
        <v>4.1676680031874129E-2</v>
      </c>
      <c r="M160">
        <f>+(L160-$L$619)/$L$620</f>
        <v>-0.28656001849228124</v>
      </c>
      <c r="N160">
        <f>+N158+M160</f>
        <v>-9.2474294103798389</v>
      </c>
      <c r="Z160">
        <f>+(I160-$F$619)/$F$620</f>
        <v>-0.3878275884664622</v>
      </c>
      <c r="AA160">
        <f>+AA158+Z160</f>
        <v>7.3986628524066518</v>
      </c>
    </row>
    <row r="161" spans="1:27">
      <c r="A161" s="12">
        <v>3</v>
      </c>
      <c r="B161" s="74">
        <v>38852</v>
      </c>
      <c r="C161" s="12">
        <v>2006</v>
      </c>
      <c r="D161" s="11" t="s">
        <v>31</v>
      </c>
      <c r="E161" s="12">
        <v>5</v>
      </c>
      <c r="F161" s="17">
        <v>4.8865999999999996</v>
      </c>
      <c r="G161" s="17">
        <v>0.34839999999999999</v>
      </c>
    </row>
    <row r="162" spans="1:27">
      <c r="A162" s="12">
        <v>4</v>
      </c>
      <c r="B162" s="74">
        <v>38852</v>
      </c>
      <c r="C162" s="12">
        <v>2006</v>
      </c>
      <c r="D162" s="11" t="s">
        <v>31</v>
      </c>
      <c r="E162" s="12">
        <v>5</v>
      </c>
      <c r="F162" s="17">
        <v>8.3722999999999992</v>
      </c>
      <c r="G162" s="17">
        <v>0.70399999999999996</v>
      </c>
      <c r="I162" s="27">
        <f>AVERAGE(F161:F162)</f>
        <v>6.6294499999999994</v>
      </c>
      <c r="J162" s="27">
        <f>AVERAGE(G161:G162)</f>
        <v>0.5262</v>
      </c>
      <c r="L162">
        <f>+J162/I162</f>
        <v>7.9373100332606791E-2</v>
      </c>
      <c r="M162">
        <f>+(L162-$L$619)/$L$620</f>
        <v>0.31475801402003001</v>
      </c>
      <c r="N162">
        <f>+N160+M162</f>
        <v>-8.9326713963598081</v>
      </c>
      <c r="Z162">
        <f>+(I162-$F$619)/$F$620</f>
        <v>-0.51463801594217817</v>
      </c>
      <c r="AA162">
        <f>+AA160+Z162</f>
        <v>6.8840248364644738</v>
      </c>
    </row>
    <row r="163" spans="1:27">
      <c r="A163" s="12">
        <v>3</v>
      </c>
      <c r="B163" s="74">
        <v>38883</v>
      </c>
      <c r="C163" s="12">
        <v>2006</v>
      </c>
      <c r="D163" s="11" t="s">
        <v>32</v>
      </c>
      <c r="E163" s="12">
        <v>6</v>
      </c>
      <c r="F163" s="17">
        <v>18.6966</v>
      </c>
      <c r="G163" s="17">
        <v>1.2749999999999999</v>
      </c>
    </row>
    <row r="164" spans="1:27">
      <c r="A164" s="12">
        <v>4</v>
      </c>
      <c r="B164" s="74">
        <v>38883</v>
      </c>
      <c r="C164" s="12">
        <v>2006</v>
      </c>
      <c r="D164" s="11" t="s">
        <v>32</v>
      </c>
      <c r="E164" s="12">
        <v>6</v>
      </c>
      <c r="F164" s="17">
        <v>25.342700000000001</v>
      </c>
      <c r="G164" s="17">
        <v>1.9601</v>
      </c>
      <c r="I164" s="27">
        <f>AVERAGE(F163:F164)</f>
        <v>22.019649999999999</v>
      </c>
      <c r="J164" s="27">
        <f>AVERAGE(G163:G164)</f>
        <v>1.61755</v>
      </c>
      <c r="L164">
        <f>+J164/I164</f>
        <v>7.3459387410789917E-2</v>
      </c>
      <c r="M164">
        <f>+(L164-$L$619)/$L$620</f>
        <v>0.2204248600860359</v>
      </c>
      <c r="N164">
        <f>+N162+M164</f>
        <v>-8.7122465362737724</v>
      </c>
      <c r="Z164">
        <f>+(I164-$F$619)/$F$620</f>
        <v>1.0140799889430796</v>
      </c>
      <c r="AA164">
        <f>+AA162+Z164</f>
        <v>7.8981048254075539</v>
      </c>
    </row>
    <row r="165" spans="1:27">
      <c r="A165" s="12">
        <v>3</v>
      </c>
      <c r="B165" s="74">
        <v>38916</v>
      </c>
      <c r="C165" s="12">
        <v>2006</v>
      </c>
      <c r="D165" s="11" t="s">
        <v>33</v>
      </c>
      <c r="E165" s="12">
        <v>7</v>
      </c>
      <c r="F165" s="17">
        <v>17.1892</v>
      </c>
      <c r="G165" s="17">
        <v>2.2170000000000001</v>
      </c>
    </row>
    <row r="166" spans="1:27">
      <c r="A166" s="12">
        <v>4</v>
      </c>
      <c r="B166" s="74">
        <v>38916</v>
      </c>
      <c r="C166" s="12">
        <v>2006</v>
      </c>
      <c r="D166" s="11" t="s">
        <v>33</v>
      </c>
      <c r="E166" s="12">
        <v>7</v>
      </c>
      <c r="F166" s="17">
        <v>27.236799999999999</v>
      </c>
      <c r="G166" s="17">
        <v>2.9355000000000002</v>
      </c>
      <c r="I166" s="27">
        <f>AVERAGE(F165:F166)</f>
        <v>22.213000000000001</v>
      </c>
      <c r="J166" s="27">
        <f>AVERAGE(G165:G166)</f>
        <v>2.5762499999999999</v>
      </c>
      <c r="L166">
        <f>+J166/I166</f>
        <v>0.11597938144329896</v>
      </c>
      <c r="M166">
        <f>+(L166-$L$619)/$L$620</f>
        <v>0.8986865875945923</v>
      </c>
      <c r="N166">
        <f>+N164+M166</f>
        <v>-7.8135599486791802</v>
      </c>
      <c r="Z166">
        <f>+(I166-$F$619)/$F$620</f>
        <v>1.0332855630255844</v>
      </c>
      <c r="AA166">
        <f>+AA164+Z166</f>
        <v>8.9313903884331385</v>
      </c>
    </row>
    <row r="167" spans="1:27">
      <c r="A167" s="12">
        <v>3</v>
      </c>
      <c r="B167" s="74">
        <v>38953</v>
      </c>
      <c r="C167" s="12">
        <v>2006</v>
      </c>
      <c r="D167" s="11" t="s">
        <v>34</v>
      </c>
      <c r="E167" s="12">
        <v>8</v>
      </c>
      <c r="F167" s="17">
        <v>12.1</v>
      </c>
      <c r="G167" s="17">
        <v>1.2954000000000001</v>
      </c>
    </row>
    <row r="168" spans="1:27">
      <c r="A168" s="12">
        <v>4</v>
      </c>
      <c r="B168" s="74">
        <v>38953</v>
      </c>
      <c r="C168" s="12">
        <v>2006</v>
      </c>
      <c r="D168" s="11" t="s">
        <v>34</v>
      </c>
      <c r="E168" s="12">
        <v>8</v>
      </c>
      <c r="F168" s="17">
        <v>25.657399999999999</v>
      </c>
      <c r="G168" s="17">
        <v>2.6591999999999998</v>
      </c>
      <c r="I168" s="27">
        <f>AVERAGE(F167:F168)</f>
        <v>18.878699999999998</v>
      </c>
      <c r="J168" s="27">
        <f>AVERAGE(G167:G168)</f>
        <v>1.9773000000000001</v>
      </c>
      <c r="L168">
        <f>+J168/I168</f>
        <v>0.10473708465095585</v>
      </c>
      <c r="M168">
        <f>+(L168-$L$619)/$L$620</f>
        <v>0.71935402142093274</v>
      </c>
      <c r="N168">
        <f>+N166+M168</f>
        <v>-7.0942059272582476</v>
      </c>
      <c r="Z168">
        <f>+(I168-$F$619)/$F$620</f>
        <v>0.70208749908301593</v>
      </c>
      <c r="AA168">
        <f>+AA166+Z168</f>
        <v>9.633477887516154</v>
      </c>
    </row>
    <row r="169" spans="1:27">
      <c r="A169" s="12">
        <v>3</v>
      </c>
      <c r="B169" s="74">
        <v>38972</v>
      </c>
      <c r="C169" s="12">
        <v>2006</v>
      </c>
      <c r="D169" s="11" t="s">
        <v>35</v>
      </c>
      <c r="E169" s="12">
        <v>9</v>
      </c>
      <c r="F169" s="17">
        <v>12.8247</v>
      </c>
      <c r="G169" s="17">
        <v>0.7419</v>
      </c>
    </row>
    <row r="170" spans="1:27">
      <c r="A170" s="12">
        <v>4</v>
      </c>
      <c r="B170" s="74">
        <v>38972</v>
      </c>
      <c r="C170" s="12">
        <v>2006</v>
      </c>
      <c r="D170" s="11" t="s">
        <v>35</v>
      </c>
      <c r="E170" s="12">
        <v>9</v>
      </c>
      <c r="F170" s="17">
        <v>21.657699999999998</v>
      </c>
      <c r="G170" s="17">
        <v>1.044</v>
      </c>
      <c r="I170" s="27">
        <f>AVERAGE(F169:F170)</f>
        <v>17.241199999999999</v>
      </c>
      <c r="J170" s="27">
        <f>AVERAGE(G169:G170)</f>
        <v>0.89295000000000002</v>
      </c>
      <c r="L170">
        <f>+J170/I170</f>
        <v>5.1791638633041787E-2</v>
      </c>
      <c r="M170">
        <f>+(L170-$L$619)/$L$620</f>
        <v>-0.12521029465976655</v>
      </c>
      <c r="N170">
        <f>+N168+M170</f>
        <v>-7.2194162219180145</v>
      </c>
      <c r="Z170">
        <f>+(I170-$F$619)/$F$620</f>
        <v>0.53943361979622251</v>
      </c>
      <c r="AA170">
        <f>+AA168+Z170</f>
        <v>10.172911507312376</v>
      </c>
    </row>
    <row r="171" spans="1:27">
      <c r="A171" s="12">
        <v>3</v>
      </c>
      <c r="B171" s="74">
        <v>39008</v>
      </c>
      <c r="C171" s="12">
        <v>2006</v>
      </c>
      <c r="D171" s="11" t="s">
        <v>36</v>
      </c>
      <c r="E171" s="12">
        <v>10</v>
      </c>
      <c r="F171" s="17">
        <v>17.082000000000001</v>
      </c>
      <c r="G171" s="17">
        <v>1.395</v>
      </c>
    </row>
    <row r="172" spans="1:27">
      <c r="A172" s="12">
        <v>4</v>
      </c>
      <c r="B172" s="74">
        <v>39008</v>
      </c>
      <c r="C172" s="12">
        <v>2006</v>
      </c>
      <c r="D172" s="11" t="s">
        <v>36</v>
      </c>
      <c r="E172" s="12">
        <v>10</v>
      </c>
      <c r="F172" s="17">
        <v>17.042000000000002</v>
      </c>
      <c r="G172" s="17">
        <v>1.655</v>
      </c>
      <c r="I172" s="27">
        <f>AVERAGE(F171:F172)</f>
        <v>17.062000000000001</v>
      </c>
      <c r="J172" s="27">
        <f>AVERAGE(G171:G172)</f>
        <v>1.5249999999999999</v>
      </c>
      <c r="L172">
        <f>+J172/I172</f>
        <v>8.937990856874925E-2</v>
      </c>
      <c r="M172">
        <f>+(L172-$L$619)/$L$620</f>
        <v>0.47438256702216808</v>
      </c>
      <c r="N172">
        <f>+N170+M172</f>
        <v>-6.7450336548958463</v>
      </c>
      <c r="Z172">
        <f>+(I172-$F$619)/$F$620</f>
        <v>0.52163357389198239</v>
      </c>
      <c r="AA172">
        <f>+AA170+Z172</f>
        <v>10.694545081204359</v>
      </c>
    </row>
    <row r="173" spans="1:27">
      <c r="A173" s="12">
        <v>3</v>
      </c>
      <c r="B173" s="74">
        <v>39035</v>
      </c>
      <c r="C173" s="12">
        <v>2006</v>
      </c>
      <c r="D173" s="11" t="s">
        <v>37</v>
      </c>
      <c r="E173" s="12">
        <v>11</v>
      </c>
      <c r="F173" s="17">
        <v>15.141999999999999</v>
      </c>
      <c r="G173" s="17">
        <v>0.23300000000000001</v>
      </c>
    </row>
    <row r="174" spans="1:27">
      <c r="A174" s="12">
        <v>4</v>
      </c>
      <c r="B174" s="74">
        <v>39035</v>
      </c>
      <c r="C174" s="12">
        <v>2006</v>
      </c>
      <c r="D174" s="11" t="s">
        <v>37</v>
      </c>
      <c r="E174" s="12">
        <v>11</v>
      </c>
      <c r="F174" s="17">
        <v>27.632000000000001</v>
      </c>
      <c r="G174" s="17">
        <v>0.28499999999999998</v>
      </c>
      <c r="I174" s="27">
        <f>AVERAGE(F173:F174)</f>
        <v>21.387</v>
      </c>
      <c r="J174" s="27">
        <f>AVERAGE(G173:G174)</f>
        <v>0.25900000000000001</v>
      </c>
      <c r="L174">
        <f>+J174/I174</f>
        <v>1.2110160377799597E-2</v>
      </c>
      <c r="M174">
        <f>+(L174-$L$619)/$L$620</f>
        <v>-0.75819316786798274</v>
      </c>
      <c r="N174">
        <f>+N172+M174</f>
        <v>-7.5032268227638292</v>
      </c>
      <c r="Z174">
        <f>+(I174-$F$619)/$F$620</f>
        <v>0.95123847643572712</v>
      </c>
      <c r="AA174">
        <f>+AA172+Z174</f>
        <v>11.645783557640085</v>
      </c>
    </row>
    <row r="175" spans="1:27">
      <c r="A175" s="12">
        <v>3</v>
      </c>
      <c r="B175" s="75">
        <v>39063</v>
      </c>
      <c r="C175" s="15">
        <v>2006</v>
      </c>
      <c r="D175" s="11" t="s">
        <v>38</v>
      </c>
      <c r="E175" s="15">
        <v>12</v>
      </c>
      <c r="F175" s="17">
        <v>10.353</v>
      </c>
      <c r="G175" s="17">
        <v>0.30599999999999999</v>
      </c>
    </row>
    <row r="176" spans="1:27">
      <c r="A176" s="12">
        <v>4</v>
      </c>
      <c r="B176" s="75">
        <v>39063</v>
      </c>
      <c r="C176" s="15">
        <v>2006</v>
      </c>
      <c r="D176" s="11" t="s">
        <v>38</v>
      </c>
      <c r="E176" s="15">
        <v>12</v>
      </c>
      <c r="F176" s="17">
        <v>10.071999999999999</v>
      </c>
      <c r="G176" s="17">
        <v>0.313</v>
      </c>
      <c r="I176" s="27">
        <f>AVERAGE(F175:F176)</f>
        <v>10.212499999999999</v>
      </c>
      <c r="J176" s="27">
        <f>AVERAGE(G175:G176)</f>
        <v>0.3095</v>
      </c>
      <c r="L176">
        <f>+J176/I176</f>
        <v>3.0305997552019587E-2</v>
      </c>
      <c r="M176">
        <f>+(L176-$L$619)/$L$620</f>
        <v>-0.4679405411668825</v>
      </c>
      <c r="N176">
        <f>+N174+M176</f>
        <v>-7.9711673639307117</v>
      </c>
      <c r="Z176">
        <f>+(I176-$F$619)/$F$620</f>
        <v>-0.15873146194001309</v>
      </c>
      <c r="AA176">
        <f>+AA174+Z176</f>
        <v>11.487052095700072</v>
      </c>
    </row>
    <row r="177" spans="1:27">
      <c r="A177" s="15">
        <v>3</v>
      </c>
      <c r="B177" s="75">
        <v>39101</v>
      </c>
      <c r="C177" s="15">
        <v>2007</v>
      </c>
      <c r="D177" s="11" t="s">
        <v>39</v>
      </c>
      <c r="E177" s="15">
        <v>1</v>
      </c>
      <c r="F177" s="17">
        <v>19.911000000000001</v>
      </c>
      <c r="G177" s="17">
        <v>0.40899999999999997</v>
      </c>
    </row>
    <row r="178" spans="1:27">
      <c r="A178" s="15">
        <v>4</v>
      </c>
      <c r="B178" s="75">
        <v>39101</v>
      </c>
      <c r="C178" s="15">
        <v>2007</v>
      </c>
      <c r="D178" s="11" t="s">
        <v>39</v>
      </c>
      <c r="E178" s="15">
        <v>1</v>
      </c>
      <c r="F178" s="17">
        <v>22.295000000000002</v>
      </c>
      <c r="G178" s="17">
        <v>0.47099999999999997</v>
      </c>
      <c r="I178" s="27">
        <f>AVERAGE(F177:F178)</f>
        <v>21.103000000000002</v>
      </c>
      <c r="J178" s="27">
        <f>AVERAGE(G177:G178)</f>
        <v>0.43999999999999995</v>
      </c>
      <c r="L178">
        <f>+J178/I178</f>
        <v>2.0850116097237355E-2</v>
      </c>
      <c r="M178">
        <f>+(L178-$L$619)/$L$620</f>
        <v>-0.61877693323535676</v>
      </c>
      <c r="N178">
        <f>+N176+M178</f>
        <v>-8.5899442971660687</v>
      </c>
      <c r="Z178">
        <f>+(I178-$F$619)/$F$620</f>
        <v>0.92302858225713214</v>
      </c>
      <c r="AA178">
        <f>+AA176+Z178</f>
        <v>12.410080677957204</v>
      </c>
    </row>
    <row r="179" spans="1:27">
      <c r="A179" s="15">
        <v>3</v>
      </c>
      <c r="B179" s="75">
        <v>39134</v>
      </c>
      <c r="C179" s="15">
        <v>2007</v>
      </c>
      <c r="D179" s="11" t="s">
        <v>28</v>
      </c>
      <c r="E179" s="15">
        <v>2</v>
      </c>
      <c r="F179" s="17">
        <v>3.71</v>
      </c>
      <c r="G179" s="17">
        <v>6.3E-2</v>
      </c>
    </row>
    <row r="180" spans="1:27">
      <c r="A180" s="15">
        <v>4</v>
      </c>
      <c r="B180" s="75">
        <v>39134</v>
      </c>
      <c r="C180" s="15">
        <v>2007</v>
      </c>
      <c r="D180" s="11" t="s">
        <v>28</v>
      </c>
      <c r="E180" s="15">
        <v>2</v>
      </c>
      <c r="F180" s="17">
        <v>4.2380000000000004</v>
      </c>
      <c r="G180" s="17">
        <v>6.2E-2</v>
      </c>
      <c r="I180" s="27">
        <f>AVERAGE(F179:F180)</f>
        <v>3.9740000000000002</v>
      </c>
      <c r="J180" s="27">
        <f>AVERAGE(G179:G180)</f>
        <v>6.25E-2</v>
      </c>
      <c r="L180">
        <f>+J180/I180</f>
        <v>1.5727226975339709E-2</v>
      </c>
      <c r="M180">
        <f>+(L180-$L$619)/$L$620</f>
        <v>-0.70049518613531025</v>
      </c>
      <c r="N180">
        <f>+N178+M180</f>
        <v>-9.2904394833013786</v>
      </c>
      <c r="Z180">
        <f>+(I180-$F$619)/$F$620</f>
        <v>-0.7784054930427069</v>
      </c>
      <c r="AA180">
        <f>+AA178+Z180</f>
        <v>11.631675184914497</v>
      </c>
    </row>
    <row r="181" spans="1:27">
      <c r="A181" s="15">
        <v>3</v>
      </c>
      <c r="B181" s="75">
        <v>39154</v>
      </c>
      <c r="C181" s="15">
        <v>2007</v>
      </c>
      <c r="D181" s="11" t="s">
        <v>29</v>
      </c>
      <c r="E181" s="15">
        <v>3</v>
      </c>
      <c r="F181" s="17">
        <v>4.9480000000000004</v>
      </c>
      <c r="G181" s="17">
        <v>3.9E-2</v>
      </c>
    </row>
    <row r="182" spans="1:27">
      <c r="A182" s="15">
        <v>4</v>
      </c>
      <c r="B182" s="75">
        <v>39154</v>
      </c>
      <c r="C182" s="15">
        <v>2007</v>
      </c>
      <c r="D182" s="11" t="s">
        <v>29</v>
      </c>
      <c r="E182" s="15">
        <v>3</v>
      </c>
      <c r="F182" s="17">
        <v>4.407</v>
      </c>
      <c r="G182" s="17">
        <v>7.5999999999999998E-2</v>
      </c>
      <c r="I182" s="27">
        <f>AVERAGE(F181:F182)</f>
        <v>4.6775000000000002</v>
      </c>
      <c r="J182" s="27">
        <f>AVERAGE(G181:G182)</f>
        <v>5.7499999999999996E-2</v>
      </c>
      <c r="L182">
        <f>+J182/I182</f>
        <v>1.2292891501870656E-2</v>
      </c>
      <c r="M182">
        <f>+(L182-$L$619)/$L$620</f>
        <v>-0.75527831496872655</v>
      </c>
      <c r="N182">
        <f>+N180+M182</f>
        <v>-10.045717798270106</v>
      </c>
      <c r="Z182">
        <f>+(I182-$F$619)/$F$620</f>
        <v>-0.70852640658270127</v>
      </c>
      <c r="AA182">
        <f>+AA180+Z182</f>
        <v>10.923148778331797</v>
      </c>
    </row>
    <row r="183" spans="1:27">
      <c r="A183" s="15">
        <v>3</v>
      </c>
      <c r="B183" s="75">
        <v>39190</v>
      </c>
      <c r="C183" s="15">
        <v>2007</v>
      </c>
      <c r="D183" s="11" t="s">
        <v>30</v>
      </c>
      <c r="E183" s="15">
        <v>4</v>
      </c>
      <c r="F183" s="17">
        <v>17.379000000000001</v>
      </c>
      <c r="G183" s="17">
        <v>8.4000000000000005E-2</v>
      </c>
    </row>
    <row r="184" spans="1:27">
      <c r="A184" s="15">
        <v>4</v>
      </c>
      <c r="B184" s="75">
        <v>39190</v>
      </c>
      <c r="C184" s="15">
        <v>2007</v>
      </c>
      <c r="D184" s="11" t="s">
        <v>30</v>
      </c>
      <c r="E184" s="15">
        <v>4</v>
      </c>
      <c r="F184" s="17">
        <v>31.898</v>
      </c>
      <c r="G184" s="17">
        <v>0.217</v>
      </c>
      <c r="I184" s="27">
        <f>AVERAGE(F183:F184)</f>
        <v>24.638500000000001</v>
      </c>
      <c r="J184" s="27">
        <f>AVERAGE(G183:G184)</f>
        <v>0.15049999999999999</v>
      </c>
      <c r="L184">
        <f>+J184/I184</f>
        <v>6.1083263997402434E-3</v>
      </c>
      <c r="M184">
        <f>+(L184-$L$619)/$L$620</f>
        <v>-0.85393199320896729</v>
      </c>
      <c r="N184">
        <f>+N182+M184</f>
        <v>-10.899649791479073</v>
      </c>
      <c r="Z184">
        <f>+(I184-$F$619)/$F$620</f>
        <v>1.2742119655966486</v>
      </c>
      <c r="AA184">
        <f>+AA182+Z184</f>
        <v>12.197360743928446</v>
      </c>
    </row>
    <row r="185" spans="1:27">
      <c r="A185" s="15">
        <v>3</v>
      </c>
      <c r="B185" s="75">
        <v>39217</v>
      </c>
      <c r="C185" s="15">
        <v>2007</v>
      </c>
      <c r="D185" s="11" t="s">
        <v>31</v>
      </c>
      <c r="E185" s="15">
        <v>5</v>
      </c>
      <c r="F185" s="17">
        <v>10.680999999999999</v>
      </c>
      <c r="G185" s="17">
        <v>0.151</v>
      </c>
    </row>
    <row r="186" spans="1:27">
      <c r="A186" s="15">
        <v>4</v>
      </c>
      <c r="B186" s="75">
        <v>39217</v>
      </c>
      <c r="C186" s="15">
        <v>2007</v>
      </c>
      <c r="D186" s="11" t="s">
        <v>31</v>
      </c>
      <c r="E186" s="15">
        <v>5</v>
      </c>
      <c r="F186" s="17">
        <v>14.287000000000001</v>
      </c>
      <c r="G186" s="17">
        <v>0.247</v>
      </c>
      <c r="I186" s="27">
        <f>AVERAGE(F185:F186)</f>
        <v>12.484</v>
      </c>
      <c r="J186" s="27">
        <f>AVERAGE(G185:G186)</f>
        <v>0.19900000000000001</v>
      </c>
      <c r="L186">
        <f>+J186/I186</f>
        <v>1.5940403716757451E-2</v>
      </c>
      <c r="M186">
        <f>+(L186-$L$619)/$L$620</f>
        <v>-0.69709467707625217</v>
      </c>
      <c r="N186">
        <f>+N184+M186</f>
        <v>-11.596744468555325</v>
      </c>
      <c r="Z186">
        <f>+(I186-$F$619)/$F$620</f>
        <v>6.6898026182094825E-2</v>
      </c>
      <c r="AA186">
        <f>+AA184+Z186</f>
        <v>12.264258770110541</v>
      </c>
    </row>
    <row r="187" spans="1:27">
      <c r="A187" s="15">
        <v>3</v>
      </c>
      <c r="B187" s="75">
        <v>39246</v>
      </c>
      <c r="C187" s="15">
        <v>2007</v>
      </c>
      <c r="D187" s="11" t="s">
        <v>32</v>
      </c>
      <c r="E187" s="15">
        <v>6</v>
      </c>
      <c r="F187" s="17">
        <v>28.22</v>
      </c>
      <c r="G187" s="17">
        <v>1.2350000000000001</v>
      </c>
    </row>
    <row r="188" spans="1:27">
      <c r="A188" s="15">
        <v>4</v>
      </c>
      <c r="B188" s="75">
        <v>39246</v>
      </c>
      <c r="C188" s="15">
        <v>2007</v>
      </c>
      <c r="D188" s="11" t="s">
        <v>32</v>
      </c>
      <c r="E188" s="15">
        <v>6</v>
      </c>
      <c r="F188" s="17">
        <v>24.821999999999999</v>
      </c>
      <c r="G188" s="17">
        <v>3.3540000000000001</v>
      </c>
      <c r="I188" s="27">
        <f>AVERAGE(F187:F188)</f>
        <v>26.521000000000001</v>
      </c>
      <c r="J188" s="27">
        <f>AVERAGE(G187:G188)</f>
        <v>2.2945000000000002</v>
      </c>
      <c r="L188">
        <f>+J188/I188</f>
        <v>8.6516345537498596E-2</v>
      </c>
      <c r="M188">
        <f>+(L188-$L$619)/$L$620</f>
        <v>0.42870416906847253</v>
      </c>
      <c r="N188">
        <f>+N186+M188</f>
        <v>-11.168040299486853</v>
      </c>
      <c r="Z188">
        <f>+(I188-$F$619)/$F$620</f>
        <v>1.4612018451431457</v>
      </c>
      <c r="AA188">
        <f>+AA186+Z188</f>
        <v>13.725460615253686</v>
      </c>
    </row>
    <row r="189" spans="1:27">
      <c r="A189" s="15">
        <v>3</v>
      </c>
      <c r="B189" s="75">
        <v>39280</v>
      </c>
      <c r="C189" s="15">
        <v>2007</v>
      </c>
      <c r="D189" s="11" t="s">
        <v>33</v>
      </c>
      <c r="E189" s="15">
        <v>7</v>
      </c>
      <c r="F189" s="17">
        <v>18.838000000000001</v>
      </c>
      <c r="G189" s="17">
        <v>2.5099999999999998</v>
      </c>
    </row>
    <row r="190" spans="1:27">
      <c r="A190" s="15">
        <v>4</v>
      </c>
      <c r="B190" s="75">
        <v>39280</v>
      </c>
      <c r="C190" s="15">
        <v>2007</v>
      </c>
      <c r="D190" s="11" t="s">
        <v>33</v>
      </c>
      <c r="E190" s="15">
        <v>7</v>
      </c>
      <c r="F190" s="17">
        <v>30.202999999999999</v>
      </c>
      <c r="G190" s="17">
        <v>3.0920000000000001</v>
      </c>
      <c r="I190" s="27">
        <f>AVERAGE(F189:F190)</f>
        <v>24.520499999999998</v>
      </c>
      <c r="J190" s="27">
        <f>AVERAGE(G189:G190)</f>
        <v>2.8010000000000002</v>
      </c>
      <c r="L190">
        <f>+J190/I190</f>
        <v>0.11423094961358865</v>
      </c>
      <c r="M190">
        <f>+(L190-$L$619)/$L$620</f>
        <v>0.87079631102626598</v>
      </c>
      <c r="N190">
        <f>+N188+M190</f>
        <v>-10.297243988460586</v>
      </c>
      <c r="Z190">
        <f>+(I190-$F$619)/$F$620</f>
        <v>1.2624909532266688</v>
      </c>
      <c r="AA190">
        <f>+AA188+Z190</f>
        <v>14.987951568480355</v>
      </c>
    </row>
    <row r="191" spans="1:27">
      <c r="A191" s="15">
        <v>3</v>
      </c>
      <c r="B191" s="75">
        <v>39308</v>
      </c>
      <c r="C191" s="15">
        <v>2007</v>
      </c>
      <c r="D191" s="11" t="s">
        <v>34</v>
      </c>
      <c r="E191" s="15">
        <v>8</v>
      </c>
      <c r="F191" s="17">
        <v>18.850999999999999</v>
      </c>
      <c r="G191" s="17">
        <v>2.6</v>
      </c>
    </row>
    <row r="192" spans="1:27">
      <c r="A192" s="15">
        <v>4</v>
      </c>
      <c r="B192" s="75">
        <v>39308</v>
      </c>
      <c r="C192" s="15">
        <v>2007</v>
      </c>
      <c r="D192" s="11" t="s">
        <v>34</v>
      </c>
      <c r="E192" s="15">
        <v>8</v>
      </c>
      <c r="F192" s="17">
        <v>20.166</v>
      </c>
      <c r="G192" s="17">
        <v>3.2189999999999999</v>
      </c>
      <c r="I192" s="27">
        <f>AVERAGE(F191:F192)</f>
        <v>19.508499999999998</v>
      </c>
      <c r="J192" s="27">
        <f>AVERAGE(G191:G192)</f>
        <v>2.9095</v>
      </c>
      <c r="L192">
        <f>+J192/I192</f>
        <v>0.14914011840992389</v>
      </c>
      <c r="M192">
        <f>+(L192-$L$619)/$L$620</f>
        <v>1.4276532361609977</v>
      </c>
      <c r="N192">
        <f>+N190+M192</f>
        <v>-8.8695907522995885</v>
      </c>
      <c r="Z192">
        <f>+(I192-$F$619)/$F$620</f>
        <v>0.76464591934244952</v>
      </c>
      <c r="AA192">
        <f>+AA190+Z192</f>
        <v>15.752597487822804</v>
      </c>
    </row>
    <row r="193" spans="1:27">
      <c r="A193" s="15">
        <v>3</v>
      </c>
      <c r="B193" s="75">
        <v>39336</v>
      </c>
      <c r="C193" s="15">
        <v>2007</v>
      </c>
      <c r="D193" s="11" t="s">
        <v>40</v>
      </c>
      <c r="E193" s="15">
        <v>9</v>
      </c>
      <c r="F193" s="17">
        <v>20.366</v>
      </c>
      <c r="G193" s="17">
        <v>2.109</v>
      </c>
    </row>
    <row r="194" spans="1:27">
      <c r="A194" s="15">
        <v>4</v>
      </c>
      <c r="B194" s="75">
        <v>39336</v>
      </c>
      <c r="C194" s="15">
        <v>2007</v>
      </c>
      <c r="D194" s="11" t="s">
        <v>40</v>
      </c>
      <c r="E194" s="15">
        <v>9</v>
      </c>
      <c r="F194" s="17">
        <v>21.111000000000001</v>
      </c>
      <c r="G194" s="17">
        <v>2.6139999999999999</v>
      </c>
      <c r="I194" s="27">
        <f>AVERAGE(F193:F194)</f>
        <v>20.738500000000002</v>
      </c>
      <c r="J194" s="27">
        <f>AVERAGE(G193:G194)</f>
        <v>2.3614999999999999</v>
      </c>
      <c r="L194">
        <f>+J194/I194</f>
        <v>0.11387033777756346</v>
      </c>
      <c r="M194">
        <f>+(L194-$L$619)/$L$620</f>
        <v>0.86504397703780223</v>
      </c>
      <c r="N194">
        <f>+N192+M194</f>
        <v>-8.0045467752617867</v>
      </c>
      <c r="Z194">
        <f>+(I194-$F$619)/$F$620</f>
        <v>0.88682257370749173</v>
      </c>
      <c r="AA194">
        <f>+AA192+Z194</f>
        <v>16.639420061530295</v>
      </c>
    </row>
    <row r="195" spans="1:27">
      <c r="A195" s="15">
        <v>3</v>
      </c>
      <c r="B195" s="75">
        <v>39373</v>
      </c>
      <c r="C195" s="15">
        <v>2007</v>
      </c>
      <c r="D195" s="11" t="s">
        <v>36</v>
      </c>
      <c r="E195" s="15">
        <v>10</v>
      </c>
      <c r="F195" s="17">
        <v>8.282</v>
      </c>
      <c r="G195" s="17">
        <v>1.2589999999999999</v>
      </c>
    </row>
    <row r="196" spans="1:27">
      <c r="A196" s="15">
        <v>4</v>
      </c>
      <c r="B196" s="75">
        <v>39373</v>
      </c>
      <c r="C196" s="15">
        <v>2007</v>
      </c>
      <c r="D196" s="11" t="s">
        <v>36</v>
      </c>
      <c r="E196" s="15">
        <v>10</v>
      </c>
      <c r="F196" s="17">
        <v>14.773</v>
      </c>
      <c r="G196" s="17">
        <v>2.5760000000000001</v>
      </c>
      <c r="I196" s="27">
        <f>AVERAGE(F195:F196)</f>
        <v>11.5275</v>
      </c>
      <c r="J196" s="27">
        <f>AVERAGE(G195:G196)</f>
        <v>1.9175</v>
      </c>
      <c r="L196">
        <f>+J196/I196</f>
        <v>0.16634135762307525</v>
      </c>
      <c r="M196">
        <f>+(L196-$L$619)/$L$620</f>
        <v>1.7020404389221246</v>
      </c>
      <c r="N196">
        <f>+N194+M196</f>
        <v>-6.3025063363396621</v>
      </c>
      <c r="Z196">
        <f>+(I196-$F$619)/$F$620</f>
        <v>-2.8111705444053583E-2</v>
      </c>
      <c r="AA196">
        <f>+AA194+Z196</f>
        <v>16.611308356086241</v>
      </c>
    </row>
    <row r="197" spans="1:27">
      <c r="A197" s="15">
        <v>3</v>
      </c>
      <c r="B197" s="75">
        <v>39399</v>
      </c>
      <c r="C197" s="15">
        <v>2007</v>
      </c>
      <c r="D197" s="11" t="s">
        <v>37</v>
      </c>
      <c r="E197" s="15">
        <v>11</v>
      </c>
      <c r="F197" s="17">
        <v>6.133</v>
      </c>
      <c r="G197" s="17">
        <v>0.14699999999999999</v>
      </c>
    </row>
    <row r="198" spans="1:27">
      <c r="A198" s="15">
        <v>4</v>
      </c>
      <c r="B198" s="75">
        <v>39399</v>
      </c>
      <c r="C198" s="15">
        <v>2007</v>
      </c>
      <c r="D198" s="11" t="s">
        <v>37</v>
      </c>
      <c r="E198" s="15">
        <v>11</v>
      </c>
      <c r="F198" s="17">
        <v>7.9269999999999996</v>
      </c>
      <c r="G198" s="17">
        <v>0.27100000000000002</v>
      </c>
      <c r="I198" s="27">
        <f>AVERAGE(F197:F198)</f>
        <v>7.0299999999999994</v>
      </c>
      <c r="J198" s="27">
        <f>AVERAGE(G197:G198)</f>
        <v>0.20900000000000002</v>
      </c>
      <c r="L198">
        <f>+J198/I198</f>
        <v>2.9729729729729735E-2</v>
      </c>
      <c r="M198">
        <f>+(L198-$L$619)/$L$620</f>
        <v>-0.47713293212430063</v>
      </c>
      <c r="N198">
        <f>+N196+M198</f>
        <v>-6.7796392684639626</v>
      </c>
      <c r="Z198">
        <f>+(I198-$F$619)/$F$620</f>
        <v>-0.4748511387828957</v>
      </c>
      <c r="AA198">
        <f>+AA196+Z198</f>
        <v>16.136457217303345</v>
      </c>
    </row>
    <row r="199" spans="1:27">
      <c r="A199" s="15">
        <v>3</v>
      </c>
      <c r="B199" s="75">
        <v>39427</v>
      </c>
      <c r="C199" s="15">
        <v>2007</v>
      </c>
      <c r="D199" s="11" t="s">
        <v>38</v>
      </c>
      <c r="E199" s="15">
        <v>12</v>
      </c>
      <c r="F199" s="17">
        <v>5.8310000000000004</v>
      </c>
      <c r="G199" s="17">
        <v>3.5000000000000003E-2</v>
      </c>
    </row>
    <row r="200" spans="1:27">
      <c r="A200" s="15">
        <v>4</v>
      </c>
      <c r="B200" s="75">
        <v>39427</v>
      </c>
      <c r="C200" s="15">
        <v>2007</v>
      </c>
      <c r="D200" s="11" t="s">
        <v>38</v>
      </c>
      <c r="E200" s="15">
        <v>12</v>
      </c>
      <c r="F200" s="17">
        <v>9.1120000000000001</v>
      </c>
      <c r="G200" s="17">
        <v>4.2000000000000003E-2</v>
      </c>
      <c r="I200" s="27">
        <f>AVERAGE(F199:F200)</f>
        <v>7.4715000000000007</v>
      </c>
      <c r="J200" s="27">
        <f>AVERAGE(G199:G200)</f>
        <v>3.8500000000000006E-2</v>
      </c>
      <c r="L200">
        <f>+J200/I200</f>
        <v>5.1529144080840533E-3</v>
      </c>
      <c r="M200">
        <f>+(L200-$L$619)/$L$620</f>
        <v>-0.86917233843215036</v>
      </c>
      <c r="N200">
        <f>+N198+M200</f>
        <v>-7.6488116068961132</v>
      </c>
      <c r="Z200">
        <f>+(I200-$F$619)/$F$620</f>
        <v>-0.43099667300877686</v>
      </c>
      <c r="AA200">
        <f>+AA198+Z200</f>
        <v>15.705460544294569</v>
      </c>
    </row>
    <row r="201" spans="1:27">
      <c r="A201" s="15">
        <v>3</v>
      </c>
      <c r="B201" s="75">
        <v>39462</v>
      </c>
      <c r="C201" s="15">
        <v>2008</v>
      </c>
      <c r="D201" s="11" t="s">
        <v>39</v>
      </c>
      <c r="E201" s="15">
        <v>1</v>
      </c>
      <c r="F201" s="23">
        <v>3.843</v>
      </c>
      <c r="G201" s="23">
        <v>8.4000000000000005E-2</v>
      </c>
    </row>
    <row r="202" spans="1:27">
      <c r="A202" s="15">
        <v>4</v>
      </c>
      <c r="B202" s="75">
        <v>39462</v>
      </c>
      <c r="C202" s="15">
        <v>2008</v>
      </c>
      <c r="D202" s="11" t="s">
        <v>39</v>
      </c>
      <c r="E202" s="15">
        <v>1</v>
      </c>
      <c r="F202" s="23">
        <v>8.2759999999999998</v>
      </c>
      <c r="G202" s="23">
        <v>8.1000000000000003E-2</v>
      </c>
      <c r="I202" s="27">
        <f>AVERAGE(F201:F202)</f>
        <v>6.0594999999999999</v>
      </c>
      <c r="J202" s="27">
        <f>AVERAGE(G201:G202)</f>
        <v>8.2500000000000004E-2</v>
      </c>
      <c r="L202">
        <f>+J202/I202</f>
        <v>1.3614984734714087E-2</v>
      </c>
      <c r="M202">
        <f>+(L202-$L$619)/$L$620</f>
        <v>-0.73418881906357292</v>
      </c>
      <c r="N202">
        <f>+N200+M202</f>
        <v>-8.3830004259596862</v>
      </c>
      <c r="Z202">
        <f>+(I202-$F$619)/$F$620</f>
        <v>-0.5712514989953128</v>
      </c>
      <c r="AA202">
        <f>+AA200+Z202</f>
        <v>15.134209045299256</v>
      </c>
    </row>
    <row r="203" spans="1:27">
      <c r="A203" s="15">
        <v>3</v>
      </c>
      <c r="B203" s="75">
        <v>39490</v>
      </c>
      <c r="C203" s="15">
        <v>2008</v>
      </c>
      <c r="D203" s="11" t="s">
        <v>28</v>
      </c>
      <c r="E203" s="15">
        <v>2</v>
      </c>
      <c r="F203" s="23">
        <v>6.859</v>
      </c>
      <c r="G203" s="23">
        <v>0.154</v>
      </c>
    </row>
    <row r="204" spans="1:27">
      <c r="A204" s="15">
        <v>4</v>
      </c>
      <c r="B204" s="75">
        <v>39490</v>
      </c>
      <c r="C204" s="15">
        <v>2008</v>
      </c>
      <c r="D204" s="11" t="s">
        <v>28</v>
      </c>
      <c r="E204" s="15">
        <v>2</v>
      </c>
      <c r="F204" s="23">
        <v>16.058</v>
      </c>
      <c r="G204" s="23">
        <v>0.28799999999999998</v>
      </c>
      <c r="I204" s="27">
        <f>AVERAGE(F203:F204)</f>
        <v>11.458500000000001</v>
      </c>
      <c r="J204" s="27">
        <f>AVERAGE(G203:G204)</f>
        <v>0.22099999999999997</v>
      </c>
      <c r="L204">
        <f>+J204/I204</f>
        <v>1.9286992189204516E-2</v>
      </c>
      <c r="M204">
        <f>+(L204-$L$619)/$L$620</f>
        <v>-0.64371125287241238</v>
      </c>
      <c r="N204">
        <f>+N202+M204</f>
        <v>-9.0267116788320987</v>
      </c>
      <c r="Z204">
        <f>+(I204-$F$619)/$F$620</f>
        <v>-3.4965517762092418E-2</v>
      </c>
      <c r="AA204">
        <f>+AA202+Z204</f>
        <v>15.099243527537164</v>
      </c>
    </row>
    <row r="205" spans="1:27">
      <c r="A205" s="15">
        <v>3</v>
      </c>
      <c r="B205" s="75">
        <v>39520</v>
      </c>
      <c r="C205" s="15">
        <v>2008</v>
      </c>
      <c r="D205" s="11" t="s">
        <v>29</v>
      </c>
      <c r="E205" s="15">
        <v>3</v>
      </c>
      <c r="F205" s="24">
        <v>4.5410000000000004</v>
      </c>
      <c r="G205" s="23">
        <v>0.09</v>
      </c>
    </row>
    <row r="206" spans="1:27">
      <c r="A206" s="15">
        <v>4</v>
      </c>
      <c r="B206" s="75">
        <v>39520</v>
      </c>
      <c r="C206" s="15">
        <v>2008</v>
      </c>
      <c r="D206" s="11" t="s">
        <v>29</v>
      </c>
      <c r="E206" s="15">
        <v>3</v>
      </c>
      <c r="F206" s="24">
        <v>9.7249999999999996</v>
      </c>
      <c r="G206" s="23">
        <v>0.13900000000000001</v>
      </c>
      <c r="I206" s="27">
        <f>AVERAGE(F205:F206)</f>
        <v>7.133</v>
      </c>
      <c r="J206" s="27">
        <f>AVERAGE(G205:G206)</f>
        <v>0.1145</v>
      </c>
      <c r="L206">
        <f>+J206/I206</f>
        <v>1.6052151969718213E-2</v>
      </c>
      <c r="M206">
        <f>+(L206-$L$619)/$L$620</f>
        <v>-0.69531211419439287</v>
      </c>
      <c r="N206">
        <f>+N204+M206</f>
        <v>-9.7220237930264908</v>
      </c>
      <c r="Z206">
        <f>+(I206-$F$619)/$F$620</f>
        <v>-0.46462008561248969</v>
      </c>
      <c r="AA206">
        <f>+AA204+Z206</f>
        <v>14.634623441924674</v>
      </c>
    </row>
    <row r="207" spans="1:27">
      <c r="A207" s="15">
        <v>3</v>
      </c>
      <c r="B207" s="75">
        <v>39553</v>
      </c>
      <c r="C207" s="15">
        <v>2008</v>
      </c>
      <c r="D207" s="11" t="s">
        <v>30</v>
      </c>
      <c r="E207" s="15">
        <v>4</v>
      </c>
      <c r="F207" s="24">
        <v>6.3369999999999997</v>
      </c>
      <c r="G207" s="23">
        <v>9.5000000000000001E-2</v>
      </c>
    </row>
    <row r="208" spans="1:27">
      <c r="A208" s="15">
        <v>4</v>
      </c>
      <c r="B208" s="75">
        <v>39553</v>
      </c>
      <c r="C208" s="15">
        <v>2008</v>
      </c>
      <c r="D208" s="11" t="s">
        <v>30</v>
      </c>
      <c r="E208" s="15">
        <v>4</v>
      </c>
      <c r="F208" s="24">
        <v>14.29</v>
      </c>
      <c r="G208" s="23">
        <v>0.14299999999999999</v>
      </c>
      <c r="I208" s="27">
        <f>AVERAGE(F207:F208)</f>
        <v>10.313499999999999</v>
      </c>
      <c r="J208" s="27">
        <f>AVERAGE(G207:G208)</f>
        <v>0.11899999999999999</v>
      </c>
      <c r="L208">
        <f>+J208/I208</f>
        <v>1.1538275076356233E-2</v>
      </c>
      <c r="M208">
        <f>+(L208-$L$619)/$L$620</f>
        <v>-0.76731565062743856</v>
      </c>
      <c r="N208">
        <f>+N206+M208</f>
        <v>-10.489339443653929</v>
      </c>
      <c r="Z208">
        <f>+(I208-$F$619)/$F$620</f>
        <v>-0.14869906999621688</v>
      </c>
      <c r="AA208">
        <f>+AA206+Z208</f>
        <v>14.485924371928457</v>
      </c>
    </row>
    <row r="209" spans="1:27">
      <c r="A209" s="15">
        <v>3</v>
      </c>
      <c r="B209" s="75">
        <v>39582</v>
      </c>
      <c r="C209" s="15">
        <v>2008</v>
      </c>
      <c r="D209" s="11" t="s">
        <v>31</v>
      </c>
      <c r="E209" s="15">
        <v>5</v>
      </c>
      <c r="F209" s="24">
        <v>15.234</v>
      </c>
      <c r="G209" s="23">
        <v>0.45600000000000002</v>
      </c>
    </row>
    <row r="210" spans="1:27">
      <c r="A210" s="15">
        <v>4</v>
      </c>
      <c r="B210" s="75">
        <v>39582</v>
      </c>
      <c r="C210" s="15">
        <v>2008</v>
      </c>
      <c r="D210" s="11" t="s">
        <v>31</v>
      </c>
      <c r="E210" s="15">
        <v>5</v>
      </c>
      <c r="F210" s="24">
        <v>14.628</v>
      </c>
      <c r="G210" s="23">
        <v>0.496</v>
      </c>
      <c r="I210" s="27">
        <f>AVERAGE(F209:F210)</f>
        <v>14.931000000000001</v>
      </c>
      <c r="J210" s="27">
        <f>AVERAGE(G209:G210)</f>
        <v>0.47599999999999998</v>
      </c>
      <c r="L210">
        <f>+J210/I210</f>
        <v>3.1879981247069852E-2</v>
      </c>
      <c r="M210">
        <f>+(L210-$L$619)/$L$620</f>
        <v>-0.44283299060469589</v>
      </c>
      <c r="N210">
        <f>+N208+M210</f>
        <v>-10.932172434258625</v>
      </c>
      <c r="Z210">
        <f>+(I210-$F$619)/$F$620</f>
        <v>0.30996003693921476</v>
      </c>
      <c r="AA210">
        <f>+AA208+Z210</f>
        <v>14.795884408867671</v>
      </c>
    </row>
    <row r="211" spans="1:27">
      <c r="A211" s="15">
        <v>3</v>
      </c>
      <c r="B211" s="75">
        <v>39616</v>
      </c>
      <c r="C211" s="15">
        <v>2008</v>
      </c>
      <c r="D211" s="11" t="s">
        <v>32</v>
      </c>
      <c r="E211" s="15">
        <v>6</v>
      </c>
      <c r="F211" s="24">
        <v>16.321000000000002</v>
      </c>
      <c r="G211" s="23">
        <v>1.857</v>
      </c>
    </row>
    <row r="212" spans="1:27">
      <c r="A212" s="15">
        <v>4</v>
      </c>
      <c r="B212" s="75">
        <v>39616</v>
      </c>
      <c r="C212" s="15">
        <v>2008</v>
      </c>
      <c r="D212" s="11" t="s">
        <v>32</v>
      </c>
      <c r="E212" s="15">
        <v>6</v>
      </c>
      <c r="F212" s="24">
        <v>20.048999999999999</v>
      </c>
      <c r="G212" s="23">
        <v>3.9329999999999998</v>
      </c>
      <c r="I212" s="27">
        <f>AVERAGE(F211:F212)</f>
        <v>18.185000000000002</v>
      </c>
      <c r="J212" s="27">
        <f>AVERAGE(G211:G212)</f>
        <v>2.895</v>
      </c>
      <c r="L212">
        <f>+J212/I212</f>
        <v>0.15919714050041242</v>
      </c>
      <c r="M212">
        <f>+(L212-$L$619)/$L$620</f>
        <v>1.5880787802349499</v>
      </c>
      <c r="N212">
        <f>+N210+M212</f>
        <v>-9.3440936540236752</v>
      </c>
      <c r="Z212">
        <f>+(I212-$F$619)/$F$620</f>
        <v>0.63318185263339877</v>
      </c>
      <c r="AA212">
        <f>+AA210+Z212</f>
        <v>15.42906626150107</v>
      </c>
    </row>
    <row r="213" spans="1:27">
      <c r="A213" s="15">
        <v>3</v>
      </c>
      <c r="B213" s="75">
        <v>39644</v>
      </c>
      <c r="C213" s="15">
        <v>2008</v>
      </c>
      <c r="D213" s="11" t="s">
        <v>33</v>
      </c>
      <c r="E213" s="15">
        <v>7</v>
      </c>
      <c r="F213" s="24">
        <v>40.933</v>
      </c>
      <c r="G213" s="23">
        <v>1.744</v>
      </c>
    </row>
    <row r="214" spans="1:27">
      <c r="A214" s="15">
        <v>4</v>
      </c>
      <c r="B214" s="75">
        <v>39644</v>
      </c>
      <c r="C214" s="15">
        <v>2008</v>
      </c>
      <c r="D214" s="11" t="s">
        <v>33</v>
      </c>
      <c r="E214" s="15">
        <v>7</v>
      </c>
      <c r="F214" s="24">
        <v>47.481999999999999</v>
      </c>
      <c r="G214" s="23">
        <v>1.7909999999999999</v>
      </c>
      <c r="I214" s="27">
        <f>AVERAGE(F213:F214)</f>
        <v>44.207499999999996</v>
      </c>
      <c r="J214" s="27">
        <f>AVERAGE(G213:G214)</f>
        <v>1.7675000000000001</v>
      </c>
      <c r="L214">
        <f>+J214/I214</f>
        <v>3.9981903523157843E-2</v>
      </c>
      <c r="M214">
        <f>+(L214-$L$619)/$L$620</f>
        <v>-0.31359440710635222</v>
      </c>
      <c r="N214">
        <f>+N212+M214</f>
        <v>-9.6576880611300275</v>
      </c>
      <c r="Z214">
        <f>+(I214-$F$619)/$F$620</f>
        <v>3.2180127373604726</v>
      </c>
      <c r="AA214">
        <f>+AA212+Z214</f>
        <v>18.647078998861542</v>
      </c>
    </row>
    <row r="215" spans="1:27">
      <c r="A215" s="15">
        <v>3</v>
      </c>
      <c r="B215" s="75">
        <v>39673</v>
      </c>
      <c r="C215" s="15">
        <v>2008</v>
      </c>
      <c r="D215" s="11" t="s">
        <v>34</v>
      </c>
      <c r="E215" s="15">
        <v>8</v>
      </c>
      <c r="F215" s="24">
        <v>15.821</v>
      </c>
      <c r="G215" s="23">
        <v>1.323</v>
      </c>
    </row>
    <row r="216" spans="1:27">
      <c r="A216" s="15">
        <v>4</v>
      </c>
      <c r="B216" s="75">
        <v>39673</v>
      </c>
      <c r="C216" s="15">
        <v>2008</v>
      </c>
      <c r="D216" s="11" t="s">
        <v>34</v>
      </c>
      <c r="E216" s="15">
        <v>8</v>
      </c>
      <c r="F216" s="24">
        <v>42.738</v>
      </c>
      <c r="G216" s="23">
        <v>1.2290000000000001</v>
      </c>
      <c r="I216" s="27">
        <f>AVERAGE(F215:F216)</f>
        <v>29.279499999999999</v>
      </c>
      <c r="J216" s="27">
        <f>AVERAGE(G215:G216)</f>
        <v>1.276</v>
      </c>
      <c r="L216">
        <f>+J216/I216</f>
        <v>4.35799791663109E-2</v>
      </c>
      <c r="M216">
        <f>+(L216-$L$619)/$L$620</f>
        <v>-0.2561993613881991</v>
      </c>
      <c r="N216">
        <f>+N214+M216</f>
        <v>-9.9138874225182274</v>
      </c>
      <c r="Z216">
        <f>+(I216-$F$619)/$F$620</f>
        <v>1.7352053419447453</v>
      </c>
      <c r="AA216">
        <f>+AA214+Z216</f>
        <v>20.382284340806287</v>
      </c>
    </row>
    <row r="217" spans="1:27">
      <c r="A217" s="15">
        <v>3</v>
      </c>
      <c r="B217" s="75">
        <v>39707</v>
      </c>
      <c r="C217" s="15">
        <v>2008</v>
      </c>
      <c r="D217" s="11" t="s">
        <v>40</v>
      </c>
      <c r="E217" s="15">
        <v>9</v>
      </c>
      <c r="F217" s="23">
        <v>20.94</v>
      </c>
      <c r="G217" s="23">
        <v>2.161</v>
      </c>
    </row>
    <row r="218" spans="1:27">
      <c r="A218" s="15">
        <v>4</v>
      </c>
      <c r="B218" s="75">
        <v>39707</v>
      </c>
      <c r="C218" s="15">
        <v>2008</v>
      </c>
      <c r="D218" s="11" t="s">
        <v>40</v>
      </c>
      <c r="E218" s="15">
        <v>9</v>
      </c>
      <c r="F218" s="23">
        <v>20.312000000000001</v>
      </c>
      <c r="G218" s="23">
        <v>2.5409999999999999</v>
      </c>
      <c r="I218" s="27">
        <f>AVERAGE(F217:F218)</f>
        <v>20.626000000000001</v>
      </c>
      <c r="J218" s="27">
        <f>AVERAGE(G217:G218)</f>
        <v>2.351</v>
      </c>
      <c r="L218">
        <f>+J218/I218</f>
        <v>0.11398235237079414</v>
      </c>
      <c r="M218">
        <f>+(L218-$L$619)/$L$620</f>
        <v>0.86683078847180017</v>
      </c>
      <c r="N218">
        <f>+N216+M218</f>
        <v>-9.0470566340464273</v>
      </c>
      <c r="Z218">
        <f>+(I218-$F$619)/$F$620</f>
        <v>0.87564787971068903</v>
      </c>
      <c r="AA218">
        <f>+AA216+Z218</f>
        <v>21.257932220516977</v>
      </c>
    </row>
    <row r="219" spans="1:27">
      <c r="A219" s="15">
        <v>3</v>
      </c>
      <c r="B219" s="75">
        <v>39737</v>
      </c>
      <c r="C219" s="15">
        <v>2008</v>
      </c>
      <c r="D219" s="11" t="s">
        <v>36</v>
      </c>
      <c r="E219" s="15">
        <v>10</v>
      </c>
      <c r="F219" s="23">
        <v>12.946999999999999</v>
      </c>
      <c r="G219" s="23">
        <v>1.252</v>
      </c>
    </row>
    <row r="220" spans="1:27">
      <c r="A220" s="15">
        <v>4</v>
      </c>
      <c r="B220" s="75">
        <v>39737</v>
      </c>
      <c r="C220" s="15">
        <v>2008</v>
      </c>
      <c r="D220" s="11" t="s">
        <v>36</v>
      </c>
      <c r="E220" s="15">
        <v>10</v>
      </c>
      <c r="F220" s="23">
        <v>21.135999999999999</v>
      </c>
      <c r="G220" s="23">
        <v>2.9289999999999998</v>
      </c>
      <c r="I220" s="27">
        <f>AVERAGE(F219:F220)</f>
        <v>17.041499999999999</v>
      </c>
      <c r="J220" s="27">
        <f>AVERAGE(G219:G220)</f>
        <v>2.0905</v>
      </c>
      <c r="L220">
        <f>+J220/I220</f>
        <v>0.12267112636798405</v>
      </c>
      <c r="M220">
        <f>+(L220-$L$619)/$L$620</f>
        <v>1.0054305929957543</v>
      </c>
      <c r="N220">
        <f>+N218+M220</f>
        <v>-8.041626041050673</v>
      </c>
      <c r="Z220">
        <f>+(I220-$F$619)/$F$620</f>
        <v>0.51959729631923157</v>
      </c>
      <c r="AA220">
        <f>+AA218+Z220</f>
        <v>21.777529516836211</v>
      </c>
    </row>
    <row r="221" spans="1:27">
      <c r="A221" s="15">
        <v>3</v>
      </c>
      <c r="B221" s="75">
        <v>39763</v>
      </c>
      <c r="C221" s="15">
        <v>2008</v>
      </c>
      <c r="D221" s="11" t="s">
        <v>37</v>
      </c>
      <c r="E221" s="15">
        <v>11</v>
      </c>
      <c r="F221" s="23">
        <v>11.272</v>
      </c>
      <c r="G221" s="23">
        <v>0.504</v>
      </c>
    </row>
    <row r="222" spans="1:27">
      <c r="A222" s="15">
        <v>4</v>
      </c>
      <c r="B222" s="75">
        <v>39763</v>
      </c>
      <c r="C222" s="15">
        <v>2008</v>
      </c>
      <c r="D222" s="11" t="s">
        <v>37</v>
      </c>
      <c r="E222" s="15">
        <v>11</v>
      </c>
      <c r="F222" s="23">
        <v>14.859</v>
      </c>
      <c r="G222" s="23">
        <v>0.57799999999999996</v>
      </c>
      <c r="I222" s="27">
        <f>AVERAGE(F221:F222)</f>
        <v>13.0655</v>
      </c>
      <c r="J222" s="27">
        <f>AVERAGE(G221:G222)</f>
        <v>0.54099999999999993</v>
      </c>
      <c r="L222">
        <f>+J222/I222</f>
        <v>4.1406758256476973E-2</v>
      </c>
      <c r="M222">
        <f>+(L222-$L$619)/$L$620</f>
        <v>-0.29086570135604356</v>
      </c>
      <c r="N222">
        <f>+N220+M222</f>
        <v>-8.3324917424067166</v>
      </c>
      <c r="Z222">
        <f>+(I222-$F$619)/$F$620</f>
        <v>0.12465877781890121</v>
      </c>
      <c r="AA222">
        <f>+AA220+Z222</f>
        <v>21.902188294655112</v>
      </c>
    </row>
    <row r="223" spans="1:27">
      <c r="A223" s="15">
        <v>3</v>
      </c>
      <c r="B223" s="75">
        <v>39434</v>
      </c>
      <c r="C223" s="15">
        <v>2008</v>
      </c>
      <c r="D223" s="11" t="s">
        <v>38</v>
      </c>
      <c r="E223" s="15">
        <v>12</v>
      </c>
      <c r="F223" s="23">
        <v>19.263000000000002</v>
      </c>
      <c r="G223" s="23">
        <v>9.4E-2</v>
      </c>
    </row>
    <row r="224" spans="1:27">
      <c r="A224" s="15">
        <v>4</v>
      </c>
      <c r="B224" s="75">
        <v>39434</v>
      </c>
      <c r="C224" s="15">
        <v>2008</v>
      </c>
      <c r="D224" s="11" t="s">
        <v>38</v>
      </c>
      <c r="E224" s="15">
        <v>12</v>
      </c>
      <c r="F224" s="23">
        <v>23.683</v>
      </c>
      <c r="G224" s="23">
        <v>0.112</v>
      </c>
      <c r="I224" s="27">
        <f>AVERAGE(F223:F224)</f>
        <v>21.472999999999999</v>
      </c>
      <c r="J224" s="27">
        <f>AVERAGE(G223:G224)</f>
        <v>0.10300000000000001</v>
      </c>
      <c r="L224">
        <f>+J224/I224</f>
        <v>4.7967214641643002E-3</v>
      </c>
      <c r="M224">
        <f>+(L224-$L$619)/$L$620</f>
        <v>-0.87485418404305659</v>
      </c>
      <c r="N224">
        <f>+N222+M224</f>
        <v>-9.2073459264497739</v>
      </c>
      <c r="Z224">
        <f>+(I224-$F$619)/$F$620</f>
        <v>0.9597809091799494</v>
      </c>
      <c r="AA224">
        <f>+AA222+Z224</f>
        <v>22.861969203835059</v>
      </c>
    </row>
    <row r="225" spans="1:27">
      <c r="A225" s="15">
        <v>3</v>
      </c>
      <c r="B225" s="75">
        <v>39825</v>
      </c>
      <c r="C225" s="15">
        <v>2009</v>
      </c>
      <c r="D225" s="11" t="s">
        <v>39</v>
      </c>
      <c r="E225" s="12">
        <v>1</v>
      </c>
      <c r="F225" s="23">
        <v>12.114000000000001</v>
      </c>
      <c r="G225" s="23">
        <v>6.9000000000000006E-2</v>
      </c>
    </row>
    <row r="226" spans="1:27">
      <c r="A226" s="15">
        <v>4</v>
      </c>
      <c r="B226" s="75">
        <v>39825</v>
      </c>
      <c r="C226" s="15">
        <v>2009</v>
      </c>
      <c r="D226" s="11" t="s">
        <v>39</v>
      </c>
      <c r="E226" s="12">
        <v>1</v>
      </c>
      <c r="F226" s="23">
        <v>12.62</v>
      </c>
      <c r="G226" s="23">
        <v>9.8000000000000004E-2</v>
      </c>
      <c r="I226" s="27">
        <f>AVERAGE(F225:F226)</f>
        <v>12.367000000000001</v>
      </c>
      <c r="J226" s="27">
        <f>AVERAGE(G225:G226)</f>
        <v>8.3500000000000005E-2</v>
      </c>
      <c r="L226">
        <f>+J226/I226</f>
        <v>6.7518395730573298E-3</v>
      </c>
      <c r="M226">
        <f>+(L226-$L$619)/$L$620</f>
        <v>-0.84366693164111173</v>
      </c>
      <c r="N226">
        <f>+N224+M226</f>
        <v>-10.051012858090886</v>
      </c>
      <c r="Z226">
        <f>+(I226-$F$619)/$F$620</f>
        <v>5.5276344425420204E-2</v>
      </c>
      <c r="AA226">
        <f>+AA224+Z226</f>
        <v>22.917245548260478</v>
      </c>
    </row>
    <row r="227" spans="1:27">
      <c r="A227" s="12">
        <v>3</v>
      </c>
      <c r="B227" s="75">
        <v>39854</v>
      </c>
      <c r="C227" s="15">
        <v>2009</v>
      </c>
      <c r="D227" s="11" t="s">
        <v>28</v>
      </c>
      <c r="E227" s="12">
        <v>2</v>
      </c>
      <c r="F227" s="23">
        <v>5.9710000000000001</v>
      </c>
      <c r="G227" s="25">
        <v>2.7E-2</v>
      </c>
    </row>
    <row r="228" spans="1:27">
      <c r="A228" s="12">
        <v>4</v>
      </c>
      <c r="B228" s="75">
        <v>39854</v>
      </c>
      <c r="C228" s="15">
        <v>2009</v>
      </c>
      <c r="D228" s="11" t="s">
        <v>28</v>
      </c>
      <c r="E228" s="12">
        <v>2</v>
      </c>
      <c r="F228" s="23">
        <v>5.5919999999999996</v>
      </c>
      <c r="G228" s="25">
        <v>3.3000000000000002E-2</v>
      </c>
      <c r="I228" s="27">
        <f>AVERAGE(F227:F228)</f>
        <v>5.7814999999999994</v>
      </c>
      <c r="J228" s="27">
        <f>AVERAGE(G227:G228)</f>
        <v>0.03</v>
      </c>
      <c r="L228">
        <f>+J228/I228</f>
        <v>5.1889648015220969E-3</v>
      </c>
      <c r="M228">
        <f>+(L228-$L$619)/$L$620</f>
        <v>-0.86859727715363855</v>
      </c>
      <c r="N228">
        <f>+N226+M228</f>
        <v>-10.919610135244524</v>
      </c>
      <c r="Z228">
        <f>+(I228-$F$619)/$F$620</f>
        <v>-0.5988654094940784</v>
      </c>
      <c r="AA228">
        <f>+AA226+Z228</f>
        <v>22.3183801387664</v>
      </c>
    </row>
    <row r="229" spans="1:27">
      <c r="A229" s="12">
        <v>3</v>
      </c>
      <c r="B229" s="75">
        <v>39890</v>
      </c>
      <c r="C229" s="15">
        <v>2009</v>
      </c>
      <c r="D229" s="11" t="s">
        <v>29</v>
      </c>
      <c r="E229" s="12">
        <v>3</v>
      </c>
      <c r="F229" s="23">
        <v>10.291</v>
      </c>
      <c r="G229" s="25">
        <v>7.6999999999999999E-2</v>
      </c>
    </row>
    <row r="230" spans="1:27">
      <c r="A230" s="12">
        <v>4</v>
      </c>
      <c r="B230" s="75">
        <v>39890</v>
      </c>
      <c r="C230" s="15">
        <v>2009</v>
      </c>
      <c r="D230" s="11" t="s">
        <v>29</v>
      </c>
      <c r="E230" s="12">
        <v>3</v>
      </c>
      <c r="F230" s="23">
        <v>8.1660000000000004</v>
      </c>
      <c r="G230" s="25">
        <v>8.5999999999999993E-2</v>
      </c>
      <c r="I230" s="27">
        <f>AVERAGE(F229:F230)</f>
        <v>9.2285000000000004</v>
      </c>
      <c r="J230" s="27">
        <f>AVERAGE(G229:G230)</f>
        <v>8.1499999999999989E-2</v>
      </c>
      <c r="L230">
        <f>+J230/I230</f>
        <v>8.8313377038521951E-3</v>
      </c>
      <c r="M230">
        <f>+(L230-$L$619)/$L$620</f>
        <v>-0.8104956194940458</v>
      </c>
      <c r="N230">
        <f>+N228+M230</f>
        <v>-11.73010575473857</v>
      </c>
      <c r="Z230">
        <f>+(I230-$F$619)/$F$620</f>
        <v>-0.25647278543204638</v>
      </c>
      <c r="AA230">
        <f>+AA228+Z230</f>
        <v>22.061907353334355</v>
      </c>
    </row>
    <row r="231" spans="1:27">
      <c r="A231" s="12">
        <v>3</v>
      </c>
      <c r="B231" s="75">
        <v>39920</v>
      </c>
      <c r="C231" s="15">
        <v>2009</v>
      </c>
      <c r="D231" s="11" t="s">
        <v>30</v>
      </c>
      <c r="E231" s="12">
        <v>4</v>
      </c>
      <c r="F231" s="23">
        <v>3.7959999999999998</v>
      </c>
      <c r="G231" s="25">
        <v>0.04</v>
      </c>
    </row>
    <row r="232" spans="1:27">
      <c r="A232" s="12">
        <v>4</v>
      </c>
      <c r="B232" s="75">
        <v>39920</v>
      </c>
      <c r="C232" s="15">
        <v>2009</v>
      </c>
      <c r="D232" s="11" t="s">
        <v>30</v>
      </c>
      <c r="E232" s="12">
        <v>4</v>
      </c>
      <c r="F232" s="23">
        <v>7.9089999999999998</v>
      </c>
      <c r="G232" s="25">
        <v>6.5000000000000002E-2</v>
      </c>
      <c r="I232" s="27">
        <f>AVERAGE(F231:F232)</f>
        <v>5.8525</v>
      </c>
      <c r="J232" s="27">
        <f>AVERAGE(G231:G232)</f>
        <v>5.2500000000000005E-2</v>
      </c>
      <c r="L232">
        <f>+J232/I232</f>
        <v>8.9705254164886804E-3</v>
      </c>
      <c r="M232">
        <f>+(L232-$L$619)/$L$620</f>
        <v>-0.80827535346229129</v>
      </c>
      <c r="N232">
        <f>+N230+M232</f>
        <v>-12.538381108200861</v>
      </c>
      <c r="Z232">
        <f>+(I232-$F$619)/$F$620</f>
        <v>-0.59181293594942963</v>
      </c>
      <c r="AA232">
        <f>+AA230+Z232</f>
        <v>21.470094417384924</v>
      </c>
    </row>
    <row r="233" spans="1:27">
      <c r="A233" s="12">
        <v>3</v>
      </c>
      <c r="B233" s="75">
        <v>39945</v>
      </c>
      <c r="C233" s="15">
        <v>2009</v>
      </c>
      <c r="D233" s="11" t="s">
        <v>31</v>
      </c>
      <c r="E233" s="12">
        <v>5</v>
      </c>
      <c r="F233" s="23">
        <v>7.6829999999999998</v>
      </c>
      <c r="G233" s="25">
        <v>0.24199999999999999</v>
      </c>
    </row>
    <row r="234" spans="1:27">
      <c r="A234" s="12">
        <v>4</v>
      </c>
      <c r="B234" s="75">
        <v>39945</v>
      </c>
      <c r="C234" s="15">
        <v>2009</v>
      </c>
      <c r="D234" s="11" t="s">
        <v>31</v>
      </c>
      <c r="E234" s="12">
        <v>5</v>
      </c>
      <c r="F234" s="23">
        <v>18.114000000000001</v>
      </c>
      <c r="G234" s="25">
        <v>0.64700000000000002</v>
      </c>
      <c r="I234" s="27">
        <f>AVERAGE(F233:F234)</f>
        <v>12.8985</v>
      </c>
      <c r="J234" s="27">
        <f>AVERAGE(G233:G234)</f>
        <v>0.44450000000000001</v>
      </c>
      <c r="L234">
        <f>+J234/I234</f>
        <v>3.4461371477303562E-2</v>
      </c>
      <c r="M234">
        <f>+(L234-$L$619)/$L$620</f>
        <v>-0.4016556989147349</v>
      </c>
      <c r="N234">
        <f>+N232+M234</f>
        <v>-12.940036807115597</v>
      </c>
      <c r="Z234">
        <f>+(I234-$F$619)/$F$620</f>
        <v>0.10807056539698091</v>
      </c>
      <c r="AA234">
        <f>+AA232+Z234</f>
        <v>21.578164982781907</v>
      </c>
    </row>
    <row r="235" spans="1:27">
      <c r="A235" s="15">
        <v>3</v>
      </c>
      <c r="B235" s="75">
        <v>39980</v>
      </c>
      <c r="C235" s="15">
        <v>2009</v>
      </c>
      <c r="D235" s="11" t="s">
        <v>32</v>
      </c>
      <c r="E235" s="12">
        <v>6</v>
      </c>
      <c r="F235" s="23">
        <v>18.402000000000001</v>
      </c>
      <c r="G235" s="25">
        <v>1.43</v>
      </c>
    </row>
    <row r="236" spans="1:27">
      <c r="A236" s="15">
        <v>4</v>
      </c>
      <c r="B236" s="75">
        <v>39980</v>
      </c>
      <c r="C236" s="15">
        <v>2009</v>
      </c>
      <c r="D236" s="11" t="s">
        <v>32</v>
      </c>
      <c r="E236" s="12">
        <v>6</v>
      </c>
      <c r="F236" s="23">
        <v>21.108000000000001</v>
      </c>
      <c r="G236" s="25">
        <v>2.625</v>
      </c>
      <c r="I236" s="27">
        <f>AVERAGE(F235:F236)</f>
        <v>19.755000000000003</v>
      </c>
      <c r="J236" s="27">
        <f>AVERAGE(G235:G236)</f>
        <v>2.0274999999999999</v>
      </c>
      <c r="L236">
        <f>+J236/I236</f>
        <v>0.10263224500126548</v>
      </c>
      <c r="M236">
        <f>+(L236-$L$619)/$L$620</f>
        <v>0.68577847162579431</v>
      </c>
      <c r="N236">
        <f>+N234+M236</f>
        <v>-12.254258335489803</v>
      </c>
      <c r="Z236">
        <f>+(I236-$F$619)/$F$620</f>
        <v>0.78913091552211079</v>
      </c>
      <c r="AA236">
        <f>+AA234+Z236</f>
        <v>22.367295898304018</v>
      </c>
    </row>
    <row r="237" spans="1:27">
      <c r="A237" s="15">
        <v>3</v>
      </c>
      <c r="B237" s="75">
        <v>40009</v>
      </c>
      <c r="C237" s="15">
        <v>2009</v>
      </c>
      <c r="D237" s="11" t="s">
        <v>33</v>
      </c>
      <c r="E237" s="12">
        <v>7</v>
      </c>
      <c r="F237" s="23">
        <v>11.356</v>
      </c>
      <c r="G237" s="25">
        <v>2.59</v>
      </c>
    </row>
    <row r="238" spans="1:27">
      <c r="A238" s="15">
        <v>4</v>
      </c>
      <c r="B238" s="75">
        <v>40009</v>
      </c>
      <c r="C238" s="15">
        <v>2009</v>
      </c>
      <c r="D238" s="11" t="s">
        <v>33</v>
      </c>
      <c r="E238" s="12">
        <v>7</v>
      </c>
      <c r="F238" s="23">
        <v>16.303000000000001</v>
      </c>
      <c r="G238" s="25">
        <v>2.6080000000000001</v>
      </c>
      <c r="I238" s="27">
        <f>AVERAGE(F237:F238)</f>
        <v>13.829499999999999</v>
      </c>
      <c r="J238" s="27">
        <f>AVERAGE(G237:G238)</f>
        <v>2.5990000000000002</v>
      </c>
      <c r="L238">
        <f>+J238/I238</f>
        <v>0.18793159550236815</v>
      </c>
      <c r="M238">
        <f>+(L238-$L$619)/$L$620</f>
        <v>2.0464391712016683</v>
      </c>
      <c r="N238">
        <f>+N236+M238</f>
        <v>-10.207819164288136</v>
      </c>
      <c r="Z238">
        <f>+(I238-$F$619)/$F$620</f>
        <v>0.20054736638385398</v>
      </c>
      <c r="AA238">
        <f>+AA236+Z238</f>
        <v>22.567843264687873</v>
      </c>
    </row>
    <row r="239" spans="1:27">
      <c r="A239" s="15">
        <v>3</v>
      </c>
      <c r="B239" s="75">
        <v>40043</v>
      </c>
      <c r="C239" s="15">
        <v>2009</v>
      </c>
      <c r="D239" s="11" t="s">
        <v>34</v>
      </c>
      <c r="E239" s="12">
        <v>8</v>
      </c>
      <c r="F239" s="23">
        <v>21.183</v>
      </c>
      <c r="G239" s="25">
        <v>1.5880000000000001</v>
      </c>
    </row>
    <row r="240" spans="1:27">
      <c r="A240" s="15">
        <v>4</v>
      </c>
      <c r="B240" s="75">
        <v>40043</v>
      </c>
      <c r="C240" s="15">
        <v>2009</v>
      </c>
      <c r="D240" s="11" t="s">
        <v>34</v>
      </c>
      <c r="E240" s="12">
        <v>8</v>
      </c>
      <c r="F240" s="23">
        <v>33.268000000000001</v>
      </c>
      <c r="G240" s="25">
        <v>1.6559999999999999</v>
      </c>
      <c r="I240" s="27">
        <f>AVERAGE(F239:F240)</f>
        <v>27.2255</v>
      </c>
      <c r="J240" s="27">
        <f>AVERAGE(G239:G240)</f>
        <v>1.6219999999999999</v>
      </c>
      <c r="L240">
        <f>+J240/I240</f>
        <v>5.957649997245229E-2</v>
      </c>
      <c r="M240">
        <f>+(L240-$L$619)/$L$620</f>
        <v>-1.0293388382267054E-3</v>
      </c>
      <c r="N240">
        <f>+N238+M240</f>
        <v>-10.208848503126362</v>
      </c>
      <c r="Z240">
        <f>+(I240-$F$619)/$F$620</f>
        <v>1.5311802622164561</v>
      </c>
      <c r="AA240">
        <f>+AA238+Z240</f>
        <v>24.099023526904329</v>
      </c>
    </row>
    <row r="241" spans="1:27">
      <c r="A241" s="15">
        <v>3</v>
      </c>
      <c r="B241" s="75">
        <v>40070</v>
      </c>
      <c r="C241" s="15">
        <v>2009</v>
      </c>
      <c r="D241" s="11" t="s">
        <v>40</v>
      </c>
      <c r="E241" s="12">
        <v>9</v>
      </c>
      <c r="F241" s="23">
        <v>15.382999999999999</v>
      </c>
      <c r="G241" s="25">
        <v>0.96199999999999997</v>
      </c>
    </row>
    <row r="242" spans="1:27">
      <c r="A242" s="15">
        <v>4</v>
      </c>
      <c r="B242" s="75">
        <v>40070</v>
      </c>
      <c r="C242" s="15">
        <v>2009</v>
      </c>
      <c r="D242" s="11" t="s">
        <v>40</v>
      </c>
      <c r="E242" s="12">
        <v>9</v>
      </c>
      <c r="F242" s="23">
        <v>12.561</v>
      </c>
      <c r="G242" s="25">
        <v>1.0760000000000001</v>
      </c>
      <c r="I242" s="27">
        <f>AVERAGE(F241:F242)</f>
        <v>13.972</v>
      </c>
      <c r="J242" s="27">
        <f>AVERAGE(G241:G242)</f>
        <v>1.0190000000000001</v>
      </c>
      <c r="L242">
        <f>+J242/I242</f>
        <v>7.2931577440595488E-2</v>
      </c>
      <c r="M242">
        <f>+(L242-$L$619)/$L$620</f>
        <v>0.21200544916357419</v>
      </c>
      <c r="N242">
        <f>+N240+M242</f>
        <v>-9.9968430539627882</v>
      </c>
      <c r="Z242">
        <f>+(I242-$F$619)/$F$620</f>
        <v>0.21470197877980396</v>
      </c>
      <c r="AA242">
        <f>+AA240+Z242</f>
        <v>24.313725505684133</v>
      </c>
    </row>
    <row r="243" spans="1:27">
      <c r="A243" s="15">
        <v>3</v>
      </c>
      <c r="B243" s="75">
        <v>40099</v>
      </c>
      <c r="C243" s="15">
        <v>2009</v>
      </c>
      <c r="D243" s="11" t="s">
        <v>36</v>
      </c>
      <c r="E243" s="12">
        <v>10</v>
      </c>
      <c r="F243" s="23">
        <v>8.7680000000000007</v>
      </c>
      <c r="G243" s="25">
        <v>1.431</v>
      </c>
    </row>
    <row r="244" spans="1:27">
      <c r="A244" s="15">
        <v>4</v>
      </c>
      <c r="B244" s="75">
        <v>40099</v>
      </c>
      <c r="C244" s="15">
        <v>2009</v>
      </c>
      <c r="D244" s="11" t="s">
        <v>36</v>
      </c>
      <c r="E244" s="12">
        <v>10</v>
      </c>
      <c r="F244" s="23">
        <v>11.911</v>
      </c>
      <c r="G244" s="25">
        <v>2.4049999999999998</v>
      </c>
      <c r="I244" s="27">
        <f>AVERAGE(F243:F244)</f>
        <v>10.339500000000001</v>
      </c>
      <c r="J244" s="27">
        <f>AVERAGE(G243:G244)</f>
        <v>1.9179999999999999</v>
      </c>
      <c r="L244">
        <f>+J244/I244</f>
        <v>0.18550220029982106</v>
      </c>
      <c r="M244">
        <f>+(L244-$L$619)/$L$620</f>
        <v>2.0076864426471728</v>
      </c>
      <c r="N244">
        <f>+N242+M244</f>
        <v>-7.9891566113156154</v>
      </c>
      <c r="Z244">
        <f>+(I244-$F$619)/$F$620</f>
        <v>-0.14611647405028902</v>
      </c>
      <c r="AA244">
        <f>+AA242+Z244</f>
        <v>24.167609031633845</v>
      </c>
    </row>
    <row r="245" spans="1:27">
      <c r="A245" s="15">
        <v>3</v>
      </c>
      <c r="B245" s="75">
        <v>40134</v>
      </c>
      <c r="C245" s="15">
        <v>2009</v>
      </c>
      <c r="D245" s="11" t="s">
        <v>37</v>
      </c>
      <c r="E245" s="12">
        <v>11</v>
      </c>
      <c r="F245" s="23">
        <v>3.383</v>
      </c>
      <c r="G245" s="25">
        <v>5.6000000000000001E-2</v>
      </c>
    </row>
    <row r="246" spans="1:27">
      <c r="A246" s="15">
        <v>4</v>
      </c>
      <c r="B246" s="75">
        <v>40134</v>
      </c>
      <c r="C246" s="15">
        <v>2009</v>
      </c>
      <c r="D246" s="11" t="s">
        <v>37</v>
      </c>
      <c r="E246" s="12">
        <v>11</v>
      </c>
      <c r="F246" s="23">
        <v>2.6019999999999999</v>
      </c>
      <c r="G246" s="25">
        <v>6.5000000000000002E-2</v>
      </c>
      <c r="I246" s="27">
        <f>AVERAGE(F245:F246)</f>
        <v>2.9924999999999997</v>
      </c>
      <c r="J246" s="27">
        <f>AVERAGE(G245:G246)</f>
        <v>6.0499999999999998E-2</v>
      </c>
      <c r="L246">
        <f>+J246/I246</f>
        <v>2.0217209690893904E-2</v>
      </c>
      <c r="M246">
        <f>+(L246-$L$619)/$L$620</f>
        <v>-0.62887279995136647</v>
      </c>
      <c r="N246">
        <f>+N244+M246</f>
        <v>-8.6180294112669813</v>
      </c>
      <c r="Z246">
        <f>+(I246-$F$619)/$F$620</f>
        <v>-0.87589849000147812</v>
      </c>
      <c r="AA246">
        <f>+AA244+Z246</f>
        <v>23.291710541632366</v>
      </c>
    </row>
    <row r="247" spans="1:27">
      <c r="A247" s="15">
        <v>3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7.4050000000000002</v>
      </c>
      <c r="G247" s="25">
        <v>4.2999999999999997E-2</v>
      </c>
    </row>
    <row r="248" spans="1:27">
      <c r="A248" s="15">
        <v>4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6.6210000000000004</v>
      </c>
      <c r="G248" s="25">
        <v>8.1000000000000003E-2</v>
      </c>
      <c r="I248" s="27">
        <f>AVERAGE(F247:F248)</f>
        <v>7.0129999999999999</v>
      </c>
      <c r="J248" s="27">
        <f>AVERAGE(G247:G248)</f>
        <v>6.2E-2</v>
      </c>
      <c r="L248">
        <f>+J248/I248</f>
        <v>8.8407243690289457E-3</v>
      </c>
      <c r="M248">
        <f>+(L248-$L$619)/$L$620</f>
        <v>-0.81034588721201717</v>
      </c>
      <c r="N248">
        <f>+N246+M248</f>
        <v>-9.4283752984789988</v>
      </c>
      <c r="Z248">
        <f>+(I248-$F$619)/$F$620</f>
        <v>-0.47653975920907915</v>
      </c>
      <c r="AA248">
        <f>+AA246+Z248</f>
        <v>22.815170782423287</v>
      </c>
    </row>
    <row r="249" spans="1:27">
      <c r="A249" s="15">
        <v>3</v>
      </c>
      <c r="B249" s="70">
        <v>40198</v>
      </c>
      <c r="C249" s="15">
        <v>2010</v>
      </c>
      <c r="D249" s="11" t="s">
        <v>39</v>
      </c>
      <c r="E249" s="15">
        <v>1</v>
      </c>
      <c r="F249" s="26">
        <v>7.4580000000000002</v>
      </c>
      <c r="G249" s="27">
        <v>3.5856875000000003E-2</v>
      </c>
    </row>
    <row r="250" spans="1:27">
      <c r="A250" s="15">
        <v>4</v>
      </c>
      <c r="B250" s="70">
        <v>40198</v>
      </c>
      <c r="C250" s="15">
        <v>2010</v>
      </c>
      <c r="D250" s="11" t="s">
        <v>39</v>
      </c>
      <c r="E250" s="15">
        <v>1</v>
      </c>
      <c r="F250" s="26">
        <v>9.9359999999999999</v>
      </c>
      <c r="G250" s="27">
        <v>5.8066624999999983E-2</v>
      </c>
      <c r="I250" s="27">
        <f>AVERAGE(F249:F250)</f>
        <v>8.6969999999999992</v>
      </c>
      <c r="J250" s="27">
        <f>AVERAGE(G249:G250)</f>
        <v>4.6961749999999997E-2</v>
      </c>
      <c r="L250">
        <f>+J250/I250</f>
        <v>5.3997642865355874E-3</v>
      </c>
      <c r="M250">
        <f>+(L250-$L$619)/$L$620</f>
        <v>-0.86523468912613666</v>
      </c>
      <c r="N250">
        <f>+N248+M250</f>
        <v>-10.293609987605135</v>
      </c>
      <c r="Z250">
        <f>+(I250-$F$619)/$F$620</f>
        <v>-0.30926700640360727</v>
      </c>
      <c r="AA250">
        <f>+AA248+Z250</f>
        <v>22.505903776019679</v>
      </c>
    </row>
    <row r="251" spans="1:27">
      <c r="A251" s="15">
        <v>3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7.367</v>
      </c>
      <c r="G251" s="27">
        <v>2.4660624999999995E-2</v>
      </c>
    </row>
    <row r="252" spans="1:27">
      <c r="A252" s="15">
        <v>4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8.0229999999999997</v>
      </c>
      <c r="G252" s="27">
        <v>5.8846624999999993E-2</v>
      </c>
      <c r="I252" s="27">
        <f>AVERAGE(F251:F252)</f>
        <v>7.6950000000000003</v>
      </c>
      <c r="J252" s="27">
        <f>AVERAGE(G251:G252)</f>
        <v>4.1753624999999996E-2</v>
      </c>
      <c r="L252">
        <f>+J252/I252</f>
        <v>5.4260721247563343E-3</v>
      </c>
      <c r="M252">
        <f>+(L252-$L$619)/$L$620</f>
        <v>-0.8648150371434723</v>
      </c>
      <c r="N252">
        <f>+N250+M252</f>
        <v>-11.158425024748608</v>
      </c>
      <c r="Z252">
        <f>+(I252-$F$619)/$F$620</f>
        <v>-0.40879628093512904</v>
      </c>
      <c r="AA252">
        <f>+AA250+Z252</f>
        <v>22.097107495084551</v>
      </c>
    </row>
    <row r="253" spans="1:27">
      <c r="A253" s="15">
        <v>3</v>
      </c>
      <c r="B253" s="70">
        <v>40254</v>
      </c>
      <c r="C253" s="15">
        <v>2010</v>
      </c>
      <c r="D253" s="11" t="s">
        <v>29</v>
      </c>
      <c r="E253" s="15">
        <v>3</v>
      </c>
      <c r="F253" s="26">
        <v>6.298</v>
      </c>
      <c r="G253" s="27">
        <v>0.114169625</v>
      </c>
    </row>
    <row r="254" spans="1:27">
      <c r="A254" s="15">
        <v>4</v>
      </c>
      <c r="B254" s="70">
        <v>40254</v>
      </c>
      <c r="C254" s="15">
        <v>2010</v>
      </c>
      <c r="D254" s="11" t="s">
        <v>29</v>
      </c>
      <c r="E254" s="15">
        <v>3</v>
      </c>
      <c r="F254" s="26">
        <v>5.4240000000000004</v>
      </c>
      <c r="G254" s="27">
        <v>5.7121125000000002E-2</v>
      </c>
      <c r="I254" s="27">
        <f>AVERAGE(F253:F254)</f>
        <v>5.8610000000000007</v>
      </c>
      <c r="J254" s="27">
        <f>AVERAGE(G253:G254)</f>
        <v>8.5645374999999996E-2</v>
      </c>
      <c r="L254">
        <f>+J254/I254</f>
        <v>1.4612758061764201E-2</v>
      </c>
      <c r="M254">
        <f>+(L254-$L$619)/$L$620</f>
        <v>-0.71827274297123966</v>
      </c>
      <c r="N254">
        <f>+N252+M254</f>
        <v>-11.876697767719847</v>
      </c>
      <c r="Z254">
        <f>+(I254-$F$619)/$F$620</f>
        <v>-0.59096862573633779</v>
      </c>
      <c r="AA254">
        <f>+AA252+Z254</f>
        <v>21.506138869348213</v>
      </c>
    </row>
    <row r="255" spans="1:27">
      <c r="A255" s="15">
        <v>3</v>
      </c>
      <c r="B255" s="70">
        <v>40280</v>
      </c>
      <c r="C255" s="15">
        <v>2010</v>
      </c>
      <c r="D255" s="11" t="s">
        <v>30</v>
      </c>
      <c r="E255" s="15">
        <v>4</v>
      </c>
      <c r="F255" s="26">
        <v>9.4649999999999999</v>
      </c>
      <c r="G255" s="27">
        <v>0.22768437499999999</v>
      </c>
    </row>
    <row r="256" spans="1:27">
      <c r="A256" s="15">
        <v>3</v>
      </c>
      <c r="B256" s="70">
        <v>40280</v>
      </c>
      <c r="C256" s="15">
        <v>2010</v>
      </c>
      <c r="D256" s="11" t="s">
        <v>30</v>
      </c>
      <c r="E256" s="15">
        <v>4</v>
      </c>
      <c r="F256" s="26">
        <v>9.4649999999999999</v>
      </c>
      <c r="G256" s="27">
        <v>0.23123037499999999</v>
      </c>
      <c r="H256" t="s">
        <v>13</v>
      </c>
      <c r="I256" s="27">
        <f>AVERAGE(F255:F256)</f>
        <v>9.4649999999999999</v>
      </c>
      <c r="J256" s="27">
        <f>AVERAGE(G255:G256)</f>
        <v>0.22945737499999999</v>
      </c>
      <c r="L256">
        <f>+J256/I256</f>
        <v>2.4242723190702586E-2</v>
      </c>
      <c r="M256">
        <f>+(L256-$L$619)/$L$620</f>
        <v>-0.56465943862300561</v>
      </c>
      <c r="N256">
        <f>+N254+M256</f>
        <v>-12.441357206342852</v>
      </c>
      <c r="Z256">
        <f>+(I256-$F$619)/$F$620</f>
        <v>-0.23298109538543474</v>
      </c>
      <c r="AA256">
        <f>+AA254+Z256</f>
        <v>21.27315777396278</v>
      </c>
    </row>
    <row r="257" spans="1:27">
      <c r="A257" s="15">
        <v>4</v>
      </c>
      <c r="B257" s="70">
        <v>40280</v>
      </c>
      <c r="C257" s="15">
        <v>2010</v>
      </c>
      <c r="D257" s="11" t="s">
        <v>30</v>
      </c>
      <c r="E257" s="15">
        <v>4</v>
      </c>
      <c r="F257" s="26">
        <v>15.436999999999999</v>
      </c>
      <c r="G257" s="27">
        <v>0.79852987499999983</v>
      </c>
    </row>
    <row r="258" spans="1:27">
      <c r="A258" s="15">
        <v>3</v>
      </c>
      <c r="B258" s="75">
        <v>40315</v>
      </c>
      <c r="C258" s="15">
        <v>2010</v>
      </c>
      <c r="D258" s="11" t="s">
        <v>31</v>
      </c>
      <c r="E258" s="15">
        <v>5</v>
      </c>
      <c r="F258" s="28">
        <v>5.5709999999999997</v>
      </c>
      <c r="G258" s="27">
        <v>1.6918322500000003</v>
      </c>
      <c r="I258" s="27">
        <f>AVERAGE(F257:F258)</f>
        <v>10.504</v>
      </c>
      <c r="J258" s="27">
        <f>AVERAGE(G257:G258)</f>
        <v>1.2451810624999999</v>
      </c>
      <c r="L258">
        <f>+J258/I258</f>
        <v>0.11854351318545316</v>
      </c>
      <c r="M258">
        <f>+(L258-$L$619)/$L$620</f>
        <v>0.93958857887105729</v>
      </c>
      <c r="N258">
        <f>+N256+M258</f>
        <v>-11.501768627471796</v>
      </c>
      <c r="Z258">
        <f>+(I258-$F$619)/$F$620</f>
        <v>-0.12977658816163112</v>
      </c>
      <c r="AA258">
        <f>+AA256+Z258</f>
        <v>21.143381185801147</v>
      </c>
    </row>
    <row r="259" spans="1:27">
      <c r="A259" s="15">
        <v>4</v>
      </c>
      <c r="B259" s="75">
        <v>40315</v>
      </c>
      <c r="C259" s="15">
        <v>2010</v>
      </c>
      <c r="D259" s="11" t="s">
        <v>31</v>
      </c>
      <c r="E259" s="15">
        <v>5</v>
      </c>
      <c r="F259" s="28">
        <v>7.5839999999999996</v>
      </c>
      <c r="G259" s="27">
        <v>2.7844369999999996</v>
      </c>
    </row>
    <row r="260" spans="1:27">
      <c r="A260" s="15">
        <v>3</v>
      </c>
      <c r="B260" s="75">
        <v>40344</v>
      </c>
      <c r="C260" s="15">
        <v>2010</v>
      </c>
      <c r="D260" s="11" t="s">
        <v>32</v>
      </c>
      <c r="E260" s="15">
        <v>6</v>
      </c>
      <c r="F260" s="28">
        <v>12.952</v>
      </c>
      <c r="G260" s="27">
        <v>3.4183308749999997</v>
      </c>
      <c r="I260" s="27">
        <f>AVERAGE(F259:F260)</f>
        <v>10.268000000000001</v>
      </c>
      <c r="J260" s="27">
        <f>AVERAGE(G259:G260)</f>
        <v>3.1013839374999996</v>
      </c>
      <c r="L260">
        <f>+J260/I260</f>
        <v>0.30204362461044015</v>
      </c>
      <c r="M260">
        <f>+(L260-$L$619)/$L$620</f>
        <v>3.8667080530169478</v>
      </c>
      <c r="N260">
        <f>+N258+M260</f>
        <v>-7.6350605744548474</v>
      </c>
      <c r="Z260">
        <f>+(I260-$F$619)/$F$620</f>
        <v>-0.15321861290159025</v>
      </c>
      <c r="AA260">
        <f>+AA258+Z260</f>
        <v>20.990162572899557</v>
      </c>
    </row>
    <row r="261" spans="1:27">
      <c r="A261" s="15">
        <v>4</v>
      </c>
      <c r="B261" s="75">
        <v>40344</v>
      </c>
      <c r="C261" s="15">
        <v>2010</v>
      </c>
      <c r="D261" s="11" t="s">
        <v>32</v>
      </c>
      <c r="E261" s="15">
        <v>6</v>
      </c>
      <c r="F261" s="28">
        <v>11.233000000000001</v>
      </c>
      <c r="G261" s="27">
        <v>2.9776998749999994</v>
      </c>
    </row>
    <row r="262" spans="1:27">
      <c r="A262" s="15">
        <v>4</v>
      </c>
      <c r="B262" s="75">
        <v>40344</v>
      </c>
      <c r="C262" s="15">
        <v>2010</v>
      </c>
      <c r="D262" s="11" t="s">
        <v>32</v>
      </c>
      <c r="E262" s="15">
        <v>6</v>
      </c>
      <c r="F262" s="28">
        <v>11.233000000000001</v>
      </c>
      <c r="G262" s="27">
        <v>4.3569082499999991</v>
      </c>
      <c r="H262" t="s">
        <v>13</v>
      </c>
      <c r="I262" s="27">
        <f>AVERAGE(F261:F262)</f>
        <v>11.233000000000001</v>
      </c>
      <c r="J262" s="27">
        <f>AVERAGE(G261:G262)</f>
        <v>3.6673040624999995</v>
      </c>
      <c r="L262">
        <f>+J262/I262</f>
        <v>0.32647592473070414</v>
      </c>
      <c r="M262">
        <f>+(L262-$L$619)/$L$620</f>
        <v>4.2564422113497988</v>
      </c>
      <c r="N262">
        <f>+N260+M262</f>
        <v>-3.3786183631050486</v>
      </c>
      <c r="Z262">
        <f>+(I262-$F$619)/$F$620</f>
        <v>-5.7364571062350121E-2</v>
      </c>
      <c r="AA262">
        <f>+AA260+Z262</f>
        <v>20.932798001837206</v>
      </c>
    </row>
    <row r="263" spans="1:27">
      <c r="A263" s="15">
        <v>3</v>
      </c>
      <c r="B263" s="75">
        <v>40371</v>
      </c>
      <c r="C263" s="15">
        <v>2010</v>
      </c>
      <c r="D263" s="11" t="s">
        <v>33</v>
      </c>
      <c r="E263" s="15">
        <v>7</v>
      </c>
      <c r="F263" s="28">
        <v>17.329999999999998</v>
      </c>
      <c r="G263" s="27">
        <v>2.6977083749999999</v>
      </c>
    </row>
    <row r="264" spans="1:27">
      <c r="A264" s="15">
        <v>4</v>
      </c>
      <c r="B264" s="75">
        <v>40371</v>
      </c>
      <c r="C264" s="15">
        <v>2010</v>
      </c>
      <c r="D264" s="11" t="s">
        <v>33</v>
      </c>
      <c r="E264" s="15">
        <v>7</v>
      </c>
      <c r="F264" s="28">
        <v>42.161000000000001</v>
      </c>
      <c r="G264" s="27">
        <v>2.7444999999999995</v>
      </c>
      <c r="I264" s="27">
        <f>AVERAGE(F263:F264)</f>
        <v>29.7455</v>
      </c>
      <c r="J264" s="27">
        <f>AVERAGE(G263:G264)</f>
        <v>2.7211041874999999</v>
      </c>
      <c r="L264">
        <f>+J264/I264</f>
        <v>9.147952421374661E-2</v>
      </c>
      <c r="M264">
        <f>+(L264-$L$619)/$L$620</f>
        <v>0.50787478560976007</v>
      </c>
      <c r="N264">
        <f>+N262+M264</f>
        <v>-2.8707435774952885</v>
      </c>
      <c r="Z264">
        <f>+(I264-$F$619)/$F$620</f>
        <v>1.7814934077448343</v>
      </c>
      <c r="AA264">
        <f>+AA262+Z264</f>
        <v>22.714291409582039</v>
      </c>
    </row>
    <row r="265" spans="1:27">
      <c r="A265" s="15">
        <v>3</v>
      </c>
      <c r="B265" s="75">
        <v>40407</v>
      </c>
      <c r="C265" s="15">
        <v>2010</v>
      </c>
      <c r="D265" s="11" t="s">
        <v>34</v>
      </c>
      <c r="E265" s="15">
        <v>8</v>
      </c>
      <c r="F265" s="28">
        <v>36.511000000000003</v>
      </c>
      <c r="G265" s="27">
        <v>2.4320003749999994</v>
      </c>
    </row>
    <row r="266" spans="1:27">
      <c r="A266" s="15">
        <v>4</v>
      </c>
      <c r="B266" s="75">
        <v>40407</v>
      </c>
      <c r="C266" s="15">
        <v>2010</v>
      </c>
      <c r="D266" s="11" t="s">
        <v>34</v>
      </c>
      <c r="E266" s="15">
        <v>8</v>
      </c>
      <c r="F266" s="28">
        <v>39.277000000000001</v>
      </c>
      <c r="G266" s="27">
        <v>2.0605877499999998</v>
      </c>
      <c r="I266" s="27">
        <f>AVERAGE(F265:F266)</f>
        <v>37.894000000000005</v>
      </c>
      <c r="J266" s="27">
        <f>AVERAGE(G265:G266)</f>
        <v>2.2462940624999996</v>
      </c>
      <c r="L266">
        <f>+J266/I266</f>
        <v>5.9278357061803962E-2</v>
      </c>
      <c r="M266">
        <f>+(L266-$L$619)/$L$620</f>
        <v>-5.7851938241459504E-3</v>
      </c>
      <c r="N266">
        <f>+N264+M266</f>
        <v>-2.8765287713194345</v>
      </c>
      <c r="Z266">
        <f>+(I266-$F$619)/$F$620</f>
        <v>2.5908889102599111</v>
      </c>
      <c r="AA266">
        <f>+AA264+Z266</f>
        <v>25.305180319841948</v>
      </c>
    </row>
    <row r="267" spans="1:27">
      <c r="A267" s="15">
        <v>3</v>
      </c>
      <c r="B267" s="75">
        <v>40436</v>
      </c>
      <c r="C267" s="15">
        <v>2010</v>
      </c>
      <c r="D267" s="11" t="s">
        <v>40</v>
      </c>
      <c r="E267" s="15">
        <v>9</v>
      </c>
      <c r="F267" s="28">
        <v>12.305</v>
      </c>
      <c r="G267" s="27">
        <v>2.3948494999999999</v>
      </c>
    </row>
    <row r="268" spans="1:27">
      <c r="A268" s="15">
        <v>4</v>
      </c>
      <c r="B268" s="75">
        <v>40436</v>
      </c>
      <c r="C268" s="15">
        <v>2010</v>
      </c>
      <c r="D268" s="11" t="s">
        <v>40</v>
      </c>
      <c r="E268" s="15">
        <v>9</v>
      </c>
      <c r="F268" s="28">
        <v>11.909000000000001</v>
      </c>
      <c r="G268" s="27">
        <v>2.8628699999999996</v>
      </c>
      <c r="I268" s="27">
        <f>AVERAGE(F267:F268)</f>
        <v>12.106999999999999</v>
      </c>
      <c r="J268" s="27">
        <f>AVERAGE(G267:G268)</f>
        <v>2.6288597499999997</v>
      </c>
      <c r="L268">
        <f>+J268/I268</f>
        <v>0.21713552077310647</v>
      </c>
      <c r="M268">
        <f>+(L268-$L$619)/$L$620</f>
        <v>2.5122883617969785</v>
      </c>
      <c r="N268">
        <f>+N266+M268</f>
        <v>-0.36424040952245607</v>
      </c>
      <c r="Z268">
        <f>+(I268-$F$619)/$F$620</f>
        <v>2.9450384966142912E-2</v>
      </c>
      <c r="AA268">
        <f>+AA266+Z268</f>
        <v>25.334630704808092</v>
      </c>
    </row>
    <row r="269" spans="1:27">
      <c r="A269" s="15">
        <v>3</v>
      </c>
      <c r="B269" s="75">
        <v>40464</v>
      </c>
      <c r="C269" s="15">
        <v>2010</v>
      </c>
      <c r="D269" s="11" t="s">
        <v>36</v>
      </c>
      <c r="E269" s="15">
        <v>10</v>
      </c>
      <c r="F269" s="26">
        <v>7.3470000000000004</v>
      </c>
      <c r="G269" s="27">
        <v>1.1432502499999999</v>
      </c>
    </row>
    <row r="270" spans="1:27">
      <c r="A270" s="15">
        <v>3</v>
      </c>
      <c r="B270" s="75">
        <v>40464</v>
      </c>
      <c r="C270" s="15">
        <v>2010</v>
      </c>
      <c r="D270" s="11" t="s">
        <v>36</v>
      </c>
      <c r="E270" s="15">
        <v>10</v>
      </c>
      <c r="F270" s="26">
        <v>7.3470000000000004</v>
      </c>
      <c r="G270" s="27">
        <v>1.3840008749999999</v>
      </c>
      <c r="H270" t="s">
        <v>13</v>
      </c>
      <c r="I270" s="27"/>
      <c r="J270" s="27"/>
    </row>
    <row r="271" spans="1:27">
      <c r="A271" s="15">
        <v>4</v>
      </c>
      <c r="B271" s="75">
        <v>40464</v>
      </c>
      <c r="C271" s="15">
        <v>2010</v>
      </c>
      <c r="D271" s="11" t="s">
        <v>36</v>
      </c>
      <c r="E271" s="15">
        <v>10</v>
      </c>
      <c r="F271" s="26">
        <v>6.298</v>
      </c>
      <c r="G271" s="27">
        <v>1.6957875000000001E-2</v>
      </c>
      <c r="I271" s="27">
        <f>AVERAGE(F269:F271)</f>
        <v>6.9973333333333336</v>
      </c>
      <c r="J271" s="27">
        <f t="shared" ref="J271" si="0">AVERAGE(G269:G271)</f>
        <v>0.84806966666666661</v>
      </c>
      <c r="K271" s="27"/>
      <c r="L271">
        <f>+J271/I271</f>
        <v>0.12119898056402438</v>
      </c>
      <c r="M271">
        <f>+(L271-$L$619)/$L$620</f>
        <v>0.9819475192358017</v>
      </c>
      <c r="N271">
        <f>+N268+M271</f>
        <v>0.61770710971334564</v>
      </c>
      <c r="Z271">
        <f>+(I271-$F$619)/$F$620</f>
        <v>-0.47809593881752271</v>
      </c>
      <c r="AA271">
        <f>+AA268+Z271</f>
        <v>24.85653476599057</v>
      </c>
    </row>
    <row r="272" spans="1:27">
      <c r="A272" s="15">
        <v>3</v>
      </c>
      <c r="B272" s="75">
        <v>40498</v>
      </c>
      <c r="C272" s="15">
        <v>2010</v>
      </c>
      <c r="D272" s="11" t="s">
        <v>37</v>
      </c>
      <c r="E272" s="15">
        <v>11</v>
      </c>
      <c r="F272" s="26">
        <v>2.4590000000000001</v>
      </c>
      <c r="G272" s="27">
        <v>0.14744825</v>
      </c>
      <c r="I272" s="27"/>
      <c r="J272" s="27"/>
    </row>
    <row r="273" spans="1:27">
      <c r="A273" s="15">
        <v>4</v>
      </c>
      <c r="B273" s="75">
        <v>40498</v>
      </c>
      <c r="C273" s="15">
        <v>2010</v>
      </c>
      <c r="D273" s="11" t="s">
        <v>37</v>
      </c>
      <c r="E273" s="15">
        <v>11</v>
      </c>
      <c r="F273" s="26">
        <v>3.3050000000000002</v>
      </c>
      <c r="G273" s="27">
        <v>0.28950637499999993</v>
      </c>
      <c r="I273" s="27">
        <f>AVERAGE(F272:F273)</f>
        <v>2.8820000000000001</v>
      </c>
      <c r="J273" s="27">
        <f>AVERAGE(G272:G273)</f>
        <v>0.21847731249999996</v>
      </c>
      <c r="L273">
        <f>+J273/I273</f>
        <v>7.5807533830673124E-2</v>
      </c>
      <c r="M273">
        <f>+(L273-$L$619)/$L$620</f>
        <v>0.25788154095892912</v>
      </c>
      <c r="N273">
        <f>+N271+M273</f>
        <v>0.87558865067227476</v>
      </c>
      <c r="Z273">
        <f>+(I273-$F$619)/$F$620</f>
        <v>-0.88687452277167089</v>
      </c>
      <c r="AA273">
        <f>+AA271+Z273</f>
        <v>23.9696602432189</v>
      </c>
    </row>
    <row r="274" spans="1:27">
      <c r="A274" s="15">
        <v>3</v>
      </c>
      <c r="B274" s="75">
        <v>40520</v>
      </c>
      <c r="C274" s="15">
        <v>2010</v>
      </c>
      <c r="D274" s="11" t="s">
        <v>38</v>
      </c>
      <c r="E274" s="15">
        <v>12</v>
      </c>
      <c r="F274" s="26">
        <v>4.07</v>
      </c>
      <c r="G274" s="27">
        <v>0.24769474999999999</v>
      </c>
    </row>
    <row r="275" spans="1:27">
      <c r="A275" s="15">
        <v>4</v>
      </c>
      <c r="B275" s="75">
        <v>40520</v>
      </c>
      <c r="C275" s="15">
        <v>2010</v>
      </c>
      <c r="D275" s="11" t="s">
        <v>38</v>
      </c>
      <c r="E275" s="15">
        <v>12</v>
      </c>
      <c r="F275" s="26">
        <v>5.391</v>
      </c>
      <c r="G275" s="27">
        <v>0.62976262500000002</v>
      </c>
      <c r="I275" s="27">
        <f>AVERAGE(F274:F275)</f>
        <v>4.7305000000000001</v>
      </c>
      <c r="J275" s="27">
        <f>AVERAGE(G274:G275)</f>
        <v>0.43872868749999999</v>
      </c>
      <c r="L275">
        <f>+J275/I275</f>
        <v>9.274467550998837E-2</v>
      </c>
      <c r="M275">
        <f>+(L275-$L$619)/$L$620</f>
        <v>0.52805596679930955</v>
      </c>
      <c r="N275">
        <f>+N273+M275</f>
        <v>1.4036446174715844</v>
      </c>
      <c r="Z275">
        <f>+(I275-$F$619)/$F$620</f>
        <v>-0.70326188407754087</v>
      </c>
      <c r="AA275">
        <f>+AA273+Z275</f>
        <v>23.266398359141359</v>
      </c>
    </row>
    <row r="276" spans="1:27">
      <c r="A276" s="15">
        <v>3</v>
      </c>
      <c r="B276" s="75">
        <v>40562</v>
      </c>
      <c r="C276" s="15">
        <v>2011</v>
      </c>
      <c r="D276" s="11" t="s">
        <v>39</v>
      </c>
      <c r="E276" s="15">
        <v>1</v>
      </c>
      <c r="F276" s="26">
        <v>2.028</v>
      </c>
      <c r="G276" s="27">
        <v>1.6859499999999999E-2</v>
      </c>
    </row>
    <row r="277" spans="1:27">
      <c r="A277" s="15">
        <v>4</v>
      </c>
      <c r="B277" s="75">
        <v>40562</v>
      </c>
      <c r="C277" s="15">
        <v>2011</v>
      </c>
      <c r="D277" s="11" t="s">
        <v>39</v>
      </c>
      <c r="E277" s="15">
        <v>1</v>
      </c>
      <c r="F277" s="26">
        <v>3.573</v>
      </c>
      <c r="G277" s="27">
        <v>5.9377499999999993E-2</v>
      </c>
      <c r="I277" s="27">
        <f>AVERAGE(F276:F277)</f>
        <v>2.8005</v>
      </c>
      <c r="J277" s="27">
        <f>AVERAGE(G276:G277)</f>
        <v>3.81185E-2</v>
      </c>
      <c r="L277">
        <f>+J277/I277</f>
        <v>1.3611319407248705E-2</v>
      </c>
      <c r="M277">
        <f>+(L277-$L$619)/$L$620</f>
        <v>-0.73424728688312757</v>
      </c>
      <c r="N277">
        <f>+N275+M277</f>
        <v>0.66939733058845685</v>
      </c>
      <c r="Z277">
        <f>+(I277-$F$619)/$F$620</f>
        <v>-0.89496996775602133</v>
      </c>
      <c r="AA277">
        <f>+AA275+Z277</f>
        <v>22.371428391385336</v>
      </c>
    </row>
    <row r="278" spans="1:27">
      <c r="A278" s="15">
        <v>3</v>
      </c>
      <c r="B278" s="75">
        <v>40591</v>
      </c>
      <c r="C278" s="15">
        <v>2011</v>
      </c>
      <c r="D278" s="11" t="s">
        <v>28</v>
      </c>
      <c r="E278" s="15">
        <v>2</v>
      </c>
      <c r="F278" s="26">
        <v>3.3340000000000001</v>
      </c>
      <c r="G278" s="27">
        <v>3.2053125000000002E-2</v>
      </c>
    </row>
    <row r="279" spans="1:27">
      <c r="A279" s="15">
        <v>4</v>
      </c>
      <c r="B279" s="75">
        <v>40591</v>
      </c>
      <c r="C279" s="15">
        <v>2011</v>
      </c>
      <c r="D279" s="11" t="s">
        <v>28</v>
      </c>
      <c r="E279" s="15">
        <v>2</v>
      </c>
      <c r="F279" s="26">
        <v>3.585</v>
      </c>
      <c r="G279" s="27">
        <v>4.1405749999999998E-2</v>
      </c>
      <c r="I279" s="27">
        <f>AVERAGE(F278:F279)</f>
        <v>3.4595000000000002</v>
      </c>
      <c r="J279" s="27">
        <f>AVERAGE(G278:G279)</f>
        <v>3.6729437500000003E-2</v>
      </c>
      <c r="L279">
        <f>+J279/I279</f>
        <v>1.0616978609625669E-2</v>
      </c>
      <c r="M279">
        <f>+(L279-$L$619)/$L$620</f>
        <v>-0.78201179881114824</v>
      </c>
      <c r="N279">
        <f>+N277+M279</f>
        <v>-0.11261446822269139</v>
      </c>
      <c r="Z279">
        <f>+(I279-$F$619)/$F$620</f>
        <v>-0.82951109358808417</v>
      </c>
      <c r="AA279">
        <f>+AA277+Z279</f>
        <v>21.541917297797252</v>
      </c>
    </row>
    <row r="280" spans="1:27">
      <c r="A280" s="15">
        <v>3</v>
      </c>
      <c r="B280" s="75">
        <v>40619</v>
      </c>
      <c r="C280" s="15">
        <v>2011</v>
      </c>
      <c r="D280" s="11" t="s">
        <v>29</v>
      </c>
      <c r="E280" s="15">
        <v>3</v>
      </c>
      <c r="F280" s="26">
        <v>1.425</v>
      </c>
      <c r="G280" s="27">
        <v>1.5196124999999998E-2</v>
      </c>
    </row>
    <row r="281" spans="1:27">
      <c r="A281" s="15">
        <v>4</v>
      </c>
      <c r="B281" s="75">
        <v>40619</v>
      </c>
      <c r="C281" s="15">
        <v>2011</v>
      </c>
      <c r="D281" s="11" t="s">
        <v>29</v>
      </c>
      <c r="E281" s="15">
        <v>3</v>
      </c>
      <c r="F281" s="26">
        <v>1.968</v>
      </c>
      <c r="G281" s="27">
        <v>2.5884624999999998E-2</v>
      </c>
      <c r="I281" s="27">
        <f>AVERAGE(F280:F281)</f>
        <v>1.6964999999999999</v>
      </c>
      <c r="J281" s="27">
        <f>AVERAGE(G280:G281)</f>
        <v>2.0540375E-2</v>
      </c>
      <c r="L281">
        <f>+J281/I281</f>
        <v>1.2107500736811083E-2</v>
      </c>
      <c r="M281">
        <f>+(L281-$L$619)/$L$620</f>
        <v>-0.75823559338408331</v>
      </c>
      <c r="N281">
        <f>+N279+M281</f>
        <v>-0.87085006160677469</v>
      </c>
      <c r="Z281">
        <f>+(I281-$F$619)/$F$620</f>
        <v>-1.0046309648446441</v>
      </c>
      <c r="AA281">
        <f>+AA279+Z281</f>
        <v>20.537286332952608</v>
      </c>
    </row>
    <row r="282" spans="1:27">
      <c r="A282" s="15">
        <v>3</v>
      </c>
      <c r="B282" s="75">
        <v>40646</v>
      </c>
      <c r="C282" s="15">
        <v>2011</v>
      </c>
      <c r="D282" s="11" t="s">
        <v>30</v>
      </c>
      <c r="E282" s="15">
        <v>4</v>
      </c>
      <c r="F282" s="26">
        <v>1.224</v>
      </c>
      <c r="G282" s="27">
        <v>1.4498375000000001E-2</v>
      </c>
    </row>
    <row r="283" spans="1:27">
      <c r="A283" s="15">
        <v>4</v>
      </c>
      <c r="B283" s="75">
        <v>40646</v>
      </c>
      <c r="C283" s="15">
        <v>2011</v>
      </c>
      <c r="D283" s="11" t="s">
        <v>30</v>
      </c>
      <c r="E283" s="15">
        <v>4</v>
      </c>
      <c r="F283" s="26">
        <v>2.0760000000000001</v>
      </c>
      <c r="G283" s="27">
        <v>2.1060875000000003E-2</v>
      </c>
      <c r="I283" s="27">
        <f>AVERAGE(F282:F283)</f>
        <v>1.65</v>
      </c>
      <c r="J283" s="27">
        <f>AVERAGE(G282:G283)</f>
        <v>1.7779625E-2</v>
      </c>
      <c r="L283">
        <f>+J283/I283</f>
        <v>1.0775530303030304E-2</v>
      </c>
      <c r="M283">
        <f>+(L283-$L$619)/$L$620</f>
        <v>-0.77948264639908971</v>
      </c>
      <c r="N283">
        <f>+N281+M283</f>
        <v>-1.6503327080058643</v>
      </c>
      <c r="Z283">
        <f>+(I283-$F$619)/$F$620</f>
        <v>-1.0092498383633226</v>
      </c>
      <c r="AA283">
        <f>+AA281+Z283</f>
        <v>19.528036494589283</v>
      </c>
    </row>
    <row r="284" spans="1:27">
      <c r="A284" s="15">
        <v>3</v>
      </c>
      <c r="B284" s="75">
        <v>40681</v>
      </c>
      <c r="C284" s="15">
        <v>2011</v>
      </c>
      <c r="D284" s="11" t="s">
        <v>31</v>
      </c>
      <c r="E284" s="15">
        <v>5</v>
      </c>
      <c r="F284" s="26">
        <v>8.2690000000000001</v>
      </c>
      <c r="G284" s="27">
        <v>0.85285975000000003</v>
      </c>
    </row>
    <row r="285" spans="1:27">
      <c r="A285" s="15">
        <v>4</v>
      </c>
      <c r="B285" s="75">
        <v>40681</v>
      </c>
      <c r="C285" s="15">
        <v>2011</v>
      </c>
      <c r="D285" s="11" t="s">
        <v>31</v>
      </c>
      <c r="E285" s="15">
        <v>5</v>
      </c>
      <c r="F285" s="26">
        <v>9.657</v>
      </c>
      <c r="G285" s="27">
        <v>1.1446304999999999</v>
      </c>
      <c r="I285" s="27">
        <f>AVERAGE(F284:F285)</f>
        <v>8.963000000000001</v>
      </c>
      <c r="J285" s="27">
        <f>AVERAGE(G284:G285)</f>
        <v>0.9987451249999999</v>
      </c>
      <c r="L285">
        <f>+J285/I285</f>
        <v>0.11142978076536872</v>
      </c>
      <c r="M285">
        <f>+(L285-$L$619)/$L$620</f>
        <v>0.82611319981547426</v>
      </c>
      <c r="N285">
        <f>+N283+M285</f>
        <v>-0.82421950819039003</v>
      </c>
      <c r="Z285">
        <f>+(I285-$F$619)/$F$620</f>
        <v>-0.28284506326450048</v>
      </c>
      <c r="AA285">
        <f>+AA283+Z285</f>
        <v>19.245191431324784</v>
      </c>
    </row>
    <row r="286" spans="1:27">
      <c r="A286" s="15">
        <v>3</v>
      </c>
      <c r="B286" s="75">
        <v>40708</v>
      </c>
      <c r="C286" s="15">
        <v>2011</v>
      </c>
      <c r="D286" s="11" t="s">
        <v>32</v>
      </c>
      <c r="E286" s="15">
        <v>6</v>
      </c>
      <c r="F286" s="26">
        <v>13.473000000000001</v>
      </c>
      <c r="G286" s="27">
        <v>3.2974202500000001</v>
      </c>
    </row>
    <row r="287" spans="1:27">
      <c r="A287" s="15">
        <v>4</v>
      </c>
      <c r="B287" s="75">
        <v>40708</v>
      </c>
      <c r="C287" s="15">
        <v>2011</v>
      </c>
      <c r="D287" s="11" t="s">
        <v>32</v>
      </c>
      <c r="E287" s="15">
        <v>6</v>
      </c>
      <c r="F287" s="26">
        <v>23.321999999999999</v>
      </c>
      <c r="G287" s="27">
        <v>4.1623101249999994</v>
      </c>
      <c r="I287" s="27">
        <f>AVERAGE(F286:F287)</f>
        <v>18.397500000000001</v>
      </c>
      <c r="J287" s="27">
        <f>AVERAGE(G286:G287)</f>
        <v>3.7298651874999997</v>
      </c>
      <c r="L287">
        <f>+J287/I287</f>
        <v>0.20273761040902294</v>
      </c>
      <c r="M287">
        <f>+(L287-$L$619)/$L$620</f>
        <v>2.2826187257055364</v>
      </c>
      <c r="N287">
        <f>+N285+M287</f>
        <v>1.4583992175151463</v>
      </c>
      <c r="Z287">
        <f>+(I287-$F$619)/$F$620</f>
        <v>0.65428960796069247</v>
      </c>
      <c r="AA287">
        <f>+AA285+Z287</f>
        <v>19.899481039285476</v>
      </c>
    </row>
    <row r="288" spans="1:27">
      <c r="A288" s="15">
        <v>3</v>
      </c>
      <c r="B288" s="75">
        <v>40735</v>
      </c>
      <c r="C288" s="15">
        <v>2011</v>
      </c>
      <c r="D288" s="11" t="s">
        <v>33</v>
      </c>
      <c r="E288" s="15">
        <v>7</v>
      </c>
      <c r="F288" s="26">
        <v>13.723000000000001</v>
      </c>
      <c r="G288" s="27">
        <v>1.9768267500000001</v>
      </c>
    </row>
    <row r="289" spans="1:27">
      <c r="A289" s="15">
        <v>4</v>
      </c>
      <c r="B289" s="75">
        <v>40735</v>
      </c>
      <c r="C289" s="15">
        <v>2011</v>
      </c>
      <c r="D289" s="11" t="s">
        <v>33</v>
      </c>
      <c r="E289" s="15">
        <v>7</v>
      </c>
      <c r="F289" s="26">
        <v>24.536000000000001</v>
      </c>
      <c r="G289" s="27">
        <v>2.1302352500000001</v>
      </c>
      <c r="I289" s="27">
        <f>AVERAGE(F288:F289)</f>
        <v>19.1295</v>
      </c>
      <c r="J289" s="27">
        <f>AVERAGE(G288:G289)</f>
        <v>2.053531</v>
      </c>
      <c r="L289">
        <f>+J289/I289</f>
        <v>0.10734891136725999</v>
      </c>
      <c r="M289">
        <f>+(L289-$L$619)/$L$620</f>
        <v>0.76101682361227418</v>
      </c>
      <c r="N289">
        <f>+N287+M289</f>
        <v>2.2194160411274204</v>
      </c>
      <c r="Z289">
        <f>+(I289-$F$619)/$F$620</f>
        <v>0.72699961689988801</v>
      </c>
      <c r="AA289">
        <f>+AA287+Z289</f>
        <v>20.626480656185365</v>
      </c>
    </row>
    <row r="290" spans="1:27">
      <c r="A290" s="15">
        <v>3</v>
      </c>
      <c r="B290" s="75">
        <v>40771</v>
      </c>
      <c r="C290" s="15">
        <v>2011</v>
      </c>
      <c r="D290" s="11" t="s">
        <v>34</v>
      </c>
      <c r="E290" s="15">
        <v>8</v>
      </c>
      <c r="F290" s="26">
        <v>25.713000000000001</v>
      </c>
      <c r="G290" s="27">
        <v>2.7718526250000002</v>
      </c>
      <c r="I290" s="27"/>
      <c r="J290" s="27"/>
    </row>
    <row r="291" spans="1:27">
      <c r="A291" s="15">
        <v>4</v>
      </c>
      <c r="B291" s="75">
        <v>40771</v>
      </c>
      <c r="C291" s="15">
        <v>2011</v>
      </c>
      <c r="D291" s="11" t="s">
        <v>34</v>
      </c>
      <c r="E291" s="15">
        <v>8</v>
      </c>
      <c r="F291" s="26">
        <v>36.332999999999998</v>
      </c>
      <c r="G291" s="27">
        <v>2.6231318749999999</v>
      </c>
      <c r="I291" s="27">
        <f>AVERAGE(F290:F291)</f>
        <v>31.023</v>
      </c>
      <c r="J291" s="27">
        <f>AVERAGE(G290:G291)</f>
        <v>2.6974922499999998</v>
      </c>
      <c r="L291">
        <f>+J291/I291</f>
        <v>8.6951366727911539E-2</v>
      </c>
      <c r="M291">
        <f>+(L291-$L$619)/$L$620</f>
        <v>0.43564345094811535</v>
      </c>
      <c r="N291">
        <f>+N289+M291</f>
        <v>2.6550594920755359</v>
      </c>
      <c r="Z291">
        <f>+(I291-$F$619)/$F$620</f>
        <v>1.9083882662418599</v>
      </c>
      <c r="AA291">
        <f>+AA289+Z291</f>
        <v>22.534868922427226</v>
      </c>
    </row>
    <row r="292" spans="1:27">
      <c r="A292" s="15">
        <v>3</v>
      </c>
      <c r="B292" s="75">
        <v>40799</v>
      </c>
      <c r="C292" s="15">
        <v>2011</v>
      </c>
      <c r="D292" s="11" t="s">
        <v>40</v>
      </c>
      <c r="E292" s="15">
        <v>9</v>
      </c>
      <c r="F292" s="26">
        <v>12.509</v>
      </c>
      <c r="G292" s="27">
        <v>2.2940828750000004</v>
      </c>
    </row>
    <row r="293" spans="1:27">
      <c r="A293" s="15">
        <v>4</v>
      </c>
      <c r="B293" s="75">
        <v>40799</v>
      </c>
      <c r="C293" s="15">
        <v>2011</v>
      </c>
      <c r="D293" s="11" t="s">
        <v>40</v>
      </c>
      <c r="E293" s="15">
        <v>9</v>
      </c>
      <c r="F293" s="26">
        <v>13.537000000000001</v>
      </c>
      <c r="G293" s="27">
        <v>2.4102328750000002</v>
      </c>
      <c r="I293" s="27">
        <f>AVERAGE(F292:F293)</f>
        <v>13.023</v>
      </c>
      <c r="J293" s="27">
        <f>AVERAGE(G292:G293)</f>
        <v>2.3521578750000005</v>
      </c>
      <c r="L293">
        <f>+J293/I293</f>
        <v>0.18061567035245341</v>
      </c>
      <c r="M293">
        <f>+(L293-$L$619)/$L$620</f>
        <v>1.9297384955921975</v>
      </c>
      <c r="N293">
        <f>+N291+M293</f>
        <v>4.5847979876677334</v>
      </c>
      <c r="Z293">
        <f>+(I293-$F$619)/$F$620</f>
        <v>0.12043722675344241</v>
      </c>
      <c r="AA293">
        <f>+AA291+Z293</f>
        <v>22.655306149180667</v>
      </c>
    </row>
    <row r="294" spans="1:27">
      <c r="A294" s="15">
        <v>3</v>
      </c>
      <c r="B294" s="75">
        <v>40827</v>
      </c>
      <c r="C294" s="15">
        <v>2011</v>
      </c>
      <c r="D294" s="11" t="s">
        <v>36</v>
      </c>
      <c r="E294" s="15">
        <v>10</v>
      </c>
      <c r="F294" s="28">
        <v>6.3570000000000002</v>
      </c>
      <c r="G294" s="27">
        <v>0.80697200000000002</v>
      </c>
    </row>
    <row r="295" spans="1:27">
      <c r="A295" s="15">
        <v>4</v>
      </c>
      <c r="B295" s="75">
        <v>40827</v>
      </c>
      <c r="C295" s="15">
        <v>2011</v>
      </c>
      <c r="D295" s="11" t="s">
        <v>36</v>
      </c>
      <c r="E295" s="15">
        <v>10</v>
      </c>
      <c r="F295" s="28">
        <v>7.4740000000000002</v>
      </c>
      <c r="G295" s="27">
        <v>0.94507324999999975</v>
      </c>
      <c r="I295" s="27">
        <f>AVERAGE(F294:F295)</f>
        <v>6.9154999999999998</v>
      </c>
      <c r="J295" s="27">
        <f>AVERAGE(G294:G295)</f>
        <v>0.87602262499999983</v>
      </c>
      <c r="L295">
        <f>+J295/I295</f>
        <v>0.12667524040199549</v>
      </c>
      <c r="M295">
        <f>+(L295-$L$619)/$L$620</f>
        <v>1.0693025987108404</v>
      </c>
      <c r="N295">
        <f>+N293+M295</f>
        <v>5.6541005863785738</v>
      </c>
      <c r="Z295">
        <f>+(I295-$F$619)/$F$620</f>
        <v>-0.48622449400630807</v>
      </c>
      <c r="AA295">
        <f>+AA293+Z295</f>
        <v>22.169081655174359</v>
      </c>
    </row>
    <row r="296" spans="1:27">
      <c r="A296" s="15">
        <v>3</v>
      </c>
      <c r="B296" s="76">
        <v>40862</v>
      </c>
      <c r="C296" s="15">
        <v>2011</v>
      </c>
      <c r="D296" s="11" t="s">
        <v>37</v>
      </c>
      <c r="E296" s="15">
        <v>11</v>
      </c>
      <c r="F296" s="28">
        <v>4.6079999999999997</v>
      </c>
      <c r="G296" s="27">
        <v>0.10807537499999999</v>
      </c>
    </row>
    <row r="297" spans="1:27">
      <c r="A297" s="15">
        <v>4</v>
      </c>
      <c r="B297" s="76">
        <v>40862</v>
      </c>
      <c r="C297" s="15">
        <v>2011</v>
      </c>
      <c r="D297" s="11" t="s">
        <v>37</v>
      </c>
      <c r="E297" s="15">
        <v>11</v>
      </c>
      <c r="F297" s="28">
        <v>6.5940000000000003</v>
      </c>
      <c r="G297" s="27">
        <v>0.30730037500000001</v>
      </c>
      <c r="I297" s="27">
        <f>AVERAGE(F296:F297)</f>
        <v>5.601</v>
      </c>
      <c r="J297" s="27">
        <f>AVERAGE(G296:G297)</f>
        <v>0.20768787499999999</v>
      </c>
      <c r="L297">
        <f>+J297/I297</f>
        <v>3.7080499018032495E-2</v>
      </c>
      <c r="M297">
        <f>+(L297-$L$619)/$L$620</f>
        <v>-0.35987643692843641</v>
      </c>
      <c r="N297">
        <f>+N295+M297</f>
        <v>5.2942241494501374</v>
      </c>
      <c r="Z297">
        <f>+(I297-$F$619)/$F$620</f>
        <v>-0.61679458519561503</v>
      </c>
      <c r="AA297">
        <f>+AA295+Z297</f>
        <v>21.552287069978746</v>
      </c>
    </row>
    <row r="298" spans="1:27">
      <c r="A298" s="15">
        <v>3</v>
      </c>
      <c r="B298" s="76">
        <v>40890</v>
      </c>
      <c r="C298" s="15">
        <v>2011</v>
      </c>
      <c r="D298" s="11" t="s">
        <v>38</v>
      </c>
      <c r="E298" s="15">
        <v>12</v>
      </c>
      <c r="F298" s="28">
        <v>5.1929999999999996</v>
      </c>
      <c r="G298" s="27">
        <v>2.9202875E-2</v>
      </c>
    </row>
    <row r="299" spans="1:27">
      <c r="A299" s="15">
        <v>4</v>
      </c>
      <c r="B299" s="76">
        <v>40890</v>
      </c>
      <c r="C299" s="15">
        <v>2011</v>
      </c>
      <c r="D299" s="11" t="s">
        <v>38</v>
      </c>
      <c r="E299" s="15">
        <v>12</v>
      </c>
      <c r="F299" s="28">
        <v>10.423999999999999</v>
      </c>
      <c r="G299" s="27">
        <v>7.1412374999999986E-2</v>
      </c>
      <c r="I299" s="27">
        <f>AVERAGE(F298:F299)</f>
        <v>7.8084999999999996</v>
      </c>
      <c r="J299" s="27">
        <f>AVERAGE(G298:G299)</f>
        <v>5.0307624999999995E-2</v>
      </c>
      <c r="L299">
        <f>+J299/I299</f>
        <v>6.4426746494205033E-3</v>
      </c>
      <c r="M299">
        <f>+(L299-$L$619)/$L$620</f>
        <v>-0.84859860531516351</v>
      </c>
      <c r="N299">
        <f>+N297+M299</f>
        <v>4.4456255441349741</v>
      </c>
      <c r="Z299">
        <f>+(I299-$F$619)/$F$620</f>
        <v>-0.39752225632502164</v>
      </c>
      <c r="AA299">
        <f>+AA297+Z299</f>
        <v>21.154764813653724</v>
      </c>
    </row>
    <row r="300" spans="1:27">
      <c r="A300" s="15">
        <v>3</v>
      </c>
      <c r="B300" s="75">
        <v>40917</v>
      </c>
      <c r="C300" s="15">
        <v>2012</v>
      </c>
      <c r="D300" s="11" t="s">
        <v>39</v>
      </c>
      <c r="E300" s="15">
        <v>1</v>
      </c>
      <c r="F300" s="30">
        <v>6.7110000000000003</v>
      </c>
      <c r="G300" s="27">
        <v>3.0347875000000003E-2</v>
      </c>
    </row>
    <row r="301" spans="1:27">
      <c r="A301" s="15">
        <v>4</v>
      </c>
      <c r="B301" s="75">
        <v>40917</v>
      </c>
      <c r="C301" s="15">
        <v>2012</v>
      </c>
      <c r="D301" s="11" t="s">
        <v>39</v>
      </c>
      <c r="E301" s="15">
        <v>1</v>
      </c>
      <c r="F301" s="30">
        <v>9.3879999999999999</v>
      </c>
      <c r="G301" s="27">
        <v>6.3706125000000002E-2</v>
      </c>
      <c r="I301" s="27">
        <f>AVERAGE(F300:F301)</f>
        <v>8.0495000000000001</v>
      </c>
      <c r="J301" s="27">
        <f>AVERAGE(G300:G301)</f>
        <v>4.7026999999999999E-2</v>
      </c>
      <c r="L301">
        <f>+J301/I301</f>
        <v>5.8422262252313803E-3</v>
      </c>
      <c r="M301">
        <f>+(L301-$L$619)/$L$620</f>
        <v>-0.85817671544281149</v>
      </c>
      <c r="N301">
        <f>+N299+M301</f>
        <v>3.5874488286921626</v>
      </c>
      <c r="Z301">
        <f>+(I301-$F$619)/$F$620</f>
        <v>-0.37358357851853774</v>
      </c>
      <c r="AA301">
        <f>+AA299+Z301</f>
        <v>20.781181235135186</v>
      </c>
    </row>
    <row r="302" spans="1:27">
      <c r="A302" s="15">
        <v>3</v>
      </c>
      <c r="B302" s="75">
        <v>40962</v>
      </c>
      <c r="C302" s="15">
        <v>2012</v>
      </c>
      <c r="D302" s="11" t="s">
        <v>28</v>
      </c>
      <c r="E302" s="15">
        <v>2</v>
      </c>
      <c r="F302" s="30">
        <v>2.6509999999999998</v>
      </c>
      <c r="G302" s="27">
        <v>5.0204124999999995E-2</v>
      </c>
    </row>
    <row r="303" spans="1:27">
      <c r="A303" s="15">
        <v>4</v>
      </c>
      <c r="B303" s="75">
        <v>40962</v>
      </c>
      <c r="C303" s="15">
        <v>2012</v>
      </c>
      <c r="D303" s="11" t="s">
        <v>28</v>
      </c>
      <c r="E303" s="15">
        <v>2</v>
      </c>
      <c r="F303" s="30">
        <v>6.0960000000000001</v>
      </c>
      <c r="G303" s="27">
        <v>7.1795874999999981E-2</v>
      </c>
      <c r="I303" s="27">
        <f>AVERAGE(F302:F303)</f>
        <v>4.3734999999999999</v>
      </c>
      <c r="J303" s="27">
        <f>AVERAGE(G302:G303)</f>
        <v>6.0999999999999985E-2</v>
      </c>
      <c r="L303">
        <f>+J303/I303</f>
        <v>1.3947639190579625E-2</v>
      </c>
      <c r="M303">
        <f>+(L303-$L$619)/$L$620</f>
        <v>-0.72888244988284645</v>
      </c>
      <c r="N303">
        <f>+N301+M303</f>
        <v>2.8585663788093161</v>
      </c>
      <c r="Z303">
        <f>+(I303-$F$619)/$F$620</f>
        <v>-0.73872291302739457</v>
      </c>
      <c r="AA303">
        <f>+AA301+Z303</f>
        <v>20.042458322107791</v>
      </c>
    </row>
    <row r="304" spans="1:27">
      <c r="A304" s="15">
        <v>3</v>
      </c>
      <c r="B304" s="75">
        <v>40980</v>
      </c>
      <c r="C304" s="15">
        <v>2012</v>
      </c>
      <c r="D304" s="11" t="s">
        <v>29</v>
      </c>
      <c r="E304" s="15">
        <v>3</v>
      </c>
      <c r="F304" s="30">
        <v>6.5469999999999997</v>
      </c>
      <c r="G304" s="27">
        <v>0.12208924999999998</v>
      </c>
    </row>
    <row r="305" spans="1:27">
      <c r="A305" s="15">
        <v>4</v>
      </c>
      <c r="B305" s="75">
        <v>40980</v>
      </c>
      <c r="C305" s="15">
        <v>2012</v>
      </c>
      <c r="D305" s="11" t="s">
        <v>29</v>
      </c>
      <c r="E305" s="15">
        <v>3</v>
      </c>
      <c r="F305" s="30">
        <v>15.337</v>
      </c>
      <c r="G305" s="27">
        <v>0.15693699999999997</v>
      </c>
      <c r="I305" s="27">
        <f>AVERAGE(F304:F305)</f>
        <v>10.942</v>
      </c>
      <c r="J305" s="27">
        <f>AVERAGE(G304:G305)</f>
        <v>0.13951312499999996</v>
      </c>
      <c r="L305">
        <f>+J305/I305</f>
        <v>1.2750239901297748E-2</v>
      </c>
      <c r="M305">
        <f>+(L305-$L$619)/$L$620</f>
        <v>-0.74798287849167711</v>
      </c>
      <c r="N305">
        <f>+N303+M305</f>
        <v>2.110583500317639</v>
      </c>
      <c r="Z305">
        <f>+(I305-$F$619)/$F$620</f>
        <v>-8.6269779534079577E-2</v>
      </c>
      <c r="AA305">
        <f>+AA303+Z305</f>
        <v>19.956188542573713</v>
      </c>
    </row>
    <row r="306" spans="1:27">
      <c r="A306" s="15">
        <v>3</v>
      </c>
      <c r="B306" s="75">
        <v>41015</v>
      </c>
      <c r="C306" s="15">
        <v>2012</v>
      </c>
      <c r="D306" s="11" t="s">
        <v>30</v>
      </c>
      <c r="E306" s="15">
        <v>4</v>
      </c>
      <c r="F306" s="26">
        <v>2.4620000000000002</v>
      </c>
      <c r="G306" s="27">
        <v>2.5421624999999996E-2</v>
      </c>
    </row>
    <row r="307" spans="1:27">
      <c r="A307" s="15">
        <v>4</v>
      </c>
      <c r="B307" s="75">
        <v>41015</v>
      </c>
      <c r="C307" s="15">
        <v>2012</v>
      </c>
      <c r="D307" s="11" t="s">
        <v>30</v>
      </c>
      <c r="E307" s="15">
        <v>4</v>
      </c>
      <c r="F307" s="26">
        <v>5.9409999999999998</v>
      </c>
      <c r="G307" s="27">
        <v>9.3197874999999999E-2</v>
      </c>
      <c r="I307" s="27">
        <f>AVERAGE(F306:F307)</f>
        <v>4.2015000000000002</v>
      </c>
      <c r="J307" s="27">
        <f>AVERAGE(G306:G307)</f>
        <v>5.9309749999999994E-2</v>
      </c>
      <c r="L307">
        <f>+J307/I307</f>
        <v>1.4116327502082587E-2</v>
      </c>
      <c r="M307">
        <f>+(L307-$L$619)/$L$620</f>
        <v>-0.72619160224342716</v>
      </c>
      <c r="N307">
        <f>+N305+M307</f>
        <v>1.3843918980742118</v>
      </c>
      <c r="Z307">
        <f>+(I307-$F$619)/$F$620</f>
        <v>-0.75580777851583936</v>
      </c>
      <c r="AA307">
        <f>+AA305+Z307</f>
        <v>19.200380764057872</v>
      </c>
    </row>
    <row r="308" spans="1:27">
      <c r="A308" s="15">
        <v>3</v>
      </c>
      <c r="B308" s="75">
        <v>41045</v>
      </c>
      <c r="C308" s="15">
        <v>2012</v>
      </c>
      <c r="D308" s="11" t="s">
        <v>31</v>
      </c>
      <c r="E308" s="15">
        <v>5</v>
      </c>
      <c r="F308" s="26">
        <v>12.733000000000001</v>
      </c>
      <c r="G308" s="27">
        <v>0.49118974999999998</v>
      </c>
      <c r="I308" s="27"/>
      <c r="J308" s="27"/>
    </row>
    <row r="309" spans="1:27">
      <c r="A309" s="15">
        <v>4</v>
      </c>
      <c r="B309" s="75">
        <v>41045</v>
      </c>
      <c r="C309" s="15">
        <v>2012</v>
      </c>
      <c r="D309" s="11" t="s">
        <v>31</v>
      </c>
      <c r="E309" s="15">
        <v>5</v>
      </c>
      <c r="F309" s="26">
        <v>10.210000000000001</v>
      </c>
      <c r="G309" s="27">
        <v>1.31709575</v>
      </c>
      <c r="I309" s="27">
        <f>AVERAGE(F308:F309)</f>
        <v>11.471500000000001</v>
      </c>
      <c r="J309" s="27">
        <f>AVERAGE(G308:G309)</f>
        <v>0.90414275</v>
      </c>
      <c r="L309">
        <f>+J309/I309</f>
        <v>7.8816436385825736E-2</v>
      </c>
      <c r="M309">
        <f>+(L309-$L$619)/$L$620</f>
        <v>0.30587833614667986</v>
      </c>
      <c r="N309">
        <f>+N307+M309</f>
        <v>1.6902702342208917</v>
      </c>
      <c r="Z309">
        <f>+(I309-$F$619)/$F$620</f>
        <v>-3.3674219789128573E-2</v>
      </c>
      <c r="AA309">
        <f>+AA307+Z309</f>
        <v>19.166706544268745</v>
      </c>
    </row>
    <row r="310" spans="1:27">
      <c r="A310" s="15">
        <v>3</v>
      </c>
      <c r="B310" s="75">
        <v>41073</v>
      </c>
      <c r="C310" s="15">
        <v>2012</v>
      </c>
      <c r="D310" s="11" t="s">
        <v>32</v>
      </c>
      <c r="E310" s="15">
        <v>6</v>
      </c>
      <c r="F310" s="26">
        <v>22.74</v>
      </c>
      <c r="G310" s="27">
        <v>2.144333375</v>
      </c>
    </row>
    <row r="311" spans="1:27">
      <c r="A311" s="15">
        <v>4</v>
      </c>
      <c r="B311" s="75">
        <v>41073</v>
      </c>
      <c r="C311" s="15">
        <v>2012</v>
      </c>
      <c r="D311" s="11" t="s">
        <v>32</v>
      </c>
      <c r="E311" s="15">
        <v>6</v>
      </c>
      <c r="F311" s="26">
        <v>24.302</v>
      </c>
      <c r="G311" s="27">
        <v>2.7247129999999995</v>
      </c>
      <c r="I311" s="27">
        <f>AVERAGE(F310:F311)</f>
        <v>23.521000000000001</v>
      </c>
      <c r="J311" s="27">
        <f>AVERAGE(G310:G311)</f>
        <v>2.4345231875</v>
      </c>
      <c r="L311">
        <f>+J311/I311</f>
        <v>0.10350423823391862</v>
      </c>
      <c r="M311">
        <f>+(L311-$L$619)/$L$620</f>
        <v>0.69968815458348466</v>
      </c>
      <c r="N311">
        <f>+N309+M311</f>
        <v>2.3899583888043763</v>
      </c>
      <c r="Z311">
        <f>+(I311-$F$619)/$F$620</f>
        <v>1.1632100052284096</v>
      </c>
      <c r="AA311">
        <f>+AA309+Z311</f>
        <v>20.329916549497156</v>
      </c>
    </row>
    <row r="312" spans="1:27">
      <c r="A312" s="15">
        <v>3</v>
      </c>
      <c r="B312" s="75">
        <v>41107</v>
      </c>
      <c r="C312" s="15">
        <v>2012</v>
      </c>
      <c r="D312" s="11" t="s">
        <v>33</v>
      </c>
      <c r="E312" s="15">
        <v>7</v>
      </c>
      <c r="F312" s="26">
        <v>27.895</v>
      </c>
      <c r="G312" s="27">
        <v>2.0790606249999999</v>
      </c>
    </row>
    <row r="313" spans="1:27">
      <c r="A313" s="15">
        <v>4</v>
      </c>
      <c r="B313" s="75">
        <v>41107</v>
      </c>
      <c r="C313" s="15">
        <v>2012</v>
      </c>
      <c r="D313" s="11" t="s">
        <v>33</v>
      </c>
      <c r="E313" s="15">
        <v>7</v>
      </c>
      <c r="F313" s="26">
        <v>43.258000000000003</v>
      </c>
      <c r="G313" s="27">
        <v>2.118975625</v>
      </c>
      <c r="I313" s="27">
        <f>AVERAGE(F312:F313)</f>
        <v>35.576500000000003</v>
      </c>
      <c r="J313" s="27">
        <f>AVERAGE(G312:G313)</f>
        <v>2.0990181249999997</v>
      </c>
      <c r="L313">
        <f>+J313/I313</f>
        <v>5.9000130001545949E-2</v>
      </c>
      <c r="M313">
        <f>+(L313-$L$619)/$L$620</f>
        <v>-1.0223359229012812E-2</v>
      </c>
      <c r="N313">
        <f>+N311+M313</f>
        <v>2.3797350295753636</v>
      </c>
      <c r="Z313">
        <f>+(I313-$F$619)/$F$620</f>
        <v>2.360690213925777</v>
      </c>
      <c r="AA313">
        <f>+AA311+Z313</f>
        <v>22.690606763422934</v>
      </c>
    </row>
    <row r="314" spans="1:27">
      <c r="A314" s="15">
        <v>3</v>
      </c>
      <c r="B314" s="75">
        <v>41135</v>
      </c>
      <c r="C314" s="15">
        <v>2012</v>
      </c>
      <c r="D314" s="11" t="s">
        <v>34</v>
      </c>
      <c r="E314" s="15">
        <v>8</v>
      </c>
      <c r="F314" s="26">
        <v>19.334</v>
      </c>
      <c r="G314" s="27">
        <v>1.3013157499999999</v>
      </c>
    </row>
    <row r="315" spans="1:27">
      <c r="A315" s="15">
        <v>4</v>
      </c>
      <c r="B315" s="75">
        <v>41135</v>
      </c>
      <c r="C315" s="15">
        <v>2012</v>
      </c>
      <c r="D315" s="11" t="s">
        <v>34</v>
      </c>
      <c r="E315" s="15">
        <v>8</v>
      </c>
      <c r="F315" s="26">
        <v>33.441000000000003</v>
      </c>
      <c r="G315" s="27">
        <v>2.83700675</v>
      </c>
      <c r="I315" s="27">
        <f>AVERAGE(F314:F315)</f>
        <v>26.387500000000003</v>
      </c>
      <c r="J315" s="27">
        <f>AVERAGE(G314:G315)</f>
        <v>2.0691612500000001</v>
      </c>
      <c r="L315">
        <f>+J315/I315</f>
        <v>7.8414448128848888E-2</v>
      </c>
      <c r="M315">
        <f>+(L315-$L$619)/$L$620</f>
        <v>0.29946598224543491</v>
      </c>
      <c r="N315">
        <f>+N313+M315</f>
        <v>2.6792010118207985</v>
      </c>
      <c r="Z315">
        <f>+(I315-$F$619)/$F$620</f>
        <v>1.4479412082669401</v>
      </c>
      <c r="AA315">
        <f>+AA313+Z315</f>
        <v>24.138547971689874</v>
      </c>
    </row>
    <row r="316" spans="1:27">
      <c r="A316" s="15">
        <v>3</v>
      </c>
      <c r="B316" s="75">
        <v>41164</v>
      </c>
      <c r="C316" s="15">
        <v>2012</v>
      </c>
      <c r="D316" s="11" t="s">
        <v>40</v>
      </c>
      <c r="E316" s="15">
        <v>9</v>
      </c>
      <c r="F316" s="26">
        <v>19.472000000000001</v>
      </c>
      <c r="G316" s="27">
        <v>1.2862413749999997</v>
      </c>
    </row>
    <row r="317" spans="1:27">
      <c r="A317" s="15">
        <v>4</v>
      </c>
      <c r="B317" s="75">
        <v>41164</v>
      </c>
      <c r="C317" s="15">
        <v>2012</v>
      </c>
      <c r="D317" s="11" t="s">
        <v>40</v>
      </c>
      <c r="E317" s="15">
        <v>9</v>
      </c>
      <c r="F317" s="26">
        <v>18.593</v>
      </c>
      <c r="G317" s="27">
        <v>1.9290476249999995</v>
      </c>
      <c r="I317" s="27"/>
      <c r="J317" s="27"/>
    </row>
    <row r="318" spans="1:27">
      <c r="A318" s="15">
        <v>4</v>
      </c>
      <c r="B318" s="75">
        <v>41164</v>
      </c>
      <c r="C318" s="15">
        <v>2012</v>
      </c>
      <c r="D318" s="11" t="s">
        <v>40</v>
      </c>
      <c r="E318" s="15">
        <v>9</v>
      </c>
      <c r="F318" s="26">
        <v>18.593</v>
      </c>
      <c r="G318" s="27">
        <v>1.894244</v>
      </c>
      <c r="H318" t="s">
        <v>13</v>
      </c>
      <c r="I318" s="27">
        <f>AVERAGE(F316:F318)</f>
        <v>18.885999999999999</v>
      </c>
      <c r="J318" s="27">
        <f>AVERAGE(G316:G318)</f>
        <v>1.7031776666666663</v>
      </c>
      <c r="L318">
        <f>+J318/I318</f>
        <v>9.018202195629918E-2</v>
      </c>
      <c r="M318">
        <f>+(L318-$L$619)/$L$620</f>
        <v>0.48717755498668663</v>
      </c>
      <c r="N318">
        <f>+N315+M318</f>
        <v>3.1663785668074853</v>
      </c>
      <c r="Z318">
        <f>+(I318-$F$619)/$F$620</f>
        <v>0.70281261256014183</v>
      </c>
      <c r="AA318">
        <f>+AA315+Z318</f>
        <v>24.841360584250015</v>
      </c>
    </row>
    <row r="319" spans="1:27">
      <c r="A319" s="15">
        <v>3</v>
      </c>
      <c r="B319" s="75">
        <v>41199</v>
      </c>
      <c r="C319" s="15">
        <v>2012</v>
      </c>
      <c r="D319" s="11" t="s">
        <v>36</v>
      </c>
      <c r="E319" s="15">
        <v>10</v>
      </c>
      <c r="F319" s="26">
        <v>6.8479999999999999</v>
      </c>
      <c r="G319" s="27">
        <v>0.29776825000000007</v>
      </c>
      <c r="I319" s="27"/>
      <c r="J319" s="27"/>
    </row>
    <row r="320" spans="1:27">
      <c r="A320" s="15">
        <v>4</v>
      </c>
      <c r="B320" s="75">
        <v>41199</v>
      </c>
      <c r="C320" s="15">
        <v>2012</v>
      </c>
      <c r="D320" s="11" t="s">
        <v>36</v>
      </c>
      <c r="E320" s="15">
        <v>10</v>
      </c>
      <c r="F320" s="26">
        <v>7.2439999999999998</v>
      </c>
      <c r="G320" s="27">
        <v>0.55303024999999995</v>
      </c>
      <c r="I320" s="27">
        <f>AVERAGE(F319:F320)</f>
        <v>7.0459999999999994</v>
      </c>
      <c r="J320" s="27">
        <f>AVERAGE(G319:G320)</f>
        <v>0.42539925000000001</v>
      </c>
      <c r="L320">
        <f>+J320/I320</f>
        <v>6.0374574226511504E-2</v>
      </c>
      <c r="M320">
        <f>+(L320-$L$619)/$L$620</f>
        <v>1.1701218504383614E-2</v>
      </c>
      <c r="N320">
        <f>+N318+M320</f>
        <v>3.1780797853118687</v>
      </c>
      <c r="Z320">
        <f>+(I320-$F$619)/$F$620</f>
        <v>-0.47326184897001711</v>
      </c>
      <c r="AA320">
        <f>+AA318+Z320</f>
        <v>24.368098735279997</v>
      </c>
    </row>
    <row r="321" spans="1:27">
      <c r="A321" s="15">
        <v>3</v>
      </c>
      <c r="B321" s="75">
        <v>41225</v>
      </c>
      <c r="C321" s="15">
        <v>2012</v>
      </c>
      <c r="D321" s="11" t="s">
        <v>37</v>
      </c>
      <c r="E321" s="15">
        <v>11</v>
      </c>
      <c r="F321" s="26">
        <v>4.1420000000000003</v>
      </c>
      <c r="G321" s="27">
        <v>3.3971500000000002E-2</v>
      </c>
    </row>
    <row r="322" spans="1:27">
      <c r="A322" s="15">
        <v>4</v>
      </c>
      <c r="B322" s="75">
        <v>41225</v>
      </c>
      <c r="C322" s="15">
        <v>2012</v>
      </c>
      <c r="D322" s="11" t="s">
        <v>37</v>
      </c>
      <c r="E322" s="15">
        <v>11</v>
      </c>
      <c r="F322" s="26">
        <v>9.0389999999999997</v>
      </c>
      <c r="G322" s="27">
        <v>5.9882124999999994E-2</v>
      </c>
      <c r="I322" s="27">
        <f>AVERAGE(F321:F322)</f>
        <v>6.5905000000000005</v>
      </c>
      <c r="J322" s="27">
        <f>AVERAGE(G321:G322)</f>
        <v>4.6926812499999998E-2</v>
      </c>
      <c r="L322">
        <f>+J322/I322</f>
        <v>7.1203721265457849E-3</v>
      </c>
      <c r="M322">
        <f>+(L322-$L$619)/$L$620</f>
        <v>-0.83778824957494979</v>
      </c>
      <c r="N322">
        <f>+N320+M322</f>
        <v>2.3402915357369189</v>
      </c>
      <c r="Z322">
        <f>+(I322-$F$619)/$F$620</f>
        <v>-0.51850694333040448</v>
      </c>
      <c r="AA322">
        <f>+AA320+Z322</f>
        <v>23.849591791949592</v>
      </c>
    </row>
    <row r="323" spans="1:27">
      <c r="A323" s="15">
        <v>3</v>
      </c>
      <c r="B323" s="75">
        <v>41254</v>
      </c>
      <c r="C323" s="15">
        <v>2012</v>
      </c>
      <c r="D323" s="11" t="s">
        <v>38</v>
      </c>
      <c r="E323" s="15">
        <v>12</v>
      </c>
      <c r="F323" s="26">
        <v>3.298</v>
      </c>
      <c r="G323" s="27">
        <v>1.8053625E-2</v>
      </c>
    </row>
    <row r="324" spans="1:27">
      <c r="A324" s="15">
        <v>4</v>
      </c>
      <c r="B324" s="75">
        <v>41254</v>
      </c>
      <c r="C324" s="15">
        <v>2012</v>
      </c>
      <c r="D324" s="11" t="s">
        <v>38</v>
      </c>
      <c r="E324" s="15">
        <v>12</v>
      </c>
      <c r="F324" s="26">
        <v>3.2759999999999998</v>
      </c>
      <c r="G324" s="27">
        <v>1.0066624999999997E-2</v>
      </c>
      <c r="I324" s="27">
        <f>AVERAGE(F323:F324)</f>
        <v>3.2869999999999999</v>
      </c>
      <c r="J324" s="27">
        <f>AVERAGE(G323:G324)</f>
        <v>1.4060125E-2</v>
      </c>
      <c r="L324">
        <f>+J324/I324</f>
        <v>4.2774946759963489E-3</v>
      </c>
      <c r="M324">
        <f>+(L324-$L$619)/$L$620</f>
        <v>-0.88313667952135455</v>
      </c>
      <c r="N324">
        <f>+N322+M324</f>
        <v>1.4571548562155643</v>
      </c>
      <c r="Z324">
        <f>+(I324-$F$619)/$F$620</f>
        <v>-0.84664562438318147</v>
      </c>
      <c r="AA324">
        <f>+AA322+Z324</f>
        <v>23.00294616756641</v>
      </c>
    </row>
    <row r="325" spans="1:27">
      <c r="A325" s="15">
        <v>3</v>
      </c>
      <c r="B325" s="75">
        <v>41288</v>
      </c>
      <c r="C325" s="15">
        <v>2013</v>
      </c>
      <c r="D325" s="11" t="s">
        <v>39</v>
      </c>
      <c r="E325" s="15">
        <v>1</v>
      </c>
      <c r="F325" s="26">
        <v>6.7839999999999998</v>
      </c>
      <c r="G325" s="27">
        <v>1.9724374999999999E-2</v>
      </c>
      <c r="I325" s="27"/>
      <c r="J325" s="27"/>
    </row>
    <row r="326" spans="1:27">
      <c r="A326" s="15">
        <v>4</v>
      </c>
      <c r="B326" s="75">
        <v>41288</v>
      </c>
      <c r="C326" s="15">
        <v>2013</v>
      </c>
      <c r="D326" s="11" t="s">
        <v>39</v>
      </c>
      <c r="E326" s="15">
        <v>1</v>
      </c>
      <c r="F326" s="26">
        <v>9.7349999999999994</v>
      </c>
      <c r="G326" s="27">
        <v>2.7271125E-2</v>
      </c>
      <c r="I326" s="27">
        <f>AVERAGE(F325:F326)</f>
        <v>8.2594999999999992</v>
      </c>
      <c r="J326" s="27">
        <f>AVERAGE(G325:G326)</f>
        <v>2.3497749999999998E-2</v>
      </c>
      <c r="L326">
        <f>+J326/I326</f>
        <v>2.8449361341485561E-3</v>
      </c>
      <c r="M326">
        <f>+(L326-$L$619)/$L$620</f>
        <v>-0.90598827330586784</v>
      </c>
      <c r="N326">
        <f>+N324+M326</f>
        <v>0.55116658290969645</v>
      </c>
      <c r="Z326">
        <f>+(I326-$F$619)/$F$620</f>
        <v>-0.35272414972450633</v>
      </c>
      <c r="AA326">
        <f>+AA324+Z326</f>
        <v>22.650222017841905</v>
      </c>
    </row>
    <row r="327" spans="1:27">
      <c r="A327" s="15">
        <v>3</v>
      </c>
      <c r="B327" s="75">
        <v>41318</v>
      </c>
      <c r="C327" s="15">
        <v>2013</v>
      </c>
      <c r="D327" s="11" t="s">
        <v>28</v>
      </c>
      <c r="E327" s="15">
        <v>2</v>
      </c>
      <c r="F327" s="31">
        <v>16.471</v>
      </c>
      <c r="G327" s="27">
        <v>4.5777249999999998E-2</v>
      </c>
    </row>
    <row r="328" spans="1:27">
      <c r="A328" s="15">
        <v>4</v>
      </c>
      <c r="B328" s="75">
        <v>41318</v>
      </c>
      <c r="C328" s="15">
        <v>2013</v>
      </c>
      <c r="D328" s="11" t="s">
        <v>28</v>
      </c>
      <c r="E328" s="15">
        <v>2</v>
      </c>
      <c r="F328" s="31">
        <v>18.884</v>
      </c>
      <c r="G328" s="27">
        <v>7.9295500000000005E-2</v>
      </c>
      <c r="I328" s="27">
        <f>AVERAGE(F327:F328)</f>
        <v>17.677500000000002</v>
      </c>
      <c r="J328" s="27">
        <f>AVERAGE(G327:G328)</f>
        <v>6.2536375000000005E-2</v>
      </c>
      <c r="L328">
        <f>+J328/I328</f>
        <v>3.5376255126573328E-3</v>
      </c>
      <c r="M328">
        <f>+(L328-$L$619)/$L$620</f>
        <v>-0.89493877282534129</v>
      </c>
      <c r="N328">
        <f>+N326+M328</f>
        <v>-0.34377218991564484</v>
      </c>
      <c r="Z328">
        <f>+(I328-$F$619)/$F$620</f>
        <v>0.5827715663811559</v>
      </c>
      <c r="AA328">
        <f>+AA326+Z328</f>
        <v>23.23299358422306</v>
      </c>
    </row>
    <row r="329" spans="1:27">
      <c r="A329" s="15">
        <v>3</v>
      </c>
      <c r="B329" s="75">
        <v>41344</v>
      </c>
      <c r="C329" s="15">
        <v>2013</v>
      </c>
      <c r="D329" s="11" t="s">
        <v>29</v>
      </c>
      <c r="E329" s="15">
        <v>3</v>
      </c>
      <c r="F329" s="31">
        <v>9.0809999999999995</v>
      </c>
      <c r="G329" s="27">
        <v>6.1405750000000009E-2</v>
      </c>
    </row>
    <row r="330" spans="1:27">
      <c r="A330" s="15">
        <v>4</v>
      </c>
      <c r="B330" s="75">
        <v>41344</v>
      </c>
      <c r="C330" s="15">
        <v>2013</v>
      </c>
      <c r="D330" s="11" t="s">
        <v>29</v>
      </c>
      <c r="E330" s="15">
        <v>3</v>
      </c>
      <c r="F330" s="31">
        <v>11.224</v>
      </c>
      <c r="G330" s="27">
        <v>0.10942724999999999</v>
      </c>
      <c r="I330" s="27">
        <f>AVERAGE(F329:F330)</f>
        <v>10.1525</v>
      </c>
      <c r="J330" s="27">
        <f>AVERAGE(G329:G330)</f>
        <v>8.5416500000000006E-2</v>
      </c>
      <c r="L330">
        <f>+J330/I330</f>
        <v>8.4133464663875904E-3</v>
      </c>
      <c r="M330">
        <f>+(L330-$L$619)/$L$620</f>
        <v>-0.81716324646006611</v>
      </c>
      <c r="N330">
        <f>+N328+M330</f>
        <v>-1.1609354363757109</v>
      </c>
      <c r="Z330">
        <f>+(I330-$F$619)/$F$620</f>
        <v>-0.16469129873830768</v>
      </c>
      <c r="AA330">
        <f>+AA328+Z330</f>
        <v>23.068302285484751</v>
      </c>
    </row>
    <row r="331" spans="1:27">
      <c r="A331" s="15">
        <v>3</v>
      </c>
      <c r="B331" s="75">
        <v>41379</v>
      </c>
      <c r="C331" s="15">
        <v>2013</v>
      </c>
      <c r="D331" s="11" t="s">
        <v>30</v>
      </c>
      <c r="E331" s="15">
        <v>4</v>
      </c>
      <c r="F331" s="32">
        <v>2.968</v>
      </c>
      <c r="G331" s="27">
        <v>2.5049374999999999E-2</v>
      </c>
    </row>
    <row r="332" spans="1:27">
      <c r="A332" s="15">
        <v>4</v>
      </c>
      <c r="B332" s="75">
        <v>41379</v>
      </c>
      <c r="C332" s="15">
        <v>2013</v>
      </c>
      <c r="D332" s="11" t="s">
        <v>30</v>
      </c>
      <c r="E332" s="15">
        <v>4</v>
      </c>
      <c r="F332" s="32">
        <v>7.63</v>
      </c>
      <c r="G332" s="27">
        <v>0.10060612500000002</v>
      </c>
      <c r="I332" s="27">
        <f>AVERAGE(F331:F332)</f>
        <v>5.2989999999999995</v>
      </c>
      <c r="J332" s="27">
        <f>AVERAGE(G331:G332)</f>
        <v>6.2827750000000016E-2</v>
      </c>
      <c r="L332">
        <f>+J332/I332</f>
        <v>1.1856529533874321E-2</v>
      </c>
      <c r="M332">
        <f>+(L332-$L$619)/$L$620</f>
        <v>-0.76223898438946891</v>
      </c>
      <c r="N332">
        <f>+N330+M332</f>
        <v>-1.92317442076518</v>
      </c>
      <c r="Z332">
        <f>+(I332-$F$619)/$F$620</f>
        <v>-0.64679243041369849</v>
      </c>
      <c r="AA332">
        <f>+AA330+Z332</f>
        <v>22.421509855071054</v>
      </c>
    </row>
    <row r="333" spans="1:27">
      <c r="A333" s="15">
        <v>3</v>
      </c>
      <c r="B333" s="75">
        <v>41408</v>
      </c>
      <c r="C333" s="15">
        <v>2013</v>
      </c>
      <c r="D333" s="11" t="s">
        <v>31</v>
      </c>
      <c r="E333" s="15">
        <v>5</v>
      </c>
      <c r="F333" s="32">
        <v>3.6080000000000001</v>
      </c>
      <c r="G333" s="27">
        <v>0.60069612500000003</v>
      </c>
    </row>
    <row r="334" spans="1:27">
      <c r="A334" s="15">
        <v>4</v>
      </c>
      <c r="B334" s="75">
        <v>41408</v>
      </c>
      <c r="C334" s="15">
        <v>2013</v>
      </c>
      <c r="D334" s="11" t="s">
        <v>31</v>
      </c>
      <c r="E334" s="15">
        <v>5</v>
      </c>
      <c r="F334" s="32">
        <v>8.8130000000000006</v>
      </c>
      <c r="G334" s="27">
        <v>1.6468557499999996</v>
      </c>
      <c r="I334" s="27">
        <f>AVERAGE(F333:F334)</f>
        <v>6.2105000000000006</v>
      </c>
      <c r="J334" s="27">
        <f>AVERAGE(G333:G334)</f>
        <v>1.1237759374999998</v>
      </c>
      <c r="L334">
        <f>+J334/I334</f>
        <v>0.18094773971499875</v>
      </c>
      <c r="M334">
        <f>+(L334-$L$619)/$L$620</f>
        <v>1.9350355316011976</v>
      </c>
      <c r="N334">
        <f>+N332+M334</f>
        <v>1.1861110836017597E-2</v>
      </c>
      <c r="Z334">
        <f>+(I334-$F$619)/$F$620</f>
        <v>-0.55625257638627101</v>
      </c>
      <c r="AA334">
        <f>+AA332+Z334</f>
        <v>21.865257278684783</v>
      </c>
    </row>
    <row r="335" spans="1:27">
      <c r="A335" s="15">
        <v>3</v>
      </c>
      <c r="B335" s="75">
        <v>41436</v>
      </c>
      <c r="C335" s="15">
        <v>2013</v>
      </c>
      <c r="D335" s="11" t="s">
        <v>32</v>
      </c>
      <c r="E335" s="15">
        <v>6</v>
      </c>
      <c r="F335" s="32">
        <v>10.775</v>
      </c>
      <c r="G335" s="27">
        <v>1.2194706666666666</v>
      </c>
    </row>
    <row r="336" spans="1:27">
      <c r="A336" s="15">
        <v>4</v>
      </c>
      <c r="B336" s="75">
        <v>41436</v>
      </c>
      <c r="C336" s="15">
        <v>2013</v>
      </c>
      <c r="D336" s="11" t="s">
        <v>32</v>
      </c>
      <c r="E336" s="15">
        <v>6</v>
      </c>
      <c r="F336" s="32">
        <v>14.151</v>
      </c>
      <c r="G336" s="27">
        <v>3.7351938571428569</v>
      </c>
      <c r="I336" s="27">
        <f>AVERAGE(F335:F336)</f>
        <v>12.463000000000001</v>
      </c>
      <c r="J336" s="27">
        <f>AVERAGE(G335:G336)</f>
        <v>2.4773322619047615</v>
      </c>
      <c r="L336">
        <f>+J336/I336</f>
        <v>0.1987749548186441</v>
      </c>
      <c r="M336">
        <f>+(L336-$L$619)/$L$620</f>
        <v>2.2194080482958247</v>
      </c>
      <c r="N336">
        <f>+N334+M336</f>
        <v>2.2312691591318421</v>
      </c>
      <c r="Z336">
        <f>+(I336-$F$619)/$F$620</f>
        <v>6.4812083302691767E-2</v>
      </c>
      <c r="AA336">
        <f>+AA334+Z336</f>
        <v>21.930069361987474</v>
      </c>
    </row>
    <row r="337" spans="1:27">
      <c r="A337" s="15">
        <v>3</v>
      </c>
      <c r="B337" s="75">
        <v>41471</v>
      </c>
      <c r="C337" s="15">
        <v>2013</v>
      </c>
      <c r="D337" s="11" t="s">
        <v>33</v>
      </c>
      <c r="E337" s="15">
        <v>7</v>
      </c>
      <c r="F337" s="32">
        <v>32.316000000000003</v>
      </c>
      <c r="G337" s="27">
        <v>1.6939932499999999</v>
      </c>
    </row>
    <row r="338" spans="1:27">
      <c r="A338" s="15">
        <v>4</v>
      </c>
      <c r="B338" s="75">
        <v>41471</v>
      </c>
      <c r="C338" s="15">
        <v>2013</v>
      </c>
      <c r="D338" s="11" t="s">
        <v>33</v>
      </c>
      <c r="E338" s="15">
        <v>7</v>
      </c>
      <c r="F338" s="32">
        <v>52.093000000000004</v>
      </c>
      <c r="G338" s="27">
        <v>2.4762148750000001</v>
      </c>
      <c r="I338" s="27">
        <f>AVERAGE(F337:F338)</f>
        <v>42.204500000000003</v>
      </c>
      <c r="J338" s="27">
        <f>AVERAGE(G337:G338)</f>
        <v>2.0851040625000001</v>
      </c>
      <c r="L338">
        <f>+J338/I338</f>
        <v>4.9404780592116955E-2</v>
      </c>
      <c r="M338">
        <f>+(L338-$L$619)/$L$620</f>
        <v>-0.16328448763631326</v>
      </c>
      <c r="N338">
        <f>+N336+M338</f>
        <v>2.067984671495529</v>
      </c>
      <c r="Z338">
        <f>+(I338-$F$619)/$F$620</f>
        <v>3.0190535189107344</v>
      </c>
      <c r="AA338">
        <f>+AA336+Z338</f>
        <v>24.949122880898209</v>
      </c>
    </row>
    <row r="339" spans="1:27">
      <c r="A339" s="15">
        <v>3</v>
      </c>
      <c r="B339" s="75">
        <v>41499</v>
      </c>
      <c r="C339" s="15">
        <v>2013</v>
      </c>
      <c r="D339" s="11" t="s">
        <v>34</v>
      </c>
      <c r="E339" s="15">
        <v>8</v>
      </c>
      <c r="F339" s="32">
        <v>12.627000000000001</v>
      </c>
      <c r="G339" s="27">
        <v>1.3103091176470589</v>
      </c>
      <c r="I339" s="27"/>
      <c r="J339" s="27"/>
    </row>
    <row r="340" spans="1:27">
      <c r="A340" s="15">
        <v>4</v>
      </c>
      <c r="B340" s="75">
        <v>41499</v>
      </c>
      <c r="C340" s="15">
        <v>2013</v>
      </c>
      <c r="D340" s="11" t="s">
        <v>34</v>
      </c>
      <c r="E340" s="15">
        <v>8</v>
      </c>
      <c r="F340" s="32">
        <v>19.396000000000001</v>
      </c>
      <c r="G340" s="27">
        <v>1.6730276666666668</v>
      </c>
      <c r="I340" s="27">
        <f>AVERAGE(F339:F340)</f>
        <v>16.011500000000002</v>
      </c>
      <c r="J340" s="27">
        <f>AVERAGE(G339:G340)</f>
        <v>1.4916683921568628</v>
      </c>
      <c r="L340">
        <f>+J340/I340</f>
        <v>9.3162314096547016E-2</v>
      </c>
      <c r="M340">
        <f>+(L340-$L$619)/$L$620</f>
        <v>0.53471796842087427</v>
      </c>
      <c r="N340">
        <f>+N338+M340</f>
        <v>2.6027026399164033</v>
      </c>
      <c r="Z340">
        <f>+(I340-$F$619)/$F$620</f>
        <v>0.41728676461517233</v>
      </c>
      <c r="AA340">
        <f>+AA338+Z340</f>
        <v>25.366409645513382</v>
      </c>
    </row>
    <row r="341" spans="1:27">
      <c r="A341" s="15">
        <v>3</v>
      </c>
      <c r="B341" s="75">
        <v>41533</v>
      </c>
      <c r="C341" s="15">
        <v>2013</v>
      </c>
      <c r="D341" s="11" t="s">
        <v>40</v>
      </c>
      <c r="E341" s="15">
        <v>9</v>
      </c>
      <c r="F341" s="32">
        <v>8.641</v>
      </c>
      <c r="G341" s="27">
        <v>0.51827662500000005</v>
      </c>
    </row>
    <row r="342" spans="1:27">
      <c r="A342" s="15">
        <v>4</v>
      </c>
      <c r="B342" s="75">
        <v>41533</v>
      </c>
      <c r="C342" s="15">
        <v>2013</v>
      </c>
      <c r="D342" s="11" t="s">
        <v>40</v>
      </c>
      <c r="E342" s="15">
        <v>9</v>
      </c>
      <c r="F342" s="32">
        <v>9.0589999999999993</v>
      </c>
      <c r="G342" s="27">
        <v>1.1544353749999998</v>
      </c>
      <c r="I342" s="27">
        <f>AVERAGE(F341:F342)</f>
        <v>8.85</v>
      </c>
      <c r="J342" s="27">
        <f>AVERAGE(G341:G342)</f>
        <v>0.83635599999999988</v>
      </c>
      <c r="L342">
        <f>+J342/I342</f>
        <v>9.4503502824858754E-2</v>
      </c>
      <c r="M342">
        <f>+(L342-$L$619)/$L$620</f>
        <v>0.55611206793754453</v>
      </c>
      <c r="N342">
        <f>+N340+M342</f>
        <v>3.1588147078539479</v>
      </c>
      <c r="Z342">
        <f>+(I342-$F$619)/$F$620</f>
        <v>-0.29406942256795571</v>
      </c>
      <c r="AA342">
        <f>+AA340+Z342</f>
        <v>25.072340222945428</v>
      </c>
    </row>
    <row r="343" spans="1:27">
      <c r="A343" s="15">
        <v>3</v>
      </c>
      <c r="B343" s="75">
        <v>41569</v>
      </c>
      <c r="C343" s="15">
        <v>2013</v>
      </c>
      <c r="D343" s="11" t="s">
        <v>36</v>
      </c>
      <c r="E343" s="15">
        <v>10</v>
      </c>
      <c r="F343" s="26">
        <v>4.3840000000000003</v>
      </c>
      <c r="G343" s="27">
        <v>7.2570249999999989E-2</v>
      </c>
    </row>
    <row r="344" spans="1:27">
      <c r="A344" s="15">
        <v>4</v>
      </c>
      <c r="B344" s="75">
        <v>41569</v>
      </c>
      <c r="C344" s="15">
        <v>2013</v>
      </c>
      <c r="D344" s="11" t="s">
        <v>36</v>
      </c>
      <c r="E344" s="15">
        <v>10</v>
      </c>
      <c r="F344" s="26">
        <v>7.3710000000000004</v>
      </c>
      <c r="G344" s="27">
        <v>0.29580262499999993</v>
      </c>
      <c r="I344" s="27">
        <f>AVERAGE(F343:F344)</f>
        <v>5.8775000000000004</v>
      </c>
      <c r="J344" s="27">
        <f>AVERAGE(G343:G344)</f>
        <v>0.18418643749999997</v>
      </c>
      <c r="L344">
        <f>+J344/I344</f>
        <v>3.1337547851977871E-2</v>
      </c>
      <c r="M344">
        <f>+(L344-$L$619)/$L$620</f>
        <v>-0.45148566847977106</v>
      </c>
      <c r="N344">
        <f>+N342+M344</f>
        <v>2.7073290393741769</v>
      </c>
      <c r="Z344">
        <f>+(I344-$F$619)/$F$620</f>
        <v>-0.58932967061680674</v>
      </c>
      <c r="AA344">
        <f>+AA342+Z344</f>
        <v>24.483010552328622</v>
      </c>
    </row>
    <row r="345" spans="1:27">
      <c r="A345" s="15">
        <v>3</v>
      </c>
      <c r="B345" s="75">
        <v>41597</v>
      </c>
      <c r="C345" s="15">
        <v>2013</v>
      </c>
      <c r="D345" s="11" t="s">
        <v>37</v>
      </c>
      <c r="E345" s="15">
        <v>11</v>
      </c>
      <c r="F345" s="26">
        <v>2.2610000000000001</v>
      </c>
      <c r="G345" s="27">
        <v>1.8883750000000001E-2</v>
      </c>
    </row>
    <row r="346" spans="1:27">
      <c r="A346" s="15">
        <v>4</v>
      </c>
      <c r="B346" s="75">
        <v>41597</v>
      </c>
      <c r="C346" s="15">
        <v>2013</v>
      </c>
      <c r="D346" s="11" t="s">
        <v>37</v>
      </c>
      <c r="E346" s="15">
        <v>11</v>
      </c>
      <c r="F346" s="26">
        <v>2.4009999999999998</v>
      </c>
      <c r="G346" s="27">
        <v>7.7184749999999996E-2</v>
      </c>
      <c r="I346" s="27">
        <f>AVERAGE(F345:F346)</f>
        <v>2.331</v>
      </c>
      <c r="J346" s="27">
        <f>AVERAGE(G345:G346)</f>
        <v>4.8034250000000001E-2</v>
      </c>
      <c r="L346">
        <f>+J346/I346</f>
        <v>2.0606713856713858E-2</v>
      </c>
      <c r="M346">
        <f>+(L346-$L$619)/$L$620</f>
        <v>-0.62265958721716819</v>
      </c>
      <c r="N346">
        <f>+N344+M346</f>
        <v>2.0846694521570086</v>
      </c>
      <c r="Z346">
        <f>+(I346-$F$619)/$F$620</f>
        <v>-0.94160569070267752</v>
      </c>
      <c r="AA346">
        <f>+AA344+Z346</f>
        <v>23.541404861625946</v>
      </c>
    </row>
    <row r="347" spans="1:27">
      <c r="A347" s="15">
        <v>3</v>
      </c>
      <c r="B347" s="75">
        <v>41624</v>
      </c>
      <c r="C347" s="15">
        <v>2013</v>
      </c>
      <c r="D347" s="11" t="s">
        <v>38</v>
      </c>
      <c r="E347" s="15">
        <v>12</v>
      </c>
      <c r="F347" s="26">
        <v>3.7669999999999999</v>
      </c>
      <c r="G347" s="27">
        <v>2.4133499999999999E-2</v>
      </c>
    </row>
    <row r="348" spans="1:27">
      <c r="A348" s="15">
        <v>4</v>
      </c>
      <c r="B348" s="75">
        <v>41624</v>
      </c>
      <c r="C348" s="15">
        <v>2013</v>
      </c>
      <c r="D348" s="11" t="s">
        <v>38</v>
      </c>
      <c r="E348" s="15">
        <v>12</v>
      </c>
      <c r="F348" s="26">
        <v>5.1369999999999996</v>
      </c>
      <c r="G348" s="27">
        <v>2.9674874999999996E-2</v>
      </c>
      <c r="I348" s="27">
        <f>AVERAGE(F347:F348)</f>
        <v>4.452</v>
      </c>
      <c r="J348" s="27">
        <f>AVERAGE(G347:G348)</f>
        <v>2.6904187499999996E-2</v>
      </c>
      <c r="L348">
        <f>+J348/I348</f>
        <v>6.0431688005390827E-3</v>
      </c>
      <c r="M348">
        <f>+(L348-$L$619)/$L$620</f>
        <v>-0.85497136084765291</v>
      </c>
      <c r="N348">
        <f>+N346+M348</f>
        <v>1.2296980913093556</v>
      </c>
      <c r="Z348">
        <f>+(I348-$F$619)/$F$620</f>
        <v>-0.73092545988295898</v>
      </c>
      <c r="AA348">
        <f>+AA346+Z348</f>
        <v>22.810479401742988</v>
      </c>
    </row>
    <row r="349" spans="1:27">
      <c r="A349" s="15">
        <v>3</v>
      </c>
      <c r="B349" s="75">
        <v>41654</v>
      </c>
      <c r="C349" s="15">
        <v>2014</v>
      </c>
      <c r="D349" s="11" t="s">
        <v>39</v>
      </c>
      <c r="E349" s="15">
        <v>1</v>
      </c>
      <c r="F349" s="26">
        <v>3.335</v>
      </c>
      <c r="G349" s="27">
        <v>3.2306874999999999E-2</v>
      </c>
      <c r="I349" s="27"/>
      <c r="J349" s="27"/>
    </row>
    <row r="350" spans="1:27">
      <c r="A350" s="15">
        <v>4</v>
      </c>
      <c r="B350" s="75">
        <v>41654</v>
      </c>
      <c r="C350" s="15">
        <v>2014</v>
      </c>
      <c r="D350" s="11" t="s">
        <v>39</v>
      </c>
      <c r="E350" s="15">
        <v>1</v>
      </c>
      <c r="F350" s="26">
        <v>1.752</v>
      </c>
      <c r="G350" s="27">
        <v>1.83515E-2</v>
      </c>
      <c r="I350" s="27">
        <f>AVERAGE(F349:F350)</f>
        <v>2.5434999999999999</v>
      </c>
      <c r="J350" s="27">
        <f>AVERAGE(G349:G350)</f>
        <v>2.5329187499999999E-2</v>
      </c>
      <c r="L350">
        <f>+J350/I350</f>
        <v>9.9583988598388046E-3</v>
      </c>
      <c r="M350">
        <f>+(L350-$L$619)/$L$620</f>
        <v>-0.79251719630605544</v>
      </c>
      <c r="N350">
        <f>+N348+M350</f>
        <v>0.43718089500330015</v>
      </c>
      <c r="Z350">
        <f>+(I350-$F$619)/$F$620</f>
        <v>-0.9204979353753836</v>
      </c>
      <c r="AA350">
        <f>+AA348+Z350</f>
        <v>21.889981466367605</v>
      </c>
    </row>
    <row r="351" spans="1:27">
      <c r="A351" s="15">
        <v>3</v>
      </c>
      <c r="B351" s="75">
        <v>41688</v>
      </c>
      <c r="C351" s="15">
        <v>2014</v>
      </c>
      <c r="D351" s="11" t="s">
        <v>28</v>
      </c>
      <c r="E351" s="15">
        <v>2</v>
      </c>
      <c r="F351" s="26">
        <v>4.5439999999999996</v>
      </c>
      <c r="G351" s="27">
        <v>3.5767500000000001E-2</v>
      </c>
    </row>
    <row r="352" spans="1:27">
      <c r="A352" s="15">
        <v>4</v>
      </c>
      <c r="B352" s="75">
        <v>41688</v>
      </c>
      <c r="C352" s="15">
        <v>2014</v>
      </c>
      <c r="D352" s="11" t="s">
        <v>28</v>
      </c>
      <c r="E352" s="15">
        <v>2</v>
      </c>
      <c r="F352" s="26">
        <v>5.3250000000000002</v>
      </c>
      <c r="G352" s="27">
        <v>6.8974624999999998E-2</v>
      </c>
      <c r="I352" s="27">
        <f>AVERAGE(F351:F352)</f>
        <v>4.9344999999999999</v>
      </c>
      <c r="J352" s="27">
        <f>AVERAGE(G351:G352)</f>
        <v>5.2371062499999996E-2</v>
      </c>
      <c r="L352">
        <f>+J352/I352</f>
        <v>1.0613246022899989E-2</v>
      </c>
      <c r="M352">
        <f>+(L352-$L$619)/$L$620</f>
        <v>-0.7820713395231883</v>
      </c>
      <c r="N352">
        <f>+N350+M352</f>
        <v>-0.34489044451988815</v>
      </c>
      <c r="Z352">
        <f>+(I352-$F$619)/$F$620</f>
        <v>-0.68299843896333889</v>
      </c>
      <c r="AA352">
        <f>+AA350+Z352</f>
        <v>21.206983027404267</v>
      </c>
    </row>
    <row r="353" spans="1:27">
      <c r="A353" s="15">
        <v>3</v>
      </c>
      <c r="B353" s="75">
        <v>41719</v>
      </c>
      <c r="C353" s="15">
        <v>2014</v>
      </c>
      <c r="D353" s="11" t="s">
        <v>29</v>
      </c>
      <c r="E353" s="15">
        <v>3</v>
      </c>
      <c r="F353" s="26">
        <v>3.1259999999999999</v>
      </c>
      <c r="G353" s="27">
        <v>4.4123124999999992E-2</v>
      </c>
    </row>
    <row r="354" spans="1:27">
      <c r="A354" s="15">
        <v>3</v>
      </c>
      <c r="B354" s="75">
        <v>41719</v>
      </c>
      <c r="C354" s="15">
        <v>2014</v>
      </c>
      <c r="D354" s="11" t="s">
        <v>29</v>
      </c>
      <c r="E354" s="15">
        <v>3</v>
      </c>
      <c r="F354" s="26">
        <v>3.1259999999999999</v>
      </c>
      <c r="G354" s="27">
        <v>5.1793749999999986E-2</v>
      </c>
      <c r="H354" t="s">
        <v>13</v>
      </c>
      <c r="I354" s="27">
        <f>AVERAGE(F353:F354)</f>
        <v>3.1259999999999999</v>
      </c>
      <c r="J354" s="27">
        <f>AVERAGE(G353:G354)</f>
        <v>4.7958437499999992E-2</v>
      </c>
      <c r="L354">
        <f>+J354/I354</f>
        <v>1.5341790626999358E-2</v>
      </c>
      <c r="M354">
        <f>+(L354-$L$619)/$L$620</f>
        <v>-0.70664351069222442</v>
      </c>
      <c r="N354">
        <f>+N352+M354</f>
        <v>-1.0515339552121126</v>
      </c>
      <c r="Z354">
        <f>+(I354-$F$619)/$F$620</f>
        <v>-0.86263785312527241</v>
      </c>
      <c r="AA354">
        <f>+AA352+Z354</f>
        <v>20.344345174278995</v>
      </c>
    </row>
    <row r="355" spans="1:27">
      <c r="A355" s="15">
        <v>4</v>
      </c>
      <c r="B355" s="75">
        <v>41719</v>
      </c>
      <c r="C355" s="15">
        <v>2014</v>
      </c>
      <c r="D355" s="11" t="s">
        <v>29</v>
      </c>
      <c r="E355" s="15">
        <v>3</v>
      </c>
      <c r="F355" s="26">
        <v>3.1909999999999998</v>
      </c>
      <c r="G355" s="27">
        <v>5.5256124999999996E-2</v>
      </c>
    </row>
    <row r="356" spans="1:27">
      <c r="A356" s="15">
        <v>3</v>
      </c>
      <c r="B356" s="75">
        <v>41747</v>
      </c>
      <c r="C356" s="15">
        <v>2014</v>
      </c>
      <c r="D356" s="11" t="s">
        <v>30</v>
      </c>
      <c r="E356" s="15">
        <v>4</v>
      </c>
      <c r="F356" s="33">
        <v>2.645</v>
      </c>
      <c r="G356" s="27">
        <v>2.3579624999999996E-2</v>
      </c>
      <c r="I356" s="27">
        <f>AVERAGE(F355:F356)</f>
        <v>2.9180000000000001</v>
      </c>
      <c r="J356" s="27">
        <f>AVERAGE(G355:G356)</f>
        <v>3.9417874999999998E-2</v>
      </c>
      <c r="L356">
        <f>+J356/I356</f>
        <v>1.3508524674434542E-2</v>
      </c>
      <c r="M356">
        <f>+(L356-$L$619)/$L$620</f>
        <v>-0.73588702683708906</v>
      </c>
      <c r="N356">
        <f>+N354+M356</f>
        <v>-1.7874209820492015</v>
      </c>
      <c r="Z356">
        <f>+(I356-$F$619)/$F$620</f>
        <v>-0.88329862069269394</v>
      </c>
      <c r="AA356">
        <f>+AA354+Z356</f>
        <v>19.4610465535863</v>
      </c>
    </row>
    <row r="357" spans="1:27">
      <c r="A357" s="15">
        <v>4</v>
      </c>
      <c r="B357" s="75">
        <v>41747</v>
      </c>
      <c r="C357" s="15">
        <v>2014</v>
      </c>
      <c r="D357" s="11" t="s">
        <v>30</v>
      </c>
      <c r="E357" s="15">
        <v>4</v>
      </c>
      <c r="F357" s="33">
        <v>6.6870000000000003</v>
      </c>
      <c r="G357" s="27">
        <v>0.11551412500000001</v>
      </c>
      <c r="I357" s="27"/>
      <c r="J357" s="27"/>
    </row>
    <row r="358" spans="1:27">
      <c r="A358" s="15">
        <v>3</v>
      </c>
      <c r="B358" s="75">
        <v>41772</v>
      </c>
      <c r="C358" s="15">
        <v>2014</v>
      </c>
      <c r="D358" s="11" t="s">
        <v>31</v>
      </c>
      <c r="E358" s="15">
        <v>5</v>
      </c>
      <c r="F358" s="33">
        <v>4.24</v>
      </c>
      <c r="G358" s="27">
        <v>0.31169762499999992</v>
      </c>
      <c r="I358" s="27">
        <f>AVERAGE(F357:F358)</f>
        <v>5.4634999999999998</v>
      </c>
      <c r="J358" s="27">
        <f>AVERAGE(G357:G358)</f>
        <v>0.21360587499999997</v>
      </c>
      <c r="L358">
        <f>+J358/I358</f>
        <v>3.9096893017296602E-2</v>
      </c>
      <c r="M358">
        <f>+(L358-$L$619)/$L$620</f>
        <v>-0.32771173633527273</v>
      </c>
      <c r="N358">
        <f>+N356+M358</f>
        <v>-2.1151327183844741</v>
      </c>
      <c r="Z358">
        <f>+(I358-$F$619)/$F$620</f>
        <v>-0.6304525445250404</v>
      </c>
      <c r="AA358">
        <f>+AA356+Z358</f>
        <v>18.830594009061258</v>
      </c>
    </row>
    <row r="359" spans="1:27">
      <c r="A359" s="15">
        <v>4</v>
      </c>
      <c r="B359" s="75">
        <v>41772</v>
      </c>
      <c r="C359" s="15">
        <v>2014</v>
      </c>
      <c r="D359" s="11" t="s">
        <v>31</v>
      </c>
      <c r="E359" s="15">
        <v>5</v>
      </c>
      <c r="F359" s="33">
        <v>3.7629999999999999</v>
      </c>
      <c r="G359" s="27">
        <v>0.61531037499999996</v>
      </c>
      <c r="I359" s="27"/>
      <c r="J359" s="27"/>
    </row>
    <row r="360" spans="1:27">
      <c r="A360" s="15">
        <v>3</v>
      </c>
      <c r="B360" s="75">
        <v>41808</v>
      </c>
      <c r="C360" s="15">
        <v>2014</v>
      </c>
      <c r="D360" s="11" t="s">
        <v>32</v>
      </c>
      <c r="E360" s="15">
        <v>6</v>
      </c>
      <c r="F360" s="33">
        <v>8.3550000000000004</v>
      </c>
      <c r="G360" s="27">
        <v>2.8802321249999996</v>
      </c>
      <c r="I360" s="27">
        <f>AVERAGE(F359:F360)</f>
        <v>6.0590000000000002</v>
      </c>
      <c r="J360" s="27">
        <f>AVERAGE(G359:G360)</f>
        <v>1.7477712499999998</v>
      </c>
      <c r="L360">
        <f>+J360/I360</f>
        <v>0.28845869780491828</v>
      </c>
      <c r="M360">
        <f>+(L360-$L$619)/$L$620</f>
        <v>3.6500068014564273</v>
      </c>
      <c r="N360">
        <f>+N358+M360</f>
        <v>1.5348740830719532</v>
      </c>
      <c r="Z360">
        <f>+(I360-$F$619)/$F$620</f>
        <v>-0.5713011643019652</v>
      </c>
      <c r="AA360">
        <f>+AA358+Z360</f>
        <v>18.259292844759294</v>
      </c>
    </row>
    <row r="361" spans="1:27">
      <c r="A361" s="15">
        <v>4</v>
      </c>
      <c r="B361" s="75">
        <v>41808</v>
      </c>
      <c r="C361" s="15">
        <v>2014</v>
      </c>
      <c r="D361" s="11" t="s">
        <v>32</v>
      </c>
      <c r="E361" s="15">
        <v>6</v>
      </c>
      <c r="F361" s="33">
        <v>10.061999999999999</v>
      </c>
      <c r="G361" s="27">
        <v>3.4274501249999996</v>
      </c>
    </row>
    <row r="362" spans="1:27">
      <c r="A362" s="15">
        <v>3</v>
      </c>
      <c r="B362" s="75">
        <v>41834</v>
      </c>
      <c r="C362" s="15">
        <v>2014</v>
      </c>
      <c r="D362" s="11" t="s">
        <v>33</v>
      </c>
      <c r="E362" s="15">
        <v>7</v>
      </c>
      <c r="F362" s="33">
        <v>14.663</v>
      </c>
      <c r="G362" s="27">
        <v>1.655107125</v>
      </c>
      <c r="I362" s="27">
        <f>AVERAGE(F361:F362)</f>
        <v>12.362500000000001</v>
      </c>
      <c r="J362" s="27">
        <f>AVERAGE(G361:G362)</f>
        <v>2.5412786249999999</v>
      </c>
      <c r="L362">
        <f>+J362/I362</f>
        <v>0.20556348837209301</v>
      </c>
      <c r="M362">
        <f>+(L362-$L$619)/$L$620</f>
        <v>2.3276959867111433</v>
      </c>
      <c r="N362">
        <f>+N360+M362</f>
        <v>3.8625700697830965</v>
      </c>
      <c r="Z362">
        <f>+(I362-$F$619)/$F$620</f>
        <v>5.4829356665548085E-2</v>
      </c>
      <c r="AA362">
        <f>+AA360+Z362</f>
        <v>18.314122201424841</v>
      </c>
    </row>
    <row r="363" spans="1:27">
      <c r="A363" s="15">
        <v>4</v>
      </c>
      <c r="B363" s="75">
        <v>41834</v>
      </c>
      <c r="C363" s="15">
        <v>2014</v>
      </c>
      <c r="D363" s="11" t="s">
        <v>33</v>
      </c>
      <c r="E363" s="15">
        <v>7</v>
      </c>
      <c r="F363" s="33">
        <v>17.713999999999999</v>
      </c>
      <c r="G363" s="27">
        <v>3.066036875</v>
      </c>
    </row>
    <row r="364" spans="1:27">
      <c r="A364" s="15">
        <v>3</v>
      </c>
      <c r="B364" s="75">
        <v>41864</v>
      </c>
      <c r="C364" s="15">
        <v>2014</v>
      </c>
      <c r="D364" s="11" t="s">
        <v>34</v>
      </c>
      <c r="E364" s="15">
        <v>8</v>
      </c>
      <c r="F364" s="33">
        <v>17.297999999999998</v>
      </c>
      <c r="G364" s="27">
        <v>1.1974332499999998</v>
      </c>
      <c r="I364" s="27">
        <f>AVERAGE(F363:F364)</f>
        <v>17.506</v>
      </c>
      <c r="J364" s="27">
        <f>AVERAGE(G363:G364)</f>
        <v>2.1317350624999998</v>
      </c>
      <c r="L364">
        <f>+J364/I364</f>
        <v>0.12177168185193646</v>
      </c>
      <c r="M364">
        <f>+(L364-$L$619)/$L$620</f>
        <v>0.99108301828099521</v>
      </c>
      <c r="N364">
        <f>+N362+M364</f>
        <v>4.8536530880640916</v>
      </c>
      <c r="Z364">
        <f>+(I364-$F$619)/$F$620</f>
        <v>0.56573636619936329</v>
      </c>
      <c r="AA364">
        <f>+AA362+Z364</f>
        <v>18.879858567624204</v>
      </c>
    </row>
    <row r="365" spans="1:27">
      <c r="A365" s="15">
        <v>4</v>
      </c>
      <c r="B365" s="75">
        <v>41864</v>
      </c>
      <c r="C365" s="15">
        <v>2014</v>
      </c>
      <c r="D365" s="11" t="s">
        <v>34</v>
      </c>
      <c r="E365" s="15">
        <v>8</v>
      </c>
      <c r="F365" s="33">
        <v>17.457999999999998</v>
      </c>
      <c r="G365" s="27">
        <v>1.121007125</v>
      </c>
    </row>
    <row r="366" spans="1:27">
      <c r="A366" s="15">
        <v>3</v>
      </c>
      <c r="B366" s="75">
        <v>41898</v>
      </c>
      <c r="C366" s="15">
        <v>2014</v>
      </c>
      <c r="D366" s="11" t="s">
        <v>40</v>
      </c>
      <c r="E366" s="15">
        <v>9</v>
      </c>
      <c r="F366" s="33">
        <v>10.042999999999999</v>
      </c>
      <c r="G366" s="27">
        <v>0.35609924999999992</v>
      </c>
      <c r="I366" s="27">
        <f>AVERAGE(F365:F366)</f>
        <v>13.750499999999999</v>
      </c>
      <c r="J366" s="27">
        <f>AVERAGE(G365:G366)</f>
        <v>0.73855318749999999</v>
      </c>
      <c r="L366">
        <f>+J366/I366</f>
        <v>5.3711005963419517E-2</v>
      </c>
      <c r="M366">
        <f>+(L366-$L$619)/$L$620</f>
        <v>-9.4593324200406712E-2</v>
      </c>
      <c r="N366">
        <f>+N364+M366</f>
        <v>4.7590597638636849</v>
      </c>
      <c r="Z366">
        <f>+(I366-$F$619)/$F$620</f>
        <v>0.19270024793276586</v>
      </c>
      <c r="AA366">
        <f>+AA364+Z366</f>
        <v>19.07255881555697</v>
      </c>
    </row>
    <row r="367" spans="1:27">
      <c r="A367" s="15">
        <v>4</v>
      </c>
      <c r="B367" s="75">
        <v>41898</v>
      </c>
      <c r="C367" s="15">
        <v>2014</v>
      </c>
      <c r="D367" s="11" t="s">
        <v>40</v>
      </c>
      <c r="E367" s="15">
        <v>9</v>
      </c>
      <c r="F367" s="33">
        <v>12.87</v>
      </c>
      <c r="G367" s="27">
        <v>1.113679125</v>
      </c>
      <c r="I367" s="27"/>
      <c r="J367" s="27"/>
    </row>
    <row r="368" spans="1:27">
      <c r="A368" s="15">
        <v>3</v>
      </c>
      <c r="B368" s="75">
        <v>41929</v>
      </c>
      <c r="C368" s="15">
        <v>2014</v>
      </c>
      <c r="D368" s="11" t="s">
        <v>36</v>
      </c>
      <c r="E368" s="15">
        <v>10</v>
      </c>
      <c r="F368" s="26">
        <v>1.6759999999999999</v>
      </c>
      <c r="G368" s="27">
        <v>5.7918125000000001E-2</v>
      </c>
      <c r="I368" s="27">
        <f>AVERAGE(F367:F368)</f>
        <v>7.2729999999999997</v>
      </c>
      <c r="J368" s="27">
        <f>AVERAGE(G367:G368)</f>
        <v>0.58579862500000002</v>
      </c>
      <c r="L368">
        <f>+J368/I368</f>
        <v>8.0544290526605264E-2</v>
      </c>
      <c r="M368">
        <f>+(L368-$L$619)/$L$620</f>
        <v>0.33344036575354952</v>
      </c>
      <c r="N368">
        <f>+N366+M368</f>
        <v>5.0925001296172345</v>
      </c>
      <c r="Z368">
        <f>+(I368-$F$619)/$F$620</f>
        <v>-0.45071379974980202</v>
      </c>
      <c r="AA368">
        <f>+AA366+Z368</f>
        <v>18.621845015807168</v>
      </c>
    </row>
    <row r="369" spans="1:27">
      <c r="A369" s="15">
        <v>4</v>
      </c>
      <c r="B369" s="75">
        <v>41929</v>
      </c>
      <c r="C369" s="15">
        <v>2014</v>
      </c>
      <c r="D369" s="11" t="s">
        <v>36</v>
      </c>
      <c r="E369" s="15">
        <v>10</v>
      </c>
      <c r="F369" s="26">
        <v>4.0270000000000001</v>
      </c>
      <c r="G369" s="27">
        <v>0.39009924999999995</v>
      </c>
      <c r="I369" s="27"/>
      <c r="J369" s="27"/>
    </row>
    <row r="370" spans="1:27">
      <c r="A370" s="15">
        <v>3</v>
      </c>
      <c r="B370" s="75">
        <v>41953</v>
      </c>
      <c r="C370" s="15">
        <v>2014</v>
      </c>
      <c r="D370" s="11" t="s">
        <v>37</v>
      </c>
      <c r="E370" s="15">
        <v>11</v>
      </c>
      <c r="F370" s="26">
        <v>1.635</v>
      </c>
      <c r="G370" s="27">
        <v>2.0041E-2</v>
      </c>
      <c r="I370" s="27">
        <f>AVERAGE(F369:F370)</f>
        <v>2.831</v>
      </c>
      <c r="J370" s="27">
        <f>AVERAGE(G369:G370)</f>
        <v>0.20507012499999996</v>
      </c>
      <c r="L370">
        <f>+J370/I370</f>
        <v>7.2437345460967847E-2</v>
      </c>
      <c r="M370">
        <f>+(L370-$L$619)/$L$620</f>
        <v>0.20412166075015337</v>
      </c>
      <c r="N370">
        <f>+N368+M370</f>
        <v>5.2966217903673876</v>
      </c>
      <c r="Z370">
        <f>+(I370-$F$619)/$F$620</f>
        <v>-0.89194038405022147</v>
      </c>
      <c r="AA370">
        <f>+AA368+Z370</f>
        <v>17.729904631756945</v>
      </c>
    </row>
    <row r="371" spans="1:27">
      <c r="A371" s="15">
        <v>3</v>
      </c>
      <c r="B371" s="75">
        <v>41953</v>
      </c>
      <c r="C371" s="15">
        <v>2014</v>
      </c>
      <c r="D371" s="11" t="s">
        <v>37</v>
      </c>
      <c r="E371" s="15">
        <v>11</v>
      </c>
      <c r="F371" s="26">
        <v>1.635</v>
      </c>
      <c r="G371" s="27">
        <v>2.4140499999999995E-2</v>
      </c>
    </row>
    <row r="372" spans="1:27">
      <c r="A372" s="15">
        <v>4</v>
      </c>
      <c r="B372" s="75">
        <v>41953</v>
      </c>
      <c r="C372" s="15">
        <v>2014</v>
      </c>
      <c r="D372" s="11" t="s">
        <v>37</v>
      </c>
      <c r="E372" s="15">
        <v>11</v>
      </c>
      <c r="F372" s="26">
        <v>2.0110000000000001</v>
      </c>
      <c r="G372" s="27">
        <v>3.8820500000000001E-2</v>
      </c>
      <c r="I372" s="27">
        <f>AVERAGE(F371:F372)</f>
        <v>1.823</v>
      </c>
      <c r="J372" s="27">
        <f>AVERAGE(G371:G372)</f>
        <v>3.1480499999999995E-2</v>
      </c>
      <c r="L372">
        <f>+J372/I372</f>
        <v>1.7268513439385624E-2</v>
      </c>
      <c r="M372">
        <f>+(L372-$L$619)/$L$620</f>
        <v>-0.67590920856226377</v>
      </c>
      <c r="N372">
        <f>+N370+M372</f>
        <v>4.6207125818051242</v>
      </c>
      <c r="Z372">
        <f>+(I372-$F$619)/$F$620</f>
        <v>-0.99206564226157279</v>
      </c>
      <c r="AA372">
        <f>+AA370+Z372</f>
        <v>16.737838989495373</v>
      </c>
    </row>
    <row r="373" spans="1:27">
      <c r="A373" s="15">
        <v>3</v>
      </c>
      <c r="B373" s="75">
        <v>41988</v>
      </c>
      <c r="C373" s="15">
        <v>2014</v>
      </c>
      <c r="D373" s="11" t="s">
        <v>38</v>
      </c>
      <c r="E373" s="15">
        <v>12</v>
      </c>
      <c r="F373" s="26">
        <v>5.5650000000000004</v>
      </c>
      <c r="G373" s="27">
        <v>2.0511374999999998E-2</v>
      </c>
    </row>
    <row r="374" spans="1:27">
      <c r="A374" s="15">
        <v>4</v>
      </c>
      <c r="B374" s="75">
        <v>41988</v>
      </c>
      <c r="C374" s="15">
        <v>2014</v>
      </c>
      <c r="D374" s="11" t="s">
        <v>38</v>
      </c>
      <c r="E374" s="15">
        <v>12</v>
      </c>
      <c r="F374" s="26">
        <v>3.9420000000000002</v>
      </c>
      <c r="G374" s="27">
        <v>4.1400249999999993E-2</v>
      </c>
      <c r="I374" s="27">
        <f>AVERAGE(F373:F374)</f>
        <v>4.7535000000000007</v>
      </c>
      <c r="J374" s="27">
        <f>AVERAGE(G373:G374)</f>
        <v>3.0955812499999995E-2</v>
      </c>
      <c r="L374">
        <f>+J374/I374</f>
        <v>6.5122146839171119E-3</v>
      </c>
      <c r="M374">
        <f>+(L374-$L$619)/$L$620</f>
        <v>-0.84748933084319122</v>
      </c>
      <c r="N374">
        <f>+N372+M374</f>
        <v>3.7732232509619328</v>
      </c>
      <c r="Z374">
        <f>+(I374-$F$619)/$F$620</f>
        <v>-0.70097727997152792</v>
      </c>
      <c r="AA374">
        <f>+AA372+Z374</f>
        <v>16.036861709523844</v>
      </c>
    </row>
    <row r="375" spans="1:27">
      <c r="A375" s="15">
        <v>3</v>
      </c>
      <c r="B375" s="70">
        <v>42014</v>
      </c>
      <c r="E375" s="15">
        <v>1</v>
      </c>
      <c r="F375" s="79">
        <v>3.7789999999999999</v>
      </c>
      <c r="G375" s="79">
        <v>2.8000000000000001E-2</v>
      </c>
    </row>
    <row r="376" spans="1:27">
      <c r="A376" s="15">
        <v>4</v>
      </c>
      <c r="B376" s="70">
        <v>42009</v>
      </c>
      <c r="E376" s="15">
        <v>1</v>
      </c>
      <c r="F376" s="79">
        <v>2.9020000000000001</v>
      </c>
      <c r="G376" s="79">
        <v>4.9000000000000002E-2</v>
      </c>
      <c r="I376" s="27">
        <f>AVERAGE(F375:F376)</f>
        <v>3.3405</v>
      </c>
      <c r="J376" s="27">
        <f>AVERAGE(G375:G376)</f>
        <v>3.85E-2</v>
      </c>
      <c r="L376">
        <f>+J376/I376</f>
        <v>1.1525220775333033E-2</v>
      </c>
      <c r="M376">
        <f>+(L376-$L$619)/$L$620</f>
        <v>-0.7675238875513819</v>
      </c>
      <c r="N376">
        <f>+N374+M376</f>
        <v>3.0056993634105509</v>
      </c>
      <c r="Z376">
        <f>+(I376-$F$619)/$F$620</f>
        <v>-0.84133143657136866</v>
      </c>
      <c r="AA376">
        <f>+AA374+Z376</f>
        <v>15.195530272952475</v>
      </c>
    </row>
    <row r="377" spans="1:27">
      <c r="A377" s="15">
        <v>3</v>
      </c>
      <c r="B377" s="71">
        <v>42036</v>
      </c>
      <c r="E377" s="15">
        <v>2</v>
      </c>
    </row>
    <row r="378" spans="1:27">
      <c r="A378" s="15">
        <v>4</v>
      </c>
      <c r="B378" s="71">
        <v>42036</v>
      </c>
      <c r="E378" s="15">
        <v>2</v>
      </c>
      <c r="I378" s="27"/>
      <c r="J378" s="27"/>
    </row>
    <row r="379" spans="1:27">
      <c r="A379" s="15">
        <v>3</v>
      </c>
      <c r="B379" s="71">
        <v>42064</v>
      </c>
      <c r="E379" s="15">
        <v>3</v>
      </c>
      <c r="F379" s="79">
        <v>8.7080000000000002</v>
      </c>
      <c r="G379" s="79">
        <v>6.3E-2</v>
      </c>
      <c r="I379" s="27"/>
      <c r="J379" s="27"/>
    </row>
    <row r="380" spans="1:27">
      <c r="A380" s="15">
        <v>3</v>
      </c>
      <c r="B380" s="71">
        <v>42064</v>
      </c>
      <c r="E380" s="15">
        <v>3</v>
      </c>
      <c r="F380" s="79">
        <v>9.9090000000000007</v>
      </c>
      <c r="G380" s="79">
        <v>0.115</v>
      </c>
      <c r="I380" s="27">
        <f>AVERAGE(F379:F380)</f>
        <v>9.3085000000000004</v>
      </c>
      <c r="J380" s="27">
        <f>AVERAGE(G379:G380)</f>
        <v>8.8999999999999996E-2</v>
      </c>
      <c r="L380">
        <f>+J380/I380</f>
        <v>9.5611537841757532E-3</v>
      </c>
      <c r="M380">
        <f>+(L380-$L$619)/$L$620</f>
        <v>-0.79885388889960307</v>
      </c>
      <c r="N380">
        <f>+N376+M380</f>
        <v>2.2068454745109478</v>
      </c>
      <c r="Z380">
        <f>+(I380-$F$619)/$F$620</f>
        <v>-0.24852633636765342</v>
      </c>
      <c r="AA380">
        <f>+AA376+Z380</f>
        <v>14.947003936584821</v>
      </c>
    </row>
    <row r="381" spans="1:27">
      <c r="A381" s="15">
        <v>4</v>
      </c>
      <c r="B381" s="71">
        <v>42095</v>
      </c>
      <c r="E381" s="15">
        <v>4</v>
      </c>
      <c r="F381" s="79">
        <v>3.0750000000000002</v>
      </c>
      <c r="G381" s="79">
        <v>2.8000000000000001E-2</v>
      </c>
      <c r="I381" s="27"/>
      <c r="J381" s="27"/>
    </row>
    <row r="382" spans="1:27">
      <c r="A382" s="15">
        <v>3</v>
      </c>
      <c r="B382" s="71">
        <v>42095</v>
      </c>
      <c r="E382" s="15">
        <v>4</v>
      </c>
      <c r="F382" s="79">
        <v>6.2859999999999996</v>
      </c>
      <c r="G382" s="79">
        <v>0.11799999999999999</v>
      </c>
      <c r="I382" s="27">
        <f>AVERAGE(F381:F382)</f>
        <v>4.6805000000000003</v>
      </c>
      <c r="J382" s="27">
        <f>AVERAGE(G381:G382)</f>
        <v>7.2999999999999995E-2</v>
      </c>
      <c r="L382">
        <f>+J382/I382</f>
        <v>1.5596624292276463E-2</v>
      </c>
      <c r="M382">
        <f>+(L382-$L$619)/$L$620</f>
        <v>-0.70257850725158333</v>
      </c>
      <c r="N382">
        <f>+N380+M382</f>
        <v>1.5042669672593645</v>
      </c>
      <c r="Z382">
        <f>+(I382-$F$619)/$F$620</f>
        <v>-0.70822841474278653</v>
      </c>
      <c r="AA382">
        <f>+AA380+Z382</f>
        <v>14.238775521842035</v>
      </c>
    </row>
    <row r="383" spans="1:27">
      <c r="A383" s="15">
        <v>4</v>
      </c>
      <c r="B383" s="71">
        <v>42125</v>
      </c>
      <c r="E383" s="15">
        <v>5</v>
      </c>
      <c r="F383" s="79">
        <v>5.4480000000000004</v>
      </c>
      <c r="G383" s="79">
        <v>2.1999999999999999E-2</v>
      </c>
    </row>
    <row r="384" spans="1:27">
      <c r="A384" s="15">
        <v>3</v>
      </c>
      <c r="B384" s="71">
        <v>42125</v>
      </c>
      <c r="E384" s="15">
        <v>5</v>
      </c>
      <c r="F384" s="79">
        <v>10.345000000000001</v>
      </c>
      <c r="G384" s="79">
        <v>8.3000000000000004E-2</v>
      </c>
      <c r="I384" s="27">
        <f>AVERAGE(F383:F384)</f>
        <v>7.8965000000000005</v>
      </c>
      <c r="J384" s="27">
        <f>AVERAGE(G383:G384)</f>
        <v>5.2500000000000005E-2</v>
      </c>
      <c r="L384">
        <f>+J384/I384</f>
        <v>6.6485151649464955E-3</v>
      </c>
      <c r="M384">
        <f>+(L384-$L$619)/$L$620</f>
        <v>-0.84531512076092841</v>
      </c>
      <c r="N384">
        <f>+N382+M384</f>
        <v>0.65895184649843608</v>
      </c>
      <c r="Z384">
        <f>+(I384-$F$619)/$F$620</f>
        <v>-0.38878116235418925</v>
      </c>
      <c r="AA384">
        <f>+AA382+Z384</f>
        <v>13.849994359487846</v>
      </c>
    </row>
    <row r="385" spans="1:27">
      <c r="A385" s="15">
        <v>4</v>
      </c>
      <c r="B385" s="71">
        <v>42156</v>
      </c>
      <c r="E385" s="15">
        <v>6</v>
      </c>
      <c r="F385" s="79">
        <v>7.9829999999999997</v>
      </c>
      <c r="G385" s="79">
        <v>0.26</v>
      </c>
    </row>
    <row r="386" spans="1:27">
      <c r="A386" s="15">
        <v>3</v>
      </c>
      <c r="B386" s="71">
        <v>42156</v>
      </c>
      <c r="E386" s="15">
        <v>6</v>
      </c>
      <c r="F386" s="79">
        <v>12.726000000000001</v>
      </c>
      <c r="G386" s="79">
        <v>1.107</v>
      </c>
      <c r="I386" s="27">
        <f>AVERAGE(F385:F386)</f>
        <v>10.3545</v>
      </c>
      <c r="J386" s="27">
        <f>AVERAGE(G385:G386)</f>
        <v>0.6835</v>
      </c>
      <c r="L386">
        <f>+J386/I386</f>
        <v>6.6009947365879576E-2</v>
      </c>
      <c r="M386">
        <f>+(L386-$L$619)/$L$620</f>
        <v>0.10159440893476711</v>
      </c>
      <c r="N386">
        <f>+N384+M386</f>
        <v>0.7605462554332032</v>
      </c>
      <c r="Z386">
        <f>+(I386-$F$619)/$F$620</f>
        <v>-0.14462651485071545</v>
      </c>
      <c r="AA386">
        <f>+AA384+Z386</f>
        <v>13.705367844637131</v>
      </c>
    </row>
    <row r="387" spans="1:27">
      <c r="A387" s="15">
        <v>4</v>
      </c>
      <c r="B387" s="71">
        <v>42186</v>
      </c>
      <c r="E387" s="15">
        <v>7</v>
      </c>
      <c r="F387" s="79">
        <v>13.734</v>
      </c>
      <c r="G387" s="79">
        <v>2.1640000000000001</v>
      </c>
    </row>
    <row r="388" spans="1:27">
      <c r="A388" s="15">
        <v>3</v>
      </c>
      <c r="B388" s="71">
        <v>42186</v>
      </c>
      <c r="E388" s="15">
        <v>7</v>
      </c>
      <c r="F388" s="79">
        <v>11.561999999999999</v>
      </c>
      <c r="G388" s="79">
        <v>2.383</v>
      </c>
      <c r="I388" s="27">
        <f>AVERAGE(F387:F388)</f>
        <v>12.648</v>
      </c>
      <c r="J388" s="27">
        <f>AVERAGE(G387:G388)</f>
        <v>2.2735000000000003</v>
      </c>
      <c r="L388">
        <f>+J388/I388</f>
        <v>0.17975173940543962</v>
      </c>
      <c r="M388">
        <f>+(L388-$L$619)/$L$620</f>
        <v>1.915957418950426</v>
      </c>
      <c r="N388">
        <f>+N386+M388</f>
        <v>2.6765036743836292</v>
      </c>
      <c r="Z388">
        <f>+(I388-$F$619)/$F$620</f>
        <v>8.3188246764100374E-2</v>
      </c>
      <c r="AA388">
        <f>+AA386+Z388</f>
        <v>13.788556091401231</v>
      </c>
    </row>
    <row r="389" spans="1:27">
      <c r="A389" s="15">
        <v>4</v>
      </c>
      <c r="B389" s="71">
        <v>42217</v>
      </c>
      <c r="E389" s="15">
        <v>8</v>
      </c>
      <c r="F389" s="79">
        <v>16.381</v>
      </c>
      <c r="G389" s="79">
        <v>0.51300000000000001</v>
      </c>
      <c r="I389" s="27"/>
      <c r="J389" s="27"/>
    </row>
    <row r="390" spans="1:27">
      <c r="A390" s="15">
        <v>3</v>
      </c>
      <c r="B390" s="71">
        <v>42217</v>
      </c>
      <c r="E390" s="15">
        <v>8</v>
      </c>
      <c r="F390" s="79">
        <v>25.786999999999999</v>
      </c>
      <c r="G390" s="79">
        <v>1.361</v>
      </c>
      <c r="I390" s="27">
        <f>AVERAGE(F389:F390)</f>
        <v>21.084</v>
      </c>
      <c r="J390" s="27">
        <f>AVERAGE(G389:G390)</f>
        <v>0.93700000000000006</v>
      </c>
      <c r="L390">
        <f>+J390/I390</f>
        <v>4.4441282489091259E-2</v>
      </c>
      <c r="M390">
        <f>+(L390-$L$619)/$L$620</f>
        <v>-0.24246019954421533</v>
      </c>
      <c r="N390">
        <f>+N388+M390</f>
        <v>2.434043474839414</v>
      </c>
      <c r="Z390">
        <f>+(I390-$F$619)/$F$620</f>
        <v>0.92114130060433863</v>
      </c>
      <c r="AA390">
        <f>+AA388+Z390</f>
        <v>14.70969739200557</v>
      </c>
    </row>
    <row r="391" spans="1:27">
      <c r="A391" s="15">
        <v>4</v>
      </c>
      <c r="B391" s="71">
        <v>42248</v>
      </c>
      <c r="E391" s="15">
        <v>9</v>
      </c>
      <c r="F391" s="79">
        <v>11.849</v>
      </c>
      <c r="G391" s="79">
        <v>1.7370000000000001</v>
      </c>
      <c r="I391" s="27"/>
      <c r="J391" s="27"/>
    </row>
    <row r="392" spans="1:27">
      <c r="A392" s="15">
        <v>3</v>
      </c>
      <c r="B392" s="71">
        <v>42248</v>
      </c>
      <c r="E392" s="15">
        <v>9</v>
      </c>
      <c r="F392" s="79">
        <v>14.278</v>
      </c>
      <c r="G392" s="79">
        <v>2.6619999999999999</v>
      </c>
      <c r="I392" s="27">
        <f>AVERAGE(F391:F392)</f>
        <v>13.063500000000001</v>
      </c>
      <c r="J392" s="27">
        <f>AVERAGE(G391:G392)</f>
        <v>2.1995</v>
      </c>
      <c r="L392">
        <f>+J392/I392</f>
        <v>0.16836988555900026</v>
      </c>
      <c r="M392">
        <f>+(L392-$L$619)/$L$620</f>
        <v>1.7343986951596002</v>
      </c>
      <c r="N392">
        <f>+N390+M392</f>
        <v>4.1684421699990146</v>
      </c>
      <c r="Z392">
        <f>+(I392-$F$619)/$F$620</f>
        <v>0.1244601165922915</v>
      </c>
      <c r="AA392">
        <f>+AA390+Z392</f>
        <v>14.834157508597862</v>
      </c>
    </row>
    <row r="393" spans="1:27">
      <c r="A393" s="15">
        <v>4</v>
      </c>
      <c r="B393" s="71">
        <v>42278</v>
      </c>
      <c r="E393" s="15">
        <v>10</v>
      </c>
      <c r="F393" s="79">
        <v>4.944</v>
      </c>
      <c r="G393" s="79">
        <v>7.0000000000000007E-2</v>
      </c>
    </row>
    <row r="394" spans="1:27">
      <c r="A394" s="15">
        <v>3</v>
      </c>
      <c r="B394" s="71">
        <v>42278</v>
      </c>
      <c r="E394" s="15">
        <v>10</v>
      </c>
      <c r="F394" s="79">
        <v>4.3559999999999999</v>
      </c>
      <c r="G394" s="79">
        <v>0.19800000000000001</v>
      </c>
      <c r="I394" s="27">
        <f>AVERAGE(F393:F394)</f>
        <v>4.6500000000000004</v>
      </c>
      <c r="J394" s="27">
        <f>AVERAGE(G393:G394)</f>
        <v>0.13400000000000001</v>
      </c>
      <c r="L394">
        <f>+J394/I394</f>
        <v>2.8817204301075268E-2</v>
      </c>
      <c r="M394">
        <f>+(L394-$L$619)/$L$620</f>
        <v>-0.49168916826021014</v>
      </c>
      <c r="N394">
        <f>+N392+M394</f>
        <v>3.6767530017388044</v>
      </c>
      <c r="Z394">
        <f>+(I394-$F$619)/$F$620</f>
        <v>-0.71125799844858628</v>
      </c>
      <c r="AA394">
        <f>+AA392+Z394</f>
        <v>14.122899510149276</v>
      </c>
    </row>
    <row r="395" spans="1:27">
      <c r="A395" s="15">
        <v>4</v>
      </c>
      <c r="B395" s="71">
        <v>42309</v>
      </c>
      <c r="E395" s="15">
        <v>11</v>
      </c>
      <c r="F395" s="79">
        <v>1.528</v>
      </c>
      <c r="G395" s="79">
        <v>1.6E-2</v>
      </c>
    </row>
    <row r="396" spans="1:27">
      <c r="A396" s="15">
        <v>3</v>
      </c>
      <c r="B396" s="71">
        <v>42309</v>
      </c>
      <c r="E396" s="15">
        <v>11</v>
      </c>
      <c r="F396" s="79">
        <v>2.06</v>
      </c>
      <c r="G396" s="79">
        <v>4.3999999999999997E-2</v>
      </c>
      <c r="I396" s="27">
        <f>AVERAGE(F395:F396)</f>
        <v>1.794</v>
      </c>
      <c r="J396" s="27">
        <f>AVERAGE(G395:G396)</f>
        <v>0.03</v>
      </c>
      <c r="L396">
        <f>+J396/I396</f>
        <v>1.6722408026755852E-2</v>
      </c>
      <c r="M396">
        <f>+(L396-$L$619)/$L$620</f>
        <v>-0.68462046097421969</v>
      </c>
      <c r="N396">
        <f>+N394+M396</f>
        <v>2.9921325407645849</v>
      </c>
      <c r="Z396">
        <f>+(I396-$F$619)/$F$620</f>
        <v>-0.99494623004741523</v>
      </c>
      <c r="AA396">
        <f>+AA394+Z396</f>
        <v>13.127953280101861</v>
      </c>
    </row>
    <row r="397" spans="1:27">
      <c r="A397" s="15">
        <v>3</v>
      </c>
      <c r="B397" s="72">
        <v>42339</v>
      </c>
      <c r="E397" s="15">
        <v>12</v>
      </c>
      <c r="F397" s="79">
        <v>3.9089999999999998</v>
      </c>
      <c r="G397" s="79">
        <v>6.0000000000000001E-3</v>
      </c>
    </row>
    <row r="398" spans="1:27">
      <c r="A398" s="15">
        <v>4</v>
      </c>
      <c r="B398" s="71">
        <v>42339</v>
      </c>
      <c r="E398" s="15">
        <v>12</v>
      </c>
      <c r="F398" s="79">
        <v>21.616</v>
      </c>
      <c r="G398" s="79">
        <v>2.8000000000000001E-2</v>
      </c>
      <c r="I398" s="27">
        <f>AVERAGE(F397:F398)</f>
        <v>12.762499999999999</v>
      </c>
      <c r="J398" s="27">
        <f>AVERAGE(G397:G398)</f>
        <v>1.7000000000000001E-2</v>
      </c>
      <c r="L398">
        <f>+J398/I398</f>
        <v>1.3320274240940257E-3</v>
      </c>
      <c r="M398">
        <f>+(L398-$L$619)/$L$620</f>
        <v>-0.93012158043803195</v>
      </c>
      <c r="N398">
        <f>+N396+M398</f>
        <v>2.0620109603265528</v>
      </c>
      <c r="Z398">
        <f>+(I398-$F$619)/$F$620</f>
        <v>9.4561601987512775E-2</v>
      </c>
      <c r="AA398">
        <f>+AA396+Z398</f>
        <v>13.222514882089374</v>
      </c>
    </row>
    <row r="399" spans="1:27">
      <c r="A399" s="15">
        <v>3</v>
      </c>
      <c r="B399" s="70">
        <v>42379</v>
      </c>
      <c r="E399" s="15">
        <v>1</v>
      </c>
      <c r="F399" s="80">
        <v>3.625</v>
      </c>
      <c r="G399" s="80">
        <v>2.4E-2</v>
      </c>
    </row>
    <row r="400" spans="1:27">
      <c r="A400" s="15">
        <v>4</v>
      </c>
      <c r="B400" s="70">
        <v>42374</v>
      </c>
      <c r="E400" s="15">
        <v>1</v>
      </c>
      <c r="F400" s="80">
        <v>5.08</v>
      </c>
      <c r="G400" s="80">
        <v>0.04</v>
      </c>
      <c r="I400" s="27">
        <f>AVERAGE(F399:F400)</f>
        <v>4.3525</v>
      </c>
      <c r="J400" s="27">
        <f>AVERAGE(G399:G400)</f>
        <v>3.2000000000000001E-2</v>
      </c>
      <c r="L400">
        <f>+J400/I400</f>
        <v>7.3520964962665138E-3</v>
      </c>
      <c r="M400">
        <f>+(L400-$L$619)/$L$620</f>
        <v>-0.83409187625955272</v>
      </c>
      <c r="N400">
        <f>+N398+M400</f>
        <v>1.227919084067</v>
      </c>
      <c r="Z400">
        <f>+(I400-$F$619)/$F$620</f>
        <v>-0.74080885590679768</v>
      </c>
      <c r="AA400">
        <f>+AA398+Z400</f>
        <v>12.481706026182577</v>
      </c>
    </row>
    <row r="401" spans="1:27">
      <c r="A401" s="15">
        <v>3</v>
      </c>
      <c r="B401" s="71">
        <v>42401</v>
      </c>
      <c r="E401" s="15">
        <v>2</v>
      </c>
      <c r="F401" s="80">
        <v>13.26</v>
      </c>
      <c r="G401" s="80">
        <v>4.1000000000000002E-2</v>
      </c>
      <c r="I401" s="27"/>
      <c r="J401" s="27"/>
    </row>
    <row r="402" spans="1:27">
      <c r="A402" s="15">
        <v>4</v>
      </c>
      <c r="B402" s="71">
        <v>42401</v>
      </c>
      <c r="E402" s="15">
        <v>2</v>
      </c>
      <c r="F402" s="80">
        <v>24.975999999999999</v>
      </c>
      <c r="G402" s="80">
        <v>8.2000000000000003E-2</v>
      </c>
      <c r="I402" s="27">
        <f>AVERAGE(F401:F402)</f>
        <v>19.117999999999999</v>
      </c>
      <c r="J402" s="27">
        <f>AVERAGE(G401:G402)</f>
        <v>6.1499999999999999E-2</v>
      </c>
      <c r="L402">
        <f>+J402/I402</f>
        <v>3.2168636886703633E-3</v>
      </c>
      <c r="M402">
        <f>+(L402-$L$619)/$L$620</f>
        <v>-0.90005543555793388</v>
      </c>
      <c r="N402">
        <f>+N400+M402</f>
        <v>0.32786364850906613</v>
      </c>
      <c r="Z402">
        <f>+(I402-$F$619)/$F$620</f>
        <v>0.72585731484688143</v>
      </c>
      <c r="AA402">
        <f>+AA400+Z402</f>
        <v>13.207563341029459</v>
      </c>
    </row>
    <row r="403" spans="1:27">
      <c r="A403" s="15">
        <v>3</v>
      </c>
      <c r="B403" s="71">
        <v>42430</v>
      </c>
      <c r="E403" s="15">
        <v>3</v>
      </c>
      <c r="F403" s="80">
        <v>2.0760000000000001</v>
      </c>
      <c r="G403" s="80">
        <v>8.0000000000000002E-3</v>
      </c>
      <c r="I403" s="27"/>
      <c r="J403" s="27"/>
    </row>
    <row r="404" spans="1:27">
      <c r="A404" s="15">
        <v>4</v>
      </c>
      <c r="B404" s="71">
        <v>42430</v>
      </c>
      <c r="E404" s="15">
        <v>3</v>
      </c>
      <c r="F404" s="80">
        <v>2.532</v>
      </c>
      <c r="G404" s="80">
        <v>2.4E-2</v>
      </c>
      <c r="I404" s="27">
        <f>AVERAGE(F403:F404)</f>
        <v>2.3040000000000003</v>
      </c>
      <c r="J404" s="27">
        <f>AVERAGE(G403:G404)</f>
        <v>1.6E-2</v>
      </c>
      <c r="L404">
        <f>+J404/I404</f>
        <v>6.9444444444444441E-3</v>
      </c>
      <c r="M404">
        <f>+(L404-$L$619)/$L$620</f>
        <v>-0.84059457672277127</v>
      </c>
      <c r="N404">
        <f>+N402+M404</f>
        <v>-0.51273092821370514</v>
      </c>
      <c r="Z404">
        <f>+(I404-$F$619)/$F$620</f>
        <v>-0.94428761726191002</v>
      </c>
      <c r="AA404">
        <f>+AA402+Z404</f>
        <v>12.263275723767549</v>
      </c>
    </row>
    <row r="405" spans="1:27">
      <c r="A405" s="15">
        <v>3</v>
      </c>
      <c r="B405" s="71">
        <v>42461</v>
      </c>
      <c r="C405" s="87" t="s">
        <v>93</v>
      </c>
      <c r="D405" s="88"/>
      <c r="E405" s="15">
        <v>4</v>
      </c>
      <c r="F405" s="80">
        <v>2.3330000000000002</v>
      </c>
      <c r="G405" s="80">
        <v>4.7E-2</v>
      </c>
    </row>
    <row r="406" spans="1:27">
      <c r="A406" s="15">
        <v>3</v>
      </c>
      <c r="B406" s="71">
        <v>42461</v>
      </c>
      <c r="C406" s="87" t="s">
        <v>95</v>
      </c>
      <c r="D406" s="88"/>
      <c r="E406" s="15">
        <v>4</v>
      </c>
      <c r="F406" s="80">
        <v>3.2109999999999999</v>
      </c>
      <c r="G406" s="80">
        <v>6.2E-2</v>
      </c>
      <c r="I406" s="27">
        <f>AVERAGE(F405:F406)</f>
        <v>2.7720000000000002</v>
      </c>
      <c r="J406" s="27">
        <f>AVERAGE(G405:G406)</f>
        <v>5.45E-2</v>
      </c>
      <c r="L406">
        <f>+J406/I406</f>
        <v>1.966089466089466E-2</v>
      </c>
      <c r="M406">
        <f>+(L406-$L$619)/$L$620</f>
        <v>-0.63774691204549727</v>
      </c>
      <c r="N406">
        <f>+N404+M406</f>
        <v>-1.1504778402592024</v>
      </c>
      <c r="Z406">
        <f>+(I406-$F$619)/$F$620</f>
        <v>-0.89780089023521126</v>
      </c>
      <c r="AA406">
        <f>+AA404+Z406</f>
        <v>11.365474833532337</v>
      </c>
    </row>
    <row r="407" spans="1:27">
      <c r="A407" s="15">
        <v>4</v>
      </c>
      <c r="B407" s="71">
        <v>42491</v>
      </c>
      <c r="C407" s="89" t="s">
        <v>97</v>
      </c>
      <c r="D407" s="11"/>
      <c r="E407" s="15">
        <v>5</v>
      </c>
      <c r="F407" s="80">
        <v>9.4429999999999996</v>
      </c>
      <c r="G407" s="80">
        <v>0.192</v>
      </c>
    </row>
    <row r="408" spans="1:27">
      <c r="A408" s="15">
        <v>3</v>
      </c>
      <c r="B408" s="71">
        <v>42491</v>
      </c>
      <c r="C408" s="89" t="s">
        <v>94</v>
      </c>
      <c r="D408" s="11"/>
      <c r="E408" s="15">
        <v>5</v>
      </c>
      <c r="F408" s="80">
        <v>9.1739999999999995</v>
      </c>
      <c r="G408" s="80">
        <v>0.191</v>
      </c>
      <c r="I408" s="27">
        <f>AVERAGE(F407:F408)</f>
        <v>9.3084999999999987</v>
      </c>
      <c r="J408" s="27">
        <f>AVERAGE(G407:G408)</f>
        <v>0.1915</v>
      </c>
      <c r="L408">
        <f>+J408/I408</f>
        <v>2.0572594940108508E-2</v>
      </c>
      <c r="M408">
        <f>+(L408-$L$619)/$L$620</f>
        <v>-0.62320383835934312</v>
      </c>
      <c r="N408">
        <f>+N406+M408</f>
        <v>-1.7736816786185456</v>
      </c>
      <c r="Z408">
        <f>+(I408-$F$619)/$F$620</f>
        <v>-0.24852633636765359</v>
      </c>
      <c r="AA408">
        <f>+AA406+Z408</f>
        <v>11.116948497164683</v>
      </c>
    </row>
    <row r="409" spans="1:27">
      <c r="A409" s="15">
        <v>4</v>
      </c>
      <c r="B409" s="71">
        <v>42522</v>
      </c>
      <c r="C409" s="86"/>
      <c r="E409" s="15">
        <v>6</v>
      </c>
      <c r="F409" s="80">
        <v>13.496</v>
      </c>
      <c r="G409" s="80">
        <v>2.5129999999999999</v>
      </c>
    </row>
    <row r="410" spans="1:27">
      <c r="A410" s="15">
        <v>3</v>
      </c>
      <c r="B410" s="71">
        <v>42522</v>
      </c>
      <c r="C410" s="86"/>
      <c r="E410" s="15">
        <v>6</v>
      </c>
      <c r="F410" s="80">
        <v>12.191000000000001</v>
      </c>
      <c r="G410" s="80">
        <v>3.8719999999999999</v>
      </c>
      <c r="I410" s="27">
        <f>AVERAGE(F409:F410)</f>
        <v>12.843500000000001</v>
      </c>
      <c r="J410" s="27">
        <f>AVERAGE(G409:G410)</f>
        <v>3.1924999999999999</v>
      </c>
      <c r="L410">
        <f>+J410/I410</f>
        <v>0.24856931521781445</v>
      </c>
      <c r="M410">
        <f>+(L410-$L$619)/$L$620</f>
        <v>3.0137075225314751</v>
      </c>
      <c r="N410">
        <f>+N408+M410</f>
        <v>1.2400258439129295</v>
      </c>
      <c r="Z410">
        <f>+(I410-$F$619)/$F$620</f>
        <v>0.10260738166521077</v>
      </c>
      <c r="AA410">
        <f>+AA408+Z410</f>
        <v>11.219555878829894</v>
      </c>
    </row>
    <row r="411" spans="1:27">
      <c r="A411" s="15">
        <v>4</v>
      </c>
      <c r="B411" s="71">
        <v>42552</v>
      </c>
      <c r="C411" s="86"/>
      <c r="E411" s="15">
        <v>7</v>
      </c>
      <c r="F411" s="80">
        <v>15.342000000000001</v>
      </c>
      <c r="G411" s="80">
        <v>1.2909999999999999</v>
      </c>
      <c r="I411" s="27"/>
      <c r="J411" s="27"/>
    </row>
    <row r="412" spans="1:27">
      <c r="A412" s="15">
        <v>3</v>
      </c>
      <c r="B412" s="71">
        <v>42552</v>
      </c>
      <c r="C412" s="86"/>
      <c r="E412" s="15">
        <v>7</v>
      </c>
      <c r="F412" s="80">
        <v>11.294</v>
      </c>
      <c r="G412" s="80">
        <v>1.47</v>
      </c>
      <c r="I412" s="27">
        <f>AVERAGE(F411:F412)</f>
        <v>13.318000000000001</v>
      </c>
      <c r="J412" s="27">
        <f>AVERAGE(G411:G412)</f>
        <v>1.3805000000000001</v>
      </c>
      <c r="L412">
        <f>+J412/I412</f>
        <v>0.10365670521099264</v>
      </c>
      <c r="M412">
        <f>+(L412-$L$619)/$L$620</f>
        <v>0.70212024606447521</v>
      </c>
      <c r="N412">
        <f>+N410+M412</f>
        <v>1.9421460899774048</v>
      </c>
      <c r="Z412">
        <f>+(I412-$F$619)/$F$620</f>
        <v>0.14973975767839165</v>
      </c>
      <c r="AA412">
        <f>+AA410+Z412</f>
        <v>11.369295636508285</v>
      </c>
    </row>
    <row r="413" spans="1:27">
      <c r="A413" s="15">
        <v>4</v>
      </c>
      <c r="B413" s="71">
        <v>42583</v>
      </c>
      <c r="C413" s="86"/>
      <c r="E413" s="15">
        <v>8</v>
      </c>
      <c r="F413" s="80">
        <v>24.283000000000001</v>
      </c>
      <c r="G413" s="80">
        <v>2.073</v>
      </c>
      <c r="I413" s="27"/>
      <c r="J413" s="27"/>
    </row>
    <row r="414" spans="1:27">
      <c r="A414" s="15">
        <v>3</v>
      </c>
      <c r="B414" s="71">
        <v>42583</v>
      </c>
      <c r="C414" s="86"/>
      <c r="E414" s="15">
        <v>8</v>
      </c>
      <c r="F414" s="80">
        <v>37.298000000000002</v>
      </c>
      <c r="G414" s="80">
        <v>2.4449999999999998</v>
      </c>
      <c r="I414" s="27">
        <f>AVERAGE(F413:F414)</f>
        <v>30.790500000000002</v>
      </c>
      <c r="J414" s="27">
        <f>AVERAGE(G413:G414)</f>
        <v>2.2589999999999999</v>
      </c>
      <c r="L414">
        <f>+J414/I414</f>
        <v>7.336678520972377E-2</v>
      </c>
      <c r="M414">
        <f>+(L414-$L$619)/$L$620</f>
        <v>0.2189477072713342</v>
      </c>
      <c r="N414">
        <f>+N412+M414</f>
        <v>2.1610937972487392</v>
      </c>
      <c r="Z414">
        <f>+(I414-$F$619)/$F$620</f>
        <v>1.8852938986484677</v>
      </c>
      <c r="AA414">
        <f>+AA412+Z414</f>
        <v>13.254589535156754</v>
      </c>
    </row>
    <row r="415" spans="1:27">
      <c r="A415" s="15">
        <v>4</v>
      </c>
      <c r="B415" s="71">
        <v>42614</v>
      </c>
      <c r="C415" s="86"/>
      <c r="E415" s="15">
        <v>9</v>
      </c>
      <c r="F415" s="80">
        <v>19.100000000000001</v>
      </c>
      <c r="G415" s="80">
        <v>0.65400000000000003</v>
      </c>
    </row>
    <row r="416" spans="1:27">
      <c r="A416" s="15">
        <v>3</v>
      </c>
      <c r="B416" s="71">
        <v>42614</v>
      </c>
      <c r="C416" s="86"/>
      <c r="E416" s="15">
        <v>9</v>
      </c>
      <c r="F416" s="80">
        <v>18.978000000000002</v>
      </c>
      <c r="G416" s="80">
        <v>1.421</v>
      </c>
      <c r="I416" s="27">
        <f>AVERAGE(F415:F416)</f>
        <v>19.039000000000001</v>
      </c>
      <c r="J416" s="27">
        <f>AVERAGE(G415:G416)</f>
        <v>1.0375000000000001</v>
      </c>
      <c r="L416">
        <f>+J416/I416</f>
        <v>5.4493408267240924E-2</v>
      </c>
      <c r="M416">
        <f>+(L416-$L$619)/$L$620</f>
        <v>-8.2112759462066184E-2</v>
      </c>
      <c r="N416">
        <f>+N414+M416</f>
        <v>2.0789810377866731</v>
      </c>
      <c r="Z416">
        <f>+(I416-$F$619)/$F$620</f>
        <v>0.71801019639579367</v>
      </c>
      <c r="AA416">
        <f>+AA414+Z416</f>
        <v>13.972599731552547</v>
      </c>
    </row>
    <row r="417" spans="1:27">
      <c r="A417" s="15">
        <v>4</v>
      </c>
      <c r="B417" s="71">
        <v>42644</v>
      </c>
      <c r="C417" s="86"/>
      <c r="E417" s="15">
        <v>10</v>
      </c>
      <c r="F417" s="80">
        <v>6.383</v>
      </c>
      <c r="G417" s="80">
        <v>4.9000000000000002E-2</v>
      </c>
    </row>
    <row r="418" spans="1:27">
      <c r="A418" s="15">
        <v>3</v>
      </c>
      <c r="B418" s="71">
        <v>42644</v>
      </c>
      <c r="C418" s="86"/>
      <c r="E418" s="15">
        <v>10</v>
      </c>
      <c r="F418" s="80">
        <v>2.3820000000000001</v>
      </c>
      <c r="G418" s="80">
        <v>7.4999999999999997E-2</v>
      </c>
      <c r="I418" s="27">
        <f>AVERAGE(F417:F418)</f>
        <v>4.3825000000000003</v>
      </c>
      <c r="J418" s="27">
        <f>AVERAGE(G417:G418)</f>
        <v>6.2E-2</v>
      </c>
      <c r="L418">
        <f>+J418/I418</f>
        <v>1.4147176269252708E-2</v>
      </c>
      <c r="M418">
        <f>+(L418-$L$619)/$L$620</f>
        <v>-0.72569951520088627</v>
      </c>
      <c r="N418">
        <f>+N416+M418</f>
        <v>1.3532815225857868</v>
      </c>
      <c r="Z418">
        <f>+(I418-$F$619)/$F$620</f>
        <v>-0.73782893750765033</v>
      </c>
      <c r="AA418">
        <f>+AA416+Z418</f>
        <v>13.234770794044897</v>
      </c>
    </row>
    <row r="419" spans="1:27">
      <c r="A419" s="15">
        <v>4</v>
      </c>
      <c r="B419" s="71">
        <v>42675</v>
      </c>
      <c r="C419" s="86"/>
      <c r="E419" s="15">
        <v>11</v>
      </c>
      <c r="F419" s="80">
        <v>6.407</v>
      </c>
      <c r="G419" s="80">
        <v>4.8000000000000001E-2</v>
      </c>
    </row>
    <row r="420" spans="1:27">
      <c r="A420" s="15">
        <v>3</v>
      </c>
      <c r="B420" s="71">
        <v>42675</v>
      </c>
      <c r="C420" s="86"/>
      <c r="E420" s="15">
        <v>11</v>
      </c>
      <c r="F420" s="80">
        <v>4.0090000000000003</v>
      </c>
      <c r="G420" s="80">
        <v>5.3999999999999999E-2</v>
      </c>
      <c r="I420" s="27">
        <f>AVERAGE(F419:F420)</f>
        <v>5.2080000000000002</v>
      </c>
      <c r="J420" s="27">
        <f>AVERAGE(G419:G420)</f>
        <v>5.1000000000000004E-2</v>
      </c>
      <c r="L420">
        <f>+J420/I420</f>
        <v>9.7926267281106E-3</v>
      </c>
      <c r="M420">
        <f>+(L420-$L$619)/$L$620</f>
        <v>-0.79516152622653447</v>
      </c>
      <c r="N420">
        <f>+N418+M420</f>
        <v>0.55811999635925236</v>
      </c>
      <c r="Z420">
        <f>+(I420-$F$619)/$F$620</f>
        <v>-0.65583151622444535</v>
      </c>
      <c r="AA420">
        <f>+AA418+Z420</f>
        <v>12.578939277820451</v>
      </c>
    </row>
    <row r="421" spans="1:27">
      <c r="A421" s="15">
        <v>4</v>
      </c>
      <c r="B421" s="72">
        <v>42705</v>
      </c>
      <c r="C421" s="86"/>
      <c r="E421" s="15">
        <v>12</v>
      </c>
      <c r="F421" s="80">
        <v>6.2960000000000003</v>
      </c>
      <c r="G421" s="80">
        <v>1.2E-2</v>
      </c>
    </row>
    <row r="422" spans="1:27">
      <c r="A422" s="15">
        <v>3</v>
      </c>
      <c r="B422" s="71">
        <v>42705</v>
      </c>
      <c r="C422" s="86"/>
      <c r="E422" s="15">
        <v>12</v>
      </c>
      <c r="F422" s="80">
        <v>8.6300000000000008</v>
      </c>
      <c r="G422" s="80">
        <v>1.7999999999999999E-2</v>
      </c>
      <c r="I422" s="27">
        <f>AVERAGE(F421:F422)</f>
        <v>7.463000000000001</v>
      </c>
      <c r="J422" s="27">
        <f>AVERAGE(G421:G422)</f>
        <v>1.4999999999999999E-2</v>
      </c>
      <c r="L422">
        <f>+J422/I422</f>
        <v>2.0099155835454907E-3</v>
      </c>
      <c r="M422">
        <f>+(L422-$L$619)/$L$620</f>
        <v>-0.9193081830105625</v>
      </c>
      <c r="N422">
        <f>+N420+M422</f>
        <v>-0.36118818665131014</v>
      </c>
      <c r="Z422">
        <f>+(I422-$F$619)/$F$620</f>
        <v>-0.43184098322186859</v>
      </c>
      <c r="AA422">
        <f>+AA420+Z422</f>
        <v>12.147098294598582</v>
      </c>
    </row>
    <row r="423" spans="1:27">
      <c r="A423" s="15">
        <v>3</v>
      </c>
      <c r="B423" s="70">
        <v>42745</v>
      </c>
      <c r="E423" s="15">
        <v>1</v>
      </c>
    </row>
    <row r="424" spans="1:27">
      <c r="A424" s="15">
        <v>4</v>
      </c>
      <c r="B424" s="70">
        <v>42740</v>
      </c>
      <c r="E424" s="15">
        <v>1</v>
      </c>
    </row>
    <row r="425" spans="1:27">
      <c r="A425" s="15">
        <v>3</v>
      </c>
      <c r="B425" s="71">
        <v>42767</v>
      </c>
      <c r="E425" s="15">
        <v>2</v>
      </c>
    </row>
    <row r="426" spans="1:27">
      <c r="A426" s="15">
        <v>4</v>
      </c>
      <c r="B426" s="71">
        <v>42767</v>
      </c>
      <c r="E426" s="15">
        <v>2</v>
      </c>
    </row>
    <row r="427" spans="1:27">
      <c r="A427" s="15">
        <v>3</v>
      </c>
      <c r="B427" s="71">
        <v>42795</v>
      </c>
      <c r="E427" s="15">
        <v>3</v>
      </c>
      <c r="F427" s="80">
        <v>2.089</v>
      </c>
      <c r="G427" s="80">
        <v>4.2000000000000003E-2</v>
      </c>
    </row>
    <row r="428" spans="1:27">
      <c r="A428" s="15">
        <v>4</v>
      </c>
      <c r="B428" s="71">
        <v>42795</v>
      </c>
      <c r="E428" s="15">
        <v>3</v>
      </c>
      <c r="F428" s="80">
        <v>2.786</v>
      </c>
      <c r="G428" s="80">
        <v>6.0999999999999999E-2</v>
      </c>
      <c r="I428" s="27">
        <f>AVERAGE(F427:F428)</f>
        <v>2.4375</v>
      </c>
      <c r="J428" s="27">
        <f>AVERAGE(G427:G428)</f>
        <v>5.1500000000000004E-2</v>
      </c>
      <c r="L428">
        <f>+J428/I428</f>
        <v>2.1128205128205131E-2</v>
      </c>
      <c r="M428">
        <f>+(L428-$L$619)/$L$620</f>
        <v>-0.61434096961783657</v>
      </c>
      <c r="N428">
        <f>+N422+M428</f>
        <v>-0.97552915626914671</v>
      </c>
      <c r="Z428">
        <f>+(I428-$F$619)/$F$620</f>
        <v>-0.93102698038570431</v>
      </c>
      <c r="AA428">
        <f>+AA422+Z428</f>
        <v>11.216071314212877</v>
      </c>
    </row>
    <row r="429" spans="1:27">
      <c r="A429" s="15">
        <v>3</v>
      </c>
      <c r="B429" s="71">
        <v>42826</v>
      </c>
      <c r="E429" s="15">
        <v>4</v>
      </c>
      <c r="I429" s="27"/>
      <c r="J429" s="27"/>
    </row>
    <row r="430" spans="1:27">
      <c r="A430" s="15">
        <v>4</v>
      </c>
      <c r="B430" s="71">
        <v>42826</v>
      </c>
      <c r="E430" s="15">
        <v>4</v>
      </c>
      <c r="I430" s="27"/>
      <c r="J430" s="27"/>
    </row>
    <row r="431" spans="1:27">
      <c r="A431" s="15">
        <v>3</v>
      </c>
      <c r="B431" s="71">
        <v>42856</v>
      </c>
      <c r="C431" s="87" t="s">
        <v>93</v>
      </c>
      <c r="D431" s="88"/>
      <c r="E431" s="15">
        <v>5</v>
      </c>
      <c r="F431" s="80">
        <v>24.265999999999998</v>
      </c>
      <c r="G431" s="80">
        <v>1.518</v>
      </c>
      <c r="I431" s="27"/>
      <c r="J431" s="27"/>
    </row>
    <row r="432" spans="1:27">
      <c r="A432" s="15">
        <v>3</v>
      </c>
      <c r="B432" s="71">
        <v>42856</v>
      </c>
      <c r="C432" s="87" t="s">
        <v>95</v>
      </c>
      <c r="D432" s="88"/>
      <c r="E432" s="15">
        <v>5</v>
      </c>
      <c r="F432" s="80">
        <v>26.532</v>
      </c>
      <c r="G432" s="80">
        <v>2.2189999999999999</v>
      </c>
      <c r="I432" s="27">
        <f>AVERAGE(F431:F432)</f>
        <v>25.399000000000001</v>
      </c>
      <c r="J432" s="27">
        <f>AVERAGE(G431:G432)</f>
        <v>1.8685</v>
      </c>
      <c r="L432">
        <f>+J432/I432</f>
        <v>7.3565888420803971E-2</v>
      </c>
      <c r="M432">
        <f>+(L432-$L$619)/$L$620</f>
        <v>0.22212372107313552</v>
      </c>
      <c r="N432">
        <f>+N428+M432</f>
        <v>-0.75340543519601122</v>
      </c>
      <c r="Z432">
        <f>+(I432-$F$619)/$F$620</f>
        <v>1.3497528970150343</v>
      </c>
      <c r="AA432">
        <f>+AA428+Z432</f>
        <v>12.565824211227913</v>
      </c>
    </row>
    <row r="433" spans="1:27">
      <c r="A433" s="15">
        <v>4</v>
      </c>
      <c r="B433" s="71">
        <v>42887</v>
      </c>
      <c r="C433" s="89" t="s">
        <v>96</v>
      </c>
      <c r="D433" s="11"/>
      <c r="E433" s="15">
        <v>6</v>
      </c>
      <c r="F433" s="81">
        <v>8.9930000000000003</v>
      </c>
      <c r="G433" s="81">
        <v>1.786</v>
      </c>
    </row>
    <row r="434" spans="1:27">
      <c r="A434" s="15">
        <v>3</v>
      </c>
      <c r="B434" s="71">
        <v>42887</v>
      </c>
      <c r="C434" s="89" t="s">
        <v>94</v>
      </c>
      <c r="D434" s="11"/>
      <c r="E434" s="15">
        <v>6</v>
      </c>
      <c r="F434" s="80">
        <v>12.997999999999999</v>
      </c>
      <c r="G434" s="80">
        <v>2.54</v>
      </c>
      <c r="I434" s="27">
        <f>AVERAGE(F433:F434)</f>
        <v>10.9955</v>
      </c>
      <c r="J434" s="27">
        <f>AVERAGE(G433:G434)</f>
        <v>2.1630000000000003</v>
      </c>
      <c r="L434">
        <f>+J434/I434</f>
        <v>0.1967168387067437</v>
      </c>
      <c r="M434">
        <f>+(L434-$L$619)/$L$620</f>
        <v>2.1865778134561049</v>
      </c>
      <c r="N434">
        <f>+N432+M434</f>
        <v>1.4331723782600938</v>
      </c>
      <c r="Z434">
        <f>+(I434-$F$619)/$F$620</f>
        <v>-8.0955591722266809E-2</v>
      </c>
      <c r="AA434">
        <f>+AA432+Z434</f>
        <v>12.484868619505646</v>
      </c>
    </row>
    <row r="435" spans="1:27">
      <c r="A435" s="15">
        <v>4</v>
      </c>
      <c r="B435" s="71">
        <v>42917</v>
      </c>
      <c r="C435" s="86"/>
      <c r="E435" s="15">
        <v>7</v>
      </c>
      <c r="F435" s="80">
        <v>16.434000000000001</v>
      </c>
      <c r="G435" s="80">
        <v>1.9910000000000001</v>
      </c>
    </row>
    <row r="436" spans="1:27">
      <c r="A436" s="15">
        <v>3</v>
      </c>
      <c r="B436" s="71">
        <v>42917</v>
      </c>
      <c r="C436" s="86"/>
      <c r="E436" s="15">
        <v>7</v>
      </c>
      <c r="F436" s="80">
        <v>27.914000000000001</v>
      </c>
      <c r="G436" s="80">
        <v>2.4249999999999998</v>
      </c>
      <c r="I436" s="27">
        <f>AVERAGE(F435:F436)</f>
        <v>22.173999999999999</v>
      </c>
      <c r="J436" s="27">
        <f>AVERAGE(G435:G436)</f>
        <v>2.2080000000000002</v>
      </c>
      <c r="L436">
        <f>+J436/I436</f>
        <v>9.957608009380356E-2</v>
      </c>
      <c r="M436">
        <f>+(L436-$L$619)/$L$620</f>
        <v>0.63702776653159054</v>
      </c>
      <c r="N436">
        <f>+N434+M436</f>
        <v>2.0702001447916842</v>
      </c>
      <c r="Z436">
        <f>+(I436-$F$619)/$F$620</f>
        <v>1.0294116691066928</v>
      </c>
      <c r="AA436">
        <f>+AA434+Z436</f>
        <v>13.514280288612339</v>
      </c>
    </row>
    <row r="437" spans="1:27">
      <c r="A437" s="15">
        <v>4</v>
      </c>
      <c r="B437" s="71">
        <v>42948</v>
      </c>
      <c r="C437" s="86"/>
      <c r="E437" s="15">
        <v>8</v>
      </c>
    </row>
    <row r="438" spans="1:27">
      <c r="A438" s="15">
        <v>3</v>
      </c>
      <c r="B438" s="71">
        <v>42948</v>
      </c>
      <c r="C438" s="86"/>
      <c r="E438" s="15">
        <v>8</v>
      </c>
      <c r="I438" s="27"/>
      <c r="J438" s="27"/>
    </row>
    <row r="439" spans="1:27">
      <c r="A439" s="15">
        <v>4</v>
      </c>
      <c r="B439" s="71">
        <v>42979</v>
      </c>
      <c r="C439" s="86"/>
      <c r="E439" s="15">
        <v>9</v>
      </c>
      <c r="F439" s="80">
        <v>7.6879999999999997</v>
      </c>
      <c r="G439" s="80">
        <v>0.72899999999999998</v>
      </c>
      <c r="I439" s="27"/>
      <c r="J439" s="27"/>
    </row>
    <row r="440" spans="1:27">
      <c r="A440" s="15">
        <v>3</v>
      </c>
      <c r="B440" s="71">
        <v>42979</v>
      </c>
      <c r="C440" s="86"/>
      <c r="E440" s="15">
        <v>9</v>
      </c>
      <c r="F440" s="80">
        <v>7.234</v>
      </c>
      <c r="G440" s="80">
        <v>0.98099999999999998</v>
      </c>
      <c r="I440" s="27">
        <f>AVERAGE(F439:F440)</f>
        <v>7.4610000000000003</v>
      </c>
      <c r="J440" s="27">
        <f>AVERAGE(G439:G440)</f>
        <v>0.85499999999999998</v>
      </c>
      <c r="L440">
        <f>+J440/I440</f>
        <v>0.11459589867310012</v>
      </c>
      <c r="M440">
        <f>+(L440-$L$619)/$L$620</f>
        <v>0.87661783064754395</v>
      </c>
      <c r="N440">
        <f>+N436+M440</f>
        <v>2.9468179754392283</v>
      </c>
      <c r="Z440">
        <f>+(I440-$F$619)/$F$620</f>
        <v>-0.43203964444847848</v>
      </c>
      <c r="AA440">
        <f>+AA436+Z440</f>
        <v>13.082240644163861</v>
      </c>
    </row>
    <row r="441" spans="1:27">
      <c r="A441" s="15">
        <v>4</v>
      </c>
      <c r="B441" s="71">
        <v>43009</v>
      </c>
      <c r="C441" s="86"/>
      <c r="E441" s="15">
        <v>10</v>
      </c>
      <c r="F441" s="80">
        <v>3.2869999999999999</v>
      </c>
      <c r="G441" s="80">
        <v>4.2000000000000003E-2</v>
      </c>
      <c r="I441" s="27"/>
      <c r="J441" s="27"/>
    </row>
    <row r="442" spans="1:27">
      <c r="A442" s="15">
        <v>3</v>
      </c>
      <c r="B442" s="71">
        <v>43009</v>
      </c>
      <c r="C442" s="86"/>
      <c r="E442" s="15">
        <v>10</v>
      </c>
      <c r="F442" s="80">
        <v>4.7690000000000001</v>
      </c>
      <c r="G442" s="80">
        <v>7.5999999999999998E-2</v>
      </c>
      <c r="I442" s="27">
        <f>AVERAGE(F441:F442)</f>
        <v>4.0280000000000005</v>
      </c>
      <c r="J442" s="27">
        <f>AVERAGE(G441:G442)</f>
        <v>5.8999999999999997E-2</v>
      </c>
      <c r="L442">
        <f>+J442/I442</f>
        <v>1.4647467725918567E-2</v>
      </c>
      <c r="M442">
        <f>+(L442-$L$619)/$L$620</f>
        <v>-0.71771906846336975</v>
      </c>
      <c r="N442">
        <f>+N440+M442</f>
        <v>2.2290989069758584</v>
      </c>
      <c r="Z442">
        <f>+(I442-$F$619)/$F$620</f>
        <v>-0.77304163992424157</v>
      </c>
      <c r="AA442">
        <f>+AA440+Z442</f>
        <v>12.30919900423962</v>
      </c>
    </row>
    <row r="443" spans="1:27">
      <c r="A443" s="15">
        <v>4</v>
      </c>
      <c r="B443" s="71">
        <v>43040</v>
      </c>
      <c r="C443" s="86"/>
      <c r="E443" s="15">
        <v>11</v>
      </c>
    </row>
    <row r="444" spans="1:27">
      <c r="A444" s="15">
        <v>3</v>
      </c>
      <c r="B444" s="71">
        <v>43040</v>
      </c>
      <c r="C444" s="86"/>
      <c r="E444" s="15">
        <v>11</v>
      </c>
      <c r="I444" s="27"/>
      <c r="J444" s="27"/>
    </row>
    <row r="445" spans="1:27">
      <c r="A445" s="15">
        <v>4</v>
      </c>
      <c r="B445" s="72">
        <v>43070</v>
      </c>
      <c r="C445" s="86"/>
      <c r="E445" s="15">
        <v>12</v>
      </c>
      <c r="F445" s="80">
        <v>6.2939999999999996</v>
      </c>
      <c r="G445" s="80">
        <v>1.0999999999999999E-2</v>
      </c>
    </row>
    <row r="446" spans="1:27">
      <c r="A446" s="15">
        <v>3</v>
      </c>
      <c r="B446" s="71">
        <v>43070</v>
      </c>
      <c r="C446" s="86"/>
      <c r="E446" s="15">
        <v>12</v>
      </c>
      <c r="F446" s="80">
        <v>9.3949999999999996</v>
      </c>
      <c r="G446" s="80">
        <v>1.7999999999999999E-2</v>
      </c>
      <c r="I446" s="27">
        <f>AVERAGE(F445:F446)</f>
        <v>7.8445</v>
      </c>
      <c r="J446" s="27">
        <f>AVERAGE(G445:G446)</f>
        <v>1.4499999999999999E-2</v>
      </c>
      <c r="L446">
        <f>+J446/I446</f>
        <v>1.8484288354898334E-3</v>
      </c>
      <c r="M446">
        <f>+(L446-$L$619)/$L$620</f>
        <v>-0.92188415422594472</v>
      </c>
      <c r="N446">
        <f>+N442+M446</f>
        <v>1.3072147527499136</v>
      </c>
      <c r="Z446">
        <f>+(I446-$F$619)/$F$620</f>
        <v>-0.39394635424604474</v>
      </c>
      <c r="AA446">
        <f>+AA442+Z446</f>
        <v>11.915252649993574</v>
      </c>
    </row>
    <row r="447" spans="1:27">
      <c r="A447" s="15">
        <v>4</v>
      </c>
      <c r="B447" s="70">
        <v>43110</v>
      </c>
      <c r="C447" s="86"/>
      <c r="E447" s="15">
        <v>1</v>
      </c>
      <c r="F447" s="77">
        <v>3.1749999999999998</v>
      </c>
      <c r="G447" s="77">
        <v>3.3000000000000002E-2</v>
      </c>
    </row>
    <row r="448" spans="1:27">
      <c r="A448" s="15">
        <v>3</v>
      </c>
      <c r="B448" s="70">
        <v>43105</v>
      </c>
      <c r="C448" s="86"/>
      <c r="E448" s="15">
        <v>1</v>
      </c>
      <c r="F448" s="77">
        <v>7.5149999999999997</v>
      </c>
      <c r="G448" s="77">
        <v>4.2999999999999997E-2</v>
      </c>
      <c r="I448">
        <v>5.3449999999999998</v>
      </c>
      <c r="J448">
        <v>3.7999999999999999E-2</v>
      </c>
      <c r="L448">
        <v>7.1094480823199252E-3</v>
      </c>
      <c r="M448">
        <f>+(L448-$L$619)/$L$620</f>
        <v>-0.83796250550505058</v>
      </c>
      <c r="N448">
        <f>+N446+M448</f>
        <v>0.46925224724486303</v>
      </c>
      <c r="Z448">
        <f>+(I448-$F$619)/$F$620</f>
        <v>-0.64222322220167249</v>
      </c>
      <c r="AA448">
        <f>+AA446+Z448</f>
        <v>11.273029427791903</v>
      </c>
    </row>
    <row r="449" spans="1:27">
      <c r="A449" s="15">
        <v>3</v>
      </c>
      <c r="B449" s="71">
        <v>43132</v>
      </c>
      <c r="E449" s="15">
        <v>2</v>
      </c>
      <c r="F449" s="77">
        <v>3.4670000000000001</v>
      </c>
      <c r="G449" s="77">
        <v>3.3000000000000002E-2</v>
      </c>
    </row>
    <row r="450" spans="1:27">
      <c r="A450" s="15">
        <v>4</v>
      </c>
      <c r="B450" s="71">
        <v>43132</v>
      </c>
      <c r="E450" s="15">
        <v>2</v>
      </c>
      <c r="F450" s="77">
        <v>3.64</v>
      </c>
      <c r="G450" s="77">
        <v>3.5000000000000003E-2</v>
      </c>
      <c r="I450">
        <v>3.5535000000000001</v>
      </c>
      <c r="J450">
        <v>3.4000000000000002E-2</v>
      </c>
      <c r="L450">
        <v>9.5680315182214721E-3</v>
      </c>
      <c r="M450">
        <f>+(L450-$L$619)/$L$620</f>
        <v>-0.79874417807105436</v>
      </c>
      <c r="N450">
        <f>+N448+M450</f>
        <v>-0.32949193082619133</v>
      </c>
      <c r="Z450">
        <f>+(I450-$F$619)/$F$620</f>
        <v>-0.82017401593742245</v>
      </c>
      <c r="AA450">
        <f>+AA448+Z450</f>
        <v>10.452855411854481</v>
      </c>
    </row>
    <row r="451" spans="1:27">
      <c r="A451" s="15">
        <v>3</v>
      </c>
      <c r="B451" s="71">
        <v>43160</v>
      </c>
      <c r="E451" s="15">
        <v>3</v>
      </c>
      <c r="F451" s="77">
        <v>8.5749999999999993</v>
      </c>
      <c r="G451" s="77">
        <v>1.7000000000000001E-2</v>
      </c>
    </row>
    <row r="452" spans="1:27">
      <c r="A452" s="15">
        <v>4</v>
      </c>
      <c r="B452" s="71">
        <v>43160</v>
      </c>
      <c r="E452" s="15">
        <v>3</v>
      </c>
      <c r="F452" s="77">
        <v>6.4320000000000004</v>
      </c>
      <c r="G452" s="77">
        <v>1.7999999999999999E-2</v>
      </c>
      <c r="I452">
        <v>7.5034999999999998</v>
      </c>
      <c r="J452">
        <v>1.7500000000000002E-2</v>
      </c>
      <c r="L452">
        <v>2.3322449523555675E-3</v>
      </c>
      <c r="M452">
        <f>+(L452-$L$619)/$L$620</f>
        <v>-0.91416651543768579</v>
      </c>
      <c r="N452">
        <f>+N450+M452</f>
        <v>-1.2436584462638771</v>
      </c>
      <c r="Z452">
        <f>+(I452-$F$619)/$F$620</f>
        <v>-0.42781809338301979</v>
      </c>
      <c r="AA452">
        <f>+AA450+Z452</f>
        <v>10.025037318471462</v>
      </c>
    </row>
    <row r="453" spans="1:27">
      <c r="A453" s="15">
        <v>3</v>
      </c>
      <c r="B453" s="71">
        <v>43191</v>
      </c>
      <c r="E453" s="15">
        <v>4</v>
      </c>
      <c r="F453" s="77">
        <v>5.1970000000000001</v>
      </c>
      <c r="G453" s="77">
        <v>0.10100000000000001</v>
      </c>
    </row>
    <row r="454" spans="1:27">
      <c r="A454" s="15">
        <v>4</v>
      </c>
      <c r="B454" s="71">
        <v>43191</v>
      </c>
      <c r="E454" s="15">
        <v>4</v>
      </c>
      <c r="F454" s="77">
        <v>4.8390000000000004</v>
      </c>
      <c r="G454" s="77">
        <v>3.5999999999999997E-2</v>
      </c>
      <c r="I454">
        <v>5.0180000000000007</v>
      </c>
      <c r="J454">
        <v>6.8500000000000005E-2</v>
      </c>
      <c r="L454">
        <v>1.3650856915105619E-2</v>
      </c>
      <c r="M454">
        <f>+(L454-$L$619)/$L$620</f>
        <v>-0.73361660056741662</v>
      </c>
      <c r="N454">
        <f>+N452+M454</f>
        <v>-1.9772750468312936</v>
      </c>
      <c r="Z454">
        <f>+(I454-$F$619)/$F$620</f>
        <v>-0.67470433275237862</v>
      </c>
      <c r="AA454">
        <f>+AA452+Z454</f>
        <v>9.3503329857190831</v>
      </c>
    </row>
    <row r="455" spans="1:27">
      <c r="A455" s="15">
        <v>3</v>
      </c>
      <c r="B455" s="71">
        <v>43221</v>
      </c>
      <c r="E455" s="15">
        <v>5</v>
      </c>
      <c r="F455" s="78">
        <v>30.202000000000002</v>
      </c>
      <c r="G455" s="78">
        <v>1.2589999999999999</v>
      </c>
    </row>
    <row r="456" spans="1:27">
      <c r="A456" s="15">
        <v>4</v>
      </c>
      <c r="B456" s="71">
        <v>43221</v>
      </c>
      <c r="E456" s="15">
        <v>5</v>
      </c>
      <c r="F456" s="78">
        <v>36.225000000000001</v>
      </c>
      <c r="G456" s="78">
        <v>1.2909999999999999</v>
      </c>
      <c r="I456">
        <v>33.213500000000003</v>
      </c>
      <c r="J456">
        <v>1.2749999999999999</v>
      </c>
      <c r="L456">
        <v>3.8388004877534729E-2</v>
      </c>
      <c r="M456">
        <f>+(L456-$L$619)/$L$620</f>
        <v>-0.33901963289606729</v>
      </c>
      <c r="N456">
        <f>+N454+M456</f>
        <v>-2.3162946797273607</v>
      </c>
      <c r="Z456">
        <f>+(I456-$F$619)/$F$620</f>
        <v>2.1259719746862697</v>
      </c>
      <c r="AA456">
        <f>+AA454+Z456</f>
        <v>11.476304960405352</v>
      </c>
    </row>
    <row r="457" spans="1:27">
      <c r="A457" s="15">
        <v>3</v>
      </c>
      <c r="B457" s="71">
        <v>43252</v>
      </c>
      <c r="C457" s="87" t="s">
        <v>93</v>
      </c>
      <c r="E457" s="15">
        <v>6</v>
      </c>
      <c r="F457" s="78">
        <v>7.29</v>
      </c>
      <c r="G457" s="78">
        <v>1.2170000000000001</v>
      </c>
    </row>
    <row r="458" spans="1:27">
      <c r="A458" s="15">
        <v>3</v>
      </c>
      <c r="B458" s="71">
        <v>43252</v>
      </c>
      <c r="C458" s="87" t="s">
        <v>95</v>
      </c>
      <c r="E458" s="15">
        <v>6</v>
      </c>
      <c r="F458" s="78">
        <v>9.2789999999999999</v>
      </c>
      <c r="G458" s="78">
        <v>1.2330000000000001</v>
      </c>
      <c r="I458">
        <v>8.2844999999999995</v>
      </c>
      <c r="J458">
        <v>1.2250000000000001</v>
      </c>
      <c r="L458">
        <v>0.14786649767638363</v>
      </c>
      <c r="M458">
        <f>+(L458-$L$619)/$L$620</f>
        <v>1.4073369539371274</v>
      </c>
      <c r="N458">
        <f>+N456+M458</f>
        <v>-0.90895772579023326</v>
      </c>
      <c r="Z458">
        <f>+(I458-$F$619)/$F$620</f>
        <v>-0.35024088439188344</v>
      </c>
      <c r="AA458">
        <f>+AA456+Z458</f>
        <v>11.126064076013469</v>
      </c>
    </row>
    <row r="459" spans="1:27">
      <c r="A459" s="15">
        <v>4</v>
      </c>
      <c r="B459" s="71">
        <v>43282</v>
      </c>
      <c r="C459" s="89" t="s">
        <v>98</v>
      </c>
      <c r="E459" s="15">
        <v>7</v>
      </c>
      <c r="F459" s="78">
        <v>36.165999999999997</v>
      </c>
      <c r="G459" s="78">
        <v>1.2090000000000001</v>
      </c>
    </row>
    <row r="460" spans="1:27">
      <c r="A460" s="15">
        <v>3</v>
      </c>
      <c r="B460" s="71">
        <v>43282</v>
      </c>
      <c r="C460" s="89" t="s">
        <v>94</v>
      </c>
      <c r="E460" s="15">
        <v>7</v>
      </c>
      <c r="F460" s="78">
        <v>27.065999999999999</v>
      </c>
      <c r="G460" s="78">
        <v>1.3089999999999999</v>
      </c>
      <c r="I460">
        <v>31.616</v>
      </c>
      <c r="J460">
        <v>1.2589999999999999</v>
      </c>
      <c r="L460">
        <v>3.9821609311740891E-2</v>
      </c>
      <c r="M460">
        <f>+(L460-$L$619)/$L$620</f>
        <v>-0.31615135546015866</v>
      </c>
      <c r="N460">
        <f>+N458+M460</f>
        <v>-1.225109081250392</v>
      </c>
      <c r="Z460">
        <f>+(I460-$F$619)/$F$620</f>
        <v>1.9672913199316724</v>
      </c>
      <c r="AA460">
        <f>+AA458+Z460</f>
        <v>13.093355395945141</v>
      </c>
    </row>
    <row r="461" spans="1:27">
      <c r="A461" s="15">
        <v>4</v>
      </c>
      <c r="B461" s="71">
        <v>43313</v>
      </c>
      <c r="C461" s="86"/>
      <c r="E461" s="15">
        <v>8</v>
      </c>
      <c r="F461" s="78">
        <v>8.9960000000000004</v>
      </c>
      <c r="G461" s="78">
        <v>2.012</v>
      </c>
    </row>
    <row r="462" spans="1:27">
      <c r="A462" s="15">
        <v>3</v>
      </c>
      <c r="B462" s="71">
        <v>43313</v>
      </c>
      <c r="C462" s="86"/>
      <c r="E462" s="15">
        <v>8</v>
      </c>
      <c r="F462" s="78">
        <v>15.891</v>
      </c>
      <c r="G462" s="78">
        <v>2.355</v>
      </c>
      <c r="I462">
        <v>12.4435</v>
      </c>
      <c r="J462">
        <v>2.1835</v>
      </c>
      <c r="L462">
        <v>0.17547313858641056</v>
      </c>
      <c r="M462">
        <f>+(L462-$L$619)/$L$620</f>
        <v>1.8477069111865863</v>
      </c>
      <c r="N462">
        <f>+N460+M462</f>
        <v>0.62259782993619428</v>
      </c>
      <c r="Z462">
        <f>+(I462-$F$619)/$F$620</f>
        <v>6.2875136343245916E-2</v>
      </c>
      <c r="AA462">
        <f>+AA460+Z462</f>
        <v>13.156230532288387</v>
      </c>
    </row>
    <row r="463" spans="1:27">
      <c r="A463" s="15">
        <v>4</v>
      </c>
      <c r="B463" s="71">
        <v>43344</v>
      </c>
      <c r="C463" s="86"/>
      <c r="E463" s="15">
        <v>9</v>
      </c>
      <c r="F463" s="78">
        <v>12.446999999999999</v>
      </c>
      <c r="G463" s="78">
        <v>0.79</v>
      </c>
    </row>
    <row r="464" spans="1:27">
      <c r="A464" s="15">
        <v>3</v>
      </c>
      <c r="B464" s="71">
        <v>43344</v>
      </c>
      <c r="C464" s="86"/>
      <c r="E464" s="15">
        <v>9</v>
      </c>
      <c r="F464" s="78">
        <v>12.887</v>
      </c>
      <c r="G464" s="78">
        <v>1.4059999999999999</v>
      </c>
      <c r="I464">
        <v>12.667</v>
      </c>
      <c r="J464">
        <v>1.0979999999999999</v>
      </c>
      <c r="L464">
        <v>8.668192942290992E-2</v>
      </c>
      <c r="M464">
        <f>+(L464-$L$619)/$L$620</f>
        <v>0.43134549615992973</v>
      </c>
      <c r="N464">
        <f>+N462+M464</f>
        <v>1.053943326096124</v>
      </c>
      <c r="Z464">
        <f>+(I464-$F$619)/$F$620</f>
        <v>8.5075528416893725E-2</v>
      </c>
      <c r="AA464">
        <f>+AA462+Z464</f>
        <v>13.241306060705281</v>
      </c>
    </row>
    <row r="465" spans="1:27">
      <c r="A465" s="15">
        <v>4</v>
      </c>
      <c r="B465" s="71">
        <v>43374</v>
      </c>
      <c r="C465" s="86"/>
      <c r="E465" s="15">
        <v>10</v>
      </c>
      <c r="F465" s="78">
        <v>5.7990000000000004</v>
      </c>
      <c r="G465" s="78">
        <v>0.247</v>
      </c>
    </row>
    <row r="466" spans="1:27">
      <c r="A466" s="15">
        <v>3</v>
      </c>
      <c r="B466" s="71">
        <v>43374</v>
      </c>
      <c r="C466" s="86"/>
      <c r="E466" s="15">
        <v>10</v>
      </c>
      <c r="F466" s="78">
        <v>5.6470000000000002</v>
      </c>
      <c r="G466" s="78">
        <v>0.35599999999999998</v>
      </c>
      <c r="I466">
        <v>5.7230000000000008</v>
      </c>
      <c r="J466">
        <v>0.30149999999999999</v>
      </c>
      <c r="L466">
        <v>5.2682159706447657E-2</v>
      </c>
      <c r="M466">
        <f>+(L466-$L$619)/$L$620</f>
        <v>-0.11100506308872631</v>
      </c>
      <c r="N466">
        <f>+N464+M466</f>
        <v>0.94293826300739769</v>
      </c>
      <c r="Z466">
        <f>+(I466-$F$619)/$F$620</f>
        <v>-0.60467625037241568</v>
      </c>
      <c r="AA466">
        <f>+AA464+Z466</f>
        <v>12.636629810332865</v>
      </c>
    </row>
    <row r="467" spans="1:27">
      <c r="A467" s="15">
        <v>4</v>
      </c>
      <c r="B467" s="71">
        <v>43405</v>
      </c>
      <c r="C467" s="86"/>
      <c r="E467" s="15">
        <v>11</v>
      </c>
      <c r="F467" s="78">
        <v>3.0449999999999999</v>
      </c>
      <c r="G467" s="78">
        <v>0.01</v>
      </c>
    </row>
    <row r="468" spans="1:27">
      <c r="A468" s="15">
        <v>3</v>
      </c>
      <c r="B468" s="71">
        <v>43405</v>
      </c>
      <c r="C468" s="86"/>
      <c r="E468" s="15">
        <v>11</v>
      </c>
      <c r="F468" s="78">
        <v>5.3550000000000004</v>
      </c>
      <c r="G468" s="78">
        <v>1.6E-2</v>
      </c>
      <c r="I468">
        <v>4.2</v>
      </c>
      <c r="J468">
        <v>1.3000000000000001E-2</v>
      </c>
      <c r="L468">
        <v>3.0952380952380953E-3</v>
      </c>
      <c r="M468">
        <f>+(L468-$L$619)/$L$620</f>
        <v>-0.90199555777543827</v>
      </c>
      <c r="N468">
        <f>+N466+M468</f>
        <v>4.094270523195942E-2</v>
      </c>
      <c r="Z468">
        <f>+(I468-$F$619)/$F$620</f>
        <v>-0.75595677443579679</v>
      </c>
      <c r="AA468">
        <f>+AA466+Z468</f>
        <v>11.880673035897068</v>
      </c>
    </row>
    <row r="469" spans="1:27">
      <c r="A469" s="15">
        <v>4</v>
      </c>
      <c r="B469" s="72">
        <v>43435</v>
      </c>
      <c r="C469" s="86"/>
      <c r="E469" s="15">
        <v>12</v>
      </c>
      <c r="F469" s="78"/>
      <c r="G469" s="78"/>
    </row>
    <row r="470" spans="1:27">
      <c r="A470" s="15">
        <v>3</v>
      </c>
      <c r="B470" s="71">
        <v>43435</v>
      </c>
      <c r="C470" s="86"/>
      <c r="E470" s="15">
        <v>12</v>
      </c>
    </row>
    <row r="471" spans="1:27">
      <c r="A471" s="15">
        <v>4</v>
      </c>
      <c r="B471" s="70">
        <v>43475</v>
      </c>
      <c r="C471" s="86"/>
      <c r="E471" s="15">
        <v>1</v>
      </c>
    </row>
    <row r="472" spans="1:27">
      <c r="A472" s="15">
        <v>3</v>
      </c>
      <c r="B472" s="70">
        <v>43470</v>
      </c>
      <c r="C472" s="86"/>
      <c r="E472" s="15">
        <v>1</v>
      </c>
    </row>
    <row r="473" spans="1:27">
      <c r="A473" s="15">
        <v>4</v>
      </c>
      <c r="B473" s="71">
        <v>43497</v>
      </c>
      <c r="C473" s="86"/>
      <c r="E473" s="15">
        <v>2</v>
      </c>
    </row>
    <row r="474" spans="1:27">
      <c r="A474" s="15">
        <v>3</v>
      </c>
      <c r="B474" s="71">
        <v>43497</v>
      </c>
      <c r="C474" s="86"/>
      <c r="E474" s="15">
        <v>2</v>
      </c>
    </row>
    <row r="475" spans="1:27">
      <c r="A475" s="15">
        <v>3</v>
      </c>
      <c r="B475" s="71">
        <v>43525</v>
      </c>
      <c r="E475" s="15">
        <v>3</v>
      </c>
      <c r="F475" s="82">
        <v>4.2220000000000004</v>
      </c>
      <c r="G475" s="82">
        <v>1.7000000000000001E-2</v>
      </c>
    </row>
    <row r="476" spans="1:27">
      <c r="A476" s="15">
        <v>4</v>
      </c>
      <c r="B476" s="71">
        <v>43525</v>
      </c>
      <c r="E476" s="15">
        <v>3</v>
      </c>
      <c r="F476" s="82">
        <v>6.8540000000000001</v>
      </c>
      <c r="G476" s="82">
        <v>2.5999999999999999E-2</v>
      </c>
      <c r="I476" s="27">
        <f>AVERAGE(F475:F476)</f>
        <v>5.5380000000000003</v>
      </c>
      <c r="J476" s="27">
        <f>AVERAGE(G475:G476)</f>
        <v>2.1499999999999998E-2</v>
      </c>
      <c r="L476">
        <f>+J476/I476</f>
        <v>3.8822679667750086E-3</v>
      </c>
      <c r="M476">
        <f>+(L476-$L$619)/$L$620</f>
        <v>-0.88944117595070571</v>
      </c>
      <c r="N476">
        <f>+N468+M476</f>
        <v>-0.84849847071874629</v>
      </c>
      <c r="Z476">
        <f>+(I476-$F$619)/$F$620</f>
        <v>-0.62305241383382437</v>
      </c>
      <c r="AA476">
        <f>+AA468+Z476</f>
        <v>11.257620622063245</v>
      </c>
    </row>
    <row r="477" spans="1:27">
      <c r="A477" s="15">
        <v>3</v>
      </c>
      <c r="B477" s="71">
        <v>43556</v>
      </c>
      <c r="E477" s="15">
        <v>4</v>
      </c>
      <c r="F477" s="83">
        <v>1.8160000000000001</v>
      </c>
      <c r="G477" s="83">
        <v>8.8999999999999996E-2</v>
      </c>
      <c r="I477" s="27"/>
      <c r="J477" s="27"/>
    </row>
    <row r="478" spans="1:27">
      <c r="A478" s="15">
        <v>4</v>
      </c>
      <c r="B478" s="71">
        <v>43556</v>
      </c>
      <c r="E478" s="15">
        <v>4</v>
      </c>
      <c r="F478" s="77">
        <v>4.6609999999999996</v>
      </c>
      <c r="G478" s="77">
        <v>0.497</v>
      </c>
      <c r="I478" s="27">
        <f>AVERAGE(F477:F478)</f>
        <v>3.2384999999999997</v>
      </c>
      <c r="J478" s="27">
        <f>AVERAGE(G477:G478)</f>
        <v>0.29299999999999998</v>
      </c>
      <c r="L478">
        <f>+J478/I478</f>
        <v>9.0473984869538365E-2</v>
      </c>
      <c r="M478">
        <f>+(L478-$L$619)/$L$620</f>
        <v>0.49183482915635462</v>
      </c>
      <c r="N478">
        <f>+N476+M478</f>
        <v>-0.35666364156239166</v>
      </c>
      <c r="Z478">
        <f>+(I478-$F$619)/$F$620</f>
        <v>-0.8514631591284697</v>
      </c>
      <c r="AA478">
        <f>+AA476+Z478</f>
        <v>10.406157462934775</v>
      </c>
    </row>
    <row r="479" spans="1:27">
      <c r="A479" s="15">
        <v>3</v>
      </c>
      <c r="B479" s="71">
        <v>43586</v>
      </c>
      <c r="E479" s="15">
        <v>5</v>
      </c>
      <c r="F479" s="77">
        <v>7.88</v>
      </c>
      <c r="G479" s="77">
        <v>0.74</v>
      </c>
      <c r="I479" s="27"/>
      <c r="J479" s="27"/>
    </row>
    <row r="480" spans="1:27">
      <c r="A480" s="15">
        <v>4</v>
      </c>
      <c r="B480" s="71">
        <v>43586</v>
      </c>
      <c r="E480" s="15">
        <v>5</v>
      </c>
      <c r="F480" s="77">
        <v>7.3529999999999998</v>
      </c>
      <c r="G480" s="77">
        <v>1.29</v>
      </c>
      <c r="I480" s="27">
        <f>AVERAGE(F479:F480)</f>
        <v>7.6165000000000003</v>
      </c>
      <c r="J480" s="27">
        <f>AVERAGE(G479:G480)</f>
        <v>1.0150000000000001</v>
      </c>
      <c r="L480">
        <f>+J480/I480</f>
        <v>0.13326330991925425</v>
      </c>
      <c r="M480">
        <f>+(L480-$L$619)/$L$620</f>
        <v>1.1743928159932326</v>
      </c>
      <c r="N480">
        <f>+N478+M480</f>
        <v>0.81772917443084103</v>
      </c>
      <c r="Z480">
        <f>+(I480-$F$619)/$F$620</f>
        <v>-0.41659373407956468</v>
      </c>
      <c r="AA480">
        <f>+AA478+Z480</f>
        <v>9.9895637288552113</v>
      </c>
    </row>
    <row r="481" spans="1:27">
      <c r="A481" s="15">
        <v>3</v>
      </c>
      <c r="B481" s="71">
        <v>43617</v>
      </c>
      <c r="E481" s="15">
        <v>6</v>
      </c>
      <c r="F481" s="77">
        <v>9.16</v>
      </c>
      <c r="G481" s="77">
        <v>1.349</v>
      </c>
    </row>
    <row r="482" spans="1:27">
      <c r="A482" s="15">
        <v>4</v>
      </c>
      <c r="B482" s="71">
        <v>43617</v>
      </c>
      <c r="E482" s="15">
        <v>6</v>
      </c>
      <c r="F482" s="77">
        <v>11.101000000000001</v>
      </c>
      <c r="G482" s="77">
        <v>1.5309999999999999</v>
      </c>
      <c r="I482" s="27">
        <f>AVERAGE(F481:F482)</f>
        <v>10.130500000000001</v>
      </c>
      <c r="J482" s="27">
        <f>AVERAGE(G481:G482)</f>
        <v>1.44</v>
      </c>
      <c r="L482">
        <f>+J482/I482</f>
        <v>0.14214500765016533</v>
      </c>
      <c r="M482">
        <f>+(L482-$L$619)/$L$620</f>
        <v>1.3160700617983656</v>
      </c>
      <c r="N482">
        <f>+N480+M482</f>
        <v>2.1337992362292066</v>
      </c>
      <c r="Z482">
        <f>+(I482-$F$619)/$F$620</f>
        <v>-0.1668765722310156</v>
      </c>
      <c r="AA482">
        <f>+AA480+Z482</f>
        <v>9.8226871566241964</v>
      </c>
    </row>
    <row r="483" spans="1:27">
      <c r="A483" s="15">
        <v>3</v>
      </c>
      <c r="B483" s="71">
        <v>43647</v>
      </c>
      <c r="C483" s="87" t="s">
        <v>93</v>
      </c>
      <c r="E483" s="15">
        <v>7</v>
      </c>
      <c r="F483" s="78">
        <v>8.9380000000000006</v>
      </c>
      <c r="G483" s="78">
        <v>0.76700000000000002</v>
      </c>
    </row>
    <row r="484" spans="1:27">
      <c r="A484" s="15">
        <v>3</v>
      </c>
      <c r="B484" s="71">
        <v>43647</v>
      </c>
      <c r="C484" s="87" t="s">
        <v>95</v>
      </c>
      <c r="E484" s="15">
        <v>7</v>
      </c>
      <c r="F484" s="78">
        <v>16.071000000000002</v>
      </c>
      <c r="G484" s="78">
        <v>0.71799999999999997</v>
      </c>
      <c r="I484" s="27">
        <f>AVERAGE(F483:F484)</f>
        <v>12.5045</v>
      </c>
      <c r="J484" s="27">
        <f>AVERAGE(G483:G484)</f>
        <v>0.74249999999999994</v>
      </c>
      <c r="L484">
        <f>+J484/I484</f>
        <v>5.9378623695469625E-2</v>
      </c>
      <c r="M484">
        <f>+(L484-$L$619)/$L$620</f>
        <v>-4.1857810841172257E-3</v>
      </c>
      <c r="N484">
        <f>+N482+M484</f>
        <v>2.1296134551450896</v>
      </c>
      <c r="Z484">
        <f>+(I484-$F$619)/$F$620</f>
        <v>6.893430375484555E-2</v>
      </c>
      <c r="AA484">
        <f>+AA482+Z484</f>
        <v>9.8916214603790422</v>
      </c>
    </row>
    <row r="485" spans="1:27">
      <c r="A485" s="15">
        <v>4</v>
      </c>
      <c r="B485" s="71">
        <v>43678</v>
      </c>
      <c r="C485" s="89" t="s">
        <v>99</v>
      </c>
      <c r="E485" s="15">
        <v>8</v>
      </c>
      <c r="F485" s="78">
        <v>8.6709999999999994</v>
      </c>
      <c r="G485" s="78">
        <v>1.4239999999999999</v>
      </c>
    </row>
    <row r="486" spans="1:27">
      <c r="A486" s="15">
        <v>3</v>
      </c>
      <c r="B486" s="71">
        <v>43678</v>
      </c>
      <c r="C486" s="89" t="s">
        <v>94</v>
      </c>
      <c r="E486" s="15">
        <v>8</v>
      </c>
      <c r="F486" s="78">
        <v>9.99</v>
      </c>
      <c r="G486" s="78">
        <v>1.169</v>
      </c>
      <c r="I486" s="27">
        <f>AVERAGE(F485:F486)</f>
        <v>9.3305000000000007</v>
      </c>
      <c r="J486" s="27">
        <f>AVERAGE(G485:G486)</f>
        <v>1.2965</v>
      </c>
      <c r="L486">
        <f>+J486/I486</f>
        <v>0.1389528964149831</v>
      </c>
      <c r="M486">
        <f>+(L486-$L$619)/$L$620</f>
        <v>1.2651507959320809</v>
      </c>
      <c r="N486">
        <f>+N484+M486</f>
        <v>3.3947642510771705</v>
      </c>
      <c r="Z486">
        <f>+(I486-$F$619)/$F$620</f>
        <v>-0.24634106287494534</v>
      </c>
      <c r="AA486">
        <f>+AA484+Z486</f>
        <v>9.6452803975040968</v>
      </c>
    </row>
    <row r="487" spans="1:27">
      <c r="A487" s="15">
        <v>4</v>
      </c>
      <c r="B487" s="71">
        <v>43709</v>
      </c>
      <c r="C487" s="86"/>
      <c r="E487" s="15">
        <v>9</v>
      </c>
      <c r="F487" s="78">
        <v>6.0039999999999996</v>
      </c>
      <c r="G487" s="78">
        <v>1.0309999999999999</v>
      </c>
    </row>
    <row r="488" spans="1:27">
      <c r="A488" s="15">
        <v>3</v>
      </c>
      <c r="B488" s="71">
        <v>43709</v>
      </c>
      <c r="C488" s="86"/>
      <c r="E488" s="15">
        <v>9</v>
      </c>
      <c r="F488" s="78">
        <v>7.3659999999999997</v>
      </c>
      <c r="G488" s="78">
        <v>1.2410000000000001</v>
      </c>
      <c r="I488" s="27">
        <f>AVERAGE(F487:F488)</f>
        <v>6.6849999999999996</v>
      </c>
      <c r="J488" s="27">
        <f>AVERAGE(G487:G488)</f>
        <v>1.1360000000000001</v>
      </c>
      <c r="L488">
        <f>+J488/I488</f>
        <v>0.16993268511593121</v>
      </c>
      <c r="M488">
        <f>+(L488-$L$619)/$L$620</f>
        <v>1.7593278408792157</v>
      </c>
      <c r="N488">
        <f>+N486+M488</f>
        <v>5.154092091956386</v>
      </c>
      <c r="Z488">
        <f>+(I488-$F$619)/$F$620</f>
        <v>-0.50912020037309036</v>
      </c>
      <c r="AA488">
        <f>+AA486+Z488</f>
        <v>9.1361601971310069</v>
      </c>
    </row>
    <row r="489" spans="1:27">
      <c r="A489" s="15">
        <v>4</v>
      </c>
      <c r="B489" s="71">
        <v>43739</v>
      </c>
      <c r="C489" s="86"/>
      <c r="E489" s="15">
        <v>10</v>
      </c>
      <c r="F489" s="78">
        <v>3.508</v>
      </c>
      <c r="G489" s="78">
        <v>0.13</v>
      </c>
      <c r="I489" s="27"/>
      <c r="J489" s="27"/>
    </row>
    <row r="490" spans="1:27">
      <c r="A490" s="15">
        <v>3</v>
      </c>
      <c r="B490" s="71">
        <v>43739</v>
      </c>
      <c r="C490" s="86"/>
      <c r="E490" s="15">
        <v>10</v>
      </c>
      <c r="F490" s="78">
        <v>4.0670000000000002</v>
      </c>
      <c r="G490" s="78">
        <v>0.14599999999999999</v>
      </c>
      <c r="I490" s="27">
        <f>AVERAGE(F489:F490)</f>
        <v>3.7875000000000001</v>
      </c>
      <c r="J490" s="27">
        <f>AVERAGE(G489:G490)</f>
        <v>0.13800000000000001</v>
      </c>
      <c r="L490">
        <f>+J490/I490</f>
        <v>3.643564356435644E-2</v>
      </c>
      <c r="M490">
        <f>+(L490-$L$619)/$L$620</f>
        <v>-0.37016291000905893</v>
      </c>
      <c r="N490">
        <f>+N488+M490</f>
        <v>4.7839291819473271</v>
      </c>
      <c r="Z490">
        <f>+(I490-$F$619)/$F$620</f>
        <v>-0.79693065242407302</v>
      </c>
      <c r="AA490">
        <f>+AA488+Z490</f>
        <v>8.3392295447069333</v>
      </c>
    </row>
    <row r="491" spans="1:27">
      <c r="A491" s="15">
        <v>4</v>
      </c>
      <c r="B491" s="71">
        <v>43770</v>
      </c>
      <c r="C491" s="86"/>
      <c r="E491" s="15">
        <v>11</v>
      </c>
      <c r="I491" s="27"/>
      <c r="J491" s="27"/>
    </row>
    <row r="492" spans="1:27">
      <c r="A492" s="15">
        <v>3</v>
      </c>
      <c r="B492" s="71">
        <v>43770</v>
      </c>
      <c r="C492" s="86"/>
      <c r="E492" s="15">
        <v>11</v>
      </c>
      <c r="I492" s="27"/>
      <c r="J492" s="27"/>
    </row>
    <row r="493" spans="1:27">
      <c r="A493" s="15">
        <v>4</v>
      </c>
      <c r="B493" s="72">
        <v>43800</v>
      </c>
      <c r="C493" s="86"/>
      <c r="E493" s="15">
        <v>12</v>
      </c>
      <c r="F493" s="78">
        <v>5.9329999999999998</v>
      </c>
      <c r="G493" s="78">
        <v>5.1999999999999998E-2</v>
      </c>
    </row>
    <row r="494" spans="1:27">
      <c r="A494" s="15">
        <v>3</v>
      </c>
      <c r="B494" s="71">
        <v>43800</v>
      </c>
      <c r="C494" s="86"/>
      <c r="E494" s="15">
        <v>12</v>
      </c>
      <c r="I494" s="27">
        <f>AVERAGE(F493:F494)</f>
        <v>5.9329999999999998</v>
      </c>
      <c r="J494" s="27">
        <f>AVERAGE(G493:G494)</f>
        <v>5.1999999999999998E-2</v>
      </c>
      <c r="L494">
        <f>+J494/I494</f>
        <v>8.7645373335580642E-3</v>
      </c>
      <c r="M494">
        <f>+(L494-$L$619)/$L$620</f>
        <v>-0.81156119195201148</v>
      </c>
      <c r="N494">
        <f>+N490+M494</f>
        <v>3.9723679899953157</v>
      </c>
      <c r="Z494">
        <f>+(I494-$F$619)/$F$620</f>
        <v>-0.58381682157838422</v>
      </c>
      <c r="AA494">
        <f>+AA490+Z494</f>
        <v>7.7554127231285488</v>
      </c>
    </row>
    <row r="495" spans="1:27">
      <c r="A495" s="93">
        <v>3</v>
      </c>
      <c r="B495" s="90">
        <v>43831</v>
      </c>
      <c r="C495" s="91">
        <v>2020</v>
      </c>
      <c r="D495" s="92" t="s">
        <v>39</v>
      </c>
      <c r="E495" s="93">
        <v>1</v>
      </c>
    </row>
    <row r="496" spans="1:27">
      <c r="A496" s="15">
        <v>4</v>
      </c>
      <c r="B496" s="73">
        <v>43831</v>
      </c>
      <c r="C496">
        <v>2020</v>
      </c>
      <c r="D496" s="11" t="s">
        <v>39</v>
      </c>
      <c r="E496" s="15">
        <v>1</v>
      </c>
      <c r="I496" s="27"/>
      <c r="J496" s="27"/>
    </row>
    <row r="497" spans="1:14">
      <c r="A497" s="15">
        <v>3</v>
      </c>
      <c r="B497" s="71">
        <v>43862</v>
      </c>
      <c r="C497">
        <v>2020</v>
      </c>
      <c r="D497" s="11" t="s">
        <v>28</v>
      </c>
      <c r="E497" s="15">
        <v>2</v>
      </c>
      <c r="F497" s="95">
        <v>1.099</v>
      </c>
      <c r="G497" s="95">
        <v>3.0000000000000001E-3</v>
      </c>
    </row>
    <row r="498" spans="1:14">
      <c r="A498" s="15">
        <v>4</v>
      </c>
      <c r="B498" s="71">
        <v>43862</v>
      </c>
      <c r="C498">
        <v>2020</v>
      </c>
      <c r="D498" s="11" t="s">
        <v>28</v>
      </c>
      <c r="E498" s="15">
        <v>2</v>
      </c>
      <c r="F498" s="95">
        <v>2.0640000000000001</v>
      </c>
      <c r="G498" s="95">
        <v>0.01</v>
      </c>
      <c r="I498" s="27">
        <f>AVERAGE(F497:F498)</f>
        <v>1.5815000000000001</v>
      </c>
      <c r="J498" s="27">
        <f>AVERAGE(G497:G498)</f>
        <v>6.5000000000000006E-3</v>
      </c>
      <c r="L498">
        <f>+J498/I498</f>
        <v>4.110022130888397E-3</v>
      </c>
      <c r="M498">
        <f>+(L498-$L$619)/$L$620</f>
        <v>-0.88580813374753176</v>
      </c>
      <c r="N498">
        <f>+N494+M498</f>
        <v>3.0865598562477841</v>
      </c>
    </row>
    <row r="499" spans="1:14">
      <c r="A499" s="15">
        <v>3</v>
      </c>
      <c r="B499" s="71">
        <v>43891</v>
      </c>
      <c r="C499">
        <v>2020</v>
      </c>
      <c r="D499" s="11" t="s">
        <v>29</v>
      </c>
      <c r="E499" s="15">
        <v>3</v>
      </c>
    </row>
    <row r="500" spans="1:14">
      <c r="A500" s="15">
        <v>4</v>
      </c>
      <c r="B500" s="71">
        <v>43891</v>
      </c>
      <c r="C500">
        <v>2020</v>
      </c>
      <c r="D500" s="11" t="s">
        <v>29</v>
      </c>
      <c r="E500" s="15">
        <v>3</v>
      </c>
    </row>
    <row r="501" spans="1:14">
      <c r="A501" s="15">
        <v>3</v>
      </c>
      <c r="B501" s="71">
        <v>43922</v>
      </c>
      <c r="C501">
        <v>2020</v>
      </c>
      <c r="D501" s="11" t="s">
        <v>30</v>
      </c>
      <c r="E501" s="15">
        <v>4</v>
      </c>
    </row>
    <row r="502" spans="1:14">
      <c r="A502" s="15">
        <v>4</v>
      </c>
      <c r="B502" s="71">
        <v>43922</v>
      </c>
      <c r="C502">
        <v>2020</v>
      </c>
      <c r="D502" s="11" t="s">
        <v>30</v>
      </c>
      <c r="E502" s="15">
        <v>4</v>
      </c>
    </row>
    <row r="503" spans="1:14">
      <c r="A503" s="15">
        <v>3</v>
      </c>
      <c r="B503" s="71">
        <v>43952</v>
      </c>
      <c r="C503">
        <v>2020</v>
      </c>
      <c r="D503" s="11" t="s">
        <v>31</v>
      </c>
      <c r="E503" s="15">
        <v>5</v>
      </c>
    </row>
    <row r="504" spans="1:14">
      <c r="A504" s="15">
        <v>4</v>
      </c>
      <c r="B504" s="71">
        <v>43952</v>
      </c>
      <c r="C504">
        <v>2020</v>
      </c>
      <c r="D504" s="11" t="s">
        <v>31</v>
      </c>
      <c r="E504" s="15">
        <v>5</v>
      </c>
    </row>
    <row r="505" spans="1:14">
      <c r="A505" s="15">
        <v>3</v>
      </c>
      <c r="B505" s="71">
        <v>43983</v>
      </c>
      <c r="C505">
        <v>2020</v>
      </c>
      <c r="D505" s="11" t="s">
        <v>32</v>
      </c>
      <c r="E505" s="15">
        <v>6</v>
      </c>
      <c r="F505" s="95">
        <v>7.609</v>
      </c>
      <c r="G505" s="95">
        <v>1.3839999999999999</v>
      </c>
    </row>
    <row r="506" spans="1:14">
      <c r="A506" s="15">
        <v>4</v>
      </c>
      <c r="B506" s="71">
        <v>43983</v>
      </c>
      <c r="C506">
        <v>2020</v>
      </c>
      <c r="D506" s="11" t="s">
        <v>32</v>
      </c>
      <c r="E506" s="15">
        <v>6</v>
      </c>
      <c r="F506" s="95">
        <v>15.394</v>
      </c>
      <c r="G506" s="95">
        <v>2.649</v>
      </c>
      <c r="I506" s="27">
        <f>AVERAGE(F505:F506)</f>
        <v>11.5015</v>
      </c>
      <c r="J506" s="27">
        <f>AVERAGE(G505:G506)</f>
        <v>2.0164999999999997</v>
      </c>
      <c r="L506">
        <f>+J506/I506</f>
        <v>0.1753249576142242</v>
      </c>
      <c r="M506">
        <f>+(L506-$L$619)/$L$620</f>
        <v>1.8453431883200644</v>
      </c>
      <c r="N506">
        <f>+N498+M506</f>
        <v>4.9319030445678482</v>
      </c>
    </row>
    <row r="507" spans="1:14">
      <c r="A507" s="15">
        <v>3</v>
      </c>
      <c r="B507" s="71">
        <v>44013</v>
      </c>
      <c r="C507">
        <v>2020</v>
      </c>
      <c r="D507" s="11" t="s">
        <v>33</v>
      </c>
      <c r="E507" s="15">
        <v>7</v>
      </c>
      <c r="F507" s="95">
        <v>18.829000000000001</v>
      </c>
      <c r="G507" s="95">
        <v>1.0209999999999999</v>
      </c>
    </row>
    <row r="508" spans="1:14">
      <c r="A508" s="15">
        <v>4</v>
      </c>
      <c r="B508" s="71">
        <v>44013</v>
      </c>
      <c r="C508">
        <v>2020</v>
      </c>
      <c r="D508" s="11" t="s">
        <v>33</v>
      </c>
      <c r="E508" s="15">
        <v>7</v>
      </c>
      <c r="F508" s="95">
        <v>29.629000000000001</v>
      </c>
      <c r="G508" s="95">
        <v>0.89900000000000002</v>
      </c>
      <c r="I508">
        <f t="shared" ref="I508" si="1">AVERAGE(F507:F508)</f>
        <v>24.228999999999999</v>
      </c>
      <c r="J508">
        <f t="shared" ref="J508" si="2">AVERAGE(G507:G508)</f>
        <v>0.96</v>
      </c>
      <c r="L508">
        <f t="shared" ref="L508" si="3">+J508/I508</f>
        <v>3.9621940649634736E-2</v>
      </c>
      <c r="M508">
        <f t="shared" ref="M508" si="4">+(L508-$L$619)/$L$620</f>
        <v>-0.31933638910776219</v>
      </c>
      <c r="N508">
        <f>+N506+M508</f>
        <v>4.6125666554600864</v>
      </c>
    </row>
    <row r="509" spans="1:14">
      <c r="A509" s="15">
        <v>3</v>
      </c>
      <c r="B509" s="71">
        <v>44044</v>
      </c>
      <c r="C509">
        <v>2020</v>
      </c>
      <c r="D509" s="11" t="s">
        <v>34</v>
      </c>
      <c r="E509" s="15">
        <v>8</v>
      </c>
      <c r="F509" s="95">
        <v>18.225000000000001</v>
      </c>
      <c r="G509" s="95">
        <v>0.81499999999999995</v>
      </c>
    </row>
    <row r="510" spans="1:14">
      <c r="A510" s="15">
        <v>4</v>
      </c>
      <c r="B510" s="71">
        <v>44044</v>
      </c>
      <c r="C510">
        <v>2020</v>
      </c>
      <c r="D510" s="11" t="s">
        <v>34</v>
      </c>
      <c r="E510" s="15">
        <v>8</v>
      </c>
      <c r="F510" s="95">
        <v>39.006</v>
      </c>
      <c r="G510" s="95">
        <v>0.86799999999999999</v>
      </c>
      <c r="I510">
        <f t="shared" ref="I510" si="5">AVERAGE(F509:F510)</f>
        <v>28.615500000000001</v>
      </c>
      <c r="J510">
        <f t="shared" ref="J510" si="6">AVERAGE(G509:G510)</f>
        <v>0.84149999999999991</v>
      </c>
      <c r="L510">
        <f t="shared" ref="L510" si="7">+J510/I510</f>
        <v>2.9407139487340774E-2</v>
      </c>
      <c r="M510">
        <f t="shared" ref="M510" si="8">+(L510-$L$619)/$L$620</f>
        <v>-0.48227876104687423</v>
      </c>
      <c r="N510">
        <f t="shared" ref="N510" si="9">+N508+M510</f>
        <v>4.130287894413212</v>
      </c>
    </row>
    <row r="511" spans="1:14">
      <c r="A511" s="15">
        <v>3</v>
      </c>
      <c r="B511" s="71">
        <v>44075</v>
      </c>
      <c r="C511">
        <v>2020</v>
      </c>
      <c r="D511" s="11" t="s">
        <v>40</v>
      </c>
      <c r="E511" s="15">
        <v>9</v>
      </c>
      <c r="F511" s="95">
        <v>6.5069999999999997</v>
      </c>
      <c r="G511" s="95">
        <v>0.151</v>
      </c>
    </row>
    <row r="512" spans="1:14">
      <c r="A512" s="15">
        <v>4</v>
      </c>
      <c r="B512" s="71">
        <v>44075</v>
      </c>
      <c r="C512">
        <v>2020</v>
      </c>
      <c r="D512" s="11" t="s">
        <v>40</v>
      </c>
      <c r="E512" s="15">
        <v>9</v>
      </c>
      <c r="F512" s="95">
        <v>6.9</v>
      </c>
      <c r="G512" s="95">
        <v>0.623</v>
      </c>
      <c r="I512">
        <f t="shared" ref="I512" si="10">AVERAGE(F511:F512)</f>
        <v>6.7035</v>
      </c>
      <c r="J512">
        <f t="shared" ref="J512" si="11">AVERAGE(G511:G512)</f>
        <v>0.38700000000000001</v>
      </c>
      <c r="L512">
        <f t="shared" ref="L512" si="12">+J512/I512</f>
        <v>5.7731036025956591E-2</v>
      </c>
      <c r="M512">
        <f t="shared" ref="M512" si="13">+(L512-$L$619)/$L$620</f>
        <v>-3.0467432443035944E-2</v>
      </c>
      <c r="N512">
        <f t="shared" ref="N512" si="14">+N510+M512</f>
        <v>4.0998204619701761</v>
      </c>
    </row>
    <row r="513" spans="1:14">
      <c r="A513" s="15">
        <v>3</v>
      </c>
      <c r="B513" s="71">
        <v>44105</v>
      </c>
      <c r="C513">
        <v>2020</v>
      </c>
      <c r="D513" s="11" t="s">
        <v>36</v>
      </c>
      <c r="E513" s="15">
        <v>10</v>
      </c>
      <c r="F513" s="95">
        <v>4.202</v>
      </c>
      <c r="G513" s="95">
        <v>5.8999999999999997E-2</v>
      </c>
    </row>
    <row r="514" spans="1:14">
      <c r="A514" s="15">
        <v>4</v>
      </c>
      <c r="B514" s="71">
        <v>44105</v>
      </c>
      <c r="C514">
        <v>2020</v>
      </c>
      <c r="D514" s="11" t="s">
        <v>36</v>
      </c>
      <c r="E514" s="15">
        <v>10</v>
      </c>
      <c r="F514" s="95">
        <v>6.7469999999999999</v>
      </c>
      <c r="G514" s="95">
        <v>0.122</v>
      </c>
      <c r="I514">
        <f t="shared" ref="I514" si="15">AVERAGE(F513:F514)</f>
        <v>5.4744999999999999</v>
      </c>
      <c r="J514">
        <f t="shared" ref="J514" si="16">AVERAGE(G513:G514)</f>
        <v>9.0499999999999997E-2</v>
      </c>
      <c r="L514">
        <f t="shared" ref="L514" si="17">+J514/I514</f>
        <v>1.6531190063019452E-2</v>
      </c>
      <c r="M514">
        <f t="shared" ref="M514" si="18">+(L514-$L$619)/$L$620</f>
        <v>-0.68767069250330592</v>
      </c>
      <c r="N514">
        <f t="shared" ref="N514" si="19">+N512+M514</f>
        <v>3.4121497694668701</v>
      </c>
    </row>
    <row r="515" spans="1:14">
      <c r="A515" s="15">
        <v>3</v>
      </c>
      <c r="B515" s="71">
        <v>44136</v>
      </c>
      <c r="C515">
        <v>2020</v>
      </c>
      <c r="D515" s="11" t="s">
        <v>37</v>
      </c>
      <c r="E515" s="15">
        <v>11</v>
      </c>
      <c r="F515" s="95">
        <v>4.1719999999999997</v>
      </c>
      <c r="G515" s="95">
        <v>1.4E-2</v>
      </c>
    </row>
    <row r="516" spans="1:14">
      <c r="A516" s="15">
        <v>4</v>
      </c>
      <c r="B516" s="71">
        <v>44136</v>
      </c>
      <c r="C516">
        <v>2020</v>
      </c>
      <c r="D516" s="11" t="s">
        <v>37</v>
      </c>
      <c r="E516" s="15">
        <v>11</v>
      </c>
      <c r="F516" s="95">
        <v>7.7880000000000003</v>
      </c>
      <c r="G516" s="95">
        <v>2.8000000000000001E-2</v>
      </c>
      <c r="I516">
        <f t="shared" ref="I516:J516" si="20">AVERAGE(F515:F516)</f>
        <v>5.98</v>
      </c>
      <c r="J516">
        <f t="shared" si="20"/>
        <v>2.1000000000000001E-2</v>
      </c>
      <c r="L516">
        <f t="shared" ref="L516" si="21">+J516/I516</f>
        <v>3.5117056856187293E-3</v>
      </c>
      <c r="M516">
        <f t="shared" ref="M516" si="22">+(L516-$L$619)/$L$620</f>
        <v>-0.89535223541074249</v>
      </c>
      <c r="N516">
        <f t="shared" ref="N516" si="23">+N514+M516</f>
        <v>2.5167975340561277</v>
      </c>
    </row>
    <row r="517" spans="1:14">
      <c r="A517" s="15">
        <v>3</v>
      </c>
      <c r="B517" s="72">
        <v>44166</v>
      </c>
      <c r="C517">
        <v>2020</v>
      </c>
      <c r="D517" s="11" t="s">
        <v>38</v>
      </c>
      <c r="E517" s="15">
        <v>12</v>
      </c>
    </row>
    <row r="518" spans="1:14">
      <c r="A518" s="15">
        <v>4</v>
      </c>
      <c r="B518" s="71">
        <v>44166</v>
      </c>
      <c r="C518">
        <v>2020</v>
      </c>
      <c r="D518" s="11" t="s">
        <v>38</v>
      </c>
      <c r="E518" s="15">
        <v>12</v>
      </c>
    </row>
    <row r="519" spans="1:14">
      <c r="A519" s="93">
        <v>3</v>
      </c>
      <c r="B519" s="90">
        <v>44197</v>
      </c>
      <c r="C519" s="91">
        <v>2021</v>
      </c>
      <c r="D519" s="92" t="s">
        <v>39</v>
      </c>
      <c r="E519" s="93">
        <v>1</v>
      </c>
    </row>
    <row r="520" spans="1:14">
      <c r="A520" s="15">
        <v>4</v>
      </c>
      <c r="B520" s="73">
        <v>44197</v>
      </c>
      <c r="C520">
        <v>2021</v>
      </c>
      <c r="D520" s="11" t="s">
        <v>39</v>
      </c>
      <c r="E520" s="15">
        <v>1</v>
      </c>
    </row>
    <row r="521" spans="1:14">
      <c r="A521" s="15">
        <v>3</v>
      </c>
      <c r="B521" s="71">
        <v>44228</v>
      </c>
      <c r="C521">
        <v>2021</v>
      </c>
      <c r="D521" s="11" t="s">
        <v>28</v>
      </c>
      <c r="E521" s="15">
        <v>2</v>
      </c>
      <c r="F521" s="95">
        <v>2.4740000000000002</v>
      </c>
      <c r="G521" s="95">
        <v>2.5999999999999999E-2</v>
      </c>
    </row>
    <row r="522" spans="1:14">
      <c r="A522" s="15">
        <v>4</v>
      </c>
      <c r="B522" s="71">
        <v>44228</v>
      </c>
      <c r="C522">
        <v>2021</v>
      </c>
      <c r="D522" s="11" t="s">
        <v>28</v>
      </c>
      <c r="E522" s="15">
        <v>2</v>
      </c>
      <c r="F522" s="95">
        <v>1.571</v>
      </c>
      <c r="G522" s="95">
        <v>0.01</v>
      </c>
      <c r="I522" s="27">
        <f>AVERAGE(F521:F522)</f>
        <v>2.0225</v>
      </c>
      <c r="J522" s="27">
        <f>AVERAGE(G521:G522)</f>
        <v>1.7999999999999999E-2</v>
      </c>
      <c r="L522">
        <f>+J522/I522</f>
        <v>8.899876390605686E-3</v>
      </c>
      <c r="M522">
        <f>+(L522-$L$619)/$L$620</f>
        <v>-0.80940231811580354</v>
      </c>
      <c r="N522">
        <f>+N516+M522</f>
        <v>1.7073952159403243</v>
      </c>
    </row>
    <row r="523" spans="1:14">
      <c r="A523" s="15">
        <v>3</v>
      </c>
      <c r="B523" s="71">
        <v>44256</v>
      </c>
      <c r="C523">
        <v>2021</v>
      </c>
      <c r="D523" s="11" t="s">
        <v>29</v>
      </c>
      <c r="E523" s="15">
        <v>3</v>
      </c>
      <c r="F523" s="95">
        <v>1.22</v>
      </c>
      <c r="G523" s="95">
        <v>2.1999999999999999E-2</v>
      </c>
    </row>
    <row r="524" spans="1:14">
      <c r="A524" s="15">
        <v>4</v>
      </c>
      <c r="B524" s="71">
        <v>44256</v>
      </c>
      <c r="C524">
        <v>2021</v>
      </c>
      <c r="D524" s="11" t="s">
        <v>29</v>
      </c>
      <c r="E524" s="15">
        <v>3</v>
      </c>
      <c r="F524" s="95">
        <v>2.097</v>
      </c>
      <c r="G524" s="95">
        <v>8.9999999999999993E-3</v>
      </c>
      <c r="I524" s="27">
        <f t="shared" ref="I524" si="24">AVERAGE(F523:F524)</f>
        <v>1.6585000000000001</v>
      </c>
      <c r="J524" s="27">
        <f t="shared" ref="J524" si="25">AVERAGE(G523:G524)</f>
        <v>1.55E-2</v>
      </c>
      <c r="L524">
        <f t="shared" ref="L524" si="26">+J524/I524</f>
        <v>9.3457943925233638E-3</v>
      </c>
      <c r="M524">
        <f t="shared" ref="M524" si="27">+(L524-$L$619)/$L$620</f>
        <v>-0.80228921471140024</v>
      </c>
      <c r="N524">
        <f>+N522+M524</f>
        <v>0.90510600122892404</v>
      </c>
    </row>
    <row r="525" spans="1:14">
      <c r="A525" s="15">
        <v>3</v>
      </c>
      <c r="B525" s="71">
        <v>44287</v>
      </c>
      <c r="C525">
        <v>2021</v>
      </c>
      <c r="D525" s="11" t="s">
        <v>30</v>
      </c>
      <c r="E525" s="15">
        <v>4</v>
      </c>
      <c r="F525" s="95">
        <v>1.103</v>
      </c>
      <c r="G525" s="95">
        <v>3.4000000000000002E-2</v>
      </c>
    </row>
    <row r="526" spans="1:14">
      <c r="A526" s="15">
        <v>4</v>
      </c>
      <c r="B526" s="71">
        <v>44287</v>
      </c>
      <c r="C526">
        <v>2021</v>
      </c>
      <c r="D526" s="11" t="s">
        <v>30</v>
      </c>
      <c r="E526" s="15">
        <v>4</v>
      </c>
      <c r="F526" s="95">
        <v>3.827</v>
      </c>
      <c r="G526" s="95">
        <v>4.0000000000000001E-3</v>
      </c>
      <c r="I526" s="27">
        <f t="shared" ref="I526" si="28">AVERAGE(F525:F526)</f>
        <v>2.4649999999999999</v>
      </c>
      <c r="J526" s="27">
        <f t="shared" ref="J526" si="29">AVERAGE(G525:G526)</f>
        <v>1.9000000000000003E-2</v>
      </c>
      <c r="L526">
        <f t="shared" ref="L526" si="30">+J526/I526</f>
        <v>7.707910750507101E-3</v>
      </c>
      <c r="M526">
        <f t="shared" ref="M526" si="31">+(L526-$L$619)/$L$620</f>
        <v>-0.82841607135306861</v>
      </c>
      <c r="N526">
        <f t="shared" ref="N526" si="32">+N524+M526</f>
        <v>7.6689929875855434E-2</v>
      </c>
    </row>
    <row r="527" spans="1:14">
      <c r="A527" s="15">
        <v>3</v>
      </c>
      <c r="B527" s="71">
        <v>44317</v>
      </c>
      <c r="C527">
        <v>2021</v>
      </c>
      <c r="D527" s="11" t="s">
        <v>31</v>
      </c>
      <c r="E527" s="15">
        <v>5</v>
      </c>
      <c r="F527" s="95">
        <v>2.65</v>
      </c>
      <c r="G527" s="95">
        <v>0.59299999999999997</v>
      </c>
    </row>
    <row r="528" spans="1:14">
      <c r="A528" s="15">
        <v>4</v>
      </c>
      <c r="B528" s="71">
        <v>44317</v>
      </c>
      <c r="C528">
        <v>2021</v>
      </c>
      <c r="D528" s="11" t="s">
        <v>31</v>
      </c>
      <c r="E528" s="15">
        <v>5</v>
      </c>
      <c r="F528" s="95">
        <v>5.2370000000000001</v>
      </c>
      <c r="G528" s="95">
        <v>1.2E-2</v>
      </c>
      <c r="I528" s="27">
        <f t="shared" ref="I528" si="33">AVERAGE(F527:F528)</f>
        <v>3.9435000000000002</v>
      </c>
      <c r="J528" s="27">
        <f t="shared" ref="J528" si="34">AVERAGE(G527:G528)</f>
        <v>0.30249999999999999</v>
      </c>
      <c r="L528">
        <f t="shared" ref="L528" si="35">+J528/I528</f>
        <v>7.6708507670850759E-2</v>
      </c>
      <c r="M528">
        <f t="shared" ref="M528" si="36">+(L528-$L$619)/$L$620</f>
        <v>0.27225351083295313</v>
      </c>
      <c r="N528">
        <f t="shared" ref="N528" si="37">+N526+M528</f>
        <v>0.34894344070880856</v>
      </c>
    </row>
    <row r="529" spans="1:14">
      <c r="A529" s="15">
        <v>3</v>
      </c>
      <c r="B529" s="71">
        <v>44348</v>
      </c>
      <c r="C529">
        <v>2021</v>
      </c>
      <c r="D529" s="11" t="s">
        <v>32</v>
      </c>
      <c r="E529" s="15">
        <v>6</v>
      </c>
      <c r="F529" s="95">
        <v>9.4239999999999995</v>
      </c>
      <c r="G529" s="95">
        <v>3.06</v>
      </c>
    </row>
    <row r="530" spans="1:14">
      <c r="A530" s="15">
        <v>4</v>
      </c>
      <c r="B530" s="71">
        <v>44348</v>
      </c>
      <c r="C530">
        <v>2021</v>
      </c>
      <c r="D530" s="11" t="s">
        <v>32</v>
      </c>
      <c r="E530" s="15">
        <v>6</v>
      </c>
      <c r="F530" s="95">
        <v>16.710999999999999</v>
      </c>
      <c r="G530" s="95">
        <v>8.7999999999999995E-2</v>
      </c>
      <c r="I530" s="27">
        <f t="shared" ref="I530:J530" si="38">AVERAGE(F529:F530)</f>
        <v>13.067499999999999</v>
      </c>
      <c r="J530" s="27">
        <f t="shared" si="38"/>
        <v>1.5740000000000001</v>
      </c>
      <c r="L530">
        <f t="shared" ref="L530" si="39">+J530/I530</f>
        <v>0.12045150181748615</v>
      </c>
      <c r="M530">
        <f t="shared" ref="M530" si="40">+(L530-$L$619)/$L$620</f>
        <v>0.97002404094191175</v>
      </c>
      <c r="N530">
        <f t="shared" ref="N530" si="41">+N528+M530</f>
        <v>1.3189674816507204</v>
      </c>
    </row>
    <row r="531" spans="1:14">
      <c r="A531" s="15">
        <v>3</v>
      </c>
      <c r="B531" s="71">
        <v>44378</v>
      </c>
      <c r="C531">
        <v>2021</v>
      </c>
      <c r="D531" s="11" t="s">
        <v>33</v>
      </c>
      <c r="E531" s="15">
        <v>7</v>
      </c>
      <c r="H531" s="96" t="s">
        <v>100</v>
      </c>
    </row>
    <row r="532" spans="1:14">
      <c r="A532" s="15">
        <v>4</v>
      </c>
      <c r="B532" s="71">
        <v>44378</v>
      </c>
      <c r="C532">
        <v>2021</v>
      </c>
      <c r="D532" s="11" t="s">
        <v>33</v>
      </c>
      <c r="E532" s="15">
        <v>7</v>
      </c>
      <c r="H532" s="96" t="s">
        <v>101</v>
      </c>
    </row>
    <row r="533" spans="1:14">
      <c r="A533" s="15">
        <v>3</v>
      </c>
      <c r="B533" s="71">
        <v>44409</v>
      </c>
      <c r="C533">
        <v>2021</v>
      </c>
      <c r="D533" s="11" t="s">
        <v>34</v>
      </c>
      <c r="E533" s="15">
        <v>8</v>
      </c>
      <c r="F533" s="95">
        <v>9.8279999999999994</v>
      </c>
      <c r="G533" s="95">
        <v>1.157</v>
      </c>
    </row>
    <row r="534" spans="1:14">
      <c r="A534" s="15">
        <v>4</v>
      </c>
      <c r="B534" s="71">
        <v>44409</v>
      </c>
      <c r="C534">
        <v>2021</v>
      </c>
      <c r="D534" s="11" t="s">
        <v>34</v>
      </c>
      <c r="E534" s="15">
        <v>8</v>
      </c>
      <c r="F534" s="95">
        <v>13.459</v>
      </c>
      <c r="G534" s="95">
        <v>1.151</v>
      </c>
    </row>
    <row r="535" spans="1:14">
      <c r="A535" s="15">
        <v>3</v>
      </c>
      <c r="B535" s="71">
        <v>44440</v>
      </c>
      <c r="C535">
        <v>2021</v>
      </c>
      <c r="D535" s="11" t="s">
        <v>40</v>
      </c>
      <c r="E535" s="15">
        <v>9</v>
      </c>
      <c r="F535" s="95">
        <v>5.9969999999999999</v>
      </c>
      <c r="G535" s="95">
        <v>0.60799999999999998</v>
      </c>
    </row>
    <row r="536" spans="1:14">
      <c r="A536" s="15">
        <v>4</v>
      </c>
      <c r="B536" s="71">
        <v>44440</v>
      </c>
      <c r="C536">
        <v>2021</v>
      </c>
      <c r="D536" s="11" t="s">
        <v>40</v>
      </c>
      <c r="E536" s="15">
        <v>9</v>
      </c>
      <c r="F536" s="95">
        <v>7.9829999999999997</v>
      </c>
      <c r="G536" s="95">
        <v>1.042</v>
      </c>
    </row>
    <row r="537" spans="1:14">
      <c r="A537" s="15">
        <v>3</v>
      </c>
      <c r="B537" s="71">
        <v>44470</v>
      </c>
      <c r="C537">
        <v>2021</v>
      </c>
      <c r="D537" s="11" t="s">
        <v>36</v>
      </c>
      <c r="E537" s="15">
        <v>10</v>
      </c>
      <c r="F537" s="95">
        <v>17.079999999999998</v>
      </c>
      <c r="G537" s="95">
        <v>0.47599999999999998</v>
      </c>
    </row>
    <row r="538" spans="1:14">
      <c r="A538" s="15">
        <v>4</v>
      </c>
      <c r="B538" s="71">
        <v>44470</v>
      </c>
      <c r="C538">
        <v>2021</v>
      </c>
      <c r="D538" s="11" t="s">
        <v>36</v>
      </c>
      <c r="E538" s="15">
        <v>10</v>
      </c>
      <c r="F538" s="95">
        <v>17.716999999999999</v>
      </c>
      <c r="G538" s="95">
        <v>0.50600000000000001</v>
      </c>
    </row>
    <row r="539" spans="1:14">
      <c r="A539" s="15">
        <v>3</v>
      </c>
      <c r="B539" s="71">
        <v>44501</v>
      </c>
      <c r="C539">
        <v>2021</v>
      </c>
      <c r="D539" s="11" t="s">
        <v>37</v>
      </c>
      <c r="E539" s="15">
        <v>11</v>
      </c>
      <c r="F539" s="95">
        <v>13.411</v>
      </c>
      <c r="G539" s="95">
        <v>0.57999999999999996</v>
      </c>
    </row>
    <row r="540" spans="1:14">
      <c r="A540" s="15">
        <v>4</v>
      </c>
      <c r="B540" s="71">
        <v>44501</v>
      </c>
      <c r="C540">
        <v>2021</v>
      </c>
      <c r="D540" s="11" t="s">
        <v>37</v>
      </c>
      <c r="E540" s="15">
        <v>11</v>
      </c>
      <c r="F540" s="95">
        <v>13.923999999999999</v>
      </c>
      <c r="G540" s="95">
        <v>0.54400000000000004</v>
      </c>
    </row>
    <row r="541" spans="1:14">
      <c r="A541" s="15">
        <v>3</v>
      </c>
      <c r="B541" s="72">
        <v>44531</v>
      </c>
      <c r="C541">
        <v>2021</v>
      </c>
      <c r="D541" s="11" t="s">
        <v>38</v>
      </c>
      <c r="E541" s="15">
        <v>12</v>
      </c>
      <c r="F541" s="95">
        <v>45.393999999999998</v>
      </c>
      <c r="G541" s="95">
        <v>0.189</v>
      </c>
    </row>
    <row r="542" spans="1:14">
      <c r="A542" s="15">
        <v>4</v>
      </c>
      <c r="B542" s="71">
        <v>44531</v>
      </c>
      <c r="C542">
        <v>2021</v>
      </c>
      <c r="D542" s="11" t="s">
        <v>38</v>
      </c>
      <c r="E542" s="15">
        <v>12</v>
      </c>
      <c r="F542" s="95">
        <v>64.753</v>
      </c>
      <c r="G542" s="95">
        <v>0.36099999999999999</v>
      </c>
    </row>
    <row r="543" spans="1:14">
      <c r="A543" s="93">
        <v>3</v>
      </c>
      <c r="B543" s="90">
        <v>44562</v>
      </c>
      <c r="C543" s="91">
        <v>2022</v>
      </c>
      <c r="D543" s="92" t="s">
        <v>39</v>
      </c>
      <c r="E543" s="93">
        <v>1</v>
      </c>
      <c r="H543" s="96" t="s">
        <v>102</v>
      </c>
    </row>
    <row r="544" spans="1:14">
      <c r="A544" s="15">
        <v>4</v>
      </c>
      <c r="B544" s="73">
        <v>44562</v>
      </c>
      <c r="C544">
        <v>2022</v>
      </c>
      <c r="D544" s="11" t="s">
        <v>39</v>
      </c>
      <c r="E544" s="15">
        <v>1</v>
      </c>
      <c r="H544" s="96" t="s">
        <v>103</v>
      </c>
    </row>
    <row r="545" spans="1:8">
      <c r="A545" s="15">
        <v>3</v>
      </c>
      <c r="B545" s="71">
        <v>44593</v>
      </c>
      <c r="C545">
        <v>2022</v>
      </c>
      <c r="D545" s="11" t="s">
        <v>28</v>
      </c>
      <c r="E545" s="15">
        <v>2</v>
      </c>
      <c r="H545" s="96" t="s">
        <v>104</v>
      </c>
    </row>
    <row r="546" spans="1:8">
      <c r="A546" s="15">
        <v>4</v>
      </c>
      <c r="B546" s="71">
        <v>44593</v>
      </c>
      <c r="C546">
        <v>2022</v>
      </c>
      <c r="D546" s="11" t="s">
        <v>28</v>
      </c>
      <c r="E546" s="15">
        <v>2</v>
      </c>
    </row>
    <row r="547" spans="1:8">
      <c r="A547" s="15">
        <v>3</v>
      </c>
      <c r="B547" s="71">
        <v>44621</v>
      </c>
      <c r="C547">
        <v>2022</v>
      </c>
      <c r="D547" s="11" t="s">
        <v>29</v>
      </c>
      <c r="E547" s="15">
        <v>3</v>
      </c>
    </row>
    <row r="548" spans="1:8">
      <c r="A548" s="15">
        <v>4</v>
      </c>
      <c r="B548" s="71">
        <v>44621</v>
      </c>
      <c r="C548">
        <v>2022</v>
      </c>
      <c r="D548" s="11" t="s">
        <v>29</v>
      </c>
      <c r="E548" s="15">
        <v>3</v>
      </c>
    </row>
    <row r="549" spans="1:8">
      <c r="A549" s="15">
        <v>3</v>
      </c>
      <c r="B549" s="71">
        <v>44652</v>
      </c>
      <c r="C549">
        <v>2022</v>
      </c>
      <c r="D549" s="11" t="s">
        <v>30</v>
      </c>
      <c r="E549" s="15">
        <v>4</v>
      </c>
    </row>
    <row r="550" spans="1:8">
      <c r="A550" s="15">
        <v>4</v>
      </c>
      <c r="B550" s="71">
        <v>44652</v>
      </c>
      <c r="C550">
        <v>2022</v>
      </c>
      <c r="D550" s="11" t="s">
        <v>30</v>
      </c>
      <c r="E550" s="15">
        <v>4</v>
      </c>
    </row>
    <row r="551" spans="1:8">
      <c r="A551" s="15">
        <v>3</v>
      </c>
      <c r="B551" s="71">
        <v>44682</v>
      </c>
      <c r="C551">
        <v>2022</v>
      </c>
      <c r="D551" s="11" t="s">
        <v>31</v>
      </c>
      <c r="E551" s="15">
        <v>5</v>
      </c>
    </row>
    <row r="552" spans="1:8">
      <c r="A552" s="15">
        <v>4</v>
      </c>
      <c r="B552" s="71">
        <v>44682</v>
      </c>
      <c r="C552">
        <v>2022</v>
      </c>
      <c r="D552" s="11" t="s">
        <v>31</v>
      </c>
      <c r="E552" s="15">
        <v>5</v>
      </c>
    </row>
    <row r="553" spans="1:8">
      <c r="A553" s="15">
        <v>3</v>
      </c>
      <c r="B553" s="71">
        <v>44713</v>
      </c>
      <c r="C553">
        <v>2022</v>
      </c>
      <c r="D553" s="11" t="s">
        <v>32</v>
      </c>
      <c r="E553" s="15">
        <v>6</v>
      </c>
    </row>
    <row r="554" spans="1:8">
      <c r="A554" s="15">
        <v>4</v>
      </c>
      <c r="B554" s="71">
        <v>44713</v>
      </c>
      <c r="C554">
        <v>2022</v>
      </c>
      <c r="D554" s="11" t="s">
        <v>32</v>
      </c>
      <c r="E554" s="15">
        <v>6</v>
      </c>
    </row>
    <row r="555" spans="1:8">
      <c r="A555" s="15">
        <v>3</v>
      </c>
      <c r="B555" s="71">
        <v>44743</v>
      </c>
      <c r="C555">
        <v>2022</v>
      </c>
      <c r="D555" s="11" t="s">
        <v>33</v>
      </c>
      <c r="E555" s="15">
        <v>7</v>
      </c>
    </row>
    <row r="556" spans="1:8">
      <c r="A556" s="15">
        <v>4</v>
      </c>
      <c r="B556" s="71">
        <v>44743</v>
      </c>
      <c r="C556">
        <v>2022</v>
      </c>
      <c r="D556" s="11" t="s">
        <v>33</v>
      </c>
      <c r="E556" s="15">
        <v>7</v>
      </c>
    </row>
    <row r="557" spans="1:8">
      <c r="A557" s="15">
        <v>3</v>
      </c>
      <c r="B557" s="71">
        <v>44774</v>
      </c>
      <c r="C557">
        <v>2022</v>
      </c>
      <c r="D557" s="11" t="s">
        <v>34</v>
      </c>
      <c r="E557" s="15">
        <v>8</v>
      </c>
    </row>
    <row r="558" spans="1:8">
      <c r="A558" s="15">
        <v>4</v>
      </c>
      <c r="B558" s="71">
        <v>44774</v>
      </c>
      <c r="C558">
        <v>2022</v>
      </c>
      <c r="D558" s="11" t="s">
        <v>34</v>
      </c>
      <c r="E558" s="15">
        <v>8</v>
      </c>
    </row>
    <row r="559" spans="1:8">
      <c r="A559" s="15">
        <v>3</v>
      </c>
      <c r="B559" s="71">
        <v>44805</v>
      </c>
      <c r="C559">
        <v>2022</v>
      </c>
      <c r="D559" s="11" t="s">
        <v>40</v>
      </c>
      <c r="E559" s="15">
        <v>9</v>
      </c>
    </row>
    <row r="560" spans="1:8">
      <c r="A560" s="15">
        <v>4</v>
      </c>
      <c r="B560" s="71">
        <v>44805</v>
      </c>
      <c r="C560">
        <v>2022</v>
      </c>
      <c r="D560" s="11" t="s">
        <v>40</v>
      </c>
      <c r="E560" s="15">
        <v>9</v>
      </c>
    </row>
    <row r="561" spans="1:14">
      <c r="A561" s="15">
        <v>3</v>
      </c>
      <c r="B561" s="71">
        <v>44835</v>
      </c>
      <c r="C561">
        <v>2022</v>
      </c>
      <c r="D561" s="11" t="s">
        <v>36</v>
      </c>
      <c r="E561" s="15">
        <v>10</v>
      </c>
    </row>
    <row r="562" spans="1:14">
      <c r="A562" s="15">
        <v>4</v>
      </c>
      <c r="B562" s="71">
        <v>44835</v>
      </c>
      <c r="C562">
        <v>2022</v>
      </c>
      <c r="D562" s="11" t="s">
        <v>36</v>
      </c>
      <c r="E562" s="15">
        <v>10</v>
      </c>
    </row>
    <row r="563" spans="1:14">
      <c r="A563" s="15">
        <v>3</v>
      </c>
      <c r="B563" s="71">
        <v>44866</v>
      </c>
      <c r="C563">
        <v>2022</v>
      </c>
      <c r="D563" s="11" t="s">
        <v>37</v>
      </c>
      <c r="E563" s="15">
        <v>11</v>
      </c>
    </row>
    <row r="564" spans="1:14">
      <c r="A564" s="15">
        <v>4</v>
      </c>
      <c r="B564" s="71">
        <v>44866</v>
      </c>
      <c r="C564">
        <v>2022</v>
      </c>
      <c r="D564" s="11" t="s">
        <v>37</v>
      </c>
      <c r="E564" s="15">
        <v>11</v>
      </c>
    </row>
    <row r="565" spans="1:14">
      <c r="A565" s="15">
        <v>3</v>
      </c>
      <c r="B565" s="72">
        <v>44896</v>
      </c>
      <c r="C565">
        <v>2022</v>
      </c>
      <c r="D565" s="11" t="s">
        <v>38</v>
      </c>
      <c r="E565" s="15">
        <v>12</v>
      </c>
    </row>
    <row r="566" spans="1:14">
      <c r="A566" s="15">
        <v>4</v>
      </c>
      <c r="B566" s="71">
        <v>44896</v>
      </c>
      <c r="C566">
        <v>2022</v>
      </c>
      <c r="D566" s="11" t="s">
        <v>38</v>
      </c>
      <c r="E566" s="15">
        <v>12</v>
      </c>
    </row>
    <row r="567" spans="1:14">
      <c r="A567" s="93">
        <v>3</v>
      </c>
      <c r="B567" s="90">
        <v>44927</v>
      </c>
      <c r="C567" s="91">
        <v>2023</v>
      </c>
      <c r="D567" s="92" t="s">
        <v>39</v>
      </c>
      <c r="E567" s="93">
        <v>1</v>
      </c>
      <c r="F567" s="97">
        <v>3.532</v>
      </c>
      <c r="G567" s="95">
        <v>3.1E-2</v>
      </c>
    </row>
    <row r="568" spans="1:14">
      <c r="A568" s="15">
        <v>4</v>
      </c>
      <c r="B568" s="73">
        <v>44927</v>
      </c>
      <c r="C568">
        <v>2023</v>
      </c>
      <c r="D568" s="11" t="s">
        <v>39</v>
      </c>
      <c r="E568" s="15">
        <v>1</v>
      </c>
      <c r="F568" s="97">
        <v>3.02</v>
      </c>
      <c r="G568" s="95">
        <v>4.7E-2</v>
      </c>
      <c r="I568" s="27">
        <f>AVERAGE(F567:F568)</f>
        <v>3.2759999999999998</v>
      </c>
      <c r="J568" s="27">
        <f>AVERAGE(G567:G568)</f>
        <v>3.9E-2</v>
      </c>
      <c r="L568">
        <f>+J568/I568</f>
        <v>1.1904761904761906E-2</v>
      </c>
      <c r="M568">
        <f>+(L568-$L$619)/$L$620</f>
        <v>-0.7614696011394374</v>
      </c>
      <c r="N568">
        <f>+N530+M568</f>
        <v>0.55749788051128302</v>
      </c>
    </row>
    <row r="569" spans="1:14">
      <c r="A569" s="15">
        <v>3</v>
      </c>
      <c r="B569" s="71">
        <v>44958</v>
      </c>
      <c r="C569">
        <v>2023</v>
      </c>
      <c r="D569" s="11" t="s">
        <v>28</v>
      </c>
      <c r="E569" s="15">
        <v>2</v>
      </c>
      <c r="F569" s="78">
        <v>2.0270000000000001</v>
      </c>
      <c r="G569" s="78">
        <v>2.1999999999999999E-2</v>
      </c>
    </row>
    <row r="570" spans="1:14">
      <c r="A570" s="15">
        <v>4</v>
      </c>
      <c r="B570" s="71">
        <v>44958</v>
      </c>
      <c r="C570">
        <v>2023</v>
      </c>
      <c r="D570" s="11" t="s">
        <v>28</v>
      </c>
      <c r="E570" s="15">
        <v>2</v>
      </c>
      <c r="F570" s="78">
        <v>2.39</v>
      </c>
      <c r="G570" s="78">
        <v>2.5000000000000001E-2</v>
      </c>
      <c r="I570" s="27">
        <f t="shared" ref="I570" si="42">AVERAGE(F569:F570)</f>
        <v>2.2084999999999999</v>
      </c>
      <c r="J570" s="27">
        <f t="shared" ref="J570" si="43">AVERAGE(G569:G570)</f>
        <v>2.35E-2</v>
      </c>
      <c r="L570">
        <f t="shared" ref="L570" si="44">+J570/I570</f>
        <v>1.0640706361784017E-2</v>
      </c>
      <c r="M570">
        <f t="shared" ref="M570" si="45">+(L570-$L$619)/$L$620</f>
        <v>-0.78163330331661662</v>
      </c>
      <c r="N570">
        <f>+N568+M570</f>
        <v>-0.22413542280533361</v>
      </c>
    </row>
    <row r="571" spans="1:14">
      <c r="A571" s="15">
        <v>3</v>
      </c>
      <c r="B571" s="71">
        <v>44986</v>
      </c>
      <c r="C571">
        <v>2023</v>
      </c>
      <c r="D571" s="11" t="s">
        <v>29</v>
      </c>
      <c r="E571" s="15">
        <v>3</v>
      </c>
      <c r="F571" s="78">
        <v>6.65</v>
      </c>
      <c r="G571" s="78">
        <v>5.5E-2</v>
      </c>
    </row>
    <row r="572" spans="1:14">
      <c r="A572" s="15">
        <v>4</v>
      </c>
      <c r="B572" s="71">
        <v>44986</v>
      </c>
      <c r="C572">
        <v>2023</v>
      </c>
      <c r="D572" s="11" t="s">
        <v>29</v>
      </c>
      <c r="E572" s="15">
        <v>3</v>
      </c>
      <c r="F572" s="78">
        <v>10.439</v>
      </c>
      <c r="G572" s="78">
        <v>8.7999999999999995E-2</v>
      </c>
      <c r="I572" s="27">
        <f t="shared" ref="I572" si="46">AVERAGE(F571:F572)</f>
        <v>8.5444999999999993</v>
      </c>
      <c r="J572" s="27">
        <f t="shared" ref="J572" si="47">AVERAGE(G571:G572)</f>
        <v>7.1499999999999994E-2</v>
      </c>
      <c r="L572">
        <f t="shared" ref="L572" si="48">+J572/I572</f>
        <v>8.367955995084558E-3</v>
      </c>
      <c r="M572">
        <f t="shared" ref="M572" si="49">+(L572-$L$619)/$L$620</f>
        <v>-0.81788729687867345</v>
      </c>
      <c r="N572">
        <f t="shared" ref="N572" si="50">+N570+M572</f>
        <v>-1.0420227196840071</v>
      </c>
    </row>
    <row r="573" spans="1:14">
      <c r="A573" s="15">
        <v>3</v>
      </c>
      <c r="B573" s="71">
        <v>45017</v>
      </c>
      <c r="C573">
        <v>2023</v>
      </c>
      <c r="D573" s="11" t="s">
        <v>30</v>
      </c>
      <c r="E573" s="15">
        <v>4</v>
      </c>
      <c r="F573" s="78">
        <v>6.6710000000000003</v>
      </c>
      <c r="G573" s="78">
        <v>5.2999999999999999E-2</v>
      </c>
    </row>
    <row r="574" spans="1:14">
      <c r="A574" s="15">
        <v>4</v>
      </c>
      <c r="B574" s="71">
        <v>45017</v>
      </c>
      <c r="C574">
        <v>2023</v>
      </c>
      <c r="D574" s="11" t="s">
        <v>30</v>
      </c>
      <c r="E574" s="15">
        <v>4</v>
      </c>
      <c r="F574" s="78">
        <v>10.95</v>
      </c>
      <c r="G574" s="78">
        <v>6.2E-2</v>
      </c>
      <c r="I574" s="27">
        <f t="shared" ref="I574" si="51">AVERAGE(F573:F574)</f>
        <v>8.8104999999999993</v>
      </c>
      <c r="J574" s="27">
        <f t="shared" ref="J574" si="52">AVERAGE(G573:G574)</f>
        <v>5.7499999999999996E-2</v>
      </c>
      <c r="L574">
        <f t="shared" ref="L574" si="53">+J574/I574</f>
        <v>6.5263038420066968E-3</v>
      </c>
      <c r="M574">
        <f t="shared" ref="M574" si="54">+(L574-$L$619)/$L$620</f>
        <v>-0.84726458629836188</v>
      </c>
      <c r="N574">
        <f t="shared" ref="N574" si="55">+N572+M574</f>
        <v>-1.8892873059823689</v>
      </c>
    </row>
    <row r="575" spans="1:14">
      <c r="A575" s="15">
        <v>3</v>
      </c>
      <c r="B575" s="71">
        <v>45047</v>
      </c>
      <c r="C575">
        <v>2023</v>
      </c>
      <c r="D575" s="11" t="s">
        <v>31</v>
      </c>
      <c r="E575" s="15">
        <v>5</v>
      </c>
      <c r="F575" s="78">
        <v>2.2709999999999999</v>
      </c>
      <c r="G575" s="98">
        <v>0.246</v>
      </c>
    </row>
    <row r="576" spans="1:14">
      <c r="A576" s="15">
        <v>4</v>
      </c>
      <c r="B576" s="71">
        <v>45047</v>
      </c>
      <c r="C576">
        <v>2023</v>
      </c>
      <c r="D576" s="11" t="s">
        <v>31</v>
      </c>
      <c r="E576" s="15">
        <v>5</v>
      </c>
      <c r="F576" s="78">
        <v>3.1110000000000002</v>
      </c>
      <c r="G576" s="98">
        <v>0.46600000000000003</v>
      </c>
      <c r="I576" s="27">
        <f t="shared" ref="I576" si="56">AVERAGE(F575:F576)</f>
        <v>2.6909999999999998</v>
      </c>
      <c r="J576" s="27">
        <f t="shared" ref="J576" si="57">AVERAGE(G575:G576)</f>
        <v>0.35599999999999998</v>
      </c>
      <c r="L576">
        <f t="shared" ref="L576" si="58">+J576/I576</f>
        <v>0.13229282794500186</v>
      </c>
      <c r="M576">
        <f t="shared" ref="M576" si="59">+(L576-$L$619)/$L$620</f>
        <v>1.1589120805098485</v>
      </c>
      <c r="N576">
        <f t="shared" ref="N576" si="60">+N574+M576</f>
        <v>-0.73037522547252043</v>
      </c>
    </row>
    <row r="577" spans="1:14">
      <c r="A577" s="15">
        <v>3</v>
      </c>
      <c r="B577" s="71">
        <v>45078</v>
      </c>
      <c r="C577">
        <v>2023</v>
      </c>
      <c r="D577" s="11" t="s">
        <v>32</v>
      </c>
      <c r="E577" s="15">
        <v>6</v>
      </c>
      <c r="F577" s="78">
        <v>10.451000000000001</v>
      </c>
      <c r="G577" s="98">
        <v>0.91800000000000004</v>
      </c>
    </row>
    <row r="578" spans="1:14">
      <c r="A578" s="15">
        <v>4</v>
      </c>
      <c r="B578" s="71">
        <v>45078</v>
      </c>
      <c r="C578">
        <v>2023</v>
      </c>
      <c r="D578" s="11" t="s">
        <v>32</v>
      </c>
      <c r="E578" s="15">
        <v>6</v>
      </c>
      <c r="F578" s="78">
        <v>10.366</v>
      </c>
      <c r="G578" s="98">
        <v>0.85299999999999998</v>
      </c>
      <c r="I578" s="27">
        <f t="shared" ref="I578" si="61">AVERAGE(F577:F578)</f>
        <v>10.4085</v>
      </c>
      <c r="J578" s="27">
        <f t="shared" ref="J578" si="62">AVERAGE(G577:G578)</f>
        <v>0.88549999999999995</v>
      </c>
      <c r="L578">
        <f t="shared" ref="L578" si="63">+J578/I578</f>
        <v>8.5074698563673917E-2</v>
      </c>
      <c r="M578">
        <f t="shared" ref="M578" si="64">+(L578-$L$619)/$L$620</f>
        <v>0.40570760029717373</v>
      </c>
      <c r="N578">
        <f t="shared" ref="N578" si="65">+N576+M578</f>
        <v>-0.3246676251753467</v>
      </c>
    </row>
    <row r="579" spans="1:14">
      <c r="A579" s="15">
        <v>3</v>
      </c>
      <c r="B579" s="71">
        <v>45108</v>
      </c>
      <c r="C579">
        <v>2023</v>
      </c>
      <c r="D579" s="11" t="s">
        <v>33</v>
      </c>
      <c r="E579" s="15">
        <v>7</v>
      </c>
      <c r="F579" s="78">
        <v>7.2629999999999999</v>
      </c>
      <c r="G579" s="98">
        <v>1.357</v>
      </c>
    </row>
    <row r="580" spans="1:14">
      <c r="A580" s="15">
        <v>4</v>
      </c>
      <c r="B580" s="71">
        <v>45108</v>
      </c>
      <c r="C580">
        <v>2023</v>
      </c>
      <c r="D580" s="11" t="s">
        <v>33</v>
      </c>
      <c r="E580" s="15">
        <v>7</v>
      </c>
      <c r="F580" s="78">
        <v>10.723000000000001</v>
      </c>
      <c r="G580" s="98">
        <v>2.081</v>
      </c>
      <c r="I580" s="27">
        <f t="shared" ref="I580" si="66">AVERAGE(F579:F580)</f>
        <v>8.9930000000000003</v>
      </c>
      <c r="J580" s="27">
        <f t="shared" ref="J580" si="67">AVERAGE(G579:G580)</f>
        <v>1.7189999999999999</v>
      </c>
      <c r="L580">
        <f t="shared" ref="L580" si="68">+J580/I580</f>
        <v>0.1911486711887023</v>
      </c>
      <c r="M580">
        <f t="shared" ref="M580" si="69">+(L580-$L$619)/$L$620</f>
        <v>2.0977566598840629</v>
      </c>
      <c r="N580">
        <f t="shared" ref="N580" si="70">+N578+M580</f>
        <v>1.7730890347087163</v>
      </c>
    </row>
    <row r="581" spans="1:14">
      <c r="A581" s="15">
        <v>3</v>
      </c>
      <c r="B581" s="71">
        <v>45139</v>
      </c>
      <c r="C581">
        <v>2023</v>
      </c>
      <c r="D581" s="11" t="s">
        <v>34</v>
      </c>
      <c r="E581" s="15">
        <v>8</v>
      </c>
      <c r="F581" s="78">
        <v>16.826000000000001</v>
      </c>
      <c r="G581" s="98">
        <v>1.0009999999999999</v>
      </c>
    </row>
    <row r="582" spans="1:14">
      <c r="A582" s="15">
        <v>4</v>
      </c>
      <c r="B582" s="71">
        <v>45139</v>
      </c>
      <c r="C582">
        <v>2023</v>
      </c>
      <c r="D582" s="11" t="s">
        <v>34</v>
      </c>
      <c r="E582" s="15">
        <v>8</v>
      </c>
      <c r="F582" s="78">
        <v>33.787999999999997</v>
      </c>
      <c r="G582" s="98">
        <v>1.4670000000000001</v>
      </c>
      <c r="I582" s="27">
        <f t="shared" ref="I582" si="71">AVERAGE(F581:F582)</f>
        <v>25.306999999999999</v>
      </c>
      <c r="J582" s="27">
        <f t="shared" ref="J582" si="72">AVERAGE(G581:G582)</f>
        <v>1.234</v>
      </c>
      <c r="L582">
        <f t="shared" ref="L582" si="73">+J582/I582</f>
        <v>4.8761212312798834E-2</v>
      </c>
      <c r="M582">
        <f t="shared" ref="M582" si="74">+(L582-$L$619)/$L$620</f>
        <v>-0.17355042823278377</v>
      </c>
      <c r="N582">
        <f t="shared" ref="N582" si="75">+N580+M582</f>
        <v>1.5995386064759325</v>
      </c>
    </row>
    <row r="583" spans="1:14">
      <c r="A583" s="15">
        <v>3</v>
      </c>
      <c r="B583" s="71">
        <v>45170</v>
      </c>
      <c r="C583">
        <v>2023</v>
      </c>
      <c r="D583" s="11" t="s">
        <v>40</v>
      </c>
      <c r="E583" s="15">
        <v>9</v>
      </c>
      <c r="F583" s="78">
        <v>2.5830000000000002</v>
      </c>
      <c r="G583" s="98">
        <v>0.14000000000000001</v>
      </c>
    </row>
    <row r="584" spans="1:14">
      <c r="A584" s="15">
        <v>4</v>
      </c>
      <c r="B584" s="71">
        <v>45170</v>
      </c>
      <c r="C584">
        <v>2023</v>
      </c>
      <c r="D584" s="11" t="s">
        <v>40</v>
      </c>
      <c r="E584" s="15">
        <v>9</v>
      </c>
      <c r="F584" s="78">
        <v>3.5710000000000002</v>
      </c>
      <c r="G584" s="98">
        <v>0.193</v>
      </c>
      <c r="I584" s="27">
        <f t="shared" ref="I584" si="76">AVERAGE(F583:F584)</f>
        <v>3.077</v>
      </c>
      <c r="J584" s="27">
        <f t="shared" ref="J584" si="77">AVERAGE(G583:G584)</f>
        <v>0.16650000000000001</v>
      </c>
      <c r="L584">
        <f t="shared" ref="L584" si="78">+J584/I584</f>
        <v>5.4111147221319468E-2</v>
      </c>
      <c r="M584">
        <f t="shared" ref="M584" si="79">+(L584-$L$619)/$L$620</f>
        <v>-8.8210432880545142E-2</v>
      </c>
      <c r="N584">
        <f t="shared" ref="N584" si="80">+N582+M584</f>
        <v>1.5113281735953874</v>
      </c>
    </row>
    <row r="585" spans="1:14">
      <c r="A585" s="15">
        <v>3</v>
      </c>
      <c r="B585" s="71">
        <v>45200</v>
      </c>
      <c r="C585">
        <v>2023</v>
      </c>
      <c r="D585" s="11" t="s">
        <v>36</v>
      </c>
      <c r="E585" s="15">
        <v>10</v>
      </c>
      <c r="F585" s="98">
        <v>1.5940000000000001</v>
      </c>
      <c r="G585" s="78">
        <v>8.3000000000000004E-2</v>
      </c>
    </row>
    <row r="586" spans="1:14">
      <c r="A586" s="15">
        <v>4</v>
      </c>
      <c r="B586" s="71">
        <v>45200</v>
      </c>
      <c r="C586">
        <v>2023</v>
      </c>
      <c r="D586" s="11" t="s">
        <v>36</v>
      </c>
      <c r="E586" s="15">
        <v>10</v>
      </c>
      <c r="F586" s="98">
        <v>1.7290000000000001</v>
      </c>
      <c r="G586" s="78">
        <v>0.14000000000000001</v>
      </c>
      <c r="I586" s="27">
        <f t="shared" ref="I586" si="81">AVERAGE(F585:F586)</f>
        <v>1.6615000000000002</v>
      </c>
      <c r="J586" s="27">
        <f t="shared" ref="J586" si="82">AVERAGE(G585:G586)</f>
        <v>0.11150000000000002</v>
      </c>
      <c r="L586">
        <f t="shared" ref="L586" si="83">+J586/I586</f>
        <v>6.7108034908215472E-2</v>
      </c>
      <c r="M586">
        <f t="shared" ref="M586" si="84">+(L586-$L$619)/$L$620</f>
        <v>0.11911065676986636</v>
      </c>
      <c r="N586">
        <f t="shared" ref="N586" si="85">+N584+M586</f>
        <v>1.6304388303652537</v>
      </c>
    </row>
    <row r="587" spans="1:14">
      <c r="A587" s="15">
        <v>3</v>
      </c>
      <c r="B587" s="71">
        <v>45231</v>
      </c>
      <c r="C587">
        <v>2023</v>
      </c>
      <c r="D587" s="11" t="s">
        <v>37</v>
      </c>
      <c r="E587" s="15">
        <v>11</v>
      </c>
      <c r="F587" s="78">
        <v>0.71799999999999997</v>
      </c>
      <c r="G587" s="98">
        <v>1.0999999999999999E-2</v>
      </c>
    </row>
    <row r="588" spans="1:14">
      <c r="A588" s="15">
        <v>4</v>
      </c>
      <c r="B588" s="71">
        <v>45231</v>
      </c>
      <c r="C588">
        <v>2023</v>
      </c>
      <c r="D588" s="11" t="s">
        <v>37</v>
      </c>
      <c r="E588" s="15">
        <v>11</v>
      </c>
      <c r="F588" s="78">
        <v>1.911</v>
      </c>
      <c r="G588" s="98">
        <v>0.113</v>
      </c>
      <c r="I588" s="27">
        <f t="shared" ref="I588" si="86">AVERAGE(F587:F588)</f>
        <v>1.3145</v>
      </c>
      <c r="J588" s="27">
        <f t="shared" ref="J588" si="87">AVERAGE(G587:G588)</f>
        <v>6.2E-2</v>
      </c>
      <c r="L588">
        <f t="shared" ref="L588" si="88">+J588/I588</f>
        <v>4.7166222898440469E-2</v>
      </c>
      <c r="M588">
        <f t="shared" ref="M588" si="89">+(L588-$L$619)/$L$620</f>
        <v>-0.19899305352368693</v>
      </c>
      <c r="N588">
        <f t="shared" ref="N588" si="90">+N586+M588</f>
        <v>1.4314457768415667</v>
      </c>
    </row>
    <row r="589" spans="1:14">
      <c r="A589" s="15">
        <v>3</v>
      </c>
      <c r="B589" s="72">
        <v>45261</v>
      </c>
      <c r="C589">
        <v>2023</v>
      </c>
      <c r="D589" s="11" t="s">
        <v>38</v>
      </c>
      <c r="E589" s="15">
        <v>12</v>
      </c>
      <c r="F589" s="78">
        <v>2.25</v>
      </c>
      <c r="G589" s="98">
        <v>0.104</v>
      </c>
    </row>
    <row r="590" spans="1:14">
      <c r="A590" s="15">
        <v>4</v>
      </c>
      <c r="B590" s="71">
        <v>45261</v>
      </c>
      <c r="C590">
        <v>2023</v>
      </c>
      <c r="D590" s="11" t="s">
        <v>38</v>
      </c>
      <c r="E590" s="15">
        <v>12</v>
      </c>
      <c r="F590" s="78">
        <v>2.544</v>
      </c>
      <c r="G590" s="98">
        <v>0.14399999999999999</v>
      </c>
      <c r="I590" s="27">
        <f t="shared" ref="I590" si="91">AVERAGE(F589:F590)</f>
        <v>2.3970000000000002</v>
      </c>
      <c r="J590" s="27">
        <f t="shared" ref="J590" si="92">AVERAGE(G589:G590)</f>
        <v>0.124</v>
      </c>
      <c r="L590">
        <f t="shared" ref="L590" si="93">+J590/I590</f>
        <v>5.1731330830204418E-2</v>
      </c>
      <c r="M590">
        <f t="shared" ref="M590" si="94">+(L590-$L$619)/$L$620</f>
        <v>-0.12617230031064797</v>
      </c>
      <c r="N590">
        <f t="shared" ref="N590" si="95">+N588+M590</f>
        <v>1.3052734765309189</v>
      </c>
    </row>
    <row r="591" spans="1:14">
      <c r="A591" s="93">
        <v>3</v>
      </c>
      <c r="B591" s="90">
        <v>45292</v>
      </c>
      <c r="C591" s="91">
        <v>2024</v>
      </c>
      <c r="D591" s="92" t="s">
        <v>39</v>
      </c>
      <c r="E591" s="93">
        <v>1</v>
      </c>
      <c r="F591" s="78">
        <v>0.79400000000000004</v>
      </c>
      <c r="G591" s="98">
        <v>1.0999999999999999E-2</v>
      </c>
    </row>
    <row r="592" spans="1:14">
      <c r="A592" s="15">
        <v>4</v>
      </c>
      <c r="B592" s="73">
        <v>45292</v>
      </c>
      <c r="C592">
        <v>2024</v>
      </c>
      <c r="D592" s="11" t="s">
        <v>39</v>
      </c>
      <c r="E592" s="15">
        <v>1</v>
      </c>
      <c r="F592" s="78">
        <v>1.02</v>
      </c>
      <c r="G592" s="98">
        <v>1.9E-2</v>
      </c>
      <c r="I592" s="27">
        <f t="shared" ref="I592" si="96">AVERAGE(F591:F592)</f>
        <v>0.90700000000000003</v>
      </c>
      <c r="J592" s="27">
        <f t="shared" ref="J592" si="97">AVERAGE(G591:G592)</f>
        <v>1.4999999999999999E-2</v>
      </c>
      <c r="L592">
        <f t="shared" ref="L592" si="98">+J592/I592</f>
        <v>1.65380374862183E-2</v>
      </c>
      <c r="M592">
        <f t="shared" ref="M592" si="99">+(L592-$L$619)/$L$620</f>
        <v>-0.68756146518111294</v>
      </c>
      <c r="N592">
        <f t="shared" ref="N592" si="100">+N590+M592</f>
        <v>0.61771201134980591</v>
      </c>
    </row>
    <row r="593" spans="1:14">
      <c r="A593" s="15">
        <v>3</v>
      </c>
      <c r="B593" s="71">
        <v>45323</v>
      </c>
      <c r="C593">
        <v>2024</v>
      </c>
      <c r="D593" s="11" t="s">
        <v>28</v>
      </c>
      <c r="E593" s="15">
        <v>2</v>
      </c>
      <c r="F593" s="78">
        <v>1.0820000000000001</v>
      </c>
      <c r="G593" s="98">
        <v>4.0000000000000001E-3</v>
      </c>
    </row>
    <row r="594" spans="1:14">
      <c r="A594" s="15">
        <v>4</v>
      </c>
      <c r="B594" s="71">
        <v>45323</v>
      </c>
      <c r="C594">
        <v>2024</v>
      </c>
      <c r="D594" s="11" t="s">
        <v>28</v>
      </c>
      <c r="E594" s="15">
        <v>2</v>
      </c>
      <c r="F594" s="78">
        <v>1.1970000000000001</v>
      </c>
      <c r="G594" s="98">
        <v>4.0000000000000001E-3</v>
      </c>
      <c r="I594" s="27">
        <f t="shared" ref="I594" si="101">AVERAGE(F593:F594)</f>
        <v>1.1395</v>
      </c>
      <c r="J594" s="27">
        <f t="shared" ref="J594" si="102">AVERAGE(G593:G594)</f>
        <v>4.0000000000000001E-3</v>
      </c>
      <c r="L594">
        <f t="shared" ref="L594" si="103">+J594/I594</f>
        <v>3.5103115401491883E-3</v>
      </c>
      <c r="M594">
        <f t="shared" ref="M594" si="104">+(L594-$L$619)/$L$620</f>
        <v>-0.89537447425475192</v>
      </c>
      <c r="N594">
        <f t="shared" ref="N594" si="105">+N592+M594</f>
        <v>-0.27766246290494601</v>
      </c>
    </row>
    <row r="595" spans="1:14">
      <c r="A595" s="15">
        <v>3</v>
      </c>
      <c r="B595" s="71">
        <v>45352</v>
      </c>
      <c r="C595">
        <v>2024</v>
      </c>
      <c r="D595" s="11" t="s">
        <v>29</v>
      </c>
      <c r="E595" s="15">
        <v>3</v>
      </c>
    </row>
    <row r="596" spans="1:14">
      <c r="A596" s="15">
        <v>4</v>
      </c>
      <c r="B596" s="71">
        <v>45352</v>
      </c>
      <c r="C596">
        <v>2024</v>
      </c>
      <c r="D596" s="11" t="s">
        <v>29</v>
      </c>
      <c r="E596" s="15">
        <v>3</v>
      </c>
      <c r="I596" s="27"/>
      <c r="J596" s="27"/>
    </row>
    <row r="597" spans="1:14">
      <c r="A597" s="15">
        <v>3</v>
      </c>
      <c r="B597" s="71">
        <v>45383</v>
      </c>
      <c r="C597">
        <v>2024</v>
      </c>
      <c r="D597" s="11" t="s">
        <v>30</v>
      </c>
      <c r="E597" s="15">
        <v>4</v>
      </c>
      <c r="F597" s="78">
        <v>0.67600000000000005</v>
      </c>
      <c r="G597" s="98">
        <v>0.01</v>
      </c>
    </row>
    <row r="598" spans="1:14">
      <c r="A598" s="15">
        <v>4</v>
      </c>
      <c r="B598" s="71">
        <v>45383</v>
      </c>
      <c r="C598">
        <v>2024</v>
      </c>
      <c r="D598" s="11" t="s">
        <v>30</v>
      </c>
      <c r="E598" s="15">
        <v>4</v>
      </c>
      <c r="F598" s="78">
        <v>5.6429999999999998</v>
      </c>
      <c r="G598" s="98">
        <v>3.5999999999999997E-2</v>
      </c>
      <c r="I598" s="27">
        <f t="shared" ref="I598" si="106">AVERAGE(F597:F598)</f>
        <v>3.1595</v>
      </c>
      <c r="J598" s="27">
        <f t="shared" ref="J598" si="107">AVERAGE(G597:G598)</f>
        <v>2.3E-2</v>
      </c>
      <c r="L598">
        <f t="shared" ref="L598" si="108">+J598/I598</f>
        <v>7.2796328532995728E-3</v>
      </c>
      <c r="M598">
        <f t="shared" ref="M598" si="109">+(L598-$L$619)/$L$620</f>
        <v>-0.83524778695000923</v>
      </c>
      <c r="N598">
        <f>+N594+M598</f>
        <v>-1.1129102498549552</v>
      </c>
    </row>
    <row r="599" spans="1:14">
      <c r="A599" s="15">
        <v>3</v>
      </c>
      <c r="B599" s="71">
        <v>45413</v>
      </c>
      <c r="C599">
        <v>2024</v>
      </c>
      <c r="D599" s="11" t="s">
        <v>31</v>
      </c>
      <c r="E599" s="15">
        <v>5</v>
      </c>
      <c r="F599" s="78">
        <v>8.4570000000000007</v>
      </c>
      <c r="G599" s="98">
        <v>0.91200000000000003</v>
      </c>
    </row>
    <row r="600" spans="1:14">
      <c r="A600" s="15">
        <v>4</v>
      </c>
      <c r="B600" s="71">
        <v>45413</v>
      </c>
      <c r="C600">
        <v>2024</v>
      </c>
      <c r="D600" s="11" t="s">
        <v>31</v>
      </c>
      <c r="E600" s="15">
        <v>5</v>
      </c>
      <c r="F600" s="78">
        <v>8.4969999999999999</v>
      </c>
      <c r="G600" s="98">
        <v>1.282</v>
      </c>
      <c r="I600" s="27">
        <f t="shared" ref="I600:J600" si="110">AVERAGE(F599:F600)</f>
        <v>8.4770000000000003</v>
      </c>
      <c r="J600" s="27">
        <f t="shared" si="110"/>
        <v>1.097</v>
      </c>
      <c r="L600">
        <f t="shared" ref="L600" si="111">+J600/I600</f>
        <v>0.12940898902913767</v>
      </c>
      <c r="M600">
        <f t="shared" ref="M600" si="112">+(L600-$L$619)/$L$620</f>
        <v>1.1129102498549577</v>
      </c>
      <c r="N600">
        <f t="shared" ref="N600" si="113">+N598+M600</f>
        <v>2.4424906541753444E-15</v>
      </c>
    </row>
    <row r="601" spans="1:14">
      <c r="A601" s="15">
        <v>3</v>
      </c>
      <c r="B601" s="71">
        <v>45444</v>
      </c>
      <c r="C601">
        <v>2024</v>
      </c>
      <c r="D601" s="11" t="s">
        <v>32</v>
      </c>
      <c r="E601" s="15">
        <v>6</v>
      </c>
    </row>
    <row r="602" spans="1:14">
      <c r="A602" s="15">
        <v>4</v>
      </c>
      <c r="B602" s="71">
        <v>45444</v>
      </c>
      <c r="C602">
        <v>2024</v>
      </c>
      <c r="D602" s="11" t="s">
        <v>32</v>
      </c>
      <c r="E602" s="15">
        <v>6</v>
      </c>
    </row>
    <row r="603" spans="1:14">
      <c r="A603" s="15">
        <v>3</v>
      </c>
      <c r="B603" s="71">
        <v>45474</v>
      </c>
      <c r="C603">
        <v>2024</v>
      </c>
      <c r="D603" s="11" t="s">
        <v>33</v>
      </c>
      <c r="E603" s="15">
        <v>7</v>
      </c>
    </row>
    <row r="604" spans="1:14">
      <c r="A604" s="15">
        <v>4</v>
      </c>
      <c r="B604" s="71">
        <v>45474</v>
      </c>
      <c r="C604">
        <v>2024</v>
      </c>
      <c r="D604" s="11" t="s">
        <v>33</v>
      </c>
      <c r="E604" s="15">
        <v>7</v>
      </c>
    </row>
    <row r="605" spans="1:14">
      <c r="A605" s="15">
        <v>3</v>
      </c>
      <c r="B605" s="71">
        <v>45505</v>
      </c>
      <c r="C605">
        <v>2024</v>
      </c>
      <c r="D605" s="11" t="s">
        <v>34</v>
      </c>
      <c r="E605" s="15">
        <v>8</v>
      </c>
    </row>
    <row r="606" spans="1:14">
      <c r="A606" s="15">
        <v>4</v>
      </c>
      <c r="B606" s="71">
        <v>45505</v>
      </c>
      <c r="C606">
        <v>2024</v>
      </c>
      <c r="D606" s="11" t="s">
        <v>34</v>
      </c>
      <c r="E606" s="15">
        <v>8</v>
      </c>
    </row>
    <row r="607" spans="1:14">
      <c r="A607" s="15">
        <v>3</v>
      </c>
      <c r="B607" s="71">
        <v>45536</v>
      </c>
      <c r="C607">
        <v>2024</v>
      </c>
      <c r="D607" s="11" t="s">
        <v>40</v>
      </c>
      <c r="E607" s="15">
        <v>9</v>
      </c>
    </row>
    <row r="608" spans="1:14">
      <c r="A608" s="15">
        <v>4</v>
      </c>
      <c r="B608" s="71">
        <v>45536</v>
      </c>
      <c r="C608">
        <v>2024</v>
      </c>
      <c r="D608" s="11" t="s">
        <v>40</v>
      </c>
      <c r="E608" s="15">
        <v>9</v>
      </c>
    </row>
    <row r="609" spans="1:12">
      <c r="A609" s="15">
        <v>3</v>
      </c>
      <c r="B609" s="71">
        <v>45566</v>
      </c>
      <c r="C609">
        <v>2024</v>
      </c>
      <c r="D609" s="11" t="s">
        <v>36</v>
      </c>
      <c r="E609" s="15">
        <v>10</v>
      </c>
    </row>
    <row r="610" spans="1:12">
      <c r="A610" s="15">
        <v>4</v>
      </c>
      <c r="B610" s="71">
        <v>45566</v>
      </c>
      <c r="C610">
        <v>2024</v>
      </c>
      <c r="D610" s="11" t="s">
        <v>36</v>
      </c>
      <c r="E610" s="15">
        <v>10</v>
      </c>
    </row>
    <row r="611" spans="1:12">
      <c r="A611" s="15">
        <v>3</v>
      </c>
      <c r="B611" s="71">
        <v>45597</v>
      </c>
      <c r="C611">
        <v>2024</v>
      </c>
      <c r="D611" s="11" t="s">
        <v>37</v>
      </c>
      <c r="E611" s="15">
        <v>11</v>
      </c>
    </row>
    <row r="612" spans="1:12">
      <c r="A612" s="15">
        <v>4</v>
      </c>
      <c r="B612" s="71">
        <v>45597</v>
      </c>
      <c r="C612">
        <v>2024</v>
      </c>
      <c r="D612" s="11" t="s">
        <v>37</v>
      </c>
      <c r="E612" s="15">
        <v>11</v>
      </c>
    </row>
    <row r="613" spans="1:12">
      <c r="A613" s="15">
        <v>3</v>
      </c>
      <c r="B613" s="72">
        <v>45627</v>
      </c>
      <c r="C613">
        <v>2024</v>
      </c>
      <c r="D613" s="11" t="s">
        <v>38</v>
      </c>
      <c r="E613" s="15">
        <v>12</v>
      </c>
    </row>
    <row r="614" spans="1:12">
      <c r="A614" s="15">
        <v>4</v>
      </c>
      <c r="B614" s="71">
        <v>45627</v>
      </c>
      <c r="C614">
        <v>2024</v>
      </c>
      <c r="D614" s="11" t="s">
        <v>38</v>
      </c>
      <c r="E614" s="15">
        <v>12</v>
      </c>
    </row>
    <row r="619" spans="1:12">
      <c r="E619" s="86" t="s">
        <v>90</v>
      </c>
      <c r="F619" s="94">
        <f>AVERAGE(F3:F614)</f>
        <v>11.810511495738579</v>
      </c>
      <c r="K619" s="86" t="s">
        <v>90</v>
      </c>
      <c r="L619" s="86">
        <f>AVERAGE(L4:L614)</f>
        <v>5.9641028869607669E-2</v>
      </c>
    </row>
    <row r="620" spans="1:12">
      <c r="E620" s="86" t="s">
        <v>91</v>
      </c>
      <c r="F620" s="86">
        <f>STDEV(F3:F614)</f>
        <v>10.067389767647274</v>
      </c>
      <c r="K620" s="86" t="s">
        <v>91</v>
      </c>
      <c r="L620" s="86">
        <f>STDEV(L4:L614)</f>
        <v>6.268965549434255E-2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E23D-2E49-684F-81AA-9EB1D6095862}">
  <sheetPr>
    <tabColor theme="9" tint="0.39997558519241921"/>
  </sheetPr>
  <dimension ref="A1:Q620"/>
  <sheetViews>
    <sheetView workbookViewId="0">
      <pane ySplit="2" topLeftCell="A484" activePane="bottomLeft" state="frozen"/>
      <selection pane="bottomLeft" activeCell="N498" sqref="N498"/>
    </sheetView>
  </sheetViews>
  <sheetFormatPr defaultColWidth="11.42578125" defaultRowHeight="15"/>
  <cols>
    <col min="2" max="2" width="10.85546875" style="70"/>
    <col min="14" max="14" width="12.28515625" bestFit="1" customWidth="1"/>
  </cols>
  <sheetData>
    <row r="1" spans="1:17" ht="18">
      <c r="F1" s="1" t="s">
        <v>0</v>
      </c>
      <c r="G1" s="1" t="s">
        <v>1</v>
      </c>
      <c r="I1" s="68" t="s">
        <v>82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10</v>
      </c>
      <c r="I2" s="6" t="s">
        <v>7</v>
      </c>
      <c r="J2" s="6" t="s">
        <v>10</v>
      </c>
      <c r="L2" s="69" t="s">
        <v>88</v>
      </c>
      <c r="M2" s="69" t="s">
        <v>84</v>
      </c>
      <c r="N2" s="69" t="s">
        <v>85</v>
      </c>
    </row>
    <row r="3" spans="1:17">
      <c r="A3" s="8">
        <v>3</v>
      </c>
      <c r="B3" s="74">
        <v>36445</v>
      </c>
      <c r="C3" s="10">
        <v>1999</v>
      </c>
      <c r="D3" s="11" t="s">
        <v>14</v>
      </c>
      <c r="E3" s="12">
        <v>10</v>
      </c>
      <c r="F3" s="13">
        <v>11.587624269536716</v>
      </c>
      <c r="G3" s="13">
        <v>2.0426174305</v>
      </c>
    </row>
    <row r="4" spans="1:17">
      <c r="A4" s="8">
        <v>4</v>
      </c>
      <c r="B4" s="74">
        <v>36444</v>
      </c>
      <c r="C4" s="10">
        <v>1999</v>
      </c>
      <c r="D4" s="11" t="s">
        <v>14</v>
      </c>
      <c r="E4" s="12">
        <v>10</v>
      </c>
      <c r="F4" s="13">
        <v>14.372718367248131</v>
      </c>
      <c r="G4" s="13">
        <v>1.7032575683333331</v>
      </c>
      <c r="I4" s="27">
        <f>AVERAGE(F3:F4)</f>
        <v>12.980171318392424</v>
      </c>
      <c r="J4" s="27">
        <f>AVERAGE(G3:G4)</f>
        <v>1.8729374994166665</v>
      </c>
      <c r="L4">
        <f>+J4/I4</f>
        <v>0.14429220181114122</v>
      </c>
      <c r="M4">
        <f>+(L4-$L$619)/$L$620</f>
        <v>-0.5920476153871983</v>
      </c>
      <c r="N4">
        <f>+M4</f>
        <v>-0.5920476153871983</v>
      </c>
      <c r="Q4" t="s">
        <v>107</v>
      </c>
    </row>
    <row r="5" spans="1:17">
      <c r="A5" s="8">
        <v>3</v>
      </c>
      <c r="B5" s="74">
        <v>36472</v>
      </c>
      <c r="C5" s="10">
        <v>1999</v>
      </c>
      <c r="D5" s="11" t="s">
        <v>16</v>
      </c>
      <c r="E5" s="10">
        <v>11</v>
      </c>
      <c r="F5" s="13">
        <v>4.1068763245169384</v>
      </c>
      <c r="G5" s="13">
        <v>0.50522192050000003</v>
      </c>
    </row>
    <row r="6" spans="1:17">
      <c r="A6" s="8">
        <v>4</v>
      </c>
      <c r="B6" s="74">
        <v>36472</v>
      </c>
      <c r="C6" s="10">
        <v>1999</v>
      </c>
      <c r="D6" s="11" t="s">
        <v>16</v>
      </c>
      <c r="E6" s="10">
        <v>11</v>
      </c>
      <c r="F6" s="13">
        <v>4.5627969464577083</v>
      </c>
      <c r="G6" s="13">
        <v>0.69990685549999998</v>
      </c>
      <c r="I6" s="27">
        <f>AVERAGE(F5:F6)</f>
        <v>4.3348366354873233</v>
      </c>
      <c r="J6" s="27">
        <f>AVERAGE(G5:G6)</f>
        <v>0.60256438800000001</v>
      </c>
      <c r="L6">
        <f>+J6/I6</f>
        <v>0.13900509723182672</v>
      </c>
      <c r="M6">
        <f>+(L6-$L$619)/$L$620</f>
        <v>-0.64226797399918678</v>
      </c>
      <c r="N6">
        <f>+N4+M6</f>
        <v>-1.2343155893863851</v>
      </c>
    </row>
    <row r="7" spans="1:17">
      <c r="A7" s="8">
        <v>3</v>
      </c>
      <c r="B7" s="74">
        <v>36501</v>
      </c>
      <c r="C7" s="10">
        <v>1999</v>
      </c>
      <c r="D7" s="11" t="s">
        <v>17</v>
      </c>
      <c r="E7" s="10">
        <v>12</v>
      </c>
      <c r="F7" s="13">
        <v>3.6119794887362189</v>
      </c>
      <c r="G7" s="13">
        <v>0.40046543000000001</v>
      </c>
    </row>
    <row r="8" spans="1:17">
      <c r="A8" s="8">
        <v>4</v>
      </c>
      <c r="B8" s="74">
        <v>36501</v>
      </c>
      <c r="C8" s="10">
        <v>1999</v>
      </c>
      <c r="D8" s="11" t="s">
        <v>17</v>
      </c>
      <c r="E8" s="10">
        <v>12</v>
      </c>
      <c r="F8" s="13">
        <v>7.6863744774797018</v>
      </c>
      <c r="G8" s="13">
        <v>2.5816659889999998</v>
      </c>
      <c r="I8" s="27">
        <f>AVERAGE(F7:F8)</f>
        <v>5.6491769831079601</v>
      </c>
      <c r="J8" s="27">
        <f>AVERAGE(G7:G8)</f>
        <v>1.4910657094999999</v>
      </c>
      <c r="L8">
        <f>+J8/I8</f>
        <v>0.26394388314590789</v>
      </c>
      <c r="M8">
        <f>+(L8-$L$619)/$L$620</f>
        <v>0.54448188861940405</v>
      </c>
      <c r="N8">
        <f>+N6+M8</f>
        <v>-0.68983370076698103</v>
      </c>
    </row>
    <row r="9" spans="1:17">
      <c r="A9" s="8">
        <v>3</v>
      </c>
      <c r="B9" s="74">
        <v>36530</v>
      </c>
      <c r="C9" s="12">
        <v>2000</v>
      </c>
      <c r="D9" s="11" t="s">
        <v>18</v>
      </c>
      <c r="E9" s="10">
        <v>1</v>
      </c>
      <c r="F9" s="13">
        <v>5.2430358388163469</v>
      </c>
      <c r="G9" s="13">
        <v>1.6686553348333331</v>
      </c>
    </row>
    <row r="10" spans="1:17">
      <c r="A10" s="8">
        <v>4</v>
      </c>
      <c r="B10" s="74">
        <v>36530</v>
      </c>
      <c r="C10" s="12">
        <v>2000</v>
      </c>
      <c r="D10" s="11" t="s">
        <v>18</v>
      </c>
      <c r="E10" s="10">
        <v>1</v>
      </c>
      <c r="F10" s="13">
        <v>9.2030291353057638</v>
      </c>
      <c r="G10" s="13">
        <v>2.7644156874999997</v>
      </c>
      <c r="I10" s="27">
        <f>AVERAGE(F9:F10)</f>
        <v>7.2230324870610554</v>
      </c>
      <c r="J10" s="27">
        <f>AVERAGE(G9:G10)</f>
        <v>2.2165355111666663</v>
      </c>
      <c r="L10">
        <f>+J10/I10</f>
        <v>0.30687048897222136</v>
      </c>
      <c r="M10">
        <f>+(L10-$L$619)/$L$620</f>
        <v>0.95222671497054912</v>
      </c>
      <c r="N10">
        <f>+N8+M10</f>
        <v>0.26239301420356809</v>
      </c>
    </row>
    <row r="11" spans="1:17">
      <c r="A11" s="8">
        <v>3</v>
      </c>
      <c r="B11" s="74">
        <v>36579</v>
      </c>
      <c r="C11" s="12">
        <v>2000</v>
      </c>
      <c r="D11" s="11" t="s">
        <v>19</v>
      </c>
      <c r="E11" s="12">
        <v>2</v>
      </c>
      <c r="F11" s="13">
        <v>4.3640586854323722</v>
      </c>
      <c r="G11" s="13">
        <v>1.6224429144999999</v>
      </c>
    </row>
    <row r="12" spans="1:17">
      <c r="A12" s="8">
        <v>4</v>
      </c>
      <c r="B12" s="74">
        <v>36579</v>
      </c>
      <c r="C12" s="12">
        <v>2000</v>
      </c>
      <c r="D12" s="11" t="s">
        <v>19</v>
      </c>
      <c r="E12" s="12">
        <v>2</v>
      </c>
      <c r="F12" s="13">
        <v>6.7678057546224348</v>
      </c>
      <c r="G12" s="13">
        <v>1.8209400088333334</v>
      </c>
      <c r="I12" s="27">
        <f>AVERAGE(F11:F12)</f>
        <v>5.5659322200274035</v>
      </c>
      <c r="J12" s="27">
        <f>AVERAGE(G11:G12)</f>
        <v>1.7216914616666665</v>
      </c>
      <c r="L12">
        <f>+J12/I12</f>
        <v>0.30932670280670249</v>
      </c>
      <c r="M12">
        <f>+(L12-$L$619)/$L$620</f>
        <v>0.97555743176362664</v>
      </c>
      <c r="N12">
        <f>+N10+M12</f>
        <v>1.2379504459671948</v>
      </c>
    </row>
    <row r="13" spans="1:17">
      <c r="A13" s="8">
        <v>3</v>
      </c>
      <c r="B13" s="74">
        <v>36598</v>
      </c>
      <c r="C13" s="12">
        <v>2000</v>
      </c>
      <c r="D13" s="11" t="s">
        <v>20</v>
      </c>
      <c r="E13" s="12">
        <v>3</v>
      </c>
      <c r="F13" s="13">
        <v>3.9525320086953584</v>
      </c>
      <c r="G13" s="13">
        <v>0.98975917600000007</v>
      </c>
    </row>
    <row r="14" spans="1:17">
      <c r="A14" s="8">
        <v>4</v>
      </c>
      <c r="B14" s="74">
        <v>36598</v>
      </c>
      <c r="C14" s="12">
        <v>2000</v>
      </c>
      <c r="D14" s="11" t="s">
        <v>20</v>
      </c>
      <c r="E14" s="12">
        <v>3</v>
      </c>
      <c r="F14" s="13">
        <v>15.295362854459274</v>
      </c>
      <c r="G14" s="13">
        <v>4.2922111898333331</v>
      </c>
      <c r="I14" s="27">
        <f>AVERAGE(F13:F14)</f>
        <v>9.6239474315773155</v>
      </c>
      <c r="J14" s="27">
        <f>AVERAGE(G13:G14)</f>
        <v>2.6409851829166664</v>
      </c>
      <c r="L14">
        <f>+J14/I14</f>
        <v>0.27441808069849594</v>
      </c>
      <c r="M14">
        <f>+(L14-$L$619)/$L$620</f>
        <v>0.64397263055059251</v>
      </c>
      <c r="N14">
        <f>+N12+M14</f>
        <v>1.8819230765177872</v>
      </c>
    </row>
    <row r="15" spans="1:17">
      <c r="A15" s="8">
        <v>3</v>
      </c>
      <c r="B15" s="74">
        <v>36627</v>
      </c>
      <c r="C15" s="12">
        <v>2000</v>
      </c>
      <c r="D15" s="15" t="s">
        <v>21</v>
      </c>
      <c r="E15" s="12">
        <v>4</v>
      </c>
      <c r="F15" s="13">
        <v>20.474116121754371</v>
      </c>
      <c r="G15" s="13">
        <v>2.4918042569999996</v>
      </c>
    </row>
    <row r="16" spans="1:17">
      <c r="A16" s="8">
        <v>4</v>
      </c>
      <c r="B16" s="74">
        <v>36627</v>
      </c>
      <c r="C16" s="12">
        <v>2000</v>
      </c>
      <c r="D16" s="15" t="s">
        <v>21</v>
      </c>
      <c r="E16" s="12">
        <v>4</v>
      </c>
      <c r="F16" s="13">
        <v>31.833490623441644</v>
      </c>
      <c r="G16" s="13">
        <v>3.8490673759999998</v>
      </c>
      <c r="I16" s="27">
        <f>AVERAGE(F15:F16)</f>
        <v>26.153803372598006</v>
      </c>
      <c r="J16" s="27">
        <f>AVERAGE(G15:G16)</f>
        <v>3.1704358164999995</v>
      </c>
      <c r="L16">
        <f>+J16/I16</f>
        <v>0.12122274421554093</v>
      </c>
      <c r="M16">
        <f>+(L16-$L$619)/$L$620</f>
        <v>-0.81117633055729244</v>
      </c>
      <c r="N16">
        <f>+N14+M16</f>
        <v>1.0707467459604949</v>
      </c>
    </row>
    <row r="17" spans="1:14">
      <c r="A17" s="8">
        <v>3</v>
      </c>
      <c r="B17" s="74">
        <v>36662</v>
      </c>
      <c r="C17" s="12">
        <v>2000</v>
      </c>
      <c r="D17" s="15" t="s">
        <v>22</v>
      </c>
      <c r="E17" s="12">
        <v>5</v>
      </c>
      <c r="F17" s="13">
        <v>12.217087705074391</v>
      </c>
      <c r="G17" s="13">
        <v>4.9139994951666663</v>
      </c>
    </row>
    <row r="18" spans="1:14">
      <c r="A18" s="8">
        <v>4</v>
      </c>
      <c r="B18" s="74">
        <v>36662</v>
      </c>
      <c r="C18" s="12">
        <v>2000</v>
      </c>
      <c r="D18" s="15" t="s">
        <v>22</v>
      </c>
      <c r="E18" s="12">
        <v>5</v>
      </c>
      <c r="F18" s="13">
        <v>13.170256326163051</v>
      </c>
      <c r="G18" s="13">
        <v>3.8913566184999997</v>
      </c>
      <c r="I18" s="27">
        <f>AVERAGE(F17:F18)</f>
        <v>12.69367201561872</v>
      </c>
      <c r="J18" s="27">
        <f>AVERAGE(G17:G18)</f>
        <v>4.4026780568333326</v>
      </c>
      <c r="L18">
        <f>+J18/I18</f>
        <v>0.34684038246900739</v>
      </c>
      <c r="M18">
        <f>+(L18-$L$619)/$L$620</f>
        <v>1.3318867642430823</v>
      </c>
      <c r="N18">
        <f>+N16+M18</f>
        <v>2.402633510203577</v>
      </c>
    </row>
    <row r="19" spans="1:14">
      <c r="A19" s="8">
        <v>3</v>
      </c>
      <c r="B19" s="74">
        <v>36690</v>
      </c>
      <c r="C19" s="12">
        <v>2000</v>
      </c>
      <c r="D19" s="15" t="s">
        <v>23</v>
      </c>
      <c r="E19" s="12">
        <v>6</v>
      </c>
      <c r="F19" s="13">
        <v>18.42501600604221</v>
      </c>
      <c r="G19" s="13">
        <v>4.427583626333333</v>
      </c>
    </row>
    <row r="20" spans="1:14">
      <c r="A20" s="8">
        <v>4</v>
      </c>
      <c r="B20" s="74">
        <v>36690</v>
      </c>
      <c r="C20" s="12">
        <v>2000</v>
      </c>
      <c r="D20" s="15" t="s">
        <v>23</v>
      </c>
      <c r="E20" s="12">
        <v>6</v>
      </c>
      <c r="F20" s="13">
        <v>32.976907299549254</v>
      </c>
      <c r="G20" s="13">
        <v>3.9440741166666662</v>
      </c>
      <c r="I20" s="27">
        <f>AVERAGE(F19:F20)</f>
        <v>25.700961652795733</v>
      </c>
      <c r="J20" s="27">
        <f>AVERAGE(G19:G20)</f>
        <v>4.1858288715</v>
      </c>
      <c r="L20">
        <f>+J20/I20</f>
        <v>0.16286662452743936</v>
      </c>
      <c r="M20">
        <f>+(L20-$L$619)/$L$620</f>
        <v>-0.41561566556862656</v>
      </c>
      <c r="N20">
        <f>+N18+M20</f>
        <v>1.9870178446349505</v>
      </c>
    </row>
    <row r="21" spans="1:14">
      <c r="A21" s="8">
        <v>3</v>
      </c>
      <c r="B21" s="74">
        <v>36718</v>
      </c>
      <c r="C21" s="12">
        <v>2000</v>
      </c>
      <c r="D21" s="15" t="s">
        <v>24</v>
      </c>
      <c r="E21" s="12">
        <v>7</v>
      </c>
      <c r="F21" s="13">
        <v>20.025245213728596</v>
      </c>
      <c r="G21" s="13">
        <v>2.8437402403333327</v>
      </c>
    </row>
    <row r="22" spans="1:14">
      <c r="A22" s="8">
        <v>4</v>
      </c>
      <c r="B22" s="74">
        <v>36718</v>
      </c>
      <c r="C22" s="12">
        <v>2000</v>
      </c>
      <c r="D22" s="15" t="s">
        <v>24</v>
      </c>
      <c r="E22" s="12">
        <v>7</v>
      </c>
      <c r="F22" s="13">
        <v>31.953396116235044</v>
      </c>
      <c r="G22" s="13">
        <v>4.006450249666667</v>
      </c>
      <c r="I22" s="27">
        <f>AVERAGE(F21:F22)</f>
        <v>25.989320664981818</v>
      </c>
      <c r="J22" s="27">
        <f>AVERAGE(G21:G22)</f>
        <v>3.4250952449999996</v>
      </c>
      <c r="L22">
        <f>+J22/I22</f>
        <v>0.1317885638163292</v>
      </c>
      <c r="M22">
        <f>+(L22-$L$619)/$L$620</f>
        <v>-0.71081530281118321</v>
      </c>
      <c r="N22">
        <f>+N20+M22</f>
        <v>1.2762025418237672</v>
      </c>
    </row>
    <row r="23" spans="1:14">
      <c r="A23" s="8">
        <v>3</v>
      </c>
      <c r="B23" s="74">
        <v>36753</v>
      </c>
      <c r="C23" s="12">
        <v>2000</v>
      </c>
      <c r="D23" s="15" t="s">
        <v>25</v>
      </c>
      <c r="E23" s="12">
        <v>8</v>
      </c>
      <c r="F23" s="13">
        <v>28.156610334451724</v>
      </c>
      <c r="G23" s="13">
        <v>3.2528478158333338</v>
      </c>
    </row>
    <row r="24" spans="1:14">
      <c r="A24" s="8">
        <v>4</v>
      </c>
      <c r="B24" s="74">
        <v>36753</v>
      </c>
      <c r="C24" s="12">
        <v>2000</v>
      </c>
      <c r="D24" s="15" t="s">
        <v>25</v>
      </c>
      <c r="E24" s="12">
        <v>8</v>
      </c>
      <c r="F24" s="13">
        <v>35.417949447438119</v>
      </c>
      <c r="G24" s="13">
        <v>2.8447982183333327</v>
      </c>
      <c r="I24" s="27">
        <f>AVERAGE(F23:F24)</f>
        <v>31.787279890944923</v>
      </c>
      <c r="J24" s="27">
        <f>AVERAGE(G23:G24)</f>
        <v>3.0488230170833335</v>
      </c>
      <c r="L24">
        <f>+J24/I24</f>
        <v>9.5913303294373295E-2</v>
      </c>
      <c r="M24">
        <f>+(L24-$L$619)/$L$620</f>
        <v>-1.0515818644865591</v>
      </c>
      <c r="N24">
        <f>+N22+M24</f>
        <v>0.22462067733720814</v>
      </c>
    </row>
    <row r="25" spans="1:14">
      <c r="A25" s="8">
        <v>3</v>
      </c>
      <c r="B25" s="74">
        <v>36781</v>
      </c>
      <c r="C25" s="12">
        <v>2000</v>
      </c>
      <c r="D25" s="15" t="s">
        <v>26</v>
      </c>
      <c r="E25" s="12">
        <v>9</v>
      </c>
      <c r="F25" s="16">
        <v>5.505185712210781</v>
      </c>
      <c r="G25" s="16">
        <v>0.97710956666666671</v>
      </c>
    </row>
    <row r="26" spans="1:14">
      <c r="A26" s="8">
        <v>4</v>
      </c>
      <c r="B26" s="74">
        <v>36781</v>
      </c>
      <c r="C26" s="12">
        <v>2000</v>
      </c>
      <c r="D26" s="15" t="s">
        <v>26</v>
      </c>
      <c r="E26" s="12">
        <v>9</v>
      </c>
      <c r="F26" s="16">
        <v>10.02760484010903</v>
      </c>
      <c r="G26" s="16">
        <v>1.7485088766666665</v>
      </c>
      <c r="I26" s="27">
        <f>AVERAGE(F25:F26)</f>
        <v>7.7663952761599049</v>
      </c>
      <c r="J26" s="27">
        <f>AVERAGE(G25:G26)</f>
        <v>1.3628092216666667</v>
      </c>
      <c r="L26">
        <f>+J26/I26</f>
        <v>0.17547513012246627</v>
      </c>
      <c r="M26">
        <f>+(L26-$L$619)/$L$620</f>
        <v>-0.29585187746031338</v>
      </c>
      <c r="N26">
        <f>+N24+M26</f>
        <v>-7.1231200123105243E-2</v>
      </c>
    </row>
    <row r="27" spans="1:14">
      <c r="A27" s="8">
        <v>3</v>
      </c>
      <c r="B27" s="74">
        <v>36817</v>
      </c>
      <c r="C27" s="12">
        <v>2000</v>
      </c>
      <c r="D27" s="15" t="s">
        <v>14</v>
      </c>
      <c r="E27" s="12">
        <v>10</v>
      </c>
      <c r="F27" s="17">
        <v>5.1552847540285232</v>
      </c>
      <c r="G27" s="17">
        <v>0.16182010433333333</v>
      </c>
    </row>
    <row r="28" spans="1:14">
      <c r="A28" s="8">
        <v>4</v>
      </c>
      <c r="B28" s="74">
        <v>36817</v>
      </c>
      <c r="C28" s="12">
        <v>2000</v>
      </c>
      <c r="D28" s="15" t="s">
        <v>14</v>
      </c>
      <c r="E28" s="12">
        <v>10</v>
      </c>
      <c r="F28" s="17">
        <v>7.6204647894963671</v>
      </c>
      <c r="G28" s="17">
        <v>0.29691672433333333</v>
      </c>
      <c r="I28" s="27">
        <f>AVERAGE(F27:F28)</f>
        <v>6.3878747717624451</v>
      </c>
      <c r="J28" s="27">
        <f>AVERAGE(G27:G28)</f>
        <v>0.22936841433333333</v>
      </c>
      <c r="L28">
        <f>+J28/I28</f>
        <v>3.5906842655597251E-2</v>
      </c>
      <c r="M28">
        <f>+(L28-$L$619)/$L$620</f>
        <v>-1.621562262473357</v>
      </c>
      <c r="N28">
        <f>+N26+M28</f>
        <v>-1.6927934625964622</v>
      </c>
    </row>
    <row r="29" spans="1:14">
      <c r="A29" s="8">
        <v>3</v>
      </c>
      <c r="B29" s="74">
        <v>36848</v>
      </c>
      <c r="C29" s="12">
        <v>2000</v>
      </c>
      <c r="D29" s="15" t="s">
        <v>16</v>
      </c>
      <c r="E29" s="12">
        <v>11</v>
      </c>
      <c r="F29" s="17">
        <v>2.1484922622143627</v>
      </c>
      <c r="G29" s="17">
        <v>0.27904777783333334</v>
      </c>
    </row>
    <row r="30" spans="1:14">
      <c r="A30" s="8">
        <v>4</v>
      </c>
      <c r="B30" s="74">
        <v>36848</v>
      </c>
      <c r="C30" s="12">
        <v>2000</v>
      </c>
      <c r="D30" s="15" t="s">
        <v>16</v>
      </c>
      <c r="E30" s="12">
        <v>11</v>
      </c>
      <c r="F30" s="17">
        <v>5.0971790667895167</v>
      </c>
      <c r="G30" s="17">
        <v>0.57796765750000001</v>
      </c>
      <c r="I30" s="27">
        <f>AVERAGE(F29:F30)</f>
        <v>3.6228356645019399</v>
      </c>
      <c r="J30" s="27">
        <f>AVERAGE(G29:G30)</f>
        <v>0.42850771766666668</v>
      </c>
      <c r="L30">
        <f>+J30/I30</f>
        <v>0.11827964537982349</v>
      </c>
      <c r="M30">
        <f>+(L30-$L$619)/$L$620</f>
        <v>-0.83913179781597458</v>
      </c>
      <c r="N30">
        <f>+N28+M30</f>
        <v>-2.5319252604124367</v>
      </c>
    </row>
    <row r="31" spans="1:14">
      <c r="A31" s="8">
        <v>3</v>
      </c>
      <c r="B31" s="74">
        <v>36871</v>
      </c>
      <c r="C31" s="12">
        <v>2000</v>
      </c>
      <c r="D31" s="15" t="s">
        <v>17</v>
      </c>
      <c r="E31" s="12">
        <v>12</v>
      </c>
      <c r="F31" s="17">
        <v>1.8706891478801031</v>
      </c>
      <c r="G31" s="17">
        <v>0.16593030483333332</v>
      </c>
    </row>
    <row r="32" spans="1:14">
      <c r="A32" s="8">
        <v>4</v>
      </c>
      <c r="B32" s="74">
        <v>36871</v>
      </c>
      <c r="C32" s="12">
        <v>2000</v>
      </c>
      <c r="D32" s="15" t="s">
        <v>17</v>
      </c>
      <c r="E32" s="12">
        <v>12</v>
      </c>
      <c r="F32" s="17">
        <v>3.7620316666914344</v>
      </c>
      <c r="G32" s="17">
        <v>0.33870979066666662</v>
      </c>
      <c r="I32" s="27">
        <f>AVERAGE(F31:F32)</f>
        <v>2.8163604072857686</v>
      </c>
      <c r="J32" s="27">
        <f>AVERAGE(G31:G32)</f>
        <v>0.25232004774999994</v>
      </c>
      <c r="L32">
        <f>+J32/I32</f>
        <v>8.9590823353879689E-2</v>
      </c>
      <c r="M32">
        <f>+(L32-$L$619)/$L$620</f>
        <v>-1.1116368918016912</v>
      </c>
      <c r="N32">
        <f>+N30+M32</f>
        <v>-3.6435621522141277</v>
      </c>
    </row>
    <row r="33" spans="1:14">
      <c r="A33" s="8">
        <v>3</v>
      </c>
      <c r="B33" s="74">
        <v>36901</v>
      </c>
      <c r="C33" s="12">
        <v>2001</v>
      </c>
      <c r="D33" s="15" t="s">
        <v>18</v>
      </c>
      <c r="E33" s="12">
        <v>1</v>
      </c>
      <c r="F33" s="17">
        <v>3.6603537246189437</v>
      </c>
      <c r="G33" s="17">
        <v>0.27575674500000003</v>
      </c>
    </row>
    <row r="34" spans="1:14">
      <c r="A34" s="8">
        <v>4</v>
      </c>
      <c r="B34" s="74">
        <v>36901</v>
      </c>
      <c r="C34" s="12">
        <v>2001</v>
      </c>
      <c r="D34" s="15" t="s">
        <v>18</v>
      </c>
      <c r="E34" s="12">
        <v>1</v>
      </c>
      <c r="F34" s="17">
        <v>7.1778812047673535</v>
      </c>
      <c r="G34" s="17">
        <v>0.40866622716666662</v>
      </c>
      <c r="I34" s="27">
        <f>AVERAGE(F33:F34)</f>
        <v>5.4191174646931488</v>
      </c>
      <c r="J34" s="27">
        <f>AVERAGE(G33:G34)</f>
        <v>0.34221148608333329</v>
      </c>
      <c r="L34">
        <f>+J34/I34</f>
        <v>6.3148933071283886E-2</v>
      </c>
      <c r="M34">
        <f>+(L34-$L$619)/$L$620</f>
        <v>-1.362799166436135</v>
      </c>
      <c r="N34">
        <f>+N32+M34</f>
        <v>-5.0063613186502627</v>
      </c>
    </row>
    <row r="35" spans="1:14">
      <c r="A35" s="12">
        <v>3</v>
      </c>
      <c r="B35" s="74">
        <v>36928</v>
      </c>
      <c r="C35" s="12">
        <v>2001</v>
      </c>
      <c r="D35" s="11" t="s">
        <v>19</v>
      </c>
      <c r="E35" s="12">
        <v>2</v>
      </c>
      <c r="F35" s="17">
        <v>3.8381383827951239</v>
      </c>
      <c r="G35" s="17">
        <v>1.1100196778333333</v>
      </c>
    </row>
    <row r="36" spans="1:14">
      <c r="A36" s="12">
        <v>4</v>
      </c>
      <c r="B36" s="74">
        <v>36928</v>
      </c>
      <c r="C36" s="12">
        <v>2001</v>
      </c>
      <c r="D36" s="11" t="s">
        <v>19</v>
      </c>
      <c r="E36" s="12">
        <v>2</v>
      </c>
      <c r="F36" s="17">
        <v>4.6473219110529893</v>
      </c>
      <c r="G36" s="17">
        <v>0.97963751766666662</v>
      </c>
      <c r="I36" s="27">
        <f>AVERAGE(F35:F36)</f>
        <v>4.2427301469240568</v>
      </c>
      <c r="J36" s="27">
        <f>AVERAGE(G35:G36)</f>
        <v>1.04482859775</v>
      </c>
      <c r="L36">
        <f>+J36/I36</f>
        <v>0.24626326953824576</v>
      </c>
      <c r="M36">
        <f>+(L36-$L$619)/$L$620</f>
        <v>0.37653991914697144</v>
      </c>
      <c r="N36">
        <f>+N34+M36</f>
        <v>-4.6298213995032915</v>
      </c>
    </row>
    <row r="37" spans="1:14">
      <c r="A37" s="8">
        <v>3</v>
      </c>
      <c r="B37" s="74">
        <v>36965</v>
      </c>
      <c r="C37" s="12">
        <v>2001</v>
      </c>
      <c r="D37" s="11" t="s">
        <v>20</v>
      </c>
      <c r="E37" s="12">
        <v>3</v>
      </c>
      <c r="F37" s="17">
        <v>3.0647509565419848</v>
      </c>
      <c r="G37" s="17">
        <v>0.84151561733333335</v>
      </c>
    </row>
    <row r="38" spans="1:14">
      <c r="A38" s="8">
        <v>4</v>
      </c>
      <c r="B38" s="74">
        <v>36965</v>
      </c>
      <c r="C38" s="12">
        <v>2001</v>
      </c>
      <c r="D38" s="11" t="s">
        <v>20</v>
      </c>
      <c r="E38" s="12">
        <v>3</v>
      </c>
      <c r="F38" s="17">
        <v>15.923001191095393</v>
      </c>
      <c r="G38" s="17">
        <v>4.7861398346666668</v>
      </c>
      <c r="I38" s="27">
        <f>AVERAGE(F37:F38)</f>
        <v>9.4938760738186883</v>
      </c>
      <c r="J38" s="27">
        <f>AVERAGE(G37:G38)</f>
        <v>2.813827726</v>
      </c>
      <c r="L38">
        <f>+J38/I38</f>
        <v>0.2963834480375942</v>
      </c>
      <c r="M38">
        <f>+(L38-$L$619)/$L$620</f>
        <v>0.85261397824199692</v>
      </c>
      <c r="N38">
        <f>+N36+M38</f>
        <v>-3.7772074212612945</v>
      </c>
    </row>
    <row r="39" spans="1:14">
      <c r="A39" s="8">
        <v>3</v>
      </c>
      <c r="B39" s="74">
        <v>37000</v>
      </c>
      <c r="C39" s="12">
        <v>2001</v>
      </c>
      <c r="D39" s="15" t="s">
        <v>21</v>
      </c>
      <c r="E39" s="12">
        <v>4</v>
      </c>
      <c r="F39" s="17">
        <v>1.787291100592947</v>
      </c>
      <c r="G39" s="17">
        <v>0.27965685950000002</v>
      </c>
    </row>
    <row r="40" spans="1:14">
      <c r="A40" s="8">
        <v>4</v>
      </c>
      <c r="B40" s="74">
        <v>37000</v>
      </c>
      <c r="C40" s="12">
        <v>2001</v>
      </c>
      <c r="D40" s="15" t="s">
        <v>21</v>
      </c>
      <c r="E40" s="12">
        <v>4</v>
      </c>
      <c r="F40" s="17">
        <v>5.6942883340020707</v>
      </c>
      <c r="G40" s="17">
        <v>1.3340860415</v>
      </c>
      <c r="I40" s="27">
        <f>AVERAGE(F39:F40)</f>
        <v>3.7407897172975089</v>
      </c>
      <c r="J40" s="27">
        <f>AVERAGE(G39:G40)</f>
        <v>0.80687145049999998</v>
      </c>
      <c r="L40">
        <f>+J40/I40</f>
        <v>0.21569548450398199</v>
      </c>
      <c r="M40">
        <f>+(L40-$L$619)/$L$620</f>
        <v>8.6187212222846907E-2</v>
      </c>
      <c r="N40">
        <f>+N38+M40</f>
        <v>-3.6910202090384474</v>
      </c>
    </row>
    <row r="41" spans="1:14">
      <c r="A41" s="8">
        <v>3</v>
      </c>
      <c r="B41" s="74">
        <v>37026</v>
      </c>
      <c r="C41" s="12">
        <v>2001</v>
      </c>
      <c r="D41" s="15" t="s">
        <v>22</v>
      </c>
      <c r="E41" s="12">
        <v>5</v>
      </c>
      <c r="F41" s="17">
        <v>6.2271437772758107</v>
      </c>
      <c r="G41" s="17">
        <v>2.5785345510000002</v>
      </c>
    </row>
    <row r="42" spans="1:14">
      <c r="A42" s="8">
        <v>4</v>
      </c>
      <c r="B42" s="74">
        <v>37026</v>
      </c>
      <c r="C42" s="12">
        <v>2001</v>
      </c>
      <c r="D42" s="15" t="s">
        <v>22</v>
      </c>
      <c r="E42" s="12">
        <v>5</v>
      </c>
      <c r="F42" s="17">
        <v>13.68592039227633</v>
      </c>
      <c r="G42" s="17">
        <v>4.7100608169999996</v>
      </c>
      <c r="I42" s="27">
        <f>AVERAGE(F41:F42)</f>
        <v>9.9565320847760699</v>
      </c>
      <c r="J42" s="27">
        <f>AVERAGE(G41:G42)</f>
        <v>3.6442976839999996</v>
      </c>
      <c r="L42">
        <f>+J42/I42</f>
        <v>0.3660207844428357</v>
      </c>
      <c r="M42">
        <f>+(L42-$L$619)/$L$620</f>
        <v>1.514074699245616</v>
      </c>
      <c r="N42">
        <f>+N40+M42</f>
        <v>-2.1769455097928314</v>
      </c>
    </row>
    <row r="43" spans="1:14">
      <c r="A43" s="8">
        <v>3</v>
      </c>
      <c r="B43" s="74">
        <v>37055</v>
      </c>
      <c r="C43" s="12">
        <v>2001</v>
      </c>
      <c r="D43" s="15" t="s">
        <v>23</v>
      </c>
      <c r="E43" s="12">
        <v>6</v>
      </c>
      <c r="F43" s="17">
        <v>23.472226020072025</v>
      </c>
      <c r="G43" s="17">
        <v>9.6043826761666669</v>
      </c>
    </row>
    <row r="44" spans="1:14">
      <c r="A44" s="8">
        <v>4</v>
      </c>
      <c r="B44" s="74">
        <v>37055</v>
      </c>
      <c r="C44" s="12">
        <v>2001</v>
      </c>
      <c r="D44" s="15" t="s">
        <v>23</v>
      </c>
      <c r="E44" s="12">
        <v>6</v>
      </c>
      <c r="F44" s="17">
        <v>17.031057322425486</v>
      </c>
      <c r="G44" s="17">
        <v>4.5126676176666667</v>
      </c>
      <c r="I44" s="27">
        <f>AVERAGE(F43:F44)</f>
        <v>20.251641671248755</v>
      </c>
      <c r="J44" s="27">
        <f>AVERAGE(G43:G44)</f>
        <v>7.0585251469166668</v>
      </c>
      <c r="L44">
        <f>+J44/I44</f>
        <v>0.34854088678339845</v>
      </c>
      <c r="M44">
        <f>+(L44-$L$619)/$L$620</f>
        <v>1.3480392604172784</v>
      </c>
      <c r="N44">
        <f>+N42+M44</f>
        <v>-0.82890624937555302</v>
      </c>
    </row>
    <row r="45" spans="1:14">
      <c r="A45" s="8">
        <v>3</v>
      </c>
      <c r="B45" s="74">
        <v>37092</v>
      </c>
      <c r="C45" s="12">
        <v>2001</v>
      </c>
      <c r="D45" s="15" t="s">
        <v>24</v>
      </c>
      <c r="E45" s="12">
        <v>7</v>
      </c>
      <c r="F45" s="17">
        <v>25.751491910508093</v>
      </c>
      <c r="G45" s="17">
        <v>2.7396955681666668</v>
      </c>
    </row>
    <row r="46" spans="1:14">
      <c r="A46" s="8">
        <v>4</v>
      </c>
      <c r="B46" s="74">
        <v>37092</v>
      </c>
      <c r="C46" s="12">
        <v>2001</v>
      </c>
      <c r="D46" s="15" t="s">
        <v>24</v>
      </c>
      <c r="E46" s="12">
        <v>7</v>
      </c>
      <c r="F46" s="17">
        <v>42.768034028077061</v>
      </c>
      <c r="G46" s="17">
        <v>4.4095446401666667</v>
      </c>
      <c r="I46" s="27">
        <f>AVERAGE(F45:F46)</f>
        <v>34.259762969292581</v>
      </c>
      <c r="J46" s="27">
        <f>AVERAGE(G45:G46)</f>
        <v>3.5746201041666668</v>
      </c>
      <c r="L46">
        <f>+J46/I46</f>
        <v>0.10433872841941842</v>
      </c>
      <c r="M46">
        <f>+(L46-$L$619)/$L$620</f>
        <v>-0.97155169582038825</v>
      </c>
      <c r="N46">
        <f>+N44+M46</f>
        <v>-1.8004579451959413</v>
      </c>
    </row>
    <row r="47" spans="1:14">
      <c r="A47" s="8">
        <v>3</v>
      </c>
      <c r="B47" s="74">
        <v>37118</v>
      </c>
      <c r="C47" s="12">
        <v>2001</v>
      </c>
      <c r="D47" s="15" t="s">
        <v>25</v>
      </c>
      <c r="E47" s="12">
        <v>8</v>
      </c>
      <c r="F47" s="17">
        <v>23.00358451823671</v>
      </c>
      <c r="G47" s="17">
        <v>2.6864299611666667</v>
      </c>
    </row>
    <row r="48" spans="1:14">
      <c r="A48" s="8">
        <v>4</v>
      </c>
      <c r="B48" s="74">
        <v>37118</v>
      </c>
      <c r="C48" s="12">
        <v>2001</v>
      </c>
      <c r="D48" s="15" t="s">
        <v>25</v>
      </c>
      <c r="E48" s="12">
        <v>8</v>
      </c>
      <c r="F48" s="17">
        <v>36.365381232012211</v>
      </c>
      <c r="G48" s="17">
        <v>3.2119058913333332</v>
      </c>
      <c r="I48" s="27">
        <f>AVERAGE(F47:F48)</f>
        <v>29.684482875124459</v>
      </c>
      <c r="J48" s="27">
        <f>AVERAGE(G47:G48)</f>
        <v>2.9491679262499999</v>
      </c>
      <c r="L48">
        <f>+J48/I48</f>
        <v>9.9350490242880299E-2</v>
      </c>
      <c r="M48">
        <f>+(L48-$L$619)/$L$620</f>
        <v>-1.0189332269230387</v>
      </c>
      <c r="N48">
        <f>+N46+M48</f>
        <v>-2.8193911721189799</v>
      </c>
    </row>
    <row r="49" spans="1:14">
      <c r="A49" s="8">
        <v>3</v>
      </c>
      <c r="B49" s="74">
        <v>37152</v>
      </c>
      <c r="C49" s="12">
        <v>2001</v>
      </c>
      <c r="D49" s="15" t="s">
        <v>26</v>
      </c>
      <c r="E49" s="12">
        <v>9</v>
      </c>
      <c r="F49" s="17">
        <v>8.8993261414354574</v>
      </c>
      <c r="G49" s="17">
        <v>1.8689569253333334</v>
      </c>
    </row>
    <row r="50" spans="1:14">
      <c r="A50" s="8">
        <v>4</v>
      </c>
      <c r="B50" s="74">
        <v>37152</v>
      </c>
      <c r="C50" s="12">
        <v>2001</v>
      </c>
      <c r="D50" s="15" t="s">
        <v>26</v>
      </c>
      <c r="E50" s="12">
        <v>9</v>
      </c>
      <c r="F50" s="17">
        <v>12.060995468685757</v>
      </c>
      <c r="G50" s="17">
        <v>1.8995613396666664</v>
      </c>
      <c r="I50" s="27">
        <f>AVERAGE(F49:F50)</f>
        <v>10.480160805060606</v>
      </c>
      <c r="J50" s="27">
        <f>AVERAGE(G49:G50)</f>
        <v>1.8842591325</v>
      </c>
      <c r="L50">
        <f>+J50/I50</f>
        <v>0.17979296000784059</v>
      </c>
      <c r="M50">
        <f>+(L50-$L$619)/$L$620</f>
        <v>-0.25483832041484744</v>
      </c>
      <c r="N50">
        <f>+N48+M50</f>
        <v>-3.0742294925338274</v>
      </c>
    </row>
    <row r="51" spans="1:14">
      <c r="A51" s="8">
        <v>3</v>
      </c>
      <c r="B51" s="74">
        <v>37180</v>
      </c>
      <c r="C51" s="12">
        <v>2001</v>
      </c>
      <c r="D51" s="15" t="s">
        <v>14</v>
      </c>
      <c r="E51" s="12">
        <v>10</v>
      </c>
      <c r="F51" s="16">
        <v>3.2493851022036586</v>
      </c>
      <c r="G51" s="16">
        <v>0.3169387733011455</v>
      </c>
    </row>
    <row r="52" spans="1:14">
      <c r="A52" s="8">
        <v>4</v>
      </c>
      <c r="B52" s="74">
        <v>37180</v>
      </c>
      <c r="C52" s="12">
        <v>2001</v>
      </c>
      <c r="D52" s="15" t="s">
        <v>14</v>
      </c>
      <c r="E52" s="12">
        <v>10</v>
      </c>
      <c r="F52" s="16">
        <v>4.2841916128331681</v>
      </c>
      <c r="G52" s="16">
        <v>0.21700994793818773</v>
      </c>
      <c r="I52" s="27">
        <f>AVERAGE(F51:F52)</f>
        <v>3.7667883575184131</v>
      </c>
      <c r="J52" s="27">
        <f>AVERAGE(G51:G52)</f>
        <v>0.26697436061966662</v>
      </c>
      <c r="L52">
        <f>+J52/I52</f>
        <v>7.0875859029030028E-2</v>
      </c>
      <c r="M52">
        <f>+(L52-$L$619)/$L$620</f>
        <v>-1.2894037972420938</v>
      </c>
      <c r="N52">
        <f>+N50+M52</f>
        <v>-4.3636332897759207</v>
      </c>
    </row>
    <row r="53" spans="1:14">
      <c r="A53" s="8">
        <v>3</v>
      </c>
      <c r="B53" s="74">
        <v>37203</v>
      </c>
      <c r="C53" s="12">
        <v>2001</v>
      </c>
      <c r="D53" s="15" t="s">
        <v>16</v>
      </c>
      <c r="E53" s="12">
        <v>11</v>
      </c>
      <c r="F53" s="16">
        <v>1.3616965947949478</v>
      </c>
      <c r="G53" s="16">
        <v>0.11215932781247862</v>
      </c>
    </row>
    <row r="54" spans="1:14">
      <c r="A54" s="8">
        <v>4</v>
      </c>
      <c r="B54" s="74">
        <v>37203</v>
      </c>
      <c r="C54" s="12">
        <v>2001</v>
      </c>
      <c r="D54" s="15" t="s">
        <v>16</v>
      </c>
      <c r="E54" s="12">
        <v>11</v>
      </c>
      <c r="F54" s="16">
        <v>4.0950642991562116</v>
      </c>
      <c r="G54" s="16">
        <v>0.33752291368713699</v>
      </c>
      <c r="I54" s="27">
        <f>AVERAGE(F53:F54)</f>
        <v>2.7283804469755797</v>
      </c>
      <c r="J54" s="27">
        <f>AVERAGE(G53:G54)</f>
        <v>0.2248411207498078</v>
      </c>
      <c r="L54">
        <f>+J54/I54</f>
        <v>8.2408273010109376E-2</v>
      </c>
      <c r="M54">
        <f>+(L54-$L$619)/$L$620</f>
        <v>-1.1798614272920736</v>
      </c>
      <c r="N54">
        <f>+N52+M54</f>
        <v>-5.5434947170679942</v>
      </c>
    </row>
    <row r="55" spans="1:14">
      <c r="A55" s="8">
        <v>3</v>
      </c>
      <c r="B55" s="74">
        <v>37228</v>
      </c>
      <c r="C55" s="12">
        <v>2001</v>
      </c>
      <c r="D55" s="15" t="s">
        <v>17</v>
      </c>
      <c r="E55" s="12">
        <v>12</v>
      </c>
      <c r="F55" s="16">
        <v>4.0507025288412777</v>
      </c>
      <c r="G55" s="16">
        <v>1.6535871579611139</v>
      </c>
    </row>
    <row r="56" spans="1:14">
      <c r="A56" s="8">
        <v>4</v>
      </c>
      <c r="B56" s="74">
        <v>37228</v>
      </c>
      <c r="C56" s="12">
        <v>2001</v>
      </c>
      <c r="D56" s="15" t="s">
        <v>17</v>
      </c>
      <c r="E56" s="12">
        <v>12</v>
      </c>
      <c r="F56" s="16">
        <v>7.1636445505763398</v>
      </c>
      <c r="G56" s="16">
        <v>3.1844264937845796</v>
      </c>
      <c r="I56" s="27">
        <f>AVERAGE(F55:F56)</f>
        <v>5.6071735397088087</v>
      </c>
      <c r="J56" s="27">
        <f>AVERAGE(G55:G56)</f>
        <v>2.419006825872847</v>
      </c>
      <c r="L56">
        <f>+J56/I56</f>
        <v>0.43141286937919004</v>
      </c>
      <c r="M56">
        <f>+(L56-$L$619)/$L$620</f>
        <v>2.1352112602165949</v>
      </c>
      <c r="N56">
        <f>+N54+M56</f>
        <v>-3.4082834568513993</v>
      </c>
    </row>
    <row r="57" spans="1:14">
      <c r="A57" s="8">
        <v>3</v>
      </c>
      <c r="B57" s="74">
        <v>37270</v>
      </c>
      <c r="C57" s="12">
        <v>2002</v>
      </c>
      <c r="D57" s="15" t="s">
        <v>18</v>
      </c>
      <c r="E57" s="12">
        <v>1</v>
      </c>
      <c r="F57" s="16">
        <v>4.2514887305959439</v>
      </c>
      <c r="G57" s="16">
        <v>0.21528763760210951</v>
      </c>
    </row>
    <row r="58" spans="1:14">
      <c r="A58" s="8">
        <v>4</v>
      </c>
      <c r="B58" s="74">
        <v>37270</v>
      </c>
      <c r="C58" s="12">
        <v>2002</v>
      </c>
      <c r="D58" s="15" t="s">
        <v>18</v>
      </c>
      <c r="E58" s="12">
        <v>1</v>
      </c>
      <c r="F58" s="16">
        <v>5.2303111731291096</v>
      </c>
      <c r="G58" s="16">
        <v>0.32932961240137032</v>
      </c>
      <c r="I58" s="27">
        <f>AVERAGE(F57:F58)</f>
        <v>4.7408999518625272</v>
      </c>
      <c r="J58" s="27">
        <f>AVERAGE(G57:G58)</f>
        <v>0.27230862500173991</v>
      </c>
      <c r="L58">
        <f>+J58/I58</f>
        <v>5.7438171605954214E-2</v>
      </c>
      <c r="M58">
        <f>+(L58-$L$619)/$L$620</f>
        <v>-1.4170436937447974</v>
      </c>
      <c r="N58">
        <f>+N56+M58</f>
        <v>-4.8253271505961965</v>
      </c>
    </row>
    <row r="59" spans="1:14">
      <c r="A59" s="8">
        <v>3</v>
      </c>
      <c r="B59" s="74">
        <v>37300</v>
      </c>
      <c r="C59" s="12">
        <v>2002</v>
      </c>
      <c r="D59" s="11" t="s">
        <v>19</v>
      </c>
      <c r="E59" s="12">
        <v>2</v>
      </c>
      <c r="F59" s="16">
        <v>2.5319323297664096</v>
      </c>
      <c r="G59" s="16">
        <v>0.95350270182919128</v>
      </c>
    </row>
    <row r="60" spans="1:14">
      <c r="A60" s="8">
        <v>4</v>
      </c>
      <c r="B60" s="74">
        <v>37300</v>
      </c>
      <c r="C60" s="12">
        <v>2002</v>
      </c>
      <c r="D60" s="11" t="s">
        <v>19</v>
      </c>
      <c r="E60" s="12">
        <v>2</v>
      </c>
      <c r="F60" s="16">
        <v>1.7412773154705985</v>
      </c>
      <c r="G60" s="16">
        <v>0.56422682774764121</v>
      </c>
      <c r="I60" s="27">
        <f>AVERAGE(F59:F60)</f>
        <v>2.1366048226185042</v>
      </c>
      <c r="J60" s="27">
        <f>AVERAGE(G59:G60)</f>
        <v>0.75886476478841625</v>
      </c>
      <c r="L60">
        <f>+J60/I60</f>
        <v>0.35517319663183844</v>
      </c>
      <c r="M60">
        <f>+(L60-$L$619)/$L$620</f>
        <v>1.4110372537457296</v>
      </c>
      <c r="N60">
        <f>+N58+M60</f>
        <v>-3.4142898968504669</v>
      </c>
    </row>
    <row r="61" spans="1:14">
      <c r="A61" s="8">
        <v>3</v>
      </c>
      <c r="B61" s="70">
        <v>37334</v>
      </c>
      <c r="C61" s="12">
        <v>2002</v>
      </c>
      <c r="D61" s="11" t="s">
        <v>20</v>
      </c>
      <c r="E61" s="12">
        <v>3</v>
      </c>
      <c r="F61" s="16">
        <v>3.0997542691102855</v>
      </c>
      <c r="G61" s="16">
        <v>0.94812113106089957</v>
      </c>
    </row>
    <row r="62" spans="1:14">
      <c r="A62" s="8">
        <v>4</v>
      </c>
      <c r="B62" s="70">
        <v>37334</v>
      </c>
      <c r="C62" s="12">
        <v>2002</v>
      </c>
      <c r="D62" s="11" t="s">
        <v>20</v>
      </c>
      <c r="E62" s="12">
        <v>3</v>
      </c>
      <c r="F62" s="16">
        <v>5.2293756812203727</v>
      </c>
      <c r="G62" s="16">
        <v>1.0099404860580177</v>
      </c>
      <c r="I62" s="27">
        <f>AVERAGE(F61:F62)</f>
        <v>4.1645649751653293</v>
      </c>
      <c r="J62" s="27">
        <f>AVERAGE(G61:G62)</f>
        <v>0.97903080855945857</v>
      </c>
      <c r="L62">
        <f>+J62/I62</f>
        <v>0.2350859728201484</v>
      </c>
      <c r="M62">
        <f>+(L62-$L$619)/$L$620</f>
        <v>0.27037068396830399</v>
      </c>
      <c r="N62">
        <f>+N60+M62</f>
        <v>-3.1439192128821629</v>
      </c>
    </row>
    <row r="63" spans="1:14">
      <c r="A63" s="8">
        <v>3</v>
      </c>
      <c r="B63" s="70">
        <v>37361</v>
      </c>
      <c r="C63" s="12">
        <v>2002</v>
      </c>
      <c r="D63" s="15" t="s">
        <v>21</v>
      </c>
      <c r="E63" s="12">
        <v>4</v>
      </c>
      <c r="F63" s="16">
        <v>4.0387561020184775</v>
      </c>
      <c r="G63" s="16">
        <v>0.57794405185674025</v>
      </c>
    </row>
    <row r="64" spans="1:14">
      <c r="A64" s="8">
        <v>4</v>
      </c>
      <c r="B64" s="70">
        <v>37361</v>
      </c>
      <c r="C64" s="12">
        <v>2002</v>
      </c>
      <c r="D64" s="15" t="s">
        <v>21</v>
      </c>
      <c r="E64" s="12">
        <v>4</v>
      </c>
      <c r="F64" s="16">
        <v>11.333801590233278</v>
      </c>
      <c r="G64" s="16">
        <v>1.2763744013350913</v>
      </c>
      <c r="I64" s="27">
        <f>AVERAGE(F63:F64)</f>
        <v>7.6862788461258784</v>
      </c>
      <c r="J64" s="27">
        <f>AVERAGE(G63:G64)</f>
        <v>0.92715922659591576</v>
      </c>
      <c r="L64">
        <f>+J64/I64</f>
        <v>0.1206252394893574</v>
      </c>
      <c r="M64">
        <f>+(L64-$L$619)/$L$620</f>
        <v>-0.81685181912975136</v>
      </c>
      <c r="N64">
        <f>+N62+M64</f>
        <v>-3.9607710320119143</v>
      </c>
    </row>
    <row r="65" spans="1:14">
      <c r="A65" s="8">
        <v>3</v>
      </c>
      <c r="B65" s="70">
        <v>37389</v>
      </c>
      <c r="C65" s="12">
        <v>2002</v>
      </c>
      <c r="D65" s="15" t="s">
        <v>22</v>
      </c>
      <c r="E65" s="12">
        <v>5</v>
      </c>
      <c r="F65" s="16">
        <v>16.987336423440826</v>
      </c>
      <c r="G65" s="20"/>
    </row>
    <row r="66" spans="1:14">
      <c r="A66" s="8">
        <v>4</v>
      </c>
      <c r="B66" s="70">
        <v>37389</v>
      </c>
      <c r="C66" s="12">
        <v>2002</v>
      </c>
      <c r="D66" s="15" t="s">
        <v>22</v>
      </c>
      <c r="E66" s="12">
        <v>5</v>
      </c>
      <c r="F66" s="16">
        <v>14.556047501768324</v>
      </c>
      <c r="G66" s="20"/>
      <c r="I66" s="27">
        <f>AVERAGE(F65:F66)</f>
        <v>15.771691962604574</v>
      </c>
      <c r="J66" s="27" t="e">
        <f>AVERAGE(G65:G66)</f>
        <v>#DIV/0!</v>
      </c>
    </row>
    <row r="67" spans="1:14">
      <c r="A67" s="8">
        <v>3</v>
      </c>
      <c r="B67" s="70">
        <v>37418</v>
      </c>
      <c r="C67" s="12">
        <v>2002</v>
      </c>
      <c r="D67" s="15" t="s">
        <v>23</v>
      </c>
      <c r="E67" s="12">
        <v>6</v>
      </c>
      <c r="F67" s="16">
        <v>27.635613950571745</v>
      </c>
      <c r="G67" s="20"/>
    </row>
    <row r="68" spans="1:14">
      <c r="A68" s="8">
        <v>4</v>
      </c>
      <c r="B68" s="70">
        <v>37418</v>
      </c>
      <c r="C68" s="12">
        <v>2002</v>
      </c>
      <c r="D68" s="15" t="s">
        <v>23</v>
      </c>
      <c r="E68" s="12">
        <v>6</v>
      </c>
      <c r="F68" s="16">
        <v>25.568401315342154</v>
      </c>
      <c r="G68" s="20"/>
      <c r="I68" s="27">
        <f>AVERAGE(F67:F68)</f>
        <v>26.602007632956948</v>
      </c>
      <c r="J68" s="27" t="e">
        <f>AVERAGE(G67:G68)</f>
        <v>#DIV/0!</v>
      </c>
    </row>
    <row r="69" spans="1:14">
      <c r="A69" s="8">
        <v>3</v>
      </c>
      <c r="B69" s="70">
        <v>37455</v>
      </c>
      <c r="C69" s="12">
        <v>2002</v>
      </c>
      <c r="D69" s="15" t="s">
        <v>24</v>
      </c>
      <c r="E69" s="12">
        <v>7</v>
      </c>
      <c r="F69" s="16">
        <v>11.141478683415984</v>
      </c>
      <c r="G69" s="20"/>
    </row>
    <row r="70" spans="1:14">
      <c r="A70" s="8">
        <v>4</v>
      </c>
      <c r="B70" s="70">
        <v>37455</v>
      </c>
      <c r="C70" s="12">
        <v>2002</v>
      </c>
      <c r="D70" s="15" t="s">
        <v>24</v>
      </c>
      <c r="E70" s="12">
        <v>7</v>
      </c>
      <c r="F70" s="16">
        <v>15.213384618270862</v>
      </c>
      <c r="G70" s="20"/>
      <c r="I70" s="27">
        <f>AVERAGE(F69:F70)</f>
        <v>13.177431650843424</v>
      </c>
      <c r="J70" s="27" t="e">
        <f>AVERAGE(G69:G70)</f>
        <v>#DIV/0!</v>
      </c>
    </row>
    <row r="71" spans="1:14">
      <c r="A71" s="8">
        <v>3</v>
      </c>
      <c r="B71" s="70">
        <v>37483</v>
      </c>
      <c r="C71" s="12">
        <v>2002</v>
      </c>
      <c r="D71" s="15" t="s">
        <v>25</v>
      </c>
      <c r="E71" s="12">
        <v>8</v>
      </c>
      <c r="F71" s="16">
        <v>16.190633624498993</v>
      </c>
      <c r="G71" s="20"/>
    </row>
    <row r="72" spans="1:14">
      <c r="A72" s="8">
        <v>4</v>
      </c>
      <c r="B72" s="70">
        <v>37483</v>
      </c>
      <c r="C72" s="12">
        <v>2002</v>
      </c>
      <c r="D72" s="15" t="s">
        <v>25</v>
      </c>
      <c r="E72" s="12">
        <v>8</v>
      </c>
      <c r="F72" s="16">
        <v>25.601505200357359</v>
      </c>
      <c r="G72" s="20"/>
      <c r="I72" s="27">
        <f>AVERAGE(F71:F72)</f>
        <v>20.896069412428176</v>
      </c>
      <c r="J72" s="27" t="e">
        <f>AVERAGE(G71:G72)</f>
        <v>#DIV/0!</v>
      </c>
    </row>
    <row r="73" spans="1:14">
      <c r="A73" s="8">
        <v>3</v>
      </c>
      <c r="B73" s="70">
        <v>37516</v>
      </c>
      <c r="C73" s="12">
        <v>2002</v>
      </c>
      <c r="D73" s="15" t="s">
        <v>26</v>
      </c>
      <c r="E73" s="12">
        <v>9</v>
      </c>
      <c r="F73" s="16">
        <v>18.390989346517241</v>
      </c>
      <c r="G73" s="20"/>
    </row>
    <row r="74" spans="1:14">
      <c r="A74" s="8">
        <v>4</v>
      </c>
      <c r="B74" s="70">
        <v>37516</v>
      </c>
      <c r="C74" s="12">
        <v>2002</v>
      </c>
      <c r="D74" s="15" t="s">
        <v>26</v>
      </c>
      <c r="E74" s="12">
        <v>9</v>
      </c>
      <c r="F74" s="16">
        <v>14.536812608725272</v>
      </c>
      <c r="G74" s="20"/>
      <c r="I74" s="27">
        <f>AVERAGE(F73:F74)</f>
        <v>16.463900977621257</v>
      </c>
      <c r="J74" s="27" t="e">
        <f>AVERAGE(G73:G74)</f>
        <v>#DIV/0!</v>
      </c>
    </row>
    <row r="75" spans="1:14">
      <c r="A75" s="8">
        <v>3</v>
      </c>
      <c r="B75" s="70">
        <v>37544</v>
      </c>
      <c r="C75" s="12">
        <v>2002</v>
      </c>
      <c r="D75" s="15" t="s">
        <v>14</v>
      </c>
      <c r="E75" s="12">
        <v>10</v>
      </c>
      <c r="F75" s="17">
        <v>8.3616599397475788</v>
      </c>
      <c r="G75" s="17">
        <v>1.3378681695660879</v>
      </c>
    </row>
    <row r="76" spans="1:14">
      <c r="A76" s="8">
        <v>4</v>
      </c>
      <c r="B76" s="70">
        <v>37544</v>
      </c>
      <c r="C76" s="12">
        <v>2002</v>
      </c>
      <c r="D76" s="15" t="s">
        <v>14</v>
      </c>
      <c r="E76" s="12">
        <v>10</v>
      </c>
      <c r="F76" s="17">
        <v>13.581539322283454</v>
      </c>
      <c r="G76" s="17">
        <v>1.9765411508432107</v>
      </c>
      <c r="I76" s="27">
        <f>AVERAGE(F75:F76)</f>
        <v>10.971599631015517</v>
      </c>
      <c r="J76" s="27">
        <f>AVERAGE(G75:G76)</f>
        <v>1.6572046602046493</v>
      </c>
      <c r="L76">
        <f>+J76/I76</f>
        <v>0.15104494476082705</v>
      </c>
      <c r="M76">
        <f>+(L76-$L$619)/$L$620</f>
        <v>-0.52790567012010303</v>
      </c>
      <c r="N76">
        <f>+N64+M76</f>
        <v>-4.4886767021320173</v>
      </c>
    </row>
    <row r="77" spans="1:14">
      <c r="A77" s="8">
        <v>3</v>
      </c>
      <c r="B77" s="70">
        <v>37575</v>
      </c>
      <c r="C77" s="12">
        <v>2002</v>
      </c>
      <c r="D77" s="15" t="s">
        <v>16</v>
      </c>
      <c r="E77" s="12">
        <v>11</v>
      </c>
      <c r="F77" s="17">
        <v>2.7732568032777918</v>
      </c>
      <c r="G77" s="17">
        <v>0.88410645762654727</v>
      </c>
    </row>
    <row r="78" spans="1:14">
      <c r="A78" s="8">
        <v>4</v>
      </c>
      <c r="B78" s="70">
        <v>37575</v>
      </c>
      <c r="C78" s="12">
        <v>2002</v>
      </c>
      <c r="D78" s="15" t="s">
        <v>16</v>
      </c>
      <c r="E78" s="12">
        <v>11</v>
      </c>
      <c r="F78" s="17">
        <v>5.0568564250837627</v>
      </c>
      <c r="G78" s="17">
        <v>0.63150956110467937</v>
      </c>
      <c r="I78" s="27">
        <f>AVERAGE(F77:F78)</f>
        <v>3.9150566141807772</v>
      </c>
      <c r="J78" s="27">
        <f>AVERAGE(G77:G78)</f>
        <v>0.75780800936561332</v>
      </c>
      <c r="L78">
        <f>+J78/I78</f>
        <v>0.19356246513032457</v>
      </c>
      <c r="M78">
        <f>+(L78-$L$619)/$L$620</f>
        <v>-0.12404660355222866</v>
      </c>
      <c r="N78">
        <f>+N76+M78</f>
        <v>-4.6127233056842458</v>
      </c>
    </row>
    <row r="79" spans="1:14">
      <c r="A79" s="8">
        <v>3</v>
      </c>
      <c r="B79" s="70">
        <v>37609</v>
      </c>
      <c r="C79" s="12">
        <v>2002</v>
      </c>
      <c r="D79" s="15" t="s">
        <v>17</v>
      </c>
      <c r="E79" s="12">
        <v>12</v>
      </c>
      <c r="F79" s="17">
        <v>13.67730923414349</v>
      </c>
      <c r="G79" s="17">
        <v>0.5979298391792548</v>
      </c>
    </row>
    <row r="80" spans="1:14">
      <c r="A80" s="8">
        <v>4</v>
      </c>
      <c r="B80" s="70">
        <v>37609</v>
      </c>
      <c r="C80" s="12">
        <v>2002</v>
      </c>
      <c r="D80" s="15" t="s">
        <v>17</v>
      </c>
      <c r="E80" s="12">
        <v>12</v>
      </c>
      <c r="F80" s="17">
        <v>23.255795599381781</v>
      </c>
      <c r="G80" s="17">
        <v>0.52297178014023304</v>
      </c>
      <c r="I80" s="27">
        <f>AVERAGE(F79:F80)</f>
        <v>18.466552416762635</v>
      </c>
      <c r="J80" s="27">
        <f>AVERAGE(G79:G80)</f>
        <v>0.56045080965974392</v>
      </c>
      <c r="L80">
        <f>+J80/I80</f>
        <v>3.0349509589619239E-2</v>
      </c>
      <c r="M80">
        <f>+(L80-$L$619)/$L$620</f>
        <v>-1.6743494270381751</v>
      </c>
      <c r="N80">
        <f>+N78+M80</f>
        <v>-6.2870727327224207</v>
      </c>
    </row>
    <row r="81" spans="1:14">
      <c r="A81" s="8">
        <v>3</v>
      </c>
      <c r="B81" s="70">
        <v>37635</v>
      </c>
      <c r="C81" s="12">
        <v>2003</v>
      </c>
      <c r="D81" s="15" t="s">
        <v>18</v>
      </c>
      <c r="E81" s="12">
        <v>1</v>
      </c>
      <c r="F81" s="17">
        <v>28.241100767398116</v>
      </c>
      <c r="G81" s="17">
        <v>1.2652498220194648</v>
      </c>
    </row>
    <row r="82" spans="1:14">
      <c r="A82" s="8">
        <v>4</v>
      </c>
      <c r="B82" s="70">
        <v>37635</v>
      </c>
      <c r="C82" s="12">
        <v>2003</v>
      </c>
      <c r="D82" s="15" t="s">
        <v>18</v>
      </c>
      <c r="E82" s="12">
        <v>1</v>
      </c>
      <c r="F82" s="17">
        <v>22.579198630515862</v>
      </c>
      <c r="G82" s="17">
        <v>0.91541644750245554</v>
      </c>
      <c r="I82" s="27">
        <f>AVERAGE(F81:F82)</f>
        <v>25.410149698956989</v>
      </c>
      <c r="J82" s="27">
        <f>AVERAGE(G81:G82)</f>
        <v>1.0903331347609602</v>
      </c>
      <c r="L82">
        <f>+J82/I82</f>
        <v>4.2909355028542595E-2</v>
      </c>
      <c r="M82">
        <f>+(L82-$L$619)/$L$620</f>
        <v>-1.5550478447464817</v>
      </c>
      <c r="N82">
        <f>+N80+M82</f>
        <v>-7.8421205774689025</v>
      </c>
    </row>
    <row r="83" spans="1:14">
      <c r="A83" s="8">
        <v>3</v>
      </c>
      <c r="B83" s="70">
        <v>37665</v>
      </c>
      <c r="C83" s="12">
        <v>2003</v>
      </c>
      <c r="D83" s="11" t="s">
        <v>19</v>
      </c>
      <c r="E83" s="12">
        <v>2</v>
      </c>
      <c r="F83" s="17">
        <v>11.599366221982605</v>
      </c>
      <c r="G83" s="17">
        <v>2.8492299458795673</v>
      </c>
    </row>
    <row r="84" spans="1:14">
      <c r="A84" s="8">
        <v>4</v>
      </c>
      <c r="B84" s="70">
        <v>37665</v>
      </c>
      <c r="C84" s="12">
        <v>2003</v>
      </c>
      <c r="D84" s="11" t="s">
        <v>19</v>
      </c>
      <c r="E84" s="12">
        <v>2</v>
      </c>
      <c r="F84" s="17">
        <v>6.5677932354348592</v>
      </c>
      <c r="G84" s="17">
        <v>0.93977525485276925</v>
      </c>
      <c r="I84" s="27">
        <f>AVERAGE(F83:F84)</f>
        <v>9.083579728708731</v>
      </c>
      <c r="J84" s="27">
        <f>AVERAGE(G83:G84)</f>
        <v>1.8945026003661682</v>
      </c>
      <c r="L84">
        <f>+J84/I84</f>
        <v>0.20856343610642583</v>
      </c>
      <c r="M84">
        <f>+(L84-$L$619)/$L$620</f>
        <v>1.8442377069658632E-2</v>
      </c>
      <c r="N84">
        <f>+N82+M84</f>
        <v>-7.823678200399244</v>
      </c>
    </row>
    <row r="85" spans="1:14">
      <c r="A85" s="8">
        <v>3</v>
      </c>
      <c r="B85" s="70">
        <v>37692</v>
      </c>
      <c r="C85" s="12">
        <v>2003</v>
      </c>
      <c r="D85" s="11" t="s">
        <v>20</v>
      </c>
      <c r="E85" s="12">
        <v>3</v>
      </c>
      <c r="F85" s="17">
        <v>13.908485665099207</v>
      </c>
      <c r="G85" s="17">
        <v>3.6917216057719613</v>
      </c>
    </row>
    <row r="86" spans="1:14">
      <c r="A86" s="8">
        <v>4</v>
      </c>
      <c r="B86" s="70">
        <v>37692</v>
      </c>
      <c r="C86" s="12">
        <v>2003</v>
      </c>
      <c r="D86" s="11" t="s">
        <v>20</v>
      </c>
      <c r="E86" s="12">
        <v>3</v>
      </c>
      <c r="F86" s="17">
        <v>23.075017988777937</v>
      </c>
      <c r="G86" s="17">
        <v>3.2477772642646592</v>
      </c>
      <c r="I86" s="27">
        <f>AVERAGE(F85:F86)</f>
        <v>18.491751826938572</v>
      </c>
      <c r="J86" s="27">
        <f>AVERAGE(G85:G86)</f>
        <v>3.4697494350183105</v>
      </c>
      <c r="L86">
        <f>+J86/I86</f>
        <v>0.18763768124789665</v>
      </c>
      <c r="M86">
        <f>+(L86-$L$619)/$L$620</f>
        <v>-0.180324055002345</v>
      </c>
      <c r="N86">
        <f>+N84+M86</f>
        <v>-8.0040022554015895</v>
      </c>
    </row>
    <row r="87" spans="1:14">
      <c r="A87" s="8">
        <v>3</v>
      </c>
      <c r="B87" s="70">
        <v>37725</v>
      </c>
      <c r="C87" s="12">
        <v>2003</v>
      </c>
      <c r="D87" s="11" t="s">
        <v>21</v>
      </c>
      <c r="E87" s="12">
        <v>4</v>
      </c>
      <c r="F87" s="17">
        <v>7.8579158920229677</v>
      </c>
      <c r="G87" s="17">
        <v>2.2393015085738774</v>
      </c>
    </row>
    <row r="88" spans="1:14">
      <c r="A88" s="8">
        <v>4</v>
      </c>
      <c r="B88" s="70">
        <v>37725</v>
      </c>
      <c r="C88" s="12">
        <v>2003</v>
      </c>
      <c r="D88" s="11" t="s">
        <v>21</v>
      </c>
      <c r="E88" s="12">
        <v>4</v>
      </c>
      <c r="F88" s="17">
        <v>6.4005604422385955</v>
      </c>
      <c r="G88" s="17">
        <v>1.4024958511353776</v>
      </c>
      <c r="I88" s="27">
        <f>AVERAGE(F87:F88)</f>
        <v>7.1292381671307812</v>
      </c>
      <c r="J88" s="27">
        <f>AVERAGE(G87:G88)</f>
        <v>1.8208986798546274</v>
      </c>
      <c r="L88">
        <f>+J88/I88</f>
        <v>0.25541279968031461</v>
      </c>
      <c r="M88">
        <f>+(L88-$L$619)/$L$620</f>
        <v>0.46344810830283462</v>
      </c>
      <c r="N88">
        <f>+N86+M88</f>
        <v>-7.5405541470987547</v>
      </c>
    </row>
    <row r="89" spans="1:14">
      <c r="A89" s="8">
        <v>3</v>
      </c>
      <c r="B89" s="70">
        <v>37753</v>
      </c>
      <c r="C89" s="12">
        <v>2003</v>
      </c>
      <c r="D89" s="11" t="s">
        <v>22</v>
      </c>
      <c r="E89" s="12">
        <v>5</v>
      </c>
      <c r="F89" s="17">
        <v>10.79591590739744</v>
      </c>
      <c r="G89" s="17">
        <v>4.6208577184266435</v>
      </c>
    </row>
    <row r="90" spans="1:14">
      <c r="A90" s="8">
        <v>4</v>
      </c>
      <c r="B90" s="70">
        <v>37753</v>
      </c>
      <c r="C90" s="12">
        <v>2003</v>
      </c>
      <c r="D90" s="11" t="s">
        <v>22</v>
      </c>
      <c r="E90" s="12">
        <v>5</v>
      </c>
      <c r="F90" s="17">
        <v>10.655932434325212</v>
      </c>
      <c r="G90" s="17">
        <v>3.5044918621614358</v>
      </c>
      <c r="I90" s="27">
        <f>AVERAGE(F89:F90)</f>
        <v>10.725924170861326</v>
      </c>
      <c r="J90" s="27">
        <f>AVERAGE(G89:G90)</f>
        <v>4.0626747902940394</v>
      </c>
      <c r="L90">
        <f>+J90/I90</f>
        <v>0.37877153759215826</v>
      </c>
      <c r="M90">
        <f>+(L90-$L$619)/$L$620</f>
        <v>1.6351896471581735</v>
      </c>
      <c r="N90">
        <f>+N88+M90</f>
        <v>-5.905364499940581</v>
      </c>
    </row>
    <row r="91" spans="1:14">
      <c r="A91" s="8">
        <v>3</v>
      </c>
      <c r="B91" s="70">
        <v>37792</v>
      </c>
      <c r="C91" s="12">
        <v>2003</v>
      </c>
      <c r="D91" s="11" t="s">
        <v>23</v>
      </c>
      <c r="E91" s="12">
        <v>6</v>
      </c>
      <c r="F91" s="17">
        <v>28.830816302160009</v>
      </c>
      <c r="G91" s="17">
        <v>9.2484820254243409</v>
      </c>
    </row>
    <row r="92" spans="1:14">
      <c r="A92" s="8">
        <v>4</v>
      </c>
      <c r="B92" s="70">
        <v>37792</v>
      </c>
      <c r="C92" s="12">
        <v>2003</v>
      </c>
      <c r="D92" s="11" t="s">
        <v>23</v>
      </c>
      <c r="E92" s="12">
        <v>6</v>
      </c>
      <c r="F92" s="17">
        <v>31.750755213618987</v>
      </c>
      <c r="G92" s="17">
        <v>6.1964549168050009</v>
      </c>
      <c r="I92" s="27">
        <f>AVERAGE(F91:F92)</f>
        <v>30.290785757889498</v>
      </c>
      <c r="J92" s="27">
        <f>AVERAGE(G91:G92)</f>
        <v>7.7224684711146709</v>
      </c>
      <c r="L92">
        <f>+J92/I92</f>
        <v>0.25494447495814093</v>
      </c>
      <c r="M92">
        <f>+(L92-$L$619)/$L$620</f>
        <v>0.45899965544142529</v>
      </c>
      <c r="N92">
        <f>+N90+M92</f>
        <v>-5.4463648444991559</v>
      </c>
    </row>
    <row r="93" spans="1:14">
      <c r="A93" s="8">
        <v>3</v>
      </c>
      <c r="B93" s="70">
        <v>37819</v>
      </c>
      <c r="C93" s="12">
        <v>2003</v>
      </c>
      <c r="D93" s="15" t="s">
        <v>24</v>
      </c>
      <c r="E93" s="12">
        <v>7</v>
      </c>
      <c r="F93" s="17">
        <v>22.777820949333798</v>
      </c>
      <c r="G93" s="17">
        <v>1.6389555024155535</v>
      </c>
    </row>
    <row r="94" spans="1:14">
      <c r="A94" s="8">
        <v>4</v>
      </c>
      <c r="B94" s="70">
        <v>37819</v>
      </c>
      <c r="C94" s="12">
        <v>2003</v>
      </c>
      <c r="D94" s="15" t="s">
        <v>24</v>
      </c>
      <c r="E94" s="12">
        <v>7</v>
      </c>
      <c r="F94" s="17">
        <v>23.060198686609905</v>
      </c>
      <c r="G94" s="17">
        <v>2.0963769829407979</v>
      </c>
      <c r="I94" s="27">
        <f>AVERAGE(F93:F94)</f>
        <v>22.919009817971851</v>
      </c>
      <c r="J94" s="27">
        <f>AVERAGE(G93:G94)</f>
        <v>1.8676662426781756</v>
      </c>
      <c r="L94">
        <f>+J94/I94</f>
        <v>8.1489831258488854E-2</v>
      </c>
      <c r="M94">
        <f>+(L94-$L$619)/$L$620</f>
        <v>-1.1885853845050753</v>
      </c>
      <c r="N94">
        <f>+N92+M94</f>
        <v>-6.6349502290042315</v>
      </c>
    </row>
    <row r="95" spans="1:14">
      <c r="A95" s="8">
        <v>3</v>
      </c>
      <c r="B95" s="70">
        <v>37845</v>
      </c>
      <c r="C95" s="12">
        <v>2003</v>
      </c>
      <c r="D95" s="15" t="s">
        <v>25</v>
      </c>
      <c r="E95" s="12">
        <v>8</v>
      </c>
      <c r="F95" s="17">
        <v>41.826009294739215</v>
      </c>
      <c r="G95" s="17">
        <v>4.7867160956671446</v>
      </c>
    </row>
    <row r="96" spans="1:14">
      <c r="A96" s="8">
        <v>4</v>
      </c>
      <c r="B96" s="70">
        <v>37845</v>
      </c>
      <c r="C96" s="12">
        <v>2003</v>
      </c>
      <c r="D96" s="15" t="s">
        <v>25</v>
      </c>
      <c r="E96" s="12">
        <v>8</v>
      </c>
      <c r="F96" s="17">
        <v>78.047371432756734</v>
      </c>
      <c r="G96" s="17">
        <v>11.628614277169929</v>
      </c>
      <c r="I96" s="27">
        <f>AVERAGE(F95:F96)</f>
        <v>59.936690363747971</v>
      </c>
      <c r="J96" s="27">
        <f>AVERAGE(G95:G96)</f>
        <v>8.2076651864185362</v>
      </c>
      <c r="L96">
        <f>+J96/I96</f>
        <v>0.13693891231910346</v>
      </c>
      <c r="M96">
        <f>+(L96-$L$619)/$L$620</f>
        <v>-0.66189394237545363</v>
      </c>
      <c r="N96">
        <f>+N94+M96</f>
        <v>-7.2968441713796848</v>
      </c>
    </row>
    <row r="97" spans="1:14">
      <c r="A97" s="8">
        <v>3</v>
      </c>
      <c r="B97" s="70">
        <v>37888</v>
      </c>
      <c r="C97" s="12">
        <v>2003</v>
      </c>
      <c r="D97" s="15" t="s">
        <v>26</v>
      </c>
      <c r="E97" s="12">
        <v>9</v>
      </c>
      <c r="F97" s="17">
        <v>11.322446784959084</v>
      </c>
      <c r="G97" s="17">
        <v>1.7795026662614706</v>
      </c>
    </row>
    <row r="98" spans="1:14">
      <c r="A98" s="8">
        <v>4</v>
      </c>
      <c r="B98" s="70">
        <v>37888</v>
      </c>
      <c r="C98" s="12">
        <v>2003</v>
      </c>
      <c r="D98" s="15" t="s">
        <v>26</v>
      </c>
      <c r="E98" s="12">
        <v>9</v>
      </c>
      <c r="F98" s="17">
        <v>19.523304188652542</v>
      </c>
      <c r="G98" s="17">
        <v>2.6758212442921878</v>
      </c>
      <c r="I98" s="27">
        <f>AVERAGE(F97:F98)</f>
        <v>15.422875486805813</v>
      </c>
      <c r="J98" s="27">
        <f>AVERAGE(G97:G98)</f>
        <v>2.2276619552768291</v>
      </c>
      <c r="L98">
        <f>+J98/I98</f>
        <v>0.1444388212290621</v>
      </c>
      <c r="M98">
        <f>+(L98-$L$619)/$L$620</f>
        <v>-0.59065492877829784</v>
      </c>
      <c r="N98">
        <f>+N96+M98</f>
        <v>-7.8874991001579824</v>
      </c>
    </row>
    <row r="99" spans="1:14">
      <c r="A99" s="8">
        <v>3</v>
      </c>
      <c r="B99" s="70">
        <v>37910</v>
      </c>
      <c r="C99" s="12">
        <v>2003</v>
      </c>
      <c r="D99" s="15" t="s">
        <v>14</v>
      </c>
      <c r="E99" s="12">
        <v>10</v>
      </c>
      <c r="F99" s="16">
        <v>9.7642000000000007</v>
      </c>
      <c r="G99" s="17">
        <v>1.3839139385783499</v>
      </c>
    </row>
    <row r="100" spans="1:14">
      <c r="A100" s="8">
        <v>4</v>
      </c>
      <c r="B100" s="70">
        <v>37910</v>
      </c>
      <c r="C100" s="12">
        <v>2003</v>
      </c>
      <c r="D100" s="15" t="s">
        <v>14</v>
      </c>
      <c r="E100" s="12">
        <v>10</v>
      </c>
      <c r="F100" s="16">
        <v>9.9925999999999995</v>
      </c>
      <c r="G100" s="17">
        <v>0.81962443561549292</v>
      </c>
      <c r="I100" s="27">
        <f>AVERAGE(F99:F100)</f>
        <v>9.8783999999999992</v>
      </c>
      <c r="J100" s="27">
        <f>AVERAGE(G99:G100)</f>
        <v>1.1017691870969215</v>
      </c>
      <c r="L100">
        <f>+J100/I100</f>
        <v>0.111533161959115</v>
      </c>
      <c r="M100">
        <f>+(L100-$L$619)/$L$620</f>
        <v>-0.9032142860049529</v>
      </c>
      <c r="N100">
        <f>+N98+M100</f>
        <v>-8.7907133861629347</v>
      </c>
    </row>
    <row r="101" spans="1:14">
      <c r="A101" s="8">
        <v>3</v>
      </c>
      <c r="B101" s="70">
        <v>37943</v>
      </c>
      <c r="C101" s="12">
        <v>2003</v>
      </c>
      <c r="D101" s="15" t="s">
        <v>16</v>
      </c>
      <c r="E101" s="12">
        <v>11</v>
      </c>
      <c r="F101" s="16">
        <v>3.2075999999999998</v>
      </c>
      <c r="G101" s="17">
        <v>0.61031253052305934</v>
      </c>
    </row>
    <row r="102" spans="1:14">
      <c r="A102" s="8">
        <v>4</v>
      </c>
      <c r="B102" s="70">
        <v>37943</v>
      </c>
      <c r="C102" s="12">
        <v>2003</v>
      </c>
      <c r="D102" s="15" t="s">
        <v>16</v>
      </c>
      <c r="E102" s="12">
        <v>11</v>
      </c>
      <c r="F102" s="16">
        <v>5.4176000000000002</v>
      </c>
      <c r="G102" s="17">
        <v>0.96361560674696445</v>
      </c>
      <c r="I102" s="27">
        <f>AVERAGE(F101:F102)</f>
        <v>4.3125999999999998</v>
      </c>
      <c r="J102" s="27">
        <f>AVERAGE(G101:G102)</f>
        <v>0.78696406863501189</v>
      </c>
      <c r="L102">
        <f>+J102/I102</f>
        <v>0.18248019028776422</v>
      </c>
      <c r="M102">
        <f>+(L102-$L$619)/$L$620</f>
        <v>-0.22931325914430684</v>
      </c>
      <c r="N102">
        <f>+N100+M102</f>
        <v>-9.020026645307242</v>
      </c>
    </row>
    <row r="103" spans="1:14">
      <c r="A103" s="8">
        <v>3</v>
      </c>
      <c r="B103" s="70">
        <v>37973</v>
      </c>
      <c r="C103" s="12">
        <v>2003</v>
      </c>
      <c r="D103" s="15" t="s">
        <v>17</v>
      </c>
      <c r="E103" s="12">
        <v>12</v>
      </c>
      <c r="F103" s="16">
        <v>11.6934</v>
      </c>
      <c r="G103" s="17">
        <v>1.3370946416200373</v>
      </c>
    </row>
    <row r="104" spans="1:14">
      <c r="A104" s="8">
        <v>4</v>
      </c>
      <c r="B104" s="70">
        <v>37973</v>
      </c>
      <c r="C104" s="12">
        <v>2003</v>
      </c>
      <c r="D104" s="15" t="s">
        <v>17</v>
      </c>
      <c r="E104" s="12">
        <v>12</v>
      </c>
      <c r="F104" s="16">
        <v>10.9465</v>
      </c>
      <c r="G104" s="17">
        <v>1.0249089304915338</v>
      </c>
      <c r="I104" s="27">
        <f>AVERAGE(F103:F104)</f>
        <v>11.31995</v>
      </c>
      <c r="J104" s="27">
        <f>AVERAGE(G103:G104)</f>
        <v>1.1810017860557855</v>
      </c>
      <c r="L104">
        <f>+J104/I104</f>
        <v>0.10432924050510696</v>
      </c>
      <c r="M104">
        <f>+(L104-$L$619)/$L$620</f>
        <v>-0.9716418182025075</v>
      </c>
      <c r="N104">
        <f>+N102+M104</f>
        <v>-9.9916684635097504</v>
      </c>
    </row>
    <row r="105" spans="1:14">
      <c r="A105" s="8">
        <v>3</v>
      </c>
      <c r="B105" s="70">
        <v>37999</v>
      </c>
      <c r="C105" s="12">
        <v>2004</v>
      </c>
      <c r="D105" s="15" t="s">
        <v>18</v>
      </c>
      <c r="E105" s="12">
        <v>1</v>
      </c>
      <c r="F105" s="16">
        <v>5.3851000000000004</v>
      </c>
      <c r="G105" s="16">
        <v>1.7809284283774076</v>
      </c>
    </row>
    <row r="106" spans="1:14">
      <c r="A106" s="8">
        <v>4</v>
      </c>
      <c r="C106" s="12">
        <v>2004</v>
      </c>
      <c r="D106" s="15" t="s">
        <v>18</v>
      </c>
      <c r="E106" s="12">
        <v>1</v>
      </c>
      <c r="F106" s="16"/>
      <c r="I106" s="27">
        <f>AVERAGE(F105:F106)</f>
        <v>5.3851000000000004</v>
      </c>
      <c r="J106" s="27">
        <f>AVERAGE(G105:G106)</f>
        <v>1.7809284283774076</v>
      </c>
      <c r="L106">
        <f>+J106/I106</f>
        <v>0.33071408671657115</v>
      </c>
      <c r="M106">
        <f>+(L106-$L$619)/$L$620</f>
        <v>1.1787087168598513</v>
      </c>
      <c r="N106">
        <f>+N104+M106</f>
        <v>-8.8129597466498986</v>
      </c>
    </row>
    <row r="107" spans="1:14">
      <c r="A107" s="8">
        <v>3</v>
      </c>
      <c r="B107" s="70">
        <v>38027</v>
      </c>
      <c r="C107" s="12">
        <v>2004</v>
      </c>
      <c r="D107" s="11" t="s">
        <v>19</v>
      </c>
      <c r="E107" s="12">
        <v>2</v>
      </c>
      <c r="F107" s="16">
        <v>5.3371000000000004</v>
      </c>
      <c r="G107" s="16">
        <v>1.1945989625959736</v>
      </c>
    </row>
    <row r="108" spans="1:14">
      <c r="A108" s="8">
        <v>4</v>
      </c>
      <c r="B108" s="70">
        <v>38027</v>
      </c>
      <c r="C108" s="12">
        <v>2004</v>
      </c>
      <c r="D108" s="11" t="s">
        <v>19</v>
      </c>
      <c r="E108" s="12">
        <v>2</v>
      </c>
      <c r="F108" s="16">
        <v>2.6084999999999998</v>
      </c>
      <c r="G108" s="16">
        <v>0.27933945429466439</v>
      </c>
      <c r="I108" s="27">
        <f>AVERAGE(F107:F108)</f>
        <v>3.9728000000000003</v>
      </c>
      <c r="J108" s="27">
        <f>AVERAGE(G107:G108)</f>
        <v>0.73696920844531899</v>
      </c>
      <c r="L108">
        <f>+J108/I108</f>
        <v>0.18550372745804444</v>
      </c>
      <c r="M108">
        <f>+(L108-$L$619)/$L$620</f>
        <v>-0.20059373625795662</v>
      </c>
      <c r="N108">
        <f>+N106+M108</f>
        <v>-9.0135534829078559</v>
      </c>
    </row>
    <row r="109" spans="1:14">
      <c r="A109" s="8">
        <v>3</v>
      </c>
      <c r="B109" s="70">
        <v>38063</v>
      </c>
      <c r="C109" s="12">
        <v>2004</v>
      </c>
      <c r="D109" s="11" t="s">
        <v>20</v>
      </c>
      <c r="E109" s="12">
        <v>3</v>
      </c>
      <c r="F109" s="16">
        <v>13.4383</v>
      </c>
      <c r="G109" s="16">
        <v>6.1225678193617679</v>
      </c>
    </row>
    <row r="110" spans="1:14">
      <c r="A110" s="8">
        <v>4</v>
      </c>
      <c r="B110" s="70">
        <v>38063</v>
      </c>
      <c r="C110" s="12">
        <v>2004</v>
      </c>
      <c r="D110" s="11" t="s">
        <v>20</v>
      </c>
      <c r="E110" s="12">
        <v>3</v>
      </c>
      <c r="F110" s="16">
        <v>12.3042</v>
      </c>
      <c r="G110" s="16">
        <v>5.5160264115233657</v>
      </c>
      <c r="I110" s="27">
        <f>AVERAGE(F109:F110)</f>
        <v>12.87125</v>
      </c>
      <c r="J110" s="27">
        <f>AVERAGE(G109:G110)</f>
        <v>5.8192971154425663</v>
      </c>
      <c r="L110">
        <f>+J110/I110</f>
        <v>0.45211592622647889</v>
      </c>
      <c r="M110">
        <f>+(L110-$L$619)/$L$620</f>
        <v>2.3318623617104173</v>
      </c>
      <c r="N110">
        <f>+N108+M110</f>
        <v>-6.6816911211974386</v>
      </c>
    </row>
    <row r="111" spans="1:14">
      <c r="A111" s="8">
        <v>3</v>
      </c>
      <c r="B111" s="70">
        <v>38094</v>
      </c>
      <c r="C111" s="12">
        <v>2004</v>
      </c>
      <c r="D111" s="11" t="s">
        <v>21</v>
      </c>
      <c r="E111" s="12">
        <v>4</v>
      </c>
      <c r="F111" s="16">
        <v>5.4115000000000002</v>
      </c>
      <c r="G111" s="21">
        <v>1.0041601822292627</v>
      </c>
    </row>
    <row r="112" spans="1:14">
      <c r="A112" s="8">
        <v>4</v>
      </c>
      <c r="B112" s="70">
        <v>38094</v>
      </c>
      <c r="C112" s="12">
        <v>2004</v>
      </c>
      <c r="D112" s="11" t="s">
        <v>21</v>
      </c>
      <c r="E112" s="12">
        <v>4</v>
      </c>
      <c r="F112" s="16">
        <v>5.7423999999999999</v>
      </c>
      <c r="G112" s="21">
        <v>0.86191598063387942</v>
      </c>
      <c r="I112" s="27">
        <f>AVERAGE(F111:F112)</f>
        <v>5.5769500000000001</v>
      </c>
      <c r="J112" s="27">
        <f>AVERAGE(G111:G112)</f>
        <v>0.93303808143157108</v>
      </c>
      <c r="L112">
        <f>+J112/I112</f>
        <v>0.16730257245117333</v>
      </c>
      <c r="M112">
        <f>+(L112-$L$619)/$L$620</f>
        <v>-0.37348014655778272</v>
      </c>
      <c r="N112">
        <f>+N110+M112</f>
        <v>-7.0551712677552212</v>
      </c>
    </row>
    <row r="113" spans="1:14">
      <c r="A113" s="8">
        <v>3</v>
      </c>
      <c r="B113" s="70">
        <v>38118</v>
      </c>
      <c r="C113" s="12">
        <v>2004</v>
      </c>
      <c r="D113" s="11" t="s">
        <v>22</v>
      </c>
      <c r="E113" s="12">
        <v>5</v>
      </c>
      <c r="F113" s="16">
        <v>3.6282999999999999</v>
      </c>
      <c r="G113" s="21">
        <v>0.61489421037302716</v>
      </c>
    </row>
    <row r="114" spans="1:14">
      <c r="A114" s="8">
        <v>4</v>
      </c>
      <c r="B114" s="70">
        <v>38118</v>
      </c>
      <c r="C114" s="12">
        <v>2004</v>
      </c>
      <c r="D114" s="11" t="s">
        <v>22</v>
      </c>
      <c r="E114" s="12">
        <v>5</v>
      </c>
      <c r="F114" s="16">
        <v>4.9854000000000003</v>
      </c>
      <c r="G114" s="21">
        <v>0.4525592456868377</v>
      </c>
      <c r="I114" s="27">
        <f>AVERAGE(F113:F114)</f>
        <v>4.3068499999999998</v>
      </c>
      <c r="J114" s="27">
        <f>AVERAGE(G113:G114)</f>
        <v>0.53372672802993248</v>
      </c>
      <c r="L114">
        <f>+J114/I114</f>
        <v>0.12392507935728724</v>
      </c>
      <c r="M114">
        <f>+(L114-$L$619)/$L$620</f>
        <v>-0.78550779348328692</v>
      </c>
      <c r="N114">
        <f>+N112+M114</f>
        <v>-7.8406790612385082</v>
      </c>
    </row>
    <row r="115" spans="1:14">
      <c r="A115" s="8">
        <v>3</v>
      </c>
      <c r="B115" s="70">
        <v>38153</v>
      </c>
      <c r="C115" s="12">
        <v>2004</v>
      </c>
      <c r="D115" s="11" t="s">
        <v>23</v>
      </c>
      <c r="E115" s="12">
        <v>6</v>
      </c>
      <c r="F115" s="16">
        <v>18.753</v>
      </c>
      <c r="G115" s="21">
        <v>3.7806646896903122</v>
      </c>
    </row>
    <row r="116" spans="1:14">
      <c r="A116" s="8">
        <v>4</v>
      </c>
      <c r="B116" s="70">
        <v>38153</v>
      </c>
      <c r="C116" s="12">
        <v>2004</v>
      </c>
      <c r="D116" s="11" t="s">
        <v>23</v>
      </c>
      <c r="E116" s="12">
        <v>6</v>
      </c>
      <c r="F116" s="16">
        <v>13.9351</v>
      </c>
      <c r="G116" s="21">
        <v>1.9564965490913808</v>
      </c>
      <c r="I116" s="27">
        <f>AVERAGE(F115:F116)</f>
        <v>16.344049999999999</v>
      </c>
      <c r="J116" s="27">
        <f>AVERAGE(G115:G116)</f>
        <v>2.8685806193908467</v>
      </c>
      <c r="L116">
        <f>+J116/I116</f>
        <v>0.17551222734823052</v>
      </c>
      <c r="M116">
        <f>+(L116-$L$619)/$L$620</f>
        <v>-0.29549950387786533</v>
      </c>
      <c r="N116">
        <f>+N114+M116</f>
        <v>-8.1361785651163743</v>
      </c>
    </row>
    <row r="117" spans="1:14">
      <c r="A117" s="8">
        <v>3</v>
      </c>
      <c r="B117" s="70">
        <v>38181</v>
      </c>
      <c r="C117" s="12">
        <v>2004</v>
      </c>
      <c r="D117" s="15" t="s">
        <v>24</v>
      </c>
      <c r="E117" s="12">
        <v>7</v>
      </c>
      <c r="F117" s="16">
        <v>20.0915</v>
      </c>
      <c r="G117" s="21">
        <v>2.2629564231703188</v>
      </c>
    </row>
    <row r="118" spans="1:14">
      <c r="A118" s="8">
        <v>4</v>
      </c>
      <c r="B118" s="70">
        <v>38181</v>
      </c>
      <c r="C118" s="12">
        <v>2004</v>
      </c>
      <c r="D118" s="15" t="s">
        <v>24</v>
      </c>
      <c r="E118" s="12">
        <v>7</v>
      </c>
      <c r="F118" s="16">
        <v>15.782</v>
      </c>
      <c r="G118" s="21">
        <v>1.50302472509605</v>
      </c>
      <c r="I118" s="27">
        <f>AVERAGE(F117:F118)</f>
        <v>17.93675</v>
      </c>
      <c r="J118" s="27">
        <f>AVERAGE(G117:G118)</f>
        <v>1.8829905741331845</v>
      </c>
      <c r="L118">
        <f>+J118/I118</f>
        <v>0.10497947365789145</v>
      </c>
      <c r="M118">
        <f>+(L118-$L$619)/$L$620</f>
        <v>-0.96546548073379124</v>
      </c>
      <c r="N118">
        <f>+N116+M118</f>
        <v>-9.1016440458501648</v>
      </c>
    </row>
    <row r="119" spans="1:14">
      <c r="A119" s="8">
        <v>3</v>
      </c>
      <c r="B119" s="70">
        <v>38217</v>
      </c>
      <c r="C119" s="12">
        <v>2004</v>
      </c>
      <c r="D119" s="15" t="s">
        <v>25</v>
      </c>
      <c r="E119" s="12">
        <v>8</v>
      </c>
      <c r="F119" s="16">
        <v>10.997999999999999</v>
      </c>
      <c r="G119" s="20"/>
    </row>
    <row r="120" spans="1:14">
      <c r="A120" s="8">
        <v>4</v>
      </c>
      <c r="B120" s="70">
        <v>38217</v>
      </c>
      <c r="C120" s="12">
        <v>2004</v>
      </c>
      <c r="D120" s="15" t="s">
        <v>25</v>
      </c>
      <c r="E120" s="12">
        <v>8</v>
      </c>
      <c r="F120" s="16">
        <v>45.216900000000003</v>
      </c>
      <c r="G120" s="20"/>
      <c r="I120" s="27">
        <f>AVERAGE(F119:F120)</f>
        <v>28.10745</v>
      </c>
      <c r="J120" s="27" t="e">
        <f>AVERAGE(G119:G120)</f>
        <v>#DIV/0!</v>
      </c>
    </row>
    <row r="121" spans="1:14">
      <c r="A121" s="8">
        <v>3</v>
      </c>
      <c r="B121" s="70">
        <v>38244</v>
      </c>
      <c r="C121" s="12">
        <v>2004</v>
      </c>
      <c r="D121" s="15" t="s">
        <v>26</v>
      </c>
      <c r="E121" s="12">
        <v>9</v>
      </c>
      <c r="F121" s="16">
        <v>12.7507</v>
      </c>
      <c r="G121" s="21">
        <v>2.510084595556175</v>
      </c>
    </row>
    <row r="122" spans="1:14">
      <c r="A122" s="8">
        <v>4</v>
      </c>
      <c r="B122" s="70">
        <v>38244</v>
      </c>
      <c r="C122" s="12">
        <v>2004</v>
      </c>
      <c r="D122" s="15" t="s">
        <v>26</v>
      </c>
      <c r="E122" s="12">
        <v>9</v>
      </c>
      <c r="F122" s="16">
        <v>14.0365</v>
      </c>
      <c r="G122" s="21">
        <v>2.2179829097957726</v>
      </c>
      <c r="I122" s="27">
        <f>AVERAGE(F121:F122)</f>
        <v>13.393599999999999</v>
      </c>
      <c r="J122" s="27">
        <f>AVERAGE(G121:G122)</f>
        <v>2.364033752675974</v>
      </c>
      <c r="L122">
        <f>+J122/I122</f>
        <v>0.17650473007077813</v>
      </c>
      <c r="M122">
        <f>+(L122-$L$619)/$L$620</f>
        <v>-0.28607206738555019</v>
      </c>
      <c r="N122">
        <f>+N118+M122</f>
        <v>-9.3877161132357152</v>
      </c>
    </row>
    <row r="123" spans="1:14">
      <c r="A123" s="8">
        <v>3</v>
      </c>
      <c r="B123" s="70">
        <v>38272</v>
      </c>
      <c r="C123" s="12">
        <v>2004</v>
      </c>
      <c r="D123" s="15" t="s">
        <v>14</v>
      </c>
      <c r="E123" s="12">
        <v>10</v>
      </c>
      <c r="F123" s="17">
        <v>7.8767199999999997</v>
      </c>
      <c r="G123" s="17">
        <v>0.43251658240007279</v>
      </c>
    </row>
    <row r="124" spans="1:14">
      <c r="A124" s="8">
        <v>4</v>
      </c>
      <c r="B124" s="70">
        <v>38272</v>
      </c>
      <c r="C124" s="12">
        <v>2004</v>
      </c>
      <c r="D124" s="15" t="s">
        <v>14</v>
      </c>
      <c r="E124" s="12">
        <v>10</v>
      </c>
      <c r="F124" s="17">
        <v>6.2694200000000002</v>
      </c>
      <c r="G124" s="17">
        <v>0.30589665485975986</v>
      </c>
      <c r="I124" s="27">
        <f>AVERAGE(F123:F124)</f>
        <v>7.0730699999999995</v>
      </c>
      <c r="J124" s="27">
        <f>AVERAGE(G123:G124)</f>
        <v>0.36920661862991633</v>
      </c>
      <c r="L124">
        <f>+J124/I124</f>
        <v>5.2198920501269792E-2</v>
      </c>
      <c r="M124">
        <f>+(L124-$L$619)/$L$620</f>
        <v>-1.4668095089255562</v>
      </c>
      <c r="N124">
        <f>+N122+M124</f>
        <v>-10.854525622161271</v>
      </c>
    </row>
    <row r="125" spans="1:14">
      <c r="A125" s="8">
        <v>3</v>
      </c>
      <c r="B125" s="70">
        <v>38306</v>
      </c>
      <c r="C125" s="12">
        <v>2004</v>
      </c>
      <c r="D125" s="15" t="s">
        <v>16</v>
      </c>
      <c r="E125" s="12">
        <v>11</v>
      </c>
      <c r="F125" s="17">
        <v>6.0825500000000003</v>
      </c>
      <c r="G125" s="17">
        <v>1.6880263310354644</v>
      </c>
    </row>
    <row r="126" spans="1:14">
      <c r="A126" s="8">
        <v>4</v>
      </c>
      <c r="B126" s="70">
        <v>38306</v>
      </c>
      <c r="C126" s="12">
        <v>2004</v>
      </c>
      <c r="D126" s="15" t="s">
        <v>16</v>
      </c>
      <c r="E126" s="12">
        <v>11</v>
      </c>
      <c r="F126" s="17">
        <v>6.7589899999999998</v>
      </c>
      <c r="G126" s="17">
        <v>1.6361387052122456</v>
      </c>
      <c r="I126" s="27">
        <f>AVERAGE(F125:F126)</f>
        <v>6.4207700000000001</v>
      </c>
      <c r="J126" s="27">
        <f>AVERAGE(G125:G126)</f>
        <v>1.662082518123855</v>
      </c>
      <c r="L126">
        <f>+J126/I126</f>
        <v>0.25886031085428307</v>
      </c>
      <c r="M126">
        <f>+(L126-$L$619)/$L$620</f>
        <v>0.49619481207580618</v>
      </c>
      <c r="N126">
        <f>+N124+M126</f>
        <v>-10.358330810085464</v>
      </c>
    </row>
    <row r="127" spans="1:14">
      <c r="A127" s="8">
        <v>3</v>
      </c>
      <c r="B127" s="70">
        <v>38336</v>
      </c>
      <c r="C127" s="12">
        <v>2004</v>
      </c>
      <c r="D127" s="15" t="s">
        <v>17</v>
      </c>
      <c r="E127" s="12">
        <v>12</v>
      </c>
      <c r="F127" s="17">
        <v>4.2297099999999999</v>
      </c>
      <c r="G127" s="17">
        <v>0.38986576642301346</v>
      </c>
    </row>
    <row r="128" spans="1:14">
      <c r="A128" s="8">
        <v>4</v>
      </c>
      <c r="B128" s="70">
        <v>38336</v>
      </c>
      <c r="C128" s="12">
        <v>2004</v>
      </c>
      <c r="D128" s="15" t="s">
        <v>17</v>
      </c>
      <c r="E128" s="12">
        <v>12</v>
      </c>
      <c r="F128" s="17">
        <v>12.044879999999999</v>
      </c>
      <c r="G128" s="17">
        <v>1.0508198626836853</v>
      </c>
      <c r="I128" s="27">
        <f>AVERAGE(F127:F128)</f>
        <v>8.1372949999999999</v>
      </c>
      <c r="J128" s="27">
        <f>AVERAGE(G127:G128)</f>
        <v>0.72034281455334936</v>
      </c>
      <c r="L128">
        <f>+J128/I128</f>
        <v>8.8523620509438253E-2</v>
      </c>
      <c r="M128">
        <f>+(L128-$L$619)/$L$620</f>
        <v>-1.1217738786449762</v>
      </c>
      <c r="N128">
        <f>+N126+M128</f>
        <v>-11.480104688730441</v>
      </c>
    </row>
    <row r="129" spans="1:14">
      <c r="A129" s="8">
        <v>3</v>
      </c>
      <c r="B129" s="75">
        <v>38362</v>
      </c>
      <c r="C129" s="12">
        <v>2005</v>
      </c>
      <c r="D129" s="15" t="s">
        <v>18</v>
      </c>
      <c r="E129" s="12">
        <v>1</v>
      </c>
      <c r="F129" s="17">
        <v>6.4647300000000003</v>
      </c>
      <c r="G129" s="17">
        <v>1.0229536860427006</v>
      </c>
    </row>
    <row r="130" spans="1:14">
      <c r="A130" s="8">
        <v>4</v>
      </c>
      <c r="B130" s="75">
        <v>38362</v>
      </c>
      <c r="C130" s="12">
        <v>2005</v>
      </c>
      <c r="D130" s="15" t="s">
        <v>18</v>
      </c>
      <c r="E130" s="12">
        <v>1</v>
      </c>
      <c r="F130" s="17">
        <v>7.8801500000000004</v>
      </c>
      <c r="G130" s="17">
        <v>1.1464602924940137</v>
      </c>
      <c r="I130" s="27">
        <f>AVERAGE(F129:F130)</f>
        <v>7.1724399999999999</v>
      </c>
      <c r="J130" s="27">
        <f>AVERAGE(G129:G130)</f>
        <v>1.0847069892683572</v>
      </c>
      <c r="L130">
        <f>+J130/I130</f>
        <v>0.15123263342298537</v>
      </c>
      <c r="M130">
        <f>+(L130-$L$619)/$L$620</f>
        <v>-0.52612288111345606</v>
      </c>
      <c r="N130">
        <f>+N128+M130</f>
        <v>-12.006227569843897</v>
      </c>
    </row>
    <row r="131" spans="1:14">
      <c r="A131" s="8">
        <v>3</v>
      </c>
      <c r="B131" s="75">
        <v>38399</v>
      </c>
      <c r="C131" s="12">
        <v>2005</v>
      </c>
      <c r="D131" s="11" t="s">
        <v>19</v>
      </c>
      <c r="E131" s="12">
        <v>2</v>
      </c>
      <c r="F131" s="17">
        <v>3.33995</v>
      </c>
      <c r="G131" s="17">
        <v>0.71400904643100782</v>
      </c>
    </row>
    <row r="132" spans="1:14">
      <c r="A132" s="8">
        <v>4</v>
      </c>
      <c r="B132" s="75">
        <v>38399</v>
      </c>
      <c r="C132" s="12">
        <v>2005</v>
      </c>
      <c r="D132" s="11" t="s">
        <v>19</v>
      </c>
      <c r="E132" s="12">
        <v>2</v>
      </c>
      <c r="F132" s="17">
        <v>3.9554900000000002</v>
      </c>
      <c r="G132" s="17">
        <v>0.4306963603617866</v>
      </c>
      <c r="I132" s="27">
        <f>AVERAGE(F131:F132)</f>
        <v>3.6477200000000001</v>
      </c>
      <c r="J132" s="27">
        <f>AVERAGE(G131:G132)</f>
        <v>0.57235270339639721</v>
      </c>
      <c r="L132">
        <f>+J132/I132</f>
        <v>0.15690697295746306</v>
      </c>
      <c r="M132">
        <f>+(L132-$L$619)/$L$620</f>
        <v>-0.47222431299687828</v>
      </c>
      <c r="N132">
        <f>+N130+M132</f>
        <v>-12.478451882840776</v>
      </c>
    </row>
    <row r="133" spans="1:14">
      <c r="A133" s="8">
        <v>3</v>
      </c>
      <c r="B133" s="75">
        <v>38428</v>
      </c>
      <c r="C133" s="12">
        <v>2005</v>
      </c>
      <c r="D133" s="11" t="s">
        <v>20</v>
      </c>
      <c r="E133" s="12">
        <v>3</v>
      </c>
      <c r="F133" s="17">
        <v>1.1633800000000001</v>
      </c>
      <c r="G133" s="17">
        <v>0.12735903283828598</v>
      </c>
    </row>
    <row r="134" spans="1:14">
      <c r="A134" s="8">
        <v>4</v>
      </c>
      <c r="B134" s="75">
        <v>38428</v>
      </c>
      <c r="C134" s="12">
        <v>2005</v>
      </c>
      <c r="D134" s="11" t="s">
        <v>20</v>
      </c>
      <c r="E134" s="12">
        <v>3</v>
      </c>
      <c r="F134" s="17">
        <v>2.8252999999999999</v>
      </c>
      <c r="G134" s="17">
        <v>0.192247010677357</v>
      </c>
      <c r="I134" s="27">
        <f>AVERAGE(F133:F134)</f>
        <v>1.99434</v>
      </c>
      <c r="J134" s="27">
        <f>AVERAGE(G133:G134)</f>
        <v>0.15980302175782149</v>
      </c>
      <c r="L134">
        <f>+J134/I134</f>
        <v>8.0128273894030849E-2</v>
      </c>
      <c r="M134">
        <f>+(L134-$L$619)/$L$620</f>
        <v>-1.201518342060218</v>
      </c>
      <c r="N134">
        <f>+N132+M134</f>
        <v>-13.679970224900995</v>
      </c>
    </row>
    <row r="135" spans="1:14">
      <c r="A135" s="8">
        <v>3</v>
      </c>
      <c r="B135" s="75">
        <v>38469</v>
      </c>
      <c r="C135" s="12">
        <v>2005</v>
      </c>
      <c r="D135" s="11" t="s">
        <v>21</v>
      </c>
      <c r="E135" s="12">
        <v>4</v>
      </c>
      <c r="F135" s="17">
        <v>3.2155200000000002</v>
      </c>
      <c r="G135" s="17">
        <v>1.1625004827323295</v>
      </c>
    </row>
    <row r="136" spans="1:14">
      <c r="A136" s="8">
        <v>4</v>
      </c>
      <c r="B136" s="75">
        <v>38469</v>
      </c>
      <c r="C136" s="12">
        <v>2005</v>
      </c>
      <c r="D136" s="11" t="s">
        <v>21</v>
      </c>
      <c r="E136" s="12">
        <v>4</v>
      </c>
      <c r="F136" s="17">
        <v>5.28355</v>
      </c>
      <c r="G136" s="17">
        <v>1.2608107263439805</v>
      </c>
      <c r="I136" s="27">
        <f>AVERAGE(F135:F136)</f>
        <v>4.2495349999999998</v>
      </c>
      <c r="J136" s="27">
        <f>AVERAGE(G135:G136)</f>
        <v>1.211655604538155</v>
      </c>
      <c r="L136">
        <f>+J136/I136</f>
        <v>0.28512663256995296</v>
      </c>
      <c r="M136">
        <f>+(L136-$L$619)/$L$620</f>
        <v>0.74568942225237089</v>
      </c>
      <c r="N136">
        <f>+N134+M136</f>
        <v>-12.934280802648624</v>
      </c>
    </row>
    <row r="137" spans="1:14">
      <c r="A137" s="8">
        <v>3</v>
      </c>
      <c r="B137" s="75">
        <v>38490</v>
      </c>
      <c r="C137" s="12">
        <v>2005</v>
      </c>
      <c r="D137" s="11" t="s">
        <v>22</v>
      </c>
      <c r="E137" s="12">
        <v>5</v>
      </c>
      <c r="F137" s="17">
        <v>10.451129999999999</v>
      </c>
      <c r="G137" s="17">
        <v>4.9755142502901464</v>
      </c>
    </row>
    <row r="138" spans="1:14">
      <c r="A138" s="8">
        <v>4</v>
      </c>
      <c r="B138" s="75">
        <v>38490</v>
      </c>
      <c r="C138" s="12">
        <v>2005</v>
      </c>
      <c r="D138" s="11" t="s">
        <v>22</v>
      </c>
      <c r="E138" s="12">
        <v>5</v>
      </c>
      <c r="F138" s="17">
        <v>10.21026</v>
      </c>
      <c r="G138" s="17">
        <v>4.507891551131145</v>
      </c>
      <c r="I138" s="27">
        <f>AVERAGE(F137:F138)</f>
        <v>10.330694999999999</v>
      </c>
      <c r="J138" s="27">
        <f>AVERAGE(G137:G138)</f>
        <v>4.7417029007106457</v>
      </c>
      <c r="L138">
        <f>+J138/I138</f>
        <v>0.45899166519877377</v>
      </c>
      <c r="M138">
        <f>+(L138-$L$619)/$L$620</f>
        <v>2.3971726032104712</v>
      </c>
      <c r="N138">
        <f>+N136+M138</f>
        <v>-10.537108199438153</v>
      </c>
    </row>
    <row r="139" spans="1:14">
      <c r="A139" s="8">
        <v>3</v>
      </c>
      <c r="B139" s="75">
        <v>38518</v>
      </c>
      <c r="C139" s="12">
        <v>2005</v>
      </c>
      <c r="D139" s="11" t="s">
        <v>23</v>
      </c>
      <c r="E139" s="12">
        <v>6</v>
      </c>
      <c r="F139" s="17">
        <v>13.36988</v>
      </c>
      <c r="G139" s="17">
        <v>3.2752573046300775</v>
      </c>
    </row>
    <row r="140" spans="1:14">
      <c r="A140" s="8">
        <v>4</v>
      </c>
      <c r="B140" s="75">
        <v>38518</v>
      </c>
      <c r="C140" s="12">
        <v>2005</v>
      </c>
      <c r="D140" s="11" t="s">
        <v>23</v>
      </c>
      <c r="E140" s="12">
        <v>6</v>
      </c>
      <c r="F140" s="17">
        <v>16.137519999999999</v>
      </c>
      <c r="G140" s="17">
        <v>2.50465349948953</v>
      </c>
      <c r="I140" s="27">
        <f>AVERAGE(F139:F140)</f>
        <v>14.753699999999998</v>
      </c>
      <c r="J140" s="27">
        <f>AVERAGE(G139:G140)</f>
        <v>2.8899554020598037</v>
      </c>
      <c r="L140">
        <f>+J140/I140</f>
        <v>0.19588004378968016</v>
      </c>
      <c r="M140">
        <f>+(L140-$L$619)/$L$620</f>
        <v>-0.10203273383614686</v>
      </c>
      <c r="N140">
        <f>+N138+M140</f>
        <v>-10.6391409332743</v>
      </c>
    </row>
    <row r="141" spans="1:14">
      <c r="A141" s="8">
        <v>3</v>
      </c>
      <c r="B141" s="75">
        <v>38547</v>
      </c>
      <c r="C141" s="12">
        <v>2005</v>
      </c>
      <c r="D141" s="15" t="s">
        <v>24</v>
      </c>
      <c r="E141" s="12">
        <v>7</v>
      </c>
      <c r="F141" s="17">
        <v>21.922049999999999</v>
      </c>
      <c r="G141" s="17">
        <v>1.8764156773865563</v>
      </c>
    </row>
    <row r="142" spans="1:14">
      <c r="A142" s="8">
        <v>4</v>
      </c>
      <c r="B142" s="75">
        <v>38547</v>
      </c>
      <c r="C142" s="12">
        <v>2005</v>
      </c>
      <c r="D142" s="15" t="s">
        <v>24</v>
      </c>
      <c r="E142" s="12">
        <v>7</v>
      </c>
      <c r="F142" s="17">
        <v>23.777570000000001</v>
      </c>
      <c r="G142" s="17">
        <v>2.67984476525467</v>
      </c>
      <c r="I142" s="27">
        <f>AVERAGE(F141:F142)</f>
        <v>22.849809999999998</v>
      </c>
      <c r="J142" s="27">
        <f>AVERAGE(G141:G142)</f>
        <v>2.2781302213206134</v>
      </c>
      <c r="L142">
        <f>+J142/I142</f>
        <v>9.9700182247494121E-2</v>
      </c>
      <c r="M142">
        <f>+(L142-$L$619)/$L$620</f>
        <v>-1.0156116247848552</v>
      </c>
      <c r="N142">
        <f>+N140+M142</f>
        <v>-11.654752558059155</v>
      </c>
    </row>
    <row r="143" spans="1:14">
      <c r="A143" s="8">
        <v>3</v>
      </c>
      <c r="B143" s="75">
        <v>38589</v>
      </c>
      <c r="C143" s="12">
        <v>2005</v>
      </c>
      <c r="D143" s="15" t="s">
        <v>25</v>
      </c>
      <c r="E143" s="12">
        <v>8</v>
      </c>
      <c r="F143" s="17">
        <v>22.433710000000001</v>
      </c>
      <c r="G143" s="17">
        <v>3.5460154461443412</v>
      </c>
    </row>
    <row r="144" spans="1:14">
      <c r="A144" s="8">
        <v>4</v>
      </c>
      <c r="B144" s="75">
        <v>38589</v>
      </c>
      <c r="C144" s="12">
        <v>2005</v>
      </c>
      <c r="D144" s="15" t="s">
        <v>25</v>
      </c>
      <c r="E144" s="12">
        <v>8</v>
      </c>
      <c r="F144" s="17">
        <v>33.627569999999999</v>
      </c>
      <c r="G144" s="17">
        <v>4.0881671717073989</v>
      </c>
      <c r="I144" s="27">
        <f>AVERAGE(F143:F144)</f>
        <v>28.030639999999998</v>
      </c>
      <c r="J144" s="27">
        <f>AVERAGE(G143:G144)</f>
        <v>3.8170913089258702</v>
      </c>
      <c r="L144">
        <f>+J144/I144</f>
        <v>0.1361756745092467</v>
      </c>
      <c r="M144">
        <f>+(L144-$L$619)/$L$620</f>
        <v>-0.66914367158777133</v>
      </c>
      <c r="N144">
        <f>+N142+M144</f>
        <v>-12.323896229646927</v>
      </c>
    </row>
    <row r="145" spans="1:14">
      <c r="A145" s="8">
        <v>3</v>
      </c>
      <c r="B145" s="75">
        <v>38608</v>
      </c>
      <c r="C145" s="12">
        <v>2005</v>
      </c>
      <c r="D145" s="15" t="s">
        <v>26</v>
      </c>
      <c r="E145" s="12">
        <v>9</v>
      </c>
      <c r="F145" s="17">
        <v>21.672129999999999</v>
      </c>
      <c r="G145" s="17">
        <v>2.5599549804538144</v>
      </c>
    </row>
    <row r="146" spans="1:14">
      <c r="A146" s="8">
        <v>4</v>
      </c>
      <c r="B146" s="75">
        <v>38608</v>
      </c>
      <c r="C146" s="12">
        <v>2005</v>
      </c>
      <c r="D146" s="15" t="s">
        <v>26</v>
      </c>
      <c r="E146" s="12">
        <v>9</v>
      </c>
      <c r="F146" s="17">
        <v>22.488399999999999</v>
      </c>
      <c r="G146" s="17">
        <v>2.3096930342560467</v>
      </c>
      <c r="I146" s="27">
        <f>AVERAGE(F145:F146)</f>
        <v>22.080264999999997</v>
      </c>
      <c r="J146" s="27">
        <f>AVERAGE(G145:G146)</f>
        <v>2.4348240073549308</v>
      </c>
      <c r="L146">
        <f>+J146/I146</f>
        <v>0.11027150296225752</v>
      </c>
      <c r="M146">
        <f>+(L146-$L$619)/$L$620</f>
        <v>-0.91519834387967713</v>
      </c>
      <c r="N146">
        <f>+N144+M146</f>
        <v>-13.239094573526604</v>
      </c>
    </row>
    <row r="147" spans="1:14">
      <c r="A147" s="8">
        <v>3</v>
      </c>
      <c r="B147" s="75">
        <v>38636</v>
      </c>
      <c r="C147" s="12">
        <v>2005</v>
      </c>
      <c r="D147" s="15" t="s">
        <v>14</v>
      </c>
      <c r="E147" s="12">
        <v>10</v>
      </c>
      <c r="F147" s="17">
        <v>21.386600000000001</v>
      </c>
      <c r="G147" s="17">
        <v>6.3696000000000002</v>
      </c>
    </row>
    <row r="148" spans="1:14">
      <c r="A148" s="8">
        <v>4</v>
      </c>
      <c r="B148" s="75">
        <v>38636</v>
      </c>
      <c r="C148" s="12">
        <v>2005</v>
      </c>
      <c r="D148" s="15" t="s">
        <v>14</v>
      </c>
      <c r="E148" s="12">
        <v>10</v>
      </c>
      <c r="F148" s="17">
        <v>27.834599999999998</v>
      </c>
      <c r="G148" s="17">
        <v>5.1101999999999999</v>
      </c>
      <c r="I148" s="27">
        <f>AVERAGE(F147:F148)</f>
        <v>24.610599999999998</v>
      </c>
      <c r="J148" s="27">
        <f>AVERAGE(G147:G148)</f>
        <v>5.7399000000000004</v>
      </c>
      <c r="L148">
        <f>+J148/I148</f>
        <v>0.23322877134242972</v>
      </c>
      <c r="M148">
        <f>+(L148-$L$619)/$L$620</f>
        <v>0.25272977620365378</v>
      </c>
      <c r="N148">
        <f>+N146+M148</f>
        <v>-12.986364797322949</v>
      </c>
    </row>
    <row r="149" spans="1:14">
      <c r="A149" s="8">
        <v>3</v>
      </c>
      <c r="B149" s="75">
        <v>38671</v>
      </c>
      <c r="C149" s="12">
        <v>2005</v>
      </c>
      <c r="D149" s="15" t="s">
        <v>16</v>
      </c>
      <c r="E149" s="12">
        <v>11</v>
      </c>
      <c r="F149" s="17">
        <v>6.7521000000000004</v>
      </c>
      <c r="G149" s="17">
        <v>2.379</v>
      </c>
    </row>
    <row r="150" spans="1:14">
      <c r="A150" s="8">
        <v>4</v>
      </c>
      <c r="B150" s="75">
        <v>38671</v>
      </c>
      <c r="C150" s="12">
        <v>2005</v>
      </c>
      <c r="D150" s="15" t="s">
        <v>16</v>
      </c>
      <c r="E150" s="12">
        <v>11</v>
      </c>
      <c r="F150" s="17">
        <v>8.98</v>
      </c>
      <c r="G150" s="17">
        <v>2.8847999999999998</v>
      </c>
      <c r="I150" s="27">
        <f>AVERAGE(F149:F150)</f>
        <v>7.8660500000000004</v>
      </c>
      <c r="J150" s="27">
        <f>AVERAGE(G149:G150)</f>
        <v>2.6318999999999999</v>
      </c>
      <c r="L150">
        <f>+J150/I150</f>
        <v>0.33458978775878617</v>
      </c>
      <c r="M150">
        <f>+(L150-$L$619)/$L$620</f>
        <v>1.2155226465434839</v>
      </c>
      <c r="N150">
        <f>+N148+M150</f>
        <v>-11.770842150779465</v>
      </c>
    </row>
    <row r="151" spans="1:14">
      <c r="A151" s="8">
        <v>3</v>
      </c>
      <c r="B151" s="75">
        <v>38707</v>
      </c>
      <c r="C151" s="12">
        <v>2005</v>
      </c>
      <c r="D151" s="15" t="s">
        <v>17</v>
      </c>
      <c r="E151" s="12">
        <v>12</v>
      </c>
      <c r="F151" s="17">
        <v>5.8943000000000003</v>
      </c>
      <c r="G151" s="17">
        <v>1.4137999999999999</v>
      </c>
    </row>
    <row r="152" spans="1:14">
      <c r="A152" s="8">
        <v>4</v>
      </c>
      <c r="B152" s="75">
        <v>38707</v>
      </c>
      <c r="C152" s="12">
        <v>2005</v>
      </c>
      <c r="D152" s="15" t="s">
        <v>17</v>
      </c>
      <c r="E152" s="12">
        <v>12</v>
      </c>
      <c r="F152" s="17">
        <v>9.6709999999999994</v>
      </c>
      <c r="G152" s="17">
        <v>2.2955000000000001</v>
      </c>
      <c r="I152" s="27">
        <f>AVERAGE(F151:F152)</f>
        <v>7.7826500000000003</v>
      </c>
      <c r="J152" s="27">
        <f>AVERAGE(G151:G152)</f>
        <v>1.8546499999999999</v>
      </c>
      <c r="L152">
        <f>+J152/I152</f>
        <v>0.23830571848920354</v>
      </c>
      <c r="M152">
        <f>+(L152-$L$619)/$L$620</f>
        <v>0.30095392281172978</v>
      </c>
      <c r="N152">
        <f>+N150+M152</f>
        <v>-11.469888227967736</v>
      </c>
    </row>
    <row r="153" spans="1:14">
      <c r="A153" s="12">
        <v>3</v>
      </c>
      <c r="B153" s="75">
        <v>38734</v>
      </c>
      <c r="C153" s="12">
        <v>2006</v>
      </c>
      <c r="D153" s="11" t="s">
        <v>18</v>
      </c>
      <c r="E153" s="12">
        <v>1</v>
      </c>
      <c r="F153" s="17">
        <v>4.3461999999999996</v>
      </c>
      <c r="G153" s="17">
        <v>1.0976999999999999</v>
      </c>
    </row>
    <row r="154" spans="1:14">
      <c r="A154" s="12">
        <v>4</v>
      </c>
      <c r="B154" s="75">
        <v>38734</v>
      </c>
      <c r="C154" s="12">
        <v>2006</v>
      </c>
      <c r="D154" s="11" t="s">
        <v>18</v>
      </c>
      <c r="E154" s="12">
        <v>1</v>
      </c>
      <c r="F154" s="17">
        <v>9.3907000000000007</v>
      </c>
      <c r="G154" s="17">
        <v>1.978</v>
      </c>
      <c r="I154" s="27">
        <f>AVERAGE(F153:F154)</f>
        <v>6.8684500000000002</v>
      </c>
      <c r="J154" s="27">
        <f>AVERAGE(G153:G154)</f>
        <v>1.5378499999999999</v>
      </c>
      <c r="L154">
        <f>+J154/I154</f>
        <v>0.22390058892472101</v>
      </c>
      <c r="M154">
        <f>+(L154-$L$619)/$L$620</f>
        <v>0.16412463151856116</v>
      </c>
      <c r="N154">
        <f>+N152+M154</f>
        <v>-11.305763596449175</v>
      </c>
    </row>
    <row r="155" spans="1:14">
      <c r="A155" s="12">
        <v>3</v>
      </c>
      <c r="B155" s="75">
        <v>38762</v>
      </c>
      <c r="C155" s="15">
        <v>2006</v>
      </c>
      <c r="D155" s="11" t="s">
        <v>28</v>
      </c>
      <c r="E155" s="15">
        <v>2</v>
      </c>
      <c r="F155" s="17">
        <v>6.3464999999999998</v>
      </c>
      <c r="G155" s="17">
        <v>1.4267000000000001</v>
      </c>
    </row>
    <row r="156" spans="1:14">
      <c r="A156" s="12">
        <v>4</v>
      </c>
      <c r="B156" s="75">
        <v>38762</v>
      </c>
      <c r="C156" s="15">
        <v>2006</v>
      </c>
      <c r="D156" s="11" t="s">
        <v>28</v>
      </c>
      <c r="E156" s="15">
        <v>2</v>
      </c>
      <c r="F156" s="17">
        <v>3.6261999999999999</v>
      </c>
      <c r="G156" s="17">
        <v>0.72609999999999997</v>
      </c>
      <c r="I156" s="27">
        <f>AVERAGE(F155:F156)</f>
        <v>4.9863499999999998</v>
      </c>
      <c r="J156" s="27">
        <f>AVERAGE(G155:G156)</f>
        <v>1.0764</v>
      </c>
      <c r="L156">
        <f>+J156/I156</f>
        <v>0.21586932325247929</v>
      </c>
      <c r="M156">
        <f>+(L156-$L$619)/$L$620</f>
        <v>8.7838445740025722E-2</v>
      </c>
      <c r="N156">
        <f>+N154+M156</f>
        <v>-11.217925150709149</v>
      </c>
    </row>
    <row r="157" spans="1:14">
      <c r="A157" s="12">
        <v>3</v>
      </c>
      <c r="B157" s="75">
        <v>38789</v>
      </c>
      <c r="C157" s="12">
        <v>2006</v>
      </c>
      <c r="D157" s="11" t="s">
        <v>29</v>
      </c>
      <c r="E157" s="15">
        <v>3</v>
      </c>
      <c r="F157" s="17">
        <v>4.9821999999999997</v>
      </c>
      <c r="G157" s="17">
        <v>1.8001</v>
      </c>
    </row>
    <row r="158" spans="1:14">
      <c r="A158" s="12">
        <v>4</v>
      </c>
      <c r="B158" s="75">
        <v>38789</v>
      </c>
      <c r="C158" s="12">
        <v>2006</v>
      </c>
      <c r="D158" s="11" t="s">
        <v>29</v>
      </c>
      <c r="E158" s="15">
        <v>3</v>
      </c>
      <c r="F158" s="17">
        <v>5.0571999999999999</v>
      </c>
      <c r="G158" s="17">
        <v>1.7265999999999999</v>
      </c>
      <c r="I158" s="27">
        <f>AVERAGE(F157:F158)</f>
        <v>5.0197000000000003</v>
      </c>
      <c r="J158" s="27">
        <f>AVERAGE(G157:G158)</f>
        <v>1.76335</v>
      </c>
      <c r="L158">
        <f>+J158/I158</f>
        <v>0.35128593342231607</v>
      </c>
      <c r="M158">
        <f>+(L158-$L$619)/$L$620</f>
        <v>1.3741134990756994</v>
      </c>
      <c r="N158">
        <f>+N156+M158</f>
        <v>-9.84381165163345</v>
      </c>
    </row>
    <row r="159" spans="1:14">
      <c r="A159" s="12">
        <v>3</v>
      </c>
      <c r="B159" s="74">
        <v>38825</v>
      </c>
      <c r="C159" s="12">
        <v>2006</v>
      </c>
      <c r="D159" s="11" t="s">
        <v>30</v>
      </c>
      <c r="E159" s="12">
        <v>4</v>
      </c>
      <c r="F159" s="17">
        <v>6.5778999999999996</v>
      </c>
      <c r="G159" s="17">
        <v>2.4382999999999999</v>
      </c>
    </row>
    <row r="160" spans="1:14">
      <c r="A160" s="12">
        <v>4</v>
      </c>
      <c r="B160" s="74">
        <v>38825</v>
      </c>
      <c r="C160" s="12">
        <v>2006</v>
      </c>
      <c r="D160" s="11" t="s">
        <v>30</v>
      </c>
      <c r="E160" s="12">
        <v>4</v>
      </c>
      <c r="F160" s="17">
        <v>9.2342999999999993</v>
      </c>
      <c r="G160" s="17">
        <v>2.3047</v>
      </c>
      <c r="I160" s="27">
        <f>AVERAGE(F159:F160)</f>
        <v>7.9060999999999995</v>
      </c>
      <c r="J160" s="27">
        <f>AVERAGE(G159:G160)</f>
        <v>2.3715000000000002</v>
      </c>
      <c r="L160">
        <f>+J160/I160</f>
        <v>0.29995826007766158</v>
      </c>
      <c r="M160">
        <f>+(L160-$L$619)/$L$620</f>
        <v>0.88656986845174079</v>
      </c>
      <c r="N160">
        <f>+N158+M160</f>
        <v>-8.9572417831817095</v>
      </c>
    </row>
    <row r="161" spans="1:14">
      <c r="A161" s="12">
        <v>3</v>
      </c>
      <c r="B161" s="74">
        <v>38852</v>
      </c>
      <c r="C161" s="12">
        <v>2006</v>
      </c>
      <c r="D161" s="11" t="s">
        <v>31</v>
      </c>
      <c r="E161" s="12">
        <v>5</v>
      </c>
      <c r="F161" s="17">
        <v>4.8865999999999996</v>
      </c>
      <c r="G161" s="17">
        <v>1.7487999999999999</v>
      </c>
    </row>
    <row r="162" spans="1:14">
      <c r="A162" s="12">
        <v>4</v>
      </c>
      <c r="B162" s="74">
        <v>38852</v>
      </c>
      <c r="C162" s="12">
        <v>2006</v>
      </c>
      <c r="D162" s="11" t="s">
        <v>31</v>
      </c>
      <c r="E162" s="12">
        <v>5</v>
      </c>
      <c r="F162" s="17">
        <v>8.3722999999999992</v>
      </c>
      <c r="G162" s="17">
        <v>2.6331000000000002</v>
      </c>
      <c r="I162" s="27">
        <f>AVERAGE(F161:F162)</f>
        <v>6.6294499999999994</v>
      </c>
      <c r="J162" s="27">
        <f>AVERAGE(G161:G162)</f>
        <v>2.19095</v>
      </c>
      <c r="L162">
        <f>+J162/I162</f>
        <v>0.33048744616823417</v>
      </c>
      <c r="M162">
        <f>+(L162-$L$619)/$L$620</f>
        <v>1.1765559374996639</v>
      </c>
      <c r="N162">
        <f>+N160+M162</f>
        <v>-7.7806858456820454</v>
      </c>
    </row>
    <row r="163" spans="1:14">
      <c r="A163" s="12">
        <v>3</v>
      </c>
      <c r="B163" s="74">
        <v>38883</v>
      </c>
      <c r="C163" s="12">
        <v>2006</v>
      </c>
      <c r="D163" s="11" t="s">
        <v>32</v>
      </c>
      <c r="E163" s="12">
        <v>6</v>
      </c>
      <c r="F163" s="17">
        <v>18.6966</v>
      </c>
      <c r="G163" s="17">
        <v>4.5848000000000004</v>
      </c>
    </row>
    <row r="164" spans="1:14">
      <c r="A164" s="12">
        <v>4</v>
      </c>
      <c r="B164" s="74">
        <v>38883</v>
      </c>
      <c r="C164" s="12">
        <v>2006</v>
      </c>
      <c r="D164" s="11" t="s">
        <v>32</v>
      </c>
      <c r="E164" s="12">
        <v>6</v>
      </c>
      <c r="F164" s="17">
        <v>25.342700000000001</v>
      </c>
      <c r="G164" s="17">
        <v>4.9683999999999999</v>
      </c>
      <c r="I164" s="27">
        <f>AVERAGE(F163:F164)</f>
        <v>22.019649999999999</v>
      </c>
      <c r="J164" s="27">
        <f>AVERAGE(G163:G164)</f>
        <v>4.7766000000000002</v>
      </c>
      <c r="L164">
        <f>+J164/I164</f>
        <v>0.21692442886240246</v>
      </c>
      <c r="M164">
        <f>+(L164-$L$619)/$L$620</f>
        <v>9.7860525180476748E-2</v>
      </c>
      <c r="N164">
        <f>+N162+M164</f>
        <v>-7.6828253205015686</v>
      </c>
    </row>
    <row r="165" spans="1:14">
      <c r="A165" s="12">
        <v>3</v>
      </c>
      <c r="B165" s="74">
        <v>38916</v>
      </c>
      <c r="C165" s="12">
        <v>2006</v>
      </c>
      <c r="D165" s="11" t="s">
        <v>33</v>
      </c>
      <c r="E165" s="12">
        <v>7</v>
      </c>
      <c r="F165" s="17">
        <v>17.1892</v>
      </c>
      <c r="G165" s="17">
        <v>1.8746</v>
      </c>
    </row>
    <row r="166" spans="1:14">
      <c r="A166" s="12">
        <v>4</v>
      </c>
      <c r="B166" s="74">
        <v>38916</v>
      </c>
      <c r="C166" s="12">
        <v>2006</v>
      </c>
      <c r="D166" s="11" t="s">
        <v>33</v>
      </c>
      <c r="E166" s="12">
        <v>7</v>
      </c>
      <c r="F166" s="17">
        <v>27.236799999999999</v>
      </c>
      <c r="G166" s="17">
        <v>3.5665</v>
      </c>
      <c r="I166" s="27">
        <f>AVERAGE(F165:F166)</f>
        <v>22.213000000000001</v>
      </c>
      <c r="J166" s="27">
        <f>AVERAGE(G165:G166)</f>
        <v>2.7205500000000002</v>
      </c>
      <c r="L166">
        <f>+J166/I166</f>
        <v>0.12247557736460632</v>
      </c>
      <c r="M166">
        <f>+(L166-$L$619)/$L$620</f>
        <v>-0.79927610632620516</v>
      </c>
      <c r="N166">
        <f>+N164+M166</f>
        <v>-8.4821014268277732</v>
      </c>
    </row>
    <row r="167" spans="1:14">
      <c r="A167" s="12">
        <v>3</v>
      </c>
      <c r="B167" s="74">
        <v>38953</v>
      </c>
      <c r="C167" s="12">
        <v>2006</v>
      </c>
      <c r="D167" s="11" t="s">
        <v>34</v>
      </c>
      <c r="E167" s="12">
        <v>8</v>
      </c>
      <c r="F167" s="17">
        <v>12.1</v>
      </c>
      <c r="G167" s="17">
        <v>3.1225000000000001</v>
      </c>
    </row>
    <row r="168" spans="1:14">
      <c r="A168" s="12">
        <v>4</v>
      </c>
      <c r="B168" s="74">
        <v>38953</v>
      </c>
      <c r="C168" s="12">
        <v>2006</v>
      </c>
      <c r="D168" s="11" t="s">
        <v>34</v>
      </c>
      <c r="E168" s="12">
        <v>8</v>
      </c>
      <c r="F168" s="17">
        <v>25.657399999999999</v>
      </c>
      <c r="G168" s="17">
        <v>2.6025</v>
      </c>
      <c r="I168" s="27">
        <f>AVERAGE(F167:F168)</f>
        <v>18.878699999999998</v>
      </c>
      <c r="J168" s="27">
        <f>AVERAGE(G167:G168)</f>
        <v>2.8624999999999998</v>
      </c>
      <c r="L168">
        <f>+J168/I168</f>
        <v>0.15162590644482937</v>
      </c>
      <c r="M168">
        <f>+(L168-$L$619)/$L$620</f>
        <v>-0.52238731812370587</v>
      </c>
      <c r="N168">
        <f>+N166+M168</f>
        <v>-9.0044887449514786</v>
      </c>
    </row>
    <row r="169" spans="1:14">
      <c r="A169" s="12">
        <v>3</v>
      </c>
      <c r="B169" s="74">
        <v>38972</v>
      </c>
      <c r="C169" s="12">
        <v>2006</v>
      </c>
      <c r="D169" s="11" t="s">
        <v>35</v>
      </c>
      <c r="E169" s="12">
        <v>9</v>
      </c>
      <c r="F169" s="17">
        <v>12.8247</v>
      </c>
      <c r="G169" s="17">
        <v>3.0175000000000001</v>
      </c>
    </row>
    <row r="170" spans="1:14">
      <c r="A170" s="12">
        <v>4</v>
      </c>
      <c r="B170" s="74">
        <v>38972</v>
      </c>
      <c r="C170" s="12">
        <v>2006</v>
      </c>
      <c r="D170" s="11" t="s">
        <v>35</v>
      </c>
      <c r="E170" s="12">
        <v>9</v>
      </c>
      <c r="F170" s="17">
        <v>21.657699999999998</v>
      </c>
      <c r="G170" s="17">
        <v>5.9207999999999998</v>
      </c>
      <c r="I170" s="27">
        <f>AVERAGE(F169:F170)</f>
        <v>17.241199999999999</v>
      </c>
      <c r="J170" s="27">
        <f>AVERAGE(G169:G170)</f>
        <v>4.46915</v>
      </c>
      <c r="L170">
        <f>+J170/I170</f>
        <v>0.25921339581931652</v>
      </c>
      <c r="M170">
        <f>+(L170-$L$619)/$L$620</f>
        <v>0.49954864275921212</v>
      </c>
      <c r="N170">
        <f>+N168+M170</f>
        <v>-8.5049401021922666</v>
      </c>
    </row>
    <row r="171" spans="1:14">
      <c r="A171" s="12">
        <v>3</v>
      </c>
      <c r="B171" s="74">
        <v>39008</v>
      </c>
      <c r="C171" s="12">
        <v>2006</v>
      </c>
      <c r="D171" s="11" t="s">
        <v>36</v>
      </c>
      <c r="E171" s="12">
        <v>10</v>
      </c>
      <c r="F171" s="17">
        <v>17.082000000000001</v>
      </c>
      <c r="G171" s="17">
        <v>7.2649999999999997</v>
      </c>
    </row>
    <row r="172" spans="1:14">
      <c r="A172" s="12">
        <v>4</v>
      </c>
      <c r="B172" s="74">
        <v>39008</v>
      </c>
      <c r="C172" s="12">
        <v>2006</v>
      </c>
      <c r="D172" s="11" t="s">
        <v>36</v>
      </c>
      <c r="E172" s="12">
        <v>10</v>
      </c>
      <c r="F172" s="17">
        <v>17.042000000000002</v>
      </c>
      <c r="G172" s="17">
        <v>6.7160000000000002</v>
      </c>
      <c r="I172" s="27">
        <f>AVERAGE(F171:F172)</f>
        <v>17.062000000000001</v>
      </c>
      <c r="J172" s="27">
        <f>AVERAGE(G171:G172)</f>
        <v>6.9904999999999999</v>
      </c>
      <c r="L172">
        <f>+J172/I172</f>
        <v>0.40971163990153553</v>
      </c>
      <c r="M172">
        <f>+(L172-$L$619)/$L$620</f>
        <v>1.9290788657576663</v>
      </c>
      <c r="N172">
        <f>+N170+M172</f>
        <v>-6.5758612364346005</v>
      </c>
    </row>
    <row r="173" spans="1:14">
      <c r="A173" s="12">
        <v>3</v>
      </c>
      <c r="B173" s="74">
        <v>39035</v>
      </c>
      <c r="C173" s="12">
        <v>2006</v>
      </c>
      <c r="D173" s="11" t="s">
        <v>37</v>
      </c>
      <c r="E173" s="12">
        <v>11</v>
      </c>
      <c r="F173" s="17">
        <v>15.141999999999999</v>
      </c>
      <c r="G173" s="17">
        <v>6.0430000000000001</v>
      </c>
    </row>
    <row r="174" spans="1:14">
      <c r="A174" s="12">
        <v>4</v>
      </c>
      <c r="B174" s="74">
        <v>39035</v>
      </c>
      <c r="C174" s="12">
        <v>2006</v>
      </c>
      <c r="D174" s="11" t="s">
        <v>37</v>
      </c>
      <c r="E174" s="12">
        <v>11</v>
      </c>
      <c r="F174" s="17">
        <v>27.632000000000001</v>
      </c>
      <c r="G174" s="17">
        <v>9.3800000000000008</v>
      </c>
      <c r="I174" s="27">
        <f>AVERAGE(F173:F174)</f>
        <v>21.387</v>
      </c>
      <c r="J174" s="27">
        <f>AVERAGE(G173:G174)</f>
        <v>7.7115000000000009</v>
      </c>
      <c r="L174">
        <f>+J174/I174</f>
        <v>0.36056950483938843</v>
      </c>
      <c r="M174">
        <f>+(L174-$L$619)/$L$620</f>
        <v>1.4622948994568183</v>
      </c>
      <c r="N174">
        <f>+N172+M174</f>
        <v>-5.1135663369777822</v>
      </c>
    </row>
    <row r="175" spans="1:14">
      <c r="A175" s="12">
        <v>3</v>
      </c>
      <c r="B175" s="75">
        <v>39063</v>
      </c>
      <c r="C175" s="15">
        <v>2006</v>
      </c>
      <c r="D175" s="11" t="s">
        <v>38</v>
      </c>
      <c r="E175" s="15">
        <v>12</v>
      </c>
      <c r="F175" s="17">
        <v>10.353</v>
      </c>
      <c r="G175" s="17">
        <v>4.3529999999999998</v>
      </c>
    </row>
    <row r="176" spans="1:14">
      <c r="A176" s="12">
        <v>4</v>
      </c>
      <c r="B176" s="75">
        <v>39063</v>
      </c>
      <c r="C176" s="15">
        <v>2006</v>
      </c>
      <c r="D176" s="11" t="s">
        <v>38</v>
      </c>
      <c r="E176" s="15">
        <v>12</v>
      </c>
      <c r="F176" s="17">
        <v>10.071999999999999</v>
      </c>
      <c r="G176" s="17">
        <v>3.2650000000000001</v>
      </c>
      <c r="I176" s="27">
        <f>AVERAGE(F175:F176)</f>
        <v>10.212499999999999</v>
      </c>
      <c r="J176" s="27">
        <f>AVERAGE(G175:G176)</f>
        <v>3.8090000000000002</v>
      </c>
      <c r="L176">
        <f>+J176/I176</f>
        <v>0.37297429620563044</v>
      </c>
      <c r="M176">
        <f>+(L176-$L$619)/$L$620</f>
        <v>1.5801236773018641</v>
      </c>
      <c r="N176">
        <f>+N174+M176</f>
        <v>-3.5334426596759183</v>
      </c>
    </row>
    <row r="177" spans="1:14">
      <c r="A177" s="15">
        <v>3</v>
      </c>
      <c r="B177" s="75">
        <v>39101</v>
      </c>
      <c r="C177" s="15">
        <v>2007</v>
      </c>
      <c r="D177" s="11" t="s">
        <v>39</v>
      </c>
      <c r="E177" s="15">
        <v>1</v>
      </c>
      <c r="F177" s="17">
        <v>19.911000000000001</v>
      </c>
      <c r="G177" s="17">
        <v>6.9530000000000003</v>
      </c>
    </row>
    <row r="178" spans="1:14">
      <c r="A178" s="15">
        <v>4</v>
      </c>
      <c r="B178" s="75">
        <v>39101</v>
      </c>
      <c r="C178" s="15">
        <v>2007</v>
      </c>
      <c r="D178" s="11" t="s">
        <v>39</v>
      </c>
      <c r="E178" s="15">
        <v>1</v>
      </c>
      <c r="F178" s="17">
        <v>22.295000000000002</v>
      </c>
      <c r="G178" s="17">
        <v>7.7450000000000001</v>
      </c>
      <c r="I178" s="27">
        <f>AVERAGE(F177:F178)</f>
        <v>21.103000000000002</v>
      </c>
      <c r="J178" s="27">
        <f>AVERAGE(G177:G178)</f>
        <v>7.3490000000000002</v>
      </c>
      <c r="L178">
        <f>+J178/I178</f>
        <v>0.34824432545135758</v>
      </c>
      <c r="M178">
        <f>+(L178-$L$619)/$L$620</f>
        <v>1.3452223279692594</v>
      </c>
      <c r="N178">
        <f>+N176+M178</f>
        <v>-2.1882203317066589</v>
      </c>
    </row>
    <row r="179" spans="1:14">
      <c r="A179" s="15">
        <v>3</v>
      </c>
      <c r="B179" s="75">
        <v>39134</v>
      </c>
      <c r="C179" s="15">
        <v>2007</v>
      </c>
      <c r="D179" s="11" t="s">
        <v>28</v>
      </c>
      <c r="E179" s="15">
        <v>2</v>
      </c>
      <c r="F179" s="17">
        <v>3.71</v>
      </c>
      <c r="G179" s="17">
        <v>0.69099999999999995</v>
      </c>
    </row>
    <row r="180" spans="1:14">
      <c r="A180" s="15">
        <v>4</v>
      </c>
      <c r="B180" s="75">
        <v>39134</v>
      </c>
      <c r="C180" s="15">
        <v>2007</v>
      </c>
      <c r="D180" s="11" t="s">
        <v>28</v>
      </c>
      <c r="E180" s="15">
        <v>2</v>
      </c>
      <c r="F180" s="17">
        <v>4.2380000000000004</v>
      </c>
      <c r="G180" s="17">
        <v>0.80200000000000005</v>
      </c>
      <c r="I180" s="27">
        <f>AVERAGE(F179:F180)</f>
        <v>3.9740000000000002</v>
      </c>
      <c r="J180" s="27">
        <f>AVERAGE(G179:G180)</f>
        <v>0.74649999999999994</v>
      </c>
      <c r="L180">
        <f>+J180/I180</f>
        <v>0.18784599899345744</v>
      </c>
      <c r="M180">
        <f>+(L180-$L$619)/$L$620</f>
        <v>-0.17834531754210348</v>
      </c>
      <c r="N180">
        <f>+N178+M180</f>
        <v>-2.3665656492487623</v>
      </c>
    </row>
    <row r="181" spans="1:14">
      <c r="A181" s="15">
        <v>3</v>
      </c>
      <c r="B181" s="75">
        <v>39154</v>
      </c>
      <c r="C181" s="15">
        <v>2007</v>
      </c>
      <c r="D181" s="11" t="s">
        <v>29</v>
      </c>
      <c r="E181" s="15">
        <v>3</v>
      </c>
      <c r="F181" s="17">
        <v>4.9480000000000004</v>
      </c>
      <c r="G181" s="17">
        <v>1.4510000000000001</v>
      </c>
    </row>
    <row r="182" spans="1:14">
      <c r="A182" s="15">
        <v>4</v>
      </c>
      <c r="B182" s="75">
        <v>39154</v>
      </c>
      <c r="C182" s="15">
        <v>2007</v>
      </c>
      <c r="D182" s="11" t="s">
        <v>29</v>
      </c>
      <c r="E182" s="15">
        <v>3</v>
      </c>
      <c r="F182" s="17">
        <v>4.407</v>
      </c>
      <c r="G182" s="17">
        <v>0.97299999999999998</v>
      </c>
      <c r="I182" s="27">
        <f>AVERAGE(F181:F182)</f>
        <v>4.6775000000000002</v>
      </c>
      <c r="J182" s="27">
        <f>AVERAGE(G181:G182)</f>
        <v>1.212</v>
      </c>
      <c r="L182">
        <f>+J182/I182</f>
        <v>0.25911277391769105</v>
      </c>
      <c r="M182">
        <f>+(L182-$L$619)/$L$620</f>
        <v>0.49859287048195822</v>
      </c>
      <c r="N182">
        <f>+N180+M182</f>
        <v>-1.8679727787668041</v>
      </c>
    </row>
    <row r="183" spans="1:14">
      <c r="A183" s="15">
        <v>3</v>
      </c>
      <c r="B183" s="75">
        <v>39190</v>
      </c>
      <c r="C183" s="15">
        <v>2007</v>
      </c>
      <c r="D183" s="11" t="s">
        <v>30</v>
      </c>
      <c r="E183" s="15">
        <v>4</v>
      </c>
      <c r="F183" s="17">
        <v>17.379000000000001</v>
      </c>
      <c r="G183" s="17">
        <v>6.9480000000000004</v>
      </c>
    </row>
    <row r="184" spans="1:14">
      <c r="A184" s="15">
        <v>4</v>
      </c>
      <c r="B184" s="75">
        <v>39190</v>
      </c>
      <c r="C184" s="15">
        <v>2007</v>
      </c>
      <c r="D184" s="11" t="s">
        <v>30</v>
      </c>
      <c r="E184" s="15">
        <v>4</v>
      </c>
      <c r="F184" s="17">
        <v>31.898</v>
      </c>
      <c r="G184" s="17">
        <v>11.007</v>
      </c>
      <c r="I184" s="27">
        <f>AVERAGE(F183:F184)</f>
        <v>24.638500000000001</v>
      </c>
      <c r="J184" s="27">
        <f>AVERAGE(G183:G184)</f>
        <v>8.9774999999999991</v>
      </c>
      <c r="L184">
        <f>+J184/I184</f>
        <v>0.36436877244962146</v>
      </c>
      <c r="M184">
        <f>+(L184-$L$619)/$L$620</f>
        <v>1.4983828146827269</v>
      </c>
      <c r="N184">
        <f>+N182+M184</f>
        <v>-0.36958996408407718</v>
      </c>
    </row>
    <row r="185" spans="1:14">
      <c r="A185" s="15">
        <v>3</v>
      </c>
      <c r="B185" s="75">
        <v>39217</v>
      </c>
      <c r="C185" s="15">
        <v>2007</v>
      </c>
      <c r="D185" s="11" t="s">
        <v>31</v>
      </c>
      <c r="E185" s="15">
        <v>5</v>
      </c>
      <c r="F185" s="17">
        <v>10.680999999999999</v>
      </c>
      <c r="G185" s="17">
        <v>4.7140000000000004</v>
      </c>
    </row>
    <row r="186" spans="1:14">
      <c r="A186" s="15">
        <v>4</v>
      </c>
      <c r="B186" s="75">
        <v>39217</v>
      </c>
      <c r="C186" s="15">
        <v>2007</v>
      </c>
      <c r="D186" s="11" t="s">
        <v>31</v>
      </c>
      <c r="E186" s="15">
        <v>5</v>
      </c>
      <c r="F186" s="17">
        <v>14.287000000000001</v>
      </c>
      <c r="G186" s="17">
        <v>6.1929999999999996</v>
      </c>
      <c r="I186" s="27">
        <f>AVERAGE(F185:F186)</f>
        <v>12.484</v>
      </c>
      <c r="J186" s="27">
        <f>AVERAGE(G185:G186)</f>
        <v>5.4535</v>
      </c>
      <c r="L186">
        <f>+J186/I186</f>
        <v>0.43683915411727009</v>
      </c>
      <c r="M186">
        <f>+(L186-$L$619)/$L$620</f>
        <v>2.1867536425147094</v>
      </c>
      <c r="N186">
        <f>+N184+M186</f>
        <v>1.8171636784306322</v>
      </c>
    </row>
    <row r="187" spans="1:14">
      <c r="A187" s="15">
        <v>3</v>
      </c>
      <c r="B187" s="75">
        <v>39246</v>
      </c>
      <c r="C187" s="15">
        <v>2007</v>
      </c>
      <c r="D187" s="11" t="s">
        <v>32</v>
      </c>
      <c r="E187" s="15">
        <v>6</v>
      </c>
      <c r="F187" s="17">
        <v>28.22</v>
      </c>
      <c r="G187" s="17">
        <v>8.85</v>
      </c>
    </row>
    <row r="188" spans="1:14">
      <c r="A188" s="15">
        <v>4</v>
      </c>
      <c r="B188" s="75">
        <v>39246</v>
      </c>
      <c r="C188" s="15">
        <v>2007</v>
      </c>
      <c r="D188" s="11" t="s">
        <v>32</v>
      </c>
      <c r="E188" s="15">
        <v>6</v>
      </c>
      <c r="F188" s="17">
        <v>24.821999999999999</v>
      </c>
      <c r="G188" s="17">
        <v>5.218</v>
      </c>
      <c r="I188" s="27">
        <f>AVERAGE(F187:F188)</f>
        <v>26.521000000000001</v>
      </c>
      <c r="J188" s="27">
        <f>AVERAGE(G187:G188)</f>
        <v>7.0339999999999998</v>
      </c>
      <c r="L188">
        <f>+J188/I188</f>
        <v>0.26522378492515364</v>
      </c>
      <c r="M188">
        <f>+(L188-$L$619)/$L$620</f>
        <v>0.55663922830837564</v>
      </c>
      <c r="N188">
        <f>+N186+M188</f>
        <v>2.3738029067390078</v>
      </c>
    </row>
    <row r="189" spans="1:14">
      <c r="A189" s="15">
        <v>3</v>
      </c>
      <c r="B189" s="75">
        <v>39280</v>
      </c>
      <c r="C189" s="15">
        <v>2007</v>
      </c>
      <c r="D189" s="11" t="s">
        <v>33</v>
      </c>
      <c r="E189" s="15">
        <v>7</v>
      </c>
      <c r="F189" s="17">
        <v>18.838000000000001</v>
      </c>
      <c r="G189" s="17">
        <v>2.1640000000000001</v>
      </c>
    </row>
    <row r="190" spans="1:14">
      <c r="A190" s="15">
        <v>4</v>
      </c>
      <c r="B190" s="75">
        <v>39280</v>
      </c>
      <c r="C190" s="15">
        <v>2007</v>
      </c>
      <c r="D190" s="11" t="s">
        <v>33</v>
      </c>
      <c r="E190" s="15">
        <v>7</v>
      </c>
      <c r="F190" s="17">
        <v>30.202999999999999</v>
      </c>
      <c r="G190" s="17">
        <v>4.5650000000000004</v>
      </c>
      <c r="I190" s="27">
        <f>AVERAGE(F189:F190)</f>
        <v>24.520499999999998</v>
      </c>
      <c r="J190" s="27">
        <f>AVERAGE(G189:G190)</f>
        <v>3.3645000000000005</v>
      </c>
      <c r="L190">
        <f>+J190/I190</f>
        <v>0.13721172080504071</v>
      </c>
      <c r="M190">
        <f>+(L190-$L$619)/$L$620</f>
        <v>-0.65930262991120525</v>
      </c>
      <c r="N190">
        <f>+N188+M190</f>
        <v>1.7145002768278026</v>
      </c>
    </row>
    <row r="191" spans="1:14">
      <c r="A191" s="15">
        <v>3</v>
      </c>
      <c r="B191" s="75">
        <v>39308</v>
      </c>
      <c r="C191" s="15">
        <v>2007</v>
      </c>
      <c r="D191" s="11" t="s">
        <v>34</v>
      </c>
      <c r="E191" s="15">
        <v>8</v>
      </c>
      <c r="F191" s="17">
        <v>18.850999999999999</v>
      </c>
      <c r="G191" s="17">
        <v>1.6970000000000001</v>
      </c>
    </row>
    <row r="192" spans="1:14">
      <c r="A192" s="15">
        <v>4</v>
      </c>
      <c r="B192" s="75">
        <v>39308</v>
      </c>
      <c r="C192" s="15">
        <v>2007</v>
      </c>
      <c r="D192" s="11" t="s">
        <v>34</v>
      </c>
      <c r="E192" s="15">
        <v>8</v>
      </c>
      <c r="F192" s="17">
        <v>20.166</v>
      </c>
      <c r="G192" s="17">
        <v>1.6519999999999999</v>
      </c>
      <c r="I192" s="27">
        <f>AVERAGE(F191:F192)</f>
        <v>19.508499999999998</v>
      </c>
      <c r="J192" s="27">
        <f>AVERAGE(G191:G192)</f>
        <v>1.6745000000000001</v>
      </c>
      <c r="L192">
        <f>+J192/I192</f>
        <v>8.583437988569087E-2</v>
      </c>
      <c r="M192">
        <f>+(L192-$L$619)/$L$620</f>
        <v>-1.1473180354689048</v>
      </c>
      <c r="N192">
        <f>+N190+M192</f>
        <v>0.56718224135889783</v>
      </c>
    </row>
    <row r="193" spans="1:14">
      <c r="A193" s="15">
        <v>3</v>
      </c>
      <c r="B193" s="75">
        <v>39336</v>
      </c>
      <c r="C193" s="15">
        <v>2007</v>
      </c>
      <c r="D193" s="11" t="s">
        <v>40</v>
      </c>
      <c r="E193" s="15">
        <v>9</v>
      </c>
      <c r="F193" s="17">
        <v>20.366</v>
      </c>
      <c r="G193" s="17">
        <v>2.7389999999999999</v>
      </c>
    </row>
    <row r="194" spans="1:14">
      <c r="A194" s="15">
        <v>4</v>
      </c>
      <c r="B194" s="75">
        <v>39336</v>
      </c>
      <c r="C194" s="15">
        <v>2007</v>
      </c>
      <c r="D194" s="11" t="s">
        <v>40</v>
      </c>
      <c r="E194" s="15">
        <v>9</v>
      </c>
      <c r="F194" s="17">
        <v>21.111000000000001</v>
      </c>
      <c r="G194" s="17">
        <v>2.5379999999999998</v>
      </c>
      <c r="I194" s="27">
        <f>AVERAGE(F193:F194)</f>
        <v>20.738500000000002</v>
      </c>
      <c r="J194" s="27">
        <f>AVERAGE(G193:G194)</f>
        <v>2.6384999999999996</v>
      </c>
      <c r="L194">
        <f>+J194/I194</f>
        <v>0.12722713793186582</v>
      </c>
      <c r="M194">
        <f>+(L194-$L$619)/$L$620</f>
        <v>-0.75414269311778048</v>
      </c>
      <c r="N194">
        <f>+N192+M194</f>
        <v>-0.18696045175888265</v>
      </c>
    </row>
    <row r="195" spans="1:14">
      <c r="A195" s="15">
        <v>3</v>
      </c>
      <c r="B195" s="75">
        <v>39373</v>
      </c>
      <c r="C195" s="15">
        <v>2007</v>
      </c>
      <c r="D195" s="11" t="s">
        <v>36</v>
      </c>
      <c r="E195" s="15">
        <v>10</v>
      </c>
      <c r="F195" s="17">
        <v>8.282</v>
      </c>
      <c r="G195" s="17">
        <v>1.113</v>
      </c>
    </row>
    <row r="196" spans="1:14">
      <c r="A196" s="15">
        <v>4</v>
      </c>
      <c r="B196" s="75">
        <v>39373</v>
      </c>
      <c r="C196" s="15">
        <v>2007</v>
      </c>
      <c r="D196" s="11" t="s">
        <v>36</v>
      </c>
      <c r="E196" s="15">
        <v>10</v>
      </c>
      <c r="F196" s="17">
        <v>14.773</v>
      </c>
      <c r="G196" s="17">
        <v>1.9770000000000001</v>
      </c>
      <c r="I196" s="27">
        <f>AVERAGE(F195:F196)</f>
        <v>11.5275</v>
      </c>
      <c r="J196" s="27">
        <f>AVERAGE(G195:G196)</f>
        <v>1.5449999999999999</v>
      </c>
      <c r="L196">
        <f>+J196/I196</f>
        <v>0.13402732595966169</v>
      </c>
      <c r="M196">
        <f>+(L196-$L$619)/$L$620</f>
        <v>-0.68955008363526926</v>
      </c>
      <c r="N196">
        <f>+N194+M196</f>
        <v>-0.87651053539415191</v>
      </c>
    </row>
    <row r="197" spans="1:14">
      <c r="A197" s="15">
        <v>3</v>
      </c>
      <c r="B197" s="75">
        <v>39399</v>
      </c>
      <c r="C197" s="15">
        <v>2007</v>
      </c>
      <c r="D197" s="11" t="s">
        <v>37</v>
      </c>
      <c r="E197" s="15">
        <v>11</v>
      </c>
      <c r="F197" s="17">
        <v>6.133</v>
      </c>
      <c r="G197" s="17">
        <v>1.89</v>
      </c>
    </row>
    <row r="198" spans="1:14">
      <c r="A198" s="15">
        <v>4</v>
      </c>
      <c r="B198" s="75">
        <v>39399</v>
      </c>
      <c r="C198" s="15">
        <v>2007</v>
      </c>
      <c r="D198" s="11" t="s">
        <v>37</v>
      </c>
      <c r="E198" s="15">
        <v>11</v>
      </c>
      <c r="F198" s="17">
        <v>7.9269999999999996</v>
      </c>
      <c r="G198" s="17">
        <v>2.0710000000000002</v>
      </c>
      <c r="I198" s="27">
        <f>AVERAGE(F197:F198)</f>
        <v>7.0299999999999994</v>
      </c>
      <c r="J198" s="27">
        <f>AVERAGE(G197:G198)</f>
        <v>1.9805000000000001</v>
      </c>
      <c r="L198">
        <f>+J198/I198</f>
        <v>0.28172119487908964</v>
      </c>
      <c r="M198">
        <f>+(L198-$L$619)/$L$620</f>
        <v>0.71334235979117944</v>
      </c>
      <c r="N198">
        <f>+N196+M198</f>
        <v>-0.16316817560297248</v>
      </c>
    </row>
    <row r="199" spans="1:14">
      <c r="A199" s="15">
        <v>3</v>
      </c>
      <c r="B199" s="75">
        <v>39427</v>
      </c>
      <c r="C199" s="15">
        <v>2007</v>
      </c>
      <c r="D199" s="11" t="s">
        <v>38</v>
      </c>
      <c r="E199" s="15">
        <v>12</v>
      </c>
      <c r="F199" s="17">
        <v>5.8310000000000004</v>
      </c>
      <c r="G199" s="17">
        <v>1.792</v>
      </c>
    </row>
    <row r="200" spans="1:14">
      <c r="A200" s="15">
        <v>4</v>
      </c>
      <c r="B200" s="75">
        <v>39427</v>
      </c>
      <c r="C200" s="15">
        <v>2007</v>
      </c>
      <c r="D200" s="11" t="s">
        <v>38</v>
      </c>
      <c r="E200" s="15">
        <v>12</v>
      </c>
      <c r="F200" s="17">
        <v>9.1120000000000001</v>
      </c>
      <c r="G200" s="17">
        <v>2.69</v>
      </c>
      <c r="I200" s="27">
        <f>AVERAGE(F199:F200)</f>
        <v>7.4715000000000007</v>
      </c>
      <c r="J200" s="27">
        <f>AVERAGE(G199:G200)</f>
        <v>2.2410000000000001</v>
      </c>
      <c r="L200">
        <f>+J200/I200</f>
        <v>0.29993977113029513</v>
      </c>
      <c r="M200">
        <f>+(L200-$L$619)/$L$620</f>
        <v>0.88639424840239778</v>
      </c>
      <c r="N200">
        <f>+N198+M200</f>
        <v>0.7232260727994253</v>
      </c>
    </row>
    <row r="201" spans="1:14">
      <c r="A201" s="15">
        <v>3</v>
      </c>
      <c r="B201" s="75">
        <v>39462</v>
      </c>
      <c r="C201" s="15">
        <v>2008</v>
      </c>
      <c r="D201" s="11" t="s">
        <v>39</v>
      </c>
      <c r="E201" s="15">
        <v>1</v>
      </c>
      <c r="F201" s="23">
        <v>3.843</v>
      </c>
      <c r="G201" s="23">
        <v>0.78900000000000003</v>
      </c>
    </row>
    <row r="202" spans="1:14">
      <c r="A202" s="15">
        <v>4</v>
      </c>
      <c r="B202" s="75">
        <v>39462</v>
      </c>
      <c r="C202" s="15">
        <v>2008</v>
      </c>
      <c r="D202" s="11" t="s">
        <v>39</v>
      </c>
      <c r="E202" s="15">
        <v>1</v>
      </c>
      <c r="F202" s="23">
        <v>8.2759999999999998</v>
      </c>
      <c r="G202" s="23">
        <v>1.679</v>
      </c>
      <c r="I202" s="27">
        <f>AVERAGE(F201:F202)</f>
        <v>6.0594999999999999</v>
      </c>
      <c r="J202" s="27">
        <f>AVERAGE(G201:G202)</f>
        <v>1.234</v>
      </c>
      <c r="L202">
        <f>+J202/I202</f>
        <v>0.20364716560772342</v>
      </c>
      <c r="M202">
        <f>+(L202-$L$619)/$L$620</f>
        <v>-2.8255558213169808E-2</v>
      </c>
      <c r="N202">
        <f>+N200+M202</f>
        <v>0.69497051458625547</v>
      </c>
    </row>
    <row r="203" spans="1:14">
      <c r="A203" s="15">
        <v>3</v>
      </c>
      <c r="B203" s="75">
        <v>39490</v>
      </c>
      <c r="C203" s="15">
        <v>2008</v>
      </c>
      <c r="D203" s="11" t="s">
        <v>28</v>
      </c>
      <c r="E203" s="15">
        <v>2</v>
      </c>
      <c r="F203" s="23">
        <v>6.859</v>
      </c>
      <c r="G203" s="23">
        <v>1.427</v>
      </c>
    </row>
    <row r="204" spans="1:14">
      <c r="A204" s="15">
        <v>4</v>
      </c>
      <c r="B204" s="75">
        <v>39490</v>
      </c>
      <c r="C204" s="15">
        <v>2008</v>
      </c>
      <c r="D204" s="11" t="s">
        <v>28</v>
      </c>
      <c r="E204" s="15">
        <v>2</v>
      </c>
      <c r="F204" s="23">
        <v>16.058</v>
      </c>
      <c r="G204" s="23">
        <v>3.6389999999999998</v>
      </c>
      <c r="I204" s="27">
        <f>AVERAGE(F203:F204)</f>
        <v>11.458500000000001</v>
      </c>
      <c r="J204" s="27">
        <f>AVERAGE(G203:G204)</f>
        <v>2.5329999999999999</v>
      </c>
      <c r="L204">
        <f>+J204/I204</f>
        <v>0.22105860278395947</v>
      </c>
      <c r="M204">
        <f>+(L204-$L$619)/$L$620</f>
        <v>0.13712959841145164</v>
      </c>
      <c r="N204">
        <f>+N202+M204</f>
        <v>0.83210011299770714</v>
      </c>
    </row>
    <row r="205" spans="1:14">
      <c r="A205" s="15">
        <v>3</v>
      </c>
      <c r="B205" s="75">
        <v>39520</v>
      </c>
      <c r="C205" s="15">
        <v>2008</v>
      </c>
      <c r="D205" s="11" t="s">
        <v>29</v>
      </c>
      <c r="E205" s="15">
        <v>3</v>
      </c>
      <c r="F205" s="24">
        <v>4.5410000000000004</v>
      </c>
      <c r="G205" s="23">
        <v>1.6160000000000001</v>
      </c>
    </row>
    <row r="206" spans="1:14">
      <c r="A206" s="15">
        <v>4</v>
      </c>
      <c r="B206" s="75">
        <v>39520</v>
      </c>
      <c r="C206" s="15">
        <v>2008</v>
      </c>
      <c r="D206" s="11" t="s">
        <v>29</v>
      </c>
      <c r="E206" s="15">
        <v>3</v>
      </c>
      <c r="F206" s="24">
        <v>9.7249999999999996</v>
      </c>
      <c r="G206" s="23">
        <v>2.52</v>
      </c>
      <c r="I206" s="27">
        <f>AVERAGE(F205:F206)</f>
        <v>7.133</v>
      </c>
      <c r="J206" s="27">
        <f>AVERAGE(G205:G206)</f>
        <v>2.0680000000000001</v>
      </c>
      <c r="L206">
        <f>+J206/I206</f>
        <v>0.28992008972381889</v>
      </c>
      <c r="M206">
        <f>+(L206-$L$619)/$L$620</f>
        <v>0.79122079649455768</v>
      </c>
      <c r="N206">
        <f>+N204+M206</f>
        <v>1.6233209094922647</v>
      </c>
    </row>
    <row r="207" spans="1:14">
      <c r="A207" s="15">
        <v>3</v>
      </c>
      <c r="B207" s="75">
        <v>39553</v>
      </c>
      <c r="C207" s="15">
        <v>2008</v>
      </c>
      <c r="D207" s="11" t="s">
        <v>30</v>
      </c>
      <c r="E207" s="15">
        <v>4</v>
      </c>
      <c r="F207" s="24">
        <v>6.3369999999999997</v>
      </c>
      <c r="G207" s="23">
        <v>2.504</v>
      </c>
    </row>
    <row r="208" spans="1:14">
      <c r="A208" s="15">
        <v>4</v>
      </c>
      <c r="B208" s="75">
        <v>39553</v>
      </c>
      <c r="C208" s="15">
        <v>2008</v>
      </c>
      <c r="D208" s="11" t="s">
        <v>30</v>
      </c>
      <c r="E208" s="15">
        <v>4</v>
      </c>
      <c r="F208" s="24">
        <v>14.29</v>
      </c>
      <c r="G208" s="23">
        <v>4.7850000000000001</v>
      </c>
      <c r="I208" s="27">
        <f>AVERAGE(F207:F208)</f>
        <v>10.313499999999999</v>
      </c>
      <c r="J208" s="27">
        <f>AVERAGE(G207:G208)</f>
        <v>3.6444999999999999</v>
      </c>
      <c r="L208">
        <f>+J208/I208</f>
        <v>0.3533717942502545</v>
      </c>
      <c r="M208">
        <f>+(L208-$L$619)/$L$620</f>
        <v>1.3939263620940716</v>
      </c>
      <c r="N208">
        <f>+N206+M208</f>
        <v>3.0172472715863363</v>
      </c>
    </row>
    <row r="209" spans="1:14">
      <c r="A209" s="15">
        <v>3</v>
      </c>
      <c r="B209" s="75">
        <v>39582</v>
      </c>
      <c r="C209" s="15">
        <v>2008</v>
      </c>
      <c r="D209" s="11" t="s">
        <v>31</v>
      </c>
      <c r="E209" s="15">
        <v>5</v>
      </c>
      <c r="F209" s="24">
        <v>15.234</v>
      </c>
      <c r="G209" s="23">
        <v>5.734</v>
      </c>
    </row>
    <row r="210" spans="1:14">
      <c r="A210" s="15">
        <v>4</v>
      </c>
      <c r="B210" s="75">
        <v>39582</v>
      </c>
      <c r="C210" s="15">
        <v>2008</v>
      </c>
      <c r="D210" s="11" t="s">
        <v>31</v>
      </c>
      <c r="E210" s="15">
        <v>5</v>
      </c>
      <c r="F210" s="24">
        <v>14.628</v>
      </c>
      <c r="G210" s="23">
        <v>4.2279999999999998</v>
      </c>
      <c r="I210" s="27">
        <f>AVERAGE(F209:F210)</f>
        <v>14.931000000000001</v>
      </c>
      <c r="J210" s="27">
        <f>AVERAGE(G209:G210)</f>
        <v>4.9809999999999999</v>
      </c>
      <c r="L210">
        <f>+J210/I210</f>
        <v>0.3336012323354095</v>
      </c>
      <c r="M210">
        <f>+(L210-$L$619)/$L$620</f>
        <v>1.2061327040664545</v>
      </c>
      <c r="N210">
        <f>+N208+M210</f>
        <v>4.223379975652791</v>
      </c>
    </row>
    <row r="211" spans="1:14">
      <c r="A211" s="15">
        <v>3</v>
      </c>
      <c r="B211" s="75">
        <v>39616</v>
      </c>
      <c r="C211" s="15">
        <v>2008</v>
      </c>
      <c r="D211" s="11" t="s">
        <v>32</v>
      </c>
      <c r="E211" s="15">
        <v>6</v>
      </c>
      <c r="F211" s="24">
        <v>16.321000000000002</v>
      </c>
      <c r="G211" s="23">
        <v>2.2839999999999998</v>
      </c>
    </row>
    <row r="212" spans="1:14">
      <c r="A212" s="15">
        <v>4</v>
      </c>
      <c r="B212" s="75">
        <v>39616</v>
      </c>
      <c r="C212" s="15">
        <v>2008</v>
      </c>
      <c r="D212" s="11" t="s">
        <v>32</v>
      </c>
      <c r="E212" s="15">
        <v>6</v>
      </c>
      <c r="F212" s="24">
        <v>20.048999999999999</v>
      </c>
      <c r="G212" s="23">
        <v>1.7729999999999999</v>
      </c>
      <c r="I212" s="27">
        <f>AVERAGE(F211:F212)</f>
        <v>18.185000000000002</v>
      </c>
      <c r="J212" s="27">
        <f>AVERAGE(G211:G212)</f>
        <v>2.0284999999999997</v>
      </c>
      <c r="L212">
        <f>+J212/I212</f>
        <v>0.11154797910365684</v>
      </c>
      <c r="M212">
        <f>+(L212-$L$619)/$L$620</f>
        <v>-0.90307354312738475</v>
      </c>
      <c r="N212">
        <f>+N210+M212</f>
        <v>3.3203064325254061</v>
      </c>
    </row>
    <row r="213" spans="1:14">
      <c r="A213" s="15">
        <v>3</v>
      </c>
      <c r="B213" s="75">
        <v>39644</v>
      </c>
      <c r="C213" s="15">
        <v>2008</v>
      </c>
      <c r="D213" s="11" t="s">
        <v>33</v>
      </c>
      <c r="E213" s="15">
        <v>7</v>
      </c>
      <c r="F213" s="24">
        <v>40.933</v>
      </c>
      <c r="G213" s="23">
        <v>4.9119999999999999</v>
      </c>
    </row>
    <row r="214" spans="1:14">
      <c r="A214" s="15">
        <v>4</v>
      </c>
      <c r="B214" s="75">
        <v>39644</v>
      </c>
      <c r="C214" s="15">
        <v>2008</v>
      </c>
      <c r="D214" s="11" t="s">
        <v>33</v>
      </c>
      <c r="E214" s="15">
        <v>7</v>
      </c>
      <c r="F214" s="24">
        <v>47.481999999999999</v>
      </c>
      <c r="G214" s="23">
        <v>5.4450000000000003</v>
      </c>
      <c r="I214" s="27">
        <f>AVERAGE(F213:F214)</f>
        <v>44.207499999999996</v>
      </c>
      <c r="J214" s="27">
        <f>AVERAGE(G213:G214)</f>
        <v>5.1784999999999997</v>
      </c>
      <c r="L214">
        <f>+J214/I214</f>
        <v>0.11714075665893797</v>
      </c>
      <c r="M214">
        <f>+(L214-$L$619)/$L$620</f>
        <v>-0.8499497037461492</v>
      </c>
      <c r="N214">
        <f>+N212+M214</f>
        <v>2.4703567287792572</v>
      </c>
    </row>
    <row r="215" spans="1:14">
      <c r="A215" s="15">
        <v>3</v>
      </c>
      <c r="B215" s="75">
        <v>39673</v>
      </c>
      <c r="C215" s="15">
        <v>2008</v>
      </c>
      <c r="D215" s="11" t="s">
        <v>34</v>
      </c>
      <c r="E215" s="15">
        <v>8</v>
      </c>
      <c r="F215" s="24">
        <v>15.821</v>
      </c>
      <c r="G215" s="23">
        <v>2.105</v>
      </c>
    </row>
    <row r="216" spans="1:14">
      <c r="A216" s="15">
        <v>4</v>
      </c>
      <c r="B216" s="75">
        <v>39673</v>
      </c>
      <c r="C216" s="15">
        <v>2008</v>
      </c>
      <c r="D216" s="11" t="s">
        <v>34</v>
      </c>
      <c r="E216" s="15">
        <v>8</v>
      </c>
      <c r="F216" s="24">
        <v>42.738</v>
      </c>
      <c r="G216" s="23">
        <v>5.07</v>
      </c>
      <c r="I216" s="27">
        <f>AVERAGE(F215:F216)</f>
        <v>29.279499999999999</v>
      </c>
      <c r="J216" s="27">
        <f>AVERAGE(G215:G216)</f>
        <v>3.5875000000000004</v>
      </c>
      <c r="L216">
        <f>+J216/I216</f>
        <v>0.12252599941938901</v>
      </c>
      <c r="M216">
        <f>+(L216-$L$619)/$L$620</f>
        <v>-0.79879716484979724</v>
      </c>
      <c r="N216">
        <f>+N214+M216</f>
        <v>1.6715595639294598</v>
      </c>
    </row>
    <row r="217" spans="1:14">
      <c r="A217" s="15">
        <v>3</v>
      </c>
      <c r="B217" s="75">
        <v>39707</v>
      </c>
      <c r="C217" s="15">
        <v>2008</v>
      </c>
      <c r="D217" s="11" t="s">
        <v>40</v>
      </c>
      <c r="E217" s="15">
        <v>9</v>
      </c>
      <c r="F217" s="23">
        <v>20.94</v>
      </c>
      <c r="G217" s="23">
        <v>5.0010000000000003</v>
      </c>
    </row>
    <row r="218" spans="1:14">
      <c r="A218" s="15">
        <v>4</v>
      </c>
      <c r="B218" s="75">
        <v>39707</v>
      </c>
      <c r="C218" s="15">
        <v>2008</v>
      </c>
      <c r="D218" s="11" t="s">
        <v>40</v>
      </c>
      <c r="E218" s="15">
        <v>9</v>
      </c>
      <c r="F218" s="23">
        <v>20.312000000000001</v>
      </c>
      <c r="G218" s="23">
        <v>3.6</v>
      </c>
      <c r="I218" s="27">
        <f>AVERAGE(F217:F218)</f>
        <v>20.626000000000001</v>
      </c>
      <c r="J218" s="27">
        <f>AVERAGE(G217:G218)</f>
        <v>4.3005000000000004</v>
      </c>
      <c r="L218">
        <f>+J218/I218</f>
        <v>0.20849898186754581</v>
      </c>
      <c r="M218">
        <f>+(L218-$L$619)/$L$620</f>
        <v>1.7830148780609546E-2</v>
      </c>
      <c r="N218">
        <f>+N216+M218</f>
        <v>1.6893897127100694</v>
      </c>
    </row>
    <row r="219" spans="1:14">
      <c r="A219" s="15">
        <v>3</v>
      </c>
      <c r="B219" s="75">
        <v>39737</v>
      </c>
      <c r="C219" s="15">
        <v>2008</v>
      </c>
      <c r="D219" s="11" t="s">
        <v>36</v>
      </c>
      <c r="E219" s="15">
        <v>10</v>
      </c>
      <c r="F219" s="23">
        <v>12.946999999999999</v>
      </c>
      <c r="G219" s="23">
        <v>4.16</v>
      </c>
    </row>
    <row r="220" spans="1:14">
      <c r="A220" s="15">
        <v>4</v>
      </c>
      <c r="B220" s="75">
        <v>39737</v>
      </c>
      <c r="C220" s="15">
        <v>2008</v>
      </c>
      <c r="D220" s="11" t="s">
        <v>36</v>
      </c>
      <c r="E220" s="15">
        <v>10</v>
      </c>
      <c r="F220" s="23">
        <v>21.135999999999999</v>
      </c>
      <c r="G220" s="23">
        <v>5.5949999999999998</v>
      </c>
      <c r="I220" s="27">
        <f>AVERAGE(F219:F220)</f>
        <v>17.041499999999999</v>
      </c>
      <c r="J220" s="27">
        <f>AVERAGE(G219:G220)</f>
        <v>4.8774999999999995</v>
      </c>
      <c r="L220">
        <f>+J220/I220</f>
        <v>0.28621306809846547</v>
      </c>
      <c r="M220">
        <f>+(L220-$L$619)/$L$620</f>
        <v>0.75600909364002811</v>
      </c>
      <c r="N220">
        <f>+N218+M220</f>
        <v>2.4453988063500978</v>
      </c>
    </row>
    <row r="221" spans="1:14">
      <c r="A221" s="15">
        <v>3</v>
      </c>
      <c r="B221" s="75">
        <v>39763</v>
      </c>
      <c r="C221" s="15">
        <v>2008</v>
      </c>
      <c r="D221" s="11" t="s">
        <v>37</v>
      </c>
      <c r="E221" s="15">
        <v>11</v>
      </c>
      <c r="F221" s="23">
        <v>11.272</v>
      </c>
      <c r="G221" s="23">
        <v>4.7249999999999996</v>
      </c>
    </row>
    <row r="222" spans="1:14">
      <c r="A222" s="15">
        <v>4</v>
      </c>
      <c r="B222" s="75">
        <v>39763</v>
      </c>
      <c r="C222" s="15">
        <v>2008</v>
      </c>
      <c r="D222" s="11" t="s">
        <v>37</v>
      </c>
      <c r="E222" s="15">
        <v>11</v>
      </c>
      <c r="F222" s="23">
        <v>14.859</v>
      </c>
      <c r="G222" s="23">
        <v>6.343</v>
      </c>
      <c r="I222" s="27">
        <f>AVERAGE(F221:F222)</f>
        <v>13.0655</v>
      </c>
      <c r="J222" s="27">
        <f>AVERAGE(G221:G222)</f>
        <v>5.5339999999999998</v>
      </c>
      <c r="L222">
        <f>+J222/I222</f>
        <v>0.42355822586200298</v>
      </c>
      <c r="M222">
        <f>+(L222-$L$619)/$L$620</f>
        <v>2.0606027465613552</v>
      </c>
      <c r="N222">
        <f>+N220+M222</f>
        <v>4.506001552911453</v>
      </c>
    </row>
    <row r="223" spans="1:14">
      <c r="A223" s="15">
        <v>3</v>
      </c>
      <c r="B223" s="75">
        <v>39434</v>
      </c>
      <c r="C223" s="15">
        <v>2008</v>
      </c>
      <c r="D223" s="11" t="s">
        <v>38</v>
      </c>
      <c r="E223" s="15">
        <v>12</v>
      </c>
      <c r="F223" s="23">
        <v>19.263000000000002</v>
      </c>
      <c r="G223" s="23">
        <v>5.1189999999999998</v>
      </c>
    </row>
    <row r="224" spans="1:14">
      <c r="A224" s="15">
        <v>4</v>
      </c>
      <c r="B224" s="75">
        <v>39434</v>
      </c>
      <c r="C224" s="15">
        <v>2008</v>
      </c>
      <c r="D224" s="11" t="s">
        <v>38</v>
      </c>
      <c r="E224" s="15">
        <v>12</v>
      </c>
      <c r="F224" s="23">
        <v>23.683</v>
      </c>
      <c r="G224" s="23">
        <v>4.5679999999999996</v>
      </c>
      <c r="I224" s="27">
        <f>AVERAGE(F223:F224)</f>
        <v>21.472999999999999</v>
      </c>
      <c r="J224" s="27">
        <f>AVERAGE(G223:G224)</f>
        <v>4.8434999999999997</v>
      </c>
      <c r="L224">
        <f>+J224/I224</f>
        <v>0.22556233409397849</v>
      </c>
      <c r="M224">
        <f>+(L224-$L$619)/$L$620</f>
        <v>0.17990896811904328</v>
      </c>
      <c r="N224">
        <f>+N222+M224</f>
        <v>4.6859105210304959</v>
      </c>
    </row>
    <row r="225" spans="1:14">
      <c r="A225" s="15">
        <v>3</v>
      </c>
      <c r="B225" s="75">
        <v>39825</v>
      </c>
      <c r="C225" s="15">
        <v>2009</v>
      </c>
      <c r="D225" s="11" t="s">
        <v>39</v>
      </c>
      <c r="E225" s="12">
        <v>1</v>
      </c>
      <c r="F225" s="23">
        <v>12.114000000000001</v>
      </c>
      <c r="G225" s="23">
        <v>2.3559999999999999</v>
      </c>
    </row>
    <row r="226" spans="1:14">
      <c r="A226" s="15">
        <v>4</v>
      </c>
      <c r="B226" s="75">
        <v>39825</v>
      </c>
      <c r="C226" s="15">
        <v>2009</v>
      </c>
      <c r="D226" s="11" t="s">
        <v>39</v>
      </c>
      <c r="E226" s="12">
        <v>1</v>
      </c>
      <c r="F226" s="23">
        <v>12.62</v>
      </c>
      <c r="G226" s="23">
        <v>1.889</v>
      </c>
      <c r="I226" s="27">
        <f>AVERAGE(F225:F226)</f>
        <v>12.367000000000001</v>
      </c>
      <c r="J226" s="27">
        <f>AVERAGE(G225:G226)</f>
        <v>2.1225000000000001</v>
      </c>
      <c r="L226">
        <f>+J226/I226</f>
        <v>0.17162610172232554</v>
      </c>
      <c r="M226">
        <f>+(L226-$L$619)/$L$620</f>
        <v>-0.33241245303868749</v>
      </c>
      <c r="N226">
        <f>+N224+M226</f>
        <v>4.3534980679918087</v>
      </c>
    </row>
    <row r="227" spans="1:14">
      <c r="A227" s="12">
        <v>3</v>
      </c>
      <c r="B227" s="75">
        <v>39854</v>
      </c>
      <c r="C227" s="15">
        <v>2009</v>
      </c>
      <c r="D227" s="11" t="s">
        <v>28</v>
      </c>
      <c r="E227" s="12">
        <v>2</v>
      </c>
      <c r="F227" s="23">
        <v>5.9710000000000001</v>
      </c>
      <c r="G227" s="25">
        <v>1.875</v>
      </c>
    </row>
    <row r="228" spans="1:14">
      <c r="A228" s="12">
        <v>4</v>
      </c>
      <c r="B228" s="75">
        <v>39854</v>
      </c>
      <c r="C228" s="15">
        <v>2009</v>
      </c>
      <c r="D228" s="11" t="s">
        <v>28</v>
      </c>
      <c r="E228" s="12">
        <v>2</v>
      </c>
      <c r="F228" s="23">
        <v>5.5919999999999996</v>
      </c>
      <c r="G228" s="25">
        <v>2.056</v>
      </c>
      <c r="I228" s="27">
        <f>AVERAGE(F227:F228)</f>
        <v>5.7814999999999994</v>
      </c>
      <c r="J228" s="27">
        <f>AVERAGE(G227:G228)</f>
        <v>1.9655</v>
      </c>
      <c r="L228">
        <f>+J228/I228</f>
        <v>0.33996367724638937</v>
      </c>
      <c r="M228">
        <f>+(L228-$L$619)/$L$620</f>
        <v>1.2665673446689025</v>
      </c>
      <c r="N228">
        <f>+N226+M228</f>
        <v>5.6200654126607112</v>
      </c>
    </row>
    <row r="229" spans="1:14">
      <c r="A229" s="12">
        <v>3</v>
      </c>
      <c r="B229" s="75">
        <v>39890</v>
      </c>
      <c r="C229" s="15">
        <v>2009</v>
      </c>
      <c r="D229" s="11" t="s">
        <v>29</v>
      </c>
      <c r="E229" s="12">
        <v>3</v>
      </c>
      <c r="F229" s="23">
        <v>10.291</v>
      </c>
      <c r="G229" s="25">
        <v>4.6260000000000003</v>
      </c>
    </row>
    <row r="230" spans="1:14">
      <c r="A230" s="12">
        <v>4</v>
      </c>
      <c r="B230" s="75">
        <v>39890</v>
      </c>
      <c r="C230" s="15">
        <v>2009</v>
      </c>
      <c r="D230" s="11" t="s">
        <v>29</v>
      </c>
      <c r="E230" s="12">
        <v>3</v>
      </c>
      <c r="F230" s="23">
        <v>8.1660000000000004</v>
      </c>
      <c r="G230" s="25">
        <v>3.383</v>
      </c>
      <c r="I230" s="27">
        <f>AVERAGE(F229:F230)</f>
        <v>9.2285000000000004</v>
      </c>
      <c r="J230" s="27">
        <f>AVERAGE(G229:G230)</f>
        <v>4.0045000000000002</v>
      </c>
      <c r="L230">
        <f>+J230/I230</f>
        <v>0.43392750717884815</v>
      </c>
      <c r="M230">
        <f>+(L230-$L$619)/$L$620</f>
        <v>2.1590969258363328</v>
      </c>
      <c r="N230">
        <f>+N228+M230</f>
        <v>7.7791623384970441</v>
      </c>
    </row>
    <row r="231" spans="1:14">
      <c r="A231" s="12">
        <v>3</v>
      </c>
      <c r="B231" s="75">
        <v>39920</v>
      </c>
      <c r="C231" s="15">
        <v>2009</v>
      </c>
      <c r="D231" s="11" t="s">
        <v>30</v>
      </c>
      <c r="E231" s="12">
        <v>4</v>
      </c>
      <c r="F231" s="23">
        <v>3.7959999999999998</v>
      </c>
      <c r="G231" s="25">
        <v>0.90100000000000002</v>
      </c>
    </row>
    <row r="232" spans="1:14">
      <c r="A232" s="12">
        <v>4</v>
      </c>
      <c r="B232" s="75">
        <v>39920</v>
      </c>
      <c r="C232" s="15">
        <v>2009</v>
      </c>
      <c r="D232" s="11" t="s">
        <v>30</v>
      </c>
      <c r="E232" s="12">
        <v>4</v>
      </c>
      <c r="F232" s="23">
        <v>7.9089999999999998</v>
      </c>
      <c r="G232" s="25">
        <v>1.948</v>
      </c>
      <c r="I232" s="27">
        <f>AVERAGE(F231:F232)</f>
        <v>5.8525</v>
      </c>
      <c r="J232" s="27">
        <f>AVERAGE(G231:G232)</f>
        <v>1.4245000000000001</v>
      </c>
      <c r="L232">
        <f>+J232/I232</f>
        <v>0.2434002563007262</v>
      </c>
      <c r="M232">
        <f>+(L232-$L$619)/$L$620</f>
        <v>0.34934515699650454</v>
      </c>
      <c r="N232">
        <f>+N230+M232</f>
        <v>8.1285074954935492</v>
      </c>
    </row>
    <row r="233" spans="1:14">
      <c r="A233" s="12">
        <v>3</v>
      </c>
      <c r="B233" s="75">
        <v>39945</v>
      </c>
      <c r="C233" s="15">
        <v>2009</v>
      </c>
      <c r="D233" s="11" t="s">
        <v>31</v>
      </c>
      <c r="E233" s="12">
        <v>5</v>
      </c>
      <c r="F233" s="23">
        <v>7.6829999999999998</v>
      </c>
      <c r="G233" s="25">
        <v>1.397</v>
      </c>
    </row>
    <row r="234" spans="1:14">
      <c r="A234" s="12">
        <v>4</v>
      </c>
      <c r="B234" s="75">
        <v>39945</v>
      </c>
      <c r="C234" s="15">
        <v>2009</v>
      </c>
      <c r="D234" s="11" t="s">
        <v>31</v>
      </c>
      <c r="E234" s="12">
        <v>5</v>
      </c>
      <c r="F234" s="23">
        <v>18.114000000000001</v>
      </c>
      <c r="G234" s="25">
        <v>3.5750000000000002</v>
      </c>
      <c r="I234" s="27">
        <f>AVERAGE(F233:F234)</f>
        <v>12.8985</v>
      </c>
      <c r="J234" s="27">
        <f>AVERAGE(G233:G234)</f>
        <v>2.4860000000000002</v>
      </c>
      <c r="L234">
        <f>+J234/I234</f>
        <v>0.19273558940962129</v>
      </c>
      <c r="M234">
        <f>+(L234-$L$619)/$L$620</f>
        <v>-0.13190080703890325</v>
      </c>
      <c r="N234">
        <f>+N232+M234</f>
        <v>7.9966066884546461</v>
      </c>
    </row>
    <row r="235" spans="1:14">
      <c r="A235" s="15">
        <v>3</v>
      </c>
      <c r="B235" s="75">
        <v>39980</v>
      </c>
      <c r="C235" s="15">
        <v>2009</v>
      </c>
      <c r="D235" s="11" t="s">
        <v>32</v>
      </c>
      <c r="E235" s="12">
        <v>6</v>
      </c>
      <c r="F235" s="23">
        <v>18.402000000000001</v>
      </c>
      <c r="G235" s="25">
        <v>5.2619999999999996</v>
      </c>
    </row>
    <row r="236" spans="1:14">
      <c r="A236" s="15">
        <v>4</v>
      </c>
      <c r="B236" s="75">
        <v>39980</v>
      </c>
      <c r="C236" s="15">
        <v>2009</v>
      </c>
      <c r="D236" s="11" t="s">
        <v>32</v>
      </c>
      <c r="E236" s="12">
        <v>6</v>
      </c>
      <c r="F236" s="23">
        <v>21.108000000000001</v>
      </c>
      <c r="G236" s="25">
        <v>4.58</v>
      </c>
      <c r="I236" s="27">
        <f>AVERAGE(F235:F236)</f>
        <v>19.755000000000003</v>
      </c>
      <c r="J236" s="27">
        <f>AVERAGE(G235:G236)</f>
        <v>4.9209999999999994</v>
      </c>
      <c r="L236">
        <f>+J236/I236</f>
        <v>0.24910149329283721</v>
      </c>
      <c r="M236">
        <f>+(L236-$L$619)/$L$620</f>
        <v>0.40349921466276534</v>
      </c>
      <c r="N236">
        <f>+N234+M236</f>
        <v>8.4001059031174119</v>
      </c>
    </row>
    <row r="237" spans="1:14">
      <c r="A237" s="15">
        <v>3</v>
      </c>
      <c r="B237" s="75">
        <v>40009</v>
      </c>
      <c r="C237" s="15">
        <v>2009</v>
      </c>
      <c r="D237" s="11" t="s">
        <v>33</v>
      </c>
      <c r="E237" s="12">
        <v>7</v>
      </c>
      <c r="F237" s="23">
        <v>11.356</v>
      </c>
      <c r="G237" s="25">
        <v>1.2669999999999999</v>
      </c>
    </row>
    <row r="238" spans="1:14">
      <c r="A238" s="15">
        <v>4</v>
      </c>
      <c r="B238" s="75">
        <v>40009</v>
      </c>
      <c r="C238" s="15">
        <v>2009</v>
      </c>
      <c r="D238" s="11" t="s">
        <v>33</v>
      </c>
      <c r="E238" s="12">
        <v>7</v>
      </c>
      <c r="F238" s="23">
        <v>16.303000000000001</v>
      </c>
      <c r="G238" s="25">
        <v>2.2250000000000001</v>
      </c>
      <c r="I238" s="27">
        <f>AVERAGE(F237:F238)</f>
        <v>13.829499999999999</v>
      </c>
      <c r="J238" s="27">
        <f>AVERAGE(G237:G238)</f>
        <v>1.746</v>
      </c>
      <c r="L238">
        <f>+J238/I238</f>
        <v>0.12625185292309918</v>
      </c>
      <c r="M238">
        <f>+(L238-$L$619)/$L$620</f>
        <v>-0.76340658456429844</v>
      </c>
      <c r="N238">
        <f>+N236+M238</f>
        <v>7.6366993185531138</v>
      </c>
    </row>
    <row r="239" spans="1:14">
      <c r="A239" s="15">
        <v>3</v>
      </c>
      <c r="B239" s="75">
        <v>40043</v>
      </c>
      <c r="C239" s="15">
        <v>2009</v>
      </c>
      <c r="D239" s="11" t="s">
        <v>34</v>
      </c>
      <c r="E239" s="12">
        <v>8</v>
      </c>
      <c r="F239" s="23">
        <v>21.183</v>
      </c>
      <c r="G239" s="25">
        <v>2.919</v>
      </c>
    </row>
    <row r="240" spans="1:14">
      <c r="A240" s="15">
        <v>4</v>
      </c>
      <c r="B240" s="75">
        <v>40043</v>
      </c>
      <c r="C240" s="15">
        <v>2009</v>
      </c>
      <c r="D240" s="11" t="s">
        <v>34</v>
      </c>
      <c r="E240" s="12">
        <v>8</v>
      </c>
      <c r="F240" s="23">
        <v>33.268000000000001</v>
      </c>
      <c r="G240" s="25">
        <v>4.2210000000000001</v>
      </c>
      <c r="I240" s="27">
        <f>AVERAGE(F239:F240)</f>
        <v>27.2255</v>
      </c>
      <c r="J240" s="27">
        <f>AVERAGE(G239:G240)</f>
        <v>3.5700000000000003</v>
      </c>
      <c r="L240">
        <f>+J240/I240</f>
        <v>0.13112706837339994</v>
      </c>
      <c r="M240">
        <f>+(L240-$L$619)/$L$620</f>
        <v>-0.71709861683793374</v>
      </c>
      <c r="N240">
        <f>+N238+M240</f>
        <v>6.9196007017151802</v>
      </c>
    </row>
    <row r="241" spans="1:14">
      <c r="A241" s="15">
        <v>3</v>
      </c>
      <c r="B241" s="75">
        <v>40070</v>
      </c>
      <c r="C241" s="15">
        <v>2009</v>
      </c>
      <c r="D241" s="11" t="s">
        <v>40</v>
      </c>
      <c r="E241" s="12">
        <v>9</v>
      </c>
      <c r="F241" s="23">
        <v>15.382999999999999</v>
      </c>
      <c r="G241" s="25">
        <v>4.2370000000000001</v>
      </c>
    </row>
    <row r="242" spans="1:14">
      <c r="A242" s="15">
        <v>4</v>
      </c>
      <c r="B242" s="75">
        <v>40070</v>
      </c>
      <c r="C242" s="15">
        <v>2009</v>
      </c>
      <c r="D242" s="11" t="s">
        <v>40</v>
      </c>
      <c r="E242" s="12">
        <v>9</v>
      </c>
      <c r="F242" s="23">
        <v>12.561</v>
      </c>
      <c r="G242" s="25">
        <v>2.13</v>
      </c>
      <c r="I242" s="27">
        <f>AVERAGE(F241:F242)</f>
        <v>13.972</v>
      </c>
      <c r="J242" s="27">
        <f>AVERAGE(G241:G242)</f>
        <v>3.1835</v>
      </c>
      <c r="L242">
        <f>+J242/I242</f>
        <v>0.22784855425135986</v>
      </c>
      <c r="M242">
        <f>+(L242-$L$619)/$L$620</f>
        <v>0.20162497438433546</v>
      </c>
      <c r="N242">
        <f>+N240+M242</f>
        <v>7.1212256760995158</v>
      </c>
    </row>
    <row r="243" spans="1:14">
      <c r="A243" s="15">
        <v>3</v>
      </c>
      <c r="B243" s="75">
        <v>40099</v>
      </c>
      <c r="C243" s="15">
        <v>2009</v>
      </c>
      <c r="D243" s="11" t="s">
        <v>36</v>
      </c>
      <c r="E243" s="12">
        <v>10</v>
      </c>
      <c r="F243" s="23">
        <v>8.7680000000000007</v>
      </c>
      <c r="G243" s="25">
        <v>1.2849999999999999</v>
      </c>
    </row>
    <row r="244" spans="1:14">
      <c r="A244" s="15">
        <v>4</v>
      </c>
      <c r="B244" s="75">
        <v>40099</v>
      </c>
      <c r="C244" s="15">
        <v>2009</v>
      </c>
      <c r="D244" s="11" t="s">
        <v>36</v>
      </c>
      <c r="E244" s="12">
        <v>10</v>
      </c>
      <c r="F244" s="23">
        <v>11.911</v>
      </c>
      <c r="G244" s="25">
        <v>1.2230000000000001</v>
      </c>
      <c r="I244" s="27">
        <f>AVERAGE(F243:F244)</f>
        <v>10.339500000000001</v>
      </c>
      <c r="J244" s="27">
        <f>AVERAGE(G243:G244)</f>
        <v>1.254</v>
      </c>
      <c r="L244">
        <f>+J244/I244</f>
        <v>0.12128246046714057</v>
      </c>
      <c r="M244">
        <f>+(L244-$L$619)/$L$620</f>
        <v>-0.81060910675354336</v>
      </c>
      <c r="N244">
        <f>+N242+M244</f>
        <v>6.3106165693459726</v>
      </c>
    </row>
    <row r="245" spans="1:14">
      <c r="A245" s="15">
        <v>3</v>
      </c>
      <c r="B245" s="75">
        <v>40134</v>
      </c>
      <c r="C245" s="15">
        <v>2009</v>
      </c>
      <c r="D245" s="11" t="s">
        <v>37</v>
      </c>
      <c r="E245" s="12">
        <v>11</v>
      </c>
      <c r="F245" s="23">
        <v>3.383</v>
      </c>
      <c r="G245" s="25">
        <v>0.57499999999999996</v>
      </c>
    </row>
    <row r="246" spans="1:14">
      <c r="A246" s="15">
        <v>4</v>
      </c>
      <c r="B246" s="75">
        <v>40134</v>
      </c>
      <c r="C246" s="15">
        <v>2009</v>
      </c>
      <c r="D246" s="11" t="s">
        <v>37</v>
      </c>
      <c r="E246" s="12">
        <v>11</v>
      </c>
      <c r="F246" s="23">
        <v>2.6019999999999999</v>
      </c>
      <c r="G246" s="25">
        <v>0.47199999999999998</v>
      </c>
      <c r="I246" s="27">
        <f>AVERAGE(F245:F246)</f>
        <v>2.9924999999999997</v>
      </c>
      <c r="J246" s="27">
        <f>AVERAGE(G245:G246)</f>
        <v>0.52349999999999997</v>
      </c>
      <c r="L246">
        <f>+J246/I246</f>
        <v>0.174937343358396</v>
      </c>
      <c r="M246">
        <f>+(L246-$L$619)/$L$620</f>
        <v>-0.30096012598145222</v>
      </c>
      <c r="N246">
        <f>+N244+M246</f>
        <v>6.0096564433645208</v>
      </c>
    </row>
    <row r="247" spans="1:14">
      <c r="A247" s="15">
        <v>3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7.4050000000000002</v>
      </c>
      <c r="G247" s="25">
        <v>1.637</v>
      </c>
    </row>
    <row r="248" spans="1:14">
      <c r="A248" s="15">
        <v>4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6.6210000000000004</v>
      </c>
      <c r="G248" s="25">
        <v>1.294</v>
      </c>
      <c r="I248" s="27">
        <f>AVERAGE(F247:F248)</f>
        <v>7.0129999999999999</v>
      </c>
      <c r="J248" s="27">
        <f>AVERAGE(G247:G248)</f>
        <v>1.4655</v>
      </c>
      <c r="L248">
        <f>+J248/I248</f>
        <v>0.2089690574647084</v>
      </c>
      <c r="M248">
        <f>+(L248-$L$619)/$L$620</f>
        <v>2.229523259162627E-2</v>
      </c>
      <c r="N248">
        <f>+N246+M248</f>
        <v>6.0319516759561473</v>
      </c>
    </row>
    <row r="249" spans="1:14">
      <c r="A249" s="15">
        <v>3</v>
      </c>
      <c r="B249" s="70">
        <v>40198</v>
      </c>
      <c r="C249" s="15">
        <v>2010</v>
      </c>
      <c r="D249" s="11" t="s">
        <v>39</v>
      </c>
      <c r="E249" s="15">
        <v>1</v>
      </c>
      <c r="F249" s="26">
        <v>7.4580000000000002</v>
      </c>
      <c r="G249" s="27">
        <v>2.4775922500000003</v>
      </c>
    </row>
    <row r="250" spans="1:14">
      <c r="A250" s="15">
        <v>4</v>
      </c>
      <c r="B250" s="70">
        <v>40198</v>
      </c>
      <c r="C250" s="15">
        <v>2010</v>
      </c>
      <c r="D250" s="11" t="s">
        <v>39</v>
      </c>
      <c r="E250" s="15">
        <v>1</v>
      </c>
      <c r="F250" s="26">
        <v>9.9359999999999999</v>
      </c>
      <c r="G250" s="27">
        <v>2.1787363749999997</v>
      </c>
      <c r="I250" s="27">
        <f>AVERAGE(F249:F250)</f>
        <v>8.6969999999999992</v>
      </c>
      <c r="J250" s="27">
        <f>AVERAGE(G249:G250)</f>
        <v>2.3281643125000002</v>
      </c>
      <c r="L250">
        <f>+J250/I250</f>
        <v>0.26769740284005983</v>
      </c>
      <c r="M250">
        <f>+(L250-$L$619)/$L$620</f>
        <v>0.58013526037886942</v>
      </c>
      <c r="N250">
        <f>+N248+M250</f>
        <v>6.6120869363350163</v>
      </c>
    </row>
    <row r="251" spans="1:14">
      <c r="A251" s="15">
        <v>3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7.367</v>
      </c>
      <c r="G251" s="27">
        <v>2.8348466250000004</v>
      </c>
    </row>
    <row r="252" spans="1:14">
      <c r="A252" s="15">
        <v>4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8.0229999999999997</v>
      </c>
      <c r="G252" s="27">
        <v>2.6461416249999994</v>
      </c>
      <c r="I252" s="27">
        <f>AVERAGE(F251:F252)</f>
        <v>7.6950000000000003</v>
      </c>
      <c r="J252" s="27">
        <f>AVERAGE(G251:G252)</f>
        <v>2.7404941249999997</v>
      </c>
      <c r="L252">
        <f>+J252/I252</f>
        <v>0.35613958739441193</v>
      </c>
      <c r="M252">
        <f>+(L252-$L$619)/$L$620</f>
        <v>1.4202166618561034</v>
      </c>
      <c r="N252">
        <f>+N250+M252</f>
        <v>8.0323035981911204</v>
      </c>
    </row>
    <row r="253" spans="1:14">
      <c r="A253" s="15">
        <v>3</v>
      </c>
      <c r="B253" s="70">
        <v>40254</v>
      </c>
      <c r="C253" s="15">
        <v>2010</v>
      </c>
      <c r="D253" s="11" t="s">
        <v>29</v>
      </c>
      <c r="E253" s="15">
        <v>3</v>
      </c>
      <c r="F253" s="26">
        <v>6.298</v>
      </c>
      <c r="G253" s="27">
        <v>1.7316848749999996</v>
      </c>
    </row>
    <row r="254" spans="1:14">
      <c r="A254" s="15">
        <v>4</v>
      </c>
      <c r="B254" s="70">
        <v>40254</v>
      </c>
      <c r="C254" s="15">
        <v>2010</v>
      </c>
      <c r="D254" s="11" t="s">
        <v>29</v>
      </c>
      <c r="E254" s="15">
        <v>3</v>
      </c>
      <c r="F254" s="26">
        <v>5.4240000000000004</v>
      </c>
      <c r="G254" s="27">
        <v>1.6037768750000001</v>
      </c>
      <c r="I254" s="27">
        <f>AVERAGE(F253:F254)</f>
        <v>5.8610000000000007</v>
      </c>
      <c r="J254" s="27">
        <f>AVERAGE(G253:G254)</f>
        <v>1.6677308749999997</v>
      </c>
      <c r="L254">
        <f>+J254/I254</f>
        <v>0.2845471549223681</v>
      </c>
      <c r="M254">
        <f>+(L254-$L$619)/$L$620</f>
        <v>0.74018516659924805</v>
      </c>
      <c r="N254">
        <f>+N252+M254</f>
        <v>8.7724887647903689</v>
      </c>
    </row>
    <row r="255" spans="1:14">
      <c r="A255" s="15">
        <v>3</v>
      </c>
      <c r="B255" s="70">
        <v>40280</v>
      </c>
      <c r="C255" s="15">
        <v>2010</v>
      </c>
      <c r="D255" s="11" t="s">
        <v>30</v>
      </c>
      <c r="E255" s="15">
        <v>4</v>
      </c>
      <c r="F255" s="26">
        <v>9.4649999999999999</v>
      </c>
      <c r="G255" s="27">
        <v>2.1246241250000004</v>
      </c>
    </row>
    <row r="256" spans="1:14">
      <c r="A256" s="15">
        <v>3</v>
      </c>
      <c r="B256" s="70">
        <v>40280</v>
      </c>
      <c r="C256" s="15">
        <v>2010</v>
      </c>
      <c r="D256" s="11" t="s">
        <v>30</v>
      </c>
      <c r="E256" s="15">
        <v>4</v>
      </c>
      <c r="F256" s="26">
        <v>9.4649999999999999</v>
      </c>
      <c r="G256" s="27">
        <v>2.1329881250000002</v>
      </c>
      <c r="H256" t="s">
        <v>13</v>
      </c>
      <c r="I256" s="27">
        <f>AVERAGE(F255:F256)</f>
        <v>9.4649999999999999</v>
      </c>
      <c r="J256" s="27">
        <f>AVERAGE(G255:G256)</f>
        <v>2.1288061250000005</v>
      </c>
      <c r="L256">
        <f>+J256/I256</f>
        <v>0.22491348388800853</v>
      </c>
      <c r="M256">
        <f>+(L256-$L$619)/$L$620</f>
        <v>0.17374576677879303</v>
      </c>
      <c r="N256">
        <f>+N254+M256</f>
        <v>8.9462345315691625</v>
      </c>
    </row>
    <row r="257" spans="1:14">
      <c r="A257" s="15">
        <v>4</v>
      </c>
      <c r="B257" s="70">
        <v>40280</v>
      </c>
      <c r="C257" s="15">
        <v>2010</v>
      </c>
      <c r="D257" s="11" t="s">
        <v>30</v>
      </c>
      <c r="E257" s="15">
        <v>4</v>
      </c>
      <c r="F257" s="26">
        <v>15.436999999999999</v>
      </c>
      <c r="G257" s="27">
        <v>3.9888555000000001</v>
      </c>
    </row>
    <row r="258" spans="1:14">
      <c r="A258" s="15">
        <v>3</v>
      </c>
      <c r="B258" s="75">
        <v>40315</v>
      </c>
      <c r="C258" s="15">
        <v>2010</v>
      </c>
      <c r="D258" s="11" t="s">
        <v>31</v>
      </c>
      <c r="E258" s="15">
        <v>5</v>
      </c>
      <c r="F258" s="28">
        <v>5.5709999999999997</v>
      </c>
      <c r="G258" s="27">
        <v>1.0584173750000001</v>
      </c>
      <c r="I258" s="27">
        <f>AVERAGE(F257:F258)</f>
        <v>10.504</v>
      </c>
      <c r="J258" s="27">
        <f>AVERAGE(G257:G258)</f>
        <v>2.5236364375</v>
      </c>
      <c r="L258">
        <f>+J258/I258</f>
        <v>0.24025480174219346</v>
      </c>
      <c r="M258">
        <f>+(L258-$L$619)/$L$620</f>
        <v>0.3194675834479766</v>
      </c>
      <c r="N258">
        <f>+N256+M258</f>
        <v>9.2657021150171399</v>
      </c>
    </row>
    <row r="259" spans="1:14">
      <c r="A259" s="15">
        <v>4</v>
      </c>
      <c r="B259" s="75">
        <v>40315</v>
      </c>
      <c r="C259" s="15">
        <v>2010</v>
      </c>
      <c r="D259" s="11" t="s">
        <v>31</v>
      </c>
      <c r="E259" s="15">
        <v>5</v>
      </c>
      <c r="F259" s="28">
        <v>7.5839999999999996</v>
      </c>
      <c r="G259" s="27">
        <v>1.0817613749999999</v>
      </c>
    </row>
    <row r="260" spans="1:14">
      <c r="A260" s="15">
        <v>3</v>
      </c>
      <c r="B260" s="75">
        <v>40344</v>
      </c>
      <c r="C260" s="15">
        <v>2010</v>
      </c>
      <c r="D260" s="11" t="s">
        <v>32</v>
      </c>
      <c r="E260" s="15">
        <v>6</v>
      </c>
      <c r="F260" s="28">
        <v>12.952</v>
      </c>
      <c r="G260" s="27">
        <v>2.3841303749999998</v>
      </c>
      <c r="I260" s="27">
        <f>AVERAGE(F259:F260)</f>
        <v>10.268000000000001</v>
      </c>
      <c r="J260" s="27">
        <f>AVERAGE(G259:G260)</f>
        <v>1.732945875</v>
      </c>
      <c r="L260">
        <f>+J260/I260</f>
        <v>0.16877151100506427</v>
      </c>
      <c r="M260">
        <f>+(L260-$L$619)/$L$620</f>
        <v>-0.35952721261280235</v>
      </c>
      <c r="N260">
        <f>+N258+M260</f>
        <v>8.906174902404338</v>
      </c>
    </row>
    <row r="261" spans="1:14">
      <c r="A261" s="15">
        <v>4</v>
      </c>
      <c r="B261" s="75">
        <v>40344</v>
      </c>
      <c r="C261" s="15">
        <v>2010</v>
      </c>
      <c r="D261" s="11" t="s">
        <v>32</v>
      </c>
      <c r="E261" s="15">
        <v>6</v>
      </c>
      <c r="F261" s="28">
        <v>11.233000000000001</v>
      </c>
      <c r="G261" s="27">
        <v>2.0427359999999997</v>
      </c>
    </row>
    <row r="262" spans="1:14">
      <c r="A262" s="15">
        <v>4</v>
      </c>
      <c r="B262" s="75">
        <v>40344</v>
      </c>
      <c r="C262" s="15">
        <v>2010</v>
      </c>
      <c r="D262" s="11" t="s">
        <v>32</v>
      </c>
      <c r="E262" s="15">
        <v>6</v>
      </c>
      <c r="F262" s="28">
        <v>11.233000000000001</v>
      </c>
      <c r="G262" s="27">
        <v>2.9477702499999996</v>
      </c>
      <c r="H262" t="s">
        <v>13</v>
      </c>
      <c r="I262" s="27">
        <f>AVERAGE(F261:F262)</f>
        <v>11.233000000000001</v>
      </c>
      <c r="J262" s="27">
        <f>AVERAGE(G261:G262)</f>
        <v>2.4952531249999996</v>
      </c>
      <c r="L262">
        <f>+J262/I262</f>
        <v>0.22213594987981836</v>
      </c>
      <c r="M262">
        <f>+(L262-$L$619)/$L$620</f>
        <v>0.14736294195364283</v>
      </c>
      <c r="N262">
        <f>+N260+M262</f>
        <v>9.0535378443579813</v>
      </c>
    </row>
    <row r="263" spans="1:14">
      <c r="A263" s="15">
        <v>3</v>
      </c>
      <c r="B263" s="75">
        <v>40371</v>
      </c>
      <c r="C263" s="15">
        <v>2010</v>
      </c>
      <c r="D263" s="11" t="s">
        <v>33</v>
      </c>
      <c r="E263" s="15">
        <v>7</v>
      </c>
      <c r="F263" s="28">
        <v>17.329999999999998</v>
      </c>
      <c r="G263" s="27">
        <v>2.4477976249999998</v>
      </c>
    </row>
    <row r="264" spans="1:14">
      <c r="A264" s="15">
        <v>4</v>
      </c>
      <c r="B264" s="75">
        <v>40371</v>
      </c>
      <c r="C264" s="15">
        <v>2010</v>
      </c>
      <c r="D264" s="11" t="s">
        <v>33</v>
      </c>
      <c r="E264" s="15">
        <v>7</v>
      </c>
      <c r="F264" s="28">
        <v>42.161000000000001</v>
      </c>
      <c r="G264" s="27">
        <v>5.9843509999999993</v>
      </c>
      <c r="I264" s="27">
        <f>AVERAGE(F263:F264)</f>
        <v>29.7455</v>
      </c>
      <c r="J264" s="27">
        <f>AVERAGE(G263:G264)</f>
        <v>4.2160743125</v>
      </c>
      <c r="L264">
        <f>+J264/I264</f>
        <v>0.14173822300852229</v>
      </c>
      <c r="M264">
        <f>+(L264-$L$619)/$L$620</f>
        <v>-0.61630696744479829</v>
      </c>
      <c r="N264">
        <f>+N262+M264</f>
        <v>8.4372308769131834</v>
      </c>
    </row>
    <row r="265" spans="1:14">
      <c r="A265" s="15">
        <v>3</v>
      </c>
      <c r="B265" s="75">
        <v>40407</v>
      </c>
      <c r="C265" s="15">
        <v>2010</v>
      </c>
      <c r="D265" s="11" t="s">
        <v>34</v>
      </c>
      <c r="E265" s="15">
        <v>8</v>
      </c>
      <c r="F265" s="28">
        <v>36.511000000000003</v>
      </c>
      <c r="G265" s="27">
        <v>5.3900476250000002</v>
      </c>
    </row>
    <row r="266" spans="1:14">
      <c r="A266" s="15">
        <v>4</v>
      </c>
      <c r="B266" s="75">
        <v>40407</v>
      </c>
      <c r="C266" s="15">
        <v>2010</v>
      </c>
      <c r="D266" s="11" t="s">
        <v>34</v>
      </c>
      <c r="E266" s="15">
        <v>8</v>
      </c>
      <c r="F266" s="28">
        <v>39.277000000000001</v>
      </c>
      <c r="G266" s="27">
        <v>6.1853699999999989</v>
      </c>
      <c r="I266" s="27">
        <f>AVERAGE(F265:F266)</f>
        <v>37.894000000000005</v>
      </c>
      <c r="J266" s="27">
        <f>AVERAGE(G265:G266)</f>
        <v>5.7877088125</v>
      </c>
      <c r="L266">
        <f>+J266/I266</f>
        <v>0.15273417460547842</v>
      </c>
      <c r="M266">
        <f>+(L266-$L$619)/$L$620</f>
        <v>-0.51186026619365677</v>
      </c>
      <c r="N266">
        <f>+N264+M266</f>
        <v>7.9253706107195265</v>
      </c>
    </row>
    <row r="267" spans="1:14">
      <c r="A267" s="15">
        <v>3</v>
      </c>
      <c r="B267" s="75">
        <v>40436</v>
      </c>
      <c r="C267" s="15">
        <v>2010</v>
      </c>
      <c r="D267" s="11" t="s">
        <v>40</v>
      </c>
      <c r="E267" s="15">
        <v>9</v>
      </c>
      <c r="F267" s="28">
        <v>12.305</v>
      </c>
      <c r="G267" s="27">
        <v>2.6206521249999999</v>
      </c>
    </row>
    <row r="268" spans="1:14">
      <c r="A268" s="15">
        <v>4</v>
      </c>
      <c r="B268" s="75">
        <v>40436</v>
      </c>
      <c r="C268" s="15">
        <v>2010</v>
      </c>
      <c r="D268" s="11" t="s">
        <v>40</v>
      </c>
      <c r="E268" s="15">
        <v>9</v>
      </c>
      <c r="F268" s="28">
        <v>11.909000000000001</v>
      </c>
      <c r="G268" s="27">
        <v>1.7870163749999999</v>
      </c>
      <c r="I268" s="27">
        <f>AVERAGE(F267:F268)</f>
        <v>12.106999999999999</v>
      </c>
      <c r="J268" s="27">
        <f>AVERAGE(G267:G268)</f>
        <v>2.2038342499999999</v>
      </c>
      <c r="L268">
        <f>+J268/I268</f>
        <v>0.18202975551333939</v>
      </c>
      <c r="M268">
        <f>+(L268-$L$619)/$L$620</f>
        <v>-0.23359178164439665</v>
      </c>
      <c r="N268">
        <f>+N266+M268</f>
        <v>7.6917788290751297</v>
      </c>
    </row>
    <row r="269" spans="1:14">
      <c r="A269" s="15">
        <v>3</v>
      </c>
      <c r="B269" s="75">
        <v>40464</v>
      </c>
      <c r="C269" s="15">
        <v>2010</v>
      </c>
      <c r="D269" s="11" t="s">
        <v>36</v>
      </c>
      <c r="E269" s="15">
        <v>10</v>
      </c>
      <c r="F269" s="26">
        <v>7.3470000000000004</v>
      </c>
      <c r="G269" s="27">
        <v>1.2905875</v>
      </c>
    </row>
    <row r="270" spans="1:14">
      <c r="A270" s="15">
        <v>3</v>
      </c>
      <c r="B270" s="75">
        <v>40464</v>
      </c>
      <c r="C270" s="15">
        <v>2010</v>
      </c>
      <c r="D270" s="11" t="s">
        <v>36</v>
      </c>
      <c r="E270" s="15">
        <v>10</v>
      </c>
      <c r="F270" s="26">
        <v>7.3470000000000004</v>
      </c>
      <c r="G270" s="27">
        <v>1.2321728749999998</v>
      </c>
      <c r="H270" t="s">
        <v>13</v>
      </c>
      <c r="I270" s="27"/>
      <c r="J270" s="27"/>
    </row>
    <row r="271" spans="1:14">
      <c r="A271" s="15">
        <v>4</v>
      </c>
      <c r="B271" s="75">
        <v>40464</v>
      </c>
      <c r="C271" s="15">
        <v>2010</v>
      </c>
      <c r="D271" s="11" t="s">
        <v>36</v>
      </c>
      <c r="E271" s="15">
        <v>10</v>
      </c>
      <c r="F271" s="26">
        <v>6.298</v>
      </c>
      <c r="G271" s="27">
        <v>0.84060562500000002</v>
      </c>
      <c r="I271" s="27">
        <f>AVERAGE(F269:F271)</f>
        <v>6.9973333333333336</v>
      </c>
      <c r="J271" s="27">
        <f t="shared" ref="J271" si="0">AVERAGE(G269:G271)</f>
        <v>1.121122</v>
      </c>
      <c r="K271" s="27"/>
      <c r="L271">
        <f>+J271/I271</f>
        <v>0.16022132240853657</v>
      </c>
      <c r="M271">
        <f>+(L271-$L$619)/$L$620</f>
        <v>-0.44074246589107746</v>
      </c>
      <c r="N271">
        <f>+N268+M271</f>
        <v>7.2510363631840526</v>
      </c>
    </row>
    <row r="272" spans="1:14">
      <c r="A272" s="15">
        <v>3</v>
      </c>
      <c r="B272" s="75">
        <v>40498</v>
      </c>
      <c r="C272" s="15">
        <v>2010</v>
      </c>
      <c r="D272" s="11" t="s">
        <v>37</v>
      </c>
      <c r="E272" s="15">
        <v>11</v>
      </c>
      <c r="F272" s="26">
        <v>2.4590000000000001</v>
      </c>
      <c r="G272" s="27">
        <v>0.82151887499999987</v>
      </c>
      <c r="I272" s="27"/>
      <c r="J272" s="27"/>
    </row>
    <row r="273" spans="1:14">
      <c r="A273" s="15">
        <v>4</v>
      </c>
      <c r="B273" s="75">
        <v>40498</v>
      </c>
      <c r="C273" s="15">
        <v>2010</v>
      </c>
      <c r="D273" s="11" t="s">
        <v>37</v>
      </c>
      <c r="E273" s="15">
        <v>11</v>
      </c>
      <c r="F273" s="26">
        <v>3.3050000000000002</v>
      </c>
      <c r="G273" s="27">
        <v>1.0994356249999999</v>
      </c>
      <c r="I273" s="27">
        <f>AVERAGE(F272:F273)</f>
        <v>2.8820000000000001</v>
      </c>
      <c r="J273" s="27">
        <f>AVERAGE(G272:G273)</f>
        <v>0.96047724999999984</v>
      </c>
      <c r="L273">
        <f>+J273/I273</f>
        <v>0.33326760929909777</v>
      </c>
      <c r="M273">
        <f>+(L273-$L$619)/$L$620</f>
        <v>1.2029637354422384</v>
      </c>
      <c r="N273">
        <f>+N271+M273</f>
        <v>8.4540000986262918</v>
      </c>
    </row>
    <row r="274" spans="1:14">
      <c r="A274" s="15">
        <v>3</v>
      </c>
      <c r="B274" s="75">
        <v>40520</v>
      </c>
      <c r="C274" s="15">
        <v>2010</v>
      </c>
      <c r="D274" s="11" t="s">
        <v>38</v>
      </c>
      <c r="E274" s="15">
        <v>12</v>
      </c>
      <c r="F274" s="26">
        <v>4.07</v>
      </c>
      <c r="G274" s="27">
        <v>1.24378875</v>
      </c>
    </row>
    <row r="275" spans="1:14">
      <c r="A275" s="15">
        <v>4</v>
      </c>
      <c r="B275" s="75">
        <v>40520</v>
      </c>
      <c r="C275" s="15">
        <v>2010</v>
      </c>
      <c r="D275" s="11" t="s">
        <v>38</v>
      </c>
      <c r="E275" s="15">
        <v>12</v>
      </c>
      <c r="F275" s="26">
        <v>5.391</v>
      </c>
      <c r="G275" s="27">
        <v>1.044755375</v>
      </c>
      <c r="I275" s="27">
        <f>AVERAGE(F274:F275)</f>
        <v>4.7305000000000001</v>
      </c>
      <c r="J275" s="27">
        <f>AVERAGE(G274:G275)</f>
        <v>1.1442720625</v>
      </c>
      <c r="L275">
        <f>+J275/I275</f>
        <v>0.24189241359264349</v>
      </c>
      <c r="M275">
        <f>+(L275-$L$619)/$L$620</f>
        <v>0.33502268608744534</v>
      </c>
      <c r="N275">
        <f>+N273+M275</f>
        <v>8.7890227847137368</v>
      </c>
    </row>
    <row r="276" spans="1:14">
      <c r="A276" s="15">
        <v>3</v>
      </c>
      <c r="B276" s="75">
        <v>40562</v>
      </c>
      <c r="C276" s="15">
        <v>2011</v>
      </c>
      <c r="D276" s="11" t="s">
        <v>39</v>
      </c>
      <c r="E276" s="15">
        <v>1</v>
      </c>
      <c r="F276" s="26">
        <v>2.028</v>
      </c>
      <c r="G276" s="27">
        <v>0.54023474999999987</v>
      </c>
    </row>
    <row r="277" spans="1:14">
      <c r="A277" s="15">
        <v>4</v>
      </c>
      <c r="B277" s="75">
        <v>40562</v>
      </c>
      <c r="C277" s="15">
        <v>2011</v>
      </c>
      <c r="D277" s="11" t="s">
        <v>39</v>
      </c>
      <c r="E277" s="15">
        <v>1</v>
      </c>
      <c r="F277" s="26">
        <v>3.573</v>
      </c>
      <c r="G277" s="27">
        <v>0.98375387500000011</v>
      </c>
      <c r="I277" s="27">
        <f>AVERAGE(F276:F277)</f>
        <v>2.8005</v>
      </c>
      <c r="J277" s="27">
        <f>AVERAGE(G276:G277)</f>
        <v>0.76199431249999994</v>
      </c>
      <c r="L277">
        <f>+J277/I277</f>
        <v>0.27209223799321547</v>
      </c>
      <c r="M277">
        <f>+(L277-$L$619)/$L$620</f>
        <v>0.62188026355046655</v>
      </c>
      <c r="N277">
        <f>+N275+M277</f>
        <v>9.4109030482642027</v>
      </c>
    </row>
    <row r="278" spans="1:14">
      <c r="A278" s="15">
        <v>3</v>
      </c>
      <c r="B278" s="75">
        <v>40591</v>
      </c>
      <c r="C278" s="15">
        <v>2011</v>
      </c>
      <c r="D278" s="11" t="s">
        <v>28</v>
      </c>
      <c r="E278" s="15">
        <v>2</v>
      </c>
      <c r="F278" s="26">
        <v>3.3340000000000001</v>
      </c>
      <c r="G278" s="27">
        <v>1.2335417500000001</v>
      </c>
    </row>
    <row r="279" spans="1:14">
      <c r="A279" s="15">
        <v>4</v>
      </c>
      <c r="B279" s="75">
        <v>40591</v>
      </c>
      <c r="C279" s="15">
        <v>2011</v>
      </c>
      <c r="D279" s="11" t="s">
        <v>28</v>
      </c>
      <c r="E279" s="15">
        <v>2</v>
      </c>
      <c r="F279" s="26">
        <v>3.585</v>
      </c>
      <c r="G279" s="27">
        <v>1.275792875</v>
      </c>
      <c r="I279" s="27">
        <f>AVERAGE(F278:F279)</f>
        <v>3.4595000000000002</v>
      </c>
      <c r="J279" s="27">
        <f>AVERAGE(G278:G279)</f>
        <v>1.2546673125000001</v>
      </c>
      <c r="L279">
        <f>+J279/I279</f>
        <v>0.36267301994507878</v>
      </c>
      <c r="M279">
        <f>+(L279-$L$619)/$L$620</f>
        <v>1.4822754542895735</v>
      </c>
      <c r="N279">
        <f>+N277+M279</f>
        <v>10.893178502553777</v>
      </c>
    </row>
    <row r="280" spans="1:14">
      <c r="A280" s="15">
        <v>3</v>
      </c>
      <c r="B280" s="75">
        <v>40619</v>
      </c>
      <c r="C280" s="15">
        <v>2011</v>
      </c>
      <c r="D280" s="11" t="s">
        <v>29</v>
      </c>
      <c r="E280" s="15">
        <v>3</v>
      </c>
      <c r="F280" s="26">
        <v>1.425</v>
      </c>
      <c r="G280" s="27">
        <v>0.52614974999999997</v>
      </c>
    </row>
    <row r="281" spans="1:14">
      <c r="A281" s="15">
        <v>4</v>
      </c>
      <c r="B281" s="75">
        <v>40619</v>
      </c>
      <c r="C281" s="15">
        <v>2011</v>
      </c>
      <c r="D281" s="11" t="s">
        <v>29</v>
      </c>
      <c r="E281" s="15">
        <v>3</v>
      </c>
      <c r="F281" s="26">
        <v>1.968</v>
      </c>
      <c r="G281" s="27">
        <v>0.63691637499999998</v>
      </c>
      <c r="I281" s="27">
        <f>AVERAGE(F280:F281)</f>
        <v>1.6964999999999999</v>
      </c>
      <c r="J281" s="27">
        <f>AVERAGE(G280:G281)</f>
        <v>0.58153306249999992</v>
      </c>
      <c r="L281">
        <f>+J281/I281</f>
        <v>0.34278400383141761</v>
      </c>
      <c r="M281">
        <f>+(L281-$L$619)/$L$620</f>
        <v>1.2933566412258863</v>
      </c>
      <c r="N281">
        <f>+N279+M281</f>
        <v>12.186535143779663</v>
      </c>
    </row>
    <row r="282" spans="1:14">
      <c r="A282" s="15">
        <v>3</v>
      </c>
      <c r="B282" s="75">
        <v>40646</v>
      </c>
      <c r="C282" s="15">
        <v>2011</v>
      </c>
      <c r="D282" s="11" t="s">
        <v>30</v>
      </c>
      <c r="E282" s="15">
        <v>4</v>
      </c>
      <c r="F282" s="26">
        <v>1.224</v>
      </c>
      <c r="G282" s="27">
        <v>0.19420499999999996</v>
      </c>
    </row>
    <row r="283" spans="1:14">
      <c r="A283" s="15">
        <v>4</v>
      </c>
      <c r="B283" s="75">
        <v>40646</v>
      </c>
      <c r="C283" s="15">
        <v>2011</v>
      </c>
      <c r="D283" s="11" t="s">
        <v>30</v>
      </c>
      <c r="E283" s="15">
        <v>4</v>
      </c>
      <c r="F283" s="26">
        <v>2.0760000000000001</v>
      </c>
      <c r="G283" s="27">
        <v>0.37993587499999992</v>
      </c>
      <c r="I283" s="27">
        <f>AVERAGE(F282:F283)</f>
        <v>1.65</v>
      </c>
      <c r="J283" s="27">
        <f>AVERAGE(G282:G283)</f>
        <v>0.28707043749999994</v>
      </c>
      <c r="L283">
        <f>+J283/I283</f>
        <v>0.17398208333333331</v>
      </c>
      <c r="M283">
        <f>+(L283-$L$619)/$L$620</f>
        <v>-0.31003380710628542</v>
      </c>
      <c r="N283">
        <f>+N281+M283</f>
        <v>11.876501336673378</v>
      </c>
    </row>
    <row r="284" spans="1:14">
      <c r="A284" s="15">
        <v>3</v>
      </c>
      <c r="B284" s="75">
        <v>40681</v>
      </c>
      <c r="C284" s="15">
        <v>2011</v>
      </c>
      <c r="D284" s="11" t="s">
        <v>31</v>
      </c>
      <c r="E284" s="15">
        <v>5</v>
      </c>
      <c r="F284" s="26">
        <v>8.2690000000000001</v>
      </c>
      <c r="G284" s="27">
        <v>3.0238186249999996</v>
      </c>
    </row>
    <row r="285" spans="1:14">
      <c r="A285" s="15">
        <v>4</v>
      </c>
      <c r="B285" s="75">
        <v>40681</v>
      </c>
      <c r="C285" s="15">
        <v>2011</v>
      </c>
      <c r="D285" s="11" t="s">
        <v>31</v>
      </c>
      <c r="E285" s="15">
        <v>5</v>
      </c>
      <c r="F285" s="26">
        <v>9.657</v>
      </c>
      <c r="G285" s="27">
        <v>2.1833507499999998</v>
      </c>
      <c r="I285" s="27">
        <f>AVERAGE(F284:F285)</f>
        <v>8.963000000000001</v>
      </c>
      <c r="J285" s="27">
        <f>AVERAGE(G284:G285)</f>
        <v>2.6035846874999997</v>
      </c>
      <c r="L285">
        <f>+J285/I285</f>
        <v>0.29048138876492241</v>
      </c>
      <c r="M285">
        <f>+(L285-$L$619)/$L$620</f>
        <v>0.79655237991794425</v>
      </c>
      <c r="N285">
        <f>+N283+M285</f>
        <v>12.673053716591323</v>
      </c>
    </row>
    <row r="286" spans="1:14">
      <c r="A286" s="15">
        <v>3</v>
      </c>
      <c r="B286" s="75">
        <v>40708</v>
      </c>
      <c r="C286" s="15">
        <v>2011</v>
      </c>
      <c r="D286" s="11" t="s">
        <v>32</v>
      </c>
      <c r="E286" s="15">
        <v>6</v>
      </c>
      <c r="F286" s="26">
        <v>13.473000000000001</v>
      </c>
      <c r="G286" s="27">
        <v>1.248499</v>
      </c>
    </row>
    <row r="287" spans="1:14">
      <c r="A287" s="15">
        <v>4</v>
      </c>
      <c r="B287" s="75">
        <v>40708</v>
      </c>
      <c r="C287" s="15">
        <v>2011</v>
      </c>
      <c r="D287" s="11" t="s">
        <v>32</v>
      </c>
      <c r="E287" s="15">
        <v>6</v>
      </c>
      <c r="F287" s="26">
        <v>23.321999999999999</v>
      </c>
      <c r="G287" s="27">
        <v>2.31533575</v>
      </c>
      <c r="I287" s="27">
        <f>AVERAGE(F286:F287)</f>
        <v>18.397500000000001</v>
      </c>
      <c r="J287" s="27">
        <f>AVERAGE(G286:G287)</f>
        <v>1.7819173749999999</v>
      </c>
      <c r="L287">
        <f>+J287/I287</f>
        <v>9.6856495447751045E-2</v>
      </c>
      <c r="M287">
        <f>+(L287-$L$619)/$L$620</f>
        <v>-1.042622811857268</v>
      </c>
      <c r="N287">
        <f>+N285+M287</f>
        <v>11.630430904734055</v>
      </c>
    </row>
    <row r="288" spans="1:14">
      <c r="A288" s="15">
        <v>3</v>
      </c>
      <c r="B288" s="75">
        <v>40735</v>
      </c>
      <c r="C288" s="15">
        <v>2011</v>
      </c>
      <c r="D288" s="11" t="s">
        <v>33</v>
      </c>
      <c r="E288" s="15">
        <v>7</v>
      </c>
      <c r="F288" s="26">
        <v>13.723000000000001</v>
      </c>
      <c r="G288" s="27">
        <v>1.4072488750000001</v>
      </c>
    </row>
    <row r="289" spans="1:14">
      <c r="A289" s="15">
        <v>4</v>
      </c>
      <c r="B289" s="75">
        <v>40735</v>
      </c>
      <c r="C289" s="15">
        <v>2011</v>
      </c>
      <c r="D289" s="11" t="s">
        <v>33</v>
      </c>
      <c r="E289" s="15">
        <v>7</v>
      </c>
      <c r="F289" s="26">
        <v>24.536000000000001</v>
      </c>
      <c r="G289" s="27">
        <v>2.9786837500000001</v>
      </c>
      <c r="I289" s="27">
        <f>AVERAGE(F288:F289)</f>
        <v>19.1295</v>
      </c>
      <c r="J289" s="27">
        <f>AVERAGE(G288:G289)</f>
        <v>2.1929663125000003</v>
      </c>
      <c r="L289">
        <f>+J289/I289</f>
        <v>0.11463793159779399</v>
      </c>
      <c r="M289">
        <f>+(L289-$L$619)/$L$620</f>
        <v>-0.87372316429116814</v>
      </c>
      <c r="N289">
        <f>+N287+M289</f>
        <v>10.756707740442888</v>
      </c>
    </row>
    <row r="290" spans="1:14">
      <c r="A290" s="15">
        <v>3</v>
      </c>
      <c r="B290" s="75">
        <v>40771</v>
      </c>
      <c r="C290" s="15">
        <v>2011</v>
      </c>
      <c r="D290" s="11" t="s">
        <v>34</v>
      </c>
      <c r="E290" s="15">
        <v>8</v>
      </c>
      <c r="F290" s="26">
        <v>25.713000000000001</v>
      </c>
      <c r="G290" s="27">
        <v>3.39935425</v>
      </c>
      <c r="I290" s="27"/>
      <c r="J290" s="27"/>
    </row>
    <row r="291" spans="1:14">
      <c r="A291" s="15">
        <v>4</v>
      </c>
      <c r="B291" s="75">
        <v>40771</v>
      </c>
      <c r="C291" s="15">
        <v>2011</v>
      </c>
      <c r="D291" s="11" t="s">
        <v>34</v>
      </c>
      <c r="E291" s="15">
        <v>8</v>
      </c>
      <c r="F291" s="26">
        <v>36.332999999999998</v>
      </c>
      <c r="G291" s="27">
        <v>4.4233015</v>
      </c>
      <c r="I291" s="27">
        <f>AVERAGE(F290:F291)</f>
        <v>31.023</v>
      </c>
      <c r="J291" s="27">
        <f>AVERAGE(G290:G291)</f>
        <v>3.911327875</v>
      </c>
      <c r="L291">
        <f>+J291/I291</f>
        <v>0.12607832495245463</v>
      </c>
      <c r="M291">
        <f>+(L291-$L$619)/$L$620</f>
        <v>-0.76505486611126738</v>
      </c>
      <c r="N291">
        <f>+N289+M291</f>
        <v>9.9916528743316206</v>
      </c>
    </row>
    <row r="292" spans="1:14">
      <c r="A292" s="15">
        <v>3</v>
      </c>
      <c r="B292" s="75">
        <v>40799</v>
      </c>
      <c r="C292" s="15">
        <v>2011</v>
      </c>
      <c r="D292" s="11" t="s">
        <v>40</v>
      </c>
      <c r="E292" s="15">
        <v>9</v>
      </c>
      <c r="F292" s="26">
        <v>12.509</v>
      </c>
      <c r="G292" s="27">
        <v>2.8640379999999999</v>
      </c>
    </row>
    <row r="293" spans="1:14">
      <c r="A293" s="15">
        <v>4</v>
      </c>
      <c r="B293" s="75">
        <v>40799</v>
      </c>
      <c r="C293" s="15">
        <v>2011</v>
      </c>
      <c r="D293" s="11" t="s">
        <v>40</v>
      </c>
      <c r="E293" s="15">
        <v>9</v>
      </c>
      <c r="F293" s="26">
        <v>13.537000000000001</v>
      </c>
      <c r="G293" s="27">
        <v>2.2538186250000001</v>
      </c>
      <c r="I293" s="27">
        <f>AVERAGE(F292:F293)</f>
        <v>13.023</v>
      </c>
      <c r="J293" s="27">
        <f>AVERAGE(G292:G293)</f>
        <v>2.5589283125</v>
      </c>
      <c r="L293">
        <f>+J293/I293</f>
        <v>0.19649299796513861</v>
      </c>
      <c r="M293">
        <f>+(L293-$L$619)/$L$620</f>
        <v>-9.6210496344443924E-2</v>
      </c>
      <c r="N293">
        <f>+N291+M293</f>
        <v>9.8954423779871767</v>
      </c>
    </row>
    <row r="294" spans="1:14">
      <c r="A294" s="15">
        <v>3</v>
      </c>
      <c r="B294" s="75">
        <v>40827</v>
      </c>
      <c r="C294" s="15">
        <v>2011</v>
      </c>
      <c r="D294" s="11" t="s">
        <v>36</v>
      </c>
      <c r="E294" s="15">
        <v>10</v>
      </c>
      <c r="F294" s="28">
        <v>6.3570000000000002</v>
      </c>
      <c r="G294" s="27">
        <v>0.87871737500000002</v>
      </c>
    </row>
    <row r="295" spans="1:14">
      <c r="A295" s="15">
        <v>4</v>
      </c>
      <c r="B295" s="75">
        <v>40827</v>
      </c>
      <c r="C295" s="15">
        <v>2011</v>
      </c>
      <c r="D295" s="11" t="s">
        <v>36</v>
      </c>
      <c r="E295" s="15">
        <v>10</v>
      </c>
      <c r="F295" s="28">
        <v>7.4740000000000002</v>
      </c>
      <c r="G295" s="27">
        <v>1.0528598750000002</v>
      </c>
      <c r="I295" s="27">
        <f>AVERAGE(F294:F295)</f>
        <v>6.9154999999999998</v>
      </c>
      <c r="J295" s="27">
        <f>AVERAGE(G294:G295)</f>
        <v>0.96578862500000007</v>
      </c>
      <c r="L295">
        <f>+J295/I295</f>
        <v>0.13965564673559397</v>
      </c>
      <c r="M295">
        <f>+(L295-$L$619)/$L$620</f>
        <v>-0.63608863162304663</v>
      </c>
      <c r="N295">
        <f>+N293+M295</f>
        <v>9.2593537463641304</v>
      </c>
    </row>
    <row r="296" spans="1:14">
      <c r="A296" s="15">
        <v>3</v>
      </c>
      <c r="B296" s="76">
        <v>40862</v>
      </c>
      <c r="C296" s="15">
        <v>2011</v>
      </c>
      <c r="D296" s="11" t="s">
        <v>37</v>
      </c>
      <c r="E296" s="15">
        <v>11</v>
      </c>
      <c r="F296" s="28">
        <v>4.6079999999999997</v>
      </c>
      <c r="G296" s="27">
        <v>1.0570295000000001</v>
      </c>
    </row>
    <row r="297" spans="1:14">
      <c r="A297" s="15">
        <v>4</v>
      </c>
      <c r="B297" s="76">
        <v>40862</v>
      </c>
      <c r="C297" s="15">
        <v>2011</v>
      </c>
      <c r="D297" s="11" t="s">
        <v>37</v>
      </c>
      <c r="E297" s="15">
        <v>11</v>
      </c>
      <c r="F297" s="28">
        <v>6.5940000000000003</v>
      </c>
      <c r="G297" s="27">
        <v>0.62483562500000001</v>
      </c>
      <c r="I297" s="27">
        <f>AVERAGE(F296:F297)</f>
        <v>5.601</v>
      </c>
      <c r="J297" s="27">
        <f>AVERAGE(G296:G297)</f>
        <v>0.84093256250000004</v>
      </c>
      <c r="L297">
        <f>+J297/I297</f>
        <v>0.15013971835386539</v>
      </c>
      <c r="M297">
        <f>+(L297-$L$619)/$L$620</f>
        <v>-0.53650409939281307</v>
      </c>
      <c r="N297">
        <f>+N295+M297</f>
        <v>8.7228496469713175</v>
      </c>
    </row>
    <row r="298" spans="1:14">
      <c r="A298" s="15">
        <v>3</v>
      </c>
      <c r="B298" s="76">
        <v>40890</v>
      </c>
      <c r="C298" s="15">
        <v>2011</v>
      </c>
      <c r="D298" s="11" t="s">
        <v>38</v>
      </c>
      <c r="E298" s="15">
        <v>12</v>
      </c>
      <c r="F298" s="28">
        <v>5.1929999999999996</v>
      </c>
      <c r="G298" s="27">
        <v>1.2482498750000002</v>
      </c>
    </row>
    <row r="299" spans="1:14">
      <c r="A299" s="15">
        <v>4</v>
      </c>
      <c r="B299" s="76">
        <v>40890</v>
      </c>
      <c r="C299" s="15">
        <v>2011</v>
      </c>
      <c r="D299" s="11" t="s">
        <v>38</v>
      </c>
      <c r="E299" s="15">
        <v>12</v>
      </c>
      <c r="F299" s="28">
        <v>10.423999999999999</v>
      </c>
      <c r="G299" s="27">
        <v>3.7892349999999997</v>
      </c>
      <c r="I299" s="27">
        <f>AVERAGE(F298:F299)</f>
        <v>7.8084999999999996</v>
      </c>
      <c r="J299" s="27">
        <f>AVERAGE(G298:G299)</f>
        <v>2.5187424374999998</v>
      </c>
      <c r="L299">
        <f>+J299/I299</f>
        <v>0.32256418486264965</v>
      </c>
      <c r="M299">
        <f>+(L299-$L$619)/$L$620</f>
        <v>1.1012956474536257</v>
      </c>
      <c r="N299">
        <f>+N297+M299</f>
        <v>9.8241452944249428</v>
      </c>
    </row>
    <row r="300" spans="1:14">
      <c r="A300" s="15">
        <v>3</v>
      </c>
      <c r="B300" s="75">
        <v>40917</v>
      </c>
      <c r="C300" s="15">
        <v>2012</v>
      </c>
      <c r="D300" s="11" t="s">
        <v>39</v>
      </c>
      <c r="E300" s="15">
        <v>1</v>
      </c>
      <c r="F300" s="30">
        <v>6.7110000000000003</v>
      </c>
      <c r="G300" s="27">
        <v>2.5395184999999998</v>
      </c>
    </row>
    <row r="301" spans="1:14">
      <c r="A301" s="15">
        <v>4</v>
      </c>
      <c r="B301" s="75">
        <v>40917</v>
      </c>
      <c r="C301" s="15">
        <v>2012</v>
      </c>
      <c r="D301" s="11" t="s">
        <v>39</v>
      </c>
      <c r="E301" s="15">
        <v>1</v>
      </c>
      <c r="F301" s="30">
        <v>9.3879999999999999</v>
      </c>
      <c r="G301" s="27">
        <v>3.2562108749999998</v>
      </c>
      <c r="I301" s="27">
        <f>AVERAGE(F300:F301)</f>
        <v>8.0495000000000001</v>
      </c>
      <c r="J301" s="27">
        <f>AVERAGE(G300:G301)</f>
        <v>2.8978646874999998</v>
      </c>
      <c r="L301">
        <f>+J301/I301</f>
        <v>0.36000555158705505</v>
      </c>
      <c r="M301">
        <f>+(L301-$L$619)/$L$620</f>
        <v>1.4569381046085781</v>
      </c>
      <c r="N301">
        <f>+N299+M301</f>
        <v>11.281083399033522</v>
      </c>
    </row>
    <row r="302" spans="1:14">
      <c r="A302" s="15">
        <v>3</v>
      </c>
      <c r="B302" s="75">
        <v>40962</v>
      </c>
      <c r="C302" s="15">
        <v>2012</v>
      </c>
      <c r="D302" s="11" t="s">
        <v>28</v>
      </c>
      <c r="E302" s="15">
        <v>2</v>
      </c>
      <c r="F302" s="30">
        <v>2.6509999999999998</v>
      </c>
      <c r="G302" s="27">
        <v>0.93506237499999989</v>
      </c>
    </row>
    <row r="303" spans="1:14">
      <c r="A303" s="15">
        <v>4</v>
      </c>
      <c r="B303" s="75">
        <v>40962</v>
      </c>
      <c r="C303" s="15">
        <v>2012</v>
      </c>
      <c r="D303" s="11" t="s">
        <v>28</v>
      </c>
      <c r="E303" s="15">
        <v>2</v>
      </c>
      <c r="F303" s="30">
        <v>6.0960000000000001</v>
      </c>
      <c r="G303" s="27">
        <v>2.2948089999999999</v>
      </c>
      <c r="I303" s="27">
        <f>AVERAGE(F302:F303)</f>
        <v>4.3734999999999999</v>
      </c>
      <c r="J303" s="27">
        <f>AVERAGE(G302:G303)</f>
        <v>1.6149356874999998</v>
      </c>
      <c r="L303">
        <f>+J303/I303</f>
        <v>0.36925475877443692</v>
      </c>
      <c r="M303">
        <f>+(L303-$L$619)/$L$620</f>
        <v>1.5447930911818006</v>
      </c>
      <c r="N303">
        <f>+N301+M303</f>
        <v>12.825876490215322</v>
      </c>
    </row>
    <row r="304" spans="1:14">
      <c r="A304" s="15">
        <v>3</v>
      </c>
      <c r="B304" s="75">
        <v>40980</v>
      </c>
      <c r="C304" s="15">
        <v>2012</v>
      </c>
      <c r="D304" s="11" t="s">
        <v>29</v>
      </c>
      <c r="E304" s="15">
        <v>3</v>
      </c>
      <c r="F304" s="30">
        <v>6.5469999999999997</v>
      </c>
      <c r="G304" s="27">
        <v>2.277466875</v>
      </c>
    </row>
    <row r="305" spans="1:14">
      <c r="A305" s="15">
        <v>4</v>
      </c>
      <c r="B305" s="75">
        <v>40980</v>
      </c>
      <c r="C305" s="15">
        <v>2012</v>
      </c>
      <c r="D305" s="11" t="s">
        <v>29</v>
      </c>
      <c r="E305" s="15">
        <v>3</v>
      </c>
      <c r="F305" s="30">
        <v>15.337</v>
      </c>
      <c r="G305" s="27">
        <v>6.0420342499999995</v>
      </c>
      <c r="I305" s="27">
        <f>AVERAGE(F304:F305)</f>
        <v>10.942</v>
      </c>
      <c r="J305" s="27">
        <f>AVERAGE(G304:G305)</f>
        <v>4.1597505624999993</v>
      </c>
      <c r="L305">
        <f>+J305/I305</f>
        <v>0.38016364124474494</v>
      </c>
      <c r="M305">
        <f>+(L305-$L$619)/$L$620</f>
        <v>1.648412753228647</v>
      </c>
      <c r="N305">
        <f>+N303+M305</f>
        <v>14.47428924344397</v>
      </c>
    </row>
    <row r="306" spans="1:14">
      <c r="A306" s="15">
        <v>3</v>
      </c>
      <c r="B306" s="75">
        <v>41015</v>
      </c>
      <c r="C306" s="15">
        <v>2012</v>
      </c>
      <c r="D306" s="11" t="s">
        <v>30</v>
      </c>
      <c r="E306" s="15">
        <v>4</v>
      </c>
      <c r="F306" s="26">
        <v>2.4620000000000002</v>
      </c>
      <c r="G306" s="27">
        <v>0.85935549999999983</v>
      </c>
    </row>
    <row r="307" spans="1:14">
      <c r="A307" s="15">
        <v>4</v>
      </c>
      <c r="B307" s="75">
        <v>41015</v>
      </c>
      <c r="C307" s="15">
        <v>2012</v>
      </c>
      <c r="D307" s="11" t="s">
        <v>30</v>
      </c>
      <c r="E307" s="15">
        <v>4</v>
      </c>
      <c r="F307" s="26">
        <v>5.9409999999999998</v>
      </c>
      <c r="G307" s="27">
        <v>2.1616258749999999</v>
      </c>
      <c r="I307" s="27">
        <f>AVERAGE(F306:F307)</f>
        <v>4.2015000000000002</v>
      </c>
      <c r="J307" s="27">
        <f>AVERAGE(G306:G307)</f>
        <v>1.5104906874999999</v>
      </c>
      <c r="L307">
        <f>+J307/I307</f>
        <v>0.359512242651434</v>
      </c>
      <c r="M307">
        <f>+(L307-$L$619)/$L$620</f>
        <v>1.4522523354353496</v>
      </c>
      <c r="N307">
        <f>+N305+M307</f>
        <v>15.92654157887932</v>
      </c>
    </row>
    <row r="308" spans="1:14">
      <c r="A308" s="15">
        <v>3</v>
      </c>
      <c r="B308" s="75">
        <v>41045</v>
      </c>
      <c r="C308" s="15">
        <v>2012</v>
      </c>
      <c r="D308" s="11" t="s">
        <v>31</v>
      </c>
      <c r="E308" s="15">
        <v>5</v>
      </c>
      <c r="F308" s="26">
        <v>12.733000000000001</v>
      </c>
      <c r="G308" s="27">
        <v>6.2965222499999998</v>
      </c>
      <c r="I308" s="27"/>
      <c r="J308" s="27"/>
    </row>
    <row r="309" spans="1:14">
      <c r="A309" s="15">
        <v>4</v>
      </c>
      <c r="B309" s="75">
        <v>41045</v>
      </c>
      <c r="C309" s="15">
        <v>2012</v>
      </c>
      <c r="D309" s="11" t="s">
        <v>31</v>
      </c>
      <c r="E309" s="15">
        <v>5</v>
      </c>
      <c r="F309" s="26">
        <v>10.210000000000001</v>
      </c>
      <c r="G309" s="27">
        <v>3.6210641249999997</v>
      </c>
      <c r="I309" s="27">
        <f>AVERAGE(F308:F309)</f>
        <v>11.471500000000001</v>
      </c>
      <c r="J309" s="27">
        <f>AVERAGE(G308:G309)</f>
        <v>4.9587931874999995</v>
      </c>
      <c r="L309">
        <f>+J309/I309</f>
        <v>0.43227068713768901</v>
      </c>
      <c r="M309">
        <f>+(L309-$L$619)/$L$620</f>
        <v>2.143359371306377</v>
      </c>
      <c r="N309">
        <f>+N307+M309</f>
        <v>18.069900950185698</v>
      </c>
    </row>
    <row r="310" spans="1:14">
      <c r="A310" s="15">
        <v>3</v>
      </c>
      <c r="B310" s="75">
        <v>41073</v>
      </c>
      <c r="C310" s="15">
        <v>2012</v>
      </c>
      <c r="D310" s="11" t="s">
        <v>32</v>
      </c>
      <c r="E310" s="15">
        <v>6</v>
      </c>
      <c r="F310" s="26">
        <v>22.74</v>
      </c>
      <c r="G310" s="27">
        <v>5.9639781249999997</v>
      </c>
    </row>
    <row r="311" spans="1:14">
      <c r="A311" s="15">
        <v>4</v>
      </c>
      <c r="B311" s="75">
        <v>41073</v>
      </c>
      <c r="C311" s="15">
        <v>2012</v>
      </c>
      <c r="D311" s="11" t="s">
        <v>32</v>
      </c>
      <c r="E311" s="15">
        <v>6</v>
      </c>
      <c r="F311" s="26">
        <v>24.302</v>
      </c>
      <c r="G311" s="27">
        <v>4.309809875</v>
      </c>
      <c r="I311" s="27">
        <f>AVERAGE(F310:F311)</f>
        <v>23.521000000000001</v>
      </c>
      <c r="J311" s="27">
        <f>AVERAGE(G310:G311)</f>
        <v>5.1368939999999998</v>
      </c>
      <c r="L311">
        <f>+J311/I311</f>
        <v>0.2183960715955954</v>
      </c>
      <c r="M311">
        <f>+(L311-$L$619)/$L$620</f>
        <v>0.11183914517956496</v>
      </c>
      <c r="N311">
        <f>+N309+M311</f>
        <v>18.181740095365264</v>
      </c>
    </row>
    <row r="312" spans="1:14">
      <c r="A312" s="15">
        <v>3</v>
      </c>
      <c r="B312" s="75">
        <v>41107</v>
      </c>
      <c r="C312" s="15">
        <v>2012</v>
      </c>
      <c r="D312" s="11" t="s">
        <v>33</v>
      </c>
      <c r="E312" s="15">
        <v>7</v>
      </c>
      <c r="F312" s="26">
        <v>27.895</v>
      </c>
      <c r="G312" s="27">
        <v>4.0007642499999996</v>
      </c>
    </row>
    <row r="313" spans="1:14">
      <c r="A313" s="15">
        <v>4</v>
      </c>
      <c r="B313" s="75">
        <v>41107</v>
      </c>
      <c r="C313" s="15">
        <v>2012</v>
      </c>
      <c r="D313" s="11" t="s">
        <v>33</v>
      </c>
      <c r="E313" s="15">
        <v>7</v>
      </c>
      <c r="F313" s="26">
        <v>43.258000000000003</v>
      </c>
      <c r="G313" s="27">
        <v>6.2354525000000001</v>
      </c>
      <c r="I313" s="27">
        <f>AVERAGE(F312:F313)</f>
        <v>35.576500000000003</v>
      </c>
      <c r="J313" s="27">
        <f>AVERAGE(G312:G313)</f>
        <v>5.1181083750000003</v>
      </c>
      <c r="L313">
        <f>+J313/I313</f>
        <v>0.14386205430551066</v>
      </c>
      <c r="M313">
        <f>+(L313-$L$619)/$L$620</f>
        <v>-0.59613343621119641</v>
      </c>
      <c r="N313">
        <f>+N311+M313</f>
        <v>17.585606659154067</v>
      </c>
    </row>
    <row r="314" spans="1:14">
      <c r="A314" s="15">
        <v>3</v>
      </c>
      <c r="B314" s="75">
        <v>41135</v>
      </c>
      <c r="C314" s="15">
        <v>2012</v>
      </c>
      <c r="D314" s="11" t="s">
        <v>34</v>
      </c>
      <c r="E314" s="15">
        <v>8</v>
      </c>
      <c r="F314" s="26">
        <v>19.334</v>
      </c>
      <c r="G314" s="27">
        <v>4.6460663749999993</v>
      </c>
    </row>
    <row r="315" spans="1:14">
      <c r="A315" s="15">
        <v>4</v>
      </c>
      <c r="B315" s="75">
        <v>41135</v>
      </c>
      <c r="C315" s="15">
        <v>2012</v>
      </c>
      <c r="D315" s="11" t="s">
        <v>34</v>
      </c>
      <c r="E315" s="15">
        <v>8</v>
      </c>
      <c r="F315" s="26">
        <v>33.441000000000003</v>
      </c>
      <c r="G315" s="27">
        <v>15.141437499999999</v>
      </c>
      <c r="I315" s="27">
        <f>AVERAGE(F314:F315)</f>
        <v>26.387500000000003</v>
      </c>
      <c r="J315" s="27">
        <f>AVERAGE(G314:G315)</f>
        <v>9.8937519374999994</v>
      </c>
      <c r="L315">
        <f>+J315/I315</f>
        <v>0.37494085978209374</v>
      </c>
      <c r="M315">
        <f>+(L315-$L$619)/$L$620</f>
        <v>1.5988033774215968</v>
      </c>
      <c r="N315">
        <f>+N313+M315</f>
        <v>19.184410036575663</v>
      </c>
    </row>
    <row r="316" spans="1:14">
      <c r="A316" s="15">
        <v>3</v>
      </c>
      <c r="B316" s="75">
        <v>41164</v>
      </c>
      <c r="C316" s="15">
        <v>2012</v>
      </c>
      <c r="D316" s="11" t="s">
        <v>40</v>
      </c>
      <c r="E316" s="15">
        <v>9</v>
      </c>
      <c r="F316" s="26">
        <v>19.472000000000001</v>
      </c>
      <c r="G316" s="27">
        <v>12.676731999999999</v>
      </c>
    </row>
    <row r="317" spans="1:14">
      <c r="A317" s="15">
        <v>4</v>
      </c>
      <c r="B317" s="75">
        <v>41164</v>
      </c>
      <c r="C317" s="15">
        <v>2012</v>
      </c>
      <c r="D317" s="11" t="s">
        <v>40</v>
      </c>
      <c r="E317" s="15">
        <v>9</v>
      </c>
      <c r="F317" s="26">
        <v>18.593</v>
      </c>
      <c r="G317" s="27">
        <v>9.5181242499999996</v>
      </c>
      <c r="I317" s="27"/>
      <c r="J317" s="27"/>
    </row>
    <row r="318" spans="1:14">
      <c r="A318" s="15">
        <v>4</v>
      </c>
      <c r="B318" s="75">
        <v>41164</v>
      </c>
      <c r="C318" s="15">
        <v>2012</v>
      </c>
      <c r="D318" s="11" t="s">
        <v>40</v>
      </c>
      <c r="E318" s="15">
        <v>9</v>
      </c>
      <c r="F318" s="26">
        <v>18.593</v>
      </c>
      <c r="G318" s="27">
        <v>6.6885400000000006</v>
      </c>
      <c r="H318" t="s">
        <v>13</v>
      </c>
      <c r="I318" s="27">
        <f>AVERAGE(F316:F318)</f>
        <v>18.885999999999999</v>
      </c>
      <c r="J318" s="27">
        <f>AVERAGE(G316:G318)</f>
        <v>9.6277987500000002</v>
      </c>
      <c r="L318">
        <f>+J318/I318</f>
        <v>0.50978495975855131</v>
      </c>
      <c r="M318">
        <f>+(L318-$L$619)/$L$620</f>
        <v>2.879640356516596</v>
      </c>
      <c r="N318">
        <f>+N315+M318</f>
        <v>22.064050393092259</v>
      </c>
    </row>
    <row r="319" spans="1:14">
      <c r="A319" s="15">
        <v>3</v>
      </c>
      <c r="B319" s="75">
        <v>41199</v>
      </c>
      <c r="C319" s="15">
        <v>2012</v>
      </c>
      <c r="D319" s="11" t="s">
        <v>36</v>
      </c>
      <c r="E319" s="15">
        <v>10</v>
      </c>
      <c r="F319" s="26">
        <v>6.8479999999999999</v>
      </c>
      <c r="G319" s="27">
        <v>1.4885418749999999</v>
      </c>
      <c r="I319" s="27"/>
      <c r="J319" s="27"/>
    </row>
    <row r="320" spans="1:14">
      <c r="A320" s="15">
        <v>4</v>
      </c>
      <c r="B320" s="75">
        <v>41199</v>
      </c>
      <c r="C320" s="15">
        <v>2012</v>
      </c>
      <c r="D320" s="11" t="s">
        <v>36</v>
      </c>
      <c r="E320" s="15">
        <v>10</v>
      </c>
      <c r="F320" s="26">
        <v>7.2439999999999998</v>
      </c>
      <c r="G320" s="27">
        <v>1.9203711249999997</v>
      </c>
      <c r="I320" s="27">
        <f>AVERAGE(F319:F320)</f>
        <v>7.0459999999999994</v>
      </c>
      <c r="J320" s="27">
        <f>AVERAGE(G319:G320)</f>
        <v>1.7044564999999998</v>
      </c>
      <c r="L320">
        <f>+J320/I320</f>
        <v>0.24190413000283847</v>
      </c>
      <c r="M320">
        <f>+(L320-$L$619)/$L$620</f>
        <v>0.33513397617312651</v>
      </c>
      <c r="N320">
        <f>+N318+M320</f>
        <v>22.399184369265384</v>
      </c>
    </row>
    <row r="321" spans="1:14">
      <c r="A321" s="15">
        <v>3</v>
      </c>
      <c r="B321" s="75">
        <v>41225</v>
      </c>
      <c r="C321" s="15">
        <v>2012</v>
      </c>
      <c r="D321" s="11" t="s">
        <v>37</v>
      </c>
      <c r="E321" s="15">
        <v>11</v>
      </c>
      <c r="F321" s="26">
        <v>4.1420000000000003</v>
      </c>
      <c r="G321" s="27">
        <v>1.28875925</v>
      </c>
    </row>
    <row r="322" spans="1:14">
      <c r="A322" s="15">
        <v>4</v>
      </c>
      <c r="B322" s="75">
        <v>41225</v>
      </c>
      <c r="C322" s="15">
        <v>2012</v>
      </c>
      <c r="D322" s="11" t="s">
        <v>37</v>
      </c>
      <c r="E322" s="15">
        <v>11</v>
      </c>
      <c r="F322" s="26">
        <v>9.0389999999999997</v>
      </c>
      <c r="G322" s="27">
        <v>1.40424675</v>
      </c>
      <c r="I322" s="27">
        <f>AVERAGE(F321:F322)</f>
        <v>6.5905000000000005</v>
      </c>
      <c r="J322" s="27">
        <f>AVERAGE(G321:G322)</f>
        <v>1.346503</v>
      </c>
      <c r="L322">
        <f>+J322/I322</f>
        <v>0.20430968818754267</v>
      </c>
      <c r="M322">
        <f>+(L322-$L$619)/$L$620</f>
        <v>-2.1962487772074768E-2</v>
      </c>
      <c r="N322">
        <f>+N320+M322</f>
        <v>22.377221881493309</v>
      </c>
    </row>
    <row r="323" spans="1:14">
      <c r="A323" s="15">
        <v>3</v>
      </c>
      <c r="B323" s="75">
        <v>41254</v>
      </c>
      <c r="C323" s="15">
        <v>2012</v>
      </c>
      <c r="D323" s="11" t="s">
        <v>38</v>
      </c>
      <c r="E323" s="15">
        <v>12</v>
      </c>
      <c r="F323" s="26">
        <v>3.298</v>
      </c>
      <c r="G323" s="27">
        <v>0.89269899999999991</v>
      </c>
    </row>
    <row r="324" spans="1:14">
      <c r="A324" s="15">
        <v>4</v>
      </c>
      <c r="B324" s="75">
        <v>41254</v>
      </c>
      <c r="C324" s="15">
        <v>2012</v>
      </c>
      <c r="D324" s="11" t="s">
        <v>38</v>
      </c>
      <c r="E324" s="15">
        <v>12</v>
      </c>
      <c r="F324" s="26">
        <v>3.2759999999999998</v>
      </c>
      <c r="G324" s="27">
        <v>0.9113031250000001</v>
      </c>
      <c r="I324" s="27">
        <f>AVERAGE(F323:F324)</f>
        <v>3.2869999999999999</v>
      </c>
      <c r="J324" s="27">
        <f>AVERAGE(G323:G324)</f>
        <v>0.90200106250000001</v>
      </c>
      <c r="L324">
        <f>+J324/I324</f>
        <v>0.27441468284149684</v>
      </c>
      <c r="M324">
        <f>+(L324-$L$619)/$L$620</f>
        <v>0.64394035549447304</v>
      </c>
      <c r="N324">
        <f>+N322+M324</f>
        <v>23.021162236987781</v>
      </c>
    </row>
    <row r="325" spans="1:14">
      <c r="A325" s="15">
        <v>3</v>
      </c>
      <c r="B325" s="75">
        <v>41288</v>
      </c>
      <c r="C325" s="15">
        <v>2013</v>
      </c>
      <c r="D325" s="11" t="s">
        <v>39</v>
      </c>
      <c r="E325" s="15">
        <v>1</v>
      </c>
      <c r="F325" s="26">
        <v>6.7839999999999998</v>
      </c>
      <c r="G325" s="27">
        <v>3.8867686250000006</v>
      </c>
      <c r="I325" s="27"/>
      <c r="J325" s="27"/>
    </row>
    <row r="326" spans="1:14">
      <c r="A326" s="15">
        <v>4</v>
      </c>
      <c r="B326" s="75">
        <v>41288</v>
      </c>
      <c r="C326" s="15">
        <v>2013</v>
      </c>
      <c r="D326" s="11" t="s">
        <v>39</v>
      </c>
      <c r="E326" s="15">
        <v>1</v>
      </c>
      <c r="F326" s="26">
        <v>9.7349999999999994</v>
      </c>
      <c r="G326" s="27">
        <v>4.6814334999999998</v>
      </c>
      <c r="I326" s="27">
        <f>AVERAGE(F325:F326)</f>
        <v>8.2594999999999992</v>
      </c>
      <c r="J326" s="27">
        <f>AVERAGE(G325:G326)</f>
        <v>4.2841010625000004</v>
      </c>
      <c r="L326">
        <f>+J326/I326</f>
        <v>0.51868770052666635</v>
      </c>
      <c r="M326">
        <f>+(L326-$L$619)/$L$620</f>
        <v>2.9642043796595381</v>
      </c>
      <c r="N326">
        <f>+N324+M326</f>
        <v>25.985366616647319</v>
      </c>
    </row>
    <row r="327" spans="1:14">
      <c r="A327" s="15">
        <v>3</v>
      </c>
      <c r="B327" s="75">
        <v>41318</v>
      </c>
      <c r="C327" s="15">
        <v>2013</v>
      </c>
      <c r="D327" s="11" t="s">
        <v>28</v>
      </c>
      <c r="E327" s="15">
        <v>2</v>
      </c>
      <c r="F327" s="31">
        <v>16.471</v>
      </c>
      <c r="G327" s="27">
        <v>8.9382391250000026</v>
      </c>
    </row>
    <row r="328" spans="1:14">
      <c r="A328" s="15">
        <v>4</v>
      </c>
      <c r="B328" s="75">
        <v>41318</v>
      </c>
      <c r="C328" s="15">
        <v>2013</v>
      </c>
      <c r="D328" s="11" t="s">
        <v>28</v>
      </c>
      <c r="E328" s="15">
        <v>2</v>
      </c>
      <c r="F328" s="31">
        <v>18.884</v>
      </c>
      <c r="G328" s="27">
        <v>5.8038043749999995</v>
      </c>
      <c r="I328" s="27">
        <f>AVERAGE(F327:F328)</f>
        <v>17.677500000000002</v>
      </c>
      <c r="J328" s="27">
        <f>AVERAGE(G327:G328)</f>
        <v>7.3710217500000006</v>
      </c>
      <c r="L328">
        <f>+J328/I328</f>
        <v>0.41697195587611369</v>
      </c>
      <c r="M328">
        <f>+(L328-$L$619)/$L$620</f>
        <v>1.99804206979683</v>
      </c>
      <c r="N328">
        <f>+N326+M328</f>
        <v>27.98340868644415</v>
      </c>
    </row>
    <row r="329" spans="1:14">
      <c r="A329" s="15">
        <v>3</v>
      </c>
      <c r="B329" s="75">
        <v>41344</v>
      </c>
      <c r="C329" s="15">
        <v>2013</v>
      </c>
      <c r="D329" s="11" t="s">
        <v>29</v>
      </c>
      <c r="E329" s="15">
        <v>3</v>
      </c>
      <c r="F329" s="31">
        <v>9.0809999999999995</v>
      </c>
      <c r="G329" s="27">
        <v>5.9458380000000002</v>
      </c>
    </row>
    <row r="330" spans="1:14">
      <c r="A330" s="15">
        <v>4</v>
      </c>
      <c r="B330" s="75">
        <v>41344</v>
      </c>
      <c r="C330" s="15">
        <v>2013</v>
      </c>
      <c r="D330" s="11" t="s">
        <v>29</v>
      </c>
      <c r="E330" s="15">
        <v>3</v>
      </c>
      <c r="F330" s="31">
        <v>11.224</v>
      </c>
      <c r="G330" s="27">
        <v>6.7376446249999988</v>
      </c>
      <c r="I330" s="27">
        <f>AVERAGE(F329:F330)</f>
        <v>10.1525</v>
      </c>
      <c r="J330" s="27">
        <f>AVERAGE(G329:G330)</f>
        <v>6.3417413124999999</v>
      </c>
      <c r="L330">
        <f>+J330/I330</f>
        <v>0.62464824550603304</v>
      </c>
      <c r="M330">
        <f>+(L330-$L$619)/$L$620</f>
        <v>3.9706865643330005</v>
      </c>
      <c r="N330">
        <f>+N328+M330</f>
        <v>31.954095250777151</v>
      </c>
    </row>
    <row r="331" spans="1:14">
      <c r="A331" s="15">
        <v>3</v>
      </c>
      <c r="B331" s="75">
        <v>41379</v>
      </c>
      <c r="C331" s="15">
        <v>2013</v>
      </c>
      <c r="D331" s="11" t="s">
        <v>30</v>
      </c>
      <c r="E331" s="15">
        <v>4</v>
      </c>
      <c r="F331" s="32">
        <v>2.968</v>
      </c>
      <c r="G331" s="27">
        <v>1.04962825</v>
      </c>
    </row>
    <row r="332" spans="1:14">
      <c r="A332" s="15">
        <v>4</v>
      </c>
      <c r="B332" s="75">
        <v>41379</v>
      </c>
      <c r="C332" s="15">
        <v>2013</v>
      </c>
      <c r="D332" s="11" t="s">
        <v>30</v>
      </c>
      <c r="E332" s="15">
        <v>4</v>
      </c>
      <c r="F332" s="32">
        <v>7.63</v>
      </c>
      <c r="G332" s="27">
        <v>2.8352088750000002</v>
      </c>
      <c r="I332" s="27">
        <f>AVERAGE(F331:F332)</f>
        <v>5.2989999999999995</v>
      </c>
      <c r="J332" s="27">
        <f>AVERAGE(G331:G332)</f>
        <v>1.9424185625000001</v>
      </c>
      <c r="L332">
        <f>+J332/I332</f>
        <v>0.36656323127005103</v>
      </c>
      <c r="M332">
        <f>+(L332-$L$619)/$L$620</f>
        <v>1.5192272120779271</v>
      </c>
      <c r="N332">
        <f>+N330+M332</f>
        <v>33.47332246285508</v>
      </c>
    </row>
    <row r="333" spans="1:14">
      <c r="A333" s="15">
        <v>3</v>
      </c>
      <c r="B333" s="75">
        <v>41408</v>
      </c>
      <c r="C333" s="15">
        <v>2013</v>
      </c>
      <c r="D333" s="11" t="s">
        <v>31</v>
      </c>
      <c r="E333" s="15">
        <v>5</v>
      </c>
      <c r="F333" s="32">
        <v>3.6080000000000001</v>
      </c>
      <c r="G333" s="27">
        <v>1.2479074999999999</v>
      </c>
    </row>
    <row r="334" spans="1:14">
      <c r="A334" s="15">
        <v>4</v>
      </c>
      <c r="B334" s="75">
        <v>41408</v>
      </c>
      <c r="C334" s="15">
        <v>2013</v>
      </c>
      <c r="D334" s="11" t="s">
        <v>31</v>
      </c>
      <c r="E334" s="15">
        <v>5</v>
      </c>
      <c r="F334" s="32">
        <v>8.8130000000000006</v>
      </c>
      <c r="G334" s="27">
        <v>2.8237636249999998</v>
      </c>
      <c r="I334" s="27">
        <f>AVERAGE(F333:F334)</f>
        <v>6.2105000000000006</v>
      </c>
      <c r="J334" s="27">
        <f>AVERAGE(G333:G334)</f>
        <v>2.0358355625</v>
      </c>
      <c r="L334">
        <f>+J334/I334</f>
        <v>0.327805420256018</v>
      </c>
      <c r="M334">
        <f>+(L334-$L$619)/$L$620</f>
        <v>1.1510803106991052</v>
      </c>
      <c r="N334">
        <f>+N332+M334</f>
        <v>34.624402773554188</v>
      </c>
    </row>
    <row r="335" spans="1:14">
      <c r="A335" s="15">
        <v>3</v>
      </c>
      <c r="B335" s="75">
        <v>41436</v>
      </c>
      <c r="C335" s="15">
        <v>2013</v>
      </c>
      <c r="D335" s="11" t="s">
        <v>32</v>
      </c>
      <c r="E335" s="15">
        <v>6</v>
      </c>
      <c r="F335" s="32">
        <v>10.775</v>
      </c>
      <c r="G335" s="27">
        <v>4.5995159999999995</v>
      </c>
    </row>
    <row r="336" spans="1:14">
      <c r="A336" s="15">
        <v>4</v>
      </c>
      <c r="B336" s="75">
        <v>41436</v>
      </c>
      <c r="C336" s="15">
        <v>2013</v>
      </c>
      <c r="D336" s="11" t="s">
        <v>32</v>
      </c>
      <c r="E336" s="15">
        <v>6</v>
      </c>
      <c r="F336" s="32">
        <v>14.151</v>
      </c>
      <c r="G336" s="27">
        <v>3.3983514285714285</v>
      </c>
      <c r="I336" s="27">
        <f>AVERAGE(F335:F336)</f>
        <v>12.463000000000001</v>
      </c>
      <c r="J336" s="27">
        <f>AVERAGE(G335:G336)</f>
        <v>3.9989337142857142</v>
      </c>
      <c r="L336">
        <f>+J336/I336</f>
        <v>0.32086445593241708</v>
      </c>
      <c r="M336">
        <f>+(L336-$L$619)/$L$620</f>
        <v>1.0851505163825625</v>
      </c>
      <c r="N336">
        <f>+N334+M336</f>
        <v>35.70955328993675</v>
      </c>
    </row>
    <row r="337" spans="1:14">
      <c r="A337" s="15">
        <v>3</v>
      </c>
      <c r="B337" s="75">
        <v>41471</v>
      </c>
      <c r="C337" s="15">
        <v>2013</v>
      </c>
      <c r="D337" s="11" t="s">
        <v>33</v>
      </c>
      <c r="E337" s="15">
        <v>7</v>
      </c>
      <c r="F337" s="32">
        <v>32.316000000000003</v>
      </c>
      <c r="G337" s="27">
        <v>4.6491423750000003</v>
      </c>
    </row>
    <row r="338" spans="1:14">
      <c r="A338" s="15">
        <v>4</v>
      </c>
      <c r="B338" s="75">
        <v>41471</v>
      </c>
      <c r="C338" s="15">
        <v>2013</v>
      </c>
      <c r="D338" s="11" t="s">
        <v>33</v>
      </c>
      <c r="E338" s="15">
        <v>7</v>
      </c>
      <c r="F338" s="32">
        <v>52.093000000000004</v>
      </c>
      <c r="G338" s="27">
        <v>9.3805577499999995</v>
      </c>
      <c r="I338" s="27">
        <f>AVERAGE(F337:F338)</f>
        <v>42.204500000000003</v>
      </c>
      <c r="J338" s="27">
        <f>AVERAGE(G337:G338)</f>
        <v>7.0148500624999999</v>
      </c>
      <c r="L338">
        <f>+J338/I338</f>
        <v>0.16621095055029675</v>
      </c>
      <c r="M338">
        <f>+(L338-$L$619)/$L$620</f>
        <v>-0.3838490814839442</v>
      </c>
      <c r="N338">
        <f>+N336+M338</f>
        <v>35.325704208452805</v>
      </c>
    </row>
    <row r="339" spans="1:14">
      <c r="A339" s="15">
        <v>3</v>
      </c>
      <c r="B339" s="75">
        <v>41499</v>
      </c>
      <c r="C339" s="15">
        <v>2013</v>
      </c>
      <c r="D339" s="11" t="s">
        <v>34</v>
      </c>
      <c r="E339" s="15">
        <v>8</v>
      </c>
      <c r="F339" s="32">
        <v>12.627000000000001</v>
      </c>
      <c r="G339" s="27">
        <v>2.350511911764706</v>
      </c>
      <c r="I339" s="27"/>
      <c r="J339" s="27"/>
    </row>
    <row r="340" spans="1:14">
      <c r="A340" s="15">
        <v>4</v>
      </c>
      <c r="B340" s="75">
        <v>41499</v>
      </c>
      <c r="C340" s="15">
        <v>2013</v>
      </c>
      <c r="D340" s="11" t="s">
        <v>34</v>
      </c>
      <c r="E340" s="15">
        <v>8</v>
      </c>
      <c r="F340" s="32">
        <v>19.396000000000001</v>
      </c>
      <c r="G340" s="27">
        <v>3.2683111666666669</v>
      </c>
      <c r="I340" s="27">
        <f>AVERAGE(F339:F340)</f>
        <v>16.011500000000002</v>
      </c>
      <c r="J340" s="27">
        <f>AVERAGE(G339:G340)</f>
        <v>2.8094115392156862</v>
      </c>
      <c r="L340">
        <f>+J340/I340</f>
        <v>0.17546210781099122</v>
      </c>
      <c r="M340">
        <f>+(L340-$L$619)/$L$620</f>
        <v>-0.29597557184585521</v>
      </c>
      <c r="N340">
        <f>+N338+M340</f>
        <v>35.029728636606947</v>
      </c>
    </row>
    <row r="341" spans="1:14">
      <c r="A341" s="15">
        <v>3</v>
      </c>
      <c r="B341" s="75">
        <v>41533</v>
      </c>
      <c r="C341" s="15">
        <v>2013</v>
      </c>
      <c r="D341" s="11" t="s">
        <v>40</v>
      </c>
      <c r="E341" s="15">
        <v>9</v>
      </c>
      <c r="F341" s="32">
        <v>8.641</v>
      </c>
      <c r="G341" s="27">
        <v>2.4066233750000001</v>
      </c>
    </row>
    <row r="342" spans="1:14">
      <c r="A342" s="15">
        <v>4</v>
      </c>
      <c r="B342" s="75">
        <v>41533</v>
      </c>
      <c r="C342" s="15">
        <v>2013</v>
      </c>
      <c r="D342" s="11" t="s">
        <v>40</v>
      </c>
      <c r="E342" s="15">
        <v>9</v>
      </c>
      <c r="F342" s="32">
        <v>9.0589999999999993</v>
      </c>
      <c r="G342" s="27">
        <v>1.8680883749999999</v>
      </c>
      <c r="I342" s="27">
        <f>AVERAGE(F341:F342)</f>
        <v>8.85</v>
      </c>
      <c r="J342" s="27">
        <f>AVERAGE(G341:G342)</f>
        <v>2.1373558749999999</v>
      </c>
      <c r="L342">
        <f>+J342/I342</f>
        <v>0.24150913841807908</v>
      </c>
      <c r="M342">
        <f>+(L342-$L$619)/$L$620</f>
        <v>0.3313820891548625</v>
      </c>
      <c r="N342">
        <f>+N340+M342</f>
        <v>35.361110725761812</v>
      </c>
    </row>
    <row r="343" spans="1:14">
      <c r="A343" s="15">
        <v>3</v>
      </c>
      <c r="B343" s="75">
        <v>41569</v>
      </c>
      <c r="C343" s="15">
        <v>2013</v>
      </c>
      <c r="D343" s="11" t="s">
        <v>36</v>
      </c>
      <c r="E343" s="15">
        <v>10</v>
      </c>
      <c r="F343" s="26">
        <v>4.3840000000000003</v>
      </c>
      <c r="G343" s="27">
        <v>0.31529049999999997</v>
      </c>
    </row>
    <row r="344" spans="1:14">
      <c r="A344" s="15">
        <v>4</v>
      </c>
      <c r="B344" s="75">
        <v>41569</v>
      </c>
      <c r="C344" s="15">
        <v>2013</v>
      </c>
      <c r="D344" s="11" t="s">
        <v>36</v>
      </c>
      <c r="E344" s="15">
        <v>10</v>
      </c>
      <c r="F344" s="26">
        <v>7.3710000000000004</v>
      </c>
      <c r="G344" s="27">
        <v>0.68512275</v>
      </c>
      <c r="I344" s="27">
        <f>AVERAGE(F343:F344)</f>
        <v>5.8775000000000004</v>
      </c>
      <c r="J344" s="27">
        <f>AVERAGE(G343:G344)</f>
        <v>0.50020662500000002</v>
      </c>
      <c r="L344">
        <f>+J344/I344</f>
        <v>8.5105338153977028E-2</v>
      </c>
      <c r="M344">
        <f>+(L344-$L$619)/$L$620</f>
        <v>-1.1542429480861092</v>
      </c>
      <c r="N344">
        <f>+N342+M344</f>
        <v>34.206867777675704</v>
      </c>
    </row>
    <row r="345" spans="1:14">
      <c r="A345" s="15">
        <v>3</v>
      </c>
      <c r="B345" s="75">
        <v>41597</v>
      </c>
      <c r="C345" s="15">
        <v>2013</v>
      </c>
      <c r="D345" s="11" t="s">
        <v>37</v>
      </c>
      <c r="E345" s="15">
        <v>11</v>
      </c>
      <c r="F345" s="26">
        <v>2.2610000000000001</v>
      </c>
      <c r="G345" s="27">
        <v>0.31730737499999995</v>
      </c>
    </row>
    <row r="346" spans="1:14">
      <c r="A346" s="15">
        <v>4</v>
      </c>
      <c r="B346" s="75">
        <v>41597</v>
      </c>
      <c r="C346" s="15">
        <v>2013</v>
      </c>
      <c r="D346" s="11" t="s">
        <v>37</v>
      </c>
      <c r="E346" s="15">
        <v>11</v>
      </c>
      <c r="F346" s="26">
        <v>2.4009999999999998</v>
      </c>
      <c r="G346" s="27">
        <v>0.56046787499999995</v>
      </c>
      <c r="I346" s="27">
        <f>AVERAGE(F345:F346)</f>
        <v>2.331</v>
      </c>
      <c r="J346" s="27">
        <f>AVERAGE(G345:G346)</f>
        <v>0.43888762499999995</v>
      </c>
      <c r="L346">
        <f>+J346/I346</f>
        <v>0.18828297940797939</v>
      </c>
      <c r="M346">
        <f>+(L346-$L$619)/$L$620</f>
        <v>-0.17419459330457518</v>
      </c>
      <c r="N346">
        <f>+N344+M346</f>
        <v>34.032673184371127</v>
      </c>
    </row>
    <row r="347" spans="1:14">
      <c r="A347" s="15">
        <v>3</v>
      </c>
      <c r="B347" s="75">
        <v>41624</v>
      </c>
      <c r="C347" s="15">
        <v>2013</v>
      </c>
      <c r="D347" s="11" t="s">
        <v>38</v>
      </c>
      <c r="E347" s="15">
        <v>12</v>
      </c>
      <c r="F347" s="26">
        <v>3.7669999999999999</v>
      </c>
      <c r="G347" s="27">
        <v>1.205529375</v>
      </c>
    </row>
    <row r="348" spans="1:14">
      <c r="A348" s="15">
        <v>4</v>
      </c>
      <c r="B348" s="75">
        <v>41624</v>
      </c>
      <c r="C348" s="15">
        <v>2013</v>
      </c>
      <c r="D348" s="11" t="s">
        <v>38</v>
      </c>
      <c r="E348" s="15">
        <v>12</v>
      </c>
      <c r="F348" s="26">
        <v>5.1369999999999996</v>
      </c>
      <c r="G348" s="27">
        <v>1.5719788749999999</v>
      </c>
      <c r="I348" s="27">
        <f>AVERAGE(F347:F348)</f>
        <v>4.452</v>
      </c>
      <c r="J348" s="27">
        <f>AVERAGE(G347:G348)</f>
        <v>1.388754125</v>
      </c>
      <c r="L348">
        <f>+J348/I348</f>
        <v>0.3119393811769991</v>
      </c>
      <c r="M348">
        <f>+(L348-$L$619)/$L$620</f>
        <v>1.0003743504997211</v>
      </c>
      <c r="N348">
        <f>+N346+M348</f>
        <v>35.033047534870846</v>
      </c>
    </row>
    <row r="349" spans="1:14">
      <c r="A349" s="15">
        <v>3</v>
      </c>
      <c r="B349" s="75">
        <v>41654</v>
      </c>
      <c r="C349" s="15">
        <v>2014</v>
      </c>
      <c r="D349" s="11" t="s">
        <v>39</v>
      </c>
      <c r="E349" s="15">
        <v>1</v>
      </c>
      <c r="F349" s="26">
        <v>3.335</v>
      </c>
      <c r="G349" s="27">
        <v>0.74987937500000013</v>
      </c>
      <c r="I349" s="27"/>
      <c r="J349" s="27"/>
    </row>
    <row r="350" spans="1:14">
      <c r="A350" s="15">
        <v>4</v>
      </c>
      <c r="B350" s="75">
        <v>41654</v>
      </c>
      <c r="C350" s="15">
        <v>2014</v>
      </c>
      <c r="D350" s="11" t="s">
        <v>39</v>
      </c>
      <c r="E350" s="15">
        <v>1</v>
      </c>
      <c r="F350" s="26">
        <v>1.752</v>
      </c>
      <c r="G350" s="27">
        <v>0.55399725</v>
      </c>
      <c r="I350" s="27">
        <f>AVERAGE(F349:F350)</f>
        <v>2.5434999999999999</v>
      </c>
      <c r="J350" s="27">
        <f>AVERAGE(G349:G350)</f>
        <v>0.65193831250000001</v>
      </c>
      <c r="L350">
        <f>+J350/I350</f>
        <v>0.25631543640652643</v>
      </c>
      <c r="M350">
        <f>+(L350-$L$619)/$L$620</f>
        <v>0.47202193910316775</v>
      </c>
      <c r="N350">
        <f>+N348+M350</f>
        <v>35.505069473974011</v>
      </c>
    </row>
    <row r="351" spans="1:14">
      <c r="A351" s="15">
        <v>3</v>
      </c>
      <c r="B351" s="75">
        <v>41688</v>
      </c>
      <c r="C351" s="15">
        <v>2014</v>
      </c>
      <c r="D351" s="11" t="s">
        <v>28</v>
      </c>
      <c r="E351" s="15">
        <v>2</v>
      </c>
      <c r="F351" s="26">
        <v>4.5439999999999996</v>
      </c>
      <c r="G351" s="27">
        <v>1.5313650000000001</v>
      </c>
    </row>
    <row r="352" spans="1:14">
      <c r="A352" s="15">
        <v>4</v>
      </c>
      <c r="B352" s="75">
        <v>41688</v>
      </c>
      <c r="C352" s="15">
        <v>2014</v>
      </c>
      <c r="D352" s="11" t="s">
        <v>28</v>
      </c>
      <c r="E352" s="15">
        <v>2</v>
      </c>
      <c r="F352" s="26">
        <v>5.3250000000000002</v>
      </c>
      <c r="G352" s="27">
        <v>1.13505425</v>
      </c>
      <c r="I352" s="27">
        <f>AVERAGE(F351:F352)</f>
        <v>4.9344999999999999</v>
      </c>
      <c r="J352" s="27">
        <f>AVERAGE(G351:G352)</f>
        <v>1.3332096250000001</v>
      </c>
      <c r="L352">
        <f>+J352/I352</f>
        <v>0.27018130003039825</v>
      </c>
      <c r="M352">
        <f>+(L352-$L$619)/$L$620</f>
        <v>0.60372893169419639</v>
      </c>
      <c r="N352">
        <f>+N350+M352</f>
        <v>36.10879840566821</v>
      </c>
    </row>
    <row r="353" spans="1:14">
      <c r="A353" s="15">
        <v>3</v>
      </c>
      <c r="B353" s="75">
        <v>41719</v>
      </c>
      <c r="C353" s="15">
        <v>2014</v>
      </c>
      <c r="D353" s="11" t="s">
        <v>29</v>
      </c>
      <c r="E353" s="15">
        <v>3</v>
      </c>
      <c r="F353" s="26">
        <v>3.1259999999999999</v>
      </c>
      <c r="G353" s="27">
        <v>1.317851125</v>
      </c>
    </row>
    <row r="354" spans="1:14">
      <c r="A354" s="15">
        <v>3</v>
      </c>
      <c r="B354" s="75">
        <v>41719</v>
      </c>
      <c r="C354" s="15">
        <v>2014</v>
      </c>
      <c r="D354" s="11" t="s">
        <v>29</v>
      </c>
      <c r="E354" s="15">
        <v>3</v>
      </c>
      <c r="F354" s="26">
        <v>3.1259999999999999</v>
      </c>
      <c r="G354" s="27">
        <v>1.3717966249999998</v>
      </c>
      <c r="H354" t="s">
        <v>13</v>
      </c>
      <c r="I354" s="27">
        <f>AVERAGE(F353:F354)</f>
        <v>3.1259999999999999</v>
      </c>
      <c r="J354" s="27">
        <f>AVERAGE(G353:G354)</f>
        <v>1.3448238749999999</v>
      </c>
      <c r="L354">
        <f>+J354/I354</f>
        <v>0.43020597408829175</v>
      </c>
      <c r="M354">
        <f>+(L354-$L$619)/$L$620</f>
        <v>2.1237473836454432</v>
      </c>
      <c r="N354">
        <f>+N352+M354</f>
        <v>38.232545789313654</v>
      </c>
    </row>
    <row r="355" spans="1:14">
      <c r="A355" s="15">
        <v>4</v>
      </c>
      <c r="B355" s="75">
        <v>41719</v>
      </c>
      <c r="C355" s="15">
        <v>2014</v>
      </c>
      <c r="D355" s="11" t="s">
        <v>29</v>
      </c>
      <c r="E355" s="15">
        <v>3</v>
      </c>
      <c r="F355" s="26">
        <v>3.1909999999999998</v>
      </c>
      <c r="G355" s="27">
        <v>1.0794044999999999</v>
      </c>
    </row>
    <row r="356" spans="1:14">
      <c r="A356" s="15">
        <v>3</v>
      </c>
      <c r="B356" s="75">
        <v>41747</v>
      </c>
      <c r="C356" s="15">
        <v>2014</v>
      </c>
      <c r="D356" s="11" t="s">
        <v>30</v>
      </c>
      <c r="E356" s="15">
        <v>4</v>
      </c>
      <c r="F356" s="33">
        <v>2.645</v>
      </c>
      <c r="G356" s="27">
        <v>0.87752649999999988</v>
      </c>
      <c r="I356" s="27">
        <f>AVERAGE(F355:F356)</f>
        <v>2.9180000000000001</v>
      </c>
      <c r="J356" s="27">
        <f>AVERAGE(G355:G356)</f>
        <v>0.97846549999999988</v>
      </c>
      <c r="L356">
        <f>+J356/I356</f>
        <v>0.33532059629883476</v>
      </c>
      <c r="M356">
        <f>+(L356-$L$619)/$L$620</f>
        <v>1.2224643414555794</v>
      </c>
      <c r="N356">
        <f>+N354+M356</f>
        <v>39.455010130769232</v>
      </c>
    </row>
    <row r="357" spans="1:14">
      <c r="A357" s="15">
        <v>4</v>
      </c>
      <c r="B357" s="75">
        <v>41747</v>
      </c>
      <c r="C357" s="15">
        <v>2014</v>
      </c>
      <c r="D357" s="11" t="s">
        <v>30</v>
      </c>
      <c r="E357" s="15">
        <v>4</v>
      </c>
      <c r="F357" s="33">
        <v>6.6870000000000003</v>
      </c>
      <c r="G357" s="27">
        <v>2.0179132499999994</v>
      </c>
      <c r="I357" s="27"/>
      <c r="J357" s="27"/>
    </row>
    <row r="358" spans="1:14">
      <c r="A358" s="15">
        <v>3</v>
      </c>
      <c r="B358" s="75">
        <v>41772</v>
      </c>
      <c r="C358" s="15">
        <v>2014</v>
      </c>
      <c r="D358" s="11" t="s">
        <v>31</v>
      </c>
      <c r="E358" s="15">
        <v>5</v>
      </c>
      <c r="F358" s="33">
        <v>4.24</v>
      </c>
      <c r="G358" s="27">
        <v>0.16081599999999999</v>
      </c>
      <c r="I358" s="27">
        <f>AVERAGE(F357:F358)</f>
        <v>5.4634999999999998</v>
      </c>
      <c r="J358" s="27">
        <f>AVERAGE(G357:G358)</f>
        <v>1.0893646249999998</v>
      </c>
      <c r="L358">
        <f>+J358/I358</f>
        <v>0.19938951679326436</v>
      </c>
      <c r="M358">
        <f>+(L358-$L$619)/$L$620</f>
        <v>-6.8697476298657023E-2</v>
      </c>
      <c r="N358">
        <f>+N356+M358</f>
        <v>39.386312654470572</v>
      </c>
    </row>
    <row r="359" spans="1:14">
      <c r="A359" s="15">
        <v>4</v>
      </c>
      <c r="B359" s="75">
        <v>41772</v>
      </c>
      <c r="C359" s="15">
        <v>2014</v>
      </c>
      <c r="D359" s="11" t="s">
        <v>31</v>
      </c>
      <c r="E359" s="15">
        <v>5</v>
      </c>
      <c r="F359" s="33">
        <v>3.7629999999999999</v>
      </c>
      <c r="G359" s="27">
        <v>0.27572012499999998</v>
      </c>
      <c r="I359" s="27"/>
      <c r="J359" s="27"/>
    </row>
    <row r="360" spans="1:14">
      <c r="A360" s="15">
        <v>3</v>
      </c>
      <c r="B360" s="75">
        <v>41808</v>
      </c>
      <c r="C360" s="15">
        <v>2014</v>
      </c>
      <c r="D360" s="11" t="s">
        <v>32</v>
      </c>
      <c r="E360" s="15">
        <v>6</v>
      </c>
      <c r="F360" s="33">
        <v>8.3550000000000004</v>
      </c>
      <c r="G360" s="27">
        <v>1.23038775</v>
      </c>
      <c r="I360" s="27">
        <f>AVERAGE(F359:F360)</f>
        <v>6.0590000000000002</v>
      </c>
      <c r="J360" s="27">
        <f>AVERAGE(G359:G360)</f>
        <v>0.75305393750000005</v>
      </c>
      <c r="L360">
        <f>+J360/I360</f>
        <v>0.12428683569896024</v>
      </c>
      <c r="M360">
        <f>+(L360-$L$619)/$L$620</f>
        <v>-0.78207159642373592</v>
      </c>
      <c r="N360">
        <f>+N358+M360</f>
        <v>38.604241058046838</v>
      </c>
    </row>
    <row r="361" spans="1:14">
      <c r="A361" s="15">
        <v>4</v>
      </c>
      <c r="B361" s="75">
        <v>41808</v>
      </c>
      <c r="C361" s="15">
        <v>2014</v>
      </c>
      <c r="D361" s="11" t="s">
        <v>32</v>
      </c>
      <c r="E361" s="15">
        <v>6</v>
      </c>
      <c r="F361" s="33">
        <v>10.061999999999999</v>
      </c>
      <c r="G361" s="27">
        <v>1.2661182499999997</v>
      </c>
    </row>
    <row r="362" spans="1:14">
      <c r="A362" s="15">
        <v>3</v>
      </c>
      <c r="B362" s="75">
        <v>41834</v>
      </c>
      <c r="C362" s="15">
        <v>2014</v>
      </c>
      <c r="D362" s="11" t="s">
        <v>33</v>
      </c>
      <c r="E362" s="15">
        <v>7</v>
      </c>
      <c r="F362" s="33">
        <v>14.663</v>
      </c>
      <c r="G362" s="27">
        <v>2.4222667500000004</v>
      </c>
      <c r="I362" s="27">
        <f>AVERAGE(F361:F362)</f>
        <v>12.362500000000001</v>
      </c>
      <c r="J362" s="27">
        <f>AVERAGE(G361:G362)</f>
        <v>1.8441925000000001</v>
      </c>
      <c r="L362">
        <f>+J362/I362</f>
        <v>0.1491763397371082</v>
      </c>
      <c r="M362">
        <f>+(L362-$L$619)/$L$620</f>
        <v>-0.54565489618279073</v>
      </c>
      <c r="N362">
        <f>+N360+M362</f>
        <v>38.058586161864049</v>
      </c>
    </row>
    <row r="363" spans="1:14">
      <c r="A363" s="15">
        <v>4</v>
      </c>
      <c r="B363" s="75">
        <v>41834</v>
      </c>
      <c r="C363" s="15">
        <v>2014</v>
      </c>
      <c r="D363" s="11" t="s">
        <v>33</v>
      </c>
      <c r="E363" s="15">
        <v>7</v>
      </c>
      <c r="F363" s="33">
        <v>17.713999999999999</v>
      </c>
      <c r="G363" s="27">
        <v>2.8836415</v>
      </c>
    </row>
    <row r="364" spans="1:14">
      <c r="A364" s="15">
        <v>3</v>
      </c>
      <c r="B364" s="75">
        <v>41864</v>
      </c>
      <c r="C364" s="15">
        <v>2014</v>
      </c>
      <c r="D364" s="11" t="s">
        <v>34</v>
      </c>
      <c r="E364" s="15">
        <v>8</v>
      </c>
      <c r="F364" s="33">
        <v>17.297999999999998</v>
      </c>
      <c r="G364" s="27">
        <v>2.1025795000000005</v>
      </c>
      <c r="I364" s="27">
        <f>AVERAGE(F363:F364)</f>
        <v>17.506</v>
      </c>
      <c r="J364" s="27">
        <f>AVERAGE(G363:G364)</f>
        <v>2.4931105000000002</v>
      </c>
      <c r="L364">
        <f>+J364/I364</f>
        <v>0.14241462926996459</v>
      </c>
      <c r="M364">
        <f>+(L364-$L$619)/$L$620</f>
        <v>-0.6098820207641652</v>
      </c>
      <c r="N364">
        <f>+N362+M364</f>
        <v>37.448704141099881</v>
      </c>
    </row>
    <row r="365" spans="1:14">
      <c r="A365" s="15">
        <v>4</v>
      </c>
      <c r="B365" s="75">
        <v>41864</v>
      </c>
      <c r="C365" s="15">
        <v>2014</v>
      </c>
      <c r="D365" s="11" t="s">
        <v>34</v>
      </c>
      <c r="E365" s="15">
        <v>8</v>
      </c>
      <c r="F365" s="33">
        <v>17.457999999999998</v>
      </c>
      <c r="G365" s="27">
        <v>2.5212759999999994</v>
      </c>
    </row>
    <row r="366" spans="1:14">
      <c r="A366" s="15">
        <v>3</v>
      </c>
      <c r="B366" s="75">
        <v>41898</v>
      </c>
      <c r="C366" s="15">
        <v>2014</v>
      </c>
      <c r="D366" s="11" t="s">
        <v>40</v>
      </c>
      <c r="E366" s="15">
        <v>9</v>
      </c>
      <c r="F366" s="33">
        <v>10.042999999999999</v>
      </c>
      <c r="G366" s="27">
        <v>1.3672545</v>
      </c>
      <c r="I366" s="27">
        <f>AVERAGE(F365:F366)</f>
        <v>13.750499999999999</v>
      </c>
      <c r="J366" s="27">
        <f>AVERAGE(G365:G366)</f>
        <v>1.9442652499999997</v>
      </c>
      <c r="L366">
        <f>+J366/I366</f>
        <v>0.14139596741936655</v>
      </c>
      <c r="M366">
        <f>+(L366-$L$619)/$L$620</f>
        <v>-0.61955793367149381</v>
      </c>
      <c r="N366">
        <f>+N364+M366</f>
        <v>36.829146207428387</v>
      </c>
    </row>
    <row r="367" spans="1:14">
      <c r="A367" s="15">
        <v>4</v>
      </c>
      <c r="B367" s="75">
        <v>41898</v>
      </c>
      <c r="C367" s="15">
        <v>2014</v>
      </c>
      <c r="D367" s="11" t="s">
        <v>40</v>
      </c>
      <c r="E367" s="15">
        <v>9</v>
      </c>
      <c r="F367" s="33">
        <v>12.87</v>
      </c>
      <c r="G367" s="27">
        <v>2.105775</v>
      </c>
      <c r="I367" s="27"/>
      <c r="J367" s="27"/>
    </row>
    <row r="368" spans="1:14">
      <c r="A368" s="15">
        <v>3</v>
      </c>
      <c r="B368" s="75">
        <v>41929</v>
      </c>
      <c r="C368" s="15">
        <v>2014</v>
      </c>
      <c r="D368" s="11" t="s">
        <v>36</v>
      </c>
      <c r="E368" s="15">
        <v>10</v>
      </c>
      <c r="F368" s="26">
        <v>1.6759999999999999</v>
      </c>
      <c r="G368" s="27">
        <v>0.16766887499999997</v>
      </c>
      <c r="I368" s="27">
        <f>AVERAGE(F367:F368)</f>
        <v>7.2729999999999997</v>
      </c>
      <c r="J368" s="27">
        <f>AVERAGE(G367:G368)</f>
        <v>1.1367219374999999</v>
      </c>
      <c r="L368">
        <f>+J368/I368</f>
        <v>0.15629340540354736</v>
      </c>
      <c r="M368">
        <f>+(L368-$L$619)/$L$620</f>
        <v>-0.47805237675617734</v>
      </c>
      <c r="N368">
        <f>+N366+M368</f>
        <v>36.351093830672212</v>
      </c>
    </row>
    <row r="369" spans="1:14">
      <c r="A369" s="15">
        <v>4</v>
      </c>
      <c r="B369" s="75">
        <v>41929</v>
      </c>
      <c r="C369" s="15">
        <v>2014</v>
      </c>
      <c r="D369" s="11" t="s">
        <v>36</v>
      </c>
      <c r="E369" s="15">
        <v>10</v>
      </c>
      <c r="F369" s="26">
        <v>4.0270000000000001</v>
      </c>
      <c r="G369" s="27">
        <v>0.32296549999999996</v>
      </c>
      <c r="I369" s="27"/>
      <c r="J369" s="27"/>
    </row>
    <row r="370" spans="1:14">
      <c r="A370" s="15">
        <v>3</v>
      </c>
      <c r="B370" s="75">
        <v>41953</v>
      </c>
      <c r="C370" s="15">
        <v>2014</v>
      </c>
      <c r="D370" s="11" t="s">
        <v>37</v>
      </c>
      <c r="E370" s="15">
        <v>11</v>
      </c>
      <c r="F370" s="26">
        <v>1.635</v>
      </c>
      <c r="G370" s="27">
        <v>0.12559637500000001</v>
      </c>
      <c r="I370" s="27">
        <f>AVERAGE(F369:F370)</f>
        <v>2.831</v>
      </c>
      <c r="J370" s="27">
        <f>AVERAGE(G369:G370)</f>
        <v>0.2242809375</v>
      </c>
      <c r="L370">
        <f>+J370/I370</f>
        <v>7.9223220593429886E-2</v>
      </c>
      <c r="M370">
        <f>+(L370-$L$619)/$L$620</f>
        <v>-1.2101151270561068</v>
      </c>
      <c r="N370">
        <f>+N368+M370</f>
        <v>35.140978703616106</v>
      </c>
    </row>
    <row r="371" spans="1:14">
      <c r="A371" s="15">
        <v>3</v>
      </c>
      <c r="B371" s="75">
        <v>41953</v>
      </c>
      <c r="C371" s="15">
        <v>2014</v>
      </c>
      <c r="D371" s="11" t="s">
        <v>37</v>
      </c>
      <c r="E371" s="15">
        <v>11</v>
      </c>
      <c r="F371" s="26">
        <v>1.635</v>
      </c>
      <c r="G371" s="27">
        <v>0.12758112499999996</v>
      </c>
    </row>
    <row r="372" spans="1:14">
      <c r="A372" s="15">
        <v>4</v>
      </c>
      <c r="B372" s="75">
        <v>41953</v>
      </c>
      <c r="C372" s="15">
        <v>2014</v>
      </c>
      <c r="D372" s="11" t="s">
        <v>37</v>
      </c>
      <c r="E372" s="15">
        <v>11</v>
      </c>
      <c r="F372" s="26">
        <v>2.0110000000000001</v>
      </c>
      <c r="G372" s="27">
        <v>0.21138537499999996</v>
      </c>
      <c r="I372" s="27">
        <f>AVERAGE(F371:F372)</f>
        <v>1.823</v>
      </c>
      <c r="J372" s="27">
        <f>AVERAGE(G371:G372)</f>
        <v>0.16948324999999997</v>
      </c>
      <c r="L372">
        <f>+J372/I372</f>
        <v>9.2969418540866697E-2</v>
      </c>
      <c r="M372">
        <f>+(L372-$L$619)/$L$620</f>
        <v>-1.0795447969036507</v>
      </c>
      <c r="N372">
        <f>+N370+M372</f>
        <v>34.061433906712459</v>
      </c>
    </row>
    <row r="373" spans="1:14">
      <c r="A373" s="15">
        <v>3</v>
      </c>
      <c r="B373" s="75">
        <v>41988</v>
      </c>
      <c r="C373" s="15">
        <v>2014</v>
      </c>
      <c r="D373" s="11" t="s">
        <v>38</v>
      </c>
      <c r="E373" s="15">
        <v>12</v>
      </c>
      <c r="F373" s="26">
        <v>5.5650000000000004</v>
      </c>
      <c r="G373" s="27">
        <v>1.2356728749999999</v>
      </c>
    </row>
    <row r="374" spans="1:14">
      <c r="A374" s="15">
        <v>4</v>
      </c>
      <c r="B374" s="75">
        <v>41988</v>
      </c>
      <c r="C374" s="15">
        <v>2014</v>
      </c>
      <c r="D374" s="11" t="s">
        <v>38</v>
      </c>
      <c r="E374" s="15">
        <v>12</v>
      </c>
      <c r="F374" s="26">
        <v>3.9420000000000002</v>
      </c>
      <c r="G374" s="27">
        <v>0.80063925000000002</v>
      </c>
      <c r="I374" s="27">
        <f>AVERAGE(F373:F374)</f>
        <v>4.7535000000000007</v>
      </c>
      <c r="J374" s="27">
        <f>AVERAGE(G373:G374)</f>
        <v>1.0181560624999999</v>
      </c>
      <c r="L374">
        <f>+J374/I374</f>
        <v>0.21419081992216257</v>
      </c>
      <c r="M374">
        <f>+(L374-$L$619)/$L$620</f>
        <v>7.1894929224441378E-2</v>
      </c>
      <c r="N374">
        <f>+N372+M374</f>
        <v>34.133328835936901</v>
      </c>
    </row>
    <row r="375" spans="1:14">
      <c r="A375" s="15">
        <v>3</v>
      </c>
      <c r="B375" s="70">
        <v>42014</v>
      </c>
      <c r="E375" s="15">
        <v>1</v>
      </c>
      <c r="F375" s="79">
        <v>3.7789999999999999</v>
      </c>
      <c r="G375" s="79">
        <v>1.04</v>
      </c>
    </row>
    <row r="376" spans="1:14">
      <c r="A376" s="15">
        <v>4</v>
      </c>
      <c r="B376" s="70">
        <v>42009</v>
      </c>
      <c r="E376" s="15">
        <v>1</v>
      </c>
      <c r="F376" s="79">
        <v>2.9020000000000001</v>
      </c>
      <c r="G376" s="79">
        <v>0.66900000000000004</v>
      </c>
      <c r="I376" s="27">
        <f>AVERAGE(F375:F376)</f>
        <v>3.3405</v>
      </c>
      <c r="J376" s="27">
        <f>AVERAGE(G375:G376)</f>
        <v>0.85450000000000004</v>
      </c>
      <c r="L376">
        <f>+J376/I376</f>
        <v>0.25580002993563838</v>
      </c>
      <c r="M376">
        <f>+(L376-$L$619)/$L$620</f>
        <v>0.46712627316529198</v>
      </c>
      <c r="N376">
        <f>+N374+M376</f>
        <v>34.600455109102192</v>
      </c>
    </row>
    <row r="377" spans="1:14">
      <c r="A377" s="15">
        <v>3</v>
      </c>
      <c r="B377" s="71">
        <v>42036</v>
      </c>
      <c r="E377" s="15">
        <v>2</v>
      </c>
    </row>
    <row r="378" spans="1:14">
      <c r="A378" s="15">
        <v>4</v>
      </c>
      <c r="B378" s="71">
        <v>42036</v>
      </c>
      <c r="E378" s="15">
        <v>2</v>
      </c>
      <c r="I378" s="27"/>
      <c r="J378" s="27"/>
    </row>
    <row r="379" spans="1:14">
      <c r="A379" s="15">
        <v>3</v>
      </c>
      <c r="B379" s="71">
        <v>42064</v>
      </c>
      <c r="E379" s="15">
        <v>3</v>
      </c>
      <c r="F379" s="79">
        <v>8.7080000000000002</v>
      </c>
      <c r="G379" s="79">
        <v>2.6789999999999998</v>
      </c>
      <c r="I379" s="27"/>
      <c r="J379" s="27"/>
    </row>
    <row r="380" spans="1:14">
      <c r="A380" s="15">
        <v>3</v>
      </c>
      <c r="B380" s="71">
        <v>42064</v>
      </c>
      <c r="E380" s="15">
        <v>3</v>
      </c>
      <c r="F380" s="79">
        <v>9.9090000000000007</v>
      </c>
      <c r="G380" s="79">
        <v>2.1309999999999998</v>
      </c>
      <c r="I380" s="27">
        <f>AVERAGE(F379:F380)</f>
        <v>9.3085000000000004</v>
      </c>
      <c r="J380" s="27">
        <f>AVERAGE(G379:G380)</f>
        <v>2.4049999999999998</v>
      </c>
      <c r="L380">
        <f>+J380/I380</f>
        <v>0.25836600956115374</v>
      </c>
      <c r="M380">
        <f>+(L380-$L$619)/$L$620</f>
        <v>0.49149961684542492</v>
      </c>
      <c r="N380">
        <f>+N376+M380</f>
        <v>35.091954725947616</v>
      </c>
    </row>
    <row r="381" spans="1:14">
      <c r="A381" s="15">
        <v>4</v>
      </c>
      <c r="B381" s="71">
        <v>42095</v>
      </c>
      <c r="E381" s="15">
        <v>4</v>
      </c>
      <c r="F381" s="79">
        <v>3.0750000000000002</v>
      </c>
      <c r="G381" s="79">
        <v>0.45600000000000002</v>
      </c>
      <c r="I381" s="27"/>
      <c r="J381" s="27"/>
    </row>
    <row r="382" spans="1:14">
      <c r="A382" s="15">
        <v>3</v>
      </c>
      <c r="B382" s="71">
        <v>42095</v>
      </c>
      <c r="E382" s="15">
        <v>4</v>
      </c>
      <c r="F382" s="79">
        <v>6.2859999999999996</v>
      </c>
      <c r="G382" s="79">
        <v>1.052</v>
      </c>
      <c r="I382" s="27">
        <f>AVERAGE(F381:F382)</f>
        <v>4.6805000000000003</v>
      </c>
      <c r="J382" s="27">
        <f>AVERAGE(G381:G382)</f>
        <v>0.754</v>
      </c>
      <c r="L382">
        <f>+J382/I382</f>
        <v>0.16109390022433501</v>
      </c>
      <c r="M382">
        <f>+(L382-$L$619)/$L$620</f>
        <v>-0.43245415417549093</v>
      </c>
      <c r="N382">
        <f>+N380+M382</f>
        <v>34.659500571772128</v>
      </c>
    </row>
    <row r="383" spans="1:14">
      <c r="A383" s="15">
        <v>4</v>
      </c>
      <c r="B383" s="71">
        <v>42125</v>
      </c>
      <c r="E383" s="15">
        <v>5</v>
      </c>
      <c r="F383" s="79">
        <v>5.4480000000000004</v>
      </c>
      <c r="G383" s="79">
        <v>1.4550000000000001</v>
      </c>
    </row>
    <row r="384" spans="1:14">
      <c r="A384" s="15">
        <v>3</v>
      </c>
      <c r="B384" s="71">
        <v>42125</v>
      </c>
      <c r="E384" s="15">
        <v>5</v>
      </c>
      <c r="F384" s="79">
        <v>10.345000000000001</v>
      </c>
      <c r="G384" s="79">
        <v>2.5369999999999999</v>
      </c>
      <c r="I384" s="27">
        <f>AVERAGE(F383:F384)</f>
        <v>7.8965000000000005</v>
      </c>
      <c r="J384" s="27">
        <f>AVERAGE(G383:G384)</f>
        <v>1.996</v>
      </c>
      <c r="L384">
        <f>+J384/I384</f>
        <v>0.25277021465206101</v>
      </c>
      <c r="M384">
        <f>+(L384-$L$619)/$L$620</f>
        <v>0.43834711667486609</v>
      </c>
      <c r="N384">
        <f>+N382+M384</f>
        <v>35.097847688446997</v>
      </c>
    </row>
    <row r="385" spans="1:14">
      <c r="A385" s="15">
        <v>4</v>
      </c>
      <c r="B385" s="71">
        <v>42156</v>
      </c>
      <c r="E385" s="15">
        <v>6</v>
      </c>
      <c r="F385" s="79">
        <v>7.9829999999999997</v>
      </c>
      <c r="G385" s="79">
        <v>1.9259999999999999</v>
      </c>
    </row>
    <row r="386" spans="1:14">
      <c r="A386" s="15">
        <v>3</v>
      </c>
      <c r="B386" s="71">
        <v>42156</v>
      </c>
      <c r="E386" s="15">
        <v>6</v>
      </c>
      <c r="F386" s="79">
        <v>12.726000000000001</v>
      </c>
      <c r="G386" s="79">
        <v>3.5720000000000001</v>
      </c>
      <c r="I386" s="27">
        <f>AVERAGE(F385:F386)</f>
        <v>10.3545</v>
      </c>
      <c r="J386" s="27">
        <f>AVERAGE(G385:G386)</f>
        <v>2.7490000000000001</v>
      </c>
      <c r="L386">
        <f>+J386/I386</f>
        <v>0.26548843497996044</v>
      </c>
      <c r="M386">
        <f>+(L386-$L$619)/$L$620</f>
        <v>0.55915304668660104</v>
      </c>
      <c r="N386">
        <f>+N384+M386</f>
        <v>35.6570007351336</v>
      </c>
    </row>
    <row r="387" spans="1:14">
      <c r="A387" s="15">
        <v>4</v>
      </c>
      <c r="B387" s="71">
        <v>42186</v>
      </c>
      <c r="E387" s="15">
        <v>7</v>
      </c>
      <c r="F387" s="79">
        <v>13.734</v>
      </c>
      <c r="G387" s="79">
        <v>1.109</v>
      </c>
    </row>
    <row r="388" spans="1:14">
      <c r="A388" s="15">
        <v>3</v>
      </c>
      <c r="B388" s="71">
        <v>42186</v>
      </c>
      <c r="E388" s="15">
        <v>7</v>
      </c>
      <c r="F388" s="79">
        <v>11.561999999999999</v>
      </c>
      <c r="G388" s="79">
        <v>1.1120000000000001</v>
      </c>
      <c r="I388" s="27">
        <f>AVERAGE(F387:F388)</f>
        <v>12.648</v>
      </c>
      <c r="J388" s="27">
        <f>AVERAGE(G387:G388)</f>
        <v>1.1105</v>
      </c>
      <c r="L388">
        <f>+J388/I388</f>
        <v>8.7800442757748259E-2</v>
      </c>
      <c r="M388">
        <f>+(L388-$L$619)/$L$620</f>
        <v>-1.1286430913653327</v>
      </c>
      <c r="N388">
        <f>+N386+M388</f>
        <v>34.528357643768267</v>
      </c>
    </row>
    <row r="389" spans="1:14">
      <c r="A389" s="15">
        <v>4</v>
      </c>
      <c r="B389" s="71">
        <v>42217</v>
      </c>
      <c r="E389" s="15">
        <v>8</v>
      </c>
      <c r="F389" s="79">
        <v>16.381</v>
      </c>
      <c r="G389" s="79">
        <v>3.67</v>
      </c>
      <c r="I389" s="27"/>
      <c r="J389" s="27"/>
    </row>
    <row r="390" spans="1:14">
      <c r="A390" s="15">
        <v>3</v>
      </c>
      <c r="B390" s="71">
        <v>42217</v>
      </c>
      <c r="E390" s="15">
        <v>8</v>
      </c>
      <c r="F390" s="79">
        <v>25.786999999999999</v>
      </c>
      <c r="G390" s="79">
        <v>3.754</v>
      </c>
      <c r="I390" s="27">
        <f>AVERAGE(F389:F390)</f>
        <v>21.084</v>
      </c>
      <c r="J390" s="27">
        <f>AVERAGE(G389:G390)</f>
        <v>3.7119999999999997</v>
      </c>
      <c r="L390">
        <f>+J390/I390</f>
        <v>0.17605767406564218</v>
      </c>
      <c r="M390">
        <f>+(L390-$L$619)/$L$620</f>
        <v>-0.29031849613700894</v>
      </c>
      <c r="N390">
        <f>+N388+M390</f>
        <v>34.238039147631255</v>
      </c>
    </row>
    <row r="391" spans="1:14">
      <c r="A391" s="15">
        <v>4</v>
      </c>
      <c r="B391" s="71">
        <v>42248</v>
      </c>
      <c r="E391" s="15">
        <v>9</v>
      </c>
      <c r="F391" s="79">
        <v>11.849</v>
      </c>
      <c r="G391" s="79">
        <v>1.3360000000000001</v>
      </c>
      <c r="I391" s="27"/>
      <c r="J391" s="27"/>
    </row>
    <row r="392" spans="1:14">
      <c r="A392" s="15">
        <v>3</v>
      </c>
      <c r="B392" s="71">
        <v>42248</v>
      </c>
      <c r="E392" s="15">
        <v>9</v>
      </c>
      <c r="F392" s="79">
        <v>14.278</v>
      </c>
      <c r="G392" s="79">
        <v>1.5329999999999999</v>
      </c>
      <c r="I392" s="27">
        <f>AVERAGE(F391:F392)</f>
        <v>13.063500000000001</v>
      </c>
      <c r="J392" s="27">
        <f>AVERAGE(G391:G392)</f>
        <v>1.4344999999999999</v>
      </c>
      <c r="L392">
        <f>+J392/I392</f>
        <v>0.10980977532820452</v>
      </c>
      <c r="M392">
        <f>+(L392-$L$619)/$L$620</f>
        <v>-0.91958413330664046</v>
      </c>
      <c r="N392">
        <f>+N390+M392</f>
        <v>33.318455014324613</v>
      </c>
    </row>
    <row r="393" spans="1:14">
      <c r="A393" s="15">
        <v>4</v>
      </c>
      <c r="B393" s="71">
        <v>42278</v>
      </c>
      <c r="E393" s="15">
        <v>10</v>
      </c>
      <c r="F393" s="79">
        <v>4.944</v>
      </c>
      <c r="G393" s="79">
        <v>0.36399999999999999</v>
      </c>
    </row>
    <row r="394" spans="1:14">
      <c r="A394" s="15">
        <v>3</v>
      </c>
      <c r="B394" s="71">
        <v>42278</v>
      </c>
      <c r="E394" s="15">
        <v>10</v>
      </c>
      <c r="F394" s="79">
        <v>4.3559999999999999</v>
      </c>
      <c r="G394" s="79">
        <v>0.499</v>
      </c>
      <c r="I394" s="27">
        <f>AVERAGE(F393:F394)</f>
        <v>4.6500000000000004</v>
      </c>
      <c r="J394" s="27">
        <f>AVERAGE(G393:G394)</f>
        <v>0.43149999999999999</v>
      </c>
      <c r="L394">
        <f>+J394/I394</f>
        <v>9.2795698924731176E-2</v>
      </c>
      <c r="M394">
        <f>+(L394-$L$619)/$L$620</f>
        <v>-1.0811948988241604</v>
      </c>
      <c r="N394">
        <f>+N392+M394</f>
        <v>32.237260115500455</v>
      </c>
    </row>
    <row r="395" spans="1:14">
      <c r="A395" s="15">
        <v>4</v>
      </c>
      <c r="B395" s="71">
        <v>42309</v>
      </c>
      <c r="E395" s="15">
        <v>11</v>
      </c>
      <c r="F395" s="79">
        <v>1.528</v>
      </c>
      <c r="G395" s="79">
        <v>0.105</v>
      </c>
    </row>
    <row r="396" spans="1:14">
      <c r="A396" s="15">
        <v>3</v>
      </c>
      <c r="B396" s="71">
        <v>42309</v>
      </c>
      <c r="E396" s="15">
        <v>11</v>
      </c>
      <c r="F396" s="79">
        <v>2.06</v>
      </c>
      <c r="G396" s="79">
        <v>0.25700000000000001</v>
      </c>
      <c r="I396" s="27">
        <f>AVERAGE(F395:F396)</f>
        <v>1.794</v>
      </c>
      <c r="J396" s="27">
        <f>AVERAGE(G395:G396)</f>
        <v>0.18099999999999999</v>
      </c>
      <c r="L396">
        <f>+J396/I396</f>
        <v>0.10089186176142698</v>
      </c>
      <c r="M396">
        <f>+(L396-$L$619)/$L$620</f>
        <v>-1.0042922775613456</v>
      </c>
      <c r="N396">
        <f>+N394+M396</f>
        <v>31.23296783793911</v>
      </c>
    </row>
    <row r="397" spans="1:14">
      <c r="A397" s="15">
        <v>3</v>
      </c>
      <c r="B397" s="72">
        <v>42339</v>
      </c>
      <c r="E397" s="15">
        <v>12</v>
      </c>
      <c r="F397" s="79">
        <v>3.9089999999999998</v>
      </c>
      <c r="G397" s="79">
        <v>0.22900000000000001</v>
      </c>
    </row>
    <row r="398" spans="1:14">
      <c r="A398" s="15">
        <v>4</v>
      </c>
      <c r="B398" s="71">
        <v>42339</v>
      </c>
      <c r="E398" s="15">
        <v>12</v>
      </c>
      <c r="F398" s="79">
        <v>21.616</v>
      </c>
      <c r="G398" s="79">
        <v>0.54300000000000004</v>
      </c>
      <c r="I398" s="27">
        <f>AVERAGE(F397:F398)</f>
        <v>12.762499999999999</v>
      </c>
      <c r="J398" s="27">
        <f>AVERAGE(G397:G398)</f>
        <v>0.38600000000000001</v>
      </c>
      <c r="L398">
        <f>+J398/I398</f>
        <v>3.0244857982370227E-2</v>
      </c>
      <c r="M398">
        <f>+(L398-$L$619)/$L$620</f>
        <v>-1.6753434760808077</v>
      </c>
      <c r="N398">
        <f>+N396+M398</f>
        <v>29.557624361858302</v>
      </c>
    </row>
    <row r="399" spans="1:14">
      <c r="A399" s="15">
        <v>3</v>
      </c>
      <c r="B399" s="70">
        <v>42379</v>
      </c>
      <c r="E399" s="15">
        <v>1</v>
      </c>
      <c r="F399" s="80">
        <v>3.625</v>
      </c>
      <c r="G399" s="80">
        <v>0.67800000000000005</v>
      </c>
    </row>
    <row r="400" spans="1:14">
      <c r="A400" s="15">
        <v>4</v>
      </c>
      <c r="B400" s="70">
        <v>42374</v>
      </c>
      <c r="E400" s="15">
        <v>1</v>
      </c>
      <c r="F400" s="80">
        <v>5.08</v>
      </c>
      <c r="G400" s="80">
        <v>0.753</v>
      </c>
      <c r="I400" s="27">
        <f>AVERAGE(F399:F400)</f>
        <v>4.3525</v>
      </c>
      <c r="J400" s="27">
        <f>AVERAGE(G399:G400)</f>
        <v>0.71550000000000002</v>
      </c>
      <c r="L400">
        <f>+J400/I400</f>
        <v>0.16438828259620908</v>
      </c>
      <c r="M400">
        <f>+(L400-$L$619)/$L$620</f>
        <v>-0.40116196737672333</v>
      </c>
      <c r="N400">
        <f>+N398+M400</f>
        <v>29.156462394481579</v>
      </c>
    </row>
    <row r="401" spans="1:14">
      <c r="A401" s="15">
        <v>3</v>
      </c>
      <c r="B401" s="71">
        <v>42401</v>
      </c>
      <c r="E401" s="15">
        <v>2</v>
      </c>
      <c r="F401" s="80">
        <v>13.26</v>
      </c>
      <c r="G401" s="80">
        <v>0.65800000000000003</v>
      </c>
      <c r="I401" s="27"/>
      <c r="J401" s="27"/>
    </row>
    <row r="402" spans="1:14">
      <c r="A402" s="15">
        <v>4</v>
      </c>
      <c r="B402" s="71">
        <v>42401</v>
      </c>
      <c r="E402" s="15">
        <v>2</v>
      </c>
      <c r="F402" s="80">
        <v>24.975999999999999</v>
      </c>
      <c r="G402" s="80">
        <v>0.46600000000000003</v>
      </c>
      <c r="I402" s="27">
        <f>AVERAGE(F401:F402)</f>
        <v>19.117999999999999</v>
      </c>
      <c r="J402" s="27">
        <f>AVERAGE(G401:G402)</f>
        <v>0.56200000000000006</v>
      </c>
      <c r="L402">
        <f>+J402/I402</f>
        <v>2.9396380374516168E-2</v>
      </c>
      <c r="M402">
        <f>+(L402-$L$619)/$L$620</f>
        <v>-1.6834028683438973</v>
      </c>
      <c r="N402">
        <f>+N400+M402</f>
        <v>27.473059526137682</v>
      </c>
    </row>
    <row r="403" spans="1:14">
      <c r="A403" s="15">
        <v>3</v>
      </c>
      <c r="B403" s="71">
        <v>42430</v>
      </c>
      <c r="E403" s="15">
        <v>3</v>
      </c>
      <c r="F403" s="80">
        <v>2.0760000000000001</v>
      </c>
      <c r="G403" s="80">
        <v>0.182</v>
      </c>
      <c r="I403" s="27"/>
      <c r="J403" s="27"/>
    </row>
    <row r="404" spans="1:14">
      <c r="A404" s="15">
        <v>4</v>
      </c>
      <c r="B404" s="71">
        <v>42430</v>
      </c>
      <c r="E404" s="15">
        <v>3</v>
      </c>
      <c r="F404" s="80">
        <v>2.532</v>
      </c>
      <c r="G404" s="80">
        <v>0.24399999999999999</v>
      </c>
      <c r="I404" s="27">
        <f>AVERAGE(F403:F404)</f>
        <v>2.3040000000000003</v>
      </c>
      <c r="J404" s="27">
        <f>AVERAGE(G403:G404)</f>
        <v>0.21299999999999999</v>
      </c>
      <c r="L404">
        <f>+J404/I404</f>
        <v>9.2447916666666657E-2</v>
      </c>
      <c r="M404">
        <f>+(L404-$L$619)/$L$620</f>
        <v>-1.0844983609473082</v>
      </c>
      <c r="N404">
        <f>+N402+M404</f>
        <v>26.388561165190374</v>
      </c>
    </row>
    <row r="405" spans="1:14">
      <c r="A405" s="15">
        <v>3</v>
      </c>
      <c r="B405" s="71">
        <v>42461</v>
      </c>
      <c r="C405" s="87" t="s">
        <v>93</v>
      </c>
      <c r="E405" s="15">
        <v>4</v>
      </c>
      <c r="F405" s="80">
        <v>2.3330000000000002</v>
      </c>
      <c r="G405" s="80">
        <v>0.30099999999999999</v>
      </c>
    </row>
    <row r="406" spans="1:14">
      <c r="A406" s="15">
        <v>3</v>
      </c>
      <c r="B406" s="71">
        <v>42461</v>
      </c>
      <c r="C406" s="87" t="s">
        <v>95</v>
      </c>
      <c r="E406" s="15">
        <v>4</v>
      </c>
      <c r="F406" s="80">
        <v>3.2109999999999999</v>
      </c>
      <c r="G406" s="80">
        <v>0.36299999999999999</v>
      </c>
      <c r="I406" s="27">
        <f>AVERAGE(F405:F406)</f>
        <v>2.7720000000000002</v>
      </c>
      <c r="J406" s="27">
        <f>AVERAGE(G405:G406)</f>
        <v>0.33199999999999996</v>
      </c>
      <c r="L406">
        <f>+J406/I406</f>
        <v>0.11976911976911975</v>
      </c>
      <c r="M406">
        <f>+(L406-$L$619)/$L$620</f>
        <v>-0.82498380114753556</v>
      </c>
      <c r="N406">
        <f>+N404+M406</f>
        <v>25.563577364042839</v>
      </c>
    </row>
    <row r="407" spans="1:14">
      <c r="A407" s="15">
        <v>4</v>
      </c>
      <c r="B407" s="71">
        <v>42491</v>
      </c>
      <c r="C407" s="89" t="s">
        <v>97</v>
      </c>
      <c r="E407" s="15">
        <v>5</v>
      </c>
      <c r="F407" s="80">
        <v>9.4429999999999996</v>
      </c>
      <c r="G407" s="80">
        <v>3.4390000000000001</v>
      </c>
    </row>
    <row r="408" spans="1:14">
      <c r="A408" s="15">
        <v>3</v>
      </c>
      <c r="B408" s="71">
        <v>42491</v>
      </c>
      <c r="C408" s="89" t="s">
        <v>94</v>
      </c>
      <c r="E408" s="15">
        <v>5</v>
      </c>
      <c r="F408" s="80">
        <v>9.1739999999999995</v>
      </c>
      <c r="G408" s="80">
        <v>2.403</v>
      </c>
      <c r="I408" s="27">
        <f>AVERAGE(F407:F408)</f>
        <v>9.3084999999999987</v>
      </c>
      <c r="J408" s="27">
        <f>AVERAGE(G407:G408)</f>
        <v>2.9210000000000003</v>
      </c>
      <c r="L408">
        <f>+J408/I408</f>
        <v>0.31379921577053238</v>
      </c>
      <c r="M408">
        <f>+(L408-$L$619)/$L$620</f>
        <v>1.0180402693112482</v>
      </c>
      <c r="N408">
        <f>+N406+M408</f>
        <v>26.581617633354089</v>
      </c>
    </row>
    <row r="409" spans="1:14">
      <c r="A409" s="15">
        <v>4</v>
      </c>
      <c r="B409" s="71">
        <v>42522</v>
      </c>
      <c r="C409" s="86"/>
      <c r="E409" s="15">
        <v>6</v>
      </c>
      <c r="F409" s="80">
        <v>13.496</v>
      </c>
      <c r="G409" s="80">
        <v>3.2770000000000001</v>
      </c>
    </row>
    <row r="410" spans="1:14">
      <c r="A410" s="15">
        <v>3</v>
      </c>
      <c r="B410" s="71">
        <v>42522</v>
      </c>
      <c r="C410" s="86"/>
      <c r="E410" s="15">
        <v>6</v>
      </c>
      <c r="F410" s="80">
        <v>12.191000000000001</v>
      </c>
      <c r="G410" s="80">
        <v>1.4910000000000001</v>
      </c>
      <c r="I410" s="27">
        <f>AVERAGE(F409:F410)</f>
        <v>12.843500000000001</v>
      </c>
      <c r="J410" s="27">
        <f>AVERAGE(G409:G410)</f>
        <v>2.3840000000000003</v>
      </c>
      <c r="L410">
        <f>+J410/I410</f>
        <v>0.18561918480165066</v>
      </c>
      <c r="M410">
        <f>+(L410-$L$619)/$L$620</f>
        <v>-0.19949704730215706</v>
      </c>
      <c r="N410">
        <f>+N408+M410</f>
        <v>26.382120586051933</v>
      </c>
    </row>
    <row r="411" spans="1:14">
      <c r="A411" s="15">
        <v>4</v>
      </c>
      <c r="B411" s="71">
        <v>42552</v>
      </c>
      <c r="C411" s="86"/>
      <c r="E411" s="15">
        <v>7</v>
      </c>
      <c r="F411" s="80">
        <v>15.342000000000001</v>
      </c>
      <c r="G411" s="80">
        <v>3.048</v>
      </c>
      <c r="I411" s="27"/>
      <c r="J411" s="27"/>
    </row>
    <row r="412" spans="1:14">
      <c r="A412" s="15">
        <v>3</v>
      </c>
      <c r="B412" s="71">
        <v>42552</v>
      </c>
      <c r="C412" s="86"/>
      <c r="E412" s="15">
        <v>7</v>
      </c>
      <c r="F412" s="80">
        <v>11.294</v>
      </c>
      <c r="G412" s="80">
        <v>1.917</v>
      </c>
      <c r="I412" s="27">
        <f>AVERAGE(F411:F412)</f>
        <v>13.318000000000001</v>
      </c>
      <c r="J412" s="27">
        <f>AVERAGE(G411:G412)</f>
        <v>2.4824999999999999</v>
      </c>
      <c r="L412">
        <f>+J412/I412</f>
        <v>0.18640186214146265</v>
      </c>
      <c r="M412">
        <f>+(L412-$L$619)/$L$620</f>
        <v>-0.1920626687887039</v>
      </c>
      <c r="N412">
        <f>+N410+M412</f>
        <v>26.190057917263228</v>
      </c>
    </row>
    <row r="413" spans="1:14">
      <c r="A413" s="15">
        <v>4</v>
      </c>
      <c r="B413" s="71">
        <v>42583</v>
      </c>
      <c r="C413" s="86"/>
      <c r="E413" s="15">
        <v>8</v>
      </c>
      <c r="F413" s="80">
        <v>24.283000000000001</v>
      </c>
      <c r="G413" s="80">
        <v>4.6459999999999999</v>
      </c>
      <c r="I413" s="27"/>
      <c r="J413" s="27"/>
    </row>
    <row r="414" spans="1:14">
      <c r="A414" s="15">
        <v>3</v>
      </c>
      <c r="B414" s="71">
        <v>42583</v>
      </c>
      <c r="C414" s="86"/>
      <c r="E414" s="15">
        <v>8</v>
      </c>
      <c r="F414" s="80">
        <v>37.298000000000002</v>
      </c>
      <c r="G414" s="80">
        <v>5.056</v>
      </c>
      <c r="I414" s="27">
        <f>AVERAGE(F413:F414)</f>
        <v>30.790500000000002</v>
      </c>
      <c r="J414" s="27">
        <f>AVERAGE(G413:G414)</f>
        <v>4.851</v>
      </c>
      <c r="L414">
        <f>+J414/I414</f>
        <v>0.15754859453402834</v>
      </c>
      <c r="M414">
        <f>+(L414-$L$619)/$L$620</f>
        <v>-0.46612977388101395</v>
      </c>
      <c r="N414">
        <f>+N412+M414</f>
        <v>25.723928143382214</v>
      </c>
    </row>
    <row r="415" spans="1:14">
      <c r="A415" s="15">
        <v>4</v>
      </c>
      <c r="B415" s="71">
        <v>42614</v>
      </c>
      <c r="C415" s="86"/>
      <c r="E415" s="15">
        <v>9</v>
      </c>
      <c r="F415" s="80">
        <v>19.100000000000001</v>
      </c>
      <c r="G415" s="80">
        <v>6.3250000000000002</v>
      </c>
    </row>
    <row r="416" spans="1:14">
      <c r="A416" s="15">
        <v>3</v>
      </c>
      <c r="B416" s="71">
        <v>42614</v>
      </c>
      <c r="C416" s="86"/>
      <c r="E416" s="15">
        <v>9</v>
      </c>
      <c r="F416" s="80">
        <v>18.978000000000002</v>
      </c>
      <c r="G416" s="80">
        <v>4.6020000000000003</v>
      </c>
      <c r="I416" s="27">
        <f>AVERAGE(F415:F416)</f>
        <v>19.039000000000001</v>
      </c>
      <c r="J416" s="27">
        <f>AVERAGE(G415:G416)</f>
        <v>5.4634999999999998</v>
      </c>
      <c r="L416">
        <f>+J416/I416</f>
        <v>0.28696360102946578</v>
      </c>
      <c r="M416">
        <f>+(L416-$L$619)/$L$620</f>
        <v>0.76313814364830868</v>
      </c>
      <c r="N416">
        <f>+N414+M416</f>
        <v>26.487066287030522</v>
      </c>
    </row>
    <row r="417" spans="1:14">
      <c r="A417" s="15">
        <v>4</v>
      </c>
      <c r="B417" s="71">
        <v>42644</v>
      </c>
      <c r="C417" s="86"/>
      <c r="E417" s="15">
        <v>10</v>
      </c>
      <c r="F417" s="80">
        <v>6.383</v>
      </c>
      <c r="G417" s="80">
        <v>0.55700000000000005</v>
      </c>
    </row>
    <row r="418" spans="1:14">
      <c r="A418" s="15">
        <v>3</v>
      </c>
      <c r="B418" s="71">
        <v>42644</v>
      </c>
      <c r="C418" s="86"/>
      <c r="E418" s="15">
        <v>10</v>
      </c>
      <c r="F418" s="80">
        <v>2.3820000000000001</v>
      </c>
      <c r="G418" s="80">
        <v>0.32200000000000001</v>
      </c>
      <c r="I418" s="27">
        <f>AVERAGE(F417:F418)</f>
        <v>4.3825000000000003</v>
      </c>
      <c r="J418" s="27">
        <f>AVERAGE(G417:G418)</f>
        <v>0.4395</v>
      </c>
      <c r="L418">
        <f>+J418/I418</f>
        <v>0.10028522532800913</v>
      </c>
      <c r="M418">
        <f>+(L418-$L$619)/$L$620</f>
        <v>-1.0100545050293885</v>
      </c>
      <c r="N418">
        <f>+N416+M418</f>
        <v>25.477011782001135</v>
      </c>
    </row>
    <row r="419" spans="1:14">
      <c r="A419" s="15">
        <v>4</v>
      </c>
      <c r="B419" s="71">
        <v>42675</v>
      </c>
      <c r="C419" s="86"/>
      <c r="E419" s="15">
        <v>11</v>
      </c>
      <c r="F419" s="80">
        <v>6.407</v>
      </c>
      <c r="G419" s="80">
        <v>0.86799999999999999</v>
      </c>
    </row>
    <row r="420" spans="1:14">
      <c r="A420" s="15">
        <v>3</v>
      </c>
      <c r="B420" s="71">
        <v>42675</v>
      </c>
      <c r="C420" s="86"/>
      <c r="E420" s="15">
        <v>11</v>
      </c>
      <c r="F420" s="80">
        <v>4.0090000000000003</v>
      </c>
      <c r="G420" s="80">
        <v>0.63800000000000001</v>
      </c>
      <c r="I420" s="27">
        <f>AVERAGE(F419:F420)</f>
        <v>5.2080000000000002</v>
      </c>
      <c r="J420" s="27">
        <f>AVERAGE(G419:G420)</f>
        <v>0.753</v>
      </c>
      <c r="L420">
        <f>+J420/I420</f>
        <v>0.1445852534562212</v>
      </c>
      <c r="M420">
        <f>+(L420-$L$619)/$L$620</f>
        <v>-0.58926402022902236</v>
      </c>
      <c r="N420">
        <f>+N418+M420</f>
        <v>24.887747761772111</v>
      </c>
    </row>
    <row r="421" spans="1:14">
      <c r="A421" s="15">
        <v>4</v>
      </c>
      <c r="B421" s="72">
        <v>42705</v>
      </c>
      <c r="C421" s="86"/>
      <c r="E421" s="15">
        <v>12</v>
      </c>
      <c r="F421" s="80">
        <v>6.2960000000000003</v>
      </c>
      <c r="G421" s="80">
        <v>0.71899999999999997</v>
      </c>
    </row>
    <row r="422" spans="1:14">
      <c r="A422" s="15">
        <v>3</v>
      </c>
      <c r="B422" s="71">
        <v>42705</v>
      </c>
      <c r="C422" s="86"/>
      <c r="E422" s="15">
        <v>12</v>
      </c>
      <c r="F422" s="80">
        <v>8.6300000000000008</v>
      </c>
      <c r="G422" s="80">
        <v>0.80100000000000005</v>
      </c>
      <c r="I422" s="27">
        <f>AVERAGE(F421:F422)</f>
        <v>7.463000000000001</v>
      </c>
      <c r="J422" s="27">
        <f>AVERAGE(G421:G422)</f>
        <v>0.76</v>
      </c>
      <c r="L422">
        <f>+J422/I422</f>
        <v>0.1018357228996382</v>
      </c>
      <c r="M422">
        <f>+(L422-$L$619)/$L$620</f>
        <v>-0.99532687047892454</v>
      </c>
      <c r="N422">
        <f>+N420+M422</f>
        <v>23.892420891293188</v>
      </c>
    </row>
    <row r="423" spans="1:14">
      <c r="A423" s="15">
        <v>3</v>
      </c>
      <c r="B423" s="70">
        <v>42745</v>
      </c>
      <c r="E423" s="15">
        <v>1</v>
      </c>
    </row>
    <row r="424" spans="1:14">
      <c r="A424" s="15">
        <v>4</v>
      </c>
      <c r="B424" s="70">
        <v>42740</v>
      </c>
      <c r="E424" s="15">
        <v>1</v>
      </c>
    </row>
    <row r="425" spans="1:14">
      <c r="A425" s="15">
        <v>3</v>
      </c>
      <c r="B425" s="71">
        <v>42767</v>
      </c>
      <c r="E425" s="15">
        <v>2</v>
      </c>
    </row>
    <row r="426" spans="1:14">
      <c r="A426" s="15">
        <v>4</v>
      </c>
      <c r="B426" s="71">
        <v>42767</v>
      </c>
      <c r="E426" s="15">
        <v>2</v>
      </c>
    </row>
    <row r="427" spans="1:14">
      <c r="A427" s="15">
        <v>3</v>
      </c>
      <c r="B427" s="71">
        <v>42795</v>
      </c>
      <c r="E427" s="15">
        <v>3</v>
      </c>
      <c r="F427" s="80">
        <v>2.089</v>
      </c>
      <c r="G427" s="80">
        <v>0.371</v>
      </c>
    </row>
    <row r="428" spans="1:14">
      <c r="A428" s="15">
        <v>4</v>
      </c>
      <c r="B428" s="71">
        <v>42795</v>
      </c>
      <c r="E428" s="15">
        <v>3</v>
      </c>
      <c r="F428" s="80">
        <v>2.786</v>
      </c>
      <c r="G428" s="80">
        <v>0.54100000000000004</v>
      </c>
      <c r="I428" s="27">
        <f>AVERAGE(F427:F428)</f>
        <v>2.4375</v>
      </c>
      <c r="J428" s="27">
        <f>AVERAGE(G427:G428)</f>
        <v>0.45600000000000002</v>
      </c>
      <c r="L428">
        <f>+J428/I428</f>
        <v>0.18707692307692309</v>
      </c>
      <c r="M428">
        <f>+(L428-$L$619)/$L$620</f>
        <v>-0.18565050088939539</v>
      </c>
      <c r="N428">
        <f>+N422+M428</f>
        <v>23.706770390403793</v>
      </c>
    </row>
    <row r="429" spans="1:14">
      <c r="A429" s="15">
        <v>3</v>
      </c>
      <c r="B429" s="71">
        <v>42826</v>
      </c>
      <c r="E429" s="15">
        <v>4</v>
      </c>
      <c r="I429" s="27"/>
      <c r="J429" s="27"/>
    </row>
    <row r="430" spans="1:14">
      <c r="A430" s="15">
        <v>4</v>
      </c>
      <c r="B430" s="71">
        <v>42826</v>
      </c>
      <c r="E430" s="15">
        <v>4</v>
      </c>
      <c r="I430" s="27"/>
      <c r="J430" s="27"/>
    </row>
    <row r="431" spans="1:14">
      <c r="A431" s="15">
        <v>3</v>
      </c>
      <c r="B431" s="71">
        <v>42856</v>
      </c>
      <c r="C431" s="87" t="s">
        <v>93</v>
      </c>
      <c r="E431" s="15">
        <v>5</v>
      </c>
      <c r="F431" s="80">
        <v>24.265999999999998</v>
      </c>
      <c r="G431" s="80">
        <v>10.006</v>
      </c>
      <c r="I431" s="27"/>
      <c r="J431" s="27"/>
    </row>
    <row r="432" spans="1:14">
      <c r="A432" s="15">
        <v>3</v>
      </c>
      <c r="B432" s="71">
        <v>42856</v>
      </c>
      <c r="C432" s="87" t="s">
        <v>95</v>
      </c>
      <c r="E432" s="15">
        <v>5</v>
      </c>
      <c r="F432" s="80">
        <v>26.532</v>
      </c>
      <c r="G432" s="80">
        <v>9.3680000000000003</v>
      </c>
      <c r="I432" s="27">
        <f>AVERAGE(F431:F432)</f>
        <v>25.399000000000001</v>
      </c>
      <c r="J432" s="27">
        <f>AVERAGE(G431:G432)</f>
        <v>9.6870000000000012</v>
      </c>
      <c r="L432">
        <f>+J432/I432</f>
        <v>0.38139296822709556</v>
      </c>
      <c r="M432">
        <f>+(L432-$L$619)/$L$620</f>
        <v>1.6600897005972663</v>
      </c>
      <c r="N432">
        <f>+N428+M432</f>
        <v>25.366860091001058</v>
      </c>
    </row>
    <row r="433" spans="1:14">
      <c r="A433" s="15">
        <v>4</v>
      </c>
      <c r="B433" s="71">
        <v>42887</v>
      </c>
      <c r="C433" s="89" t="s">
        <v>96</v>
      </c>
      <c r="E433" s="15">
        <v>6</v>
      </c>
      <c r="F433" s="81">
        <v>8.9930000000000003</v>
      </c>
      <c r="G433" s="81">
        <v>1.4279999999999999</v>
      </c>
    </row>
    <row r="434" spans="1:14">
      <c r="A434" s="15">
        <v>3</v>
      </c>
      <c r="B434" s="71">
        <v>42887</v>
      </c>
      <c r="C434" s="89" t="s">
        <v>94</v>
      </c>
      <c r="E434" s="15">
        <v>6</v>
      </c>
      <c r="F434" s="80">
        <v>12.997999999999999</v>
      </c>
      <c r="G434" s="80">
        <v>2.0859999999999999</v>
      </c>
      <c r="I434" s="27">
        <f>AVERAGE(F433:F434)</f>
        <v>10.9955</v>
      </c>
      <c r="J434" s="27">
        <f>AVERAGE(G433:G434)</f>
        <v>1.7569999999999999</v>
      </c>
      <c r="L434">
        <f>+J434/I434</f>
        <v>0.15979264244463642</v>
      </c>
      <c r="M434">
        <f>+(L434-$L$619)/$L$620</f>
        <v>-0.44481434704906858</v>
      </c>
      <c r="N434">
        <f>+N432+M434</f>
        <v>24.92204574395199</v>
      </c>
    </row>
    <row r="435" spans="1:14">
      <c r="A435" s="15">
        <v>4</v>
      </c>
      <c r="B435" s="71">
        <v>42917</v>
      </c>
      <c r="C435" s="86"/>
      <c r="E435" s="15">
        <v>7</v>
      </c>
      <c r="F435" s="80">
        <v>16.434000000000001</v>
      </c>
      <c r="G435" s="80">
        <v>1.7290000000000001</v>
      </c>
    </row>
    <row r="436" spans="1:14">
      <c r="A436" s="15">
        <v>3</v>
      </c>
      <c r="B436" s="71">
        <v>42917</v>
      </c>
      <c r="C436" s="86"/>
      <c r="E436" s="15">
        <v>7</v>
      </c>
      <c r="F436" s="80">
        <v>27.914000000000001</v>
      </c>
      <c r="G436" s="80">
        <v>3.258</v>
      </c>
      <c r="I436" s="27">
        <f>AVERAGE(F435:F436)</f>
        <v>22.173999999999999</v>
      </c>
      <c r="J436" s="27">
        <f>AVERAGE(G435:G436)</f>
        <v>2.4935</v>
      </c>
      <c r="L436">
        <f>+J436/I436</f>
        <v>0.11245151979796159</v>
      </c>
      <c r="M436">
        <f>+(L436-$L$619)/$L$620</f>
        <v>-0.89449112585006418</v>
      </c>
      <c r="N436">
        <f>+N434+M436</f>
        <v>24.027554618101927</v>
      </c>
    </row>
    <row r="437" spans="1:14">
      <c r="A437" s="15">
        <v>4</v>
      </c>
      <c r="B437" s="71">
        <v>42948</v>
      </c>
      <c r="C437" s="86"/>
      <c r="E437" s="15">
        <v>8</v>
      </c>
    </row>
    <row r="438" spans="1:14">
      <c r="A438" s="15">
        <v>3</v>
      </c>
      <c r="B438" s="71">
        <v>42948</v>
      </c>
      <c r="C438" s="86"/>
      <c r="E438" s="15">
        <v>8</v>
      </c>
      <c r="I438" s="27"/>
      <c r="J438" s="27"/>
    </row>
    <row r="439" spans="1:14">
      <c r="A439" s="15">
        <v>4</v>
      </c>
      <c r="B439" s="71">
        <v>42979</v>
      </c>
      <c r="C439" s="86"/>
      <c r="E439" s="15">
        <v>9</v>
      </c>
      <c r="F439" s="80">
        <v>7.6879999999999997</v>
      </c>
      <c r="G439" s="80">
        <v>1.4339999999999999</v>
      </c>
      <c r="I439" s="27"/>
      <c r="J439" s="27"/>
    </row>
    <row r="440" spans="1:14">
      <c r="A440" s="15">
        <v>3</v>
      </c>
      <c r="B440" s="71">
        <v>42979</v>
      </c>
      <c r="C440" s="86"/>
      <c r="E440" s="15">
        <v>9</v>
      </c>
      <c r="F440" s="80">
        <v>7.234</v>
      </c>
      <c r="G440" s="80">
        <v>1.0249999999999999</v>
      </c>
      <c r="I440" s="27">
        <f>AVERAGE(F439:F440)</f>
        <v>7.4610000000000003</v>
      </c>
      <c r="J440" s="27">
        <f>AVERAGE(G439:G440)</f>
        <v>1.2294999999999998</v>
      </c>
      <c r="L440">
        <f>+J440/I440</f>
        <v>0.16479024259482639</v>
      </c>
      <c r="M440">
        <f>+(L440-$L$619)/$L$620</f>
        <v>-0.39734388983060964</v>
      </c>
      <c r="N440">
        <f>+N436+M440</f>
        <v>23.630210728271319</v>
      </c>
    </row>
    <row r="441" spans="1:14">
      <c r="A441" s="15">
        <v>4</v>
      </c>
      <c r="B441" s="71">
        <v>43009</v>
      </c>
      <c r="C441" s="86"/>
      <c r="E441" s="15">
        <v>10</v>
      </c>
      <c r="F441" s="80">
        <v>3.2869999999999999</v>
      </c>
      <c r="G441" s="80">
        <v>0.74399999999999999</v>
      </c>
      <c r="I441" s="27"/>
      <c r="J441" s="27"/>
    </row>
    <row r="442" spans="1:14">
      <c r="A442" s="15">
        <v>3</v>
      </c>
      <c r="B442" s="71">
        <v>43009</v>
      </c>
      <c r="C442" s="86"/>
      <c r="E442" s="15">
        <v>10</v>
      </c>
      <c r="F442" s="80">
        <v>4.7690000000000001</v>
      </c>
      <c r="G442" s="80">
        <v>0.95199999999999996</v>
      </c>
      <c r="I442" s="27">
        <f>AVERAGE(F441:F442)</f>
        <v>4.0280000000000005</v>
      </c>
      <c r="J442" s="27">
        <f>AVERAGE(G441:G442)</f>
        <v>0.84799999999999998</v>
      </c>
      <c r="L442">
        <f>+J442/I442</f>
        <v>0.21052631578947364</v>
      </c>
      <c r="M442">
        <f>+(L442-$L$619)/$L$620</f>
        <v>3.7087085173319469E-2</v>
      </c>
      <c r="N442">
        <f>+N440+M442</f>
        <v>23.667297813444637</v>
      </c>
    </row>
    <row r="443" spans="1:14">
      <c r="A443" s="15">
        <v>4</v>
      </c>
      <c r="B443" s="71">
        <v>43040</v>
      </c>
      <c r="C443" s="86"/>
      <c r="E443" s="15">
        <v>11</v>
      </c>
    </row>
    <row r="444" spans="1:14">
      <c r="A444" s="15">
        <v>3</v>
      </c>
      <c r="B444" s="71">
        <v>43040</v>
      </c>
      <c r="C444" s="86"/>
      <c r="E444" s="15">
        <v>11</v>
      </c>
      <c r="I444" s="27"/>
      <c r="J444" s="27"/>
    </row>
    <row r="445" spans="1:14">
      <c r="A445" s="15">
        <v>4</v>
      </c>
      <c r="B445" s="72">
        <v>43070</v>
      </c>
      <c r="C445" s="86"/>
      <c r="E445" s="15">
        <v>12</v>
      </c>
      <c r="F445" s="80">
        <v>6.2939999999999996</v>
      </c>
      <c r="G445" s="80">
        <v>0.88</v>
      </c>
    </row>
    <row r="446" spans="1:14">
      <c r="A446" s="15">
        <v>3</v>
      </c>
      <c r="B446" s="71">
        <v>43070</v>
      </c>
      <c r="C446" s="86"/>
      <c r="E446" s="15">
        <v>12</v>
      </c>
      <c r="F446" s="80">
        <v>9.3949999999999996</v>
      </c>
      <c r="G446" s="80">
        <v>1.282</v>
      </c>
      <c r="I446" s="27">
        <f>AVERAGE(F445:F446)</f>
        <v>7.8445</v>
      </c>
      <c r="J446" s="27">
        <f>AVERAGE(G445:G446)</f>
        <v>1.081</v>
      </c>
      <c r="L446">
        <f>+J446/I446</f>
        <v>0.13780355663203517</v>
      </c>
      <c r="M446">
        <f>+(L446-$L$619)/$L$620</f>
        <v>-0.65368098823092324</v>
      </c>
      <c r="N446">
        <f>+N442+M446</f>
        <v>23.013616825213713</v>
      </c>
    </row>
    <row r="447" spans="1:14">
      <c r="A447" s="15">
        <v>4</v>
      </c>
      <c r="B447" s="70">
        <v>43110</v>
      </c>
      <c r="C447" s="86"/>
      <c r="E447" s="15">
        <v>1</v>
      </c>
      <c r="F447" s="77">
        <v>3.1749999999999998</v>
      </c>
      <c r="G447" s="77">
        <v>0.27800000000000002</v>
      </c>
    </row>
    <row r="448" spans="1:14">
      <c r="A448" s="15">
        <v>3</v>
      </c>
      <c r="B448" s="70">
        <v>43105</v>
      </c>
      <c r="C448" s="86"/>
      <c r="E448" s="15">
        <v>1</v>
      </c>
      <c r="F448" s="77">
        <v>7.5149999999999997</v>
      </c>
      <c r="G448" s="77">
        <v>0.73499999999999999</v>
      </c>
      <c r="I448">
        <v>5.3449999999999998</v>
      </c>
      <c r="J448">
        <v>0.50649999999999995</v>
      </c>
      <c r="L448">
        <v>9.4761459307764265E-2</v>
      </c>
      <c r="M448">
        <f>+(L448-$L$619)/$L$620</f>
        <v>-1.0625228279581134</v>
      </c>
      <c r="N448">
        <f>+N446+M448</f>
        <v>21.951093997255601</v>
      </c>
    </row>
    <row r="449" spans="1:14">
      <c r="A449" s="15">
        <v>3</v>
      </c>
      <c r="B449" s="71">
        <v>43132</v>
      </c>
      <c r="E449" s="15">
        <v>2</v>
      </c>
      <c r="F449" s="77">
        <v>3.4670000000000001</v>
      </c>
      <c r="G449" s="77">
        <v>0.621</v>
      </c>
    </row>
    <row r="450" spans="1:14">
      <c r="A450" s="15">
        <v>4</v>
      </c>
      <c r="B450" s="71">
        <v>43132</v>
      </c>
      <c r="E450" s="15">
        <v>2</v>
      </c>
      <c r="F450" s="77">
        <v>3.64</v>
      </c>
      <c r="G450" s="77">
        <v>0.36899999999999999</v>
      </c>
      <c r="I450">
        <v>3.5535000000000001</v>
      </c>
      <c r="J450">
        <v>0.495</v>
      </c>
      <c r="L450">
        <v>0.13929928239763611</v>
      </c>
      <c r="M450">
        <f>+(L450-$L$619)/$L$620</f>
        <v>-0.63947361192375551</v>
      </c>
      <c r="N450">
        <f>+N448+M450</f>
        <v>21.311620385331846</v>
      </c>
    </row>
    <row r="451" spans="1:14">
      <c r="A451" s="15">
        <v>3</v>
      </c>
      <c r="B451" s="71">
        <v>43160</v>
      </c>
      <c r="E451" s="15">
        <v>3</v>
      </c>
      <c r="F451" s="77">
        <v>8.5749999999999993</v>
      </c>
      <c r="G451" s="77">
        <v>3.4430000000000001</v>
      </c>
    </row>
    <row r="452" spans="1:14">
      <c r="A452" s="15">
        <v>4</v>
      </c>
      <c r="B452" s="71">
        <v>43160</v>
      </c>
      <c r="E452" s="15">
        <v>3</v>
      </c>
      <c r="F452" s="77">
        <v>6.4320000000000004</v>
      </c>
      <c r="G452" s="77">
        <v>2.5129999999999999</v>
      </c>
      <c r="I452">
        <v>7.5034999999999998</v>
      </c>
      <c r="J452">
        <v>2.9779999999999998</v>
      </c>
      <c r="L452">
        <v>0.39688145532085023</v>
      </c>
      <c r="M452">
        <f>+(L452-$L$619)/$L$620</f>
        <v>1.8072094264390359</v>
      </c>
      <c r="N452">
        <f>+N450+M452</f>
        <v>23.118829811770883</v>
      </c>
    </row>
    <row r="453" spans="1:14">
      <c r="A453" s="15">
        <v>3</v>
      </c>
      <c r="B453" s="71">
        <v>43191</v>
      </c>
      <c r="E453" s="15">
        <v>4</v>
      </c>
      <c r="F453" s="77">
        <v>5.1970000000000001</v>
      </c>
      <c r="G453" s="77">
        <v>1.85</v>
      </c>
    </row>
    <row r="454" spans="1:14">
      <c r="A454" s="15">
        <v>4</v>
      </c>
      <c r="B454" s="71">
        <v>43191</v>
      </c>
      <c r="E454" s="15">
        <v>4</v>
      </c>
      <c r="F454" s="77">
        <v>4.8390000000000004</v>
      </c>
      <c r="G454" s="77">
        <v>0.68500000000000005</v>
      </c>
      <c r="I454">
        <v>5.0180000000000007</v>
      </c>
      <c r="J454">
        <v>1.2675000000000001</v>
      </c>
      <c r="L454">
        <v>0.25259067357512949</v>
      </c>
      <c r="M454">
        <f>+(L454-$L$619)/$L$620</f>
        <v>0.43664171873279389</v>
      </c>
      <c r="N454">
        <f>+N452+M454</f>
        <v>23.555471530503677</v>
      </c>
    </row>
    <row r="455" spans="1:14">
      <c r="A455" s="15">
        <v>3</v>
      </c>
      <c r="B455" s="71">
        <v>43221</v>
      </c>
      <c r="E455" s="15">
        <v>5</v>
      </c>
      <c r="F455" s="78">
        <v>30.202000000000002</v>
      </c>
      <c r="G455" s="78">
        <v>6.9029999999999996</v>
      </c>
    </row>
    <row r="456" spans="1:14">
      <c r="A456" s="15">
        <v>4</v>
      </c>
      <c r="B456" s="71">
        <v>43221</v>
      </c>
      <c r="E456" s="15">
        <v>5</v>
      </c>
      <c r="F456" s="78">
        <v>36.225000000000001</v>
      </c>
      <c r="G456" s="78">
        <v>9.0670000000000002</v>
      </c>
      <c r="I456">
        <v>33.213500000000003</v>
      </c>
      <c r="J456">
        <v>7.9849999999999994</v>
      </c>
      <c r="L456">
        <v>0.24041428937028614</v>
      </c>
      <c r="M456">
        <f>+(L456-$L$619)/$L$620</f>
        <v>0.32098250068799611</v>
      </c>
      <c r="N456">
        <f>+N454+M456</f>
        <v>23.876454031191674</v>
      </c>
    </row>
    <row r="457" spans="1:14">
      <c r="A457" s="15">
        <v>3</v>
      </c>
      <c r="B457" s="71">
        <v>43252</v>
      </c>
      <c r="C457" s="87" t="s">
        <v>93</v>
      </c>
      <c r="E457" s="15">
        <v>6</v>
      </c>
      <c r="F457" s="78">
        <v>7.29</v>
      </c>
      <c r="G457" s="78">
        <v>0.85599999999999998</v>
      </c>
    </row>
    <row r="458" spans="1:14">
      <c r="A458" s="15">
        <v>3</v>
      </c>
      <c r="B458" s="71">
        <v>43252</v>
      </c>
      <c r="C458" s="87" t="s">
        <v>95</v>
      </c>
      <c r="E458" s="15">
        <v>6</v>
      </c>
      <c r="F458" s="78">
        <v>9.2789999999999999</v>
      </c>
      <c r="G458" s="78">
        <v>1.1339999999999999</v>
      </c>
      <c r="I458">
        <v>8.2844999999999995</v>
      </c>
      <c r="J458">
        <v>0.99499999999999988</v>
      </c>
      <c r="L458">
        <v>0.12010380831673606</v>
      </c>
      <c r="M458">
        <f>+(L458-$L$619)/$L$620</f>
        <v>-0.82180471160382229</v>
      </c>
      <c r="N458">
        <f>+N456+M458</f>
        <v>23.054649319587853</v>
      </c>
    </row>
    <row r="459" spans="1:14">
      <c r="A459" s="15">
        <v>4</v>
      </c>
      <c r="B459" s="71">
        <v>43282</v>
      </c>
      <c r="C459" s="89" t="s">
        <v>98</v>
      </c>
      <c r="E459" s="15">
        <v>7</v>
      </c>
      <c r="F459" s="78">
        <v>36.165999999999997</v>
      </c>
      <c r="G459" s="78">
        <v>2.8759999999999999</v>
      </c>
    </row>
    <row r="460" spans="1:14">
      <c r="A460" s="15">
        <v>3</v>
      </c>
      <c r="B460" s="71">
        <v>43282</v>
      </c>
      <c r="C460" s="89" t="s">
        <v>94</v>
      </c>
      <c r="E460" s="15">
        <v>7</v>
      </c>
      <c r="F460" s="78">
        <v>27.065999999999999</v>
      </c>
      <c r="G460" s="78">
        <v>1.681</v>
      </c>
      <c r="I460">
        <v>31.616</v>
      </c>
      <c r="J460">
        <v>2.2785000000000002</v>
      </c>
      <c r="L460">
        <v>7.2067940283400814E-2</v>
      </c>
      <c r="M460">
        <f>+(L460-$L$619)/$L$620</f>
        <v>-1.2780806340265682</v>
      </c>
      <c r="N460">
        <f>+N458+M460</f>
        <v>21.776568685561283</v>
      </c>
    </row>
    <row r="461" spans="1:14">
      <c r="A461" s="15">
        <v>4</v>
      </c>
      <c r="B461" s="71">
        <v>43313</v>
      </c>
      <c r="C461" s="86"/>
      <c r="E461" s="15">
        <v>8</v>
      </c>
      <c r="F461" s="78">
        <v>8.9960000000000004</v>
      </c>
      <c r="G461" s="78">
        <v>0.70299999999999996</v>
      </c>
    </row>
    <row r="462" spans="1:14">
      <c r="A462" s="15">
        <v>3</v>
      </c>
      <c r="B462" s="71">
        <v>43313</v>
      </c>
      <c r="C462" s="86"/>
      <c r="E462" s="15">
        <v>8</v>
      </c>
      <c r="F462" s="78">
        <v>15.891</v>
      </c>
      <c r="G462" s="78">
        <v>1.244</v>
      </c>
      <c r="I462">
        <v>12.4435</v>
      </c>
      <c r="J462">
        <v>0.97350000000000003</v>
      </c>
      <c r="L462">
        <v>7.8233615944067178E-2</v>
      </c>
      <c r="M462">
        <f>+(L462-$L$619)/$L$620</f>
        <v>-1.2195150357640843</v>
      </c>
      <c r="N462">
        <f>+N460+M462</f>
        <v>20.557053649797201</v>
      </c>
    </row>
    <row r="463" spans="1:14">
      <c r="A463" s="15">
        <v>4</v>
      </c>
      <c r="B463" s="71">
        <v>43344</v>
      </c>
      <c r="C463" s="86"/>
      <c r="E463" s="15">
        <v>9</v>
      </c>
      <c r="F463" s="78">
        <v>12.446999999999999</v>
      </c>
      <c r="G463" s="78">
        <v>2.1440000000000001</v>
      </c>
    </row>
    <row r="464" spans="1:14">
      <c r="A464" s="15">
        <v>3</v>
      </c>
      <c r="B464" s="71">
        <v>43344</v>
      </c>
      <c r="C464" s="86"/>
      <c r="E464" s="15">
        <v>9</v>
      </c>
      <c r="F464" s="78">
        <v>12.887</v>
      </c>
      <c r="G464" s="78">
        <v>1.8169999999999999</v>
      </c>
      <c r="I464">
        <v>12.667</v>
      </c>
      <c r="J464">
        <v>1.9805000000000001</v>
      </c>
      <c r="L464">
        <v>0.15635114865398281</v>
      </c>
      <c r="M464">
        <f>+(L464-$L$619)/$L$620</f>
        <v>-0.47750389380094399</v>
      </c>
      <c r="N464">
        <f>+N462+M464</f>
        <v>20.079549755996258</v>
      </c>
    </row>
    <row r="465" spans="1:14">
      <c r="A465" s="15">
        <v>4</v>
      </c>
      <c r="B465" s="71">
        <v>43374</v>
      </c>
      <c r="C465" s="86"/>
      <c r="E465" s="15">
        <v>10</v>
      </c>
      <c r="F465" s="78">
        <v>5.7990000000000004</v>
      </c>
      <c r="G465" s="78">
        <v>0.747</v>
      </c>
    </row>
    <row r="466" spans="1:14">
      <c r="A466" s="15">
        <v>3</v>
      </c>
      <c r="B466" s="71">
        <v>43374</v>
      </c>
      <c r="C466" s="86"/>
      <c r="E466" s="15">
        <v>10</v>
      </c>
      <c r="F466" s="78">
        <v>5.6470000000000002</v>
      </c>
      <c r="G466" s="78">
        <v>0.71799999999999997</v>
      </c>
      <c r="I466">
        <v>5.7230000000000008</v>
      </c>
      <c r="J466">
        <v>0.73249999999999993</v>
      </c>
      <c r="L466">
        <v>0.12799231172461992</v>
      </c>
      <c r="M466">
        <f>+(L466-$L$619)/$L$620</f>
        <v>-0.74687457468052643</v>
      </c>
      <c r="N466">
        <f>+N464+M466</f>
        <v>19.332675181315732</v>
      </c>
    </row>
    <row r="467" spans="1:14">
      <c r="A467" s="15">
        <v>4</v>
      </c>
      <c r="B467" s="71">
        <v>43405</v>
      </c>
      <c r="C467" s="86"/>
      <c r="E467" s="15">
        <v>11</v>
      </c>
      <c r="F467" s="78">
        <v>3.0449999999999999</v>
      </c>
      <c r="G467" s="78">
        <v>0.497</v>
      </c>
    </row>
    <row r="468" spans="1:14">
      <c r="A468" s="15">
        <v>3</v>
      </c>
      <c r="B468" s="71">
        <v>43405</v>
      </c>
      <c r="C468" s="86"/>
      <c r="E468" s="15">
        <v>11</v>
      </c>
      <c r="F468" s="78">
        <v>5.3550000000000004</v>
      </c>
      <c r="G468" s="78">
        <v>0.63500000000000001</v>
      </c>
      <c r="I468">
        <v>4.2</v>
      </c>
      <c r="J468">
        <v>0.56600000000000006</v>
      </c>
      <c r="L468">
        <v>0.13476190476190478</v>
      </c>
      <c r="M468">
        <f>+(L468-$L$619)/$L$620</f>
        <v>-0.68257257632025481</v>
      </c>
      <c r="N468">
        <f>+N466+M468</f>
        <v>18.650102604995478</v>
      </c>
    </row>
    <row r="469" spans="1:14">
      <c r="A469" s="15">
        <v>4</v>
      </c>
      <c r="B469" s="72">
        <v>43435</v>
      </c>
      <c r="C469" s="86"/>
      <c r="E469" s="15">
        <v>12</v>
      </c>
    </row>
    <row r="470" spans="1:14">
      <c r="A470" s="15">
        <v>3</v>
      </c>
      <c r="B470" s="71">
        <v>43435</v>
      </c>
      <c r="C470" s="86"/>
      <c r="E470" s="15">
        <v>12</v>
      </c>
    </row>
    <row r="471" spans="1:14">
      <c r="A471" s="15">
        <v>4</v>
      </c>
      <c r="B471" s="70">
        <v>43475</v>
      </c>
      <c r="C471" s="86"/>
      <c r="E471" s="15">
        <v>1</v>
      </c>
    </row>
    <row r="472" spans="1:14">
      <c r="A472" s="15">
        <v>3</v>
      </c>
      <c r="B472" s="70">
        <v>43470</v>
      </c>
      <c r="C472" s="86"/>
      <c r="E472" s="15">
        <v>1</v>
      </c>
    </row>
    <row r="473" spans="1:14">
      <c r="A473" s="15">
        <v>4</v>
      </c>
      <c r="B473" s="71">
        <v>43497</v>
      </c>
      <c r="C473" s="86"/>
      <c r="E473" s="15">
        <v>2</v>
      </c>
    </row>
    <row r="474" spans="1:14">
      <c r="A474" s="15">
        <v>3</v>
      </c>
      <c r="B474" s="71">
        <v>43497</v>
      </c>
      <c r="C474" s="86"/>
      <c r="E474" s="15">
        <v>2</v>
      </c>
    </row>
    <row r="475" spans="1:14">
      <c r="A475" s="15">
        <v>3</v>
      </c>
      <c r="B475" s="71">
        <v>43525</v>
      </c>
      <c r="E475" s="15">
        <v>3</v>
      </c>
      <c r="F475" s="82">
        <v>4.2220000000000004</v>
      </c>
      <c r="G475" s="82">
        <v>0.438</v>
      </c>
    </row>
    <row r="476" spans="1:14">
      <c r="A476" s="15">
        <v>4</v>
      </c>
      <c r="B476" s="71">
        <v>43525</v>
      </c>
      <c r="E476" s="15">
        <v>3</v>
      </c>
      <c r="F476" s="82">
        <v>6.8540000000000001</v>
      </c>
      <c r="G476" s="82">
        <v>0.53100000000000003</v>
      </c>
      <c r="I476" s="27">
        <f>AVERAGE(F475:F476)</f>
        <v>5.5380000000000003</v>
      </c>
      <c r="J476" s="27">
        <f>AVERAGE(G475:G476)</f>
        <v>0.48450000000000004</v>
      </c>
      <c r="L476">
        <f>+J476/I476</f>
        <v>8.7486457204767068E-2</v>
      </c>
      <c r="M476">
        <f>+(L476-$L$619)/$L$620</f>
        <v>-1.1316255303984839</v>
      </c>
      <c r="N476">
        <f>+N468+M476</f>
        <v>17.518477074596994</v>
      </c>
    </row>
    <row r="477" spans="1:14">
      <c r="A477" s="15">
        <v>3</v>
      </c>
      <c r="B477" s="71">
        <v>43556</v>
      </c>
      <c r="E477" s="15">
        <v>4</v>
      </c>
      <c r="F477" s="83">
        <v>1.8160000000000001</v>
      </c>
      <c r="G477" s="82">
        <v>0.67600000000000005</v>
      </c>
      <c r="I477" s="27"/>
      <c r="J477" s="27"/>
    </row>
    <row r="478" spans="1:14">
      <c r="A478" s="15">
        <v>4</v>
      </c>
      <c r="B478" s="71">
        <v>43556</v>
      </c>
      <c r="E478" s="15">
        <v>4</v>
      </c>
      <c r="F478" s="77">
        <v>4.6609999999999996</v>
      </c>
      <c r="G478" s="82">
        <v>0.68600000000000005</v>
      </c>
      <c r="I478" s="27">
        <f>AVERAGE(F477:F478)</f>
        <v>3.2384999999999997</v>
      </c>
      <c r="J478" s="27">
        <f>AVERAGE(G477:G478)</f>
        <v>0.68100000000000005</v>
      </c>
      <c r="L478">
        <f>+J478/I478</f>
        <v>0.21028253821213527</v>
      </c>
      <c r="M478">
        <f>+(L478-$L$619)/$L$620</f>
        <v>3.4771527163857494E-2</v>
      </c>
      <c r="N478">
        <f>+N476+M478</f>
        <v>17.553248601760853</v>
      </c>
    </row>
    <row r="479" spans="1:14">
      <c r="A479" s="15">
        <v>3</v>
      </c>
      <c r="B479" s="71">
        <v>43586</v>
      </c>
      <c r="E479" s="15">
        <v>5</v>
      </c>
      <c r="F479" s="77">
        <v>7.88</v>
      </c>
      <c r="G479" s="82">
        <v>2.62</v>
      </c>
      <c r="I479" s="27"/>
      <c r="J479" s="27"/>
    </row>
    <row r="480" spans="1:14">
      <c r="A480" s="15">
        <v>4</v>
      </c>
      <c r="B480" s="71">
        <v>43586</v>
      </c>
      <c r="E480" s="15">
        <v>5</v>
      </c>
      <c r="F480" s="77">
        <v>7.3529999999999998</v>
      </c>
      <c r="G480" s="82">
        <v>1.4179999999999999</v>
      </c>
      <c r="I480" s="27">
        <f>AVERAGE(F479:F480)</f>
        <v>7.6165000000000003</v>
      </c>
      <c r="J480" s="27">
        <f>AVERAGE(G479:G480)</f>
        <v>2.0190000000000001</v>
      </c>
      <c r="L480">
        <f>+J480/I480</f>
        <v>0.26508238692312741</v>
      </c>
      <c r="M480">
        <f>+(L480-$L$619)/$L$620</f>
        <v>0.55529613810422906</v>
      </c>
      <c r="N480">
        <f>+N478+M480</f>
        <v>18.108544739865081</v>
      </c>
    </row>
    <row r="481" spans="1:14">
      <c r="A481" s="15">
        <v>3</v>
      </c>
      <c r="B481" s="71">
        <v>43617</v>
      </c>
      <c r="E481" s="15">
        <v>6</v>
      </c>
      <c r="F481" s="77">
        <v>9.16</v>
      </c>
      <c r="G481" s="82">
        <v>0.95399999999999996</v>
      </c>
    </row>
    <row r="482" spans="1:14">
      <c r="A482" s="15">
        <v>4</v>
      </c>
      <c r="B482" s="71">
        <v>43617</v>
      </c>
      <c r="E482" s="15">
        <v>6</v>
      </c>
      <c r="F482" s="77">
        <v>11.101000000000001</v>
      </c>
      <c r="G482" s="82">
        <v>1.099</v>
      </c>
      <c r="I482" s="27">
        <f>AVERAGE(F481:F482)</f>
        <v>10.130500000000001</v>
      </c>
      <c r="J482" s="27">
        <f>AVERAGE(G481:G482)</f>
        <v>1.0265</v>
      </c>
      <c r="L482">
        <f>+J482/I482</f>
        <v>0.10132767385617687</v>
      </c>
      <c r="M482">
        <f>+(L482-$L$619)/$L$620</f>
        <v>-1.0001526507850167</v>
      </c>
      <c r="N482">
        <f>+N480+M482</f>
        <v>17.108392089080066</v>
      </c>
    </row>
    <row r="483" spans="1:14">
      <c r="A483" s="15">
        <v>3</v>
      </c>
      <c r="B483" s="71">
        <v>43647</v>
      </c>
      <c r="C483" s="87" t="s">
        <v>93</v>
      </c>
      <c r="E483" s="15">
        <v>7</v>
      </c>
      <c r="F483" s="78">
        <v>8.9380000000000006</v>
      </c>
      <c r="G483" s="84">
        <v>1.091</v>
      </c>
    </row>
    <row r="484" spans="1:14">
      <c r="A484" s="15">
        <v>3</v>
      </c>
      <c r="B484" s="71">
        <v>43647</v>
      </c>
      <c r="C484" s="87" t="s">
        <v>95</v>
      </c>
      <c r="E484" s="15">
        <v>7</v>
      </c>
      <c r="F484" s="78">
        <v>16.071000000000002</v>
      </c>
      <c r="G484" s="84">
        <v>1.978</v>
      </c>
      <c r="I484" s="27">
        <f>AVERAGE(F483:F484)</f>
        <v>12.5045</v>
      </c>
      <c r="J484" s="27">
        <f>AVERAGE(G483:G484)</f>
        <v>1.5345</v>
      </c>
      <c r="L484">
        <f>+J484/I484</f>
        <v>0.12271582230397057</v>
      </c>
      <c r="M484">
        <f>+(L484-$L$619)/$L$620</f>
        <v>-0.79699410361023981</v>
      </c>
      <c r="N484">
        <f>+N482+M484</f>
        <v>16.311397985469828</v>
      </c>
    </row>
    <row r="485" spans="1:14">
      <c r="A485" s="15">
        <v>4</v>
      </c>
      <c r="B485" s="71">
        <v>43678</v>
      </c>
      <c r="C485" s="89" t="s">
        <v>99</v>
      </c>
      <c r="E485" s="15">
        <v>8</v>
      </c>
      <c r="F485" s="78">
        <v>8.6709999999999994</v>
      </c>
      <c r="G485" s="84">
        <v>0.57699999999999996</v>
      </c>
    </row>
    <row r="486" spans="1:14">
      <c r="A486" s="15">
        <v>3</v>
      </c>
      <c r="B486" s="71">
        <v>43678</v>
      </c>
      <c r="C486" s="89" t="s">
        <v>94</v>
      </c>
      <c r="E486" s="15">
        <v>8</v>
      </c>
      <c r="F486" s="78">
        <v>9.99</v>
      </c>
      <c r="G486" s="84">
        <v>0.56200000000000006</v>
      </c>
      <c r="I486" s="27">
        <f>AVERAGE(F485:F486)</f>
        <v>9.3305000000000007</v>
      </c>
      <c r="J486" s="27">
        <f>AVERAGE(G485:G486)</f>
        <v>0.56950000000000001</v>
      </c>
      <c r="L486">
        <f>+J486/I486</f>
        <v>6.1036386045763891E-2</v>
      </c>
      <c r="M486">
        <f>+(L486-$L$619)/$L$620</f>
        <v>-1.3828655123187916</v>
      </c>
      <c r="N486">
        <f>+N484+M486</f>
        <v>14.928532473151037</v>
      </c>
    </row>
    <row r="487" spans="1:14">
      <c r="A487" s="15">
        <v>4</v>
      </c>
      <c r="B487" s="71">
        <v>43709</v>
      </c>
      <c r="C487" s="86"/>
      <c r="E487" s="15">
        <v>9</v>
      </c>
      <c r="F487" s="78">
        <v>6.0039999999999996</v>
      </c>
      <c r="G487" s="84">
        <v>0.65100000000000002</v>
      </c>
    </row>
    <row r="488" spans="1:14">
      <c r="A488" s="15">
        <v>3</v>
      </c>
      <c r="B488" s="71">
        <v>43709</v>
      </c>
      <c r="C488" s="86"/>
      <c r="E488" s="15">
        <v>9</v>
      </c>
      <c r="F488" s="78">
        <v>7.3659999999999997</v>
      </c>
      <c r="G488" s="84">
        <v>0.755</v>
      </c>
      <c r="I488" s="27">
        <f>AVERAGE(F487:F488)</f>
        <v>6.6849999999999996</v>
      </c>
      <c r="J488" s="27">
        <f>AVERAGE(G487:G488)</f>
        <v>0.70300000000000007</v>
      </c>
      <c r="L488">
        <f>+J488/I488</f>
        <v>0.10516080777860884</v>
      </c>
      <c r="M488">
        <f>+(L488-$L$619)/$L$620</f>
        <v>-0.96374305129544691</v>
      </c>
      <c r="N488">
        <f>+N486+M488</f>
        <v>13.96478942185559</v>
      </c>
    </row>
    <row r="489" spans="1:14">
      <c r="A489" s="15">
        <v>4</v>
      </c>
      <c r="B489" s="71">
        <v>43739</v>
      </c>
      <c r="C489" s="86"/>
      <c r="E489" s="15">
        <v>10</v>
      </c>
      <c r="F489" s="78">
        <v>3.508</v>
      </c>
      <c r="G489" s="84">
        <v>0.48699999999999999</v>
      </c>
      <c r="I489" s="27"/>
      <c r="J489" s="27"/>
    </row>
    <row r="490" spans="1:14">
      <c r="A490" s="15">
        <v>3</v>
      </c>
      <c r="B490" s="71">
        <v>43739</v>
      </c>
      <c r="C490" s="86"/>
      <c r="E490" s="15">
        <v>10</v>
      </c>
      <c r="F490" s="78">
        <v>4.0670000000000002</v>
      </c>
      <c r="G490" s="84">
        <v>0.60699999999999998</v>
      </c>
      <c r="I490" s="27">
        <f>AVERAGE(F489:F490)</f>
        <v>3.7875000000000001</v>
      </c>
      <c r="J490" s="27">
        <f>AVERAGE(G489:G490)</f>
        <v>0.54699999999999993</v>
      </c>
      <c r="L490">
        <f>+J490/I490</f>
        <v>0.1444224422442244</v>
      </c>
      <c r="M490">
        <f>+(L490-$L$619)/$L$620</f>
        <v>-0.59081050703098981</v>
      </c>
      <c r="N490">
        <f>+N488+M490</f>
        <v>13.373978914824601</v>
      </c>
    </row>
    <row r="491" spans="1:14">
      <c r="A491" s="15">
        <v>4</v>
      </c>
      <c r="B491" s="71">
        <v>43770</v>
      </c>
      <c r="C491" s="86"/>
      <c r="E491" s="15">
        <v>11</v>
      </c>
      <c r="I491" s="27"/>
      <c r="J491" s="27"/>
    </row>
    <row r="492" spans="1:14">
      <c r="A492" s="15">
        <v>3</v>
      </c>
      <c r="B492" s="71">
        <v>43770</v>
      </c>
      <c r="C492" s="86"/>
      <c r="E492" s="15">
        <v>11</v>
      </c>
      <c r="I492" s="27"/>
      <c r="J492" s="27"/>
    </row>
    <row r="493" spans="1:14">
      <c r="A493" s="15">
        <v>4</v>
      </c>
      <c r="B493" s="72">
        <v>43800</v>
      </c>
      <c r="C493" s="86"/>
      <c r="E493" s="15">
        <v>12</v>
      </c>
      <c r="F493" s="78">
        <v>5.9329999999999998</v>
      </c>
      <c r="G493" s="84">
        <v>0.61599999999999999</v>
      </c>
    </row>
    <row r="494" spans="1:14">
      <c r="A494" s="15">
        <v>3</v>
      </c>
      <c r="B494" s="71">
        <v>43800</v>
      </c>
      <c r="C494" s="86"/>
      <c r="E494" s="15">
        <v>12</v>
      </c>
      <c r="I494" s="27">
        <f>AVERAGE(F493:F494)</f>
        <v>5.9329999999999998</v>
      </c>
      <c r="J494" s="27">
        <f>AVERAGE(G493:G494)</f>
        <v>0.61599999999999999</v>
      </c>
      <c r="L494">
        <f>+J494/I494</f>
        <v>0.10382605764368785</v>
      </c>
      <c r="M494">
        <f>+(L494-$L$619)/$L$620</f>
        <v>-0.97642137634605952</v>
      </c>
      <c r="N494">
        <f>+N490+M494</f>
        <v>12.397557538478541</v>
      </c>
    </row>
    <row r="495" spans="1:14">
      <c r="A495" s="93">
        <v>3</v>
      </c>
      <c r="B495" s="90">
        <v>43831</v>
      </c>
      <c r="C495" s="91">
        <v>2020</v>
      </c>
      <c r="D495" s="92" t="s">
        <v>39</v>
      </c>
      <c r="E495" s="93">
        <v>1</v>
      </c>
    </row>
    <row r="496" spans="1:14">
      <c r="A496" s="15">
        <v>4</v>
      </c>
      <c r="B496" s="73">
        <v>43831</v>
      </c>
      <c r="C496">
        <v>2020</v>
      </c>
      <c r="D496" s="11" t="s">
        <v>39</v>
      </c>
      <c r="E496" s="15">
        <v>1</v>
      </c>
      <c r="I496" s="27"/>
      <c r="J496" s="27"/>
    </row>
    <row r="497" spans="1:14">
      <c r="A497" s="15">
        <v>3</v>
      </c>
      <c r="B497" s="71">
        <v>43862</v>
      </c>
      <c r="C497">
        <v>2020</v>
      </c>
      <c r="D497" s="11" t="s">
        <v>28</v>
      </c>
      <c r="E497" s="15">
        <v>2</v>
      </c>
      <c r="F497" s="95">
        <v>1.099</v>
      </c>
      <c r="G497" s="95">
        <v>0.26500000000000001</v>
      </c>
    </row>
    <row r="498" spans="1:14">
      <c r="A498" s="15">
        <v>4</v>
      </c>
      <c r="B498" s="71">
        <v>43862</v>
      </c>
      <c r="C498">
        <v>2020</v>
      </c>
      <c r="D498" s="11" t="s">
        <v>28</v>
      </c>
      <c r="E498" s="15">
        <v>2</v>
      </c>
      <c r="F498" s="95">
        <v>2.0640000000000001</v>
      </c>
      <c r="G498" s="95">
        <v>0.38600000000000001</v>
      </c>
      <c r="I498" s="27">
        <f>AVERAGE(F497:F498)</f>
        <v>1.5815000000000001</v>
      </c>
      <c r="J498" s="27">
        <f>AVERAGE(G497:G498)</f>
        <v>0.32550000000000001</v>
      </c>
      <c r="L498">
        <f>+J498/I498</f>
        <v>0.20581726209294973</v>
      </c>
      <c r="M498">
        <f>+(L498-$L$619)/$L$620</f>
        <v>-7.6425701256878417E-3</v>
      </c>
      <c r="N498">
        <f>+N494+M498</f>
        <v>12.389914968352853</v>
      </c>
    </row>
    <row r="499" spans="1:14">
      <c r="A499" s="15">
        <v>3</v>
      </c>
      <c r="B499" s="71">
        <v>43891</v>
      </c>
      <c r="C499">
        <v>2020</v>
      </c>
      <c r="D499" s="11" t="s">
        <v>29</v>
      </c>
      <c r="E499" s="15">
        <v>3</v>
      </c>
    </row>
    <row r="500" spans="1:14">
      <c r="A500" s="15">
        <v>4</v>
      </c>
      <c r="B500" s="71">
        <v>43891</v>
      </c>
      <c r="C500">
        <v>2020</v>
      </c>
      <c r="D500" s="11" t="s">
        <v>29</v>
      </c>
      <c r="E500" s="15">
        <v>3</v>
      </c>
    </row>
    <row r="501" spans="1:14">
      <c r="A501" s="15">
        <v>3</v>
      </c>
      <c r="B501" s="71">
        <v>43922</v>
      </c>
      <c r="C501">
        <v>2020</v>
      </c>
      <c r="D501" s="11" t="s">
        <v>30</v>
      </c>
      <c r="E501" s="15">
        <v>4</v>
      </c>
    </row>
    <row r="502" spans="1:14">
      <c r="A502" s="15">
        <v>4</v>
      </c>
      <c r="B502" s="71">
        <v>43922</v>
      </c>
      <c r="C502">
        <v>2020</v>
      </c>
      <c r="D502" s="11" t="s">
        <v>30</v>
      </c>
      <c r="E502" s="15">
        <v>4</v>
      </c>
    </row>
    <row r="503" spans="1:14">
      <c r="A503" s="15">
        <v>3</v>
      </c>
      <c r="B503" s="71">
        <v>43952</v>
      </c>
      <c r="C503">
        <v>2020</v>
      </c>
      <c r="D503" s="11" t="s">
        <v>31</v>
      </c>
      <c r="E503" s="15">
        <v>5</v>
      </c>
    </row>
    <row r="504" spans="1:14">
      <c r="A504" s="15">
        <v>4</v>
      </c>
      <c r="B504" s="71">
        <v>43952</v>
      </c>
      <c r="C504">
        <v>2020</v>
      </c>
      <c r="D504" s="11" t="s">
        <v>31</v>
      </c>
      <c r="E504" s="15">
        <v>5</v>
      </c>
    </row>
    <row r="505" spans="1:14">
      <c r="A505" s="15">
        <v>3</v>
      </c>
      <c r="B505" s="71">
        <v>43983</v>
      </c>
      <c r="C505">
        <v>2020</v>
      </c>
      <c r="D505" s="11" t="s">
        <v>32</v>
      </c>
      <c r="E505" s="15">
        <v>6</v>
      </c>
      <c r="F505" s="95">
        <v>7.609</v>
      </c>
      <c r="G505" s="95">
        <v>0.72399999999999998</v>
      </c>
    </row>
    <row r="506" spans="1:14">
      <c r="A506" s="15">
        <v>4</v>
      </c>
      <c r="B506" s="71">
        <v>43983</v>
      </c>
      <c r="C506">
        <v>2020</v>
      </c>
      <c r="D506" s="11" t="s">
        <v>32</v>
      </c>
      <c r="E506" s="15">
        <v>6</v>
      </c>
      <c r="F506" s="95">
        <v>15.394</v>
      </c>
      <c r="G506" s="95">
        <v>1.052</v>
      </c>
      <c r="I506" s="27">
        <f>AVERAGE(F505:F506)</f>
        <v>11.5015</v>
      </c>
      <c r="J506" s="27">
        <f>AVERAGE(G505:G506)</f>
        <v>0.88800000000000001</v>
      </c>
      <c r="L506">
        <f>+J506/I506</f>
        <v>7.7207320784245539E-2</v>
      </c>
      <c r="M506">
        <f>+(L506-$L$619)/$L$620</f>
        <v>-1.2292634548079671</v>
      </c>
      <c r="N506">
        <f>+N498+M506</f>
        <v>11.160651513544886</v>
      </c>
    </row>
    <row r="507" spans="1:14">
      <c r="A507" s="15">
        <v>3</v>
      </c>
      <c r="B507" s="71">
        <v>44013</v>
      </c>
      <c r="C507">
        <v>2020</v>
      </c>
      <c r="D507" s="11" t="s">
        <v>33</v>
      </c>
      <c r="E507" s="15">
        <v>7</v>
      </c>
      <c r="F507" s="95">
        <v>18.829000000000001</v>
      </c>
      <c r="G507" s="95">
        <v>1.3620000000000001</v>
      </c>
    </row>
    <row r="508" spans="1:14">
      <c r="A508" s="15">
        <v>4</v>
      </c>
      <c r="B508" s="71">
        <v>44013</v>
      </c>
      <c r="C508">
        <v>2020</v>
      </c>
      <c r="D508" s="11" t="s">
        <v>33</v>
      </c>
      <c r="E508" s="15">
        <v>7</v>
      </c>
      <c r="F508" s="95">
        <v>29.629000000000001</v>
      </c>
      <c r="G508" s="95">
        <v>2.1190000000000002</v>
      </c>
      <c r="I508" s="27">
        <f t="shared" ref="I508" si="1">AVERAGE(F507:F508)</f>
        <v>24.228999999999999</v>
      </c>
      <c r="J508" s="27">
        <f t="shared" ref="J508" si="2">AVERAGE(G507:G508)</f>
        <v>1.7405000000000002</v>
      </c>
      <c r="L508">
        <f t="shared" ref="L508" si="3">+J508/I508</f>
        <v>7.1835403854884655E-2</v>
      </c>
      <c r="M508">
        <f t="shared" ref="M508" si="4">+(L508-$L$619)/$L$620</f>
        <v>-1.2802894162920302</v>
      </c>
      <c r="N508">
        <f>+N506+M508</f>
        <v>9.8803620972528563</v>
      </c>
    </row>
    <row r="509" spans="1:14">
      <c r="A509" s="15">
        <v>3</v>
      </c>
      <c r="B509" s="71">
        <v>44044</v>
      </c>
      <c r="C509">
        <v>2020</v>
      </c>
      <c r="D509" s="11" t="s">
        <v>34</v>
      </c>
      <c r="E509" s="15">
        <v>8</v>
      </c>
      <c r="F509" s="95">
        <v>18.225000000000001</v>
      </c>
      <c r="G509" s="95">
        <v>2.0459999999999998</v>
      </c>
    </row>
    <row r="510" spans="1:14">
      <c r="A510" s="15">
        <v>4</v>
      </c>
      <c r="B510" s="71">
        <v>44044</v>
      </c>
      <c r="C510">
        <v>2020</v>
      </c>
      <c r="D510" s="11" t="s">
        <v>34</v>
      </c>
      <c r="E510" s="15">
        <v>8</v>
      </c>
      <c r="F510" s="95">
        <v>39.006</v>
      </c>
      <c r="G510" s="95">
        <v>3.9039999999999999</v>
      </c>
      <c r="I510" s="27">
        <f t="shared" ref="I510" si="5">AVERAGE(F509:F510)</f>
        <v>28.615500000000001</v>
      </c>
      <c r="J510" s="27">
        <f t="shared" ref="J510" si="6">AVERAGE(G509:G510)</f>
        <v>2.9749999999999996</v>
      </c>
      <c r="L510">
        <f t="shared" ref="L510" si="7">+J510/I510</f>
        <v>0.10396463455120475</v>
      </c>
      <c r="M510">
        <f t="shared" ref="M510" si="8">+(L510-$L$619)/$L$620</f>
        <v>-0.97510508273271457</v>
      </c>
      <c r="N510">
        <f t="shared" ref="N510" si="9">+N508+M510</f>
        <v>8.9052570145201422</v>
      </c>
    </row>
    <row r="511" spans="1:14">
      <c r="A511" s="15">
        <v>3</v>
      </c>
      <c r="B511" s="71">
        <v>44075</v>
      </c>
      <c r="C511">
        <v>2020</v>
      </c>
      <c r="D511" s="11" t="s">
        <v>40</v>
      </c>
      <c r="E511" s="15">
        <v>9</v>
      </c>
      <c r="F511" s="95">
        <v>6.5069999999999997</v>
      </c>
      <c r="G511" s="95">
        <v>1.349</v>
      </c>
    </row>
    <row r="512" spans="1:14">
      <c r="A512" s="15">
        <v>4</v>
      </c>
      <c r="B512" s="71">
        <v>44075</v>
      </c>
      <c r="C512">
        <v>2020</v>
      </c>
      <c r="D512" s="11" t="s">
        <v>40</v>
      </c>
      <c r="E512" s="15">
        <v>9</v>
      </c>
      <c r="F512" s="95">
        <v>6.9</v>
      </c>
      <c r="G512" s="95">
        <v>1.2769999999999999</v>
      </c>
      <c r="I512" s="27">
        <f t="shared" ref="I512" si="10">AVERAGE(F511:F512)</f>
        <v>6.7035</v>
      </c>
      <c r="J512" s="27">
        <f t="shared" ref="J512" si="11">AVERAGE(G511:G512)</f>
        <v>1.3129999999999999</v>
      </c>
      <c r="L512">
        <f t="shared" ref="L512" si="12">+J512/I512</f>
        <v>0.19586783023793539</v>
      </c>
      <c r="M512">
        <f t="shared" ref="M512" si="13">+(L512-$L$619)/$L$620</f>
        <v>-0.10214874609566378</v>
      </c>
      <c r="N512">
        <f t="shared" ref="N512" si="14">+N510+M512</f>
        <v>8.803108268424479</v>
      </c>
    </row>
    <row r="513" spans="1:14">
      <c r="A513" s="15">
        <v>3</v>
      </c>
      <c r="B513" s="71">
        <v>44105</v>
      </c>
      <c r="C513">
        <v>2020</v>
      </c>
      <c r="D513" s="11" t="s">
        <v>36</v>
      </c>
      <c r="E513" s="15">
        <v>10</v>
      </c>
      <c r="F513" s="95">
        <v>4.202</v>
      </c>
      <c r="G513" s="95">
        <v>0.69699999999999995</v>
      </c>
    </row>
    <row r="514" spans="1:14">
      <c r="A514" s="15">
        <v>4</v>
      </c>
      <c r="B514" s="71">
        <v>44105</v>
      </c>
      <c r="C514">
        <v>2020</v>
      </c>
      <c r="D514" s="11" t="s">
        <v>36</v>
      </c>
      <c r="E514" s="15">
        <v>10</v>
      </c>
      <c r="F514" s="95">
        <v>6.7469999999999999</v>
      </c>
      <c r="G514" s="95">
        <v>1.141</v>
      </c>
      <c r="I514" s="27">
        <f t="shared" ref="I514" si="15">AVERAGE(F513:F514)</f>
        <v>5.4744999999999999</v>
      </c>
      <c r="J514" s="27">
        <f t="shared" ref="J514" si="16">AVERAGE(G513:G514)</f>
        <v>0.91900000000000004</v>
      </c>
      <c r="L514">
        <f t="shared" ref="L514" si="17">+J514/I514</f>
        <v>0.1678692118001644</v>
      </c>
      <c r="M514">
        <f t="shared" ref="M514" si="18">+(L514-$L$619)/$L$620</f>
        <v>-0.36809783741615332</v>
      </c>
      <c r="N514">
        <f t="shared" ref="N514" si="19">+N512+M514</f>
        <v>8.435010431008326</v>
      </c>
    </row>
    <row r="515" spans="1:14">
      <c r="A515" s="15">
        <v>3</v>
      </c>
      <c r="B515" s="71">
        <v>44136</v>
      </c>
      <c r="C515">
        <v>2020</v>
      </c>
      <c r="D515" s="11" t="s">
        <v>37</v>
      </c>
      <c r="E515" s="15">
        <v>11</v>
      </c>
      <c r="F515" s="95">
        <v>4.1719999999999997</v>
      </c>
      <c r="G515" s="95">
        <v>0.498</v>
      </c>
    </row>
    <row r="516" spans="1:14">
      <c r="A516" s="15">
        <v>4</v>
      </c>
      <c r="B516" s="71">
        <v>44136</v>
      </c>
      <c r="C516">
        <v>2020</v>
      </c>
      <c r="D516" s="11" t="s">
        <v>37</v>
      </c>
      <c r="E516" s="15">
        <v>11</v>
      </c>
      <c r="F516" s="95">
        <v>7.7880000000000003</v>
      </c>
      <c r="G516" s="95">
        <v>1.1279999999999999</v>
      </c>
      <c r="I516" s="27">
        <f t="shared" ref="I516:J516" si="20">AVERAGE(F515:F516)</f>
        <v>5.98</v>
      </c>
      <c r="J516" s="27">
        <f t="shared" si="20"/>
        <v>0.81299999999999994</v>
      </c>
      <c r="L516">
        <f t="shared" ref="L516" si="21">+J516/I516</f>
        <v>0.13595317725752507</v>
      </c>
      <c r="M516">
        <f t="shared" ref="M516" si="22">+(L516-$L$619)/$L$620</f>
        <v>-0.67125709522144783</v>
      </c>
      <c r="N516">
        <f t="shared" ref="N516" si="23">+N514+M516</f>
        <v>7.7637533357868787</v>
      </c>
    </row>
    <row r="517" spans="1:14">
      <c r="A517" s="15">
        <v>3</v>
      </c>
      <c r="B517" s="72">
        <v>44166</v>
      </c>
      <c r="C517">
        <v>2020</v>
      </c>
      <c r="D517" s="11" t="s">
        <v>38</v>
      </c>
      <c r="E517" s="15">
        <v>12</v>
      </c>
    </row>
    <row r="518" spans="1:14">
      <c r="A518" s="15">
        <v>4</v>
      </c>
      <c r="B518" s="71">
        <v>44166</v>
      </c>
      <c r="C518">
        <v>2020</v>
      </c>
      <c r="D518" s="11" t="s">
        <v>38</v>
      </c>
      <c r="E518" s="15">
        <v>12</v>
      </c>
    </row>
    <row r="519" spans="1:14">
      <c r="A519" s="93">
        <v>3</v>
      </c>
      <c r="B519" s="90">
        <v>44197</v>
      </c>
      <c r="C519" s="91">
        <v>2021</v>
      </c>
      <c r="D519" s="92" t="s">
        <v>39</v>
      </c>
      <c r="E519" s="93">
        <v>1</v>
      </c>
    </row>
    <row r="520" spans="1:14">
      <c r="A520" s="15">
        <v>4</v>
      </c>
      <c r="B520" s="73">
        <v>44197</v>
      </c>
      <c r="C520">
        <v>2021</v>
      </c>
      <c r="D520" s="11" t="s">
        <v>39</v>
      </c>
      <c r="E520" s="15">
        <v>1</v>
      </c>
    </row>
    <row r="521" spans="1:14">
      <c r="A521" s="15">
        <v>3</v>
      </c>
      <c r="B521" s="71">
        <v>44228</v>
      </c>
      <c r="C521">
        <v>2021</v>
      </c>
      <c r="D521" s="11" t="s">
        <v>28</v>
      </c>
      <c r="E521" s="15">
        <v>2</v>
      </c>
      <c r="F521" s="95">
        <v>2.4740000000000002</v>
      </c>
      <c r="G521" s="95">
        <v>0.49</v>
      </c>
    </row>
    <row r="522" spans="1:14">
      <c r="A522" s="15">
        <v>4</v>
      </c>
      <c r="B522" s="71">
        <v>44228</v>
      </c>
      <c r="C522">
        <v>2021</v>
      </c>
      <c r="D522" s="11" t="s">
        <v>28</v>
      </c>
      <c r="E522" s="15">
        <v>2</v>
      </c>
      <c r="F522" s="95">
        <v>1.571</v>
      </c>
      <c r="G522" s="95">
        <v>0.26300000000000001</v>
      </c>
      <c r="I522" s="27">
        <f>AVERAGE(F521:F522)</f>
        <v>2.0225</v>
      </c>
      <c r="J522" s="27">
        <f>AVERAGE(G521:G522)</f>
        <v>0.3765</v>
      </c>
      <c r="L522">
        <f>+J522/I522</f>
        <v>0.18615574783683561</v>
      </c>
      <c r="M522">
        <f>+(L522-$L$619)/$L$620</f>
        <v>-0.19440042255401954</v>
      </c>
      <c r="N522">
        <f>+N516+M522</f>
        <v>7.5693529132328594</v>
      </c>
    </row>
    <row r="523" spans="1:14">
      <c r="A523" s="15">
        <v>3</v>
      </c>
      <c r="B523" s="71">
        <v>44256</v>
      </c>
      <c r="C523">
        <v>2021</v>
      </c>
      <c r="D523" s="11" t="s">
        <v>29</v>
      </c>
      <c r="E523" s="15">
        <v>3</v>
      </c>
      <c r="F523" s="95">
        <v>1.22</v>
      </c>
      <c r="G523" s="95">
        <v>0.29199999999999998</v>
      </c>
    </row>
    <row r="524" spans="1:14">
      <c r="A524" s="15">
        <v>4</v>
      </c>
      <c r="B524" s="71">
        <v>44256</v>
      </c>
      <c r="C524">
        <v>2021</v>
      </c>
      <c r="D524" s="11" t="s">
        <v>29</v>
      </c>
      <c r="E524" s="15">
        <v>3</v>
      </c>
      <c r="F524" s="95">
        <v>2.097</v>
      </c>
      <c r="G524" s="95">
        <v>0.315</v>
      </c>
      <c r="I524" s="27">
        <f t="shared" ref="I524" si="24">AVERAGE(F523:F524)</f>
        <v>1.6585000000000001</v>
      </c>
      <c r="J524" s="27">
        <f t="shared" ref="J524" si="25">AVERAGE(G523:G524)</f>
        <v>0.30349999999999999</v>
      </c>
      <c r="L524">
        <f t="shared" ref="L524" si="26">+J524/I524</f>
        <v>0.18299668375037684</v>
      </c>
      <c r="M524">
        <f t="shared" ref="M524" si="27">+(L524-$L$619)/$L$620</f>
        <v>-0.22440726825193139</v>
      </c>
      <c r="N524">
        <f>+N522+M524</f>
        <v>7.3449456449809283</v>
      </c>
    </row>
    <row r="525" spans="1:14">
      <c r="A525" s="15">
        <v>3</v>
      </c>
      <c r="B525" s="71">
        <v>44287</v>
      </c>
      <c r="C525">
        <v>2021</v>
      </c>
      <c r="D525" s="11" t="s">
        <v>30</v>
      </c>
      <c r="E525" s="15">
        <v>4</v>
      </c>
      <c r="F525" s="95">
        <v>1.103</v>
      </c>
      <c r="G525" s="95">
        <v>0.18</v>
      </c>
    </row>
    <row r="526" spans="1:14">
      <c r="A526" s="15">
        <v>4</v>
      </c>
      <c r="B526" s="71">
        <v>44287</v>
      </c>
      <c r="C526">
        <v>2021</v>
      </c>
      <c r="D526" s="11" t="s">
        <v>30</v>
      </c>
      <c r="E526" s="15">
        <v>4</v>
      </c>
      <c r="F526" s="95">
        <v>3.827</v>
      </c>
      <c r="G526" s="95">
        <v>0.57399999999999995</v>
      </c>
      <c r="I526" s="27">
        <f t="shared" ref="I526" si="28">AVERAGE(F525:F526)</f>
        <v>2.4649999999999999</v>
      </c>
      <c r="J526" s="27">
        <f t="shared" ref="J526" si="29">AVERAGE(G525:G526)</f>
        <v>0.377</v>
      </c>
      <c r="L526">
        <f t="shared" ref="L526" si="30">+J526/I526</f>
        <v>0.15294117647058825</v>
      </c>
      <c r="M526">
        <f t="shared" ref="M526" si="31">+(L526-$L$619)/$L$620</f>
        <v>-0.50989402782193272</v>
      </c>
      <c r="N526">
        <f t="shared" ref="N526" si="32">+N524+M526</f>
        <v>6.8350516171589959</v>
      </c>
    </row>
    <row r="527" spans="1:14">
      <c r="A527" s="15">
        <v>3</v>
      </c>
      <c r="B527" s="71">
        <v>44317</v>
      </c>
      <c r="C527">
        <v>2021</v>
      </c>
      <c r="D527" s="11" t="s">
        <v>31</v>
      </c>
      <c r="E527" s="15">
        <v>5</v>
      </c>
      <c r="F527" s="95">
        <v>2.65</v>
      </c>
      <c r="G527" s="95">
        <v>0.77</v>
      </c>
    </row>
    <row r="528" spans="1:14">
      <c r="A528" s="15">
        <v>4</v>
      </c>
      <c r="B528" s="71">
        <v>44317</v>
      </c>
      <c r="C528">
        <v>2021</v>
      </c>
      <c r="D528" s="11" t="s">
        <v>31</v>
      </c>
      <c r="E528" s="15">
        <v>5</v>
      </c>
      <c r="F528" s="95">
        <v>5.2370000000000001</v>
      </c>
      <c r="G528" s="95">
        <v>0.97</v>
      </c>
      <c r="I528" s="27">
        <f t="shared" ref="I528" si="33">AVERAGE(F527:F528)</f>
        <v>3.9435000000000002</v>
      </c>
      <c r="J528" s="27">
        <f t="shared" ref="J528" si="34">AVERAGE(G527:G528)</f>
        <v>0.87</v>
      </c>
      <c r="L528">
        <f t="shared" ref="L528" si="35">+J528/I528</f>
        <v>0.22061620387980219</v>
      </c>
      <c r="M528">
        <f t="shared" ref="M528" si="36">+(L528-$L$619)/$L$620</f>
        <v>0.13292740583458187</v>
      </c>
      <c r="N528">
        <f t="shared" ref="N528" si="37">+N526+M528</f>
        <v>6.9679790229935774</v>
      </c>
    </row>
    <row r="529" spans="1:14">
      <c r="A529" s="15">
        <v>3</v>
      </c>
      <c r="B529" s="71">
        <v>44348</v>
      </c>
      <c r="C529">
        <v>2021</v>
      </c>
      <c r="D529" s="11" t="s">
        <v>32</v>
      </c>
      <c r="E529" s="15">
        <v>6</v>
      </c>
      <c r="F529" s="95">
        <v>9.4239999999999995</v>
      </c>
      <c r="G529" s="95">
        <v>1.5369999999999999</v>
      </c>
    </row>
    <row r="530" spans="1:14">
      <c r="A530" s="15">
        <v>4</v>
      </c>
      <c r="B530" s="71">
        <v>44348</v>
      </c>
      <c r="C530">
        <v>2021</v>
      </c>
      <c r="D530" s="11" t="s">
        <v>32</v>
      </c>
      <c r="E530" s="15">
        <v>6</v>
      </c>
      <c r="F530" s="95">
        <v>16.710999999999999</v>
      </c>
      <c r="G530" s="95">
        <v>1.752</v>
      </c>
      <c r="I530" s="27">
        <f t="shared" ref="I530" si="38">AVERAGE(F529:F530)</f>
        <v>13.067499999999999</v>
      </c>
      <c r="J530" s="27">
        <f t="shared" ref="J530" si="39">AVERAGE(G529:G530)</f>
        <v>1.6444999999999999</v>
      </c>
      <c r="L530">
        <f t="shared" ref="L530" si="40">+J530/I530</f>
        <v>0.12584656590778648</v>
      </c>
      <c r="M530">
        <f t="shared" ref="M530" si="41">+(L530-$L$619)/$L$620</f>
        <v>-0.76725626427924465</v>
      </c>
      <c r="N530">
        <f t="shared" ref="N530" si="42">+N528+M530</f>
        <v>6.200722758714333</v>
      </c>
    </row>
    <row r="531" spans="1:14">
      <c r="A531" s="15">
        <v>3</v>
      </c>
      <c r="B531" s="71">
        <v>44378</v>
      </c>
      <c r="C531">
        <v>2021</v>
      </c>
      <c r="D531" s="11" t="s">
        <v>33</v>
      </c>
      <c r="E531" s="15">
        <v>7</v>
      </c>
      <c r="H531" s="96" t="s">
        <v>100</v>
      </c>
    </row>
    <row r="532" spans="1:14">
      <c r="A532" s="15">
        <v>4</v>
      </c>
      <c r="B532" s="71">
        <v>44378</v>
      </c>
      <c r="C532">
        <v>2021</v>
      </c>
      <c r="D532" s="11" t="s">
        <v>33</v>
      </c>
      <c r="E532" s="15">
        <v>7</v>
      </c>
      <c r="H532" s="96" t="s">
        <v>101</v>
      </c>
      <c r="I532" s="27"/>
      <c r="J532" s="27"/>
    </row>
    <row r="533" spans="1:14">
      <c r="A533" s="15">
        <v>3</v>
      </c>
      <c r="B533" s="71">
        <v>44409</v>
      </c>
      <c r="C533">
        <v>2021</v>
      </c>
      <c r="D533" s="11" t="s">
        <v>34</v>
      </c>
      <c r="E533" s="15">
        <v>8</v>
      </c>
      <c r="F533" s="95">
        <v>9.8279999999999994</v>
      </c>
      <c r="G533" s="95">
        <v>0.92800000000000005</v>
      </c>
    </row>
    <row r="534" spans="1:14">
      <c r="A534" s="15">
        <v>4</v>
      </c>
      <c r="B534" s="71">
        <v>44409</v>
      </c>
      <c r="C534">
        <v>2021</v>
      </c>
      <c r="D534" s="11" t="s">
        <v>34</v>
      </c>
      <c r="E534" s="15">
        <v>8</v>
      </c>
      <c r="F534" s="95">
        <v>13.459</v>
      </c>
      <c r="G534" s="95">
        <v>1.627</v>
      </c>
      <c r="I534" s="27">
        <f t="shared" ref="I534" si="43">AVERAGE(F533:F534)</f>
        <v>11.6435</v>
      </c>
      <c r="J534" s="27">
        <f t="shared" ref="J534" si="44">AVERAGE(G533:G534)</f>
        <v>1.2775000000000001</v>
      </c>
      <c r="L534">
        <f t="shared" ref="L534" si="45">+J534/I534</f>
        <v>0.10971786833855801</v>
      </c>
      <c r="M534">
        <f t="shared" ref="M534" si="46">+(L534-$L$619)/$L$620</f>
        <v>-0.92045712568077542</v>
      </c>
      <c r="N534">
        <f>+N530+M534</f>
        <v>5.280265633033558</v>
      </c>
    </row>
    <row r="535" spans="1:14">
      <c r="A535" s="15">
        <v>3</v>
      </c>
      <c r="B535" s="71">
        <v>44440</v>
      </c>
      <c r="C535">
        <v>2021</v>
      </c>
      <c r="D535" s="11" t="s">
        <v>40</v>
      </c>
      <c r="E535" s="15">
        <v>9</v>
      </c>
      <c r="F535" s="95">
        <v>5.9969999999999999</v>
      </c>
      <c r="G535" s="95">
        <v>0.71599999999999997</v>
      </c>
    </row>
    <row r="536" spans="1:14">
      <c r="A536" s="15">
        <v>4</v>
      </c>
      <c r="B536" s="71">
        <v>44440</v>
      </c>
      <c r="C536">
        <v>2021</v>
      </c>
      <c r="D536" s="11" t="s">
        <v>40</v>
      </c>
      <c r="E536" s="15">
        <v>9</v>
      </c>
      <c r="F536" s="95">
        <v>7.9829999999999997</v>
      </c>
      <c r="G536" s="95">
        <v>1.0449999999999999</v>
      </c>
      <c r="I536" s="27">
        <f t="shared" ref="I536" si="47">AVERAGE(F535:F536)</f>
        <v>6.99</v>
      </c>
      <c r="J536" s="27">
        <f t="shared" ref="J536" si="48">AVERAGE(G535:G536)</f>
        <v>0.88049999999999995</v>
      </c>
      <c r="L536">
        <f t="shared" ref="L536" si="49">+J536/I536</f>
        <v>0.12596566523605149</v>
      </c>
      <c r="M536">
        <f t="shared" ref="M536" si="50">+(L536-$L$619)/$L$620</f>
        <v>-0.76612498138400609</v>
      </c>
      <c r="N536">
        <f t="shared" ref="N536" si="51">+N534+M536</f>
        <v>4.5141406516495515</v>
      </c>
    </row>
    <row r="537" spans="1:14">
      <c r="A537" s="15">
        <v>3</v>
      </c>
      <c r="B537" s="71">
        <v>44470</v>
      </c>
      <c r="C537">
        <v>2021</v>
      </c>
      <c r="D537" s="11" t="s">
        <v>36</v>
      </c>
      <c r="E537" s="15">
        <v>10</v>
      </c>
      <c r="F537" s="95">
        <v>17.079999999999998</v>
      </c>
      <c r="G537" s="95">
        <v>2.9910000000000001</v>
      </c>
    </row>
    <row r="538" spans="1:14">
      <c r="A538" s="15">
        <v>4</v>
      </c>
      <c r="B538" s="71">
        <v>44470</v>
      </c>
      <c r="C538">
        <v>2021</v>
      </c>
      <c r="D538" s="11" t="s">
        <v>36</v>
      </c>
      <c r="E538" s="15">
        <v>10</v>
      </c>
      <c r="F538" s="95">
        <v>17.716999999999999</v>
      </c>
      <c r="G538" s="95">
        <v>3.0840000000000001</v>
      </c>
      <c r="I538" s="27">
        <f t="shared" ref="I538" si="52">AVERAGE(F537:F538)</f>
        <v>17.398499999999999</v>
      </c>
      <c r="J538" s="27">
        <f t="shared" ref="J538" si="53">AVERAGE(G537:G538)</f>
        <v>3.0375000000000001</v>
      </c>
      <c r="L538">
        <f t="shared" ref="L538" si="54">+J538/I538</f>
        <v>0.17458401586343653</v>
      </c>
      <c r="M538">
        <f t="shared" ref="M538" si="55">+(L538-$L$619)/$L$620</f>
        <v>-0.30431626037186388</v>
      </c>
      <c r="N538">
        <f t="shared" ref="N538" si="56">+N536+M538</f>
        <v>4.2098243912776878</v>
      </c>
    </row>
    <row r="539" spans="1:14">
      <c r="A539" s="15">
        <v>3</v>
      </c>
      <c r="B539" s="71">
        <v>44501</v>
      </c>
      <c r="C539">
        <v>2021</v>
      </c>
      <c r="D539" s="11" t="s">
        <v>37</v>
      </c>
      <c r="E539" s="15">
        <v>11</v>
      </c>
      <c r="F539" s="95">
        <v>13.411</v>
      </c>
      <c r="G539" s="95">
        <v>3.22</v>
      </c>
    </row>
    <row r="540" spans="1:14">
      <c r="A540" s="15">
        <v>4</v>
      </c>
      <c r="B540" s="71">
        <v>44501</v>
      </c>
      <c r="C540">
        <v>2021</v>
      </c>
      <c r="D540" s="11" t="s">
        <v>37</v>
      </c>
      <c r="E540" s="15">
        <v>11</v>
      </c>
      <c r="F540" s="95">
        <v>13.923999999999999</v>
      </c>
      <c r="G540" s="95">
        <v>3.395</v>
      </c>
      <c r="I540" s="27">
        <f t="shared" ref="I540" si="57">AVERAGE(F539:F540)</f>
        <v>13.6675</v>
      </c>
      <c r="J540" s="27">
        <f t="shared" ref="J540" si="58">AVERAGE(G539:G540)</f>
        <v>3.3075000000000001</v>
      </c>
      <c r="L540">
        <f t="shared" ref="L540" si="59">+J540/I540</f>
        <v>0.24199743918053776</v>
      </c>
      <c r="M540">
        <f t="shared" ref="M540" si="60">+(L540-$L$619)/$L$620</f>
        <v>0.33602028744152507</v>
      </c>
      <c r="N540">
        <f t="shared" ref="N540" si="61">+N538+M540</f>
        <v>4.5458446787192131</v>
      </c>
    </row>
    <row r="541" spans="1:14">
      <c r="A541" s="15">
        <v>3</v>
      </c>
      <c r="B541" s="72">
        <v>44531</v>
      </c>
      <c r="C541">
        <v>2021</v>
      </c>
      <c r="D541" s="11" t="s">
        <v>38</v>
      </c>
      <c r="E541" s="15">
        <v>12</v>
      </c>
      <c r="F541" s="95">
        <v>45.393999999999998</v>
      </c>
      <c r="G541" s="95">
        <v>1.82</v>
      </c>
    </row>
    <row r="542" spans="1:14">
      <c r="A542" s="15">
        <v>4</v>
      </c>
      <c r="B542" s="71">
        <v>44531</v>
      </c>
      <c r="C542">
        <v>2021</v>
      </c>
      <c r="D542" s="11" t="s">
        <v>38</v>
      </c>
      <c r="E542" s="15">
        <v>12</v>
      </c>
      <c r="F542" s="95">
        <v>64.753</v>
      </c>
      <c r="G542" s="95">
        <v>2.806</v>
      </c>
      <c r="I542" s="27">
        <f t="shared" ref="I542:J542" si="62">AVERAGE(F541:F542)</f>
        <v>55.073499999999996</v>
      </c>
      <c r="J542" s="27">
        <f t="shared" si="62"/>
        <v>2.3130000000000002</v>
      </c>
      <c r="L542">
        <f t="shared" ref="L542" si="63">+J542/I542</f>
        <v>4.1998420292881339E-2</v>
      </c>
      <c r="M542">
        <f t="shared" ref="M542" si="64">+(L542-$L$619)/$L$620</f>
        <v>-1.5637004954385088</v>
      </c>
      <c r="N542">
        <f t="shared" ref="N542" si="65">+N540+M542</f>
        <v>2.9821441832807043</v>
      </c>
    </row>
    <row r="543" spans="1:14">
      <c r="A543" s="93">
        <v>3</v>
      </c>
      <c r="B543" s="90">
        <v>44562</v>
      </c>
      <c r="C543" s="91">
        <v>2022</v>
      </c>
      <c r="D543" s="92" t="s">
        <v>39</v>
      </c>
      <c r="E543" s="93">
        <v>1</v>
      </c>
      <c r="H543" s="96" t="s">
        <v>102</v>
      </c>
    </row>
    <row r="544" spans="1:14">
      <c r="A544" s="15">
        <v>4</v>
      </c>
      <c r="B544" s="73">
        <v>44562</v>
      </c>
      <c r="C544">
        <v>2022</v>
      </c>
      <c r="D544" s="11" t="s">
        <v>39</v>
      </c>
      <c r="E544" s="15">
        <v>1</v>
      </c>
      <c r="H544" s="96" t="s">
        <v>103</v>
      </c>
    </row>
    <row r="545" spans="1:8">
      <c r="A545" s="15">
        <v>3</v>
      </c>
      <c r="B545" s="71">
        <v>44593</v>
      </c>
      <c r="C545">
        <v>2022</v>
      </c>
      <c r="D545" s="11" t="s">
        <v>28</v>
      </c>
      <c r="E545" s="15">
        <v>2</v>
      </c>
      <c r="H545" s="96" t="s">
        <v>104</v>
      </c>
    </row>
    <row r="546" spans="1:8">
      <c r="A546" s="15">
        <v>4</v>
      </c>
      <c r="B546" s="71">
        <v>44593</v>
      </c>
      <c r="C546">
        <v>2022</v>
      </c>
      <c r="D546" s="11" t="s">
        <v>28</v>
      </c>
      <c r="E546" s="15">
        <v>2</v>
      </c>
    </row>
    <row r="547" spans="1:8">
      <c r="A547" s="15">
        <v>3</v>
      </c>
      <c r="B547" s="71">
        <v>44621</v>
      </c>
      <c r="C547">
        <v>2022</v>
      </c>
      <c r="D547" s="11" t="s">
        <v>29</v>
      </c>
      <c r="E547" s="15">
        <v>3</v>
      </c>
    </row>
    <row r="548" spans="1:8">
      <c r="A548" s="15">
        <v>4</v>
      </c>
      <c r="B548" s="71">
        <v>44621</v>
      </c>
      <c r="C548">
        <v>2022</v>
      </c>
      <c r="D548" s="11" t="s">
        <v>29</v>
      </c>
      <c r="E548" s="15">
        <v>3</v>
      </c>
    </row>
    <row r="549" spans="1:8">
      <c r="A549" s="15">
        <v>3</v>
      </c>
      <c r="B549" s="71">
        <v>44652</v>
      </c>
      <c r="C549">
        <v>2022</v>
      </c>
      <c r="D549" s="11" t="s">
        <v>30</v>
      </c>
      <c r="E549" s="15">
        <v>4</v>
      </c>
    </row>
    <row r="550" spans="1:8">
      <c r="A550" s="15">
        <v>4</v>
      </c>
      <c r="B550" s="71">
        <v>44652</v>
      </c>
      <c r="C550">
        <v>2022</v>
      </c>
      <c r="D550" s="11" t="s">
        <v>30</v>
      </c>
      <c r="E550" s="15">
        <v>4</v>
      </c>
    </row>
    <row r="551" spans="1:8">
      <c r="A551" s="15">
        <v>3</v>
      </c>
      <c r="B551" s="71">
        <v>44682</v>
      </c>
      <c r="C551">
        <v>2022</v>
      </c>
      <c r="D551" s="11" t="s">
        <v>31</v>
      </c>
      <c r="E551" s="15">
        <v>5</v>
      </c>
    </row>
    <row r="552" spans="1:8">
      <c r="A552" s="15">
        <v>4</v>
      </c>
      <c r="B552" s="71">
        <v>44682</v>
      </c>
      <c r="C552">
        <v>2022</v>
      </c>
      <c r="D552" s="11" t="s">
        <v>31</v>
      </c>
      <c r="E552" s="15">
        <v>5</v>
      </c>
    </row>
    <row r="553" spans="1:8">
      <c r="A553" s="15">
        <v>3</v>
      </c>
      <c r="B553" s="71">
        <v>44713</v>
      </c>
      <c r="C553">
        <v>2022</v>
      </c>
      <c r="D553" s="11" t="s">
        <v>32</v>
      </c>
      <c r="E553" s="15">
        <v>6</v>
      </c>
    </row>
    <row r="554" spans="1:8">
      <c r="A554" s="15">
        <v>4</v>
      </c>
      <c r="B554" s="71">
        <v>44713</v>
      </c>
      <c r="C554">
        <v>2022</v>
      </c>
      <c r="D554" s="11" t="s">
        <v>32</v>
      </c>
      <c r="E554" s="15">
        <v>6</v>
      </c>
    </row>
    <row r="555" spans="1:8">
      <c r="A555" s="15">
        <v>3</v>
      </c>
      <c r="B555" s="71">
        <v>44743</v>
      </c>
      <c r="C555">
        <v>2022</v>
      </c>
      <c r="D555" s="11" t="s">
        <v>33</v>
      </c>
      <c r="E555" s="15">
        <v>7</v>
      </c>
    </row>
    <row r="556" spans="1:8">
      <c r="A556" s="15">
        <v>4</v>
      </c>
      <c r="B556" s="71">
        <v>44743</v>
      </c>
      <c r="C556">
        <v>2022</v>
      </c>
      <c r="D556" s="11" t="s">
        <v>33</v>
      </c>
      <c r="E556" s="15">
        <v>7</v>
      </c>
    </row>
    <row r="557" spans="1:8">
      <c r="A557" s="15">
        <v>3</v>
      </c>
      <c r="B557" s="71">
        <v>44774</v>
      </c>
      <c r="C557">
        <v>2022</v>
      </c>
      <c r="D557" s="11" t="s">
        <v>34</v>
      </c>
      <c r="E557" s="15">
        <v>8</v>
      </c>
    </row>
    <row r="558" spans="1:8">
      <c r="A558" s="15">
        <v>4</v>
      </c>
      <c r="B558" s="71">
        <v>44774</v>
      </c>
      <c r="C558">
        <v>2022</v>
      </c>
      <c r="D558" s="11" t="s">
        <v>34</v>
      </c>
      <c r="E558" s="15">
        <v>8</v>
      </c>
    </row>
    <row r="559" spans="1:8">
      <c r="A559" s="15">
        <v>3</v>
      </c>
      <c r="B559" s="71">
        <v>44805</v>
      </c>
      <c r="C559">
        <v>2022</v>
      </c>
      <c r="D559" s="11" t="s">
        <v>40</v>
      </c>
      <c r="E559" s="15">
        <v>9</v>
      </c>
    </row>
    <row r="560" spans="1:8">
      <c r="A560" s="15">
        <v>4</v>
      </c>
      <c r="B560" s="71">
        <v>44805</v>
      </c>
      <c r="C560">
        <v>2022</v>
      </c>
      <c r="D560" s="11" t="s">
        <v>40</v>
      </c>
      <c r="E560" s="15">
        <v>9</v>
      </c>
    </row>
    <row r="561" spans="1:14">
      <c r="A561" s="15">
        <v>3</v>
      </c>
      <c r="B561" s="71">
        <v>44835</v>
      </c>
      <c r="C561">
        <v>2022</v>
      </c>
      <c r="D561" s="11" t="s">
        <v>36</v>
      </c>
      <c r="E561" s="15">
        <v>10</v>
      </c>
    </row>
    <row r="562" spans="1:14">
      <c r="A562" s="15">
        <v>4</v>
      </c>
      <c r="B562" s="71">
        <v>44835</v>
      </c>
      <c r="C562">
        <v>2022</v>
      </c>
      <c r="D562" s="11" t="s">
        <v>36</v>
      </c>
      <c r="E562" s="15">
        <v>10</v>
      </c>
    </row>
    <row r="563" spans="1:14">
      <c r="A563" s="15">
        <v>3</v>
      </c>
      <c r="B563" s="71">
        <v>44866</v>
      </c>
      <c r="C563">
        <v>2022</v>
      </c>
      <c r="D563" s="11" t="s">
        <v>37</v>
      </c>
      <c r="E563" s="15">
        <v>11</v>
      </c>
    </row>
    <row r="564" spans="1:14">
      <c r="A564" s="15">
        <v>4</v>
      </c>
      <c r="B564" s="71">
        <v>44866</v>
      </c>
      <c r="C564">
        <v>2022</v>
      </c>
      <c r="D564" s="11" t="s">
        <v>37</v>
      </c>
      <c r="E564" s="15">
        <v>11</v>
      </c>
    </row>
    <row r="565" spans="1:14">
      <c r="A565" s="15">
        <v>3</v>
      </c>
      <c r="B565" s="72">
        <v>44896</v>
      </c>
      <c r="C565">
        <v>2022</v>
      </c>
      <c r="D565" s="11" t="s">
        <v>38</v>
      </c>
      <c r="E565" s="15">
        <v>12</v>
      </c>
    </row>
    <row r="566" spans="1:14">
      <c r="A566" s="15">
        <v>4</v>
      </c>
      <c r="B566" s="71">
        <v>44896</v>
      </c>
      <c r="C566">
        <v>2022</v>
      </c>
      <c r="D566" s="11" t="s">
        <v>38</v>
      </c>
      <c r="E566" s="15">
        <v>12</v>
      </c>
    </row>
    <row r="567" spans="1:14">
      <c r="A567" s="93">
        <v>3</v>
      </c>
      <c r="B567" s="90">
        <v>44927</v>
      </c>
      <c r="C567" s="91">
        <v>2023</v>
      </c>
      <c r="D567" s="92" t="s">
        <v>39</v>
      </c>
      <c r="E567" s="93">
        <v>1</v>
      </c>
      <c r="F567" s="97">
        <v>3.532</v>
      </c>
      <c r="G567" s="95">
        <v>0.94</v>
      </c>
    </row>
    <row r="568" spans="1:14">
      <c r="A568" s="15">
        <v>4</v>
      </c>
      <c r="B568" s="73">
        <v>44927</v>
      </c>
      <c r="C568">
        <v>2023</v>
      </c>
      <c r="D568" s="11" t="s">
        <v>39</v>
      </c>
      <c r="E568" s="15">
        <v>1</v>
      </c>
      <c r="F568" s="97">
        <v>3.02</v>
      </c>
      <c r="G568" s="95">
        <v>0.77900000000000003</v>
      </c>
      <c r="I568" s="27">
        <f>AVERAGE(F567:F568)</f>
        <v>3.2759999999999998</v>
      </c>
      <c r="J568" s="27">
        <f>AVERAGE(G567:G568)</f>
        <v>0.85949999999999993</v>
      </c>
      <c r="L568">
        <f>+J568/I568</f>
        <v>0.26236263736263737</v>
      </c>
      <c r="M568">
        <f>+(L568-$L$619)/$L$620</f>
        <v>0.52946218755273144</v>
      </c>
      <c r="N568">
        <f>+N542+M568</f>
        <v>3.5116063708334355</v>
      </c>
    </row>
    <row r="569" spans="1:14">
      <c r="A569" s="15">
        <v>3</v>
      </c>
      <c r="B569" s="71">
        <v>44958</v>
      </c>
      <c r="C569">
        <v>2023</v>
      </c>
      <c r="D569" s="11" t="s">
        <v>28</v>
      </c>
      <c r="E569" s="15">
        <v>2</v>
      </c>
      <c r="F569" s="78">
        <v>2.0270000000000001</v>
      </c>
      <c r="G569" s="78">
        <v>0.53</v>
      </c>
    </row>
    <row r="570" spans="1:14">
      <c r="A570" s="15">
        <v>4</v>
      </c>
      <c r="B570" s="71">
        <v>44958</v>
      </c>
      <c r="C570">
        <v>2023</v>
      </c>
      <c r="D570" s="11" t="s">
        <v>28</v>
      </c>
      <c r="E570" s="15">
        <v>2</v>
      </c>
      <c r="F570" s="78">
        <v>2.39</v>
      </c>
      <c r="G570" s="78">
        <v>0.56699999999999995</v>
      </c>
      <c r="I570" s="27">
        <f t="shared" ref="I570" si="66">AVERAGE(F569:F570)</f>
        <v>2.2084999999999999</v>
      </c>
      <c r="J570" s="27">
        <f t="shared" ref="J570" si="67">AVERAGE(G569:G570)</f>
        <v>0.54849999999999999</v>
      </c>
      <c r="L570">
        <f t="shared" ref="L570" si="68">+J570/I570</f>
        <v>0.24835861444419288</v>
      </c>
      <c r="M570">
        <f t="shared" ref="M570" si="69">+(L570-$L$619)/$L$620</f>
        <v>0.39644286810776375</v>
      </c>
      <c r="N570">
        <f>+N568+M570</f>
        <v>3.9080492389411994</v>
      </c>
    </row>
    <row r="571" spans="1:14">
      <c r="A571" s="15">
        <v>3</v>
      </c>
      <c r="B571" s="71">
        <v>44986</v>
      </c>
      <c r="C571">
        <v>2023</v>
      </c>
      <c r="D571" s="11" t="s">
        <v>29</v>
      </c>
      <c r="E571" s="15">
        <v>3</v>
      </c>
      <c r="F571" s="78">
        <v>6.65</v>
      </c>
      <c r="G571" s="78">
        <v>1.8979999999999999</v>
      </c>
    </row>
    <row r="572" spans="1:14">
      <c r="A572" s="15">
        <v>4</v>
      </c>
      <c r="B572" s="71">
        <v>44986</v>
      </c>
      <c r="C572">
        <v>2023</v>
      </c>
      <c r="D572" s="11" t="s">
        <v>29</v>
      </c>
      <c r="E572" s="15">
        <v>3</v>
      </c>
      <c r="F572" s="78">
        <v>10.439</v>
      </c>
      <c r="G572" s="78">
        <v>2.8490000000000002</v>
      </c>
      <c r="I572" s="27">
        <f t="shared" ref="I572" si="70">AVERAGE(F571:F572)</f>
        <v>8.5444999999999993</v>
      </c>
      <c r="J572" s="27">
        <f t="shared" ref="J572" si="71">AVERAGE(G571:G572)</f>
        <v>2.3734999999999999</v>
      </c>
      <c r="L572">
        <f t="shared" ref="L572" si="72">+J572/I572</f>
        <v>0.27778102873193283</v>
      </c>
      <c r="M572">
        <f t="shared" ref="M572" si="73">+(L572-$L$619)/$L$620</f>
        <v>0.67591609860557456</v>
      </c>
      <c r="N572">
        <f t="shared" ref="N572" si="74">+N570+M572</f>
        <v>4.5839653375467737</v>
      </c>
    </row>
    <row r="573" spans="1:14">
      <c r="A573" s="15">
        <v>3</v>
      </c>
      <c r="B573" s="71">
        <v>45017</v>
      </c>
      <c r="C573">
        <v>2023</v>
      </c>
      <c r="D573" s="11" t="s">
        <v>30</v>
      </c>
      <c r="E573" s="15">
        <v>4</v>
      </c>
      <c r="F573" s="78">
        <v>6.6710000000000003</v>
      </c>
      <c r="G573" s="78">
        <v>1.869</v>
      </c>
    </row>
    <row r="574" spans="1:14">
      <c r="A574" s="15">
        <v>4</v>
      </c>
      <c r="B574" s="71">
        <v>45017</v>
      </c>
      <c r="C574">
        <v>2023</v>
      </c>
      <c r="D574" s="11" t="s">
        <v>30</v>
      </c>
      <c r="E574" s="15">
        <v>4</v>
      </c>
      <c r="F574" s="78">
        <v>10.95</v>
      </c>
      <c r="G574" s="78">
        <v>2.9510000000000001</v>
      </c>
      <c r="I574" s="27">
        <f t="shared" ref="I574" si="75">AVERAGE(F573:F574)</f>
        <v>8.8104999999999993</v>
      </c>
      <c r="J574" s="27">
        <f t="shared" ref="J574" si="76">AVERAGE(G573:G574)</f>
        <v>2.41</v>
      </c>
      <c r="L574">
        <f t="shared" ref="L574" si="77">+J574/I574</f>
        <v>0.27353725668236767</v>
      </c>
      <c r="M574">
        <f t="shared" ref="M574" si="78">+(L574-$L$619)/$L$620</f>
        <v>0.63560599106003246</v>
      </c>
      <c r="N574">
        <f t="shared" ref="N574" si="79">+N572+M574</f>
        <v>5.2195713286068059</v>
      </c>
    </row>
    <row r="575" spans="1:14">
      <c r="A575" s="15">
        <v>3</v>
      </c>
      <c r="B575" s="71">
        <v>45047</v>
      </c>
      <c r="C575">
        <v>2023</v>
      </c>
      <c r="D575" s="11" t="s">
        <v>31</v>
      </c>
      <c r="E575" s="15">
        <v>5</v>
      </c>
      <c r="F575" s="78">
        <v>2.2709999999999999</v>
      </c>
      <c r="G575" s="78">
        <v>0.41599999999999998</v>
      </c>
    </row>
    <row r="576" spans="1:14">
      <c r="A576" s="15">
        <v>4</v>
      </c>
      <c r="B576" s="71">
        <v>45047</v>
      </c>
      <c r="C576">
        <v>2023</v>
      </c>
      <c r="D576" s="11" t="s">
        <v>31</v>
      </c>
      <c r="E576" s="15">
        <v>5</v>
      </c>
      <c r="F576" s="78">
        <v>3.1110000000000002</v>
      </c>
      <c r="G576" s="78">
        <v>0.58799999999999997</v>
      </c>
      <c r="I576" s="27">
        <f t="shared" ref="I576" si="80">AVERAGE(F575:F576)</f>
        <v>2.6909999999999998</v>
      </c>
      <c r="J576" s="27">
        <f t="shared" ref="J576" si="81">AVERAGE(G575:G576)</f>
        <v>0.502</v>
      </c>
      <c r="L576">
        <f t="shared" ref="L576" si="82">+J576/I576</f>
        <v>0.18654775176514307</v>
      </c>
      <c r="M576">
        <f t="shared" ref="M576" si="83">+(L576-$L$619)/$L$620</f>
        <v>-0.19067691424023822</v>
      </c>
      <c r="N576">
        <f t="shared" ref="N576" si="84">+N574+M576</f>
        <v>5.0288944143665679</v>
      </c>
    </row>
    <row r="577" spans="1:14">
      <c r="A577" s="15">
        <v>3</v>
      </c>
      <c r="B577" s="71">
        <v>45078</v>
      </c>
      <c r="C577">
        <v>2023</v>
      </c>
      <c r="D577" s="11" t="s">
        <v>32</v>
      </c>
      <c r="E577" s="15">
        <v>6</v>
      </c>
      <c r="F577" s="78">
        <v>10.451000000000001</v>
      </c>
      <c r="G577" s="78">
        <v>1.877</v>
      </c>
    </row>
    <row r="578" spans="1:14">
      <c r="A578" s="15">
        <v>4</v>
      </c>
      <c r="B578" s="71">
        <v>45078</v>
      </c>
      <c r="C578">
        <v>2023</v>
      </c>
      <c r="D578" s="11" t="s">
        <v>32</v>
      </c>
      <c r="E578" s="15">
        <v>6</v>
      </c>
      <c r="F578" s="78">
        <v>10.366</v>
      </c>
      <c r="G578" s="78">
        <v>2.2639999999999998</v>
      </c>
      <c r="I578" s="27">
        <f t="shared" ref="I578" si="85">AVERAGE(F577:F578)</f>
        <v>10.4085</v>
      </c>
      <c r="J578" s="27">
        <f t="shared" ref="J578" si="86">AVERAGE(G577:G578)</f>
        <v>2.0705</v>
      </c>
      <c r="L578">
        <f t="shared" ref="L578" si="87">+J578/I578</f>
        <v>0.19892395638180332</v>
      </c>
      <c r="M578">
        <f t="shared" ref="M578" si="88">+(L578-$L$619)/$L$620</f>
        <v>-7.3119671938704209E-2</v>
      </c>
      <c r="N578">
        <f t="shared" ref="N578" si="89">+N576+M578</f>
        <v>4.955774742427864</v>
      </c>
    </row>
    <row r="579" spans="1:14">
      <c r="A579" s="15">
        <v>3</v>
      </c>
      <c r="B579" s="71">
        <v>45108</v>
      </c>
      <c r="C579">
        <v>2023</v>
      </c>
      <c r="D579" s="11" t="s">
        <v>33</v>
      </c>
      <c r="E579" s="15">
        <v>7</v>
      </c>
      <c r="F579" s="78">
        <v>7.2629999999999999</v>
      </c>
      <c r="G579" s="78">
        <v>0.83</v>
      </c>
    </row>
    <row r="580" spans="1:14">
      <c r="A580" s="15">
        <v>4</v>
      </c>
      <c r="B580" s="71">
        <v>45108</v>
      </c>
      <c r="C580">
        <v>2023</v>
      </c>
      <c r="D580" s="11" t="s">
        <v>33</v>
      </c>
      <c r="E580" s="15">
        <v>7</v>
      </c>
      <c r="F580" s="78">
        <v>10.723000000000001</v>
      </c>
      <c r="G580" s="78">
        <v>1.1279999999999999</v>
      </c>
      <c r="I580" s="27">
        <f t="shared" ref="I580" si="90">AVERAGE(F579:F580)</f>
        <v>8.9930000000000003</v>
      </c>
      <c r="J580" s="27">
        <f t="shared" ref="J580" si="91">AVERAGE(G579:G580)</f>
        <v>0.97899999999999987</v>
      </c>
      <c r="L580">
        <f t="shared" ref="L580" si="92">+J580/I580</f>
        <v>0.10886244857111084</v>
      </c>
      <c r="M580">
        <f t="shared" ref="M580" si="93">+(L580-$L$619)/$L$620</f>
        <v>-0.92858245909162895</v>
      </c>
      <c r="N580">
        <f t="shared" ref="N580" si="94">+N578+M580</f>
        <v>4.0271922833362348</v>
      </c>
    </row>
    <row r="581" spans="1:14">
      <c r="A581" s="15">
        <v>3</v>
      </c>
      <c r="B581" s="71">
        <v>45139</v>
      </c>
      <c r="C581">
        <v>2023</v>
      </c>
      <c r="D581" s="11" t="s">
        <v>34</v>
      </c>
      <c r="E581" s="15">
        <v>8</v>
      </c>
      <c r="F581" s="78">
        <v>16.826000000000001</v>
      </c>
      <c r="G581" s="78">
        <v>1.732</v>
      </c>
    </row>
    <row r="582" spans="1:14">
      <c r="A582" s="15">
        <v>4</v>
      </c>
      <c r="B582" s="71">
        <v>45139</v>
      </c>
      <c r="C582">
        <v>2023</v>
      </c>
      <c r="D582" s="11" t="s">
        <v>34</v>
      </c>
      <c r="E582" s="15">
        <v>8</v>
      </c>
      <c r="F582" s="78">
        <v>33.787999999999997</v>
      </c>
      <c r="G582" s="78">
        <v>3.589</v>
      </c>
      <c r="I582" s="27">
        <f t="shared" ref="I582" si="95">AVERAGE(F581:F582)</f>
        <v>25.306999999999999</v>
      </c>
      <c r="J582" s="27">
        <f t="shared" ref="J582" si="96">AVERAGE(G581:G582)</f>
        <v>2.6604999999999999</v>
      </c>
      <c r="L582">
        <f t="shared" ref="L582" si="97">+J582/I582</f>
        <v>0.10512901568735923</v>
      </c>
      <c r="M582">
        <f t="shared" ref="M582" si="98">+(L582-$L$619)/$L$620</f>
        <v>-0.96404503325922852</v>
      </c>
      <c r="N582">
        <f t="shared" ref="N582" si="99">+N580+M582</f>
        <v>3.0631472500770061</v>
      </c>
    </row>
    <row r="583" spans="1:14">
      <c r="A583" s="15">
        <v>3</v>
      </c>
      <c r="B583" s="71">
        <v>45170</v>
      </c>
      <c r="C583">
        <v>2023</v>
      </c>
      <c r="D583" s="11" t="s">
        <v>40</v>
      </c>
      <c r="E583" s="15">
        <v>9</v>
      </c>
      <c r="F583" s="78">
        <v>2.5830000000000002</v>
      </c>
      <c r="G583" s="78">
        <v>0.26800000000000002</v>
      </c>
    </row>
    <row r="584" spans="1:14">
      <c r="A584" s="15">
        <v>4</v>
      </c>
      <c r="B584" s="71">
        <v>45170</v>
      </c>
      <c r="C584">
        <v>2023</v>
      </c>
      <c r="D584" s="11" t="s">
        <v>40</v>
      </c>
      <c r="E584" s="15">
        <v>9</v>
      </c>
      <c r="F584" s="78">
        <v>3.5710000000000002</v>
      </c>
      <c r="G584" s="78">
        <v>0.44600000000000001</v>
      </c>
      <c r="I584" s="27">
        <f t="shared" ref="I584" si="100">AVERAGE(F583:F584)</f>
        <v>3.077</v>
      </c>
      <c r="J584" s="27">
        <f t="shared" ref="J584" si="101">AVERAGE(G583:G584)</f>
        <v>0.35699999999999998</v>
      </c>
      <c r="L584">
        <f t="shared" ref="L584" si="102">+J584/I584</f>
        <v>0.11602209944751381</v>
      </c>
      <c r="M584">
        <f t="shared" ref="M584" si="103">+(L584-$L$619)/$L$620</f>
        <v>-0.86057543763864819</v>
      </c>
      <c r="N584">
        <f t="shared" ref="N584" si="104">+N582+M584</f>
        <v>2.2025718124383578</v>
      </c>
    </row>
    <row r="585" spans="1:14">
      <c r="A585" s="15">
        <v>3</v>
      </c>
      <c r="B585" s="71">
        <v>45200</v>
      </c>
      <c r="C585">
        <v>2023</v>
      </c>
      <c r="D585" s="11" t="s">
        <v>36</v>
      </c>
      <c r="E585" s="15">
        <v>10</v>
      </c>
      <c r="F585" s="98">
        <v>1.5940000000000001</v>
      </c>
      <c r="G585" s="78">
        <v>0.192</v>
      </c>
    </row>
    <row r="586" spans="1:14">
      <c r="A586" s="15">
        <v>4</v>
      </c>
      <c r="B586" s="71">
        <v>45200</v>
      </c>
      <c r="C586">
        <v>2023</v>
      </c>
      <c r="D586" s="11" t="s">
        <v>36</v>
      </c>
      <c r="E586" s="15">
        <v>10</v>
      </c>
      <c r="F586" s="98">
        <v>1.7290000000000001</v>
      </c>
      <c r="G586" s="78">
        <v>0.216</v>
      </c>
      <c r="I586" s="27">
        <f t="shared" ref="I586" si="105">AVERAGE(F585:F586)</f>
        <v>1.6615000000000002</v>
      </c>
      <c r="J586" s="27">
        <f t="shared" ref="J586" si="106">AVERAGE(G585:G586)</f>
        <v>0.20400000000000001</v>
      </c>
      <c r="L586">
        <f t="shared" ref="L586" si="107">+J586/I586</f>
        <v>0.12278061992175744</v>
      </c>
      <c r="M586">
        <f t="shared" ref="M586" si="108">+(L586-$L$619)/$L$620</f>
        <v>-0.79637861368496188</v>
      </c>
      <c r="N586">
        <f t="shared" ref="N586" si="109">+N584+M586</f>
        <v>1.406193198753396</v>
      </c>
    </row>
    <row r="587" spans="1:14">
      <c r="A587" s="15">
        <v>3</v>
      </c>
      <c r="B587" s="71">
        <v>45231</v>
      </c>
      <c r="C587">
        <v>2023</v>
      </c>
      <c r="D587" s="11" t="s">
        <v>37</v>
      </c>
      <c r="E587" s="15">
        <v>11</v>
      </c>
      <c r="F587" s="78">
        <v>0.71799999999999997</v>
      </c>
      <c r="G587" s="78">
        <v>5.3999999999999999E-2</v>
      </c>
    </row>
    <row r="588" spans="1:14">
      <c r="A588" s="15">
        <v>4</v>
      </c>
      <c r="B588" s="71">
        <v>45231</v>
      </c>
      <c r="C588">
        <v>2023</v>
      </c>
      <c r="D588" s="11" t="s">
        <v>37</v>
      </c>
      <c r="E588" s="15">
        <v>11</v>
      </c>
      <c r="F588" s="78">
        <v>1.911</v>
      </c>
      <c r="G588" s="78">
        <v>0.219</v>
      </c>
      <c r="I588" s="27">
        <f t="shared" ref="I588" si="110">AVERAGE(F587:F588)</f>
        <v>1.3145</v>
      </c>
      <c r="J588" s="27">
        <f t="shared" ref="J588" si="111">AVERAGE(G587:G588)</f>
        <v>0.13650000000000001</v>
      </c>
      <c r="L588">
        <f t="shared" ref="L588" si="112">+J588/I588</f>
        <v>0.10384176492963104</v>
      </c>
      <c r="M588">
        <f t="shared" ref="M588" si="113">+(L588-$L$619)/$L$620</f>
        <v>-0.97627217832641489</v>
      </c>
      <c r="N588">
        <f t="shared" ref="N588" si="114">+N586+M588</f>
        <v>0.4299210204269811</v>
      </c>
    </row>
    <row r="589" spans="1:14">
      <c r="A589" s="15">
        <v>3</v>
      </c>
      <c r="B589" s="72">
        <v>45261</v>
      </c>
      <c r="C589">
        <v>2023</v>
      </c>
      <c r="D589" s="11" t="s">
        <v>38</v>
      </c>
      <c r="E589" s="15">
        <v>12</v>
      </c>
      <c r="F589" s="78">
        <v>2.25</v>
      </c>
      <c r="G589" s="78">
        <v>0.443</v>
      </c>
    </row>
    <row r="590" spans="1:14">
      <c r="A590" s="15">
        <v>4</v>
      </c>
      <c r="B590" s="71">
        <v>45261</v>
      </c>
      <c r="C590">
        <v>2023</v>
      </c>
      <c r="D590" s="11" t="s">
        <v>38</v>
      </c>
      <c r="E590" s="15">
        <v>12</v>
      </c>
      <c r="F590" s="78">
        <v>2.544</v>
      </c>
      <c r="G590" s="78">
        <v>0.52400000000000002</v>
      </c>
      <c r="I590" s="27">
        <f t="shared" ref="I590" si="115">AVERAGE(F589:F590)</f>
        <v>2.3970000000000002</v>
      </c>
      <c r="J590" s="27">
        <f t="shared" ref="J590" si="116">AVERAGE(G589:G590)</f>
        <v>0.48350000000000004</v>
      </c>
      <c r="L590">
        <f t="shared" ref="L590" si="117">+J590/I590</f>
        <v>0.20171047142261159</v>
      </c>
      <c r="M590">
        <f t="shared" ref="M590" si="118">+(L590-$L$619)/$L$620</f>
        <v>-4.6651539423490283E-2</v>
      </c>
      <c r="N590">
        <f t="shared" ref="N590" si="119">+N588+M590</f>
        <v>0.38326948100349084</v>
      </c>
    </row>
    <row r="591" spans="1:14">
      <c r="A591" s="93">
        <v>3</v>
      </c>
      <c r="B591" s="90">
        <v>45292</v>
      </c>
      <c r="C591" s="91">
        <v>2024</v>
      </c>
      <c r="D591" s="92" t="s">
        <v>39</v>
      </c>
      <c r="E591" s="93">
        <v>1</v>
      </c>
      <c r="F591" s="78">
        <v>0.79400000000000004</v>
      </c>
      <c r="G591" s="78">
        <v>0.11600000000000001</v>
      </c>
    </row>
    <row r="592" spans="1:14">
      <c r="A592" s="15">
        <v>4</v>
      </c>
      <c r="B592" s="73">
        <v>45292</v>
      </c>
      <c r="C592">
        <v>2024</v>
      </c>
      <c r="D592" s="11" t="s">
        <v>39</v>
      </c>
      <c r="E592" s="15">
        <v>1</v>
      </c>
      <c r="F592" s="78">
        <v>1.02</v>
      </c>
      <c r="G592" s="78">
        <v>0.13</v>
      </c>
      <c r="I592" s="27">
        <f t="shared" ref="I592" si="120">AVERAGE(F591:F592)</f>
        <v>0.90700000000000003</v>
      </c>
      <c r="J592" s="27">
        <f t="shared" ref="J592" si="121">AVERAGE(G591:G592)</f>
        <v>0.123</v>
      </c>
      <c r="L592">
        <f t="shared" ref="L592" si="122">+J592/I592</f>
        <v>0.13561190738699008</v>
      </c>
      <c r="M592">
        <f t="shared" ref="M592" si="123">+(L592-$L$619)/$L$620</f>
        <v>-0.67449869845146293</v>
      </c>
      <c r="N592">
        <f t="shared" ref="N592" si="124">+N590+M592</f>
        <v>-0.29122921744797209</v>
      </c>
    </row>
    <row r="593" spans="1:14">
      <c r="A593" s="15">
        <v>3</v>
      </c>
      <c r="B593" s="71">
        <v>45323</v>
      </c>
      <c r="C593">
        <v>2024</v>
      </c>
      <c r="D593" s="11" t="s">
        <v>28</v>
      </c>
      <c r="E593" s="15">
        <v>2</v>
      </c>
      <c r="F593" s="78">
        <v>1.0820000000000001</v>
      </c>
      <c r="G593" s="78">
        <v>0.20899999999999999</v>
      </c>
    </row>
    <row r="594" spans="1:14">
      <c r="A594" s="15">
        <v>4</v>
      </c>
      <c r="B594" s="71">
        <v>45323</v>
      </c>
      <c r="C594">
        <v>2024</v>
      </c>
      <c r="D594" s="11" t="s">
        <v>28</v>
      </c>
      <c r="E594" s="15">
        <v>2</v>
      </c>
      <c r="F594" s="78">
        <v>1.1970000000000001</v>
      </c>
      <c r="G594" s="78">
        <v>0.223</v>
      </c>
      <c r="I594" s="27">
        <f t="shared" ref="I594" si="125">AVERAGE(F593:F594)</f>
        <v>1.1395</v>
      </c>
      <c r="J594" s="27">
        <f t="shared" ref="J594" si="126">AVERAGE(G593:G594)</f>
        <v>0.216</v>
      </c>
      <c r="L594">
        <f t="shared" ref="L594" si="127">+J594/I594</f>
        <v>0.18955682316805617</v>
      </c>
      <c r="M594">
        <f t="shared" ref="M594" si="128">+(L594-$L$619)/$L$620</f>
        <v>-0.16209479662247628</v>
      </c>
      <c r="N594">
        <f t="shared" ref="N594" si="129">+N592+M594</f>
        <v>-0.45332401407044837</v>
      </c>
    </row>
    <row r="595" spans="1:14">
      <c r="A595" s="15">
        <v>3</v>
      </c>
      <c r="B595" s="71">
        <v>45352</v>
      </c>
      <c r="C595">
        <v>2024</v>
      </c>
      <c r="D595" s="11" t="s">
        <v>29</v>
      </c>
      <c r="E595" s="15">
        <v>3</v>
      </c>
    </row>
    <row r="596" spans="1:14">
      <c r="A596" s="15">
        <v>4</v>
      </c>
      <c r="B596" s="71">
        <v>45352</v>
      </c>
      <c r="C596">
        <v>2024</v>
      </c>
      <c r="D596" s="11" t="s">
        <v>29</v>
      </c>
      <c r="E596" s="15">
        <v>3</v>
      </c>
      <c r="I596" s="27"/>
      <c r="J596" s="27"/>
    </row>
    <row r="597" spans="1:14">
      <c r="A597" s="15">
        <v>3</v>
      </c>
      <c r="B597" s="71">
        <v>45383</v>
      </c>
      <c r="C597">
        <v>2024</v>
      </c>
      <c r="D597" s="11" t="s">
        <v>30</v>
      </c>
      <c r="E597" s="15">
        <v>4</v>
      </c>
      <c r="F597" s="78">
        <v>0.67600000000000005</v>
      </c>
      <c r="G597" s="78">
        <v>0.25</v>
      </c>
    </row>
    <row r="598" spans="1:14">
      <c r="A598" s="15">
        <v>4</v>
      </c>
      <c r="B598" s="71">
        <v>45383</v>
      </c>
      <c r="C598">
        <v>2024</v>
      </c>
      <c r="D598" s="11" t="s">
        <v>30</v>
      </c>
      <c r="E598" s="15">
        <v>4</v>
      </c>
      <c r="F598" s="78">
        <v>5.6429999999999998</v>
      </c>
      <c r="G598" s="78">
        <v>1.56</v>
      </c>
      <c r="I598" s="27">
        <f t="shared" ref="I598" si="130">AVERAGE(F597:F598)</f>
        <v>3.1595</v>
      </c>
      <c r="J598" s="27">
        <f t="shared" ref="J598" si="131">AVERAGE(G597:G598)</f>
        <v>0.90500000000000003</v>
      </c>
      <c r="L598">
        <f t="shared" ref="L598" si="132">+J598/I598</f>
        <v>0.28643772748852669</v>
      </c>
      <c r="M598">
        <f t="shared" ref="M598" si="133">+(L598-$L$619)/$L$620</f>
        <v>0.75814305467014798</v>
      </c>
      <c r="N598">
        <f>+N594+M598</f>
        <v>0.30481904059969961</v>
      </c>
    </row>
    <row r="599" spans="1:14">
      <c r="A599" s="15">
        <v>3</v>
      </c>
      <c r="B599" s="71">
        <v>45413</v>
      </c>
      <c r="C599">
        <v>2024</v>
      </c>
      <c r="D599" s="11" t="s">
        <v>31</v>
      </c>
      <c r="E599" s="15">
        <v>5</v>
      </c>
      <c r="F599" s="78">
        <v>8.4570000000000007</v>
      </c>
      <c r="G599" s="78">
        <v>1.524</v>
      </c>
    </row>
    <row r="600" spans="1:14">
      <c r="A600" s="15">
        <v>4</v>
      </c>
      <c r="B600" s="71">
        <v>45413</v>
      </c>
      <c r="C600">
        <v>2024</v>
      </c>
      <c r="D600" s="11" t="s">
        <v>31</v>
      </c>
      <c r="E600" s="15">
        <v>5</v>
      </c>
      <c r="F600" s="78">
        <v>8.4969999999999999</v>
      </c>
      <c r="G600" s="78">
        <v>1.4350000000000001</v>
      </c>
      <c r="I600" s="27">
        <f t="shared" ref="I600:J600" si="134">AVERAGE(F599:F600)</f>
        <v>8.4770000000000003</v>
      </c>
      <c r="J600" s="27">
        <f t="shared" si="134"/>
        <v>1.4795</v>
      </c>
      <c r="L600">
        <f t="shared" ref="L600" si="135">+J600/I600</f>
        <v>0.17453108410994456</v>
      </c>
      <c r="M600">
        <f t="shared" ref="M600" si="136">+(L600-$L$619)/$L$620</f>
        <v>-0.30481904059919818</v>
      </c>
      <c r="N600">
        <f t="shared" ref="N600" si="137">+N598+M600</f>
        <v>5.0143222907195195E-13</v>
      </c>
    </row>
    <row r="601" spans="1:14">
      <c r="A601" s="15">
        <v>3</v>
      </c>
      <c r="B601" s="71">
        <v>45444</v>
      </c>
      <c r="C601">
        <v>2024</v>
      </c>
      <c r="D601" s="11" t="s">
        <v>32</v>
      </c>
      <c r="E601" s="15">
        <v>6</v>
      </c>
      <c r="H601" s="96" t="s">
        <v>105</v>
      </c>
    </row>
    <row r="602" spans="1:14">
      <c r="A602" s="15">
        <v>4</v>
      </c>
      <c r="B602" s="71">
        <v>45444</v>
      </c>
      <c r="C602">
        <v>2024</v>
      </c>
      <c r="D602" s="11" t="s">
        <v>32</v>
      </c>
      <c r="E602" s="15">
        <v>6</v>
      </c>
      <c r="H602" s="96" t="s">
        <v>106</v>
      </c>
    </row>
    <row r="603" spans="1:14">
      <c r="A603" s="15">
        <v>3</v>
      </c>
      <c r="B603" s="71">
        <v>45474</v>
      </c>
      <c r="C603">
        <v>2024</v>
      </c>
      <c r="D603" s="11" t="s">
        <v>33</v>
      </c>
      <c r="E603" s="15">
        <v>7</v>
      </c>
    </row>
    <row r="604" spans="1:14">
      <c r="A604" s="15">
        <v>4</v>
      </c>
      <c r="B604" s="71">
        <v>45474</v>
      </c>
      <c r="C604">
        <v>2024</v>
      </c>
      <c r="D604" s="11" t="s">
        <v>33</v>
      </c>
      <c r="E604" s="15">
        <v>7</v>
      </c>
    </row>
    <row r="605" spans="1:14">
      <c r="A605" s="15">
        <v>3</v>
      </c>
      <c r="B605" s="71">
        <v>45505</v>
      </c>
      <c r="C605">
        <v>2024</v>
      </c>
      <c r="D605" s="11" t="s">
        <v>34</v>
      </c>
      <c r="E605" s="15">
        <v>8</v>
      </c>
    </row>
    <row r="606" spans="1:14">
      <c r="A606" s="15">
        <v>4</v>
      </c>
      <c r="B606" s="71">
        <v>45505</v>
      </c>
      <c r="C606">
        <v>2024</v>
      </c>
      <c r="D606" s="11" t="s">
        <v>34</v>
      </c>
      <c r="E606" s="15">
        <v>8</v>
      </c>
    </row>
    <row r="607" spans="1:14">
      <c r="A607" s="15">
        <v>3</v>
      </c>
      <c r="B607" s="71">
        <v>45536</v>
      </c>
      <c r="C607">
        <v>2024</v>
      </c>
      <c r="D607" s="11" t="s">
        <v>40</v>
      </c>
      <c r="E607" s="15">
        <v>9</v>
      </c>
    </row>
    <row r="608" spans="1:14">
      <c r="A608" s="15">
        <v>4</v>
      </c>
      <c r="B608" s="71">
        <v>45536</v>
      </c>
      <c r="C608">
        <v>2024</v>
      </c>
      <c r="D608" s="11" t="s">
        <v>40</v>
      </c>
      <c r="E608" s="15">
        <v>9</v>
      </c>
    </row>
    <row r="609" spans="1:12">
      <c r="A609" s="15">
        <v>3</v>
      </c>
      <c r="B609" s="71">
        <v>45566</v>
      </c>
      <c r="C609">
        <v>2024</v>
      </c>
      <c r="D609" s="11" t="s">
        <v>36</v>
      </c>
      <c r="E609" s="15">
        <v>10</v>
      </c>
    </row>
    <row r="610" spans="1:12">
      <c r="A610" s="15">
        <v>4</v>
      </c>
      <c r="B610" s="71">
        <v>45566</v>
      </c>
      <c r="C610">
        <v>2024</v>
      </c>
      <c r="D610" s="11" t="s">
        <v>36</v>
      </c>
      <c r="E610" s="15">
        <v>10</v>
      </c>
    </row>
    <row r="611" spans="1:12">
      <c r="A611" s="15">
        <v>3</v>
      </c>
      <c r="B611" s="71">
        <v>45597</v>
      </c>
      <c r="C611">
        <v>2024</v>
      </c>
      <c r="D611" s="11" t="s">
        <v>37</v>
      </c>
      <c r="E611" s="15">
        <v>11</v>
      </c>
    </row>
    <row r="612" spans="1:12">
      <c r="A612" s="15">
        <v>4</v>
      </c>
      <c r="B612" s="71">
        <v>45597</v>
      </c>
      <c r="C612">
        <v>2024</v>
      </c>
      <c r="D612" s="11" t="s">
        <v>37</v>
      </c>
      <c r="E612" s="15">
        <v>11</v>
      </c>
    </row>
    <row r="613" spans="1:12">
      <c r="A613" s="15">
        <v>3</v>
      </c>
      <c r="B613" s="72">
        <v>45627</v>
      </c>
      <c r="C613">
        <v>2024</v>
      </c>
      <c r="D613" s="11" t="s">
        <v>38</v>
      </c>
      <c r="E613" s="15">
        <v>12</v>
      </c>
    </row>
    <row r="614" spans="1:12">
      <c r="A614" s="15">
        <v>4</v>
      </c>
      <c r="B614" s="71">
        <v>45627</v>
      </c>
      <c r="C614">
        <v>2024</v>
      </c>
      <c r="D614" s="11" t="s">
        <v>38</v>
      </c>
      <c r="E614" s="15">
        <v>12</v>
      </c>
    </row>
    <row r="619" spans="1:12">
      <c r="K619" s="86" t="s">
        <v>90</v>
      </c>
      <c r="L619" s="86">
        <f>AVERAGE(L4:L614)</f>
        <v>0.20662185745280068</v>
      </c>
    </row>
    <row r="620" spans="1:12">
      <c r="K620" s="86" t="s">
        <v>91</v>
      </c>
      <c r="L620" s="86">
        <f>STDEV(L4:L614)</f>
        <v>0.10527811281005828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9C52-828F-4E4B-83A8-8BEAEDE09171}">
  <sheetPr>
    <tabColor theme="9" tint="0.39997558519241921"/>
  </sheetPr>
  <dimension ref="A1:Q620"/>
  <sheetViews>
    <sheetView workbookViewId="0">
      <pane ySplit="2" topLeftCell="A526" activePane="bottomLeft" state="frozen"/>
      <selection pane="bottomLeft" activeCell="J605" sqref="J605"/>
    </sheetView>
  </sheetViews>
  <sheetFormatPr defaultColWidth="11.42578125" defaultRowHeight="15"/>
  <cols>
    <col min="2" max="2" width="10.85546875" style="70"/>
    <col min="12" max="12" width="12" bestFit="1" customWidth="1"/>
    <col min="14" max="14" width="12.28515625" bestFit="1" customWidth="1"/>
  </cols>
  <sheetData>
    <row r="1" spans="1:17" ht="18">
      <c r="F1" s="1" t="s">
        <v>0</v>
      </c>
      <c r="G1" s="1" t="s">
        <v>1</v>
      </c>
      <c r="I1" s="68" t="s">
        <v>82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9</v>
      </c>
      <c r="I2" s="6" t="s">
        <v>7</v>
      </c>
      <c r="J2" s="6" t="s">
        <v>9</v>
      </c>
      <c r="L2" s="67" t="s">
        <v>83</v>
      </c>
      <c r="M2" s="69" t="s">
        <v>84</v>
      </c>
      <c r="N2" s="69" t="s">
        <v>85</v>
      </c>
    </row>
    <row r="3" spans="1:17">
      <c r="A3" s="8">
        <v>3</v>
      </c>
      <c r="B3" s="74">
        <v>36445</v>
      </c>
      <c r="C3" s="10">
        <v>1999</v>
      </c>
      <c r="D3" s="11" t="s">
        <v>14</v>
      </c>
      <c r="E3" s="12">
        <v>10</v>
      </c>
      <c r="F3" s="13">
        <v>11.587624269536716</v>
      </c>
      <c r="G3" s="13">
        <v>5.5105851333333324E-2</v>
      </c>
    </row>
    <row r="4" spans="1:17">
      <c r="A4" s="8">
        <v>4</v>
      </c>
      <c r="B4" s="74">
        <v>36444</v>
      </c>
      <c r="C4" s="10">
        <v>1999</v>
      </c>
      <c r="D4" s="11" t="s">
        <v>14</v>
      </c>
      <c r="E4" s="12">
        <v>10</v>
      </c>
      <c r="F4" s="13">
        <v>14.372718367248131</v>
      </c>
      <c r="G4" s="13">
        <v>8.7489916333333348E-2</v>
      </c>
      <c r="I4" s="27">
        <f>AVERAGE(F3:F4)</f>
        <v>12.980171318392424</v>
      </c>
      <c r="J4" s="27">
        <f>AVERAGE(G3:G4)</f>
        <v>7.1297883833333339E-2</v>
      </c>
      <c r="L4">
        <f>+J4/I4</f>
        <v>5.4928307249925788E-3</v>
      </c>
      <c r="M4">
        <f>+(L4-$L$619)/$L$620</f>
        <v>-0.22383608623575421</v>
      </c>
      <c r="N4">
        <f>+M4</f>
        <v>-0.22383608623575421</v>
      </c>
    </row>
    <row r="5" spans="1:17">
      <c r="A5" s="8">
        <v>3</v>
      </c>
      <c r="B5" s="74">
        <v>36472</v>
      </c>
      <c r="C5" s="10">
        <v>1999</v>
      </c>
      <c r="D5" s="11" t="s">
        <v>16</v>
      </c>
      <c r="E5" s="10">
        <v>11</v>
      </c>
      <c r="F5" s="13">
        <v>4.1068763245169384</v>
      </c>
      <c r="G5" s="13">
        <v>0</v>
      </c>
    </row>
    <row r="6" spans="1:17">
      <c r="A6" s="8">
        <v>4</v>
      </c>
      <c r="B6" s="74">
        <v>36472</v>
      </c>
      <c r="C6" s="10">
        <v>1999</v>
      </c>
      <c r="D6" s="11" t="s">
        <v>16</v>
      </c>
      <c r="E6" s="10">
        <v>11</v>
      </c>
      <c r="F6" s="13">
        <v>4.5627969464577083</v>
      </c>
      <c r="G6" s="13">
        <v>1.4422445833333335E-2</v>
      </c>
      <c r="I6" s="27">
        <f>AVERAGE(F5:F6)</f>
        <v>4.3348366354873233</v>
      </c>
      <c r="J6" s="27">
        <f>AVERAGE(G5:G6)</f>
        <v>7.2112229166666677E-3</v>
      </c>
      <c r="L6">
        <f>+J6/I6</f>
        <v>1.6635512530349325E-3</v>
      </c>
      <c r="M6">
        <f>+(L6-$L$619)/$L$620</f>
        <v>-0.36448046799597561</v>
      </c>
      <c r="N6">
        <f>+N4+M6</f>
        <v>-0.58831655423172979</v>
      </c>
      <c r="Q6" t="s">
        <v>107</v>
      </c>
    </row>
    <row r="7" spans="1:17">
      <c r="A7" s="8">
        <v>3</v>
      </c>
      <c r="B7" s="74">
        <v>36501</v>
      </c>
      <c r="C7" s="10">
        <v>1999</v>
      </c>
      <c r="D7" s="11" t="s">
        <v>17</v>
      </c>
      <c r="E7" s="10">
        <v>12</v>
      </c>
      <c r="F7" s="13">
        <v>3.6119794887362189</v>
      </c>
      <c r="G7" s="13">
        <v>0</v>
      </c>
    </row>
    <row r="8" spans="1:17">
      <c r="A8" s="8">
        <v>4</v>
      </c>
      <c r="B8" s="74">
        <v>36501</v>
      </c>
      <c r="C8" s="10">
        <v>1999</v>
      </c>
      <c r="D8" s="11" t="s">
        <v>17</v>
      </c>
      <c r="E8" s="10">
        <v>12</v>
      </c>
      <c r="F8" s="13">
        <v>7.6863744774797018</v>
      </c>
      <c r="G8" s="13">
        <v>1.9299238E-2</v>
      </c>
      <c r="I8" s="27">
        <f>AVERAGE(F7:F8)</f>
        <v>5.6491769831079601</v>
      </c>
      <c r="J8" s="27">
        <f>AVERAGE(G7:G8)</f>
        <v>9.6496189999999999E-3</v>
      </c>
      <c r="L8">
        <f>+J8/I8</f>
        <v>1.7081459881420019E-3</v>
      </c>
      <c r="M8">
        <f>+(L8-$L$619)/$L$620</f>
        <v>-0.36284256222419131</v>
      </c>
      <c r="N8">
        <f>+N6+M8</f>
        <v>-0.95115911645592111</v>
      </c>
    </row>
    <row r="9" spans="1:17">
      <c r="A9" s="8">
        <v>3</v>
      </c>
      <c r="B9" s="74">
        <v>36530</v>
      </c>
      <c r="C9" s="12">
        <v>2000</v>
      </c>
      <c r="D9" s="11" t="s">
        <v>18</v>
      </c>
      <c r="E9" s="10">
        <v>1</v>
      </c>
      <c r="F9" s="13">
        <v>5.2430358388163469</v>
      </c>
      <c r="G9" s="13">
        <v>0</v>
      </c>
    </row>
    <row r="10" spans="1:17">
      <c r="A10" s="8">
        <v>4</v>
      </c>
      <c r="B10" s="74">
        <v>36530</v>
      </c>
      <c r="C10" s="12">
        <v>2000</v>
      </c>
      <c r="D10" s="11" t="s">
        <v>18</v>
      </c>
      <c r="E10" s="10">
        <v>1</v>
      </c>
      <c r="F10" s="13">
        <v>9.2030291353057638</v>
      </c>
      <c r="G10" s="13">
        <v>0</v>
      </c>
      <c r="I10" s="27">
        <f>AVERAGE(F9:F10)</f>
        <v>7.2230324870610554</v>
      </c>
      <c r="J10" s="27">
        <f>AVERAGE(G9:G10)</f>
        <v>0</v>
      </c>
      <c r="L10">
        <f>+J10/I10</f>
        <v>0</v>
      </c>
      <c r="M10">
        <f>+(L10-$L$619)/$L$620</f>
        <v>-0.4255805102422856</v>
      </c>
      <c r="N10">
        <f>+N8+M10</f>
        <v>-1.3767396266982068</v>
      </c>
    </row>
    <row r="11" spans="1:17">
      <c r="A11" s="8">
        <v>3</v>
      </c>
      <c r="B11" s="74">
        <v>36579</v>
      </c>
      <c r="C11" s="12">
        <v>2000</v>
      </c>
      <c r="D11" s="11" t="s">
        <v>19</v>
      </c>
      <c r="E11" s="12">
        <v>2</v>
      </c>
      <c r="F11" s="13">
        <v>4.3640586854323722</v>
      </c>
      <c r="G11" s="13">
        <v>1.5732128666666668E-2</v>
      </c>
    </row>
    <row r="12" spans="1:17">
      <c r="A12" s="8">
        <v>4</v>
      </c>
      <c r="B12" s="74">
        <v>36579</v>
      </c>
      <c r="C12" s="12">
        <v>2000</v>
      </c>
      <c r="D12" s="11" t="s">
        <v>19</v>
      </c>
      <c r="E12" s="12">
        <v>2</v>
      </c>
      <c r="F12" s="13">
        <v>6.7678057546224348</v>
      </c>
      <c r="G12" s="13">
        <v>0</v>
      </c>
      <c r="I12" s="27">
        <f>AVERAGE(F11:F12)</f>
        <v>5.5659322200274035</v>
      </c>
      <c r="J12" s="27">
        <f>AVERAGE(G11:G12)</f>
        <v>7.8660643333333339E-3</v>
      </c>
      <c r="L12">
        <f>+J12/I12</f>
        <v>1.4132519086433658E-3</v>
      </c>
      <c r="M12">
        <f>+(L12-$L$619)/$L$620</f>
        <v>-0.373673632612123</v>
      </c>
      <c r="N12">
        <f>+N10+M12</f>
        <v>-1.7504132593103299</v>
      </c>
    </row>
    <row r="13" spans="1:17">
      <c r="A13" s="8">
        <v>3</v>
      </c>
      <c r="B13" s="74">
        <v>36598</v>
      </c>
      <c r="C13" s="12">
        <v>2000</v>
      </c>
      <c r="D13" s="11" t="s">
        <v>20</v>
      </c>
      <c r="E13" s="12">
        <v>3</v>
      </c>
      <c r="F13" s="13">
        <v>3.9525320086953584</v>
      </c>
      <c r="G13" s="13">
        <v>1.7598790999999999E-2</v>
      </c>
    </row>
    <row r="14" spans="1:17">
      <c r="A14" s="8">
        <v>4</v>
      </c>
      <c r="B14" s="74">
        <v>36598</v>
      </c>
      <c r="C14" s="12">
        <v>2000</v>
      </c>
      <c r="D14" s="11" t="s">
        <v>20</v>
      </c>
      <c r="E14" s="12">
        <v>3</v>
      </c>
      <c r="F14" s="13">
        <v>15.295362854459274</v>
      </c>
      <c r="G14" s="13">
        <v>0</v>
      </c>
      <c r="I14" s="27">
        <f>AVERAGE(F13:F14)</f>
        <v>9.6239474315773155</v>
      </c>
      <c r="J14" s="27">
        <f>AVERAGE(G13:G14)</f>
        <v>8.7993954999999995E-3</v>
      </c>
      <c r="L14">
        <f>+J14/I14</f>
        <v>9.1432289739323976E-4</v>
      </c>
      <c r="M14">
        <f>+(L14-$L$619)/$L$620</f>
        <v>-0.39199863679199254</v>
      </c>
      <c r="N14">
        <f>+N12+M14</f>
        <v>-2.1424118961023222</v>
      </c>
    </row>
    <row r="15" spans="1:17">
      <c r="A15" s="8">
        <v>3</v>
      </c>
      <c r="B15" s="74">
        <v>36627</v>
      </c>
      <c r="C15" s="12">
        <v>2000</v>
      </c>
      <c r="D15" s="15" t="s">
        <v>21</v>
      </c>
      <c r="E15" s="12">
        <v>4</v>
      </c>
      <c r="F15" s="13">
        <v>20.474116121754371</v>
      </c>
      <c r="G15" s="13">
        <v>0</v>
      </c>
    </row>
    <row r="16" spans="1:17">
      <c r="A16" s="8">
        <v>4</v>
      </c>
      <c r="B16" s="74">
        <v>36627</v>
      </c>
      <c r="C16" s="12">
        <v>2000</v>
      </c>
      <c r="D16" s="15" t="s">
        <v>21</v>
      </c>
      <c r="E16" s="12">
        <v>4</v>
      </c>
      <c r="F16" s="13">
        <v>31.833490623441644</v>
      </c>
      <c r="G16" s="13">
        <v>0</v>
      </c>
      <c r="I16" s="27">
        <f>AVERAGE(F15:F16)</f>
        <v>26.153803372598006</v>
      </c>
      <c r="J16" s="27">
        <f>AVERAGE(G15:G16)</f>
        <v>0</v>
      </c>
      <c r="L16">
        <f>+J16/I16</f>
        <v>0</v>
      </c>
      <c r="M16">
        <f>+(L16-$L$619)/$L$620</f>
        <v>-0.4255805102422856</v>
      </c>
      <c r="N16">
        <f>+N14+M16</f>
        <v>-2.567992406344608</v>
      </c>
    </row>
    <row r="17" spans="1:14">
      <c r="A17" s="8">
        <v>3</v>
      </c>
      <c r="B17" s="74">
        <v>36662</v>
      </c>
      <c r="C17" s="12">
        <v>2000</v>
      </c>
      <c r="D17" s="15" t="s">
        <v>22</v>
      </c>
      <c r="E17" s="12">
        <v>5</v>
      </c>
      <c r="F17" s="13">
        <v>12.217087705074391</v>
      </c>
      <c r="G17" s="13">
        <v>1.4927900798333333</v>
      </c>
    </row>
    <row r="18" spans="1:14">
      <c r="A18" s="8">
        <v>4</v>
      </c>
      <c r="B18" s="74">
        <v>36662</v>
      </c>
      <c r="C18" s="12">
        <v>2000</v>
      </c>
      <c r="D18" s="15" t="s">
        <v>22</v>
      </c>
      <c r="E18" s="12">
        <v>5</v>
      </c>
      <c r="F18" s="13">
        <v>13.170256326163051</v>
      </c>
      <c r="G18" s="13">
        <v>0.47522082200000004</v>
      </c>
      <c r="I18" s="27">
        <f>AVERAGE(F17:F18)</f>
        <v>12.69367201561872</v>
      </c>
      <c r="J18" s="27">
        <f>AVERAGE(G17:G18)</f>
        <v>0.98400545091666669</v>
      </c>
      <c r="L18">
        <f>+J18/I18</f>
        <v>7.7519369470545121E-2</v>
      </c>
      <c r="M18">
        <f>+(L18-$L$619)/$L$620</f>
        <v>2.4216036332679347</v>
      </c>
      <c r="N18">
        <f>+N16+M18</f>
        <v>-0.14638877307667331</v>
      </c>
    </row>
    <row r="19" spans="1:14">
      <c r="A19" s="8">
        <v>3</v>
      </c>
      <c r="B19" s="74">
        <v>36690</v>
      </c>
      <c r="C19" s="12">
        <v>2000</v>
      </c>
      <c r="D19" s="15" t="s">
        <v>23</v>
      </c>
      <c r="E19" s="12">
        <v>6</v>
      </c>
      <c r="F19" s="13">
        <v>18.42501600604221</v>
      </c>
      <c r="G19" s="13">
        <v>0.94923522199999999</v>
      </c>
    </row>
    <row r="20" spans="1:14">
      <c r="A20" s="8">
        <v>4</v>
      </c>
      <c r="B20" s="74">
        <v>36690</v>
      </c>
      <c r="C20" s="12">
        <v>2000</v>
      </c>
      <c r="D20" s="15" t="s">
        <v>23</v>
      </c>
      <c r="E20" s="12">
        <v>6</v>
      </c>
      <c r="F20" s="13">
        <v>32.976907299549254</v>
      </c>
      <c r="G20" s="13">
        <v>8.2978763666666677E-2</v>
      </c>
      <c r="I20" s="27">
        <f>AVERAGE(F19:F20)</f>
        <v>25.700961652795733</v>
      </c>
      <c r="J20" s="27">
        <f>AVERAGE(G19:G20)</f>
        <v>0.51610699283333328</v>
      </c>
      <c r="L20">
        <f>+J20/I20</f>
        <v>2.0081232749405372E-2</v>
      </c>
      <c r="M20">
        <f>+(L20-$L$619)/$L$620</f>
        <v>0.31197666877953012</v>
      </c>
      <c r="N20">
        <f>+N18+M20</f>
        <v>0.16558789570285681</v>
      </c>
    </row>
    <row r="21" spans="1:14">
      <c r="A21" s="8">
        <v>3</v>
      </c>
      <c r="B21" s="74">
        <v>36718</v>
      </c>
      <c r="C21" s="12">
        <v>2000</v>
      </c>
      <c r="D21" s="15" t="s">
        <v>24</v>
      </c>
      <c r="E21" s="12">
        <v>7</v>
      </c>
      <c r="F21" s="13">
        <v>20.025245213728596</v>
      </c>
      <c r="G21" s="13">
        <v>0.11907997366666667</v>
      </c>
    </row>
    <row r="22" spans="1:14">
      <c r="A22" s="8">
        <v>4</v>
      </c>
      <c r="B22" s="74">
        <v>36718</v>
      </c>
      <c r="C22" s="12">
        <v>2000</v>
      </c>
      <c r="D22" s="15" t="s">
        <v>24</v>
      </c>
      <c r="E22" s="12">
        <v>7</v>
      </c>
      <c r="F22" s="13">
        <v>31.953396116235044</v>
      </c>
      <c r="G22" s="13">
        <v>0.25835130766666664</v>
      </c>
      <c r="I22" s="27">
        <f>AVERAGE(F21:F22)</f>
        <v>25.989320664981818</v>
      </c>
      <c r="J22" s="27">
        <f>AVERAGE(G21:G22)</f>
        <v>0.18871564066666666</v>
      </c>
      <c r="L22">
        <f>+J22/I22</f>
        <v>7.2612763949980175E-3</v>
      </c>
      <c r="M22">
        <f>+(L22-$L$619)/$L$620</f>
        <v>-0.15888341047628526</v>
      </c>
      <c r="N22">
        <f>+N20+M22</f>
        <v>6.7044852265715493E-3</v>
      </c>
    </row>
    <row r="23" spans="1:14">
      <c r="A23" s="8">
        <v>3</v>
      </c>
      <c r="B23" s="74">
        <v>36753</v>
      </c>
      <c r="C23" s="12">
        <v>2000</v>
      </c>
      <c r="D23" s="15" t="s">
        <v>25</v>
      </c>
      <c r="E23" s="12">
        <v>8</v>
      </c>
      <c r="F23" s="13">
        <v>28.156610334451724</v>
      </c>
      <c r="G23" s="13">
        <v>0</v>
      </c>
    </row>
    <row r="24" spans="1:14">
      <c r="A24" s="8">
        <v>4</v>
      </c>
      <c r="B24" s="74">
        <v>36753</v>
      </c>
      <c r="C24" s="12">
        <v>2000</v>
      </c>
      <c r="D24" s="15" t="s">
        <v>25</v>
      </c>
      <c r="E24" s="12">
        <v>8</v>
      </c>
      <c r="F24" s="13">
        <v>35.417949447438119</v>
      </c>
      <c r="G24" s="13">
        <v>0</v>
      </c>
      <c r="I24" s="27">
        <f>AVERAGE(F23:F24)</f>
        <v>31.787279890944923</v>
      </c>
      <c r="J24" s="27">
        <f>AVERAGE(G23:G24)</f>
        <v>0</v>
      </c>
      <c r="L24">
        <f>+J24/I24</f>
        <v>0</v>
      </c>
      <c r="M24">
        <f>+(L24-$L$619)/$L$620</f>
        <v>-0.4255805102422856</v>
      </c>
      <c r="N24">
        <f>+N22+M24</f>
        <v>-0.41887602501571408</v>
      </c>
    </row>
    <row r="25" spans="1:14">
      <c r="A25" s="8">
        <v>3</v>
      </c>
      <c r="B25" s="74">
        <v>36781</v>
      </c>
      <c r="C25" s="12">
        <v>2000</v>
      </c>
      <c r="D25" s="15" t="s">
        <v>26</v>
      </c>
      <c r="E25" s="12">
        <v>9</v>
      </c>
      <c r="F25" s="16">
        <v>5.505185712210781</v>
      </c>
      <c r="G25" s="16">
        <v>3.6936871833333329E-2</v>
      </c>
    </row>
    <row r="26" spans="1:14">
      <c r="A26" s="8">
        <v>4</v>
      </c>
      <c r="B26" s="74">
        <v>36781</v>
      </c>
      <c r="C26" s="12">
        <v>2000</v>
      </c>
      <c r="D26" s="15" t="s">
        <v>26</v>
      </c>
      <c r="E26" s="12">
        <v>9</v>
      </c>
      <c r="F26" s="16">
        <v>10.02760484010903</v>
      </c>
      <c r="G26" s="16">
        <v>4.1397320500000001E-2</v>
      </c>
      <c r="I26" s="27">
        <f>AVERAGE(F25:F26)</f>
        <v>7.7663952761599049</v>
      </c>
      <c r="J26" s="27">
        <f>AVERAGE(G25:G26)</f>
        <v>3.9167096166666665E-2</v>
      </c>
      <c r="L26">
        <f>+J26/I26</f>
        <v>5.0431499780723031E-3</v>
      </c>
      <c r="M26">
        <f>+(L26-$L$619)/$L$620</f>
        <v>-0.24035226665643891</v>
      </c>
      <c r="N26">
        <f>+N24+M26</f>
        <v>-0.65922829167215302</v>
      </c>
    </row>
    <row r="27" spans="1:14">
      <c r="A27" s="8">
        <v>3</v>
      </c>
      <c r="B27" s="74">
        <v>36817</v>
      </c>
      <c r="C27" s="12">
        <v>2000</v>
      </c>
      <c r="D27" s="15" t="s">
        <v>14</v>
      </c>
      <c r="E27" s="12">
        <v>10</v>
      </c>
      <c r="F27" s="17">
        <v>5.1552847540285232</v>
      </c>
      <c r="G27" s="17">
        <v>0</v>
      </c>
    </row>
    <row r="28" spans="1:14">
      <c r="A28" s="8">
        <v>4</v>
      </c>
      <c r="B28" s="74">
        <v>36817</v>
      </c>
      <c r="C28" s="12">
        <v>2000</v>
      </c>
      <c r="D28" s="15" t="s">
        <v>14</v>
      </c>
      <c r="E28" s="12">
        <v>10</v>
      </c>
      <c r="F28" s="17">
        <v>7.6204647894963671</v>
      </c>
      <c r="G28" s="17">
        <v>0</v>
      </c>
      <c r="I28" s="27">
        <f>AVERAGE(F27:F28)</f>
        <v>6.3878747717624451</v>
      </c>
      <c r="J28" s="27">
        <f>AVERAGE(G27:G28)</f>
        <v>0</v>
      </c>
      <c r="L28">
        <f>+J28/I28</f>
        <v>0</v>
      </c>
      <c r="M28">
        <f>+(L28-$L$619)/$L$620</f>
        <v>-0.4255805102422856</v>
      </c>
      <c r="N28">
        <f>+N26+M28</f>
        <v>-1.0848088019144386</v>
      </c>
    </row>
    <row r="29" spans="1:14">
      <c r="A29" s="8">
        <v>3</v>
      </c>
      <c r="B29" s="74">
        <v>36848</v>
      </c>
      <c r="C29" s="12">
        <v>2000</v>
      </c>
      <c r="D29" s="15" t="s">
        <v>16</v>
      </c>
      <c r="E29" s="12">
        <v>11</v>
      </c>
      <c r="F29" s="17">
        <v>2.1484922622143627</v>
      </c>
      <c r="G29" s="17">
        <v>0</v>
      </c>
    </row>
    <row r="30" spans="1:14">
      <c r="A30" s="8">
        <v>4</v>
      </c>
      <c r="B30" s="74">
        <v>36848</v>
      </c>
      <c r="C30" s="12">
        <v>2000</v>
      </c>
      <c r="D30" s="15" t="s">
        <v>16</v>
      </c>
      <c r="E30" s="12">
        <v>11</v>
      </c>
      <c r="F30" s="17">
        <v>5.0971790667895167</v>
      </c>
      <c r="G30" s="17">
        <v>0</v>
      </c>
      <c r="I30" s="27">
        <f>AVERAGE(F29:F30)</f>
        <v>3.6228356645019399</v>
      </c>
      <c r="J30" s="27">
        <f>AVERAGE(G29:G30)</f>
        <v>0</v>
      </c>
      <c r="L30">
        <f>+J30/I30</f>
        <v>0</v>
      </c>
      <c r="M30">
        <f>+(L30-$L$619)/$L$620</f>
        <v>-0.4255805102422856</v>
      </c>
      <c r="N30">
        <f>+N28+M30</f>
        <v>-1.5103893121567242</v>
      </c>
    </row>
    <row r="31" spans="1:14">
      <c r="A31" s="8">
        <v>3</v>
      </c>
      <c r="B31" s="74">
        <v>36871</v>
      </c>
      <c r="C31" s="12">
        <v>2000</v>
      </c>
      <c r="D31" s="15" t="s">
        <v>17</v>
      </c>
      <c r="E31" s="12">
        <v>12</v>
      </c>
      <c r="F31" s="17">
        <v>1.8706891478801031</v>
      </c>
      <c r="G31" s="17">
        <v>0</v>
      </c>
    </row>
    <row r="32" spans="1:14">
      <c r="A32" s="8">
        <v>4</v>
      </c>
      <c r="B32" s="74">
        <v>36871</v>
      </c>
      <c r="C32" s="12">
        <v>2000</v>
      </c>
      <c r="D32" s="15" t="s">
        <v>17</v>
      </c>
      <c r="E32" s="12">
        <v>12</v>
      </c>
      <c r="F32" s="17">
        <v>3.7620316666914344</v>
      </c>
      <c r="G32" s="17">
        <v>0</v>
      </c>
      <c r="I32" s="27">
        <f>AVERAGE(F31:F32)</f>
        <v>2.8163604072857686</v>
      </c>
      <c r="J32" s="27">
        <f>AVERAGE(G31:G32)</f>
        <v>0</v>
      </c>
      <c r="L32">
        <f>+J32/I32</f>
        <v>0</v>
      </c>
      <c r="M32">
        <f>+(L32-$L$619)/$L$620</f>
        <v>-0.4255805102422856</v>
      </c>
      <c r="N32">
        <f>+N30+M32</f>
        <v>-1.9359698223990098</v>
      </c>
    </row>
    <row r="33" spans="1:14">
      <c r="A33" s="8">
        <v>3</v>
      </c>
      <c r="B33" s="74">
        <v>36901</v>
      </c>
      <c r="C33" s="12">
        <v>2001</v>
      </c>
      <c r="D33" s="15" t="s">
        <v>18</v>
      </c>
      <c r="E33" s="12">
        <v>1</v>
      </c>
      <c r="F33" s="17">
        <v>3.6603537246189437</v>
      </c>
      <c r="G33" s="17">
        <v>0</v>
      </c>
    </row>
    <row r="34" spans="1:14">
      <c r="A34" s="8">
        <v>4</v>
      </c>
      <c r="B34" s="74">
        <v>36901</v>
      </c>
      <c r="C34" s="12">
        <v>2001</v>
      </c>
      <c r="D34" s="15" t="s">
        <v>18</v>
      </c>
      <c r="E34" s="12">
        <v>1</v>
      </c>
      <c r="F34" s="17">
        <v>7.1778812047673535</v>
      </c>
      <c r="G34" s="17">
        <v>0</v>
      </c>
      <c r="I34" s="27">
        <f>AVERAGE(F33:F34)</f>
        <v>5.4191174646931488</v>
      </c>
      <c r="J34" s="27">
        <f>AVERAGE(G33:G34)</f>
        <v>0</v>
      </c>
      <c r="L34">
        <f>+J34/I34</f>
        <v>0</v>
      </c>
      <c r="M34">
        <f>+(L34-$L$619)/$L$620</f>
        <v>-0.4255805102422856</v>
      </c>
      <c r="N34">
        <f>+N32+M34</f>
        <v>-2.3615503326412952</v>
      </c>
    </row>
    <row r="35" spans="1:14">
      <c r="A35" s="12">
        <v>3</v>
      </c>
      <c r="B35" s="74">
        <v>36928</v>
      </c>
      <c r="C35" s="12">
        <v>2001</v>
      </c>
      <c r="D35" s="11" t="s">
        <v>19</v>
      </c>
      <c r="E35" s="12">
        <v>2</v>
      </c>
      <c r="F35" s="17">
        <v>3.8381383827951239</v>
      </c>
      <c r="G35" s="17">
        <v>0</v>
      </c>
    </row>
    <row r="36" spans="1:14">
      <c r="A36" s="12">
        <v>4</v>
      </c>
      <c r="B36" s="74">
        <v>36928</v>
      </c>
      <c r="C36" s="12">
        <v>2001</v>
      </c>
      <c r="D36" s="11" t="s">
        <v>19</v>
      </c>
      <c r="E36" s="12">
        <v>2</v>
      </c>
      <c r="F36" s="17">
        <v>4.6473219110529893</v>
      </c>
      <c r="G36" s="17">
        <v>0</v>
      </c>
      <c r="I36" s="27">
        <f>AVERAGE(F35:F36)</f>
        <v>4.2427301469240568</v>
      </c>
      <c r="J36" s="27">
        <f>AVERAGE(G35:G36)</f>
        <v>0</v>
      </c>
      <c r="L36">
        <f>+J36/I36</f>
        <v>0</v>
      </c>
      <c r="M36">
        <f>+(L36-$L$619)/$L$620</f>
        <v>-0.4255805102422856</v>
      </c>
      <c r="N36">
        <f>+N34+M36</f>
        <v>-2.787130842883581</v>
      </c>
    </row>
    <row r="37" spans="1:14">
      <c r="A37" s="8">
        <v>3</v>
      </c>
      <c r="B37" s="74">
        <v>36965</v>
      </c>
      <c r="C37" s="12">
        <v>2001</v>
      </c>
      <c r="D37" s="11" t="s">
        <v>20</v>
      </c>
      <c r="E37" s="12">
        <v>3</v>
      </c>
      <c r="F37" s="17">
        <v>3.0647509565419848</v>
      </c>
      <c r="G37" s="17">
        <v>3.5679605666666669E-2</v>
      </c>
    </row>
    <row r="38" spans="1:14">
      <c r="A38" s="8">
        <v>4</v>
      </c>
      <c r="B38" s="74">
        <v>36965</v>
      </c>
      <c r="C38" s="12">
        <v>2001</v>
      </c>
      <c r="D38" s="11" t="s">
        <v>20</v>
      </c>
      <c r="E38" s="12">
        <v>3</v>
      </c>
      <c r="F38" s="17">
        <v>15.923001191095393</v>
      </c>
      <c r="G38" s="17">
        <v>0</v>
      </c>
      <c r="I38" s="27">
        <f>AVERAGE(F37:F38)</f>
        <v>9.4938760738186883</v>
      </c>
      <c r="J38" s="27">
        <f>AVERAGE(G37:G38)</f>
        <v>1.7839802833333335E-2</v>
      </c>
      <c r="L38">
        <f>+J38/I38</f>
        <v>1.8790852855695317E-3</v>
      </c>
      <c r="M38">
        <f>+(L38-$L$619)/$L$620</f>
        <v>-0.35656418740687068</v>
      </c>
      <c r="N38">
        <f>+N36+M38</f>
        <v>-3.1436950302904516</v>
      </c>
    </row>
    <row r="39" spans="1:14">
      <c r="A39" s="8">
        <v>3</v>
      </c>
      <c r="B39" s="74">
        <v>37000</v>
      </c>
      <c r="C39" s="12">
        <v>2001</v>
      </c>
      <c r="D39" s="15" t="s">
        <v>21</v>
      </c>
      <c r="E39" s="12">
        <v>4</v>
      </c>
      <c r="F39" s="17">
        <v>1.787291100592947</v>
      </c>
      <c r="G39" s="17">
        <v>0</v>
      </c>
    </row>
    <row r="40" spans="1:14">
      <c r="A40" s="8">
        <v>4</v>
      </c>
      <c r="B40" s="74">
        <v>37000</v>
      </c>
      <c r="C40" s="12">
        <v>2001</v>
      </c>
      <c r="D40" s="15" t="s">
        <v>21</v>
      </c>
      <c r="E40" s="12">
        <v>4</v>
      </c>
      <c r="F40" s="17">
        <v>5.6942883340020707</v>
      </c>
      <c r="G40" s="17">
        <v>0</v>
      </c>
      <c r="I40" s="27">
        <f>AVERAGE(F39:F40)</f>
        <v>3.7407897172975089</v>
      </c>
      <c r="J40" s="27">
        <f>AVERAGE(G39:G40)</f>
        <v>0</v>
      </c>
      <c r="L40">
        <f>+J40/I40</f>
        <v>0</v>
      </c>
      <c r="M40">
        <f>+(L40-$L$619)/$L$620</f>
        <v>-0.4255805102422856</v>
      </c>
      <c r="N40">
        <f>+N38+M40</f>
        <v>-3.569275540532737</v>
      </c>
    </row>
    <row r="41" spans="1:14">
      <c r="A41" s="8">
        <v>3</v>
      </c>
      <c r="B41" s="74">
        <v>37026</v>
      </c>
      <c r="C41" s="12">
        <v>2001</v>
      </c>
      <c r="D41" s="15" t="s">
        <v>22</v>
      </c>
      <c r="E41" s="12">
        <v>5</v>
      </c>
      <c r="F41" s="17">
        <v>6.2271437772758107</v>
      </c>
      <c r="G41" s="17">
        <v>0.68171575616666669</v>
      </c>
    </row>
    <row r="42" spans="1:14">
      <c r="A42" s="8">
        <v>4</v>
      </c>
      <c r="B42" s="74">
        <v>37026</v>
      </c>
      <c r="C42" s="12">
        <v>2001</v>
      </c>
      <c r="D42" s="15" t="s">
        <v>22</v>
      </c>
      <c r="E42" s="12">
        <v>5</v>
      </c>
      <c r="F42" s="17">
        <v>13.68592039227633</v>
      </c>
      <c r="G42" s="17">
        <v>0.88532536249999993</v>
      </c>
      <c r="I42" s="27">
        <f>AVERAGE(F41:F42)</f>
        <v>9.9565320847760699</v>
      </c>
      <c r="J42" s="27">
        <f>AVERAGE(G41:G42)</f>
        <v>0.78352055933333331</v>
      </c>
      <c r="L42">
        <f>+J42/I42</f>
        <v>7.8694122879528219E-2</v>
      </c>
      <c r="M42">
        <f>+(L42-$L$619)/$L$620</f>
        <v>2.4647507757361424</v>
      </c>
      <c r="N42">
        <f>+N40+M42</f>
        <v>-1.1045247647965946</v>
      </c>
    </row>
    <row r="43" spans="1:14">
      <c r="A43" s="8">
        <v>3</v>
      </c>
      <c r="B43" s="74">
        <v>37055</v>
      </c>
      <c r="C43" s="12">
        <v>2001</v>
      </c>
      <c r="D43" s="15" t="s">
        <v>23</v>
      </c>
      <c r="E43" s="12">
        <v>6</v>
      </c>
      <c r="F43" s="17">
        <v>23.472226020072025</v>
      </c>
      <c r="G43" s="17">
        <v>5.3737819314999999</v>
      </c>
    </row>
    <row r="44" spans="1:14">
      <c r="A44" s="8">
        <v>4</v>
      </c>
      <c r="B44" s="74">
        <v>37055</v>
      </c>
      <c r="C44" s="12">
        <v>2001</v>
      </c>
      <c r="D44" s="15" t="s">
        <v>23</v>
      </c>
      <c r="E44" s="12">
        <v>6</v>
      </c>
      <c r="F44" s="17">
        <v>17.031057322425486</v>
      </c>
      <c r="G44" s="17">
        <v>0.9715931318333334</v>
      </c>
      <c r="I44" s="27">
        <f>AVERAGE(F43:F44)</f>
        <v>20.251641671248755</v>
      </c>
      <c r="J44" s="27">
        <f>AVERAGE(G43:G44)</f>
        <v>3.1726875316666665</v>
      </c>
      <c r="L44">
        <f>+J44/I44</f>
        <v>0.15666322677291536</v>
      </c>
      <c r="M44">
        <f>+(L44-$L$619)/$L$620</f>
        <v>5.3284530711128211</v>
      </c>
      <c r="N44">
        <f>+N42+M44</f>
        <v>4.2239283063162265</v>
      </c>
    </row>
    <row r="45" spans="1:14">
      <c r="A45" s="8">
        <v>3</v>
      </c>
      <c r="B45" s="74">
        <v>37092</v>
      </c>
      <c r="C45" s="12">
        <v>2001</v>
      </c>
      <c r="D45" s="15" t="s">
        <v>24</v>
      </c>
      <c r="E45" s="12">
        <v>7</v>
      </c>
      <c r="F45" s="17">
        <v>25.751491910508093</v>
      </c>
      <c r="G45" s="17">
        <v>8.3238819833333325E-2</v>
      </c>
    </row>
    <row r="46" spans="1:14">
      <c r="A46" s="8">
        <v>4</v>
      </c>
      <c r="B46" s="74">
        <v>37092</v>
      </c>
      <c r="C46" s="12">
        <v>2001</v>
      </c>
      <c r="D46" s="15" t="s">
        <v>24</v>
      </c>
      <c r="E46" s="12">
        <v>7</v>
      </c>
      <c r="F46" s="17">
        <v>42.768034028077061</v>
      </c>
      <c r="G46" s="17">
        <v>0.12094747466666667</v>
      </c>
      <c r="I46" s="27">
        <f>AVERAGE(F45:F46)</f>
        <v>34.259762969292581</v>
      </c>
      <c r="J46" s="27">
        <f>AVERAGE(G45:G46)</f>
        <v>0.10209314724999999</v>
      </c>
      <c r="L46">
        <f>+J46/I46</f>
        <v>2.9799723758015271E-3</v>
      </c>
      <c r="M46">
        <f>+(L46-$L$619)/$L$620</f>
        <v>-0.31613005734993538</v>
      </c>
      <c r="N46">
        <f>+N44+M46</f>
        <v>3.9077982489662912</v>
      </c>
    </row>
    <row r="47" spans="1:14">
      <c r="A47" s="8">
        <v>3</v>
      </c>
      <c r="B47" s="74">
        <v>37118</v>
      </c>
      <c r="C47" s="12">
        <v>2001</v>
      </c>
      <c r="D47" s="15" t="s">
        <v>25</v>
      </c>
      <c r="E47" s="12">
        <v>8</v>
      </c>
      <c r="F47" s="17">
        <v>23.00358451823671</v>
      </c>
      <c r="G47" s="17">
        <v>4.8727162333333324E-2</v>
      </c>
    </row>
    <row r="48" spans="1:14">
      <c r="A48" s="8">
        <v>4</v>
      </c>
      <c r="B48" s="74">
        <v>37118</v>
      </c>
      <c r="C48" s="12">
        <v>2001</v>
      </c>
      <c r="D48" s="15" t="s">
        <v>25</v>
      </c>
      <c r="E48" s="12">
        <v>8</v>
      </c>
      <c r="F48" s="17">
        <v>36.365381232012211</v>
      </c>
      <c r="G48" s="17">
        <v>6.9371466499999992E-2</v>
      </c>
      <c r="I48" s="27">
        <f>AVERAGE(F47:F48)</f>
        <v>29.684482875124459</v>
      </c>
      <c r="J48" s="27">
        <f>AVERAGE(G47:G48)</f>
        <v>5.9049314416666658E-2</v>
      </c>
      <c r="L48">
        <f>+J48/I48</f>
        <v>1.9892317028082666E-3</v>
      </c>
      <c r="M48">
        <f>+(L48-$L$619)/$L$620</f>
        <v>-0.35251865485457429</v>
      </c>
      <c r="N48">
        <f>+N46+M48</f>
        <v>3.5552795941117168</v>
      </c>
    </row>
    <row r="49" spans="1:14">
      <c r="A49" s="8">
        <v>3</v>
      </c>
      <c r="B49" s="74">
        <v>37152</v>
      </c>
      <c r="C49" s="12">
        <v>2001</v>
      </c>
      <c r="D49" s="15" t="s">
        <v>26</v>
      </c>
      <c r="E49" s="12">
        <v>9</v>
      </c>
      <c r="F49" s="17">
        <v>8.8993261414354574</v>
      </c>
      <c r="G49" s="17">
        <v>4.6520944833333341E-2</v>
      </c>
    </row>
    <row r="50" spans="1:14">
      <c r="A50" s="8">
        <v>4</v>
      </c>
      <c r="B50" s="74">
        <v>37152</v>
      </c>
      <c r="C50" s="12">
        <v>2001</v>
      </c>
      <c r="D50" s="15" t="s">
        <v>26</v>
      </c>
      <c r="E50" s="12">
        <v>9</v>
      </c>
      <c r="F50" s="17">
        <v>12.060995468685757</v>
      </c>
      <c r="G50" s="17">
        <v>0.13262349683333333</v>
      </c>
      <c r="I50" s="27">
        <f>AVERAGE(F49:F50)</f>
        <v>10.480160805060606</v>
      </c>
      <c r="J50" s="27">
        <f>AVERAGE(G49:G50)</f>
        <v>8.9572220833333327E-2</v>
      </c>
      <c r="L50">
        <f>+J50/I50</f>
        <v>8.5468364941577186E-3</v>
      </c>
      <c r="M50">
        <f>+(L50-$L$619)/$L$620</f>
        <v>-0.11166648450209123</v>
      </c>
      <c r="N50">
        <f>+N48+M50</f>
        <v>3.4436131096096254</v>
      </c>
    </row>
    <row r="51" spans="1:14">
      <c r="A51" s="8">
        <v>3</v>
      </c>
      <c r="B51" s="74">
        <v>37180</v>
      </c>
      <c r="C51" s="12">
        <v>2001</v>
      </c>
      <c r="D51" s="15" t="s">
        <v>14</v>
      </c>
      <c r="E51" s="12">
        <v>10</v>
      </c>
      <c r="F51" s="16">
        <v>3.2493851022036586</v>
      </c>
      <c r="G51" s="18">
        <v>1.0737968105455777E-2</v>
      </c>
    </row>
    <row r="52" spans="1:14">
      <c r="A52" s="8">
        <v>4</v>
      </c>
      <c r="B52" s="74">
        <v>37180</v>
      </c>
      <c r="C52" s="12">
        <v>2001</v>
      </c>
      <c r="D52" s="15" t="s">
        <v>14</v>
      </c>
      <c r="E52" s="12">
        <v>10</v>
      </c>
      <c r="F52" s="16">
        <v>4.2841916128331681</v>
      </c>
      <c r="G52" s="18">
        <v>9.0311976206869753E-3</v>
      </c>
      <c r="I52" s="27">
        <f>AVERAGE(F51:F52)</f>
        <v>3.7667883575184131</v>
      </c>
      <c r="J52" s="27">
        <f>AVERAGE(G51:G52)</f>
        <v>9.8845828630713759E-3</v>
      </c>
      <c r="L52">
        <f>+J52/I52</f>
        <v>2.6241407599505826E-3</v>
      </c>
      <c r="M52">
        <f>+(L52-$L$619)/$L$620</f>
        <v>-0.32919928303288404</v>
      </c>
      <c r="N52">
        <f>+N50+M52</f>
        <v>3.1144138265767412</v>
      </c>
    </row>
    <row r="53" spans="1:14">
      <c r="A53" s="8">
        <v>3</v>
      </c>
      <c r="B53" s="74">
        <v>37203</v>
      </c>
      <c r="C53" s="12">
        <v>2001</v>
      </c>
      <c r="D53" s="15" t="s">
        <v>16</v>
      </c>
      <c r="E53" s="12">
        <v>11</v>
      </c>
      <c r="F53" s="16">
        <v>1.3616965947949478</v>
      </c>
      <c r="G53" s="18">
        <v>0</v>
      </c>
    </row>
    <row r="54" spans="1:14">
      <c r="A54" s="8">
        <v>4</v>
      </c>
      <c r="B54" s="74">
        <v>37203</v>
      </c>
      <c r="C54" s="12">
        <v>2001</v>
      </c>
      <c r="D54" s="15" t="s">
        <v>16</v>
      </c>
      <c r="E54" s="12">
        <v>11</v>
      </c>
      <c r="F54" s="16">
        <v>4.0950642991562116</v>
      </c>
      <c r="G54" s="18">
        <v>2.5631747594340587E-2</v>
      </c>
      <c r="I54" s="27">
        <f>AVERAGE(F53:F54)</f>
        <v>2.7283804469755797</v>
      </c>
      <c r="J54" s="27">
        <f>AVERAGE(G53:G54)</f>
        <v>1.2815873797170294E-2</v>
      </c>
      <c r="L54">
        <f>+J54/I54</f>
        <v>4.6972458739677377E-3</v>
      </c>
      <c r="M54">
        <f>+(L54-$L$619)/$L$620</f>
        <v>-0.25305686793361831</v>
      </c>
      <c r="N54">
        <f>+N52+M54</f>
        <v>2.8613569586431229</v>
      </c>
    </row>
    <row r="55" spans="1:14">
      <c r="A55" s="8">
        <v>3</v>
      </c>
      <c r="B55" s="74">
        <v>37228</v>
      </c>
      <c r="C55" s="12">
        <v>2001</v>
      </c>
      <c r="D55" s="15" t="s">
        <v>17</v>
      </c>
      <c r="E55" s="12">
        <v>12</v>
      </c>
      <c r="F55" s="16">
        <v>4.0507025288412777</v>
      </c>
      <c r="G55" s="18">
        <v>0.204209317006117</v>
      </c>
    </row>
    <row r="56" spans="1:14">
      <c r="A56" s="8">
        <v>4</v>
      </c>
      <c r="B56" s="74">
        <v>37228</v>
      </c>
      <c r="C56" s="12">
        <v>2001</v>
      </c>
      <c r="D56" s="15" t="s">
        <v>17</v>
      </c>
      <c r="E56" s="12">
        <v>12</v>
      </c>
      <c r="F56" s="16">
        <v>7.1636445505763398</v>
      </c>
      <c r="G56" s="18">
        <v>0.31920250089070273</v>
      </c>
      <c r="I56" s="27">
        <f>AVERAGE(F55:F56)</f>
        <v>5.6071735397088087</v>
      </c>
      <c r="J56" s="27">
        <f>AVERAGE(G55:G56)</f>
        <v>0.26170590894840984</v>
      </c>
      <c r="L56">
        <f>+J56/I56</f>
        <v>4.6673409890930669E-2</v>
      </c>
      <c r="M56">
        <f>+(L56-$L$619)/$L$620</f>
        <v>1.2886722432647457</v>
      </c>
      <c r="N56">
        <f>+N54+M56</f>
        <v>4.1500292019078682</v>
      </c>
    </row>
    <row r="57" spans="1:14">
      <c r="A57" s="8">
        <v>3</v>
      </c>
      <c r="B57" s="74">
        <v>37270</v>
      </c>
      <c r="C57" s="12">
        <v>2002</v>
      </c>
      <c r="D57" s="15" t="s">
        <v>18</v>
      </c>
      <c r="E57" s="12">
        <v>1</v>
      </c>
      <c r="F57" s="16">
        <v>4.2514887305959439</v>
      </c>
      <c r="G57" s="18">
        <v>1.8873072477509995E-2</v>
      </c>
    </row>
    <row r="58" spans="1:14">
      <c r="A58" s="8">
        <v>4</v>
      </c>
      <c r="B58" s="74">
        <v>37270</v>
      </c>
      <c r="C58" s="12">
        <v>2002</v>
      </c>
      <c r="D58" s="15" t="s">
        <v>18</v>
      </c>
      <c r="E58" s="12">
        <v>1</v>
      </c>
      <c r="F58" s="16">
        <v>5.2303111731291096</v>
      </c>
      <c r="G58" s="18">
        <v>1.59074307092444E-2</v>
      </c>
      <c r="I58" s="27">
        <f>AVERAGE(F57:F58)</f>
        <v>4.7408999518625272</v>
      </c>
      <c r="J58" s="27">
        <f>AVERAGE(G57:G58)</f>
        <v>1.7390251593377197E-2</v>
      </c>
      <c r="L58">
        <f>+J58/I58</f>
        <v>3.6681330063810351E-3</v>
      </c>
      <c r="M58">
        <f>+(L58-$L$619)/$L$620</f>
        <v>-0.29085482550844771</v>
      </c>
      <c r="N58">
        <f>+N56+M58</f>
        <v>3.8591743763994204</v>
      </c>
    </row>
    <row r="59" spans="1:14">
      <c r="A59" s="8">
        <v>3</v>
      </c>
      <c r="B59" s="74">
        <v>37300</v>
      </c>
      <c r="C59" s="12">
        <v>2002</v>
      </c>
      <c r="D59" s="11" t="s">
        <v>19</v>
      </c>
      <c r="E59" s="12">
        <v>2</v>
      </c>
      <c r="F59" s="16">
        <v>2.5319323297664096</v>
      </c>
      <c r="G59" s="18">
        <v>0.1204803409590825</v>
      </c>
    </row>
    <row r="60" spans="1:14">
      <c r="A60" s="8">
        <v>4</v>
      </c>
      <c r="B60" s="74">
        <v>37300</v>
      </c>
      <c r="C60" s="12">
        <v>2002</v>
      </c>
      <c r="D60" s="11" t="s">
        <v>19</v>
      </c>
      <c r="E60" s="12">
        <v>2</v>
      </c>
      <c r="F60" s="16">
        <v>1.7412773154705985</v>
      </c>
      <c r="G60" s="18">
        <v>6.5638541033855913E-2</v>
      </c>
      <c r="I60" s="27">
        <f>AVERAGE(F59:F60)</f>
        <v>2.1366048226185042</v>
      </c>
      <c r="J60" s="27">
        <f>AVERAGE(G59:G60)</f>
        <v>9.3059440996469206E-2</v>
      </c>
      <c r="L60">
        <f>+J60/I60</f>
        <v>4.3554821187017978E-2</v>
      </c>
      <c r="M60">
        <f>+(L60-$L$619)/$L$620</f>
        <v>1.1741305955635979</v>
      </c>
      <c r="N60">
        <f>+N58+M60</f>
        <v>5.0333049719630178</v>
      </c>
    </row>
    <row r="61" spans="1:14">
      <c r="A61" s="8">
        <v>3</v>
      </c>
      <c r="B61" s="70">
        <v>37334</v>
      </c>
      <c r="C61" s="12">
        <v>2002</v>
      </c>
      <c r="D61" s="11" t="s">
        <v>20</v>
      </c>
      <c r="E61" s="12">
        <v>3</v>
      </c>
      <c r="F61" s="16">
        <v>3.0997542691102855</v>
      </c>
      <c r="G61" s="18">
        <v>3.5461343693839971E-2</v>
      </c>
    </row>
    <row r="62" spans="1:14">
      <c r="A62" s="8">
        <v>4</v>
      </c>
      <c r="B62" s="70">
        <v>37334</v>
      </c>
      <c r="C62" s="12">
        <v>2002</v>
      </c>
      <c r="D62" s="11" t="s">
        <v>20</v>
      </c>
      <c r="E62" s="12">
        <v>3</v>
      </c>
      <c r="F62" s="16">
        <v>5.2293756812203727</v>
      </c>
      <c r="G62" s="18">
        <v>5.0612283587839944E-2</v>
      </c>
      <c r="I62" s="27">
        <f>AVERAGE(F61:F62)</f>
        <v>4.1645649751653293</v>
      </c>
      <c r="J62" s="27">
        <f>AVERAGE(G61:G62)</f>
        <v>4.3036813640839958E-2</v>
      </c>
      <c r="L62">
        <f>+J62/I62</f>
        <v>1.033404782912084E-2</v>
      </c>
      <c r="M62">
        <f>+(L62-$L$619)/$L$620</f>
        <v>-4.6024570632523333E-2</v>
      </c>
      <c r="N62">
        <f>+N60+M62</f>
        <v>4.9872804013304943</v>
      </c>
    </row>
    <row r="63" spans="1:14">
      <c r="A63" s="8">
        <v>3</v>
      </c>
      <c r="B63" s="70">
        <v>37361</v>
      </c>
      <c r="C63" s="12">
        <v>2002</v>
      </c>
      <c r="D63" s="15" t="s">
        <v>21</v>
      </c>
      <c r="E63" s="12">
        <v>4</v>
      </c>
      <c r="F63" s="16">
        <v>4.0387561020184775</v>
      </c>
      <c r="G63" s="18">
        <v>1.5563797893968915E-2</v>
      </c>
    </row>
    <row r="64" spans="1:14">
      <c r="A64" s="8">
        <v>4</v>
      </c>
      <c r="B64" s="70">
        <v>37361</v>
      </c>
      <c r="C64" s="12">
        <v>2002</v>
      </c>
      <c r="D64" s="15" t="s">
        <v>21</v>
      </c>
      <c r="E64" s="12">
        <v>4</v>
      </c>
      <c r="F64" s="16">
        <v>11.333801590233278</v>
      </c>
      <c r="G64" s="18">
        <v>4.0241522331325205E-2</v>
      </c>
      <c r="I64" s="27">
        <f>AVERAGE(F63:F64)</f>
        <v>7.6862788461258784</v>
      </c>
      <c r="J64" s="27">
        <f>AVERAGE(G63:G64)</f>
        <v>2.7902660112647061E-2</v>
      </c>
      <c r="L64">
        <f>+J64/I64</f>
        <v>3.6301909768354113E-3</v>
      </c>
      <c r="M64">
        <f>+(L64-$L$619)/$L$620</f>
        <v>-0.2922483861840921</v>
      </c>
      <c r="N64">
        <f>+N62+M64</f>
        <v>4.6950320151464027</v>
      </c>
    </row>
    <row r="65" spans="1:14">
      <c r="A65" s="8">
        <v>3</v>
      </c>
      <c r="B65" s="70">
        <v>37389</v>
      </c>
      <c r="C65" s="12">
        <v>2002</v>
      </c>
      <c r="D65" s="15" t="s">
        <v>22</v>
      </c>
      <c r="E65" s="12">
        <v>5</v>
      </c>
      <c r="F65" s="16">
        <v>16.987336423440826</v>
      </c>
      <c r="G65" s="16">
        <v>1.2942995803762276</v>
      </c>
    </row>
    <row r="66" spans="1:14">
      <c r="A66" s="8">
        <v>4</v>
      </c>
      <c r="B66" s="70">
        <v>37389</v>
      </c>
      <c r="C66" s="12">
        <v>2002</v>
      </c>
      <c r="D66" s="15" t="s">
        <v>22</v>
      </c>
      <c r="E66" s="12">
        <v>5</v>
      </c>
      <c r="F66" s="16">
        <v>14.556047501768324</v>
      </c>
      <c r="G66" s="16">
        <v>0.84865497510745447</v>
      </c>
      <c r="I66" s="27">
        <f>AVERAGE(F65:F66)</f>
        <v>15.771691962604574</v>
      </c>
      <c r="J66" s="27">
        <f>AVERAGE(G65:G66)</f>
        <v>1.0714772777418411</v>
      </c>
      <c r="L66">
        <f>+J66/I66</f>
        <v>6.793673629198213E-2</v>
      </c>
    </row>
    <row r="67" spans="1:14">
      <c r="A67" s="8">
        <v>3</v>
      </c>
      <c r="B67" s="70">
        <v>37418</v>
      </c>
      <c r="C67" s="12">
        <v>2002</v>
      </c>
      <c r="D67" s="15" t="s">
        <v>23</v>
      </c>
      <c r="E67" s="12">
        <v>6</v>
      </c>
      <c r="F67" s="16">
        <v>27.635613950571745</v>
      </c>
      <c r="G67" s="16">
        <v>5.8898894913384536</v>
      </c>
    </row>
    <row r="68" spans="1:14">
      <c r="A68" s="8">
        <v>4</v>
      </c>
      <c r="B68" s="70">
        <v>37418</v>
      </c>
      <c r="C68" s="12">
        <v>2002</v>
      </c>
      <c r="D68" s="15" t="s">
        <v>23</v>
      </c>
      <c r="E68" s="12">
        <v>6</v>
      </c>
      <c r="F68" s="16">
        <v>25.568401315342154</v>
      </c>
      <c r="G68" s="16">
        <v>2.9983528612644501</v>
      </c>
      <c r="I68" s="27">
        <f>AVERAGE(F67:F68)</f>
        <v>26.602007632956948</v>
      </c>
      <c r="J68" s="27">
        <f>AVERAGE(G67:G68)</f>
        <v>4.4441211763014516</v>
      </c>
      <c r="L68">
        <f>+J68/I68</f>
        <v>0.16705961586131104</v>
      </c>
    </row>
    <row r="69" spans="1:14">
      <c r="A69" s="8">
        <v>3</v>
      </c>
      <c r="B69" s="70">
        <v>37455</v>
      </c>
      <c r="C69" s="12">
        <v>2002</v>
      </c>
      <c r="D69" s="15" t="s">
        <v>24</v>
      </c>
      <c r="E69" s="12">
        <v>7</v>
      </c>
      <c r="F69" s="16">
        <v>11.141478683415984</v>
      </c>
      <c r="G69" s="16">
        <v>0</v>
      </c>
    </row>
    <row r="70" spans="1:14">
      <c r="A70" s="8">
        <v>4</v>
      </c>
      <c r="B70" s="70">
        <v>37455</v>
      </c>
      <c r="C70" s="12">
        <v>2002</v>
      </c>
      <c r="D70" s="15" t="s">
        <v>24</v>
      </c>
      <c r="E70" s="12">
        <v>7</v>
      </c>
      <c r="F70" s="16">
        <v>15.213384618270862</v>
      </c>
      <c r="G70" s="16">
        <v>5.6415868699843823E-2</v>
      </c>
      <c r="I70" s="27">
        <f>AVERAGE(F69:F70)</f>
        <v>13.177431650843424</v>
      </c>
      <c r="J70" s="27">
        <f>AVERAGE(G69:G70)</f>
        <v>2.8207934349921911E-2</v>
      </c>
      <c r="L70">
        <f>+J70/I70</f>
        <v>2.1406245994921519E-3</v>
      </c>
    </row>
    <row r="71" spans="1:14">
      <c r="A71" s="8">
        <v>3</v>
      </c>
      <c r="B71" s="70">
        <v>37483</v>
      </c>
      <c r="C71" s="12">
        <v>2002</v>
      </c>
      <c r="D71" s="15" t="s">
        <v>25</v>
      </c>
      <c r="E71" s="12">
        <v>8</v>
      </c>
      <c r="F71" s="16">
        <v>16.190633624498993</v>
      </c>
      <c r="G71" s="16">
        <v>0</v>
      </c>
    </row>
    <row r="72" spans="1:14">
      <c r="A72" s="8">
        <v>4</v>
      </c>
      <c r="B72" s="70">
        <v>37483</v>
      </c>
      <c r="C72" s="12">
        <v>2002</v>
      </c>
      <c r="D72" s="15" t="s">
        <v>25</v>
      </c>
      <c r="E72" s="12">
        <v>8</v>
      </c>
      <c r="F72" s="16">
        <v>25.601505200357359</v>
      </c>
      <c r="G72" s="16">
        <v>0</v>
      </c>
      <c r="I72" s="27">
        <f>AVERAGE(F71:F72)</f>
        <v>20.896069412428176</v>
      </c>
      <c r="J72" s="27">
        <f>AVERAGE(G71:G72)</f>
        <v>0</v>
      </c>
      <c r="L72">
        <f>+J72/I72</f>
        <v>0</v>
      </c>
    </row>
    <row r="73" spans="1:14">
      <c r="A73" s="8">
        <v>3</v>
      </c>
      <c r="B73" s="70">
        <v>37516</v>
      </c>
      <c r="C73" s="12">
        <v>2002</v>
      </c>
      <c r="D73" s="15" t="s">
        <v>26</v>
      </c>
      <c r="E73" s="12">
        <v>9</v>
      </c>
      <c r="F73" s="16">
        <v>18.390989346517241</v>
      </c>
      <c r="G73" s="16">
        <v>1.734323159100095E-2</v>
      </c>
    </row>
    <row r="74" spans="1:14">
      <c r="A74" s="8">
        <v>4</v>
      </c>
      <c r="B74" s="70">
        <v>37516</v>
      </c>
      <c r="C74" s="12">
        <v>2002</v>
      </c>
      <c r="D74" s="15" t="s">
        <v>26</v>
      </c>
      <c r="E74" s="12">
        <v>9</v>
      </c>
      <c r="F74" s="16">
        <v>14.536812608725272</v>
      </c>
      <c r="G74" s="16">
        <v>2.8661792088695511E-2</v>
      </c>
      <c r="I74" s="27">
        <f>AVERAGE(F73:F74)</f>
        <v>16.463900977621257</v>
      </c>
      <c r="J74" s="27">
        <f>AVERAGE(G73:G74)</f>
        <v>2.3002511839848229E-2</v>
      </c>
      <c r="L74">
        <f>+J74/I74</f>
        <v>1.3971483350825938E-3</v>
      </c>
    </row>
    <row r="75" spans="1:14">
      <c r="A75" s="8">
        <v>3</v>
      </c>
      <c r="B75" s="70">
        <v>37544</v>
      </c>
      <c r="C75" s="12">
        <v>2002</v>
      </c>
      <c r="D75" s="15" t="s">
        <v>14</v>
      </c>
      <c r="E75" s="12">
        <v>10</v>
      </c>
      <c r="F75" s="17">
        <v>8.3616599397475788</v>
      </c>
      <c r="G75" s="17">
        <v>0</v>
      </c>
    </row>
    <row r="76" spans="1:14">
      <c r="A76" s="8">
        <v>4</v>
      </c>
      <c r="B76" s="70">
        <v>37544</v>
      </c>
      <c r="C76" s="12">
        <v>2002</v>
      </c>
      <c r="D76" s="15" t="s">
        <v>14</v>
      </c>
      <c r="E76" s="12">
        <v>10</v>
      </c>
      <c r="F76" s="17">
        <v>13.581539322283454</v>
      </c>
      <c r="G76" s="17">
        <v>0</v>
      </c>
      <c r="I76" s="27">
        <f>AVERAGE(F75:F76)</f>
        <v>10.971599631015517</v>
      </c>
      <c r="J76" s="27">
        <f>AVERAGE(G75:G76)</f>
        <v>0</v>
      </c>
      <c r="L76">
        <f>+J76/I76</f>
        <v>0</v>
      </c>
      <c r="M76">
        <f>+(L76-$L$619)/$L$620</f>
        <v>-0.4255805102422856</v>
      </c>
      <c r="N76">
        <f>+N64+M76</f>
        <v>4.2694515049041168</v>
      </c>
    </row>
    <row r="77" spans="1:14">
      <c r="A77" s="8">
        <v>3</v>
      </c>
      <c r="B77" s="70">
        <v>37575</v>
      </c>
      <c r="C77" s="12">
        <v>2002</v>
      </c>
      <c r="D77" s="15" t="s">
        <v>16</v>
      </c>
      <c r="E77" s="12">
        <v>11</v>
      </c>
      <c r="F77" s="17">
        <v>2.7732568032777918</v>
      </c>
      <c r="G77" s="17">
        <v>0</v>
      </c>
    </row>
    <row r="78" spans="1:14">
      <c r="A78" s="8">
        <v>4</v>
      </c>
      <c r="B78" s="70">
        <v>37575</v>
      </c>
      <c r="C78" s="12">
        <v>2002</v>
      </c>
      <c r="D78" s="15" t="s">
        <v>16</v>
      </c>
      <c r="E78" s="12">
        <v>11</v>
      </c>
      <c r="F78" s="17">
        <v>5.0568564250837627</v>
      </c>
      <c r="G78" s="17">
        <v>0</v>
      </c>
      <c r="I78" s="27">
        <f>AVERAGE(F77:F78)</f>
        <v>3.9150566141807772</v>
      </c>
      <c r="J78" s="27">
        <f>AVERAGE(G77:G78)</f>
        <v>0</v>
      </c>
      <c r="L78">
        <f>+J78/I78</f>
        <v>0</v>
      </c>
      <c r="M78">
        <f>+(L78-$L$619)/$L$620</f>
        <v>-0.4255805102422856</v>
      </c>
      <c r="N78">
        <f>+N76+M78</f>
        <v>3.843870994661831</v>
      </c>
    </row>
    <row r="79" spans="1:14">
      <c r="A79" s="8">
        <v>3</v>
      </c>
      <c r="B79" s="70">
        <v>37609</v>
      </c>
      <c r="C79" s="12">
        <v>2002</v>
      </c>
      <c r="D79" s="15" t="s">
        <v>17</v>
      </c>
      <c r="E79" s="12">
        <v>12</v>
      </c>
      <c r="F79" s="17">
        <v>13.67730923414349</v>
      </c>
      <c r="G79" s="17">
        <v>0</v>
      </c>
    </row>
    <row r="80" spans="1:14">
      <c r="A80" s="8">
        <v>4</v>
      </c>
      <c r="B80" s="70">
        <v>37609</v>
      </c>
      <c r="C80" s="12">
        <v>2002</v>
      </c>
      <c r="D80" s="15" t="s">
        <v>17</v>
      </c>
      <c r="E80" s="12">
        <v>12</v>
      </c>
      <c r="F80" s="17">
        <v>23.255795599381781</v>
      </c>
      <c r="G80" s="17">
        <v>0</v>
      </c>
      <c r="I80" s="27">
        <f>AVERAGE(F79:F80)</f>
        <v>18.466552416762635</v>
      </c>
      <c r="J80" s="27">
        <f>AVERAGE(G79:G80)</f>
        <v>0</v>
      </c>
      <c r="L80">
        <f>+J80/I80</f>
        <v>0</v>
      </c>
      <c r="M80">
        <f>+(L80-$L$619)/$L$620</f>
        <v>-0.4255805102422856</v>
      </c>
      <c r="N80">
        <f>+N78+M80</f>
        <v>3.4182904844195452</v>
      </c>
    </row>
    <row r="81" spans="1:14">
      <c r="A81" s="8">
        <v>3</v>
      </c>
      <c r="B81" s="70">
        <v>37635</v>
      </c>
      <c r="C81" s="12">
        <v>2003</v>
      </c>
      <c r="D81" s="15" t="s">
        <v>18</v>
      </c>
      <c r="E81" s="12">
        <v>1</v>
      </c>
      <c r="F81" s="17">
        <v>28.241100767398116</v>
      </c>
      <c r="G81" s="17">
        <v>0</v>
      </c>
    </row>
    <row r="82" spans="1:14">
      <c r="A82" s="8">
        <v>4</v>
      </c>
      <c r="B82" s="70">
        <v>37635</v>
      </c>
      <c r="C82" s="12">
        <v>2003</v>
      </c>
      <c r="D82" s="15" t="s">
        <v>18</v>
      </c>
      <c r="E82" s="12">
        <v>1</v>
      </c>
      <c r="F82" s="17">
        <v>22.579198630515862</v>
      </c>
      <c r="G82" s="17">
        <v>0</v>
      </c>
      <c r="I82" s="27">
        <f>AVERAGE(F81:F82)</f>
        <v>25.410149698956989</v>
      </c>
      <c r="J82" s="27">
        <f>AVERAGE(G81:G82)</f>
        <v>0</v>
      </c>
      <c r="L82">
        <f>+J82/I82</f>
        <v>0</v>
      </c>
      <c r="M82">
        <f>+(L82-$L$619)/$L$620</f>
        <v>-0.4255805102422856</v>
      </c>
      <c r="N82">
        <f>+N80+M82</f>
        <v>2.9927099741772594</v>
      </c>
    </row>
    <row r="83" spans="1:14">
      <c r="A83" s="8">
        <v>3</v>
      </c>
      <c r="B83" s="70">
        <v>37665</v>
      </c>
      <c r="C83" s="12">
        <v>2003</v>
      </c>
      <c r="D83" s="11" t="s">
        <v>19</v>
      </c>
      <c r="E83" s="12">
        <v>2</v>
      </c>
      <c r="F83" s="17">
        <v>11.599366221982605</v>
      </c>
      <c r="G83" s="17">
        <v>1.463667448570961E-2</v>
      </c>
    </row>
    <row r="84" spans="1:14">
      <c r="A84" s="8">
        <v>4</v>
      </c>
      <c r="B84" s="70">
        <v>37665</v>
      </c>
      <c r="C84" s="12">
        <v>2003</v>
      </c>
      <c r="D84" s="11" t="s">
        <v>19</v>
      </c>
      <c r="E84" s="12">
        <v>2</v>
      </c>
      <c r="F84" s="17">
        <v>6.5677932354348592</v>
      </c>
      <c r="G84" s="17">
        <v>0</v>
      </c>
      <c r="I84" s="27">
        <f>AVERAGE(F83:F84)</f>
        <v>9.083579728708731</v>
      </c>
      <c r="J84" s="27">
        <f>AVERAGE(G83:G84)</f>
        <v>7.3183372428548051E-3</v>
      </c>
      <c r="L84">
        <f>+J84/I84</f>
        <v>8.0566664920935719E-4</v>
      </c>
      <c r="M84">
        <f>+(L84-$L$619)/$L$620</f>
        <v>-0.39598943740138104</v>
      </c>
      <c r="N84">
        <f>+N82+M84</f>
        <v>2.5967205367758783</v>
      </c>
    </row>
    <row r="85" spans="1:14">
      <c r="A85" s="8">
        <v>3</v>
      </c>
      <c r="B85" s="70">
        <v>37692</v>
      </c>
      <c r="C85" s="12">
        <v>2003</v>
      </c>
      <c r="D85" s="11" t="s">
        <v>20</v>
      </c>
      <c r="E85" s="12">
        <v>3</v>
      </c>
      <c r="F85" s="17">
        <v>13.908485665099207</v>
      </c>
      <c r="G85" s="17">
        <v>0</v>
      </c>
    </row>
    <row r="86" spans="1:14">
      <c r="A86" s="8">
        <v>4</v>
      </c>
      <c r="B86" s="70">
        <v>37692</v>
      </c>
      <c r="C86" s="12">
        <v>2003</v>
      </c>
      <c r="D86" s="11" t="s">
        <v>20</v>
      </c>
      <c r="E86" s="12">
        <v>3</v>
      </c>
      <c r="F86" s="17">
        <v>23.075017988777937</v>
      </c>
      <c r="G86" s="17">
        <v>0</v>
      </c>
      <c r="I86" s="27">
        <f>AVERAGE(F85:F86)</f>
        <v>18.491751826938572</v>
      </c>
      <c r="J86" s="27">
        <f>AVERAGE(G85:G86)</f>
        <v>0</v>
      </c>
      <c r="L86">
        <f>+J86/I86</f>
        <v>0</v>
      </c>
      <c r="M86">
        <f>+(L86-$L$619)/$L$620</f>
        <v>-0.4255805102422856</v>
      </c>
      <c r="N86">
        <f>+N84+M86</f>
        <v>2.1711400265335925</v>
      </c>
    </row>
    <row r="87" spans="1:14">
      <c r="A87" s="8">
        <v>3</v>
      </c>
      <c r="B87" s="70">
        <v>37725</v>
      </c>
      <c r="C87" s="12">
        <v>2003</v>
      </c>
      <c r="D87" s="11" t="s">
        <v>21</v>
      </c>
      <c r="E87" s="12">
        <v>4</v>
      </c>
      <c r="F87" s="17">
        <v>7.8579158920229677</v>
      </c>
      <c r="G87" s="17">
        <v>0</v>
      </c>
    </row>
    <row r="88" spans="1:14">
      <c r="A88" s="8">
        <v>4</v>
      </c>
      <c r="B88" s="70">
        <v>37725</v>
      </c>
      <c r="C88" s="12">
        <v>2003</v>
      </c>
      <c r="D88" s="11" t="s">
        <v>21</v>
      </c>
      <c r="E88" s="12">
        <v>4</v>
      </c>
      <c r="F88" s="17">
        <v>6.4005604422385955</v>
      </c>
      <c r="G88" s="17">
        <v>0</v>
      </c>
      <c r="I88" s="27">
        <f>AVERAGE(F87:F88)</f>
        <v>7.1292381671307812</v>
      </c>
      <c r="J88" s="27">
        <f>AVERAGE(G87:G88)</f>
        <v>0</v>
      </c>
      <c r="L88">
        <f>+J88/I88</f>
        <v>0</v>
      </c>
      <c r="M88">
        <f>+(L88-$L$619)/$L$620</f>
        <v>-0.4255805102422856</v>
      </c>
      <c r="N88">
        <f>+N86+M88</f>
        <v>1.7455595162913069</v>
      </c>
    </row>
    <row r="89" spans="1:14">
      <c r="A89" s="8">
        <v>3</v>
      </c>
      <c r="B89" s="70">
        <v>37753</v>
      </c>
      <c r="C89" s="12">
        <v>2003</v>
      </c>
      <c r="D89" s="11" t="s">
        <v>22</v>
      </c>
      <c r="E89" s="12">
        <v>5</v>
      </c>
      <c r="F89" s="17">
        <v>10.79591590739744</v>
      </c>
      <c r="G89" s="17">
        <v>0.77879418674951106</v>
      </c>
    </row>
    <row r="90" spans="1:14">
      <c r="A90" s="8">
        <v>4</v>
      </c>
      <c r="B90" s="70">
        <v>37753</v>
      </c>
      <c r="C90" s="12">
        <v>2003</v>
      </c>
      <c r="D90" s="11" t="s">
        <v>22</v>
      </c>
      <c r="E90" s="12">
        <v>5</v>
      </c>
      <c r="F90" s="17">
        <v>10.655932434325212</v>
      </c>
      <c r="G90" s="17">
        <v>0.57808490103182453</v>
      </c>
      <c r="I90" s="27">
        <f>AVERAGE(F89:F90)</f>
        <v>10.725924170861326</v>
      </c>
      <c r="J90" s="27">
        <f>AVERAGE(G89:G90)</f>
        <v>0.67843954389066785</v>
      </c>
      <c r="L90">
        <f>+J90/I90</f>
        <v>6.3252315892159336E-2</v>
      </c>
      <c r="M90">
        <f>+(L90-$L$619)/$L$620</f>
        <v>1.8975935826131056</v>
      </c>
      <c r="N90">
        <f>+N88+M90</f>
        <v>3.6431530989044125</v>
      </c>
    </row>
    <row r="91" spans="1:14">
      <c r="A91" s="8">
        <v>3</v>
      </c>
      <c r="B91" s="70">
        <v>37792</v>
      </c>
      <c r="C91" s="12">
        <v>2003</v>
      </c>
      <c r="D91" s="11" t="s">
        <v>23</v>
      </c>
      <c r="E91" s="12">
        <v>6</v>
      </c>
      <c r="F91" s="17">
        <v>28.830816302160009</v>
      </c>
      <c r="G91" s="17">
        <v>3.7197125970913678</v>
      </c>
    </row>
    <row r="92" spans="1:14">
      <c r="A92" s="8">
        <v>4</v>
      </c>
      <c r="B92" s="70">
        <v>37792</v>
      </c>
      <c r="C92" s="12">
        <v>2003</v>
      </c>
      <c r="D92" s="11" t="s">
        <v>23</v>
      </c>
      <c r="E92" s="12">
        <v>6</v>
      </c>
      <c r="F92" s="17">
        <v>31.750755213618987</v>
      </c>
      <c r="G92" s="17">
        <v>1.4199742043433543</v>
      </c>
      <c r="I92" s="27">
        <f>AVERAGE(F91:F92)</f>
        <v>30.290785757889498</v>
      </c>
      <c r="J92" s="27">
        <f>AVERAGE(G91:G92)</f>
        <v>2.5698434007173612</v>
      </c>
      <c r="L92">
        <f>+J92/I92</f>
        <v>8.4839113163250421E-2</v>
      </c>
      <c r="M92">
        <f>+(L92-$L$619)/$L$620</f>
        <v>2.6904481597233292</v>
      </c>
      <c r="N92">
        <f>+N90+M92</f>
        <v>6.3336012586277413</v>
      </c>
    </row>
    <row r="93" spans="1:14">
      <c r="A93" s="8">
        <v>3</v>
      </c>
      <c r="B93" s="70">
        <v>37819</v>
      </c>
      <c r="C93" s="12">
        <v>2003</v>
      </c>
      <c r="D93" s="15" t="s">
        <v>24</v>
      </c>
      <c r="E93" s="12">
        <v>7</v>
      </c>
      <c r="F93" s="17">
        <v>22.777820949333798</v>
      </c>
      <c r="G93" s="17">
        <v>0</v>
      </c>
    </row>
    <row r="94" spans="1:14">
      <c r="A94" s="8">
        <v>4</v>
      </c>
      <c r="B94" s="70">
        <v>37819</v>
      </c>
      <c r="C94" s="12">
        <v>2003</v>
      </c>
      <c r="D94" s="15" t="s">
        <v>24</v>
      </c>
      <c r="E94" s="12">
        <v>7</v>
      </c>
      <c r="F94" s="17">
        <v>23.060198686609905</v>
      </c>
      <c r="G94" s="17">
        <v>0</v>
      </c>
      <c r="I94" s="27">
        <f>AVERAGE(F93:F94)</f>
        <v>22.919009817971851</v>
      </c>
      <c r="J94" s="27">
        <f>AVERAGE(G93:G94)</f>
        <v>0</v>
      </c>
      <c r="L94">
        <f>+J94/I94</f>
        <v>0</v>
      </c>
      <c r="M94">
        <f>+(L94-$L$619)/$L$620</f>
        <v>-0.4255805102422856</v>
      </c>
      <c r="N94">
        <f>+N92+M94</f>
        <v>5.9080207483854554</v>
      </c>
    </row>
    <row r="95" spans="1:14">
      <c r="A95" s="8">
        <v>3</v>
      </c>
      <c r="B95" s="70">
        <v>37845</v>
      </c>
      <c r="C95" s="12">
        <v>2003</v>
      </c>
      <c r="D95" s="15" t="s">
        <v>25</v>
      </c>
      <c r="E95" s="12">
        <v>8</v>
      </c>
      <c r="F95" s="17">
        <v>41.826009294739215</v>
      </c>
      <c r="G95" s="17">
        <v>5.6522622277469917E-2</v>
      </c>
    </row>
    <row r="96" spans="1:14">
      <c r="A96" s="8">
        <v>4</v>
      </c>
      <c r="B96" s="70">
        <v>37845</v>
      </c>
      <c r="C96" s="12">
        <v>2003</v>
      </c>
      <c r="D96" s="15" t="s">
        <v>25</v>
      </c>
      <c r="E96" s="12">
        <v>8</v>
      </c>
      <c r="F96" s="17">
        <v>78.047371432756734</v>
      </c>
      <c r="G96" s="17">
        <v>0</v>
      </c>
      <c r="I96" s="27">
        <f>AVERAGE(F95:F96)</f>
        <v>59.936690363747971</v>
      </c>
      <c r="J96" s="27">
        <f>AVERAGE(G95:G96)</f>
        <v>2.8261311138734958E-2</v>
      </c>
      <c r="L96">
        <f>+J96/I96</f>
        <v>4.7151938098718396E-4</v>
      </c>
      <c r="M96">
        <f>+(L96-$L$619)/$L$620</f>
        <v>-0.40826222561131248</v>
      </c>
      <c r="N96">
        <f>+N94+M96</f>
        <v>5.499758522774143</v>
      </c>
    </row>
    <row r="97" spans="1:14">
      <c r="A97" s="8">
        <v>3</v>
      </c>
      <c r="B97" s="70">
        <v>37888</v>
      </c>
      <c r="C97" s="12">
        <v>2003</v>
      </c>
      <c r="D97" s="15" t="s">
        <v>26</v>
      </c>
      <c r="E97" s="12">
        <v>9</v>
      </c>
      <c r="F97" s="17">
        <v>11.322446784959084</v>
      </c>
      <c r="G97" s="17">
        <v>0</v>
      </c>
    </row>
    <row r="98" spans="1:14">
      <c r="A98" s="8">
        <v>4</v>
      </c>
      <c r="B98" s="70">
        <v>37888</v>
      </c>
      <c r="C98" s="12">
        <v>2003</v>
      </c>
      <c r="D98" s="15" t="s">
        <v>26</v>
      </c>
      <c r="E98" s="12">
        <v>9</v>
      </c>
      <c r="F98" s="17">
        <v>19.523304188652542</v>
      </c>
      <c r="G98" s="17">
        <v>0</v>
      </c>
      <c r="I98" s="27">
        <f>AVERAGE(F97:F98)</f>
        <v>15.422875486805813</v>
      </c>
      <c r="J98" s="27">
        <f>AVERAGE(G97:G98)</f>
        <v>0</v>
      </c>
      <c r="L98">
        <f>+J98/I98</f>
        <v>0</v>
      </c>
      <c r="M98">
        <f>+(L98-$L$619)/$L$620</f>
        <v>-0.4255805102422856</v>
      </c>
      <c r="N98">
        <f>+N96+M98</f>
        <v>5.0741780125318572</v>
      </c>
    </row>
    <row r="99" spans="1:14">
      <c r="A99" s="8">
        <v>3</v>
      </c>
      <c r="B99" s="70">
        <v>37910</v>
      </c>
      <c r="C99" s="12">
        <v>2003</v>
      </c>
      <c r="D99" s="15" t="s">
        <v>14</v>
      </c>
      <c r="E99" s="12">
        <v>10</v>
      </c>
      <c r="F99" s="16">
        <v>9.7642000000000007</v>
      </c>
      <c r="G99" s="17">
        <v>4.5453975478011326E-2</v>
      </c>
    </row>
    <row r="100" spans="1:14">
      <c r="A100" s="8">
        <v>4</v>
      </c>
      <c r="B100" s="70">
        <v>37910</v>
      </c>
      <c r="C100" s="12">
        <v>2003</v>
      </c>
      <c r="D100" s="15" t="s">
        <v>14</v>
      </c>
      <c r="E100" s="12">
        <v>10</v>
      </c>
      <c r="F100" s="16">
        <v>9.9925999999999995</v>
      </c>
      <c r="G100" s="17">
        <v>4.4151045075440473E-2</v>
      </c>
      <c r="I100" s="27">
        <f>AVERAGE(F99:F100)</f>
        <v>9.8783999999999992</v>
      </c>
      <c r="J100" s="27">
        <f>AVERAGE(G99:G100)</f>
        <v>4.4802510276725896E-2</v>
      </c>
      <c r="L100">
        <f>+J100/I100</f>
        <v>4.5354015100346106E-3</v>
      </c>
      <c r="M100">
        <f>+(L100-$L$619)/$L$620</f>
        <v>-0.25900119784566678</v>
      </c>
      <c r="N100">
        <f>+N98+M100</f>
        <v>4.8151768146861906</v>
      </c>
    </row>
    <row r="101" spans="1:14">
      <c r="A101" s="8">
        <v>3</v>
      </c>
      <c r="B101" s="70">
        <v>37943</v>
      </c>
      <c r="C101" s="12">
        <v>2003</v>
      </c>
      <c r="D101" s="15" t="s">
        <v>16</v>
      </c>
      <c r="E101" s="12">
        <v>11</v>
      </c>
      <c r="F101" s="16">
        <v>3.2075999999999998</v>
      </c>
      <c r="G101" s="17">
        <v>1.3221462981197167E-2</v>
      </c>
    </row>
    <row r="102" spans="1:14">
      <c r="A102" s="8">
        <v>4</v>
      </c>
      <c r="B102" s="70">
        <v>37943</v>
      </c>
      <c r="C102" s="12">
        <v>2003</v>
      </c>
      <c r="D102" s="15" t="s">
        <v>16</v>
      </c>
      <c r="E102" s="12">
        <v>11</v>
      </c>
      <c r="F102" s="16">
        <v>5.4176000000000002</v>
      </c>
      <c r="G102" s="17">
        <v>0</v>
      </c>
      <c r="I102" s="27">
        <f>AVERAGE(F101:F102)</f>
        <v>4.3125999999999998</v>
      </c>
      <c r="J102" s="27">
        <f>AVERAGE(G101:G102)</f>
        <v>6.6107314905985834E-3</v>
      </c>
      <c r="L102">
        <f>+J102/I102</f>
        <v>1.5328876989747677E-3</v>
      </c>
      <c r="M102">
        <f>+(L102-$L$619)/$L$620</f>
        <v>-0.36927956790862582</v>
      </c>
      <c r="N102">
        <f>+N100+M102</f>
        <v>4.445897246777565</v>
      </c>
    </row>
    <row r="103" spans="1:14">
      <c r="A103" s="8">
        <v>3</v>
      </c>
      <c r="B103" s="70">
        <v>37973</v>
      </c>
      <c r="C103" s="12">
        <v>2003</v>
      </c>
      <c r="D103" s="15" t="s">
        <v>17</v>
      </c>
      <c r="E103" s="12">
        <v>12</v>
      </c>
      <c r="F103" s="16">
        <v>11.6934</v>
      </c>
      <c r="G103" s="17">
        <v>0</v>
      </c>
    </row>
    <row r="104" spans="1:14">
      <c r="A104" s="8">
        <v>4</v>
      </c>
      <c r="B104" s="70">
        <v>37973</v>
      </c>
      <c r="C104" s="12">
        <v>2003</v>
      </c>
      <c r="D104" s="15" t="s">
        <v>17</v>
      </c>
      <c r="E104" s="12">
        <v>12</v>
      </c>
      <c r="F104" s="16">
        <v>10.9465</v>
      </c>
      <c r="G104" s="17">
        <v>0</v>
      </c>
      <c r="I104" s="27">
        <f>AVERAGE(F103:F104)</f>
        <v>11.31995</v>
      </c>
      <c r="J104" s="27">
        <f>AVERAGE(G103:G104)</f>
        <v>0</v>
      </c>
      <c r="L104">
        <f>+J104/I104</f>
        <v>0</v>
      </c>
      <c r="M104">
        <f>+(L104-$L$619)/$L$620</f>
        <v>-0.4255805102422856</v>
      </c>
      <c r="N104">
        <f>+N102+M104</f>
        <v>4.0203167365352792</v>
      </c>
    </row>
    <row r="105" spans="1:14">
      <c r="A105" s="8">
        <v>3</v>
      </c>
      <c r="B105" s="70">
        <v>37999</v>
      </c>
      <c r="C105" s="12">
        <v>2004</v>
      </c>
      <c r="D105" s="15" t="s">
        <v>18</v>
      </c>
      <c r="E105" s="12">
        <v>1</v>
      </c>
      <c r="F105" s="16">
        <v>5.3851000000000004</v>
      </c>
      <c r="G105" s="16">
        <v>0</v>
      </c>
    </row>
    <row r="106" spans="1:14">
      <c r="A106" s="8">
        <v>4</v>
      </c>
      <c r="C106" s="12">
        <v>2004</v>
      </c>
      <c r="D106" s="15" t="s">
        <v>18</v>
      </c>
      <c r="E106" s="12">
        <v>1</v>
      </c>
      <c r="F106" s="16"/>
      <c r="I106" s="27">
        <f>AVERAGE(F105:F106)</f>
        <v>5.3851000000000004</v>
      </c>
      <c r="J106" s="27">
        <f>AVERAGE(G105:G106)</f>
        <v>0</v>
      </c>
      <c r="L106">
        <f>+J106/I106</f>
        <v>0</v>
      </c>
      <c r="M106">
        <f>+(L106-$L$619)/$L$620</f>
        <v>-0.4255805102422856</v>
      </c>
      <c r="N106">
        <f>+N104+M106</f>
        <v>3.5947362262929934</v>
      </c>
    </row>
    <row r="107" spans="1:14">
      <c r="A107" s="8">
        <v>3</v>
      </c>
      <c r="B107" s="70">
        <v>38027</v>
      </c>
      <c r="C107" s="12">
        <v>2004</v>
      </c>
      <c r="D107" s="11" t="s">
        <v>19</v>
      </c>
      <c r="E107" s="12">
        <v>2</v>
      </c>
      <c r="F107" s="16">
        <v>5.3371000000000004</v>
      </c>
      <c r="G107" s="16">
        <v>0</v>
      </c>
    </row>
    <row r="108" spans="1:14">
      <c r="A108" s="8">
        <v>4</v>
      </c>
      <c r="B108" s="70">
        <v>38027</v>
      </c>
      <c r="C108" s="12">
        <v>2004</v>
      </c>
      <c r="D108" s="11" t="s">
        <v>19</v>
      </c>
      <c r="E108" s="12">
        <v>2</v>
      </c>
      <c r="F108" s="16">
        <v>2.6084999999999998</v>
      </c>
      <c r="G108" s="16">
        <v>0</v>
      </c>
      <c r="I108" s="27">
        <f>AVERAGE(F107:F108)</f>
        <v>3.9728000000000003</v>
      </c>
      <c r="J108" s="27">
        <f>AVERAGE(G107:G108)</f>
        <v>0</v>
      </c>
      <c r="L108">
        <f>+J108/I108</f>
        <v>0</v>
      </c>
      <c r="M108">
        <f>+(L108-$L$619)/$L$620</f>
        <v>-0.4255805102422856</v>
      </c>
      <c r="N108">
        <f>+N106+M108</f>
        <v>3.1691557160507076</v>
      </c>
    </row>
    <row r="109" spans="1:14">
      <c r="A109" s="8">
        <v>3</v>
      </c>
      <c r="B109" s="70">
        <v>38063</v>
      </c>
      <c r="C109" s="12">
        <v>2004</v>
      </c>
      <c r="D109" s="11" t="s">
        <v>20</v>
      </c>
      <c r="E109" s="12">
        <v>3</v>
      </c>
      <c r="F109" s="16">
        <v>13.4383</v>
      </c>
      <c r="G109" s="16">
        <v>0</v>
      </c>
    </row>
    <row r="110" spans="1:14">
      <c r="A110" s="8">
        <v>4</v>
      </c>
      <c r="B110" s="70">
        <v>38063</v>
      </c>
      <c r="C110" s="12">
        <v>2004</v>
      </c>
      <c r="D110" s="11" t="s">
        <v>20</v>
      </c>
      <c r="E110" s="12">
        <v>3</v>
      </c>
      <c r="F110" s="16">
        <v>12.3042</v>
      </c>
      <c r="G110" s="16">
        <v>0</v>
      </c>
      <c r="I110" s="27">
        <f>AVERAGE(F109:F110)</f>
        <v>12.87125</v>
      </c>
      <c r="J110" s="27">
        <f>AVERAGE(G109:G110)</f>
        <v>0</v>
      </c>
      <c r="L110">
        <f>+J110/I110</f>
        <v>0</v>
      </c>
      <c r="M110">
        <f>+(L110-$L$619)/$L$620</f>
        <v>-0.4255805102422856</v>
      </c>
      <c r="N110">
        <f>+N108+M110</f>
        <v>2.7435752058084217</v>
      </c>
    </row>
    <row r="111" spans="1:14">
      <c r="A111" s="8">
        <v>3</v>
      </c>
      <c r="B111" s="70">
        <v>38094</v>
      </c>
      <c r="C111" s="12">
        <v>2004</v>
      </c>
      <c r="D111" s="11" t="s">
        <v>21</v>
      </c>
      <c r="E111" s="12">
        <v>4</v>
      </c>
      <c r="F111" s="16">
        <v>5.4115000000000002</v>
      </c>
      <c r="G111" s="21">
        <v>0</v>
      </c>
    </row>
    <row r="112" spans="1:14">
      <c r="A112" s="8">
        <v>4</v>
      </c>
      <c r="B112" s="70">
        <v>38094</v>
      </c>
      <c r="C112" s="12">
        <v>2004</v>
      </c>
      <c r="D112" s="11" t="s">
        <v>21</v>
      </c>
      <c r="E112" s="12">
        <v>4</v>
      </c>
      <c r="F112" s="16">
        <v>5.7423999999999999</v>
      </c>
      <c r="G112" s="21">
        <v>0</v>
      </c>
      <c r="I112" s="27">
        <f>AVERAGE(F111:F112)</f>
        <v>5.5769500000000001</v>
      </c>
      <c r="J112" s="27">
        <f>AVERAGE(G111:G112)</f>
        <v>0</v>
      </c>
      <c r="L112">
        <f>+J112/I112</f>
        <v>0</v>
      </c>
      <c r="M112">
        <f>+(L112-$L$619)/$L$620</f>
        <v>-0.4255805102422856</v>
      </c>
      <c r="N112">
        <f>+N110+M112</f>
        <v>2.3179946955661359</v>
      </c>
    </row>
    <row r="113" spans="1:14">
      <c r="A113" s="8">
        <v>3</v>
      </c>
      <c r="B113" s="70">
        <v>38118</v>
      </c>
      <c r="C113" s="12">
        <v>2004</v>
      </c>
      <c r="D113" s="11" t="s">
        <v>22</v>
      </c>
      <c r="E113" s="12">
        <v>5</v>
      </c>
      <c r="F113" s="16">
        <v>3.6282999999999999</v>
      </c>
      <c r="G113" s="21">
        <v>0</v>
      </c>
    </row>
    <row r="114" spans="1:14">
      <c r="A114" s="8">
        <v>4</v>
      </c>
      <c r="B114" s="70">
        <v>38118</v>
      </c>
      <c r="C114" s="12">
        <v>2004</v>
      </c>
      <c r="D114" s="11" t="s">
        <v>22</v>
      </c>
      <c r="E114" s="12">
        <v>5</v>
      </c>
      <c r="F114" s="16">
        <v>4.9854000000000003</v>
      </c>
      <c r="G114" s="21">
        <v>0</v>
      </c>
      <c r="I114" s="27">
        <f>AVERAGE(F113:F114)</f>
        <v>4.3068499999999998</v>
      </c>
      <c r="J114" s="27">
        <f>AVERAGE(G113:G114)</f>
        <v>0</v>
      </c>
      <c r="L114">
        <f>+J114/I114</f>
        <v>0</v>
      </c>
      <c r="M114">
        <f>+(L114-$L$619)/$L$620</f>
        <v>-0.4255805102422856</v>
      </c>
      <c r="N114">
        <f>+N112+M114</f>
        <v>1.8924141853238503</v>
      </c>
    </row>
    <row r="115" spans="1:14">
      <c r="A115" s="8">
        <v>3</v>
      </c>
      <c r="B115" s="70">
        <v>38153</v>
      </c>
      <c r="C115" s="12">
        <v>2004</v>
      </c>
      <c r="D115" s="11" t="s">
        <v>23</v>
      </c>
      <c r="E115" s="12">
        <v>6</v>
      </c>
      <c r="F115" s="16">
        <v>18.753</v>
      </c>
      <c r="G115" s="21">
        <v>0.91760947473392074</v>
      </c>
    </row>
    <row r="116" spans="1:14">
      <c r="A116" s="8">
        <v>4</v>
      </c>
      <c r="B116" s="70">
        <v>38153</v>
      </c>
      <c r="C116" s="12">
        <v>2004</v>
      </c>
      <c r="D116" s="11" t="s">
        <v>23</v>
      </c>
      <c r="E116" s="12">
        <v>6</v>
      </c>
      <c r="F116" s="16">
        <v>13.9351</v>
      </c>
      <c r="G116" s="21">
        <v>0.2832702780754639</v>
      </c>
      <c r="I116" s="27">
        <f>AVERAGE(F115:F116)</f>
        <v>16.344049999999999</v>
      </c>
      <c r="J116" s="27">
        <f>AVERAGE(G115:G116)</f>
        <v>0.60043987640469232</v>
      </c>
      <c r="L116">
        <f>+J116/I116</f>
        <v>3.6737520773901959E-2</v>
      </c>
      <c r="M116">
        <f>+(L116-$L$619)/$L$620</f>
        <v>0.92374014772662438</v>
      </c>
      <c r="N116">
        <f>+N114+M116</f>
        <v>2.8161543330504748</v>
      </c>
    </row>
    <row r="117" spans="1:14">
      <c r="A117" s="8">
        <v>3</v>
      </c>
      <c r="B117" s="70">
        <v>38181</v>
      </c>
      <c r="C117" s="12">
        <v>2004</v>
      </c>
      <c r="D117" s="15" t="s">
        <v>24</v>
      </c>
      <c r="E117" s="12">
        <v>7</v>
      </c>
      <c r="F117" s="16">
        <v>20.0915</v>
      </c>
      <c r="G117" s="21">
        <v>7.0552630515793802E-2</v>
      </c>
    </row>
    <row r="118" spans="1:14">
      <c r="A118" s="8">
        <v>4</v>
      </c>
      <c r="B118" s="70">
        <v>38181</v>
      </c>
      <c r="C118" s="12">
        <v>2004</v>
      </c>
      <c r="D118" s="15" t="s">
        <v>24</v>
      </c>
      <c r="E118" s="12">
        <v>7</v>
      </c>
      <c r="F118" s="16">
        <v>15.782</v>
      </c>
      <c r="G118" s="21">
        <v>0</v>
      </c>
      <c r="I118" s="27">
        <f>AVERAGE(F117:F118)</f>
        <v>17.93675</v>
      </c>
      <c r="J118" s="27">
        <f>AVERAGE(G117:G118)</f>
        <v>3.5276315257896901E-2</v>
      </c>
      <c r="L118">
        <f>+J118/I118</f>
        <v>1.9667060787431894E-3</v>
      </c>
      <c r="M118">
        <f>+(L118-$L$619)/$L$620</f>
        <v>-0.35334599130092048</v>
      </c>
      <c r="N118">
        <f>+N116+M118</f>
        <v>2.4628083417495543</v>
      </c>
    </row>
    <row r="119" spans="1:14">
      <c r="A119" s="8">
        <v>3</v>
      </c>
      <c r="B119" s="70">
        <v>38217</v>
      </c>
      <c r="C119" s="12">
        <v>2004</v>
      </c>
      <c r="D119" s="15" t="s">
        <v>25</v>
      </c>
      <c r="E119" s="12">
        <v>8</v>
      </c>
      <c r="F119" s="16">
        <v>10.997999999999999</v>
      </c>
      <c r="G119" s="20"/>
    </row>
    <row r="120" spans="1:14">
      <c r="A120" s="8">
        <v>4</v>
      </c>
      <c r="B120" s="70">
        <v>38217</v>
      </c>
      <c r="C120" s="12">
        <v>2004</v>
      </c>
      <c r="D120" s="15" t="s">
        <v>25</v>
      </c>
      <c r="E120" s="12">
        <v>8</v>
      </c>
      <c r="F120" s="16">
        <v>45.216900000000003</v>
      </c>
      <c r="G120" s="20"/>
      <c r="I120" s="27">
        <f>AVERAGE(F119:F120)</f>
        <v>28.10745</v>
      </c>
      <c r="J120" s="27" t="e">
        <f>AVERAGE(G119:G120)</f>
        <v>#DIV/0!</v>
      </c>
    </row>
    <row r="121" spans="1:14">
      <c r="A121" s="8">
        <v>3</v>
      </c>
      <c r="B121" s="70">
        <v>38244</v>
      </c>
      <c r="C121" s="12">
        <v>2004</v>
      </c>
      <c r="D121" s="15" t="s">
        <v>26</v>
      </c>
      <c r="E121" s="12">
        <v>9</v>
      </c>
      <c r="F121" s="16">
        <v>12.7507</v>
      </c>
      <c r="G121" s="21">
        <v>0</v>
      </c>
    </row>
    <row r="122" spans="1:14">
      <c r="A122" s="8">
        <v>4</v>
      </c>
      <c r="B122" s="70">
        <v>38244</v>
      </c>
      <c r="C122" s="12">
        <v>2004</v>
      </c>
      <c r="D122" s="15" t="s">
        <v>26</v>
      </c>
      <c r="E122" s="12">
        <v>9</v>
      </c>
      <c r="F122" s="16">
        <v>14.0365</v>
      </c>
      <c r="G122" s="21">
        <v>0</v>
      </c>
      <c r="I122" s="27">
        <f>AVERAGE(F121:F122)</f>
        <v>13.393599999999999</v>
      </c>
      <c r="J122" s="27">
        <f>AVERAGE(G121:G122)</f>
        <v>0</v>
      </c>
      <c r="L122">
        <f>+J122/I122</f>
        <v>0</v>
      </c>
      <c r="M122">
        <f>+(L122-$L$619)/$L$620</f>
        <v>-0.4255805102422856</v>
      </c>
      <c r="N122">
        <f>+N118+M122</f>
        <v>2.0372278315072689</v>
      </c>
    </row>
    <row r="123" spans="1:14">
      <c r="A123" s="8">
        <v>3</v>
      </c>
      <c r="B123" s="70">
        <v>38272</v>
      </c>
      <c r="C123" s="12">
        <v>2004</v>
      </c>
      <c r="D123" s="15" t="s">
        <v>14</v>
      </c>
      <c r="E123" s="12">
        <v>10</v>
      </c>
      <c r="F123" s="17">
        <v>7.8767199999999997</v>
      </c>
      <c r="G123" s="17">
        <v>0</v>
      </c>
    </row>
    <row r="124" spans="1:14">
      <c r="A124" s="8">
        <v>4</v>
      </c>
      <c r="B124" s="70">
        <v>38272</v>
      </c>
      <c r="C124" s="12">
        <v>2004</v>
      </c>
      <c r="D124" s="15" t="s">
        <v>14</v>
      </c>
      <c r="E124" s="12">
        <v>10</v>
      </c>
      <c r="F124" s="17">
        <v>6.2694200000000002</v>
      </c>
      <c r="G124" s="17">
        <v>0</v>
      </c>
      <c r="I124" s="27">
        <f>AVERAGE(F123:F124)</f>
        <v>7.0730699999999995</v>
      </c>
      <c r="J124" s="27">
        <f>AVERAGE(G123:G124)</f>
        <v>0</v>
      </c>
      <c r="L124">
        <f>+J124/I124</f>
        <v>0</v>
      </c>
      <c r="M124">
        <f>+(L124-$L$619)/$L$620</f>
        <v>-0.4255805102422856</v>
      </c>
      <c r="N124">
        <f>+N122+M124</f>
        <v>1.6116473212649833</v>
      </c>
    </row>
    <row r="125" spans="1:14">
      <c r="A125" s="8">
        <v>3</v>
      </c>
      <c r="B125" s="70">
        <v>38306</v>
      </c>
      <c r="C125" s="12">
        <v>2004</v>
      </c>
      <c r="D125" s="15" t="s">
        <v>16</v>
      </c>
      <c r="E125" s="12">
        <v>11</v>
      </c>
      <c r="F125" s="17">
        <v>6.0825500000000003</v>
      </c>
      <c r="G125" s="17">
        <v>0</v>
      </c>
    </row>
    <row r="126" spans="1:14">
      <c r="A126" s="8">
        <v>4</v>
      </c>
      <c r="B126" s="70">
        <v>38306</v>
      </c>
      <c r="C126" s="12">
        <v>2004</v>
      </c>
      <c r="D126" s="15" t="s">
        <v>16</v>
      </c>
      <c r="E126" s="12">
        <v>11</v>
      </c>
      <c r="F126" s="17">
        <v>6.7589899999999998</v>
      </c>
      <c r="G126" s="17">
        <v>0</v>
      </c>
      <c r="I126" s="27">
        <f>AVERAGE(F125:F126)</f>
        <v>6.4207700000000001</v>
      </c>
      <c r="J126" s="27">
        <f>AVERAGE(G125:G126)</f>
        <v>0</v>
      </c>
      <c r="L126">
        <f>+J126/I126</f>
        <v>0</v>
      </c>
      <c r="M126">
        <f>+(L126-$L$619)/$L$620</f>
        <v>-0.4255805102422856</v>
      </c>
      <c r="N126">
        <f>+N124+M126</f>
        <v>1.1860668110226977</v>
      </c>
    </row>
    <row r="127" spans="1:14">
      <c r="A127" s="8">
        <v>3</v>
      </c>
      <c r="B127" s="70">
        <v>38336</v>
      </c>
      <c r="C127" s="12">
        <v>2004</v>
      </c>
      <c r="D127" s="15" t="s">
        <v>17</v>
      </c>
      <c r="E127" s="12">
        <v>12</v>
      </c>
      <c r="F127" s="17">
        <v>4.2297099999999999</v>
      </c>
      <c r="G127" s="17">
        <v>0</v>
      </c>
    </row>
    <row r="128" spans="1:14">
      <c r="A128" s="8">
        <v>4</v>
      </c>
      <c r="B128" s="70">
        <v>38336</v>
      </c>
      <c r="C128" s="12">
        <v>2004</v>
      </c>
      <c r="D128" s="15" t="s">
        <v>17</v>
      </c>
      <c r="E128" s="12">
        <v>12</v>
      </c>
      <c r="F128" s="17">
        <v>12.044879999999999</v>
      </c>
      <c r="G128" s="17">
        <v>0</v>
      </c>
      <c r="I128" s="27">
        <f>AVERAGE(F127:F128)</f>
        <v>8.1372949999999999</v>
      </c>
      <c r="J128" s="27">
        <f>AVERAGE(G127:G128)</f>
        <v>0</v>
      </c>
      <c r="L128">
        <f>+J128/I128</f>
        <v>0</v>
      </c>
      <c r="M128">
        <f>+(L128-$L$619)/$L$620</f>
        <v>-0.4255805102422856</v>
      </c>
      <c r="N128">
        <f>+N126+M128</f>
        <v>0.76048630078041213</v>
      </c>
    </row>
    <row r="129" spans="1:14">
      <c r="A129" s="8">
        <v>3</v>
      </c>
      <c r="B129" s="75">
        <v>38362</v>
      </c>
      <c r="C129" s="12">
        <v>2005</v>
      </c>
      <c r="D129" s="15" t="s">
        <v>18</v>
      </c>
      <c r="E129" s="12">
        <v>1</v>
      </c>
      <c r="F129" s="17">
        <v>6.4647300000000003</v>
      </c>
      <c r="G129" s="17">
        <v>3.153905419461283E-2</v>
      </c>
    </row>
    <row r="130" spans="1:14">
      <c r="A130" s="8">
        <v>4</v>
      </c>
      <c r="B130" s="75">
        <v>38362</v>
      </c>
      <c r="C130" s="12">
        <v>2005</v>
      </c>
      <c r="D130" s="15" t="s">
        <v>18</v>
      </c>
      <c r="E130" s="12">
        <v>1</v>
      </c>
      <c r="F130" s="17">
        <v>7.8801500000000004</v>
      </c>
      <c r="G130" s="17">
        <v>0</v>
      </c>
      <c r="I130" s="27">
        <f>AVERAGE(F129:F130)</f>
        <v>7.1724399999999999</v>
      </c>
      <c r="J130" s="27">
        <f>AVERAGE(G129:G130)</f>
        <v>1.5769527097306415E-2</v>
      </c>
      <c r="L130">
        <f>+J130/I130</f>
        <v>2.1986279560799972E-3</v>
      </c>
      <c r="M130">
        <f>+(L130-$L$619)/$L$620</f>
        <v>-0.34482780679817654</v>
      </c>
      <c r="N130">
        <f>+N128+M130</f>
        <v>0.41565849398223559</v>
      </c>
    </row>
    <row r="131" spans="1:14">
      <c r="A131" s="8">
        <v>3</v>
      </c>
      <c r="B131" s="75">
        <v>38399</v>
      </c>
      <c r="C131" s="12">
        <v>2005</v>
      </c>
      <c r="D131" s="11" t="s">
        <v>19</v>
      </c>
      <c r="E131" s="12">
        <v>2</v>
      </c>
      <c r="F131" s="17">
        <v>3.33995</v>
      </c>
      <c r="G131" s="17">
        <v>0</v>
      </c>
    </row>
    <row r="132" spans="1:14">
      <c r="A132" s="8">
        <v>4</v>
      </c>
      <c r="B132" s="75">
        <v>38399</v>
      </c>
      <c r="C132" s="12">
        <v>2005</v>
      </c>
      <c r="D132" s="11" t="s">
        <v>19</v>
      </c>
      <c r="E132" s="12">
        <v>2</v>
      </c>
      <c r="F132" s="17">
        <v>3.9554900000000002</v>
      </c>
      <c r="G132" s="17">
        <v>0</v>
      </c>
      <c r="I132" s="27">
        <f>AVERAGE(F131:F132)</f>
        <v>3.6477200000000001</v>
      </c>
      <c r="J132" s="27">
        <f>AVERAGE(G131:G132)</f>
        <v>0</v>
      </c>
      <c r="L132">
        <f>+J132/I132</f>
        <v>0</v>
      </c>
      <c r="M132">
        <f>+(L132-$L$619)/$L$620</f>
        <v>-0.4255805102422856</v>
      </c>
      <c r="N132">
        <f>+N130+M132</f>
        <v>-9.922016260050015E-3</v>
      </c>
    </row>
    <row r="133" spans="1:14">
      <c r="A133" s="8">
        <v>3</v>
      </c>
      <c r="B133" s="75">
        <v>38428</v>
      </c>
      <c r="C133" s="12">
        <v>2005</v>
      </c>
      <c r="D133" s="11" t="s">
        <v>20</v>
      </c>
      <c r="E133" s="12">
        <v>3</v>
      </c>
      <c r="F133" s="17">
        <v>1.1633800000000001</v>
      </c>
      <c r="G133" s="17">
        <v>0</v>
      </c>
    </row>
    <row r="134" spans="1:14">
      <c r="A134" s="8">
        <v>4</v>
      </c>
      <c r="B134" s="75">
        <v>38428</v>
      </c>
      <c r="C134" s="12">
        <v>2005</v>
      </c>
      <c r="D134" s="11" t="s">
        <v>20</v>
      </c>
      <c r="E134" s="12">
        <v>3</v>
      </c>
      <c r="F134" s="17">
        <v>2.8252999999999999</v>
      </c>
      <c r="G134" s="17">
        <v>0</v>
      </c>
      <c r="I134" s="27">
        <f>AVERAGE(F133:F134)</f>
        <v>1.99434</v>
      </c>
      <c r="J134" s="27">
        <f>AVERAGE(G133:G134)</f>
        <v>0</v>
      </c>
      <c r="L134">
        <f>+J134/I134</f>
        <v>0</v>
      </c>
      <c r="M134">
        <f>+(L134-$L$619)/$L$620</f>
        <v>-0.4255805102422856</v>
      </c>
      <c r="N134">
        <f>+N132+M134</f>
        <v>-0.43550252650233562</v>
      </c>
    </row>
    <row r="135" spans="1:14">
      <c r="A135" s="8">
        <v>3</v>
      </c>
      <c r="B135" s="75">
        <v>38469</v>
      </c>
      <c r="C135" s="12">
        <v>2005</v>
      </c>
      <c r="D135" s="11" t="s">
        <v>21</v>
      </c>
      <c r="E135" s="12">
        <v>4</v>
      </c>
      <c r="F135" s="17">
        <v>3.2155200000000002</v>
      </c>
      <c r="G135" s="17">
        <v>7.0755575757826789E-2</v>
      </c>
    </row>
    <row r="136" spans="1:14">
      <c r="A136" s="8">
        <v>4</v>
      </c>
      <c r="B136" s="75">
        <v>38469</v>
      </c>
      <c r="C136" s="12">
        <v>2005</v>
      </c>
      <c r="D136" s="11" t="s">
        <v>21</v>
      </c>
      <c r="E136" s="12">
        <v>4</v>
      </c>
      <c r="F136" s="17">
        <v>5.28355</v>
      </c>
      <c r="G136" s="17">
        <v>3.072385204826706E-2</v>
      </c>
      <c r="I136" s="27">
        <f>AVERAGE(F135:F136)</f>
        <v>4.2495349999999998</v>
      </c>
      <c r="J136" s="27">
        <f>AVERAGE(G135:G136)</f>
        <v>5.0739713903046921E-2</v>
      </c>
      <c r="L136">
        <f>+J136/I136</f>
        <v>1.1940062595800934E-2</v>
      </c>
      <c r="M136">
        <f>+(L136-$L$619)/$L$620</f>
        <v>1.2962232397037924E-2</v>
      </c>
      <c r="N136">
        <f>+N134+M136</f>
        <v>-0.4225402941052977</v>
      </c>
    </row>
    <row r="137" spans="1:14">
      <c r="A137" s="8">
        <v>3</v>
      </c>
      <c r="B137" s="75">
        <v>38490</v>
      </c>
      <c r="C137" s="12">
        <v>2005</v>
      </c>
      <c r="D137" s="11" t="s">
        <v>22</v>
      </c>
      <c r="E137" s="12">
        <v>5</v>
      </c>
      <c r="F137" s="17">
        <v>10.451129999999999</v>
      </c>
      <c r="G137" s="17">
        <v>1.2375259026541607</v>
      </c>
    </row>
    <row r="138" spans="1:14">
      <c r="A138" s="8">
        <v>4</v>
      </c>
      <c r="B138" s="75">
        <v>38490</v>
      </c>
      <c r="C138" s="12">
        <v>2005</v>
      </c>
      <c r="D138" s="11" t="s">
        <v>22</v>
      </c>
      <c r="E138" s="12">
        <v>5</v>
      </c>
      <c r="F138" s="17">
        <v>10.21026</v>
      </c>
      <c r="G138" s="17">
        <v>0.9143</v>
      </c>
      <c r="I138" s="27">
        <f>AVERAGE(F137:F138)</f>
        <v>10.330694999999999</v>
      </c>
      <c r="J138" s="27">
        <f>AVERAGE(G137:G138)</f>
        <v>1.0759129513270804</v>
      </c>
      <c r="L138">
        <f>+J138/I138</f>
        <v>0.10414719932464181</v>
      </c>
      <c r="M138">
        <f>+(L138-$L$619)/$L$620</f>
        <v>3.3996086848373901</v>
      </c>
      <c r="N138">
        <f>+N136+M138</f>
        <v>2.9770683907320925</v>
      </c>
    </row>
    <row r="139" spans="1:14">
      <c r="A139" s="8">
        <v>3</v>
      </c>
      <c r="B139" s="75">
        <v>38518</v>
      </c>
      <c r="C139" s="12">
        <v>2005</v>
      </c>
      <c r="D139" s="11" t="s">
        <v>23</v>
      </c>
      <c r="E139" s="12">
        <v>6</v>
      </c>
      <c r="F139" s="17">
        <v>13.36988</v>
      </c>
      <c r="G139" s="17">
        <v>7.2304966870211498E-2</v>
      </c>
    </row>
    <row r="140" spans="1:14">
      <c r="A140" s="8">
        <v>4</v>
      </c>
      <c r="B140" s="75">
        <v>38518</v>
      </c>
      <c r="C140" s="12">
        <v>2005</v>
      </c>
      <c r="D140" s="11" t="s">
        <v>23</v>
      </c>
      <c r="E140" s="12">
        <v>6</v>
      </c>
      <c r="F140" s="17">
        <v>16.137519999999999</v>
      </c>
      <c r="G140" s="17">
        <v>0.13528502300466791</v>
      </c>
      <c r="I140" s="27">
        <f>AVERAGE(F139:F140)</f>
        <v>14.753699999999998</v>
      </c>
      <c r="J140" s="27">
        <f>AVERAGE(G139:G140)</f>
        <v>0.10379499493743971</v>
      </c>
      <c r="L140">
        <f>+J140/I140</f>
        <v>7.0351840512847437E-3</v>
      </c>
      <c r="M140">
        <f>+(L140-$L$619)/$L$620</f>
        <v>-0.16718748390188365</v>
      </c>
      <c r="N140">
        <f>+N138+M140</f>
        <v>2.8098809068302089</v>
      </c>
    </row>
    <row r="141" spans="1:14">
      <c r="A141" s="8">
        <v>3</v>
      </c>
      <c r="B141" s="75">
        <v>38547</v>
      </c>
      <c r="C141" s="12">
        <v>2005</v>
      </c>
      <c r="D141" s="15" t="s">
        <v>24</v>
      </c>
      <c r="E141" s="12">
        <v>7</v>
      </c>
      <c r="F141" s="17">
        <v>21.922049999999999</v>
      </c>
      <c r="G141" s="17">
        <v>3.6026400815063891E-2</v>
      </c>
    </row>
    <row r="142" spans="1:14">
      <c r="A142" s="8">
        <v>4</v>
      </c>
      <c r="B142" s="75">
        <v>38547</v>
      </c>
      <c r="C142" s="12">
        <v>2005</v>
      </c>
      <c r="D142" s="15" t="s">
        <v>24</v>
      </c>
      <c r="E142" s="12">
        <v>7</v>
      </c>
      <c r="F142" s="17">
        <v>23.777570000000001</v>
      </c>
      <c r="G142" s="17">
        <v>0.12093240197444738</v>
      </c>
      <c r="I142" s="27">
        <f>AVERAGE(F141:F142)</f>
        <v>22.849809999999998</v>
      </c>
      <c r="J142" s="27">
        <f>AVERAGE(G141:G142)</f>
        <v>7.8479401394755635E-2</v>
      </c>
      <c r="L142">
        <f>+J142/I142</f>
        <v>3.4345756658263524E-3</v>
      </c>
      <c r="M142">
        <f>+(L142-$L$619)/$L$620</f>
        <v>-0.29943307841697248</v>
      </c>
      <c r="N142">
        <f>+N140+M142</f>
        <v>2.5104478284132363</v>
      </c>
    </row>
    <row r="143" spans="1:14">
      <c r="A143" s="8">
        <v>3</v>
      </c>
      <c r="B143" s="75">
        <v>38589</v>
      </c>
      <c r="C143" s="12">
        <v>2005</v>
      </c>
      <c r="D143" s="15" t="s">
        <v>25</v>
      </c>
      <c r="E143" s="12">
        <v>8</v>
      </c>
      <c r="F143" s="17">
        <v>22.433710000000001</v>
      </c>
      <c r="G143" s="17">
        <v>0</v>
      </c>
    </row>
    <row r="144" spans="1:14">
      <c r="A144" s="8">
        <v>4</v>
      </c>
      <c r="B144" s="75">
        <v>38589</v>
      </c>
      <c r="C144" s="12">
        <v>2005</v>
      </c>
      <c r="D144" s="15" t="s">
        <v>25</v>
      </c>
      <c r="E144" s="12">
        <v>8</v>
      </c>
      <c r="F144" s="17">
        <v>33.627569999999999</v>
      </c>
      <c r="G144" s="17">
        <v>0</v>
      </c>
      <c r="I144" s="27">
        <f>AVERAGE(F143:F144)</f>
        <v>28.030639999999998</v>
      </c>
      <c r="J144" s="27">
        <f>AVERAGE(G143:G144)</f>
        <v>0</v>
      </c>
      <c r="L144">
        <f>+J144/I144</f>
        <v>0</v>
      </c>
      <c r="M144">
        <f>+(L144-$L$619)/$L$620</f>
        <v>-0.4255805102422856</v>
      </c>
      <c r="N144">
        <f>+N142+M144</f>
        <v>2.0848673181709509</v>
      </c>
    </row>
    <row r="145" spans="1:14">
      <c r="A145" s="8">
        <v>3</v>
      </c>
      <c r="B145" s="75">
        <v>38608</v>
      </c>
      <c r="C145" s="12">
        <v>2005</v>
      </c>
      <c r="D145" s="15" t="s">
        <v>26</v>
      </c>
      <c r="E145" s="12">
        <v>9</v>
      </c>
      <c r="F145" s="17">
        <v>21.672129999999999</v>
      </c>
      <c r="G145" s="17">
        <v>0.10893420091382496</v>
      </c>
    </row>
    <row r="146" spans="1:14">
      <c r="A146" s="8">
        <v>4</v>
      </c>
      <c r="B146" s="75">
        <v>38608</v>
      </c>
      <c r="C146" s="12">
        <v>2005</v>
      </c>
      <c r="D146" s="15" t="s">
        <v>26</v>
      </c>
      <c r="E146" s="12">
        <v>9</v>
      </c>
      <c r="F146" s="17">
        <v>22.488399999999999</v>
      </c>
      <c r="G146" s="17">
        <v>8.5279172817126214E-2</v>
      </c>
      <c r="I146" s="27">
        <f>AVERAGE(F145:F146)</f>
        <v>22.080264999999997</v>
      </c>
      <c r="J146" s="27">
        <f>AVERAGE(G145:G146)</f>
        <v>9.7106686865475578E-2</v>
      </c>
      <c r="L146">
        <f>+J146/I146</f>
        <v>4.3978949919974055E-3</v>
      </c>
      <c r="M146">
        <f>+(L146-$L$619)/$L$620</f>
        <v>-0.26405163079499039</v>
      </c>
      <c r="N146">
        <f>+N144+M146</f>
        <v>1.8208156873759607</v>
      </c>
    </row>
    <row r="147" spans="1:14">
      <c r="A147" s="8">
        <v>3</v>
      </c>
      <c r="B147" s="75">
        <v>38636</v>
      </c>
      <c r="C147" s="12">
        <v>2005</v>
      </c>
      <c r="D147" s="15" t="s">
        <v>14</v>
      </c>
      <c r="E147" s="12">
        <v>10</v>
      </c>
      <c r="F147" s="17">
        <v>21.386600000000001</v>
      </c>
      <c r="G147" s="17">
        <v>1E-4</v>
      </c>
    </row>
    <row r="148" spans="1:14">
      <c r="A148" s="8">
        <v>4</v>
      </c>
      <c r="B148" s="75">
        <v>38636</v>
      </c>
      <c r="C148" s="12">
        <v>2005</v>
      </c>
      <c r="D148" s="15" t="s">
        <v>14</v>
      </c>
      <c r="E148" s="12">
        <v>10</v>
      </c>
      <c r="F148" s="17">
        <v>27.834599999999998</v>
      </c>
      <c r="G148" s="17">
        <v>1E-4</v>
      </c>
      <c r="I148" s="27">
        <f>AVERAGE(F147:F148)</f>
        <v>24.610599999999998</v>
      </c>
      <c r="J148" s="27">
        <f>AVERAGE(G147:G148)</f>
        <v>1E-4</v>
      </c>
      <c r="L148">
        <f>+J148/I148</f>
        <v>4.0632898019552553E-6</v>
      </c>
      <c r="M148">
        <f>+(L148-$L$619)/$L$620</f>
        <v>-0.4254312709699124</v>
      </c>
      <c r="N148">
        <f>+N146+M148</f>
        <v>1.3953844164060483</v>
      </c>
    </row>
    <row r="149" spans="1:14">
      <c r="A149" s="8">
        <v>3</v>
      </c>
      <c r="B149" s="75">
        <v>38671</v>
      </c>
      <c r="C149" s="12">
        <v>2005</v>
      </c>
      <c r="D149" s="15" t="s">
        <v>16</v>
      </c>
      <c r="E149" s="12">
        <v>11</v>
      </c>
      <c r="F149" s="17">
        <v>6.7521000000000004</v>
      </c>
      <c r="G149" s="17">
        <v>0.2135</v>
      </c>
    </row>
    <row r="150" spans="1:14">
      <c r="A150" s="8">
        <v>4</v>
      </c>
      <c r="B150" s="75">
        <v>38671</v>
      </c>
      <c r="C150" s="12">
        <v>2005</v>
      </c>
      <c r="D150" s="15" t="s">
        <v>16</v>
      </c>
      <c r="E150" s="12">
        <v>11</v>
      </c>
      <c r="F150" s="17">
        <v>8.98</v>
      </c>
      <c r="G150" s="17">
        <v>0.24610000000000001</v>
      </c>
      <c r="I150" s="27">
        <f>AVERAGE(F149:F150)</f>
        <v>7.8660500000000004</v>
      </c>
      <c r="J150" s="27">
        <f>AVERAGE(G149:G150)</f>
        <v>0.2298</v>
      </c>
      <c r="L150">
        <f>+J150/I150</f>
        <v>2.9214154499399316E-2</v>
      </c>
      <c r="M150">
        <f>+(L150-$L$619)/$L$620</f>
        <v>0.6474168325489571</v>
      </c>
      <c r="N150">
        <f>+N148+M150</f>
        <v>2.0428012489550054</v>
      </c>
    </row>
    <row r="151" spans="1:14">
      <c r="A151" s="8">
        <v>3</v>
      </c>
      <c r="B151" s="75">
        <v>38707</v>
      </c>
      <c r="C151" s="12">
        <v>2005</v>
      </c>
      <c r="D151" s="15" t="s">
        <v>17</v>
      </c>
      <c r="E151" s="12">
        <v>12</v>
      </c>
      <c r="F151" s="17">
        <v>5.8943000000000003</v>
      </c>
      <c r="G151" s="17">
        <v>1E-4</v>
      </c>
    </row>
    <row r="152" spans="1:14">
      <c r="A152" s="8">
        <v>4</v>
      </c>
      <c r="B152" s="75">
        <v>38707</v>
      </c>
      <c r="C152" s="12">
        <v>2005</v>
      </c>
      <c r="D152" s="15" t="s">
        <v>17</v>
      </c>
      <c r="E152" s="12">
        <v>12</v>
      </c>
      <c r="F152" s="17">
        <v>9.6709999999999994</v>
      </c>
      <c r="G152" s="17">
        <v>1E-4</v>
      </c>
      <c r="I152" s="27">
        <f>AVERAGE(F151:F152)</f>
        <v>7.7826500000000003</v>
      </c>
      <c r="J152" s="27">
        <f>AVERAGE(G151:G152)</f>
        <v>1E-4</v>
      </c>
      <c r="L152">
        <f>+J152/I152</f>
        <v>1.284909381765851E-5</v>
      </c>
      <c r="M152">
        <f>+(L152-$L$619)/$L$620</f>
        <v>-0.42510857998245533</v>
      </c>
      <c r="N152">
        <f>+N150+M152</f>
        <v>1.6176926689725502</v>
      </c>
    </row>
    <row r="153" spans="1:14">
      <c r="A153" s="12">
        <v>3</v>
      </c>
      <c r="B153" s="75">
        <v>38734</v>
      </c>
      <c r="C153" s="12">
        <v>2006</v>
      </c>
      <c r="D153" s="11" t="s">
        <v>18</v>
      </c>
      <c r="E153" s="12">
        <v>1</v>
      </c>
      <c r="F153" s="17">
        <v>4.3461999999999996</v>
      </c>
      <c r="G153" s="17">
        <v>4.7500000000000001E-2</v>
      </c>
    </row>
    <row r="154" spans="1:14">
      <c r="A154" s="12">
        <v>4</v>
      </c>
      <c r="B154" s="75">
        <v>38734</v>
      </c>
      <c r="C154" s="12">
        <v>2006</v>
      </c>
      <c r="D154" s="11" t="s">
        <v>18</v>
      </c>
      <c r="E154" s="12">
        <v>1</v>
      </c>
      <c r="F154" s="17">
        <v>9.3907000000000007</v>
      </c>
      <c r="G154" s="17">
        <v>1E-4</v>
      </c>
      <c r="I154" s="27">
        <f>AVERAGE(F153:F154)</f>
        <v>6.8684500000000002</v>
      </c>
      <c r="J154" s="27">
        <f>AVERAGE(G153:G154)</f>
        <v>2.3800000000000002E-2</v>
      </c>
      <c r="L154">
        <f>+J154/I154</f>
        <v>3.4651194956649609E-3</v>
      </c>
      <c r="M154">
        <f>+(L154-$L$619)/$L$620</f>
        <v>-0.29831124385365598</v>
      </c>
      <c r="N154">
        <f>+N152+M154</f>
        <v>1.3193814251188942</v>
      </c>
    </row>
    <row r="155" spans="1:14">
      <c r="A155" s="12">
        <v>3</v>
      </c>
      <c r="B155" s="75">
        <v>38762</v>
      </c>
      <c r="C155" s="15">
        <v>2006</v>
      </c>
      <c r="D155" s="11" t="s">
        <v>28</v>
      </c>
      <c r="E155" s="15">
        <v>2</v>
      </c>
      <c r="F155" s="17">
        <v>6.3464999999999998</v>
      </c>
      <c r="G155" s="17">
        <v>6.4399999999999999E-2</v>
      </c>
    </row>
    <row r="156" spans="1:14">
      <c r="A156" s="12">
        <v>4</v>
      </c>
      <c r="B156" s="75">
        <v>38762</v>
      </c>
      <c r="C156" s="15">
        <v>2006</v>
      </c>
      <c r="D156" s="11" t="s">
        <v>28</v>
      </c>
      <c r="E156" s="15">
        <v>2</v>
      </c>
      <c r="F156" s="17">
        <v>3.6261999999999999</v>
      </c>
      <c r="G156" s="17">
        <v>1E-4</v>
      </c>
      <c r="I156" s="27">
        <f>AVERAGE(F155:F156)</f>
        <v>4.9863499999999998</v>
      </c>
      <c r="J156" s="27">
        <f>AVERAGE(G155:G156)</f>
        <v>3.2250000000000001E-2</v>
      </c>
      <c r="L156">
        <f>+J156/I156</f>
        <v>6.4676567027986409E-3</v>
      </c>
      <c r="M156">
        <f>+(L156-$L$619)/$L$620</f>
        <v>-0.1880320144837791</v>
      </c>
      <c r="N156">
        <f>+N154+M156</f>
        <v>1.1313494106351152</v>
      </c>
    </row>
    <row r="157" spans="1:14">
      <c r="A157" s="12">
        <v>3</v>
      </c>
      <c r="B157" s="75">
        <v>38789</v>
      </c>
      <c r="C157" s="12">
        <v>2006</v>
      </c>
      <c r="D157" s="11" t="s">
        <v>29</v>
      </c>
      <c r="E157" s="15">
        <v>3</v>
      </c>
      <c r="F157" s="17">
        <v>4.9821999999999997</v>
      </c>
      <c r="G157" s="17">
        <v>7.9299999999999995E-2</v>
      </c>
    </row>
    <row r="158" spans="1:14">
      <c r="A158" s="12">
        <v>4</v>
      </c>
      <c r="B158" s="75">
        <v>38789</v>
      </c>
      <c r="C158" s="12">
        <v>2006</v>
      </c>
      <c r="D158" s="11" t="s">
        <v>29</v>
      </c>
      <c r="E158" s="15">
        <v>3</v>
      </c>
      <c r="F158" s="17">
        <v>5.0571999999999999</v>
      </c>
      <c r="G158" s="17">
        <v>7.3099999999999998E-2</v>
      </c>
      <c r="I158" s="27">
        <f>AVERAGE(F157:F158)</f>
        <v>5.0197000000000003</v>
      </c>
      <c r="J158" s="27">
        <f>AVERAGE(G157:G158)</f>
        <v>7.619999999999999E-2</v>
      </c>
      <c r="L158">
        <f>+J158/I158</f>
        <v>1.5180190051198276E-2</v>
      </c>
      <c r="M158">
        <f>+(L158-$L$619)/$L$620</f>
        <v>0.13196783805363096</v>
      </c>
      <c r="N158">
        <f>+N156+M158</f>
        <v>1.2633172486887461</v>
      </c>
    </row>
    <row r="159" spans="1:14">
      <c r="A159" s="12">
        <v>3</v>
      </c>
      <c r="B159" s="74">
        <v>38825</v>
      </c>
      <c r="C159" s="12">
        <v>2006</v>
      </c>
      <c r="D159" s="11" t="s">
        <v>30</v>
      </c>
      <c r="E159" s="12">
        <v>4</v>
      </c>
      <c r="F159" s="17">
        <v>6.5778999999999996</v>
      </c>
      <c r="G159" s="17">
        <v>0.1444</v>
      </c>
    </row>
    <row r="160" spans="1:14">
      <c r="A160" s="12">
        <v>4</v>
      </c>
      <c r="B160" s="74">
        <v>38825</v>
      </c>
      <c r="C160" s="12">
        <v>2006</v>
      </c>
      <c r="D160" s="11" t="s">
        <v>30</v>
      </c>
      <c r="E160" s="12">
        <v>4</v>
      </c>
      <c r="F160" s="17">
        <v>9.2342999999999993</v>
      </c>
      <c r="G160" s="17">
        <v>0.14319999999999999</v>
      </c>
      <c r="I160" s="27">
        <f>AVERAGE(F159:F160)</f>
        <v>7.9060999999999995</v>
      </c>
      <c r="J160" s="27">
        <f>AVERAGE(G159:G160)</f>
        <v>0.14379999999999998</v>
      </c>
      <c r="L160">
        <f>+J160/I160</f>
        <v>1.8188487370511375E-2</v>
      </c>
      <c r="M160">
        <f>+(L160-$L$619)/$L$620</f>
        <v>0.24245862874262192</v>
      </c>
      <c r="N160">
        <f>+N158+M160</f>
        <v>1.5057758774313679</v>
      </c>
    </row>
    <row r="161" spans="1:14">
      <c r="A161" s="12">
        <v>3</v>
      </c>
      <c r="B161" s="74">
        <v>38852</v>
      </c>
      <c r="C161" s="12">
        <v>2006</v>
      </c>
      <c r="D161" s="11" t="s">
        <v>31</v>
      </c>
      <c r="E161" s="12">
        <v>5</v>
      </c>
      <c r="F161" s="17">
        <v>4.8865999999999996</v>
      </c>
      <c r="G161" s="17">
        <v>0.4793</v>
      </c>
    </row>
    <row r="162" spans="1:14">
      <c r="A162" s="12">
        <v>4</v>
      </c>
      <c r="B162" s="74">
        <v>38852</v>
      </c>
      <c r="C162" s="12">
        <v>2006</v>
      </c>
      <c r="D162" s="11" t="s">
        <v>31</v>
      </c>
      <c r="E162" s="12">
        <v>5</v>
      </c>
      <c r="F162" s="17">
        <v>8.3722999999999992</v>
      </c>
      <c r="G162" s="17">
        <v>0.38400000000000001</v>
      </c>
      <c r="I162" s="27">
        <f>AVERAGE(F161:F162)</f>
        <v>6.6294499999999994</v>
      </c>
      <c r="J162" s="27">
        <f>AVERAGE(G161:G162)</f>
        <v>0.43164999999999998</v>
      </c>
      <c r="L162">
        <f>+J162/I162</f>
        <v>6.5110982057335079E-2</v>
      </c>
      <c r="M162">
        <f>+(L162-$L$619)/$L$620</f>
        <v>1.9658599381022084</v>
      </c>
      <c r="N162">
        <f>+N160+M162</f>
        <v>3.4716358155335763</v>
      </c>
    </row>
    <row r="163" spans="1:14">
      <c r="A163" s="12">
        <v>3</v>
      </c>
      <c r="B163" s="74">
        <v>38883</v>
      </c>
      <c r="C163" s="12">
        <v>2006</v>
      </c>
      <c r="D163" s="11" t="s">
        <v>32</v>
      </c>
      <c r="E163" s="12">
        <v>6</v>
      </c>
      <c r="F163" s="17">
        <v>18.6966</v>
      </c>
      <c r="G163" s="17">
        <v>0.97909999999999997</v>
      </c>
    </row>
    <row r="164" spans="1:14">
      <c r="A164" s="12">
        <v>4</v>
      </c>
      <c r="B164" s="74">
        <v>38883</v>
      </c>
      <c r="C164" s="12">
        <v>2006</v>
      </c>
      <c r="D164" s="11" t="s">
        <v>32</v>
      </c>
      <c r="E164" s="12">
        <v>6</v>
      </c>
      <c r="F164" s="17">
        <v>25.342700000000001</v>
      </c>
      <c r="G164" s="17">
        <v>0.58250000000000002</v>
      </c>
      <c r="I164" s="27">
        <f>AVERAGE(F163:F164)</f>
        <v>22.019649999999999</v>
      </c>
      <c r="J164" s="27">
        <f>AVERAGE(G163:G164)</f>
        <v>0.78079999999999994</v>
      </c>
      <c r="L164">
        <f>+J164/I164</f>
        <v>3.5459237544647623E-2</v>
      </c>
      <c r="M164">
        <f>+(L164-$L$619)/$L$620</f>
        <v>0.87679049158125433</v>
      </c>
      <c r="N164">
        <f>+N162+M164</f>
        <v>4.3484263071148304</v>
      </c>
    </row>
    <row r="165" spans="1:14">
      <c r="A165" s="12">
        <v>3</v>
      </c>
      <c r="B165" s="74">
        <v>38916</v>
      </c>
      <c r="C165" s="12">
        <v>2006</v>
      </c>
      <c r="D165" s="11" t="s">
        <v>33</v>
      </c>
      <c r="E165" s="12">
        <v>7</v>
      </c>
      <c r="F165" s="17">
        <v>17.1892</v>
      </c>
      <c r="G165" s="17">
        <v>1E-4</v>
      </c>
    </row>
    <row r="166" spans="1:14">
      <c r="A166" s="12">
        <v>4</v>
      </c>
      <c r="B166" s="74">
        <v>38916</v>
      </c>
      <c r="C166" s="12">
        <v>2006</v>
      </c>
      <c r="D166" s="11" t="s">
        <v>33</v>
      </c>
      <c r="E166" s="12">
        <v>7</v>
      </c>
      <c r="F166" s="17">
        <v>27.236799999999999</v>
      </c>
      <c r="G166" s="17">
        <v>1E-4</v>
      </c>
      <c r="I166" s="27">
        <f>AVERAGE(F165:F166)</f>
        <v>22.213000000000001</v>
      </c>
      <c r="J166" s="27">
        <f>AVERAGE(G165:G166)</f>
        <v>1E-4</v>
      </c>
      <c r="L166">
        <f>+J166/I166</f>
        <v>4.501868275334264E-6</v>
      </c>
      <c r="M166">
        <f>+(L166-$L$619)/$L$620</f>
        <v>-0.42541516256134793</v>
      </c>
      <c r="N166">
        <f>+N164+M166</f>
        <v>3.9230111445534823</v>
      </c>
    </row>
    <row r="167" spans="1:14">
      <c r="A167" s="12">
        <v>3</v>
      </c>
      <c r="B167" s="74">
        <v>38953</v>
      </c>
      <c r="C167" s="12">
        <v>2006</v>
      </c>
      <c r="D167" s="11" t="s">
        <v>34</v>
      </c>
      <c r="E167" s="12">
        <v>8</v>
      </c>
      <c r="F167" s="17">
        <v>12.1</v>
      </c>
      <c r="G167" s="17">
        <v>1E-4</v>
      </c>
    </row>
    <row r="168" spans="1:14">
      <c r="A168" s="12">
        <v>4</v>
      </c>
      <c r="B168" s="74">
        <v>38953</v>
      </c>
      <c r="C168" s="12">
        <v>2006</v>
      </c>
      <c r="D168" s="11" t="s">
        <v>34</v>
      </c>
      <c r="E168" s="12">
        <v>8</v>
      </c>
      <c r="F168" s="17">
        <v>25.657399999999999</v>
      </c>
      <c r="G168" s="17">
        <v>1E-4</v>
      </c>
      <c r="I168" s="27">
        <f>AVERAGE(F167:F168)</f>
        <v>18.878699999999998</v>
      </c>
      <c r="J168" s="27">
        <f>AVERAGE(G167:G168)</f>
        <v>1E-4</v>
      </c>
      <c r="L168">
        <f>+J168/I168</f>
        <v>5.296974897635961E-6</v>
      </c>
      <c r="M168">
        <f>+(L168-$L$619)/$L$620</f>
        <v>-0.42538595934435997</v>
      </c>
      <c r="N168">
        <f>+N166+M168</f>
        <v>3.4976251852091225</v>
      </c>
    </row>
    <row r="169" spans="1:14">
      <c r="A169" s="12">
        <v>3</v>
      </c>
      <c r="B169" s="74">
        <v>38972</v>
      </c>
      <c r="C169" s="12">
        <v>2006</v>
      </c>
      <c r="D169" s="11" t="s">
        <v>35</v>
      </c>
      <c r="E169" s="12">
        <v>9</v>
      </c>
      <c r="F169" s="17">
        <v>12.8247</v>
      </c>
      <c r="G169" s="17">
        <v>1E-4</v>
      </c>
    </row>
    <row r="170" spans="1:14">
      <c r="A170" s="12">
        <v>4</v>
      </c>
      <c r="B170" s="74">
        <v>38972</v>
      </c>
      <c r="C170" s="12">
        <v>2006</v>
      </c>
      <c r="D170" s="11" t="s">
        <v>35</v>
      </c>
      <c r="E170" s="12">
        <v>9</v>
      </c>
      <c r="F170" s="17">
        <v>21.657699999999998</v>
      </c>
      <c r="G170" s="17">
        <v>1E-4</v>
      </c>
      <c r="I170" s="27">
        <f>AVERAGE(F169:F170)</f>
        <v>17.241199999999999</v>
      </c>
      <c r="J170" s="27">
        <f>AVERAGE(G169:G170)</f>
        <v>1E-4</v>
      </c>
      <c r="L170">
        <f>+J170/I170</f>
        <v>5.8000603206273353E-6</v>
      </c>
      <c r="M170">
        <f>+(L170-$L$619)/$L$620</f>
        <v>-0.4253674816806618</v>
      </c>
      <c r="N170">
        <f>+N168+M170</f>
        <v>3.0722577035284608</v>
      </c>
    </row>
    <row r="171" spans="1:14">
      <c r="A171" s="12">
        <v>3</v>
      </c>
      <c r="B171" s="74">
        <v>39008</v>
      </c>
      <c r="C171" s="12">
        <v>2006</v>
      </c>
      <c r="D171" s="11" t="s">
        <v>36</v>
      </c>
      <c r="E171" s="12">
        <v>10</v>
      </c>
      <c r="F171" s="17">
        <v>17.082000000000001</v>
      </c>
      <c r="G171" s="17">
        <v>1.0049999999999999</v>
      </c>
    </row>
    <row r="172" spans="1:14">
      <c r="A172" s="12">
        <v>4</v>
      </c>
      <c r="B172" s="74">
        <v>39008</v>
      </c>
      <c r="C172" s="12">
        <v>2006</v>
      </c>
      <c r="D172" s="11" t="s">
        <v>36</v>
      </c>
      <c r="E172" s="12">
        <v>10</v>
      </c>
      <c r="F172" s="17">
        <v>17.042000000000002</v>
      </c>
      <c r="G172" s="17">
        <v>0.84299999999999997</v>
      </c>
      <c r="I172" s="27">
        <f>AVERAGE(F171:F172)</f>
        <v>17.062000000000001</v>
      </c>
      <c r="J172" s="27">
        <f>AVERAGE(G171:G172)</f>
        <v>0.92399999999999993</v>
      </c>
      <c r="L172">
        <f>+J172/I172</f>
        <v>5.4155433126245447E-2</v>
      </c>
      <c r="M172">
        <f>+(L172-$L$619)/$L$620</f>
        <v>1.563477083170695</v>
      </c>
      <c r="N172">
        <f>+N170+M172</f>
        <v>4.6357347866991558</v>
      </c>
    </row>
    <row r="173" spans="1:14">
      <c r="A173" s="12">
        <v>3</v>
      </c>
      <c r="B173" s="74">
        <v>39035</v>
      </c>
      <c r="C173" s="12">
        <v>2006</v>
      </c>
      <c r="D173" s="11" t="s">
        <v>37</v>
      </c>
      <c r="E173" s="12">
        <v>11</v>
      </c>
      <c r="F173" s="17">
        <v>15.141999999999999</v>
      </c>
      <c r="G173" s="17">
        <v>0.46600000000000003</v>
      </c>
    </row>
    <row r="174" spans="1:14">
      <c r="A174" s="12">
        <v>4</v>
      </c>
      <c r="B174" s="74">
        <v>39035</v>
      </c>
      <c r="C174" s="12">
        <v>2006</v>
      </c>
      <c r="D174" s="11" t="s">
        <v>37</v>
      </c>
      <c r="E174" s="12">
        <v>11</v>
      </c>
      <c r="F174" s="17">
        <v>27.632000000000001</v>
      </c>
      <c r="G174" s="17">
        <v>0.33600000000000002</v>
      </c>
      <c r="I174" s="27">
        <f>AVERAGE(F173:F174)</f>
        <v>21.387</v>
      </c>
      <c r="J174" s="27">
        <f>AVERAGE(G173:G174)</f>
        <v>0.40100000000000002</v>
      </c>
      <c r="L174">
        <f>+J174/I174</f>
        <v>1.8749707766400149E-2</v>
      </c>
      <c r="M174">
        <f>+(L174-$L$619)/$L$620</f>
        <v>0.26307151327848233</v>
      </c>
      <c r="N174">
        <f>+N172+M174</f>
        <v>4.8988062999776378</v>
      </c>
    </row>
    <row r="175" spans="1:14">
      <c r="A175" s="12">
        <v>3</v>
      </c>
      <c r="B175" s="75">
        <v>39063</v>
      </c>
      <c r="C175" s="15">
        <v>2006</v>
      </c>
      <c r="D175" s="11" t="s">
        <v>38</v>
      </c>
      <c r="E175" s="15">
        <v>12</v>
      </c>
      <c r="F175" s="17">
        <v>10.353</v>
      </c>
      <c r="G175" s="17">
        <v>0.77800000000000002</v>
      </c>
    </row>
    <row r="176" spans="1:14">
      <c r="A176" s="12">
        <v>4</v>
      </c>
      <c r="B176" s="75">
        <v>39063</v>
      </c>
      <c r="C176" s="15">
        <v>2006</v>
      </c>
      <c r="D176" s="11" t="s">
        <v>38</v>
      </c>
      <c r="E176" s="15">
        <v>12</v>
      </c>
      <c r="F176" s="17">
        <v>10.071999999999999</v>
      </c>
      <c r="G176" s="17">
        <v>0.33200000000000002</v>
      </c>
      <c r="I176" s="27">
        <f>AVERAGE(F175:F176)</f>
        <v>10.212499999999999</v>
      </c>
      <c r="J176" s="27">
        <f>AVERAGE(G175:G176)</f>
        <v>0.55500000000000005</v>
      </c>
      <c r="L176">
        <f>+J176/I176</f>
        <v>5.4345165238678106E-2</v>
      </c>
      <c r="M176">
        <f>+(L176-$L$619)/$L$620</f>
        <v>1.5704456932835291</v>
      </c>
      <c r="N176">
        <f>+N174+M176</f>
        <v>6.4692519932611674</v>
      </c>
    </row>
    <row r="177" spans="1:14">
      <c r="A177" s="15">
        <v>3</v>
      </c>
      <c r="B177" s="75">
        <v>39101</v>
      </c>
      <c r="C177" s="15">
        <v>2007</v>
      </c>
      <c r="D177" s="11" t="s">
        <v>39</v>
      </c>
      <c r="E177" s="15">
        <v>1</v>
      </c>
      <c r="F177" s="17">
        <v>19.911000000000001</v>
      </c>
      <c r="G177" s="17">
        <v>0.151</v>
      </c>
    </row>
    <row r="178" spans="1:14">
      <c r="A178" s="15">
        <v>4</v>
      </c>
      <c r="B178" s="75">
        <v>39101</v>
      </c>
      <c r="C178" s="15">
        <v>2007</v>
      </c>
      <c r="D178" s="11" t="s">
        <v>39</v>
      </c>
      <c r="E178" s="15">
        <v>1</v>
      </c>
      <c r="F178" s="17">
        <v>22.295000000000002</v>
      </c>
      <c r="G178" s="17">
        <v>0.17299999999999999</v>
      </c>
      <c r="I178" s="27">
        <f>AVERAGE(F177:F178)</f>
        <v>21.103000000000002</v>
      </c>
      <c r="J178" s="27">
        <f>AVERAGE(G177:G178)</f>
        <v>0.16199999999999998</v>
      </c>
      <c r="L178">
        <f>+J178/I178</f>
        <v>7.676633653982844E-3</v>
      </c>
      <c r="M178">
        <f>+(L178-$L$619)/$L$620</f>
        <v>-0.14362788647305127</v>
      </c>
      <c r="N178">
        <f>+N176+M178</f>
        <v>6.3256241067881165</v>
      </c>
    </row>
    <row r="179" spans="1:14">
      <c r="A179" s="15">
        <v>3</v>
      </c>
      <c r="B179" s="75">
        <v>39134</v>
      </c>
      <c r="C179" s="15">
        <v>2007</v>
      </c>
      <c r="D179" s="11" t="s">
        <v>28</v>
      </c>
      <c r="E179" s="15">
        <v>2</v>
      </c>
      <c r="F179" s="17">
        <v>3.71</v>
      </c>
      <c r="G179" s="17">
        <v>9.9989999999999996E-4</v>
      </c>
    </row>
    <row r="180" spans="1:14">
      <c r="A180" s="15">
        <v>4</v>
      </c>
      <c r="B180" s="75">
        <v>39134</v>
      </c>
      <c r="C180" s="15">
        <v>2007</v>
      </c>
      <c r="D180" s="11" t="s">
        <v>28</v>
      </c>
      <c r="E180" s="15">
        <v>2</v>
      </c>
      <c r="F180" s="17">
        <v>4.2380000000000004</v>
      </c>
      <c r="G180" s="17">
        <v>9.9989999999999996E-4</v>
      </c>
      <c r="I180" s="27">
        <f>AVERAGE(F179:F180)</f>
        <v>3.9740000000000002</v>
      </c>
      <c r="J180" s="27">
        <f>AVERAGE(G179:G180)</f>
        <v>9.9989999999999996E-4</v>
      </c>
      <c r="L180">
        <f>+J180/I180</f>
        <v>2.5161046804227479E-4</v>
      </c>
      <c r="M180">
        <f>+(L180-$L$619)/$L$620</f>
        <v>-0.41633918978465012</v>
      </c>
      <c r="N180">
        <f>+N178+M180</f>
        <v>5.9092849170034665</v>
      </c>
    </row>
    <row r="181" spans="1:14">
      <c r="A181" s="15">
        <v>3</v>
      </c>
      <c r="B181" s="75">
        <v>39154</v>
      </c>
      <c r="C181" s="15">
        <v>2007</v>
      </c>
      <c r="D181" s="11" t="s">
        <v>29</v>
      </c>
      <c r="E181" s="15">
        <v>3</v>
      </c>
      <c r="F181" s="17">
        <v>4.9480000000000004</v>
      </c>
      <c r="G181" s="17">
        <v>9.9989999999999996E-4</v>
      </c>
    </row>
    <row r="182" spans="1:14">
      <c r="A182" s="15">
        <v>4</v>
      </c>
      <c r="B182" s="75">
        <v>39154</v>
      </c>
      <c r="C182" s="15">
        <v>2007</v>
      </c>
      <c r="D182" s="11" t="s">
        <v>29</v>
      </c>
      <c r="E182" s="15">
        <v>3</v>
      </c>
      <c r="F182" s="17">
        <v>4.407</v>
      </c>
      <c r="G182" s="17">
        <v>9.9989999999999996E-4</v>
      </c>
      <c r="I182" s="27">
        <f>AVERAGE(F181:F182)</f>
        <v>4.6775000000000002</v>
      </c>
      <c r="J182" s="27">
        <f>AVERAGE(G181:G182)</f>
        <v>9.9989999999999996E-4</v>
      </c>
      <c r="L182">
        <f>+J182/I182</f>
        <v>2.1376803848209512E-4</v>
      </c>
      <c r="M182">
        <f>+(L182-$L$619)/$L$620</f>
        <v>-0.41772909228426458</v>
      </c>
      <c r="N182">
        <f>+N180+M182</f>
        <v>5.4915558247192022</v>
      </c>
    </row>
    <row r="183" spans="1:14">
      <c r="A183" s="15">
        <v>3</v>
      </c>
      <c r="B183" s="75">
        <v>39190</v>
      </c>
      <c r="C183" s="15">
        <v>2007</v>
      </c>
      <c r="D183" s="11" t="s">
        <v>30</v>
      </c>
      <c r="E183" s="15">
        <v>4</v>
      </c>
      <c r="F183" s="17">
        <v>17.379000000000001</v>
      </c>
      <c r="G183" s="17">
        <v>9.9989999999999996E-4</v>
      </c>
    </row>
    <row r="184" spans="1:14">
      <c r="A184" s="15">
        <v>4</v>
      </c>
      <c r="B184" s="75">
        <v>39190</v>
      </c>
      <c r="C184" s="15">
        <v>2007</v>
      </c>
      <c r="D184" s="11" t="s">
        <v>30</v>
      </c>
      <c r="E184" s="15">
        <v>4</v>
      </c>
      <c r="F184" s="17">
        <v>31.898</v>
      </c>
      <c r="G184" s="17">
        <v>9.9989999999999996E-4</v>
      </c>
      <c r="I184" s="27">
        <f>AVERAGE(F183:F184)</f>
        <v>24.638500000000001</v>
      </c>
      <c r="J184" s="27">
        <f>AVERAGE(G183:G184)</f>
        <v>9.9989999999999996E-4</v>
      </c>
      <c r="L184">
        <f>+J184/I184</f>
        <v>4.0582827688373886E-5</v>
      </c>
      <c r="M184">
        <f>+(L184-$L$619)/$L$620</f>
        <v>-0.42408995653574327</v>
      </c>
      <c r="N184">
        <f>+N182+M184</f>
        <v>5.0674658681834588</v>
      </c>
    </row>
    <row r="185" spans="1:14">
      <c r="A185" s="15">
        <v>3</v>
      </c>
      <c r="B185" s="75">
        <v>39217</v>
      </c>
      <c r="C185" s="15">
        <v>2007</v>
      </c>
      <c r="D185" s="11" t="s">
        <v>31</v>
      </c>
      <c r="E185" s="15">
        <v>5</v>
      </c>
      <c r="F185" s="17">
        <v>10.680999999999999</v>
      </c>
      <c r="G185" s="17">
        <v>1.7629999999999999</v>
      </c>
    </row>
    <row r="186" spans="1:14">
      <c r="A186" s="15">
        <v>4</v>
      </c>
      <c r="B186" s="75">
        <v>39217</v>
      </c>
      <c r="C186" s="15">
        <v>2007</v>
      </c>
      <c r="D186" s="11" t="s">
        <v>31</v>
      </c>
      <c r="E186" s="15">
        <v>5</v>
      </c>
      <c r="F186" s="17">
        <v>14.287000000000001</v>
      </c>
      <c r="G186" s="17">
        <v>2.2109999999999999</v>
      </c>
      <c r="I186" s="27">
        <f>AVERAGE(F185:F186)</f>
        <v>12.484</v>
      </c>
      <c r="J186" s="27">
        <f>AVERAGE(G185:G186)</f>
        <v>1.9869999999999999</v>
      </c>
      <c r="L186">
        <f>+J186/I186</f>
        <v>0.15916372957385452</v>
      </c>
      <c r="M186">
        <f>+(L186-$L$619)/$L$620</f>
        <v>5.4202932392445033</v>
      </c>
      <c r="N186">
        <f>+N184+M186</f>
        <v>10.487759107427962</v>
      </c>
    </row>
    <row r="187" spans="1:14">
      <c r="A187" s="15">
        <v>3</v>
      </c>
      <c r="B187" s="75">
        <v>39246</v>
      </c>
      <c r="C187" s="15">
        <v>2007</v>
      </c>
      <c r="D187" s="11" t="s">
        <v>32</v>
      </c>
      <c r="E187" s="15">
        <v>6</v>
      </c>
      <c r="F187" s="17">
        <v>28.22</v>
      </c>
      <c r="G187" s="17">
        <v>6.8090000000000002</v>
      </c>
    </row>
    <row r="188" spans="1:14">
      <c r="A188" s="15">
        <v>4</v>
      </c>
      <c r="B188" s="75">
        <v>39246</v>
      </c>
      <c r="C188" s="15">
        <v>2007</v>
      </c>
      <c r="D188" s="11" t="s">
        <v>32</v>
      </c>
      <c r="E188" s="15">
        <v>6</v>
      </c>
      <c r="F188" s="17">
        <v>24.821999999999999</v>
      </c>
      <c r="G188" s="17">
        <v>2.8039999999999998</v>
      </c>
      <c r="I188" s="27">
        <f>AVERAGE(F187:F188)</f>
        <v>26.521000000000001</v>
      </c>
      <c r="J188" s="27">
        <f>AVERAGE(G187:G188)</f>
        <v>4.8064999999999998</v>
      </c>
      <c r="L188">
        <f>+J188/I188</f>
        <v>0.18123373930093131</v>
      </c>
      <c r="M188">
        <f>+(L188-$L$619)/$L$620</f>
        <v>6.2308955721998247</v>
      </c>
      <c r="N188">
        <f>+N186+M188</f>
        <v>16.718654679627786</v>
      </c>
    </row>
    <row r="189" spans="1:14">
      <c r="A189" s="15">
        <v>3</v>
      </c>
      <c r="B189" s="75">
        <v>39280</v>
      </c>
      <c r="C189" s="15">
        <v>2007</v>
      </c>
      <c r="D189" s="11" t="s">
        <v>33</v>
      </c>
      <c r="E189" s="15">
        <v>7</v>
      </c>
      <c r="F189" s="17">
        <v>18.838000000000001</v>
      </c>
      <c r="G189" s="17">
        <v>6.4000000000000001E-2</v>
      </c>
    </row>
    <row r="190" spans="1:14">
      <c r="A190" s="15">
        <v>4</v>
      </c>
      <c r="B190" s="75">
        <v>39280</v>
      </c>
      <c r="C190" s="15">
        <v>2007</v>
      </c>
      <c r="D190" s="11" t="s">
        <v>33</v>
      </c>
      <c r="E190" s="15">
        <v>7</v>
      </c>
      <c r="F190" s="17">
        <v>30.202999999999999</v>
      </c>
      <c r="G190" s="17">
        <v>0.13200000000000001</v>
      </c>
      <c r="I190" s="27">
        <f>AVERAGE(F189:F190)</f>
        <v>24.520499999999998</v>
      </c>
      <c r="J190" s="27">
        <f>AVERAGE(G189:G190)</f>
        <v>9.8000000000000004E-2</v>
      </c>
      <c r="L190">
        <f>+J190/I190</f>
        <v>3.9966558593829658E-3</v>
      </c>
      <c r="M190">
        <f>+(L190-$L$619)/$L$620</f>
        <v>-0.27878861464739002</v>
      </c>
      <c r="N190">
        <f>+N188+M190</f>
        <v>16.439866064980396</v>
      </c>
    </row>
    <row r="191" spans="1:14">
      <c r="A191" s="15">
        <v>3</v>
      </c>
      <c r="B191" s="75">
        <v>39308</v>
      </c>
      <c r="C191" s="15">
        <v>2007</v>
      </c>
      <c r="D191" s="11" t="s">
        <v>34</v>
      </c>
      <c r="E191" s="15">
        <v>8</v>
      </c>
      <c r="F191" s="17">
        <v>18.850999999999999</v>
      </c>
      <c r="G191" s="17">
        <v>9.9989999999999996E-4</v>
      </c>
    </row>
    <row r="192" spans="1:14">
      <c r="A192" s="15">
        <v>4</v>
      </c>
      <c r="B192" s="75">
        <v>39308</v>
      </c>
      <c r="C192" s="15">
        <v>2007</v>
      </c>
      <c r="D192" s="11" t="s">
        <v>34</v>
      </c>
      <c r="E192" s="15">
        <v>8</v>
      </c>
      <c r="F192" s="17">
        <v>20.166</v>
      </c>
      <c r="G192" s="17">
        <v>5.6000000000000001E-2</v>
      </c>
      <c r="I192" s="27">
        <f>AVERAGE(F191:F192)</f>
        <v>19.508499999999998</v>
      </c>
      <c r="J192" s="27">
        <f>AVERAGE(G191:G192)</f>
        <v>2.849995E-2</v>
      </c>
      <c r="L192">
        <f>+J192/I192</f>
        <v>1.4608990952661661E-3</v>
      </c>
      <c r="M192">
        <f>+(L192-$L$619)/$L$620</f>
        <v>-0.37192361432428261</v>
      </c>
      <c r="N192">
        <f>+N190+M192</f>
        <v>16.067942450656115</v>
      </c>
    </row>
    <row r="193" spans="1:14">
      <c r="A193" s="15">
        <v>3</v>
      </c>
      <c r="B193" s="75">
        <v>39336</v>
      </c>
      <c r="C193" s="15">
        <v>2007</v>
      </c>
      <c r="D193" s="11" t="s">
        <v>40</v>
      </c>
      <c r="E193" s="15">
        <v>9</v>
      </c>
      <c r="F193" s="17">
        <v>20.366</v>
      </c>
      <c r="G193" s="17">
        <v>9.9989999999999996E-4</v>
      </c>
    </row>
    <row r="194" spans="1:14">
      <c r="A194" s="15">
        <v>4</v>
      </c>
      <c r="B194" s="75">
        <v>39336</v>
      </c>
      <c r="C194" s="15">
        <v>2007</v>
      </c>
      <c r="D194" s="11" t="s">
        <v>40</v>
      </c>
      <c r="E194" s="15">
        <v>9</v>
      </c>
      <c r="F194" s="17">
        <v>21.111000000000001</v>
      </c>
      <c r="G194" s="17">
        <v>9.9989999999999996E-4</v>
      </c>
      <c r="I194" s="27">
        <f>AVERAGE(F193:F194)</f>
        <v>20.738500000000002</v>
      </c>
      <c r="J194" s="27">
        <f>AVERAGE(G193:G194)</f>
        <v>9.9989999999999996E-4</v>
      </c>
      <c r="L194">
        <f>+J194/I194</f>
        <v>4.8214673192371669E-5</v>
      </c>
      <c r="M194">
        <f>+(L194-$L$619)/$L$620</f>
        <v>-0.42380964892161904</v>
      </c>
      <c r="N194">
        <f>+N192+M194</f>
        <v>15.644132801734496</v>
      </c>
    </row>
    <row r="195" spans="1:14">
      <c r="A195" s="15">
        <v>3</v>
      </c>
      <c r="B195" s="75">
        <v>39373</v>
      </c>
      <c r="C195" s="15">
        <v>2007</v>
      </c>
      <c r="D195" s="11" t="s">
        <v>36</v>
      </c>
      <c r="E195" s="15">
        <v>10</v>
      </c>
      <c r="F195" s="17">
        <v>8.282</v>
      </c>
      <c r="G195" s="17">
        <v>9.9989999999999996E-4</v>
      </c>
    </row>
    <row r="196" spans="1:14">
      <c r="A196" s="15">
        <v>4</v>
      </c>
      <c r="B196" s="75">
        <v>39373</v>
      </c>
      <c r="C196" s="15">
        <v>2007</v>
      </c>
      <c r="D196" s="11" t="s">
        <v>36</v>
      </c>
      <c r="E196" s="15">
        <v>10</v>
      </c>
      <c r="F196" s="17">
        <v>14.773</v>
      </c>
      <c r="G196" s="17">
        <v>9.9989999999999996E-4</v>
      </c>
      <c r="I196" s="27">
        <f>AVERAGE(F195:F196)</f>
        <v>11.5275</v>
      </c>
      <c r="J196" s="27">
        <f>AVERAGE(G195:G196)</f>
        <v>9.9989999999999996E-4</v>
      </c>
      <c r="L196">
        <f>+J196/I196</f>
        <v>8.6740403383214052E-5</v>
      </c>
      <c r="M196">
        <f>+(L196-$L$619)/$L$620</f>
        <v>-0.42239464969154661</v>
      </c>
      <c r="N196">
        <f>+N194+M196</f>
        <v>15.221738152042949</v>
      </c>
    </row>
    <row r="197" spans="1:14">
      <c r="A197" s="15">
        <v>3</v>
      </c>
      <c r="B197" s="75">
        <v>39399</v>
      </c>
      <c r="C197" s="15">
        <v>2007</v>
      </c>
      <c r="D197" s="11" t="s">
        <v>37</v>
      </c>
      <c r="E197" s="15">
        <v>11</v>
      </c>
      <c r="F197" s="17">
        <v>6.133</v>
      </c>
      <c r="G197" s="17">
        <v>0.33400000000000002</v>
      </c>
    </row>
    <row r="198" spans="1:14">
      <c r="A198" s="15">
        <v>4</v>
      </c>
      <c r="B198" s="75">
        <v>39399</v>
      </c>
      <c r="C198" s="15">
        <v>2007</v>
      </c>
      <c r="D198" s="11" t="s">
        <v>37</v>
      </c>
      <c r="E198" s="15">
        <v>11</v>
      </c>
      <c r="F198" s="17">
        <v>7.9269999999999996</v>
      </c>
      <c r="G198" s="17">
        <v>0.37</v>
      </c>
      <c r="I198" s="27">
        <f>AVERAGE(F197:F198)</f>
        <v>7.0299999999999994</v>
      </c>
      <c r="J198" s="27">
        <f>AVERAGE(G197:G198)</f>
        <v>0.35199999999999998</v>
      </c>
      <c r="L198">
        <f>+J198/I198</f>
        <v>5.0071123755334283E-2</v>
      </c>
      <c r="M198">
        <f>+(L198-$L$619)/$L$620</f>
        <v>1.4134657897678631</v>
      </c>
      <c r="N198">
        <f>+N196+M198</f>
        <v>16.635203941810811</v>
      </c>
    </row>
    <row r="199" spans="1:14">
      <c r="A199" s="15">
        <v>3</v>
      </c>
      <c r="B199" s="75">
        <v>39427</v>
      </c>
      <c r="C199" s="15">
        <v>2007</v>
      </c>
      <c r="D199" s="11" t="s">
        <v>38</v>
      </c>
      <c r="E199" s="15">
        <v>12</v>
      </c>
      <c r="F199" s="17">
        <v>5.8310000000000004</v>
      </c>
      <c r="G199" s="17">
        <v>9.9989999999999996E-4</v>
      </c>
    </row>
    <row r="200" spans="1:14">
      <c r="A200" s="15">
        <v>4</v>
      </c>
      <c r="B200" s="75">
        <v>39427</v>
      </c>
      <c r="C200" s="15">
        <v>2007</v>
      </c>
      <c r="D200" s="11" t="s">
        <v>38</v>
      </c>
      <c r="E200" s="15">
        <v>12</v>
      </c>
      <c r="F200" s="17">
        <v>9.1120000000000001</v>
      </c>
      <c r="G200" s="17">
        <v>0.08</v>
      </c>
      <c r="I200" s="27">
        <f>AVERAGE(F199:F200)</f>
        <v>7.4715000000000007</v>
      </c>
      <c r="J200" s="27">
        <f>AVERAGE(G199:G200)</f>
        <v>4.049995E-2</v>
      </c>
      <c r="L200">
        <f>+J200/I200</f>
        <v>5.420591581342434E-3</v>
      </c>
      <c r="M200">
        <f>+(L200-$L$619)/$L$620</f>
        <v>-0.22648933465284307</v>
      </c>
      <c r="N200">
        <f>+N198+M200</f>
        <v>16.408714607157968</v>
      </c>
    </row>
    <row r="201" spans="1:14">
      <c r="A201" s="15">
        <v>3</v>
      </c>
      <c r="B201" s="75">
        <v>39462</v>
      </c>
      <c r="C201" s="15">
        <v>2008</v>
      </c>
      <c r="D201" s="11" t="s">
        <v>39</v>
      </c>
      <c r="E201" s="15">
        <v>1</v>
      </c>
      <c r="F201" s="23">
        <v>3.843</v>
      </c>
      <c r="G201" s="23">
        <v>9.9989999999999996E-4</v>
      </c>
    </row>
    <row r="202" spans="1:14">
      <c r="A202" s="15">
        <v>4</v>
      </c>
      <c r="B202" s="75">
        <v>39462</v>
      </c>
      <c r="C202" s="15">
        <v>2008</v>
      </c>
      <c r="D202" s="11" t="s">
        <v>39</v>
      </c>
      <c r="E202" s="15">
        <v>1</v>
      </c>
      <c r="F202" s="23">
        <v>8.2759999999999998</v>
      </c>
      <c r="G202" s="23">
        <v>0.19900000000000001</v>
      </c>
      <c r="I202" s="27">
        <f>AVERAGE(F201:F202)</f>
        <v>6.0594999999999999</v>
      </c>
      <c r="J202" s="27">
        <f>AVERAGE(G201:G202)</f>
        <v>9.9999950000000004E-2</v>
      </c>
      <c r="L202">
        <f>+J202/I202</f>
        <v>1.6503003548147537E-2</v>
      </c>
      <c r="M202">
        <f>+(L202-$L$619)/$L$620</f>
        <v>0.18055303216781052</v>
      </c>
      <c r="N202">
        <f>+N200+M202</f>
        <v>16.589267639325779</v>
      </c>
    </row>
    <row r="203" spans="1:14">
      <c r="A203" s="15">
        <v>3</v>
      </c>
      <c r="B203" s="75">
        <v>39490</v>
      </c>
      <c r="C203" s="15">
        <v>2008</v>
      </c>
      <c r="D203" s="11" t="s">
        <v>28</v>
      </c>
      <c r="E203" s="15">
        <v>2</v>
      </c>
      <c r="F203" s="23">
        <v>6.859</v>
      </c>
      <c r="G203" s="23">
        <v>0.161</v>
      </c>
    </row>
    <row r="204" spans="1:14">
      <c r="A204" s="15">
        <v>4</v>
      </c>
      <c r="B204" s="75">
        <v>39490</v>
      </c>
      <c r="C204" s="15">
        <v>2008</v>
      </c>
      <c r="D204" s="11" t="s">
        <v>28</v>
      </c>
      <c r="E204" s="15">
        <v>2</v>
      </c>
      <c r="F204" s="23">
        <v>16.058</v>
      </c>
      <c r="G204" s="23">
        <v>0.57099999999999995</v>
      </c>
      <c r="I204" s="27">
        <f>AVERAGE(F203:F204)</f>
        <v>11.458500000000001</v>
      </c>
      <c r="J204" s="27">
        <f>AVERAGE(G203:G204)</f>
        <v>0.36599999999999999</v>
      </c>
      <c r="L204">
        <f>+J204/I204</f>
        <v>3.1941353580311554E-2</v>
      </c>
      <c r="M204">
        <f>+(L204-$L$619)/$L$620</f>
        <v>0.74758325588808594</v>
      </c>
      <c r="N204">
        <f>+N202+M204</f>
        <v>17.336850895213864</v>
      </c>
    </row>
    <row r="205" spans="1:14">
      <c r="A205" s="15">
        <v>3</v>
      </c>
      <c r="B205" s="75">
        <v>39520</v>
      </c>
      <c r="C205" s="15">
        <v>2008</v>
      </c>
      <c r="D205" s="11" t="s">
        <v>29</v>
      </c>
      <c r="E205" s="15">
        <v>3</v>
      </c>
      <c r="F205" s="24">
        <v>4.5410000000000004</v>
      </c>
      <c r="G205" s="23">
        <v>0.09</v>
      </c>
    </row>
    <row r="206" spans="1:14">
      <c r="A206" s="15">
        <v>4</v>
      </c>
      <c r="B206" s="75">
        <v>39520</v>
      </c>
      <c r="C206" s="15">
        <v>2008</v>
      </c>
      <c r="D206" s="11" t="s">
        <v>29</v>
      </c>
      <c r="E206" s="15">
        <v>3</v>
      </c>
      <c r="F206" s="24">
        <v>9.7249999999999996</v>
      </c>
      <c r="G206" s="23">
        <v>0.29799999999999999</v>
      </c>
      <c r="I206" s="27">
        <f>AVERAGE(F205:F206)</f>
        <v>7.133</v>
      </c>
      <c r="J206" s="27">
        <f>AVERAGE(G205:G206)</f>
        <v>0.19400000000000001</v>
      </c>
      <c r="L206">
        <f>+J206/I206</f>
        <v>2.7197532594981075E-2</v>
      </c>
      <c r="M206">
        <f>+(L206-$L$619)/$L$620</f>
        <v>0.57334897120113404</v>
      </c>
      <c r="N206">
        <f>+N204+M206</f>
        <v>17.910199866414999</v>
      </c>
    </row>
    <row r="207" spans="1:14">
      <c r="A207" s="15">
        <v>3</v>
      </c>
      <c r="B207" s="75">
        <v>39553</v>
      </c>
      <c r="C207" s="15">
        <v>2008</v>
      </c>
      <c r="D207" s="11" t="s">
        <v>30</v>
      </c>
      <c r="E207" s="15">
        <v>4</v>
      </c>
      <c r="F207" s="24">
        <v>6.3369999999999997</v>
      </c>
      <c r="G207" s="23">
        <v>0.27</v>
      </c>
    </row>
    <row r="208" spans="1:14">
      <c r="A208" s="15">
        <v>4</v>
      </c>
      <c r="B208" s="75">
        <v>39553</v>
      </c>
      <c r="C208" s="15">
        <v>2008</v>
      </c>
      <c r="D208" s="11" t="s">
        <v>30</v>
      </c>
      <c r="E208" s="15">
        <v>4</v>
      </c>
      <c r="F208" s="24">
        <v>14.29</v>
      </c>
      <c r="G208" s="23">
        <v>0.33200000000000002</v>
      </c>
      <c r="I208" s="27">
        <f>AVERAGE(F207:F208)</f>
        <v>10.313499999999999</v>
      </c>
      <c r="J208" s="27">
        <f>AVERAGE(G207:G208)</f>
        <v>0.30100000000000005</v>
      </c>
      <c r="L208">
        <f>+J208/I208</f>
        <v>2.9185048722548124E-2</v>
      </c>
      <c r="M208">
        <f>+(L208-$L$619)/$L$620</f>
        <v>0.64634781577416567</v>
      </c>
      <c r="N208">
        <f>+N206+M208</f>
        <v>18.556547682189166</v>
      </c>
    </row>
    <row r="209" spans="1:14">
      <c r="A209" s="15">
        <v>3</v>
      </c>
      <c r="B209" s="75">
        <v>39582</v>
      </c>
      <c r="C209" s="15">
        <v>2008</v>
      </c>
      <c r="D209" s="11" t="s">
        <v>31</v>
      </c>
      <c r="E209" s="15">
        <v>5</v>
      </c>
      <c r="F209" s="24">
        <v>15.234</v>
      </c>
      <c r="G209" s="23">
        <v>0.64700000000000002</v>
      </c>
    </row>
    <row r="210" spans="1:14">
      <c r="A210" s="15">
        <v>4</v>
      </c>
      <c r="B210" s="75">
        <v>39582</v>
      </c>
      <c r="C210" s="15">
        <v>2008</v>
      </c>
      <c r="D210" s="11" t="s">
        <v>31</v>
      </c>
      <c r="E210" s="15">
        <v>5</v>
      </c>
      <c r="F210" s="24">
        <v>14.628</v>
      </c>
      <c r="G210" s="23">
        <v>0.39900000000000002</v>
      </c>
      <c r="I210" s="27">
        <f>AVERAGE(F209:F210)</f>
        <v>14.931000000000001</v>
      </c>
      <c r="J210" s="27">
        <f>AVERAGE(G209:G210)</f>
        <v>0.52300000000000002</v>
      </c>
      <c r="L210">
        <f>+J210/I210</f>
        <v>3.5027794521465407E-2</v>
      </c>
      <c r="M210">
        <f>+(L210-$L$619)/$L$620</f>
        <v>0.86094415868636065</v>
      </c>
      <c r="N210">
        <f>+N208+M210</f>
        <v>19.417491840875527</v>
      </c>
    </row>
    <row r="211" spans="1:14">
      <c r="A211" s="15">
        <v>3</v>
      </c>
      <c r="B211" s="75">
        <v>39616</v>
      </c>
      <c r="C211" s="15">
        <v>2008</v>
      </c>
      <c r="D211" s="11" t="s">
        <v>32</v>
      </c>
      <c r="E211" s="15">
        <v>6</v>
      </c>
      <c r="F211" s="24">
        <v>16.321000000000002</v>
      </c>
      <c r="G211" s="23">
        <v>9.9989999999999996E-4</v>
      </c>
    </row>
    <row r="212" spans="1:14">
      <c r="A212" s="15">
        <v>4</v>
      </c>
      <c r="B212" s="75">
        <v>39616</v>
      </c>
      <c r="C212" s="15">
        <v>2008</v>
      </c>
      <c r="D212" s="11" t="s">
        <v>32</v>
      </c>
      <c r="E212" s="15">
        <v>6</v>
      </c>
      <c r="F212" s="24">
        <v>20.048999999999999</v>
      </c>
      <c r="G212" s="23">
        <v>9.9989999999999996E-4</v>
      </c>
      <c r="I212" s="27">
        <f>AVERAGE(F211:F212)</f>
        <v>18.185000000000002</v>
      </c>
      <c r="J212" s="27">
        <f>AVERAGE(G211:G212)</f>
        <v>9.9989999999999996E-4</v>
      </c>
      <c r="L212">
        <f>+J212/I212</f>
        <v>5.4984877646411872E-5</v>
      </c>
      <c r="M212">
        <f>+(L212-$L$619)/$L$620</f>
        <v>-0.42356098824620952</v>
      </c>
      <c r="N212">
        <f>+N210+M212</f>
        <v>18.993930852629319</v>
      </c>
    </row>
    <row r="213" spans="1:14">
      <c r="A213" s="15">
        <v>3</v>
      </c>
      <c r="B213" s="75">
        <v>39644</v>
      </c>
      <c r="C213" s="15">
        <v>2008</v>
      </c>
      <c r="D213" s="11" t="s">
        <v>33</v>
      </c>
      <c r="E213" s="15">
        <v>7</v>
      </c>
      <c r="F213" s="24">
        <v>40.933</v>
      </c>
      <c r="G213" s="23">
        <v>7.4999999999999997E-2</v>
      </c>
    </row>
    <row r="214" spans="1:14">
      <c r="A214" s="15">
        <v>4</v>
      </c>
      <c r="B214" s="75">
        <v>39644</v>
      </c>
      <c r="C214" s="15">
        <v>2008</v>
      </c>
      <c r="D214" s="11" t="s">
        <v>33</v>
      </c>
      <c r="E214" s="15">
        <v>7</v>
      </c>
      <c r="F214" s="24">
        <v>47.481999999999999</v>
      </c>
      <c r="G214" s="23">
        <v>7.0999999999999994E-2</v>
      </c>
      <c r="I214" s="27">
        <f>AVERAGE(F213:F214)</f>
        <v>44.207499999999996</v>
      </c>
      <c r="J214" s="27">
        <f>AVERAGE(G213:G214)</f>
        <v>7.2999999999999995E-2</v>
      </c>
      <c r="L214">
        <f>+J214/I214</f>
        <v>1.6513035118475372E-3</v>
      </c>
      <c r="M214">
        <f>+(L214-$L$619)/$L$620</f>
        <v>-0.36493031136726123</v>
      </c>
      <c r="N214">
        <f>+N212+M214</f>
        <v>18.629000541262059</v>
      </c>
    </row>
    <row r="215" spans="1:14">
      <c r="A215" s="15">
        <v>3</v>
      </c>
      <c r="B215" s="75">
        <v>39673</v>
      </c>
      <c r="C215" s="15">
        <v>2008</v>
      </c>
      <c r="D215" s="11" t="s">
        <v>34</v>
      </c>
      <c r="E215" s="15">
        <v>8</v>
      </c>
      <c r="F215" s="24">
        <v>15.821</v>
      </c>
      <c r="G215" s="23">
        <v>0.125</v>
      </c>
    </row>
    <row r="216" spans="1:14">
      <c r="A216" s="15">
        <v>4</v>
      </c>
      <c r="B216" s="75">
        <v>39673</v>
      </c>
      <c r="C216" s="15">
        <v>2008</v>
      </c>
      <c r="D216" s="11" t="s">
        <v>34</v>
      </c>
      <c r="E216" s="15">
        <v>8</v>
      </c>
      <c r="F216" s="24">
        <v>42.738</v>
      </c>
      <c r="G216" s="23">
        <v>0.55200000000000005</v>
      </c>
      <c r="I216" s="27">
        <f>AVERAGE(F215:F216)</f>
        <v>29.279499999999999</v>
      </c>
      <c r="J216" s="27">
        <f>AVERAGE(G215:G216)</f>
        <v>0.33850000000000002</v>
      </c>
      <c r="L216">
        <f>+J216/I216</f>
        <v>1.156098977100019E-2</v>
      </c>
      <c r="M216">
        <f>+(L216-$L$619)/$L$620</f>
        <v>-9.606122207630912E-4</v>
      </c>
      <c r="N216">
        <f>+N214+M216</f>
        <v>18.628039929041297</v>
      </c>
    </row>
    <row r="217" spans="1:14">
      <c r="A217" s="15">
        <v>3</v>
      </c>
      <c r="B217" s="75">
        <v>39707</v>
      </c>
      <c r="C217" s="15">
        <v>2008</v>
      </c>
      <c r="D217" s="11" t="s">
        <v>40</v>
      </c>
      <c r="E217" s="15">
        <v>9</v>
      </c>
      <c r="F217" s="23">
        <v>20.94</v>
      </c>
      <c r="G217" s="23">
        <v>1.2669999999999999</v>
      </c>
    </row>
    <row r="218" spans="1:14">
      <c r="A218" s="15">
        <v>4</v>
      </c>
      <c r="B218" s="75">
        <v>39707</v>
      </c>
      <c r="C218" s="15">
        <v>2008</v>
      </c>
      <c r="D218" s="11" t="s">
        <v>40</v>
      </c>
      <c r="E218" s="15">
        <v>9</v>
      </c>
      <c r="F218" s="23">
        <v>20.312000000000001</v>
      </c>
      <c r="G218" s="23">
        <v>0.65100000000000002</v>
      </c>
      <c r="I218" s="27">
        <f>AVERAGE(F217:F218)</f>
        <v>20.626000000000001</v>
      </c>
      <c r="J218" s="27">
        <f>AVERAGE(G217:G218)</f>
        <v>0.95899999999999996</v>
      </c>
      <c r="L218">
        <f>+J218/I218</f>
        <v>4.6494715407737801E-2</v>
      </c>
      <c r="M218">
        <f>+(L218-$L$619)/$L$620</f>
        <v>1.2821090307082659</v>
      </c>
      <c r="N218">
        <f>+N216+M218</f>
        <v>19.910148959749563</v>
      </c>
    </row>
    <row r="219" spans="1:14">
      <c r="A219" s="15">
        <v>3</v>
      </c>
      <c r="B219" s="75">
        <v>39737</v>
      </c>
      <c r="C219" s="15">
        <v>2008</v>
      </c>
      <c r="D219" s="11" t="s">
        <v>36</v>
      </c>
      <c r="E219" s="15">
        <v>10</v>
      </c>
      <c r="F219" s="23">
        <v>12.946999999999999</v>
      </c>
      <c r="G219" s="23">
        <v>1.1819999999999999</v>
      </c>
    </row>
    <row r="220" spans="1:14">
      <c r="A220" s="15">
        <v>4</v>
      </c>
      <c r="B220" s="75">
        <v>39737</v>
      </c>
      <c r="C220" s="15">
        <v>2008</v>
      </c>
      <c r="D220" s="11" t="s">
        <v>36</v>
      </c>
      <c r="E220" s="15">
        <v>10</v>
      </c>
      <c r="F220" s="23">
        <v>21.135999999999999</v>
      </c>
      <c r="G220" s="23">
        <v>1.7569999999999999</v>
      </c>
      <c r="I220" s="27">
        <f>AVERAGE(F219:F220)</f>
        <v>17.041499999999999</v>
      </c>
      <c r="J220" s="27">
        <f>AVERAGE(G219:G220)</f>
        <v>1.4695</v>
      </c>
      <c r="L220">
        <f>+J220/I220</f>
        <v>8.6230672182613044E-2</v>
      </c>
      <c r="M220">
        <f>+(L220-$L$619)/$L$620</f>
        <v>2.7415582861568697</v>
      </c>
      <c r="N220">
        <f>+N218+M220</f>
        <v>22.651707245906433</v>
      </c>
    </row>
    <row r="221" spans="1:14">
      <c r="A221" s="15">
        <v>3</v>
      </c>
      <c r="B221" s="75">
        <v>39763</v>
      </c>
      <c r="C221" s="15">
        <v>2008</v>
      </c>
      <c r="D221" s="11" t="s">
        <v>37</v>
      </c>
      <c r="E221" s="15">
        <v>11</v>
      </c>
      <c r="F221" s="23">
        <v>11.272</v>
      </c>
      <c r="G221" s="23">
        <v>0.625</v>
      </c>
    </row>
    <row r="222" spans="1:14">
      <c r="A222" s="15">
        <v>4</v>
      </c>
      <c r="B222" s="75">
        <v>39763</v>
      </c>
      <c r="C222" s="15">
        <v>2008</v>
      </c>
      <c r="D222" s="11" t="s">
        <v>37</v>
      </c>
      <c r="E222" s="15">
        <v>11</v>
      </c>
      <c r="F222" s="23">
        <v>14.859</v>
      </c>
      <c r="G222" s="23">
        <v>0.81799999999999995</v>
      </c>
      <c r="I222" s="27">
        <f>AVERAGE(F221:F222)</f>
        <v>13.0655</v>
      </c>
      <c r="J222" s="27">
        <f>AVERAGE(G221:G222)</f>
        <v>0.72150000000000003</v>
      </c>
      <c r="L222">
        <f>+J222/I222</f>
        <v>5.522176724962688E-2</v>
      </c>
      <c r="M222">
        <f>+(L222-$L$619)/$L$620</f>
        <v>1.6026421283524555</v>
      </c>
      <c r="N222">
        <f>+N220+M222</f>
        <v>24.25434937425889</v>
      </c>
    </row>
    <row r="223" spans="1:14">
      <c r="A223" s="15">
        <v>3</v>
      </c>
      <c r="B223" s="75">
        <v>39434</v>
      </c>
      <c r="C223" s="15">
        <v>2008</v>
      </c>
      <c r="D223" s="11" t="s">
        <v>38</v>
      </c>
      <c r="E223" s="15">
        <v>12</v>
      </c>
      <c r="F223" s="23">
        <v>19.263000000000002</v>
      </c>
      <c r="G223" s="23">
        <v>0.29599999999999999</v>
      </c>
    </row>
    <row r="224" spans="1:14">
      <c r="A224" s="15">
        <v>4</v>
      </c>
      <c r="B224" s="75">
        <v>39434</v>
      </c>
      <c r="C224" s="15">
        <v>2008</v>
      </c>
      <c r="D224" s="11" t="s">
        <v>38</v>
      </c>
      <c r="E224" s="15">
        <v>12</v>
      </c>
      <c r="F224" s="23">
        <v>23.683</v>
      </c>
      <c r="G224" s="23">
        <v>0.23200000000000001</v>
      </c>
      <c r="I224" s="27">
        <f>AVERAGE(F223:F224)</f>
        <v>21.472999999999999</v>
      </c>
      <c r="J224" s="27">
        <f>AVERAGE(G223:G224)</f>
        <v>0.26400000000000001</v>
      </c>
      <c r="L224">
        <f>+J224/I224</f>
        <v>1.2294509383877428E-2</v>
      </c>
      <c r="M224">
        <f>+(L224-$L$619)/$L$620</f>
        <v>2.5980595183295829E-2</v>
      </c>
      <c r="N224">
        <f>+N222+M224</f>
        <v>24.280329969442185</v>
      </c>
    </row>
    <row r="225" spans="1:14">
      <c r="A225" s="15">
        <v>3</v>
      </c>
      <c r="B225" s="75">
        <v>39825</v>
      </c>
      <c r="C225" s="15">
        <v>2009</v>
      </c>
      <c r="D225" s="11" t="s">
        <v>39</v>
      </c>
      <c r="E225" s="12">
        <v>1</v>
      </c>
      <c r="F225" s="23">
        <v>12.114000000000001</v>
      </c>
      <c r="G225" s="23">
        <v>9.9989999999999996E-4</v>
      </c>
    </row>
    <row r="226" spans="1:14">
      <c r="A226" s="15">
        <v>4</v>
      </c>
      <c r="B226" s="75">
        <v>39825</v>
      </c>
      <c r="C226" s="15">
        <v>2009</v>
      </c>
      <c r="D226" s="11" t="s">
        <v>39</v>
      </c>
      <c r="E226" s="12">
        <v>1</v>
      </c>
      <c r="F226" s="23">
        <v>12.62</v>
      </c>
      <c r="G226" s="23">
        <v>4.3999999999999997E-2</v>
      </c>
      <c r="I226" s="27">
        <f>AVERAGE(F225:F226)</f>
        <v>12.367000000000001</v>
      </c>
      <c r="J226" s="27">
        <f>AVERAGE(G225:G226)</f>
        <v>2.2499949999999998E-2</v>
      </c>
      <c r="L226">
        <f>+J226/I226</f>
        <v>1.8193539257701946E-3</v>
      </c>
      <c r="M226">
        <f>+(L226-$L$619)/$L$620</f>
        <v>-0.35875804142880774</v>
      </c>
      <c r="N226">
        <f>+N224+M226</f>
        <v>23.921571928013378</v>
      </c>
    </row>
    <row r="227" spans="1:14">
      <c r="A227" s="12">
        <v>3</v>
      </c>
      <c r="B227" s="75">
        <v>39854</v>
      </c>
      <c r="C227" s="15">
        <v>2009</v>
      </c>
      <c r="D227" s="11" t="s">
        <v>28</v>
      </c>
      <c r="E227" s="12">
        <v>2</v>
      </c>
      <c r="F227" s="23">
        <v>5.9710000000000001</v>
      </c>
      <c r="G227" s="25">
        <v>1.7000000000000001E-2</v>
      </c>
    </row>
    <row r="228" spans="1:14">
      <c r="A228" s="12">
        <v>4</v>
      </c>
      <c r="B228" s="75">
        <v>39854</v>
      </c>
      <c r="C228" s="15">
        <v>2009</v>
      </c>
      <c r="D228" s="11" t="s">
        <v>28</v>
      </c>
      <c r="E228" s="12">
        <v>2</v>
      </c>
      <c r="F228" s="23">
        <v>5.5919999999999996</v>
      </c>
      <c r="G228" s="25">
        <v>9.9989999999999996E-4</v>
      </c>
      <c r="I228" s="27">
        <f>AVERAGE(F227:F228)</f>
        <v>5.7814999999999994</v>
      </c>
      <c r="J228" s="27">
        <f>AVERAGE(G227:G228)</f>
        <v>8.9999500000000014E-3</v>
      </c>
      <c r="L228">
        <f>+J228/I228</f>
        <v>1.5566807921819602E-3</v>
      </c>
      <c r="M228">
        <f>+(L228-$L$619)/$L$620</f>
        <v>-0.36840567899328425</v>
      </c>
      <c r="N228">
        <f>+N226+M228</f>
        <v>23.553166249020094</v>
      </c>
    </row>
    <row r="229" spans="1:14">
      <c r="A229" s="12">
        <v>3</v>
      </c>
      <c r="B229" s="75">
        <v>39890</v>
      </c>
      <c r="C229" s="15">
        <v>2009</v>
      </c>
      <c r="D229" s="11" t="s">
        <v>29</v>
      </c>
      <c r="E229" s="12">
        <v>3</v>
      </c>
      <c r="F229" s="23">
        <v>10.291</v>
      </c>
      <c r="G229" s="25">
        <v>1E-3</v>
      </c>
    </row>
    <row r="230" spans="1:14">
      <c r="A230" s="12">
        <v>4</v>
      </c>
      <c r="B230" s="75">
        <v>39890</v>
      </c>
      <c r="C230" s="15">
        <v>2009</v>
      </c>
      <c r="D230" s="11" t="s">
        <v>29</v>
      </c>
      <c r="E230" s="12">
        <v>3</v>
      </c>
      <c r="F230" s="23">
        <v>8.1660000000000004</v>
      </c>
      <c r="G230" s="25">
        <v>9.9989999999999996E-4</v>
      </c>
      <c r="I230" s="27">
        <f>AVERAGE(F229:F230)</f>
        <v>9.2285000000000004</v>
      </c>
      <c r="J230" s="27">
        <f>AVERAGE(G229:G230)</f>
        <v>9.9994999999999988E-4</v>
      </c>
      <c r="L230">
        <f>+J230/I230</f>
        <v>1.0835455382781599E-4</v>
      </c>
      <c r="M230">
        <f>+(L230-$L$619)/$L$620</f>
        <v>-0.42160079046846949</v>
      </c>
      <c r="N230">
        <f>+N228+M230</f>
        <v>23.131565458551623</v>
      </c>
    </row>
    <row r="231" spans="1:14">
      <c r="A231" s="12">
        <v>3</v>
      </c>
      <c r="B231" s="75">
        <v>39920</v>
      </c>
      <c r="C231" s="15">
        <v>2009</v>
      </c>
      <c r="D231" s="11" t="s">
        <v>30</v>
      </c>
      <c r="E231" s="12">
        <v>4</v>
      </c>
      <c r="F231" s="23">
        <v>3.7959999999999998</v>
      </c>
      <c r="G231" s="25">
        <v>1E-3</v>
      </c>
    </row>
    <row r="232" spans="1:14">
      <c r="A232" s="12">
        <v>4</v>
      </c>
      <c r="B232" s="75">
        <v>39920</v>
      </c>
      <c r="C232" s="15">
        <v>2009</v>
      </c>
      <c r="D232" s="11" t="s">
        <v>30</v>
      </c>
      <c r="E232" s="12">
        <v>4</v>
      </c>
      <c r="F232" s="23">
        <v>7.9089999999999998</v>
      </c>
      <c r="G232" s="25">
        <v>1E-3</v>
      </c>
      <c r="I232" s="27">
        <f>AVERAGE(F231:F232)</f>
        <v>5.8525</v>
      </c>
      <c r="J232" s="27">
        <f>AVERAGE(G231:G232)</f>
        <v>1E-3</v>
      </c>
      <c r="L232">
        <f>+J232/I232</f>
        <v>1.7086715079026057E-4</v>
      </c>
      <c r="M232">
        <f>+(L232-$L$619)/$L$620</f>
        <v>-0.41930478527574483</v>
      </c>
      <c r="N232">
        <f>+N230+M232</f>
        <v>22.712260673275878</v>
      </c>
    </row>
    <row r="233" spans="1:14">
      <c r="A233" s="12">
        <v>3</v>
      </c>
      <c r="B233" s="75">
        <v>39945</v>
      </c>
      <c r="C233" s="15">
        <v>2009</v>
      </c>
      <c r="D233" s="11" t="s">
        <v>31</v>
      </c>
      <c r="E233" s="12">
        <v>5</v>
      </c>
      <c r="F233" s="23">
        <v>7.6829999999999998</v>
      </c>
      <c r="G233" s="25">
        <v>0.05</v>
      </c>
    </row>
    <row r="234" spans="1:14">
      <c r="A234" s="12">
        <v>4</v>
      </c>
      <c r="B234" s="75">
        <v>39945</v>
      </c>
      <c r="C234" s="15">
        <v>2009</v>
      </c>
      <c r="D234" s="11" t="s">
        <v>31</v>
      </c>
      <c r="E234" s="12">
        <v>5</v>
      </c>
      <c r="F234" s="23">
        <v>18.114000000000001</v>
      </c>
      <c r="G234" s="25">
        <v>9.2999999999999999E-2</v>
      </c>
      <c r="I234" s="27">
        <f>AVERAGE(F233:F234)</f>
        <v>12.8985</v>
      </c>
      <c r="J234" s="27">
        <f>AVERAGE(G233:G234)</f>
        <v>7.1500000000000008E-2</v>
      </c>
      <c r="L234">
        <f>+J234/I234</f>
        <v>5.5432802263829135E-3</v>
      </c>
      <c r="M234">
        <f>+(L234-$L$619)/$L$620</f>
        <v>-0.22198314262453023</v>
      </c>
      <c r="N234">
        <f>+N232+M234</f>
        <v>22.490277530651348</v>
      </c>
    </row>
    <row r="235" spans="1:14">
      <c r="A235" s="15">
        <v>3</v>
      </c>
      <c r="B235" s="75">
        <v>39980</v>
      </c>
      <c r="C235" s="15">
        <v>2009</v>
      </c>
      <c r="D235" s="11" t="s">
        <v>32</v>
      </c>
      <c r="E235" s="12">
        <v>6</v>
      </c>
      <c r="F235" s="23">
        <v>18.402000000000001</v>
      </c>
      <c r="G235" s="25">
        <v>1.4039999999999999</v>
      </c>
    </row>
    <row r="236" spans="1:14">
      <c r="A236" s="15">
        <v>4</v>
      </c>
      <c r="B236" s="75">
        <v>39980</v>
      </c>
      <c r="C236" s="15">
        <v>2009</v>
      </c>
      <c r="D236" s="11" t="s">
        <v>32</v>
      </c>
      <c r="E236" s="12">
        <v>6</v>
      </c>
      <c r="F236" s="23">
        <v>21.108000000000001</v>
      </c>
      <c r="G236" s="25">
        <v>0.44600000000000001</v>
      </c>
      <c r="I236" s="27">
        <f>AVERAGE(F235:F236)</f>
        <v>19.755000000000003</v>
      </c>
      <c r="J236" s="27">
        <f>AVERAGE(G235:G236)</f>
        <v>0.92499999999999993</v>
      </c>
      <c r="L236">
        <f>+J236/I236</f>
        <v>4.6823588964819023E-2</v>
      </c>
      <c r="M236">
        <f>+(L236-$L$619)/$L$620</f>
        <v>1.294188122467355</v>
      </c>
      <c r="N236">
        <f>+N234+M236</f>
        <v>23.784465653118701</v>
      </c>
    </row>
    <row r="237" spans="1:14">
      <c r="A237" s="15">
        <v>3</v>
      </c>
      <c r="B237" s="75">
        <v>40009</v>
      </c>
      <c r="C237" s="15">
        <v>2009</v>
      </c>
      <c r="D237" s="11" t="s">
        <v>33</v>
      </c>
      <c r="E237" s="12">
        <v>7</v>
      </c>
      <c r="F237" s="23">
        <v>11.356</v>
      </c>
      <c r="G237" s="25">
        <v>0.107</v>
      </c>
    </row>
    <row r="238" spans="1:14">
      <c r="A238" s="15">
        <v>4</v>
      </c>
      <c r="B238" s="75">
        <v>40009</v>
      </c>
      <c r="C238" s="15">
        <v>2009</v>
      </c>
      <c r="D238" s="11" t="s">
        <v>33</v>
      </c>
      <c r="E238" s="12">
        <v>7</v>
      </c>
      <c r="F238" s="23">
        <v>16.303000000000001</v>
      </c>
      <c r="G238" s="25">
        <v>0.16300000000000001</v>
      </c>
      <c r="I238" s="27">
        <f>AVERAGE(F237:F238)</f>
        <v>13.829499999999999</v>
      </c>
      <c r="J238" s="27">
        <f>AVERAGE(G237:G238)</f>
        <v>0.13500000000000001</v>
      </c>
      <c r="L238">
        <f>+J238/I238</f>
        <v>9.7617412053942667E-3</v>
      </c>
      <c r="M238">
        <f>+(L238-$L$619)/$L$620</f>
        <v>-6.7044637687110428E-2</v>
      </c>
      <c r="N238">
        <f>+N236+M238</f>
        <v>23.71742101543159</v>
      </c>
    </row>
    <row r="239" spans="1:14">
      <c r="A239" s="15">
        <v>3</v>
      </c>
      <c r="B239" s="75">
        <v>40043</v>
      </c>
      <c r="C239" s="15">
        <v>2009</v>
      </c>
      <c r="D239" s="11" t="s">
        <v>34</v>
      </c>
      <c r="E239" s="12">
        <v>8</v>
      </c>
      <c r="F239" s="23">
        <v>21.183</v>
      </c>
      <c r="G239" s="25">
        <v>1E-3</v>
      </c>
    </row>
    <row r="240" spans="1:14">
      <c r="A240" s="15">
        <v>4</v>
      </c>
      <c r="B240" s="75">
        <v>40043</v>
      </c>
      <c r="C240" s="15">
        <v>2009</v>
      </c>
      <c r="D240" s="11" t="s">
        <v>34</v>
      </c>
      <c r="E240" s="12">
        <v>8</v>
      </c>
      <c r="F240" s="23">
        <v>33.268000000000001</v>
      </c>
      <c r="G240" s="25">
        <v>1E-3</v>
      </c>
      <c r="I240" s="27">
        <f>AVERAGE(F239:F240)</f>
        <v>27.2255</v>
      </c>
      <c r="J240" s="27">
        <f>AVERAGE(G239:G240)</f>
        <v>1E-3</v>
      </c>
      <c r="L240">
        <f>+J240/I240</f>
        <v>3.6730271253053204E-5</v>
      </c>
      <c r="M240">
        <f>+(L240-$L$619)/$L$620</f>
        <v>-0.42423145584965072</v>
      </c>
      <c r="N240">
        <f>+N238+M240</f>
        <v>23.29318955958194</v>
      </c>
    </row>
    <row r="241" spans="1:14">
      <c r="A241" s="15">
        <v>3</v>
      </c>
      <c r="B241" s="75">
        <v>40070</v>
      </c>
      <c r="C241" s="15">
        <v>2009</v>
      </c>
      <c r="D241" s="11" t="s">
        <v>40</v>
      </c>
      <c r="E241" s="12">
        <v>9</v>
      </c>
      <c r="F241" s="23">
        <v>15.382999999999999</v>
      </c>
      <c r="G241" s="25">
        <v>1E-3</v>
      </c>
    </row>
    <row r="242" spans="1:14">
      <c r="A242" s="15">
        <v>4</v>
      </c>
      <c r="B242" s="75">
        <v>40070</v>
      </c>
      <c r="C242" s="15">
        <v>2009</v>
      </c>
      <c r="D242" s="11" t="s">
        <v>40</v>
      </c>
      <c r="E242" s="12">
        <v>9</v>
      </c>
      <c r="F242" s="23">
        <v>12.561</v>
      </c>
      <c r="G242" s="25">
        <v>1E-3</v>
      </c>
      <c r="I242" s="27">
        <f>AVERAGE(F241:F242)</f>
        <v>13.972</v>
      </c>
      <c r="J242" s="27">
        <f>AVERAGE(G241:G242)</f>
        <v>1E-3</v>
      </c>
      <c r="L242">
        <f>+J242/I242</f>
        <v>7.1571714858288012E-5</v>
      </c>
      <c r="M242">
        <f>+(L242-$L$619)/$L$620</f>
        <v>-0.42295177560396036</v>
      </c>
      <c r="N242">
        <f>+N240+M242</f>
        <v>22.870237783977981</v>
      </c>
    </row>
    <row r="243" spans="1:14">
      <c r="A243" s="15">
        <v>3</v>
      </c>
      <c r="B243" s="75">
        <v>40099</v>
      </c>
      <c r="C243" s="15">
        <v>2009</v>
      </c>
      <c r="D243" s="11" t="s">
        <v>36</v>
      </c>
      <c r="E243" s="12">
        <v>10</v>
      </c>
      <c r="F243" s="23">
        <v>8.7680000000000007</v>
      </c>
      <c r="G243" s="25">
        <v>4.4999999999999998E-2</v>
      </c>
    </row>
    <row r="244" spans="1:14">
      <c r="A244" s="15">
        <v>4</v>
      </c>
      <c r="B244" s="75">
        <v>40099</v>
      </c>
      <c r="C244" s="15">
        <v>2009</v>
      </c>
      <c r="D244" s="11" t="s">
        <v>36</v>
      </c>
      <c r="E244" s="12">
        <v>10</v>
      </c>
      <c r="F244" s="23">
        <v>11.911</v>
      </c>
      <c r="G244" s="25">
        <v>3.4000000000000002E-2</v>
      </c>
      <c r="I244" s="27">
        <f>AVERAGE(F243:F244)</f>
        <v>10.339500000000001</v>
      </c>
      <c r="J244" s="27">
        <f>AVERAGE(G243:G244)</f>
        <v>3.95E-2</v>
      </c>
      <c r="L244">
        <f>+J244/I244</f>
        <v>3.8203007882392764E-3</v>
      </c>
      <c r="M244">
        <f>+(L244-$L$619)/$L$620</f>
        <v>-0.2852659036864697</v>
      </c>
      <c r="N244">
        <f>+N242+M244</f>
        <v>22.584971880291512</v>
      </c>
    </row>
    <row r="245" spans="1:14">
      <c r="A245" s="15">
        <v>3</v>
      </c>
      <c r="B245" s="75">
        <v>40134</v>
      </c>
      <c r="C245" s="15">
        <v>2009</v>
      </c>
      <c r="D245" s="11" t="s">
        <v>37</v>
      </c>
      <c r="E245" s="12">
        <v>11</v>
      </c>
      <c r="F245" s="23">
        <v>3.383</v>
      </c>
      <c r="G245" s="25">
        <v>9.9989999999999996E-4</v>
      </c>
    </row>
    <row r="246" spans="1:14">
      <c r="A246" s="15">
        <v>4</v>
      </c>
      <c r="B246" s="75">
        <v>40134</v>
      </c>
      <c r="C246" s="15">
        <v>2009</v>
      </c>
      <c r="D246" s="11" t="s">
        <v>37</v>
      </c>
      <c r="E246" s="12">
        <v>11</v>
      </c>
      <c r="F246" s="23">
        <v>2.6019999999999999</v>
      </c>
      <c r="G246" s="25">
        <v>9.9989999999999996E-4</v>
      </c>
      <c r="I246" s="27">
        <f>AVERAGE(F245:F246)</f>
        <v>2.9924999999999997</v>
      </c>
      <c r="J246" s="27">
        <f>AVERAGE(G245:G246)</f>
        <v>9.9989999999999996E-4</v>
      </c>
      <c r="L246">
        <f>+J246/I246</f>
        <v>3.3413533834586467E-4</v>
      </c>
      <c r="M246">
        <f>+(L246-$L$619)/$L$620</f>
        <v>-0.41330816020096789</v>
      </c>
      <c r="N246">
        <f>+N244+M246</f>
        <v>22.171663720090542</v>
      </c>
    </row>
    <row r="247" spans="1:14">
      <c r="A247" s="15">
        <v>3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7.4050000000000002</v>
      </c>
      <c r="G247" s="25">
        <v>9.9989999999999996E-4</v>
      </c>
    </row>
    <row r="248" spans="1:14">
      <c r="A248" s="15">
        <v>4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6.6210000000000004</v>
      </c>
      <c r="G248" s="25">
        <v>9.9989999999999996E-4</v>
      </c>
      <c r="I248" s="27">
        <f>AVERAGE(F247:F248)</f>
        <v>7.0129999999999999</v>
      </c>
      <c r="J248" s="27">
        <f>AVERAGE(G247:G248)</f>
        <v>9.9989999999999996E-4</v>
      </c>
      <c r="L248">
        <f>+J248/I248</f>
        <v>1.4257806929987167E-4</v>
      </c>
      <c r="M248">
        <f>+(L248-$L$619)/$L$620</f>
        <v>-0.42034380590767223</v>
      </c>
      <c r="N248">
        <f>+N246+M248</f>
        <v>21.751319914182869</v>
      </c>
    </row>
    <row r="249" spans="1:14">
      <c r="A249" s="15">
        <v>3</v>
      </c>
      <c r="B249" s="70">
        <v>40198</v>
      </c>
      <c r="C249" s="15">
        <v>2010</v>
      </c>
      <c r="D249" s="11" t="s">
        <v>39</v>
      </c>
      <c r="E249" s="15">
        <v>1</v>
      </c>
      <c r="F249" s="26">
        <v>7.4580000000000002</v>
      </c>
      <c r="G249" s="27">
        <v>0</v>
      </c>
    </row>
    <row r="250" spans="1:14">
      <c r="A250" s="15">
        <v>4</v>
      </c>
      <c r="B250" s="70">
        <v>40198</v>
      </c>
      <c r="C250" s="15">
        <v>2010</v>
      </c>
      <c r="D250" s="11" t="s">
        <v>39</v>
      </c>
      <c r="E250" s="15">
        <v>1</v>
      </c>
      <c r="F250" s="26">
        <v>9.9359999999999999</v>
      </c>
      <c r="G250" s="27">
        <v>0</v>
      </c>
      <c r="I250" s="27">
        <f>AVERAGE(F249:F250)</f>
        <v>8.6969999999999992</v>
      </c>
      <c r="J250" s="27">
        <f>AVERAGE(G249:G250)</f>
        <v>0</v>
      </c>
      <c r="L250">
        <f>+J250/I250</f>
        <v>0</v>
      </c>
      <c r="M250">
        <f>+(L250-$L$619)/$L$620</f>
        <v>-0.4255805102422856</v>
      </c>
      <c r="N250">
        <f>+N248+M250</f>
        <v>21.325739403940585</v>
      </c>
    </row>
    <row r="251" spans="1:14">
      <c r="A251" s="15">
        <v>3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7.367</v>
      </c>
      <c r="G251" s="27">
        <v>0</v>
      </c>
    </row>
    <row r="252" spans="1:14">
      <c r="A252" s="15">
        <v>4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8.0229999999999997</v>
      </c>
      <c r="G252" s="27">
        <v>0</v>
      </c>
      <c r="I252" s="27">
        <f>AVERAGE(F251:F252)</f>
        <v>7.6950000000000003</v>
      </c>
      <c r="J252" s="27">
        <f>AVERAGE(G251:G252)</f>
        <v>0</v>
      </c>
      <c r="L252">
        <f>+J252/I252</f>
        <v>0</v>
      </c>
      <c r="M252">
        <f>+(L252-$L$619)/$L$620</f>
        <v>-0.4255805102422856</v>
      </c>
      <c r="N252">
        <f>+N250+M252</f>
        <v>20.9001588936983</v>
      </c>
    </row>
    <row r="253" spans="1:14">
      <c r="A253" s="15">
        <v>3</v>
      </c>
      <c r="B253" s="70">
        <v>40254</v>
      </c>
      <c r="C253" s="15">
        <v>2010</v>
      </c>
      <c r="D253" s="11" t="s">
        <v>29</v>
      </c>
      <c r="E253" s="15">
        <v>3</v>
      </c>
      <c r="F253" s="26">
        <v>6.298</v>
      </c>
      <c r="G253" s="27">
        <v>0</v>
      </c>
    </row>
    <row r="254" spans="1:14">
      <c r="A254" s="15">
        <v>4</v>
      </c>
      <c r="B254" s="70">
        <v>40254</v>
      </c>
      <c r="C254" s="15">
        <v>2010</v>
      </c>
      <c r="D254" s="11" t="s">
        <v>29</v>
      </c>
      <c r="E254" s="15">
        <v>3</v>
      </c>
      <c r="F254" s="26">
        <v>5.4240000000000004</v>
      </c>
      <c r="G254" s="27">
        <v>0</v>
      </c>
      <c r="I254" s="27">
        <f>AVERAGE(F253:F254)</f>
        <v>5.8610000000000007</v>
      </c>
      <c r="J254" s="27">
        <f>AVERAGE(G253:G254)</f>
        <v>0</v>
      </c>
      <c r="L254">
        <f>+J254/I254</f>
        <v>0</v>
      </c>
      <c r="M254">
        <f>+(L254-$L$619)/$L$620</f>
        <v>-0.4255805102422856</v>
      </c>
      <c r="N254">
        <f>+N252+M254</f>
        <v>20.474578383456016</v>
      </c>
    </row>
    <row r="255" spans="1:14">
      <c r="A255" s="15">
        <v>3</v>
      </c>
      <c r="B255" s="70">
        <v>40280</v>
      </c>
      <c r="C255" s="15">
        <v>2010</v>
      </c>
      <c r="D255" s="11" t="s">
        <v>30</v>
      </c>
      <c r="E255" s="15">
        <v>4</v>
      </c>
      <c r="F255" s="26">
        <v>9.4649999999999999</v>
      </c>
      <c r="G255" s="27">
        <v>0</v>
      </c>
    </row>
    <row r="256" spans="1:14">
      <c r="A256" s="15">
        <v>3</v>
      </c>
      <c r="B256" s="70">
        <v>40280</v>
      </c>
      <c r="C256" s="15">
        <v>2010</v>
      </c>
      <c r="D256" s="11" t="s">
        <v>30</v>
      </c>
      <c r="E256" s="15">
        <v>4</v>
      </c>
      <c r="F256" s="26">
        <v>9.4649999999999999</v>
      </c>
      <c r="G256" s="27">
        <v>0</v>
      </c>
      <c r="H256" t="s">
        <v>13</v>
      </c>
      <c r="I256" s="27">
        <f>AVERAGE(F255:F256)</f>
        <v>9.4649999999999999</v>
      </c>
      <c r="J256" s="27">
        <f>AVERAGE(G255:G256)</f>
        <v>0</v>
      </c>
      <c r="L256">
        <f>+J256/I256</f>
        <v>0</v>
      </c>
      <c r="M256">
        <f>+(L256-$L$619)/$L$620</f>
        <v>-0.4255805102422856</v>
      </c>
      <c r="N256">
        <f>+N254+M256</f>
        <v>20.048997873213732</v>
      </c>
    </row>
    <row r="257" spans="1:14">
      <c r="A257" s="15">
        <v>4</v>
      </c>
      <c r="B257" s="70">
        <v>40280</v>
      </c>
      <c r="C257" s="15">
        <v>2010</v>
      </c>
      <c r="D257" s="11" t="s">
        <v>30</v>
      </c>
      <c r="E257" s="15">
        <v>4</v>
      </c>
      <c r="F257" s="26">
        <v>15.436999999999999</v>
      </c>
      <c r="G257" s="27">
        <v>0</v>
      </c>
    </row>
    <row r="258" spans="1:14">
      <c r="A258" s="15">
        <v>3</v>
      </c>
      <c r="B258" s="75">
        <v>40315</v>
      </c>
      <c r="C258" s="15">
        <v>2010</v>
      </c>
      <c r="D258" s="11" t="s">
        <v>31</v>
      </c>
      <c r="E258" s="15">
        <v>5</v>
      </c>
      <c r="F258" s="28">
        <v>5.5709999999999997</v>
      </c>
      <c r="G258" s="27">
        <v>8.8547249999999994E-2</v>
      </c>
      <c r="I258" s="27">
        <f>AVERAGE(F257:F258)</f>
        <v>10.504</v>
      </c>
      <c r="J258" s="27">
        <f>AVERAGE(G257:G258)</f>
        <v>4.4273624999999997E-2</v>
      </c>
      <c r="L258">
        <f>+J258/I258</f>
        <v>4.2149300266565116E-3</v>
      </c>
      <c r="M258">
        <f>+(L258-$L$619)/$L$620</f>
        <v>-0.27077169252529676</v>
      </c>
      <c r="N258">
        <f>+N256+M258</f>
        <v>19.778226180688435</v>
      </c>
    </row>
    <row r="259" spans="1:14">
      <c r="A259" s="15">
        <v>4</v>
      </c>
      <c r="B259" s="75">
        <v>40315</v>
      </c>
      <c r="C259" s="15">
        <v>2010</v>
      </c>
      <c r="D259" s="11" t="s">
        <v>31</v>
      </c>
      <c r="E259" s="15">
        <v>5</v>
      </c>
      <c r="F259" s="28">
        <v>7.5839999999999996</v>
      </c>
      <c r="G259" s="27">
        <v>0</v>
      </c>
    </row>
    <row r="260" spans="1:14">
      <c r="A260" s="15">
        <v>3</v>
      </c>
      <c r="B260" s="75">
        <v>40344</v>
      </c>
      <c r="C260" s="15">
        <v>2010</v>
      </c>
      <c r="D260" s="11" t="s">
        <v>32</v>
      </c>
      <c r="E260" s="15">
        <v>6</v>
      </c>
      <c r="F260" s="28">
        <v>12.952</v>
      </c>
      <c r="G260" s="27">
        <v>9.4122750000000019E-2</v>
      </c>
      <c r="I260" s="27">
        <f>AVERAGE(F259:F260)</f>
        <v>10.268000000000001</v>
      </c>
      <c r="J260" s="27">
        <f>AVERAGE(G259:G260)</f>
        <v>4.7061375000000009E-2</v>
      </c>
      <c r="L260">
        <f>+J260/I260</f>
        <v>4.5833049279314381E-3</v>
      </c>
      <c r="M260">
        <f>+(L260-$L$619)/$L$620</f>
        <v>-0.25724176852126268</v>
      </c>
      <c r="N260">
        <f>+N258+M260</f>
        <v>19.520984412167174</v>
      </c>
    </row>
    <row r="261" spans="1:14">
      <c r="A261" s="15">
        <v>4</v>
      </c>
      <c r="B261" s="75">
        <v>40344</v>
      </c>
      <c r="C261" s="15">
        <v>2010</v>
      </c>
      <c r="D261" s="11" t="s">
        <v>32</v>
      </c>
      <c r="E261" s="15">
        <v>6</v>
      </c>
      <c r="F261" s="28">
        <v>11.233000000000001</v>
      </c>
      <c r="G261" s="27">
        <v>9.2700624999999981E-2</v>
      </c>
    </row>
    <row r="262" spans="1:14">
      <c r="A262" s="15">
        <v>4</v>
      </c>
      <c r="B262" s="75">
        <v>40344</v>
      </c>
      <c r="C262" s="15">
        <v>2010</v>
      </c>
      <c r="D262" s="11" t="s">
        <v>32</v>
      </c>
      <c r="E262" s="15">
        <v>6</v>
      </c>
      <c r="F262" s="28">
        <v>11.233000000000001</v>
      </c>
      <c r="G262" s="27">
        <v>0.1238485</v>
      </c>
      <c r="H262" t="s">
        <v>13</v>
      </c>
      <c r="I262" s="27">
        <f>AVERAGE(F261:F262)</f>
        <v>11.233000000000001</v>
      </c>
      <c r="J262" s="27">
        <f>AVERAGE(G261:G262)</f>
        <v>0.10827456249999999</v>
      </c>
      <c r="L262">
        <f>+J262/I262</f>
        <v>9.6389711119024297E-3</v>
      </c>
      <c r="M262">
        <f>+(L262-$L$619)/$L$620</f>
        <v>-7.1553821209559526E-2</v>
      </c>
      <c r="N262">
        <f>+N260+M262</f>
        <v>19.449430590957615</v>
      </c>
    </row>
    <row r="263" spans="1:14">
      <c r="A263" s="15">
        <v>3</v>
      </c>
      <c r="B263" s="75">
        <v>40371</v>
      </c>
      <c r="C263" s="15">
        <v>2010</v>
      </c>
      <c r="D263" s="11" t="s">
        <v>33</v>
      </c>
      <c r="E263" s="15">
        <v>7</v>
      </c>
      <c r="F263" s="28">
        <v>17.329999999999998</v>
      </c>
      <c r="G263" s="27">
        <v>0</v>
      </c>
    </row>
    <row r="264" spans="1:14">
      <c r="A264" s="15">
        <v>4</v>
      </c>
      <c r="B264" s="75">
        <v>40371</v>
      </c>
      <c r="C264" s="15">
        <v>2010</v>
      </c>
      <c r="D264" s="11" t="s">
        <v>33</v>
      </c>
      <c r="E264" s="15">
        <v>7</v>
      </c>
      <c r="F264" s="28">
        <v>42.161000000000001</v>
      </c>
      <c r="G264" s="27">
        <v>0</v>
      </c>
      <c r="I264" s="27">
        <f>AVERAGE(F263:F264)</f>
        <v>29.7455</v>
      </c>
      <c r="J264" s="27">
        <f>AVERAGE(G263:G264)</f>
        <v>0</v>
      </c>
      <c r="L264">
        <f>+J264/I264</f>
        <v>0</v>
      </c>
      <c r="M264">
        <f>+(L264-$L$619)/$L$620</f>
        <v>-0.4255805102422856</v>
      </c>
      <c r="N264">
        <f>+N262+M264</f>
        <v>19.023850080715331</v>
      </c>
    </row>
    <row r="265" spans="1:14">
      <c r="A265" s="15">
        <v>3</v>
      </c>
      <c r="B265" s="75">
        <v>40407</v>
      </c>
      <c r="C265" s="15">
        <v>2010</v>
      </c>
      <c r="D265" s="11" t="s">
        <v>34</v>
      </c>
      <c r="E265" s="15">
        <v>8</v>
      </c>
      <c r="F265" s="28">
        <v>36.511000000000003</v>
      </c>
      <c r="G265" s="27">
        <v>7.5988249999999993E-2</v>
      </c>
    </row>
    <row r="266" spans="1:14">
      <c r="A266" s="15">
        <v>4</v>
      </c>
      <c r="B266" s="75">
        <v>40407</v>
      </c>
      <c r="C266" s="15">
        <v>2010</v>
      </c>
      <c r="D266" s="11" t="s">
        <v>34</v>
      </c>
      <c r="E266" s="15">
        <v>8</v>
      </c>
      <c r="F266" s="28">
        <v>39.277000000000001</v>
      </c>
      <c r="G266" s="27">
        <v>0</v>
      </c>
      <c r="I266" s="27">
        <f>AVERAGE(F265:F266)</f>
        <v>37.894000000000005</v>
      </c>
      <c r="J266" s="27">
        <f>AVERAGE(G265:G266)</f>
        <v>3.7994124999999997E-2</v>
      </c>
      <c r="L266">
        <f>+J266/I266</f>
        <v>1.0026422388768668E-3</v>
      </c>
      <c r="M266">
        <f>+(L266-$L$619)/$L$620</f>
        <v>-0.38875478392844481</v>
      </c>
      <c r="N266">
        <f>+N264+M266</f>
        <v>18.635095296786886</v>
      </c>
    </row>
    <row r="267" spans="1:14">
      <c r="A267" s="15">
        <v>3</v>
      </c>
      <c r="B267" s="75">
        <v>40436</v>
      </c>
      <c r="C267" s="15">
        <v>2010</v>
      </c>
      <c r="D267" s="11" t="s">
        <v>40</v>
      </c>
      <c r="E267" s="15">
        <v>9</v>
      </c>
      <c r="F267" s="28">
        <v>12.305</v>
      </c>
      <c r="G267" s="27">
        <v>0</v>
      </c>
    </row>
    <row r="268" spans="1:14">
      <c r="A268" s="15">
        <v>4</v>
      </c>
      <c r="B268" s="75">
        <v>40436</v>
      </c>
      <c r="C268" s="15">
        <v>2010</v>
      </c>
      <c r="D268" s="11" t="s">
        <v>40</v>
      </c>
      <c r="E268" s="15">
        <v>9</v>
      </c>
      <c r="F268" s="28">
        <v>11.909000000000001</v>
      </c>
      <c r="G268" s="27">
        <v>0</v>
      </c>
      <c r="I268" s="27">
        <f>AVERAGE(F267:F268)</f>
        <v>12.106999999999999</v>
      </c>
      <c r="J268" s="27">
        <f>AVERAGE(G267:G268)</f>
        <v>0</v>
      </c>
      <c r="L268">
        <f>+J268/I268</f>
        <v>0</v>
      </c>
      <c r="M268">
        <f>+(L268-$L$619)/$L$620</f>
        <v>-0.4255805102422856</v>
      </c>
      <c r="N268">
        <f>+N266+M268</f>
        <v>18.209514786544602</v>
      </c>
    </row>
    <row r="269" spans="1:14">
      <c r="A269" s="15">
        <v>3</v>
      </c>
      <c r="B269" s="75">
        <v>40464</v>
      </c>
      <c r="C269" s="15">
        <v>2010</v>
      </c>
      <c r="D269" s="11" t="s">
        <v>36</v>
      </c>
      <c r="E269" s="15">
        <v>10</v>
      </c>
      <c r="F269" s="26">
        <v>7.3470000000000004</v>
      </c>
      <c r="G269" s="27">
        <v>5.7864499999999992E-2</v>
      </c>
    </row>
    <row r="270" spans="1:14">
      <c r="A270" s="15">
        <v>3</v>
      </c>
      <c r="B270" s="75">
        <v>40464</v>
      </c>
      <c r="C270" s="15">
        <v>2010</v>
      </c>
      <c r="D270" s="11" t="s">
        <v>36</v>
      </c>
      <c r="E270" s="15">
        <v>10</v>
      </c>
      <c r="F270" s="26">
        <v>7.3470000000000004</v>
      </c>
      <c r="G270" s="27">
        <v>0</v>
      </c>
      <c r="H270" t="s">
        <v>13</v>
      </c>
      <c r="I270" s="27"/>
      <c r="J270" s="27"/>
    </row>
    <row r="271" spans="1:14">
      <c r="A271" s="15">
        <v>4</v>
      </c>
      <c r="B271" s="75">
        <v>40464</v>
      </c>
      <c r="C271" s="15">
        <v>2010</v>
      </c>
      <c r="D271" s="11" t="s">
        <v>36</v>
      </c>
      <c r="E271" s="15">
        <v>10</v>
      </c>
      <c r="F271" s="26">
        <v>6.298</v>
      </c>
      <c r="G271" s="27">
        <v>0</v>
      </c>
      <c r="I271" s="27">
        <f>AVERAGE(F269:F271)</f>
        <v>6.9973333333333336</v>
      </c>
      <c r="J271" s="27">
        <f t="shared" ref="J271" si="0">AVERAGE(G269:G271)</f>
        <v>1.9288166666666665E-2</v>
      </c>
      <c r="K271" s="27"/>
      <c r="L271">
        <f>+J271/I271</f>
        <v>2.7565024771341461E-3</v>
      </c>
      <c r="M271">
        <f>+(L271-$L$619)/$L$620</f>
        <v>-0.32433781182966404</v>
      </c>
      <c r="N271">
        <f>+N268+M271</f>
        <v>17.885176974714938</v>
      </c>
    </row>
    <row r="272" spans="1:14">
      <c r="A272" s="15">
        <v>3</v>
      </c>
      <c r="B272" s="75">
        <v>40498</v>
      </c>
      <c r="C272" s="15">
        <v>2010</v>
      </c>
      <c r="D272" s="11" t="s">
        <v>37</v>
      </c>
      <c r="E272" s="15">
        <v>11</v>
      </c>
      <c r="F272" s="26">
        <v>2.4590000000000001</v>
      </c>
      <c r="G272" s="27">
        <v>0.17634249999999999</v>
      </c>
      <c r="I272" s="27"/>
      <c r="J272" s="27"/>
    </row>
    <row r="273" spans="1:14">
      <c r="A273" s="15">
        <v>4</v>
      </c>
      <c r="B273" s="75">
        <v>40498</v>
      </c>
      <c r="C273" s="15">
        <v>2010</v>
      </c>
      <c r="D273" s="11" t="s">
        <v>37</v>
      </c>
      <c r="E273" s="15">
        <v>11</v>
      </c>
      <c r="F273" s="26">
        <v>3.3050000000000002</v>
      </c>
      <c r="G273" s="27">
        <v>0.24185712500000001</v>
      </c>
      <c r="I273" s="27">
        <f>AVERAGE(F272:F273)</f>
        <v>2.8820000000000001</v>
      </c>
      <c r="J273" s="27">
        <f>AVERAGE(G272:G273)</f>
        <v>0.20909981249999998</v>
      </c>
      <c r="L273">
        <f>+J273/I273</f>
        <v>7.2553717036779999E-2</v>
      </c>
      <c r="M273">
        <f>+(L273-$L$619)/$L$620</f>
        <v>2.2392217722161489</v>
      </c>
      <c r="N273">
        <f>+N271+M273</f>
        <v>20.124398746931085</v>
      </c>
    </row>
    <row r="274" spans="1:14">
      <c r="A274" s="15">
        <v>3</v>
      </c>
      <c r="B274" s="75">
        <v>40520</v>
      </c>
      <c r="C274" s="15">
        <v>2010</v>
      </c>
      <c r="D274" s="11" t="s">
        <v>38</v>
      </c>
      <c r="E274" s="15">
        <v>12</v>
      </c>
      <c r="F274" s="26">
        <v>4.07</v>
      </c>
      <c r="G274" s="27">
        <v>0</v>
      </c>
    </row>
    <row r="275" spans="1:14">
      <c r="A275" s="15">
        <v>4</v>
      </c>
      <c r="B275" s="75">
        <v>40520</v>
      </c>
      <c r="C275" s="15">
        <v>2010</v>
      </c>
      <c r="D275" s="11" t="s">
        <v>38</v>
      </c>
      <c r="E275" s="15">
        <v>12</v>
      </c>
      <c r="F275" s="26">
        <v>5.391</v>
      </c>
      <c r="G275" s="27">
        <v>4.8617249999999994E-2</v>
      </c>
      <c r="I275" s="27">
        <f>AVERAGE(F274:F275)</f>
        <v>4.7305000000000001</v>
      </c>
      <c r="J275" s="27">
        <f>AVERAGE(G274:G275)</f>
        <v>2.4308624999999997E-2</v>
      </c>
      <c r="L275">
        <f>+J275/I275</f>
        <v>5.1387009829827702E-3</v>
      </c>
      <c r="M275">
        <f>+(L275-$L$619)/$L$620</f>
        <v>-0.23684280433836732</v>
      </c>
      <c r="N275">
        <f>+N273+M275</f>
        <v>19.887555942592719</v>
      </c>
    </row>
    <row r="276" spans="1:14">
      <c r="A276" s="15">
        <v>3</v>
      </c>
      <c r="B276" s="75">
        <v>40562</v>
      </c>
      <c r="C276" s="15">
        <v>2011</v>
      </c>
      <c r="D276" s="11" t="s">
        <v>39</v>
      </c>
      <c r="E276" s="15">
        <v>1</v>
      </c>
      <c r="F276" s="26">
        <v>2.028</v>
      </c>
      <c r="G276" s="27">
        <v>0</v>
      </c>
    </row>
    <row r="277" spans="1:14">
      <c r="A277" s="15">
        <v>4</v>
      </c>
      <c r="B277" s="75">
        <v>40562</v>
      </c>
      <c r="C277" s="15">
        <v>2011</v>
      </c>
      <c r="D277" s="11" t="s">
        <v>39</v>
      </c>
      <c r="E277" s="15">
        <v>1</v>
      </c>
      <c r="F277" s="26">
        <v>3.573</v>
      </c>
      <c r="G277" s="27">
        <v>2.3751499999999995E-2</v>
      </c>
      <c r="I277" s="27">
        <f>AVERAGE(F276:F277)</f>
        <v>2.8005</v>
      </c>
      <c r="J277" s="27">
        <f>AVERAGE(G276:G277)</f>
        <v>1.1875749999999997E-2</v>
      </c>
      <c r="L277">
        <f>+J277/I277</f>
        <v>4.24058203892162E-3</v>
      </c>
      <c r="M277">
        <f>+(L277-$L$619)/$L$620</f>
        <v>-0.26982952796604942</v>
      </c>
      <c r="N277">
        <f>+N275+M277</f>
        <v>19.61772641462667</v>
      </c>
    </row>
    <row r="278" spans="1:14">
      <c r="A278" s="15">
        <v>3</v>
      </c>
      <c r="B278" s="75">
        <v>40591</v>
      </c>
      <c r="C278" s="15">
        <v>2011</v>
      </c>
      <c r="D278" s="11" t="s">
        <v>28</v>
      </c>
      <c r="E278" s="15">
        <v>2</v>
      </c>
      <c r="F278" s="26">
        <v>3.3340000000000001</v>
      </c>
      <c r="G278" s="27">
        <v>0</v>
      </c>
    </row>
    <row r="279" spans="1:14">
      <c r="A279" s="15">
        <v>4</v>
      </c>
      <c r="B279" s="75">
        <v>40591</v>
      </c>
      <c r="C279" s="15">
        <v>2011</v>
      </c>
      <c r="D279" s="11" t="s">
        <v>28</v>
      </c>
      <c r="E279" s="15">
        <v>2</v>
      </c>
      <c r="F279" s="26">
        <v>3.585</v>
      </c>
      <c r="G279" s="27">
        <v>3.1180125E-2</v>
      </c>
      <c r="I279" s="27">
        <f>AVERAGE(F278:F279)</f>
        <v>3.4595000000000002</v>
      </c>
      <c r="J279" s="27">
        <f>AVERAGE(G278:G279)</f>
        <v>1.55900625E-2</v>
      </c>
      <c r="L279">
        <f>+J279/I279</f>
        <v>4.5064496314496313E-3</v>
      </c>
      <c r="M279">
        <f>+(L279-$L$619)/$L$620</f>
        <v>-0.26006456214022938</v>
      </c>
      <c r="N279">
        <f>+N277+M279</f>
        <v>19.357661852486441</v>
      </c>
    </row>
    <row r="280" spans="1:14">
      <c r="A280" s="15">
        <v>3</v>
      </c>
      <c r="B280" s="75">
        <v>40619</v>
      </c>
      <c r="C280" s="15">
        <v>2011</v>
      </c>
      <c r="D280" s="11" t="s">
        <v>29</v>
      </c>
      <c r="E280" s="15">
        <v>3</v>
      </c>
      <c r="F280" s="26">
        <v>1.425</v>
      </c>
      <c r="G280" s="27">
        <v>0</v>
      </c>
    </row>
    <row r="281" spans="1:14">
      <c r="A281" s="15">
        <v>4</v>
      </c>
      <c r="B281" s="75">
        <v>40619</v>
      </c>
      <c r="C281" s="15">
        <v>2011</v>
      </c>
      <c r="D281" s="11" t="s">
        <v>29</v>
      </c>
      <c r="E281" s="15">
        <v>3</v>
      </c>
      <c r="F281" s="26">
        <v>1.968</v>
      </c>
      <c r="G281" s="27">
        <v>0</v>
      </c>
      <c r="I281" s="27">
        <f>AVERAGE(F280:F281)</f>
        <v>1.6964999999999999</v>
      </c>
      <c r="J281" s="27">
        <f>AVERAGE(G280:G281)</f>
        <v>0</v>
      </c>
      <c r="L281">
        <f>+J281/I281</f>
        <v>0</v>
      </c>
      <c r="M281">
        <f>+(L281-$L$619)/$L$620</f>
        <v>-0.4255805102422856</v>
      </c>
      <c r="N281">
        <f>+N279+M281</f>
        <v>18.932081342244157</v>
      </c>
    </row>
    <row r="282" spans="1:14">
      <c r="A282" s="15">
        <v>3</v>
      </c>
      <c r="B282" s="75">
        <v>40646</v>
      </c>
      <c r="C282" s="15">
        <v>2011</v>
      </c>
      <c r="D282" s="11" t="s">
        <v>30</v>
      </c>
      <c r="E282" s="15">
        <v>4</v>
      </c>
      <c r="F282" s="26">
        <v>1.224</v>
      </c>
      <c r="G282" s="27">
        <v>0</v>
      </c>
    </row>
    <row r="283" spans="1:14">
      <c r="A283" s="15">
        <v>4</v>
      </c>
      <c r="B283" s="75">
        <v>40646</v>
      </c>
      <c r="C283" s="15">
        <v>2011</v>
      </c>
      <c r="D283" s="11" t="s">
        <v>30</v>
      </c>
      <c r="E283" s="15">
        <v>4</v>
      </c>
      <c r="F283" s="26">
        <v>2.0760000000000001</v>
      </c>
      <c r="G283" s="27">
        <v>0</v>
      </c>
      <c r="I283" s="27">
        <f>AVERAGE(F282:F283)</f>
        <v>1.65</v>
      </c>
      <c r="J283" s="27">
        <f>AVERAGE(G282:G283)</f>
        <v>0</v>
      </c>
      <c r="L283">
        <f>+J283/I283</f>
        <v>0</v>
      </c>
      <c r="M283">
        <f>+(L283-$L$619)/$L$620</f>
        <v>-0.4255805102422856</v>
      </c>
      <c r="N283">
        <f>+N281+M283</f>
        <v>18.506500832001873</v>
      </c>
    </row>
    <row r="284" spans="1:14">
      <c r="A284" s="15">
        <v>3</v>
      </c>
      <c r="B284" s="75">
        <v>40681</v>
      </c>
      <c r="C284" s="15">
        <v>2011</v>
      </c>
      <c r="D284" s="11" t="s">
        <v>31</v>
      </c>
      <c r="E284" s="15">
        <v>5</v>
      </c>
      <c r="F284" s="26">
        <v>8.2690000000000001</v>
      </c>
      <c r="G284" s="27">
        <v>0.41504824999999995</v>
      </c>
    </row>
    <row r="285" spans="1:14">
      <c r="A285" s="15">
        <v>4</v>
      </c>
      <c r="B285" s="75">
        <v>40681</v>
      </c>
      <c r="C285" s="15">
        <v>2011</v>
      </c>
      <c r="D285" s="11" t="s">
        <v>31</v>
      </c>
      <c r="E285" s="15">
        <v>5</v>
      </c>
      <c r="F285" s="26">
        <v>9.657</v>
      </c>
      <c r="G285" s="27">
        <v>0.24517337499999997</v>
      </c>
      <c r="I285" s="27">
        <f>AVERAGE(F284:F285)</f>
        <v>8.963000000000001</v>
      </c>
      <c r="J285" s="27">
        <f>AVERAGE(G284:G285)</f>
        <v>0.33011081249999996</v>
      </c>
      <c r="L285">
        <f>+J285/I285</f>
        <v>3.6830393004574351E-2</v>
      </c>
      <c r="M285">
        <f>+(L285-$L$619)/$L$620</f>
        <v>0.92715122220193114</v>
      </c>
      <c r="N285">
        <f>+N283+M285</f>
        <v>19.433652054203804</v>
      </c>
    </row>
    <row r="286" spans="1:14">
      <c r="A286" s="15">
        <v>3</v>
      </c>
      <c r="B286" s="75">
        <v>40708</v>
      </c>
      <c r="C286" s="15">
        <v>2011</v>
      </c>
      <c r="D286" s="11" t="s">
        <v>32</v>
      </c>
      <c r="E286" s="15">
        <v>6</v>
      </c>
      <c r="F286" s="26">
        <v>13.473000000000001</v>
      </c>
      <c r="G286" s="27">
        <v>4.9976E-2</v>
      </c>
    </row>
    <row r="287" spans="1:14">
      <c r="A287" s="15">
        <v>4</v>
      </c>
      <c r="B287" s="75">
        <v>40708</v>
      </c>
      <c r="C287" s="15">
        <v>2011</v>
      </c>
      <c r="D287" s="11" t="s">
        <v>32</v>
      </c>
      <c r="E287" s="15">
        <v>6</v>
      </c>
      <c r="F287" s="26">
        <v>23.321999999999999</v>
      </c>
      <c r="G287" s="27">
        <v>0</v>
      </c>
      <c r="I287" s="27">
        <f>AVERAGE(F286:F287)</f>
        <v>18.397500000000001</v>
      </c>
      <c r="J287" s="27">
        <f>AVERAGE(G286:G287)</f>
        <v>2.4988E-2</v>
      </c>
      <c r="L287">
        <f>+J287/I287</f>
        <v>1.3582280201114281E-3</v>
      </c>
      <c r="M287">
        <f>+(L287-$L$619)/$L$620</f>
        <v>-0.37569458742654438</v>
      </c>
      <c r="N287">
        <f>+N285+M287</f>
        <v>19.05795746677726</v>
      </c>
    </row>
    <row r="288" spans="1:14">
      <c r="A288" s="15">
        <v>3</v>
      </c>
      <c r="B288" s="75">
        <v>40735</v>
      </c>
      <c r="C288" s="15">
        <v>2011</v>
      </c>
      <c r="D288" s="11" t="s">
        <v>33</v>
      </c>
      <c r="E288" s="15">
        <v>7</v>
      </c>
      <c r="F288" s="26">
        <v>13.723000000000001</v>
      </c>
      <c r="G288" s="27">
        <v>0</v>
      </c>
    </row>
    <row r="289" spans="1:14">
      <c r="A289" s="15">
        <v>4</v>
      </c>
      <c r="B289" s="75">
        <v>40735</v>
      </c>
      <c r="C289" s="15">
        <v>2011</v>
      </c>
      <c r="D289" s="11" t="s">
        <v>33</v>
      </c>
      <c r="E289" s="15">
        <v>7</v>
      </c>
      <c r="F289" s="26">
        <v>24.536000000000001</v>
      </c>
      <c r="G289" s="27">
        <v>0</v>
      </c>
      <c r="I289" s="27">
        <f>AVERAGE(F288:F289)</f>
        <v>19.1295</v>
      </c>
      <c r="J289" s="27">
        <f>AVERAGE(G288:G289)</f>
        <v>0</v>
      </c>
      <c r="L289">
        <f>+J289/I289</f>
        <v>0</v>
      </c>
      <c r="M289">
        <f>+(L289-$L$619)/$L$620</f>
        <v>-0.4255805102422856</v>
      </c>
      <c r="N289">
        <f>+N287+M289</f>
        <v>18.632376956534976</v>
      </c>
    </row>
    <row r="290" spans="1:14">
      <c r="A290" s="15">
        <v>3</v>
      </c>
      <c r="B290" s="75">
        <v>40771</v>
      </c>
      <c r="C290" s="15">
        <v>2011</v>
      </c>
      <c r="D290" s="11" t="s">
        <v>34</v>
      </c>
      <c r="E290" s="15">
        <v>8</v>
      </c>
      <c r="F290" s="26">
        <v>25.713000000000001</v>
      </c>
      <c r="G290" s="27">
        <v>0</v>
      </c>
      <c r="I290" s="27"/>
      <c r="J290" s="27"/>
    </row>
    <row r="291" spans="1:14">
      <c r="A291" s="15">
        <v>4</v>
      </c>
      <c r="B291" s="75">
        <v>40771</v>
      </c>
      <c r="C291" s="15">
        <v>2011</v>
      </c>
      <c r="D291" s="11" t="s">
        <v>34</v>
      </c>
      <c r="E291" s="15">
        <v>8</v>
      </c>
      <c r="F291" s="26">
        <v>36.332999999999998</v>
      </c>
      <c r="G291" s="27">
        <v>0</v>
      </c>
      <c r="I291" s="27">
        <f>AVERAGE(F290:F291)</f>
        <v>31.023</v>
      </c>
      <c r="J291" s="27">
        <f>AVERAGE(G290:G291)</f>
        <v>0</v>
      </c>
      <c r="L291">
        <f>+J291/I291</f>
        <v>0</v>
      </c>
      <c r="M291">
        <f>+(L291-$L$619)/$L$620</f>
        <v>-0.4255805102422856</v>
      </c>
      <c r="N291">
        <f>+N289+M291</f>
        <v>18.206796446292692</v>
      </c>
    </row>
    <row r="292" spans="1:14">
      <c r="A292" s="15">
        <v>3</v>
      </c>
      <c r="B292" s="75">
        <v>40799</v>
      </c>
      <c r="C292" s="15">
        <v>2011</v>
      </c>
      <c r="D292" s="11" t="s">
        <v>40</v>
      </c>
      <c r="E292" s="15">
        <v>9</v>
      </c>
      <c r="F292" s="26">
        <v>12.509</v>
      </c>
      <c r="G292" s="27">
        <v>0</v>
      </c>
    </row>
    <row r="293" spans="1:14">
      <c r="A293" s="15">
        <v>4</v>
      </c>
      <c r="B293" s="75">
        <v>40799</v>
      </c>
      <c r="C293" s="15">
        <v>2011</v>
      </c>
      <c r="D293" s="11" t="s">
        <v>40</v>
      </c>
      <c r="E293" s="15">
        <v>9</v>
      </c>
      <c r="F293" s="26">
        <v>13.537000000000001</v>
      </c>
      <c r="G293" s="27">
        <v>0</v>
      </c>
      <c r="I293" s="27">
        <f>AVERAGE(F292:F293)</f>
        <v>13.023</v>
      </c>
      <c r="J293" s="27">
        <f>AVERAGE(G292:G293)</f>
        <v>0</v>
      </c>
      <c r="L293">
        <f>+J293/I293</f>
        <v>0</v>
      </c>
      <c r="M293">
        <f>+(L293-$L$619)/$L$620</f>
        <v>-0.4255805102422856</v>
      </c>
      <c r="N293">
        <f>+N291+M293</f>
        <v>17.781215936050408</v>
      </c>
    </row>
    <row r="294" spans="1:14">
      <c r="A294" s="15">
        <v>3</v>
      </c>
      <c r="B294" s="75">
        <v>40827</v>
      </c>
      <c r="C294" s="15">
        <v>2011</v>
      </c>
      <c r="D294" s="11" t="s">
        <v>36</v>
      </c>
      <c r="E294" s="15">
        <v>10</v>
      </c>
      <c r="F294" s="28">
        <v>6.3570000000000002</v>
      </c>
      <c r="G294" s="27">
        <v>0</v>
      </c>
    </row>
    <row r="295" spans="1:14">
      <c r="A295" s="15">
        <v>4</v>
      </c>
      <c r="B295" s="75">
        <v>40827</v>
      </c>
      <c r="C295" s="15">
        <v>2011</v>
      </c>
      <c r="D295" s="11" t="s">
        <v>36</v>
      </c>
      <c r="E295" s="15">
        <v>10</v>
      </c>
      <c r="F295" s="28">
        <v>7.4740000000000002</v>
      </c>
      <c r="G295" s="27">
        <v>0</v>
      </c>
      <c r="I295" s="27">
        <f>AVERAGE(F294:F295)</f>
        <v>6.9154999999999998</v>
      </c>
      <c r="J295" s="27">
        <f>AVERAGE(G294:G295)</f>
        <v>0</v>
      </c>
      <c r="L295">
        <f>+J295/I295</f>
        <v>0</v>
      </c>
      <c r="M295">
        <f>+(L295-$L$619)/$L$620</f>
        <v>-0.4255805102422856</v>
      </c>
      <c r="N295">
        <f>+N293+M295</f>
        <v>17.355635425808124</v>
      </c>
    </row>
    <row r="296" spans="1:14">
      <c r="A296" s="15">
        <v>3</v>
      </c>
      <c r="B296" s="76">
        <v>40862</v>
      </c>
      <c r="C296" s="15">
        <v>2011</v>
      </c>
      <c r="D296" s="11" t="s">
        <v>37</v>
      </c>
      <c r="E296" s="15">
        <v>11</v>
      </c>
      <c r="F296" s="28">
        <v>4.6079999999999997</v>
      </c>
      <c r="G296" s="27">
        <v>0</v>
      </c>
    </row>
    <row r="297" spans="1:14">
      <c r="A297" s="15">
        <v>4</v>
      </c>
      <c r="B297" s="76">
        <v>40862</v>
      </c>
      <c r="C297" s="15">
        <v>2011</v>
      </c>
      <c r="D297" s="11" t="s">
        <v>37</v>
      </c>
      <c r="E297" s="15">
        <v>11</v>
      </c>
      <c r="F297" s="28">
        <v>6.5940000000000003</v>
      </c>
      <c r="G297" s="27">
        <v>0</v>
      </c>
      <c r="I297" s="27">
        <f>AVERAGE(F296:F297)</f>
        <v>5.601</v>
      </c>
      <c r="J297" s="27">
        <f>AVERAGE(G296:G297)</f>
        <v>0</v>
      </c>
      <c r="L297">
        <f>+J297/I297</f>
        <v>0</v>
      </c>
      <c r="M297">
        <f>+(L297-$L$619)/$L$620</f>
        <v>-0.4255805102422856</v>
      </c>
      <c r="N297">
        <f>+N295+M297</f>
        <v>16.93005491556584</v>
      </c>
    </row>
    <row r="298" spans="1:14">
      <c r="A298" s="15">
        <v>3</v>
      </c>
      <c r="B298" s="76">
        <v>40890</v>
      </c>
      <c r="C298" s="15">
        <v>2011</v>
      </c>
      <c r="D298" s="11" t="s">
        <v>38</v>
      </c>
      <c r="E298" s="15">
        <v>12</v>
      </c>
      <c r="F298" s="28">
        <v>5.1929999999999996</v>
      </c>
      <c r="G298" s="27">
        <v>0</v>
      </c>
    </row>
    <row r="299" spans="1:14">
      <c r="A299" s="15">
        <v>4</v>
      </c>
      <c r="B299" s="76">
        <v>40890</v>
      </c>
      <c r="C299" s="15">
        <v>2011</v>
      </c>
      <c r="D299" s="11" t="s">
        <v>38</v>
      </c>
      <c r="E299" s="15">
        <v>12</v>
      </c>
      <c r="F299" s="28">
        <v>10.423999999999999</v>
      </c>
      <c r="G299" s="27">
        <v>0</v>
      </c>
      <c r="I299" s="27">
        <f>AVERAGE(F298:F299)</f>
        <v>7.8084999999999996</v>
      </c>
      <c r="J299" s="27">
        <f>AVERAGE(G298:G299)</f>
        <v>0</v>
      </c>
      <c r="L299">
        <f>+J299/I299</f>
        <v>0</v>
      </c>
      <c r="M299">
        <f>+(L299-$L$619)/$L$620</f>
        <v>-0.4255805102422856</v>
      </c>
      <c r="N299">
        <f>+N297+M299</f>
        <v>16.504474405323556</v>
      </c>
    </row>
    <row r="300" spans="1:14">
      <c r="A300" s="15">
        <v>3</v>
      </c>
      <c r="B300" s="75">
        <v>40917</v>
      </c>
      <c r="C300" s="15">
        <v>2012</v>
      </c>
      <c r="D300" s="11" t="s">
        <v>39</v>
      </c>
      <c r="E300" s="15">
        <v>1</v>
      </c>
      <c r="F300" s="30">
        <v>6.7110000000000003</v>
      </c>
      <c r="G300" s="27">
        <v>0</v>
      </c>
    </row>
    <row r="301" spans="1:14">
      <c r="A301" s="15">
        <v>4</v>
      </c>
      <c r="B301" s="75">
        <v>40917</v>
      </c>
      <c r="C301" s="15">
        <v>2012</v>
      </c>
      <c r="D301" s="11" t="s">
        <v>39</v>
      </c>
      <c r="E301" s="15">
        <v>1</v>
      </c>
      <c r="F301" s="30">
        <v>9.3879999999999999</v>
      </c>
      <c r="G301" s="27">
        <v>0</v>
      </c>
      <c r="I301" s="27">
        <f>AVERAGE(F300:F301)</f>
        <v>8.0495000000000001</v>
      </c>
      <c r="J301" s="27">
        <f>AVERAGE(G300:G301)</f>
        <v>0</v>
      </c>
      <c r="L301">
        <f>+J301/I301</f>
        <v>0</v>
      </c>
      <c r="M301">
        <f>+(L301-$L$619)/$L$620</f>
        <v>-0.4255805102422856</v>
      </c>
      <c r="N301">
        <f>+N299+M301</f>
        <v>16.078893895081272</v>
      </c>
    </row>
    <row r="302" spans="1:14">
      <c r="A302" s="15">
        <v>3</v>
      </c>
      <c r="B302" s="75">
        <v>40962</v>
      </c>
      <c r="C302" s="15">
        <v>2012</v>
      </c>
      <c r="D302" s="11" t="s">
        <v>28</v>
      </c>
      <c r="E302" s="15">
        <v>2</v>
      </c>
      <c r="F302" s="30">
        <v>2.6509999999999998</v>
      </c>
      <c r="G302" s="27">
        <v>0</v>
      </c>
    </row>
    <row r="303" spans="1:14">
      <c r="A303" s="15">
        <v>4</v>
      </c>
      <c r="B303" s="75">
        <v>40962</v>
      </c>
      <c r="C303" s="15">
        <v>2012</v>
      </c>
      <c r="D303" s="11" t="s">
        <v>28</v>
      </c>
      <c r="E303" s="15">
        <v>2</v>
      </c>
      <c r="F303" s="30">
        <v>6.0960000000000001</v>
      </c>
      <c r="G303" s="27">
        <v>6.2841250000000001E-2</v>
      </c>
      <c r="I303" s="27">
        <f>AVERAGE(F302:F303)</f>
        <v>4.3734999999999999</v>
      </c>
      <c r="J303" s="27">
        <f>AVERAGE(G302:G303)</f>
        <v>3.1420625000000001E-2</v>
      </c>
      <c r="L303">
        <f>+J303/I303</f>
        <v>7.1843203384017382E-3</v>
      </c>
      <c r="M303">
        <f>+(L303-$L$619)/$L$620</f>
        <v>-0.16170990488129014</v>
      </c>
      <c r="N303">
        <f>+N301+M303</f>
        <v>15.917183990199982</v>
      </c>
    </row>
    <row r="304" spans="1:14">
      <c r="A304" s="15">
        <v>3</v>
      </c>
      <c r="B304" s="75">
        <v>40980</v>
      </c>
      <c r="C304" s="15">
        <v>2012</v>
      </c>
      <c r="D304" s="11" t="s">
        <v>29</v>
      </c>
      <c r="E304" s="15">
        <v>3</v>
      </c>
      <c r="F304" s="30">
        <v>6.5469999999999997</v>
      </c>
      <c r="G304" s="27">
        <v>5.1406999999999994E-2</v>
      </c>
    </row>
    <row r="305" spans="1:14">
      <c r="A305" s="15">
        <v>4</v>
      </c>
      <c r="B305" s="75">
        <v>40980</v>
      </c>
      <c r="C305" s="15">
        <v>2012</v>
      </c>
      <c r="D305" s="11" t="s">
        <v>29</v>
      </c>
      <c r="E305" s="15">
        <v>3</v>
      </c>
      <c r="F305" s="30">
        <v>15.337</v>
      </c>
      <c r="G305" s="27">
        <v>0</v>
      </c>
      <c r="I305" s="27">
        <f>AVERAGE(F304:F305)</f>
        <v>10.942</v>
      </c>
      <c r="J305" s="27">
        <f>AVERAGE(G304:G305)</f>
        <v>2.5703499999999997E-2</v>
      </c>
      <c r="L305">
        <f>+J305/I305</f>
        <v>2.3490678121001643E-3</v>
      </c>
      <c r="M305">
        <f>+(L305-$L$619)/$L$620</f>
        <v>-0.33930234941200244</v>
      </c>
      <c r="N305">
        <f>+N303+M305</f>
        <v>15.577881640787979</v>
      </c>
    </row>
    <row r="306" spans="1:14">
      <c r="A306" s="15">
        <v>3</v>
      </c>
      <c r="B306" s="75">
        <v>41015</v>
      </c>
      <c r="C306" s="15">
        <v>2012</v>
      </c>
      <c r="D306" s="11" t="s">
        <v>30</v>
      </c>
      <c r="E306" s="15">
        <v>4</v>
      </c>
      <c r="F306" s="26">
        <v>2.4620000000000002</v>
      </c>
      <c r="G306" s="27">
        <v>2.7273749999999992E-2</v>
      </c>
    </row>
    <row r="307" spans="1:14">
      <c r="A307" s="15">
        <v>4</v>
      </c>
      <c r="B307" s="75">
        <v>41015</v>
      </c>
      <c r="C307" s="15">
        <v>2012</v>
      </c>
      <c r="D307" s="11" t="s">
        <v>30</v>
      </c>
      <c r="E307" s="15">
        <v>4</v>
      </c>
      <c r="F307" s="26">
        <v>5.9409999999999998</v>
      </c>
      <c r="G307" s="27">
        <v>9.8431000000000005E-2</v>
      </c>
      <c r="I307" s="27">
        <f>AVERAGE(F306:F307)</f>
        <v>4.2015000000000002</v>
      </c>
      <c r="J307" s="27">
        <f>AVERAGE(G306:G307)</f>
        <v>6.2852375000000002E-2</v>
      </c>
      <c r="L307">
        <f>+J307/I307</f>
        <v>1.4959508508865882E-2</v>
      </c>
      <c r="M307">
        <f>+(L307-$L$619)/$L$620</f>
        <v>0.1238624962224785</v>
      </c>
      <c r="N307">
        <f>+N305+M307</f>
        <v>15.701744137010458</v>
      </c>
    </row>
    <row r="308" spans="1:14">
      <c r="A308" s="15">
        <v>3</v>
      </c>
      <c r="B308" s="75">
        <v>41045</v>
      </c>
      <c r="C308" s="15">
        <v>2012</v>
      </c>
      <c r="D308" s="11" t="s">
        <v>31</v>
      </c>
      <c r="E308" s="15">
        <v>5</v>
      </c>
      <c r="F308" s="26">
        <v>12.733000000000001</v>
      </c>
      <c r="G308" s="27">
        <v>0</v>
      </c>
      <c r="I308" s="27"/>
      <c r="J308" s="27"/>
    </row>
    <row r="309" spans="1:14">
      <c r="A309" s="15">
        <v>4</v>
      </c>
      <c r="B309" s="75">
        <v>41045</v>
      </c>
      <c r="C309" s="15">
        <v>2012</v>
      </c>
      <c r="D309" s="11" t="s">
        <v>31</v>
      </c>
      <c r="E309" s="15">
        <v>5</v>
      </c>
      <c r="F309" s="26">
        <v>10.210000000000001</v>
      </c>
      <c r="G309" s="27">
        <v>0</v>
      </c>
      <c r="I309" s="27">
        <f>AVERAGE(F308:F309)</f>
        <v>11.471500000000001</v>
      </c>
      <c r="J309" s="27">
        <f>AVERAGE(G308:G309)</f>
        <v>0</v>
      </c>
      <c r="L309">
        <f>+J309/I309</f>
        <v>0</v>
      </c>
      <c r="M309">
        <f>+(L309-$L$619)/$L$620</f>
        <v>-0.4255805102422856</v>
      </c>
      <c r="N309">
        <f>+N307+M309</f>
        <v>15.276163626768172</v>
      </c>
    </row>
    <row r="310" spans="1:14">
      <c r="A310" s="15">
        <v>3</v>
      </c>
      <c r="B310" s="75">
        <v>41073</v>
      </c>
      <c r="C310" s="15">
        <v>2012</v>
      </c>
      <c r="D310" s="11" t="s">
        <v>32</v>
      </c>
      <c r="E310" s="15">
        <v>6</v>
      </c>
      <c r="F310" s="26">
        <v>22.74</v>
      </c>
      <c r="G310" s="27">
        <v>0.19140149999999997</v>
      </c>
    </row>
    <row r="311" spans="1:14">
      <c r="A311" s="15">
        <v>4</v>
      </c>
      <c r="B311" s="75">
        <v>41073</v>
      </c>
      <c r="C311" s="15">
        <v>2012</v>
      </c>
      <c r="D311" s="11" t="s">
        <v>32</v>
      </c>
      <c r="E311" s="15">
        <v>6</v>
      </c>
      <c r="F311" s="26">
        <v>24.302</v>
      </c>
      <c r="G311" s="27">
        <v>0.18716187500000001</v>
      </c>
      <c r="I311" s="27">
        <f>AVERAGE(F310:F311)</f>
        <v>23.521000000000001</v>
      </c>
      <c r="J311" s="27">
        <f>AVERAGE(G310:G311)</f>
        <v>0.18928168749999999</v>
      </c>
      <c r="L311">
        <f>+J311/I311</f>
        <v>8.047348645890906E-3</v>
      </c>
      <c r="M311">
        <f>+(L311-$L$619)/$L$620</f>
        <v>-0.13001201402812371</v>
      </c>
      <c r="N311">
        <f>+N309+M311</f>
        <v>15.146151612740049</v>
      </c>
    </row>
    <row r="312" spans="1:14">
      <c r="A312" s="15">
        <v>3</v>
      </c>
      <c r="B312" s="75">
        <v>41107</v>
      </c>
      <c r="C312" s="15">
        <v>2012</v>
      </c>
      <c r="D312" s="11" t="s">
        <v>33</v>
      </c>
      <c r="E312" s="15">
        <v>7</v>
      </c>
      <c r="F312" s="26">
        <v>27.895</v>
      </c>
      <c r="G312" s="27">
        <v>0</v>
      </c>
    </row>
    <row r="313" spans="1:14">
      <c r="A313" s="15">
        <v>4</v>
      </c>
      <c r="B313" s="75">
        <v>41107</v>
      </c>
      <c r="C313" s="15">
        <v>2012</v>
      </c>
      <c r="D313" s="11" t="s">
        <v>33</v>
      </c>
      <c r="E313" s="15">
        <v>7</v>
      </c>
      <c r="F313" s="26">
        <v>43.258000000000003</v>
      </c>
      <c r="G313" s="27">
        <v>0</v>
      </c>
      <c r="I313" s="27">
        <f>AVERAGE(F312:F313)</f>
        <v>35.576500000000003</v>
      </c>
      <c r="J313" s="27">
        <f>AVERAGE(G312:G313)</f>
        <v>0</v>
      </c>
      <c r="L313">
        <f>+J313/I313</f>
        <v>0</v>
      </c>
      <c r="M313">
        <f>+(L313-$L$619)/$L$620</f>
        <v>-0.4255805102422856</v>
      </c>
      <c r="N313">
        <f>+N311+M313</f>
        <v>14.720571102497763</v>
      </c>
    </row>
    <row r="314" spans="1:14">
      <c r="A314" s="15">
        <v>3</v>
      </c>
      <c r="B314" s="75">
        <v>41135</v>
      </c>
      <c r="C314" s="15">
        <v>2012</v>
      </c>
      <c r="D314" s="11" t="s">
        <v>34</v>
      </c>
      <c r="E314" s="15">
        <v>8</v>
      </c>
      <c r="F314" s="26">
        <v>19.334</v>
      </c>
      <c r="G314" s="27">
        <v>0</v>
      </c>
    </row>
    <row r="315" spans="1:14">
      <c r="A315" s="15">
        <v>4</v>
      </c>
      <c r="B315" s="75">
        <v>41135</v>
      </c>
      <c r="C315" s="15">
        <v>2012</v>
      </c>
      <c r="D315" s="11" t="s">
        <v>34</v>
      </c>
      <c r="E315" s="15">
        <v>8</v>
      </c>
      <c r="F315" s="26">
        <v>33.441000000000003</v>
      </c>
      <c r="G315" s="27">
        <v>0</v>
      </c>
      <c r="I315" s="27">
        <f>AVERAGE(F314:F315)</f>
        <v>26.387500000000003</v>
      </c>
      <c r="J315" s="27">
        <f>AVERAGE(G314:G315)</f>
        <v>0</v>
      </c>
      <c r="L315">
        <f>+J315/I315</f>
        <v>0</v>
      </c>
      <c r="M315">
        <f>+(L315-$L$619)/$L$620</f>
        <v>-0.4255805102422856</v>
      </c>
      <c r="N315">
        <f>+N313+M315</f>
        <v>14.294990592255477</v>
      </c>
    </row>
    <row r="316" spans="1:14">
      <c r="A316" s="15">
        <v>3</v>
      </c>
      <c r="B316" s="75">
        <v>41164</v>
      </c>
      <c r="C316" s="15">
        <v>2012</v>
      </c>
      <c r="D316" s="11" t="s">
        <v>40</v>
      </c>
      <c r="E316" s="15">
        <v>9</v>
      </c>
      <c r="F316" s="26">
        <v>19.472000000000001</v>
      </c>
      <c r="G316" s="27">
        <v>0</v>
      </c>
    </row>
    <row r="317" spans="1:14">
      <c r="A317" s="15">
        <v>4</v>
      </c>
      <c r="B317" s="75">
        <v>41164</v>
      </c>
      <c r="C317" s="15">
        <v>2012</v>
      </c>
      <c r="D317" s="11" t="s">
        <v>40</v>
      </c>
      <c r="E317" s="15">
        <v>9</v>
      </c>
      <c r="F317" s="26">
        <v>18.593</v>
      </c>
      <c r="G317" s="27">
        <v>0</v>
      </c>
      <c r="I317" s="27"/>
      <c r="J317" s="27"/>
    </row>
    <row r="318" spans="1:14">
      <c r="A318" s="15">
        <v>4</v>
      </c>
      <c r="B318" s="75">
        <v>41164</v>
      </c>
      <c r="C318" s="15">
        <v>2012</v>
      </c>
      <c r="D318" s="11" t="s">
        <v>40</v>
      </c>
      <c r="E318" s="15">
        <v>9</v>
      </c>
      <c r="F318" s="26">
        <v>18.593</v>
      </c>
      <c r="G318" s="27">
        <v>0</v>
      </c>
      <c r="H318" t="s">
        <v>13</v>
      </c>
      <c r="I318" s="27">
        <f>AVERAGE(F316:F318)</f>
        <v>18.885999999999999</v>
      </c>
      <c r="J318" s="27">
        <f>AVERAGE(G316:G318)</f>
        <v>0</v>
      </c>
      <c r="L318">
        <f>+J318/I318</f>
        <v>0</v>
      </c>
      <c r="M318">
        <f>+(L318-$L$619)/$L$620</f>
        <v>-0.4255805102422856</v>
      </c>
      <c r="N318">
        <f>+N315+M318</f>
        <v>13.869410082013191</v>
      </c>
    </row>
    <row r="319" spans="1:14">
      <c r="A319" s="15">
        <v>3</v>
      </c>
      <c r="B319" s="75">
        <v>41199</v>
      </c>
      <c r="C319" s="15">
        <v>2012</v>
      </c>
      <c r="D319" s="11" t="s">
        <v>36</v>
      </c>
      <c r="E319" s="15">
        <v>10</v>
      </c>
      <c r="F319" s="26">
        <v>6.8479999999999999</v>
      </c>
      <c r="G319" s="27">
        <v>2.6958375E-2</v>
      </c>
      <c r="I319" s="27"/>
      <c r="J319" s="27"/>
    </row>
    <row r="320" spans="1:14">
      <c r="A320" s="15">
        <v>4</v>
      </c>
      <c r="B320" s="75">
        <v>41199</v>
      </c>
      <c r="C320" s="15">
        <v>2012</v>
      </c>
      <c r="D320" s="11" t="s">
        <v>36</v>
      </c>
      <c r="E320" s="15">
        <v>10</v>
      </c>
      <c r="F320" s="26">
        <v>7.2439999999999998</v>
      </c>
      <c r="G320" s="27">
        <v>0</v>
      </c>
      <c r="I320" s="27">
        <f>AVERAGE(F319:F320)</f>
        <v>7.0459999999999994</v>
      </c>
      <c r="J320" s="27">
        <f>AVERAGE(G319:G320)</f>
        <v>1.34791875E-2</v>
      </c>
      <c r="L320">
        <f>+J320/I320</f>
        <v>1.913026894692024E-3</v>
      </c>
      <c r="M320">
        <f>+(L320-$L$619)/$L$620</f>
        <v>-0.35531755689427991</v>
      </c>
      <c r="N320">
        <f>+N318+M320</f>
        <v>13.514092525118912</v>
      </c>
    </row>
    <row r="321" spans="1:14">
      <c r="A321" s="15">
        <v>3</v>
      </c>
      <c r="B321" s="75">
        <v>41225</v>
      </c>
      <c r="C321" s="15">
        <v>2012</v>
      </c>
      <c r="D321" s="11" t="s">
        <v>37</v>
      </c>
      <c r="E321" s="15">
        <v>11</v>
      </c>
      <c r="F321" s="26">
        <v>4.1420000000000003</v>
      </c>
      <c r="G321" s="27">
        <v>0</v>
      </c>
    </row>
    <row r="322" spans="1:14">
      <c r="A322" s="15">
        <v>4</v>
      </c>
      <c r="B322" s="75">
        <v>41225</v>
      </c>
      <c r="C322" s="15">
        <v>2012</v>
      </c>
      <c r="D322" s="11" t="s">
        <v>37</v>
      </c>
      <c r="E322" s="15">
        <v>11</v>
      </c>
      <c r="F322" s="26">
        <v>9.0389999999999997</v>
      </c>
      <c r="G322" s="27">
        <v>0</v>
      </c>
      <c r="I322" s="27">
        <f>AVERAGE(F321:F322)</f>
        <v>6.5905000000000005</v>
      </c>
      <c r="J322" s="27">
        <f>AVERAGE(G321:G322)</f>
        <v>0</v>
      </c>
      <c r="L322">
        <f>+J322/I322</f>
        <v>0</v>
      </c>
      <c r="M322">
        <f>+(L322-$L$619)/$L$620</f>
        <v>-0.4255805102422856</v>
      </c>
      <c r="N322">
        <f>+N320+M322</f>
        <v>13.088512014876626</v>
      </c>
    </row>
    <row r="323" spans="1:14">
      <c r="A323" s="15">
        <v>3</v>
      </c>
      <c r="B323" s="75">
        <v>41254</v>
      </c>
      <c r="C323" s="15">
        <v>2012</v>
      </c>
      <c r="D323" s="11" t="s">
        <v>38</v>
      </c>
      <c r="E323" s="15">
        <v>12</v>
      </c>
      <c r="F323" s="26">
        <v>3.298</v>
      </c>
      <c r="G323" s="27">
        <v>0</v>
      </c>
    </row>
    <row r="324" spans="1:14">
      <c r="A324" s="15">
        <v>4</v>
      </c>
      <c r="B324" s="75">
        <v>41254</v>
      </c>
      <c r="C324" s="15">
        <v>2012</v>
      </c>
      <c r="D324" s="11" t="s">
        <v>38</v>
      </c>
      <c r="E324" s="15">
        <v>12</v>
      </c>
      <c r="F324" s="26">
        <v>3.2759999999999998</v>
      </c>
      <c r="G324" s="27">
        <v>0</v>
      </c>
      <c r="I324" s="27">
        <f>AVERAGE(F323:F324)</f>
        <v>3.2869999999999999</v>
      </c>
      <c r="J324" s="27">
        <f>AVERAGE(G323:G324)</f>
        <v>0</v>
      </c>
      <c r="L324">
        <f>+J324/I324</f>
        <v>0</v>
      </c>
      <c r="M324">
        <f>+(L324-$L$619)/$L$620</f>
        <v>-0.4255805102422856</v>
      </c>
      <c r="N324">
        <f>+N322+M324</f>
        <v>12.66293150463434</v>
      </c>
    </row>
    <row r="325" spans="1:14">
      <c r="A325" s="15">
        <v>3</v>
      </c>
      <c r="B325" s="75">
        <v>41288</v>
      </c>
      <c r="C325" s="15">
        <v>2013</v>
      </c>
      <c r="D325" s="11" t="s">
        <v>39</v>
      </c>
      <c r="E325" s="15">
        <v>1</v>
      </c>
      <c r="F325" s="26">
        <v>6.7839999999999998</v>
      </c>
      <c r="G325" s="27">
        <v>0</v>
      </c>
      <c r="I325" s="27"/>
      <c r="J325" s="27"/>
    </row>
    <row r="326" spans="1:14">
      <c r="A326" s="15">
        <v>4</v>
      </c>
      <c r="B326" s="75">
        <v>41288</v>
      </c>
      <c r="C326" s="15">
        <v>2013</v>
      </c>
      <c r="D326" s="11" t="s">
        <v>39</v>
      </c>
      <c r="E326" s="15">
        <v>1</v>
      </c>
      <c r="F326" s="26">
        <v>9.7349999999999994</v>
      </c>
      <c r="G326" s="27">
        <v>0</v>
      </c>
      <c r="I326" s="27">
        <f>AVERAGE(F325:F326)</f>
        <v>8.2594999999999992</v>
      </c>
      <c r="J326" s="27">
        <f>AVERAGE(G325:G326)</f>
        <v>0</v>
      </c>
      <c r="L326">
        <f>+J326/I326</f>
        <v>0</v>
      </c>
      <c r="M326">
        <f>+(L326-$L$619)/$L$620</f>
        <v>-0.4255805102422856</v>
      </c>
      <c r="N326">
        <f>+N324+M326</f>
        <v>12.237350994392054</v>
      </c>
    </row>
    <row r="327" spans="1:14">
      <c r="A327" s="15">
        <v>3</v>
      </c>
      <c r="B327" s="75">
        <v>41318</v>
      </c>
      <c r="C327" s="15">
        <v>2013</v>
      </c>
      <c r="D327" s="11" t="s">
        <v>28</v>
      </c>
      <c r="E327" s="15">
        <v>2</v>
      </c>
      <c r="F327" s="31">
        <v>16.471</v>
      </c>
      <c r="G327" s="27">
        <v>0</v>
      </c>
    </row>
    <row r="328" spans="1:14">
      <c r="A328" s="15">
        <v>4</v>
      </c>
      <c r="B328" s="75">
        <v>41318</v>
      </c>
      <c r="C328" s="15">
        <v>2013</v>
      </c>
      <c r="D328" s="11" t="s">
        <v>28</v>
      </c>
      <c r="E328" s="15">
        <v>2</v>
      </c>
      <c r="F328" s="31">
        <v>18.884</v>
      </c>
      <c r="G328" s="27">
        <v>0</v>
      </c>
      <c r="I328" s="27">
        <f>AVERAGE(F327:F328)</f>
        <v>17.677500000000002</v>
      </c>
      <c r="J328" s="27">
        <f>AVERAGE(G327:G328)</f>
        <v>0</v>
      </c>
      <c r="L328">
        <f>+J328/I328</f>
        <v>0</v>
      </c>
      <c r="M328">
        <f>+(L328-$L$619)/$L$620</f>
        <v>-0.4255805102422856</v>
      </c>
      <c r="N328">
        <f>+N326+M328</f>
        <v>11.811770484149768</v>
      </c>
    </row>
    <row r="329" spans="1:14">
      <c r="A329" s="15">
        <v>3</v>
      </c>
      <c r="B329" s="75">
        <v>41344</v>
      </c>
      <c r="C329" s="15">
        <v>2013</v>
      </c>
      <c r="D329" s="11" t="s">
        <v>29</v>
      </c>
      <c r="E329" s="15">
        <v>3</v>
      </c>
      <c r="F329" s="31">
        <v>9.0809999999999995</v>
      </c>
      <c r="G329" s="27">
        <v>0</v>
      </c>
    </row>
    <row r="330" spans="1:14">
      <c r="A330" s="15">
        <v>4</v>
      </c>
      <c r="B330" s="75">
        <v>41344</v>
      </c>
      <c r="C330" s="15">
        <v>2013</v>
      </c>
      <c r="D330" s="11" t="s">
        <v>29</v>
      </c>
      <c r="E330" s="15">
        <v>3</v>
      </c>
      <c r="F330" s="31">
        <v>11.224</v>
      </c>
      <c r="G330" s="27">
        <v>0</v>
      </c>
      <c r="I330" s="27">
        <f>AVERAGE(F329:F330)</f>
        <v>10.1525</v>
      </c>
      <c r="J330" s="27">
        <f>AVERAGE(G329:G330)</f>
        <v>0</v>
      </c>
      <c r="L330">
        <f>+J330/I330</f>
        <v>0</v>
      </c>
      <c r="M330">
        <f>+(L330-$L$619)/$L$620</f>
        <v>-0.4255805102422856</v>
      </c>
      <c r="N330">
        <f>+N328+M330</f>
        <v>11.386189973907483</v>
      </c>
    </row>
    <row r="331" spans="1:14">
      <c r="A331" s="15">
        <v>3</v>
      </c>
      <c r="B331" s="75">
        <v>41379</v>
      </c>
      <c r="C331" s="15">
        <v>2013</v>
      </c>
      <c r="D331" s="11" t="s">
        <v>30</v>
      </c>
      <c r="E331" s="15">
        <v>4</v>
      </c>
      <c r="F331" s="32">
        <v>2.968</v>
      </c>
      <c r="G331" s="27">
        <v>0</v>
      </c>
    </row>
    <row r="332" spans="1:14">
      <c r="A332" s="15">
        <v>4</v>
      </c>
      <c r="B332" s="75">
        <v>41379</v>
      </c>
      <c r="C332" s="15">
        <v>2013</v>
      </c>
      <c r="D332" s="11" t="s">
        <v>30</v>
      </c>
      <c r="E332" s="15">
        <v>4</v>
      </c>
      <c r="F332" s="32">
        <v>7.63</v>
      </c>
      <c r="G332" s="27">
        <v>0</v>
      </c>
      <c r="I332" s="27">
        <f>AVERAGE(F331:F332)</f>
        <v>5.2989999999999995</v>
      </c>
      <c r="J332" s="27">
        <f>AVERAGE(G331:G332)</f>
        <v>0</v>
      </c>
      <c r="L332">
        <f>+J332/I332</f>
        <v>0</v>
      </c>
      <c r="M332">
        <f>+(L332-$L$619)/$L$620</f>
        <v>-0.4255805102422856</v>
      </c>
      <c r="N332">
        <f>+N330+M332</f>
        <v>10.960609463665197</v>
      </c>
    </row>
    <row r="333" spans="1:14">
      <c r="A333" s="15">
        <v>3</v>
      </c>
      <c r="B333" s="75">
        <v>41408</v>
      </c>
      <c r="C333" s="15">
        <v>2013</v>
      </c>
      <c r="D333" s="11" t="s">
        <v>31</v>
      </c>
      <c r="E333" s="15">
        <v>5</v>
      </c>
      <c r="F333" s="32">
        <v>3.6080000000000001</v>
      </c>
      <c r="G333" s="27">
        <v>0</v>
      </c>
    </row>
    <row r="334" spans="1:14">
      <c r="A334" s="15">
        <v>4</v>
      </c>
      <c r="B334" s="75">
        <v>41408</v>
      </c>
      <c r="C334" s="15">
        <v>2013</v>
      </c>
      <c r="D334" s="11" t="s">
        <v>31</v>
      </c>
      <c r="E334" s="15">
        <v>5</v>
      </c>
      <c r="F334" s="32">
        <v>8.8130000000000006</v>
      </c>
      <c r="G334" s="27">
        <v>5.8738624999999996E-2</v>
      </c>
      <c r="I334" s="27">
        <f>AVERAGE(F333:F334)</f>
        <v>6.2105000000000006</v>
      </c>
      <c r="J334" s="27">
        <f>AVERAGE(G333:G334)</f>
        <v>2.9369312499999998E-2</v>
      </c>
      <c r="L334">
        <f>+J334/I334</f>
        <v>4.728977135496336E-3</v>
      </c>
      <c r="M334">
        <f>+(L334-$L$619)/$L$620</f>
        <v>-0.25189142057130287</v>
      </c>
      <c r="N334">
        <f>+N332+M334</f>
        <v>10.708718043093894</v>
      </c>
    </row>
    <row r="335" spans="1:14">
      <c r="A335" s="15">
        <v>3</v>
      </c>
      <c r="B335" s="75">
        <v>41436</v>
      </c>
      <c r="C335" s="15">
        <v>2013</v>
      </c>
      <c r="D335" s="11" t="s">
        <v>32</v>
      </c>
      <c r="E335" s="15">
        <v>6</v>
      </c>
      <c r="F335" s="32">
        <v>10.775</v>
      </c>
      <c r="G335" s="27">
        <v>0</v>
      </c>
    </row>
    <row r="336" spans="1:14">
      <c r="A336" s="15">
        <v>4</v>
      </c>
      <c r="B336" s="75">
        <v>41436</v>
      </c>
      <c r="C336" s="15">
        <v>2013</v>
      </c>
      <c r="D336" s="11" t="s">
        <v>32</v>
      </c>
      <c r="E336" s="15">
        <v>6</v>
      </c>
      <c r="F336" s="32">
        <v>14.151</v>
      </c>
      <c r="G336" s="27">
        <v>0</v>
      </c>
      <c r="I336" s="27">
        <f>AVERAGE(F335:F336)</f>
        <v>12.463000000000001</v>
      </c>
      <c r="J336" s="27">
        <f>AVERAGE(G335:G336)</f>
        <v>0</v>
      </c>
      <c r="L336">
        <f>+J336/I336</f>
        <v>0</v>
      </c>
      <c r="M336">
        <f>+(L336-$L$619)/$L$620</f>
        <v>-0.4255805102422856</v>
      </c>
      <c r="N336">
        <f>+N334+M336</f>
        <v>10.283137532851608</v>
      </c>
    </row>
    <row r="337" spans="1:14">
      <c r="A337" s="15">
        <v>3</v>
      </c>
      <c r="B337" s="75">
        <v>41471</v>
      </c>
      <c r="C337" s="15">
        <v>2013</v>
      </c>
      <c r="D337" s="11" t="s">
        <v>33</v>
      </c>
      <c r="E337" s="15">
        <v>7</v>
      </c>
      <c r="F337" s="32">
        <v>32.316000000000003</v>
      </c>
      <c r="G337" s="27">
        <v>0</v>
      </c>
    </row>
    <row r="338" spans="1:14">
      <c r="A338" s="15">
        <v>4</v>
      </c>
      <c r="B338" s="75">
        <v>41471</v>
      </c>
      <c r="C338" s="15">
        <v>2013</v>
      </c>
      <c r="D338" s="11" t="s">
        <v>33</v>
      </c>
      <c r="E338" s="15">
        <v>7</v>
      </c>
      <c r="F338" s="32">
        <v>52.093000000000004</v>
      </c>
      <c r="G338" s="27">
        <v>0</v>
      </c>
      <c r="I338" s="27">
        <f>AVERAGE(F337:F338)</f>
        <v>42.204500000000003</v>
      </c>
      <c r="J338" s="27">
        <f>AVERAGE(G337:G338)</f>
        <v>0</v>
      </c>
      <c r="L338">
        <f>+J338/I338</f>
        <v>0</v>
      </c>
      <c r="M338">
        <f>+(L338-$L$619)/$L$620</f>
        <v>-0.4255805102422856</v>
      </c>
      <c r="N338">
        <f>+N336+M338</f>
        <v>9.8575570226093223</v>
      </c>
    </row>
    <row r="339" spans="1:14">
      <c r="A339" s="15">
        <v>3</v>
      </c>
      <c r="B339" s="75">
        <v>41499</v>
      </c>
      <c r="C339" s="15">
        <v>2013</v>
      </c>
      <c r="D339" s="11" t="s">
        <v>34</v>
      </c>
      <c r="E339" s="15">
        <v>8</v>
      </c>
      <c r="F339" s="32">
        <v>12.627000000000001</v>
      </c>
      <c r="G339" s="27">
        <v>0</v>
      </c>
      <c r="I339" s="27"/>
      <c r="J339" s="27"/>
    </row>
    <row r="340" spans="1:14">
      <c r="A340" s="15">
        <v>4</v>
      </c>
      <c r="B340" s="75">
        <v>41499</v>
      </c>
      <c r="C340" s="15">
        <v>2013</v>
      </c>
      <c r="D340" s="11" t="s">
        <v>34</v>
      </c>
      <c r="E340" s="15">
        <v>8</v>
      </c>
      <c r="F340" s="32">
        <v>19.396000000000001</v>
      </c>
      <c r="G340" s="27">
        <v>0</v>
      </c>
      <c r="I340" s="27">
        <f>AVERAGE(F339:F340)</f>
        <v>16.011500000000002</v>
      </c>
      <c r="J340" s="27">
        <f>AVERAGE(G339:G340)</f>
        <v>0</v>
      </c>
      <c r="L340">
        <f>+J340/I340</f>
        <v>0</v>
      </c>
      <c r="M340">
        <f>+(L340-$L$619)/$L$620</f>
        <v>-0.4255805102422856</v>
      </c>
      <c r="N340">
        <f>+N338+M340</f>
        <v>9.4319765123670365</v>
      </c>
    </row>
    <row r="341" spans="1:14">
      <c r="A341" s="15">
        <v>3</v>
      </c>
      <c r="B341" s="75">
        <v>41533</v>
      </c>
      <c r="C341" s="15">
        <v>2013</v>
      </c>
      <c r="D341" s="11" t="s">
        <v>40</v>
      </c>
      <c r="E341" s="15">
        <v>9</v>
      </c>
      <c r="F341" s="32">
        <v>8.641</v>
      </c>
      <c r="G341" s="27">
        <v>0</v>
      </c>
    </row>
    <row r="342" spans="1:14">
      <c r="A342" s="15">
        <v>4</v>
      </c>
      <c r="B342" s="75">
        <v>41533</v>
      </c>
      <c r="C342" s="15">
        <v>2013</v>
      </c>
      <c r="D342" s="11" t="s">
        <v>40</v>
      </c>
      <c r="E342" s="15">
        <v>9</v>
      </c>
      <c r="F342" s="32">
        <v>9.0589999999999993</v>
      </c>
      <c r="G342" s="27">
        <v>0</v>
      </c>
      <c r="I342" s="27">
        <f>AVERAGE(F341:F342)</f>
        <v>8.85</v>
      </c>
      <c r="J342" s="27">
        <f>AVERAGE(G341:G342)</f>
        <v>0</v>
      </c>
      <c r="L342">
        <f>+J342/I342</f>
        <v>0</v>
      </c>
      <c r="M342">
        <f>+(L342-$L$619)/$L$620</f>
        <v>-0.4255805102422856</v>
      </c>
      <c r="N342">
        <f>+N340+M342</f>
        <v>9.0063960021247507</v>
      </c>
    </row>
    <row r="343" spans="1:14">
      <c r="A343" s="15">
        <v>3</v>
      </c>
      <c r="B343" s="75">
        <v>41569</v>
      </c>
      <c r="C343" s="15">
        <v>2013</v>
      </c>
      <c r="D343" s="11" t="s">
        <v>36</v>
      </c>
      <c r="E343" s="15">
        <v>10</v>
      </c>
      <c r="F343" s="26">
        <v>4.3840000000000003</v>
      </c>
      <c r="G343" s="27">
        <v>0</v>
      </c>
    </row>
    <row r="344" spans="1:14">
      <c r="A344" s="15">
        <v>4</v>
      </c>
      <c r="B344" s="75">
        <v>41569</v>
      </c>
      <c r="C344" s="15">
        <v>2013</v>
      </c>
      <c r="D344" s="11" t="s">
        <v>36</v>
      </c>
      <c r="E344" s="15">
        <v>10</v>
      </c>
      <c r="F344" s="26">
        <v>7.3710000000000004</v>
      </c>
      <c r="G344" s="27">
        <v>0</v>
      </c>
      <c r="I344" s="27">
        <f>AVERAGE(F343:F344)</f>
        <v>5.8775000000000004</v>
      </c>
      <c r="J344" s="27">
        <f>AVERAGE(G343:G344)</f>
        <v>0</v>
      </c>
      <c r="L344">
        <f>+J344/I344</f>
        <v>0</v>
      </c>
      <c r="M344">
        <f>+(L344-$L$619)/$L$620</f>
        <v>-0.4255805102422856</v>
      </c>
      <c r="N344">
        <f>+N342+M344</f>
        <v>8.5808154918824648</v>
      </c>
    </row>
    <row r="345" spans="1:14">
      <c r="A345" s="15">
        <v>3</v>
      </c>
      <c r="B345" s="75">
        <v>41597</v>
      </c>
      <c r="C345" s="15">
        <v>2013</v>
      </c>
      <c r="D345" s="11" t="s">
        <v>37</v>
      </c>
      <c r="E345" s="15">
        <v>11</v>
      </c>
      <c r="F345" s="26">
        <v>2.2610000000000001</v>
      </c>
      <c r="G345" s="27">
        <v>0</v>
      </c>
    </row>
    <row r="346" spans="1:14">
      <c r="A346" s="15">
        <v>4</v>
      </c>
      <c r="B346" s="75">
        <v>41597</v>
      </c>
      <c r="C346" s="15">
        <v>2013</v>
      </c>
      <c r="D346" s="11" t="s">
        <v>37</v>
      </c>
      <c r="E346" s="15">
        <v>11</v>
      </c>
      <c r="F346" s="26">
        <v>2.4009999999999998</v>
      </c>
      <c r="G346" s="27">
        <v>0</v>
      </c>
      <c r="I346" s="27">
        <f>AVERAGE(F345:F346)</f>
        <v>2.331</v>
      </c>
      <c r="J346" s="27">
        <f>AVERAGE(G345:G346)</f>
        <v>0</v>
      </c>
      <c r="L346">
        <f>+J346/I346</f>
        <v>0</v>
      </c>
      <c r="M346">
        <f>+(L346-$L$619)/$L$620</f>
        <v>-0.4255805102422856</v>
      </c>
      <c r="N346">
        <f>+N344+M346</f>
        <v>8.155234981640179</v>
      </c>
    </row>
    <row r="347" spans="1:14">
      <c r="A347" s="15">
        <v>3</v>
      </c>
      <c r="B347" s="75">
        <v>41624</v>
      </c>
      <c r="C347" s="15">
        <v>2013</v>
      </c>
      <c r="D347" s="11" t="s">
        <v>38</v>
      </c>
      <c r="E347" s="15">
        <v>12</v>
      </c>
      <c r="F347" s="26">
        <v>3.7669999999999999</v>
      </c>
      <c r="G347" s="27">
        <v>0</v>
      </c>
    </row>
    <row r="348" spans="1:14">
      <c r="A348" s="15">
        <v>4</v>
      </c>
      <c r="B348" s="75">
        <v>41624</v>
      </c>
      <c r="C348" s="15">
        <v>2013</v>
      </c>
      <c r="D348" s="11" t="s">
        <v>38</v>
      </c>
      <c r="E348" s="15">
        <v>12</v>
      </c>
      <c r="F348" s="26">
        <v>5.1369999999999996</v>
      </c>
      <c r="G348" s="27">
        <v>0</v>
      </c>
      <c r="I348" s="27">
        <f>AVERAGE(F347:F348)</f>
        <v>4.452</v>
      </c>
      <c r="J348" s="27">
        <f>AVERAGE(G347:G348)</f>
        <v>0</v>
      </c>
      <c r="L348">
        <f>+J348/I348</f>
        <v>0</v>
      </c>
      <c r="M348">
        <f>+(L348-$L$619)/$L$620</f>
        <v>-0.4255805102422856</v>
      </c>
      <c r="N348">
        <f>+N346+M348</f>
        <v>7.7296544713978932</v>
      </c>
    </row>
    <row r="349" spans="1:14">
      <c r="A349" s="15">
        <v>3</v>
      </c>
      <c r="B349" s="75">
        <v>41654</v>
      </c>
      <c r="C349" s="15">
        <v>2014</v>
      </c>
      <c r="D349" s="11" t="s">
        <v>39</v>
      </c>
      <c r="E349" s="15">
        <v>1</v>
      </c>
      <c r="F349" s="26">
        <v>3.335</v>
      </c>
      <c r="G349" s="27">
        <v>0</v>
      </c>
      <c r="I349" s="27"/>
      <c r="J349" s="27"/>
    </row>
    <row r="350" spans="1:14">
      <c r="A350" s="15">
        <v>4</v>
      </c>
      <c r="B350" s="75">
        <v>41654</v>
      </c>
      <c r="C350" s="15">
        <v>2014</v>
      </c>
      <c r="D350" s="11" t="s">
        <v>39</v>
      </c>
      <c r="E350" s="15">
        <v>1</v>
      </c>
      <c r="F350" s="26">
        <v>1.752</v>
      </c>
      <c r="G350" s="27">
        <v>0</v>
      </c>
      <c r="I350" s="27">
        <f>AVERAGE(F349:F350)</f>
        <v>2.5434999999999999</v>
      </c>
      <c r="J350" s="27">
        <f>AVERAGE(G349:G350)</f>
        <v>0</v>
      </c>
      <c r="L350">
        <f>+J350/I350</f>
        <v>0</v>
      </c>
      <c r="M350">
        <f>+(L350-$L$619)/$L$620</f>
        <v>-0.4255805102422856</v>
      </c>
      <c r="N350">
        <f>+N348+M350</f>
        <v>7.3040739611556074</v>
      </c>
    </row>
    <row r="351" spans="1:14">
      <c r="A351" s="15">
        <v>3</v>
      </c>
      <c r="B351" s="75">
        <v>41688</v>
      </c>
      <c r="C351" s="15">
        <v>2014</v>
      </c>
      <c r="D351" s="11" t="s">
        <v>28</v>
      </c>
      <c r="E351" s="15">
        <v>2</v>
      </c>
      <c r="F351" s="26">
        <v>4.5439999999999996</v>
      </c>
      <c r="G351" s="27">
        <v>0</v>
      </c>
    </row>
    <row r="352" spans="1:14">
      <c r="A352" s="15">
        <v>4</v>
      </c>
      <c r="B352" s="75">
        <v>41688</v>
      </c>
      <c r="C352" s="15">
        <v>2014</v>
      </c>
      <c r="D352" s="11" t="s">
        <v>28</v>
      </c>
      <c r="E352" s="15">
        <v>2</v>
      </c>
      <c r="F352" s="26">
        <v>5.3250000000000002</v>
      </c>
      <c r="G352" s="27">
        <v>0</v>
      </c>
      <c r="I352" s="27">
        <f>AVERAGE(F351:F352)</f>
        <v>4.9344999999999999</v>
      </c>
      <c r="J352" s="27">
        <f>AVERAGE(G351:G352)</f>
        <v>0</v>
      </c>
      <c r="L352">
        <f>+J352/I352</f>
        <v>0</v>
      </c>
      <c r="M352">
        <f>+(L352-$L$619)/$L$620</f>
        <v>-0.4255805102422856</v>
      </c>
      <c r="N352">
        <f>+N350+M352</f>
        <v>6.8784934509133215</v>
      </c>
    </row>
    <row r="353" spans="1:14">
      <c r="A353" s="15">
        <v>3</v>
      </c>
      <c r="B353" s="75">
        <v>41719</v>
      </c>
      <c r="C353" s="15">
        <v>2014</v>
      </c>
      <c r="D353" s="11" t="s">
        <v>29</v>
      </c>
      <c r="E353" s="15">
        <v>3</v>
      </c>
      <c r="F353" s="26">
        <v>3.1259999999999999</v>
      </c>
      <c r="G353" s="27">
        <v>0</v>
      </c>
    </row>
    <row r="354" spans="1:14">
      <c r="A354" s="15">
        <v>3</v>
      </c>
      <c r="B354" s="75">
        <v>41719</v>
      </c>
      <c r="C354" s="15">
        <v>2014</v>
      </c>
      <c r="D354" s="11" t="s">
        <v>29</v>
      </c>
      <c r="E354" s="15">
        <v>3</v>
      </c>
      <c r="F354" s="26">
        <v>3.1259999999999999</v>
      </c>
      <c r="G354" s="27">
        <v>0</v>
      </c>
      <c r="H354" t="s">
        <v>13</v>
      </c>
      <c r="I354" s="27">
        <f>AVERAGE(F353:F354)</f>
        <v>3.1259999999999999</v>
      </c>
      <c r="J354" s="27">
        <f>AVERAGE(G353:G354)</f>
        <v>0</v>
      </c>
      <c r="L354">
        <f>+J354/I354</f>
        <v>0</v>
      </c>
      <c r="M354">
        <f>+(L354-$L$619)/$L$620</f>
        <v>-0.4255805102422856</v>
      </c>
      <c r="N354">
        <f>+N352+M354</f>
        <v>6.4529129406710357</v>
      </c>
    </row>
    <row r="355" spans="1:14">
      <c r="A355" s="15">
        <v>4</v>
      </c>
      <c r="B355" s="75">
        <v>41719</v>
      </c>
      <c r="C355" s="15">
        <v>2014</v>
      </c>
      <c r="D355" s="11" t="s">
        <v>29</v>
      </c>
      <c r="E355" s="15">
        <v>3</v>
      </c>
      <c r="F355" s="26">
        <v>3.1909999999999998</v>
      </c>
      <c r="G355" s="27">
        <v>0</v>
      </c>
    </row>
    <row r="356" spans="1:14">
      <c r="A356" s="15">
        <v>3</v>
      </c>
      <c r="B356" s="75">
        <v>41747</v>
      </c>
      <c r="C356" s="15">
        <v>2014</v>
      </c>
      <c r="D356" s="11" t="s">
        <v>30</v>
      </c>
      <c r="E356" s="15">
        <v>4</v>
      </c>
      <c r="F356" s="33">
        <v>2.645</v>
      </c>
      <c r="G356" s="27">
        <v>0</v>
      </c>
      <c r="I356" s="27">
        <f>AVERAGE(F355:F356)</f>
        <v>2.9180000000000001</v>
      </c>
      <c r="J356" s="27">
        <f>AVERAGE(G355:G356)</f>
        <v>0</v>
      </c>
      <c r="L356">
        <f>+J356/I356</f>
        <v>0</v>
      </c>
      <c r="M356">
        <f>+(L356-$L$619)/$L$620</f>
        <v>-0.4255805102422856</v>
      </c>
      <c r="N356">
        <f>+N354+M356</f>
        <v>6.0273324304287499</v>
      </c>
    </row>
    <row r="357" spans="1:14">
      <c r="A357" s="15">
        <v>4</v>
      </c>
      <c r="B357" s="75">
        <v>41747</v>
      </c>
      <c r="C357" s="15">
        <v>2014</v>
      </c>
      <c r="D357" s="11" t="s">
        <v>30</v>
      </c>
      <c r="E357" s="15">
        <v>4</v>
      </c>
      <c r="F357" s="33">
        <v>6.6870000000000003</v>
      </c>
      <c r="G357" s="27">
        <v>0</v>
      </c>
      <c r="I357" s="27"/>
      <c r="J357" s="27"/>
    </row>
    <row r="358" spans="1:14">
      <c r="A358" s="15">
        <v>3</v>
      </c>
      <c r="B358" s="75">
        <v>41772</v>
      </c>
      <c r="C358" s="15">
        <v>2014</v>
      </c>
      <c r="D358" s="11" t="s">
        <v>31</v>
      </c>
      <c r="E358" s="15">
        <v>5</v>
      </c>
      <c r="F358" s="33">
        <v>4.24</v>
      </c>
      <c r="G358" s="27">
        <v>0</v>
      </c>
      <c r="I358" s="27">
        <f>AVERAGE(F357:F358)</f>
        <v>5.4634999999999998</v>
      </c>
      <c r="J358" s="27">
        <f>AVERAGE(G357:G358)</f>
        <v>0</v>
      </c>
      <c r="L358">
        <f>+J358/I358</f>
        <v>0</v>
      </c>
      <c r="M358">
        <f>+(L358-$L$619)/$L$620</f>
        <v>-0.4255805102422856</v>
      </c>
      <c r="N358">
        <f>+N356+M358</f>
        <v>5.6017519201864641</v>
      </c>
    </row>
    <row r="359" spans="1:14">
      <c r="A359" s="15">
        <v>4</v>
      </c>
      <c r="B359" s="75">
        <v>41772</v>
      </c>
      <c r="C359" s="15">
        <v>2014</v>
      </c>
      <c r="D359" s="11" t="s">
        <v>31</v>
      </c>
      <c r="E359" s="15">
        <v>5</v>
      </c>
      <c r="F359" s="33">
        <v>3.7629999999999999</v>
      </c>
      <c r="G359" s="27">
        <v>0</v>
      </c>
      <c r="I359" s="27"/>
      <c r="J359" s="27"/>
    </row>
    <row r="360" spans="1:14">
      <c r="A360" s="15">
        <v>3</v>
      </c>
      <c r="B360" s="75">
        <v>41808</v>
      </c>
      <c r="C360" s="15">
        <v>2014</v>
      </c>
      <c r="D360" s="11" t="s">
        <v>32</v>
      </c>
      <c r="E360" s="15">
        <v>6</v>
      </c>
      <c r="F360" s="33">
        <v>8.3550000000000004</v>
      </c>
      <c r="G360" s="27">
        <v>0</v>
      </c>
      <c r="I360" s="27">
        <f>AVERAGE(F359:F360)</f>
        <v>6.0590000000000002</v>
      </c>
      <c r="J360" s="27">
        <f>AVERAGE(G359:G360)</f>
        <v>0</v>
      </c>
      <c r="L360">
        <f>+J360/I360</f>
        <v>0</v>
      </c>
      <c r="M360">
        <f>+(L360-$L$619)/$L$620</f>
        <v>-0.4255805102422856</v>
      </c>
      <c r="N360">
        <f>+N358+M360</f>
        <v>5.1761714099441782</v>
      </c>
    </row>
    <row r="361" spans="1:14">
      <c r="A361" s="15">
        <v>4</v>
      </c>
      <c r="B361" s="75">
        <v>41808</v>
      </c>
      <c r="C361" s="15">
        <v>2014</v>
      </c>
      <c r="D361" s="11" t="s">
        <v>32</v>
      </c>
      <c r="E361" s="15">
        <v>6</v>
      </c>
      <c r="F361" s="33">
        <v>10.061999999999999</v>
      </c>
      <c r="G361" s="27">
        <v>0</v>
      </c>
    </row>
    <row r="362" spans="1:14">
      <c r="A362" s="15">
        <v>3</v>
      </c>
      <c r="B362" s="75">
        <v>41834</v>
      </c>
      <c r="C362" s="15">
        <v>2014</v>
      </c>
      <c r="D362" s="11" t="s">
        <v>33</v>
      </c>
      <c r="E362" s="15">
        <v>7</v>
      </c>
      <c r="F362" s="33">
        <v>14.663</v>
      </c>
      <c r="G362" s="27">
        <v>0</v>
      </c>
      <c r="I362" s="27">
        <f>AVERAGE(F361:F362)</f>
        <v>12.362500000000001</v>
      </c>
      <c r="J362" s="27">
        <f>AVERAGE(G361:G362)</f>
        <v>0</v>
      </c>
      <c r="L362">
        <f>+J362/I362</f>
        <v>0</v>
      </c>
      <c r="M362">
        <f>+(L362-$L$619)/$L$620</f>
        <v>-0.4255805102422856</v>
      </c>
      <c r="N362">
        <f>+N360+M362</f>
        <v>4.7505908997018924</v>
      </c>
    </row>
    <row r="363" spans="1:14">
      <c r="A363" s="15">
        <v>4</v>
      </c>
      <c r="B363" s="75">
        <v>41834</v>
      </c>
      <c r="C363" s="15">
        <v>2014</v>
      </c>
      <c r="D363" s="11" t="s">
        <v>33</v>
      </c>
      <c r="E363" s="15">
        <v>7</v>
      </c>
      <c r="F363" s="33">
        <v>17.713999999999999</v>
      </c>
      <c r="G363" s="27">
        <v>0</v>
      </c>
    </row>
    <row r="364" spans="1:14">
      <c r="A364" s="15">
        <v>3</v>
      </c>
      <c r="B364" s="75">
        <v>41864</v>
      </c>
      <c r="C364" s="15">
        <v>2014</v>
      </c>
      <c r="D364" s="11" t="s">
        <v>34</v>
      </c>
      <c r="E364" s="15">
        <v>8</v>
      </c>
      <c r="F364" s="33">
        <v>17.297999999999998</v>
      </c>
      <c r="G364" s="27">
        <v>0</v>
      </c>
      <c r="I364" s="27">
        <f>AVERAGE(F363:F364)</f>
        <v>17.506</v>
      </c>
      <c r="J364" s="27">
        <f>AVERAGE(G363:G364)</f>
        <v>0</v>
      </c>
      <c r="L364">
        <f>+J364/I364</f>
        <v>0</v>
      </c>
      <c r="M364">
        <f>+(L364-$L$619)/$L$620</f>
        <v>-0.4255805102422856</v>
      </c>
      <c r="N364">
        <f>+N362+M364</f>
        <v>4.3250103894596066</v>
      </c>
    </row>
    <row r="365" spans="1:14">
      <c r="A365" s="15">
        <v>4</v>
      </c>
      <c r="B365" s="75">
        <v>41864</v>
      </c>
      <c r="C365" s="15">
        <v>2014</v>
      </c>
      <c r="D365" s="11" t="s">
        <v>34</v>
      </c>
      <c r="E365" s="15">
        <v>8</v>
      </c>
      <c r="F365" s="33">
        <v>17.457999999999998</v>
      </c>
      <c r="G365" s="27">
        <v>0</v>
      </c>
    </row>
    <row r="366" spans="1:14">
      <c r="A366" s="15">
        <v>3</v>
      </c>
      <c r="B366" s="75">
        <v>41898</v>
      </c>
      <c r="C366" s="15">
        <v>2014</v>
      </c>
      <c r="D366" s="11" t="s">
        <v>40</v>
      </c>
      <c r="E366" s="15">
        <v>9</v>
      </c>
      <c r="F366" s="33">
        <v>10.042999999999999</v>
      </c>
      <c r="G366" s="27">
        <v>0</v>
      </c>
      <c r="I366" s="27">
        <f>AVERAGE(F365:F366)</f>
        <v>13.750499999999999</v>
      </c>
      <c r="J366" s="27">
        <f>AVERAGE(G365:G366)</f>
        <v>0</v>
      </c>
      <c r="L366">
        <f>+J366/I366</f>
        <v>0</v>
      </c>
      <c r="M366">
        <f>+(L366-$L$619)/$L$620</f>
        <v>-0.4255805102422856</v>
      </c>
      <c r="N366">
        <f>+N364+M366</f>
        <v>3.8994298792173208</v>
      </c>
    </row>
    <row r="367" spans="1:14">
      <c r="A367" s="15">
        <v>4</v>
      </c>
      <c r="B367" s="75">
        <v>41898</v>
      </c>
      <c r="C367" s="15">
        <v>2014</v>
      </c>
      <c r="D367" s="11" t="s">
        <v>40</v>
      </c>
      <c r="E367" s="15">
        <v>9</v>
      </c>
      <c r="F367" s="33">
        <v>12.87</v>
      </c>
      <c r="G367" s="27">
        <v>0</v>
      </c>
      <c r="I367" s="27"/>
      <c r="J367" s="27"/>
    </row>
    <row r="368" spans="1:14">
      <c r="A368" s="15">
        <v>3</v>
      </c>
      <c r="B368" s="75">
        <v>41929</v>
      </c>
      <c r="C368" s="15">
        <v>2014</v>
      </c>
      <c r="D368" s="11" t="s">
        <v>36</v>
      </c>
      <c r="E368" s="15">
        <v>10</v>
      </c>
      <c r="F368" s="26">
        <v>1.6759999999999999</v>
      </c>
      <c r="G368" s="27">
        <v>0</v>
      </c>
      <c r="I368" s="27">
        <f>AVERAGE(F367:F368)</f>
        <v>7.2729999999999997</v>
      </c>
      <c r="J368" s="27">
        <f>AVERAGE(G367:G368)</f>
        <v>0</v>
      </c>
      <c r="L368">
        <f>+J368/I368</f>
        <v>0</v>
      </c>
      <c r="M368">
        <f>+(L368-$L$619)/$L$620</f>
        <v>-0.4255805102422856</v>
      </c>
      <c r="N368">
        <f>+N366+M368</f>
        <v>3.4738493689750349</v>
      </c>
    </row>
    <row r="369" spans="1:14">
      <c r="A369" s="15">
        <v>4</v>
      </c>
      <c r="B369" s="75">
        <v>41929</v>
      </c>
      <c r="C369" s="15">
        <v>2014</v>
      </c>
      <c r="D369" s="11" t="s">
        <v>36</v>
      </c>
      <c r="E369" s="15">
        <v>10</v>
      </c>
      <c r="F369" s="26">
        <v>4.0270000000000001</v>
      </c>
      <c r="G369" s="27">
        <v>0</v>
      </c>
      <c r="I369" s="27"/>
      <c r="J369" s="27"/>
    </row>
    <row r="370" spans="1:14">
      <c r="A370" s="15">
        <v>3</v>
      </c>
      <c r="B370" s="75">
        <v>41953</v>
      </c>
      <c r="C370" s="15">
        <v>2014</v>
      </c>
      <c r="D370" s="11" t="s">
        <v>37</v>
      </c>
      <c r="E370" s="15">
        <v>11</v>
      </c>
      <c r="F370" s="26">
        <v>1.635</v>
      </c>
      <c r="G370" s="27">
        <v>0</v>
      </c>
      <c r="I370" s="27">
        <f>AVERAGE(F369:F370)</f>
        <v>2.831</v>
      </c>
      <c r="J370" s="27">
        <f>AVERAGE(G369:G370)</f>
        <v>0</v>
      </c>
      <c r="L370">
        <f>+J370/I370</f>
        <v>0</v>
      </c>
      <c r="M370">
        <f>+(L370-$L$619)/$L$620</f>
        <v>-0.4255805102422856</v>
      </c>
      <c r="N370">
        <f>+N368+M370</f>
        <v>3.0482688587327491</v>
      </c>
    </row>
    <row r="371" spans="1:14">
      <c r="A371" s="15">
        <v>3</v>
      </c>
      <c r="B371" s="75">
        <v>41953</v>
      </c>
      <c r="C371" s="15">
        <v>2014</v>
      </c>
      <c r="D371" s="11" t="s">
        <v>37</v>
      </c>
      <c r="E371" s="15">
        <v>11</v>
      </c>
      <c r="F371" s="26">
        <v>1.635</v>
      </c>
      <c r="G371" s="27">
        <v>0</v>
      </c>
    </row>
    <row r="372" spans="1:14">
      <c r="A372" s="15">
        <v>4</v>
      </c>
      <c r="B372" s="75">
        <v>41953</v>
      </c>
      <c r="C372" s="15">
        <v>2014</v>
      </c>
      <c r="D372" s="11" t="s">
        <v>37</v>
      </c>
      <c r="E372" s="15">
        <v>11</v>
      </c>
      <c r="F372" s="26">
        <v>2.0110000000000001</v>
      </c>
      <c r="G372" s="27">
        <v>0</v>
      </c>
      <c r="I372" s="27">
        <f>AVERAGE(F371:F372)</f>
        <v>1.823</v>
      </c>
      <c r="J372" s="27">
        <f>AVERAGE(G371:G372)</f>
        <v>0</v>
      </c>
      <c r="L372">
        <f>+J372/I372</f>
        <v>0</v>
      </c>
      <c r="M372">
        <f>+(L372-$L$619)/$L$620</f>
        <v>-0.4255805102422856</v>
      </c>
      <c r="N372">
        <f>+N370+M372</f>
        <v>2.6226883484904633</v>
      </c>
    </row>
    <row r="373" spans="1:14">
      <c r="A373" s="15">
        <v>3</v>
      </c>
      <c r="B373" s="75">
        <v>41988</v>
      </c>
      <c r="C373" s="15">
        <v>2014</v>
      </c>
      <c r="D373" s="11" t="s">
        <v>38</v>
      </c>
      <c r="E373" s="15">
        <v>12</v>
      </c>
      <c r="F373" s="26">
        <v>5.5650000000000004</v>
      </c>
      <c r="G373" s="27">
        <v>0</v>
      </c>
    </row>
    <row r="374" spans="1:14">
      <c r="A374" s="15">
        <v>4</v>
      </c>
      <c r="B374" s="75">
        <v>41988</v>
      </c>
      <c r="C374" s="15">
        <v>2014</v>
      </c>
      <c r="D374" s="11" t="s">
        <v>38</v>
      </c>
      <c r="E374" s="15">
        <v>12</v>
      </c>
      <c r="F374" s="26">
        <v>3.9420000000000002</v>
      </c>
      <c r="G374" s="27">
        <v>0</v>
      </c>
      <c r="I374" s="27">
        <f>AVERAGE(F373:F374)</f>
        <v>4.7535000000000007</v>
      </c>
      <c r="J374" s="27">
        <f>AVERAGE(G373:G374)</f>
        <v>0</v>
      </c>
      <c r="L374">
        <f>+J374/I374</f>
        <v>0</v>
      </c>
      <c r="M374">
        <f>+(L374-$L$619)/$L$620</f>
        <v>-0.4255805102422856</v>
      </c>
      <c r="N374">
        <f>+N372+M374</f>
        <v>2.1971078382481775</v>
      </c>
    </row>
    <row r="375" spans="1:14">
      <c r="A375" s="15">
        <v>3</v>
      </c>
      <c r="B375" s="70">
        <v>42014</v>
      </c>
      <c r="E375" s="15">
        <v>1</v>
      </c>
      <c r="F375" s="79">
        <v>3.7789999999999999</v>
      </c>
      <c r="G375" s="79">
        <v>4.0000000000000001E-3</v>
      </c>
    </row>
    <row r="376" spans="1:14">
      <c r="A376" s="15">
        <v>4</v>
      </c>
      <c r="B376" s="70">
        <v>42009</v>
      </c>
      <c r="E376" s="15">
        <v>1</v>
      </c>
      <c r="F376" s="79">
        <v>2.9020000000000001</v>
      </c>
      <c r="G376" s="79">
        <v>6.0000000000000001E-3</v>
      </c>
      <c r="I376" s="27">
        <f>AVERAGE(F375:F376)</f>
        <v>3.3405</v>
      </c>
      <c r="J376" s="27">
        <f>AVERAGE(G375:G376)</f>
        <v>5.0000000000000001E-3</v>
      </c>
      <c r="L376">
        <f>+J376/I376</f>
        <v>1.4967819188744201E-3</v>
      </c>
      <c r="M376">
        <f>+(L376-$L$619)/$L$620</f>
        <v>-0.37060568556532114</v>
      </c>
      <c r="N376">
        <f>+N374+M376</f>
        <v>1.8265021526828562</v>
      </c>
    </row>
    <row r="377" spans="1:14">
      <c r="A377" s="15">
        <v>3</v>
      </c>
      <c r="B377" s="71">
        <v>42036</v>
      </c>
      <c r="E377" s="15">
        <v>2</v>
      </c>
    </row>
    <row r="378" spans="1:14">
      <c r="A378" s="15">
        <v>4</v>
      </c>
      <c r="B378" s="71">
        <v>42036</v>
      </c>
      <c r="E378" s="15">
        <v>2</v>
      </c>
      <c r="I378" s="27"/>
      <c r="J378" s="27"/>
    </row>
    <row r="379" spans="1:14">
      <c r="A379" s="15">
        <v>3</v>
      </c>
      <c r="B379" s="71">
        <v>42064</v>
      </c>
      <c r="E379" s="15">
        <v>3</v>
      </c>
      <c r="F379" s="79">
        <v>8.7080000000000002</v>
      </c>
      <c r="G379" s="79">
        <v>0.02</v>
      </c>
      <c r="I379" s="27"/>
      <c r="J379" s="27"/>
    </row>
    <row r="380" spans="1:14">
      <c r="A380" s="15">
        <v>3</v>
      </c>
      <c r="B380" s="71">
        <v>42064</v>
      </c>
      <c r="E380" s="15">
        <v>3</v>
      </c>
      <c r="F380" s="79">
        <v>9.9090000000000007</v>
      </c>
      <c r="G380" s="79">
        <v>2.5000000000000001E-2</v>
      </c>
      <c r="I380" s="27">
        <f>AVERAGE(F379:F380)</f>
        <v>9.3085000000000004</v>
      </c>
      <c r="J380" s="27">
        <f>AVERAGE(G379:G380)</f>
        <v>2.2499999999999999E-2</v>
      </c>
      <c r="L380">
        <f>+J380/I380</f>
        <v>2.4171456195949937E-3</v>
      </c>
      <c r="M380">
        <f>+(L380-$L$619)/$L$620</f>
        <v>-0.33680194138046043</v>
      </c>
      <c r="N380">
        <f>+N376+M380</f>
        <v>1.4897002113023958</v>
      </c>
    </row>
    <row r="381" spans="1:14">
      <c r="A381" s="15">
        <v>4</v>
      </c>
      <c r="B381" s="71">
        <v>42095</v>
      </c>
      <c r="E381" s="15">
        <v>4</v>
      </c>
      <c r="F381" s="79">
        <v>3.0750000000000002</v>
      </c>
      <c r="G381" s="79">
        <v>7.0000000000000001E-3</v>
      </c>
      <c r="I381" s="27"/>
      <c r="J381" s="27"/>
    </row>
    <row r="382" spans="1:14">
      <c r="A382" s="15">
        <v>3</v>
      </c>
      <c r="B382" s="71">
        <v>42095</v>
      </c>
      <c r="E382" s="15">
        <v>4</v>
      </c>
      <c r="F382" s="79">
        <v>6.2859999999999996</v>
      </c>
      <c r="G382" s="79">
        <v>5.2999999999999999E-2</v>
      </c>
      <c r="I382" s="27">
        <f>AVERAGE(F381:F382)</f>
        <v>4.6805000000000003</v>
      </c>
      <c r="J382" s="27">
        <f>AVERAGE(G381:G382)</f>
        <v>0.03</v>
      </c>
      <c r="L382">
        <f>+J382/I382</f>
        <v>6.4095716269629305E-3</v>
      </c>
      <c r="M382">
        <f>+(L382-$L$619)/$L$620</f>
        <v>-0.19016540266822329</v>
      </c>
      <c r="N382">
        <f>+N380+M382</f>
        <v>1.2995348086341725</v>
      </c>
    </row>
    <row r="383" spans="1:14">
      <c r="A383" s="15">
        <v>4</v>
      </c>
      <c r="B383" s="71">
        <v>42125</v>
      </c>
      <c r="E383" s="15">
        <v>5</v>
      </c>
      <c r="F383" s="79">
        <v>5.4480000000000004</v>
      </c>
      <c r="G383" s="79">
        <v>0.14199999999999999</v>
      </c>
    </row>
    <row r="384" spans="1:14">
      <c r="A384" s="15">
        <v>3</v>
      </c>
      <c r="B384" s="71">
        <v>42125</v>
      </c>
      <c r="E384" s="15">
        <v>5</v>
      </c>
      <c r="F384" s="79">
        <v>10.345000000000001</v>
      </c>
      <c r="G384" s="79">
        <v>0.46899999999999997</v>
      </c>
      <c r="I384" s="27">
        <f>AVERAGE(F383:F384)</f>
        <v>7.8965000000000005</v>
      </c>
      <c r="J384" s="27">
        <f>AVERAGE(G383:G384)</f>
        <v>0.30549999999999999</v>
      </c>
      <c r="L384">
        <f>+J384/I384</f>
        <v>3.8688026340783888E-2</v>
      </c>
      <c r="M384">
        <f>+(L384-$L$619)/$L$620</f>
        <v>0.99537964324606054</v>
      </c>
      <c r="N384">
        <f>+N382+M384</f>
        <v>2.2949144518802331</v>
      </c>
    </row>
    <row r="385" spans="1:14">
      <c r="A385" s="15">
        <v>4</v>
      </c>
      <c r="B385" s="71">
        <v>42156</v>
      </c>
      <c r="E385" s="15">
        <v>6</v>
      </c>
      <c r="F385" s="79">
        <v>7.9829999999999997</v>
      </c>
      <c r="G385" s="79">
        <v>1.4E-2</v>
      </c>
    </row>
    <row r="386" spans="1:14">
      <c r="A386" s="15">
        <v>3</v>
      </c>
      <c r="B386" s="71">
        <v>42156</v>
      </c>
      <c r="E386" s="15">
        <v>6</v>
      </c>
      <c r="F386" s="79">
        <v>12.726000000000001</v>
      </c>
      <c r="G386" s="79">
        <v>2.3E-2</v>
      </c>
      <c r="I386" s="27">
        <f>AVERAGE(F385:F386)</f>
        <v>10.3545</v>
      </c>
      <c r="J386" s="27">
        <f>AVERAGE(G385:G386)</f>
        <v>1.8499999999999999E-2</v>
      </c>
      <c r="L386">
        <f>+J386/I386</f>
        <v>1.7866628036119561E-3</v>
      </c>
      <c r="M386">
        <f>+(L386-$L$619)/$L$620</f>
        <v>-0.35995874320538579</v>
      </c>
      <c r="N386">
        <f>+N384+M386</f>
        <v>1.9349557086748472</v>
      </c>
    </row>
    <row r="387" spans="1:14">
      <c r="A387" s="15">
        <v>4</v>
      </c>
      <c r="B387" s="71">
        <v>42186</v>
      </c>
      <c r="E387" s="15">
        <v>7</v>
      </c>
      <c r="F387" s="79">
        <v>13.734</v>
      </c>
      <c r="G387" s="79">
        <v>2.4E-2</v>
      </c>
    </row>
    <row r="388" spans="1:14">
      <c r="A388" s="15">
        <v>3</v>
      </c>
      <c r="B388" s="71">
        <v>42186</v>
      </c>
      <c r="E388" s="15">
        <v>7</v>
      </c>
      <c r="F388" s="79">
        <v>11.561999999999999</v>
      </c>
      <c r="G388" s="79">
        <v>2.7E-2</v>
      </c>
      <c r="I388" s="27">
        <f>AVERAGE(F387:F388)</f>
        <v>12.648</v>
      </c>
      <c r="J388" s="27">
        <f>AVERAGE(G387:G388)</f>
        <v>2.5500000000000002E-2</v>
      </c>
      <c r="L388">
        <f>+J388/I388</f>
        <v>2.0161290322580649E-3</v>
      </c>
      <c r="M388">
        <f>+(L388-$L$619)/$L$620</f>
        <v>-0.35153075143849533</v>
      </c>
      <c r="N388">
        <f>+N386+M388</f>
        <v>1.5834249572363519</v>
      </c>
    </row>
    <row r="389" spans="1:14">
      <c r="A389" s="15">
        <v>4</v>
      </c>
      <c r="B389" s="71">
        <v>42217</v>
      </c>
      <c r="E389" s="15">
        <v>8</v>
      </c>
      <c r="F389" s="79">
        <v>16.381</v>
      </c>
      <c r="G389" s="79">
        <v>5.0999999999999997E-2</v>
      </c>
      <c r="I389" s="27"/>
      <c r="J389" s="27"/>
    </row>
    <row r="390" spans="1:14">
      <c r="A390" s="15">
        <v>3</v>
      </c>
      <c r="B390" s="71">
        <v>42217</v>
      </c>
      <c r="E390" s="15">
        <v>8</v>
      </c>
      <c r="F390" s="79">
        <v>25.786999999999999</v>
      </c>
      <c r="G390" s="79">
        <v>3.5999999999999997E-2</v>
      </c>
      <c r="I390" s="27">
        <f>AVERAGE(F389:F390)</f>
        <v>21.084</v>
      </c>
      <c r="J390" s="27">
        <f>AVERAGE(G389:G390)</f>
        <v>4.3499999999999997E-2</v>
      </c>
      <c r="L390">
        <f>+J390/I390</f>
        <v>2.0631758679567442E-3</v>
      </c>
      <c r="M390">
        <f>+(L390-$L$619)/$L$620</f>
        <v>-0.34980278324785485</v>
      </c>
      <c r="N390">
        <f>+N388+M390</f>
        <v>1.2336221739884969</v>
      </c>
    </row>
    <row r="391" spans="1:14">
      <c r="A391" s="15">
        <v>4</v>
      </c>
      <c r="B391" s="71">
        <v>42248</v>
      </c>
      <c r="E391" s="15">
        <v>9</v>
      </c>
      <c r="F391" s="79">
        <v>11.849</v>
      </c>
      <c r="G391" s="79">
        <v>1.7999999999999999E-2</v>
      </c>
      <c r="I391" s="27"/>
      <c r="J391" s="27"/>
    </row>
    <row r="392" spans="1:14">
      <c r="A392" s="15">
        <v>3</v>
      </c>
      <c r="B392" s="71">
        <v>42248</v>
      </c>
      <c r="E392" s="15">
        <v>9</v>
      </c>
      <c r="F392" s="79">
        <v>14.278</v>
      </c>
      <c r="G392" s="79">
        <v>3.3000000000000002E-2</v>
      </c>
      <c r="I392" s="27">
        <f>AVERAGE(F391:F392)</f>
        <v>13.063500000000001</v>
      </c>
      <c r="J392" s="27">
        <f>AVERAGE(G391:G392)</f>
        <v>2.5500000000000002E-2</v>
      </c>
      <c r="L392">
        <f>+J392/I392</f>
        <v>1.9520036743598576E-3</v>
      </c>
      <c r="M392">
        <f>+(L392-$L$619)/$L$620</f>
        <v>-0.3538859912121376</v>
      </c>
      <c r="N392">
        <f>+N390+M392</f>
        <v>0.87973618277635934</v>
      </c>
    </row>
    <row r="393" spans="1:14">
      <c r="A393" s="15">
        <v>4</v>
      </c>
      <c r="B393" s="71">
        <v>42278</v>
      </c>
      <c r="E393" s="15">
        <v>10</v>
      </c>
      <c r="F393" s="79">
        <v>4.944</v>
      </c>
      <c r="G393" s="79">
        <v>8.9999999999999993E-3</v>
      </c>
    </row>
    <row r="394" spans="1:14">
      <c r="A394" s="15">
        <v>3</v>
      </c>
      <c r="B394" s="71">
        <v>42278</v>
      </c>
      <c r="E394" s="15">
        <v>10</v>
      </c>
      <c r="F394" s="79">
        <v>4.3559999999999999</v>
      </c>
      <c r="G394" s="79">
        <v>2.3E-2</v>
      </c>
      <c r="I394" s="27">
        <f>AVERAGE(F393:F394)</f>
        <v>4.6500000000000004</v>
      </c>
      <c r="J394" s="27">
        <f>AVERAGE(G393:G394)</f>
        <v>1.6E-2</v>
      </c>
      <c r="L394">
        <f>+J394/I394</f>
        <v>3.4408602150537634E-3</v>
      </c>
      <c r="M394">
        <f>+(L394-$L$619)/$L$620</f>
        <v>-0.29920225521715027</v>
      </c>
      <c r="N394">
        <f>+N392+M394</f>
        <v>0.58053392755920907</v>
      </c>
    </row>
    <row r="395" spans="1:14">
      <c r="A395" s="15">
        <v>4</v>
      </c>
      <c r="B395" s="71">
        <v>42309</v>
      </c>
      <c r="E395" s="15">
        <v>11</v>
      </c>
      <c r="F395" s="79">
        <v>1.528</v>
      </c>
      <c r="G395" s="79">
        <v>9.9989999999999996E-4</v>
      </c>
    </row>
    <row r="396" spans="1:14">
      <c r="A396" s="15">
        <v>3</v>
      </c>
      <c r="B396" s="71">
        <v>42309</v>
      </c>
      <c r="E396" s="15">
        <v>11</v>
      </c>
      <c r="F396" s="79">
        <v>2.06</v>
      </c>
      <c r="G396" s="79">
        <v>1.2E-2</v>
      </c>
      <c r="I396" s="27">
        <f>AVERAGE(F395:F396)</f>
        <v>1.794</v>
      </c>
      <c r="J396" s="27">
        <f>AVERAGE(G395:G396)</f>
        <v>6.49995E-3</v>
      </c>
      <c r="L396">
        <f>+J396/I396</f>
        <v>3.6231605351170568E-3</v>
      </c>
      <c r="M396">
        <f>+(L396-$L$619)/$L$620</f>
        <v>-0.29250660503080211</v>
      </c>
      <c r="N396">
        <f>+N394+M396</f>
        <v>0.28802732252840696</v>
      </c>
    </row>
    <row r="397" spans="1:14">
      <c r="A397" s="15">
        <v>3</v>
      </c>
      <c r="B397" s="72">
        <v>42339</v>
      </c>
      <c r="E397" s="15">
        <v>12</v>
      </c>
      <c r="F397" s="79">
        <v>3.9089999999999998</v>
      </c>
      <c r="G397" s="79">
        <v>9.9989999999999996E-4</v>
      </c>
    </row>
    <row r="398" spans="1:14">
      <c r="A398" s="15">
        <v>4</v>
      </c>
      <c r="B398" s="71">
        <v>42339</v>
      </c>
      <c r="E398" s="15">
        <v>12</v>
      </c>
      <c r="F398" s="79">
        <v>21.616</v>
      </c>
      <c r="G398" s="79">
        <v>1.6E-2</v>
      </c>
      <c r="I398" s="27">
        <f>AVERAGE(F397:F398)</f>
        <v>12.762499999999999</v>
      </c>
      <c r="J398" s="27">
        <f>AVERAGE(G397:G398)</f>
        <v>8.4999500000000009E-3</v>
      </c>
      <c r="L398">
        <f>+J398/I398</f>
        <v>6.6600979431929487E-4</v>
      </c>
      <c r="M398">
        <f>+(L398-$L$619)/$L$620</f>
        <v>-0.40111884938565395</v>
      </c>
      <c r="N398">
        <f>+N396+M398</f>
        <v>-0.11309152685724699</v>
      </c>
    </row>
    <row r="399" spans="1:14">
      <c r="A399" s="15">
        <v>3</v>
      </c>
      <c r="B399" s="70">
        <v>42379</v>
      </c>
      <c r="E399" s="15">
        <v>1</v>
      </c>
      <c r="F399" s="80">
        <v>3.625</v>
      </c>
      <c r="G399" s="80">
        <v>1.4E-2</v>
      </c>
    </row>
    <row r="400" spans="1:14">
      <c r="A400" s="15">
        <v>4</v>
      </c>
      <c r="B400" s="70">
        <v>42374</v>
      </c>
      <c r="E400" s="15">
        <v>1</v>
      </c>
      <c r="F400" s="80">
        <v>5.08</v>
      </c>
      <c r="G400" s="80">
        <v>2.7E-2</v>
      </c>
      <c r="I400" s="27">
        <f>AVERAGE(F399:F400)</f>
        <v>4.3525</v>
      </c>
      <c r="J400" s="27">
        <f>AVERAGE(G399:G400)</f>
        <v>2.0500000000000001E-2</v>
      </c>
      <c r="L400">
        <f>+J400/I400</f>
        <v>4.7099368179207351E-3</v>
      </c>
      <c r="M400">
        <f>+(L400-$L$619)/$L$620</f>
        <v>-0.2525907463096172</v>
      </c>
      <c r="N400">
        <f>+N398+M400</f>
        <v>-0.36568227316686419</v>
      </c>
    </row>
    <row r="401" spans="1:14">
      <c r="A401" s="15">
        <v>3</v>
      </c>
      <c r="B401" s="71">
        <v>42401</v>
      </c>
      <c r="E401" s="15">
        <v>2</v>
      </c>
      <c r="F401" s="80">
        <v>13.26</v>
      </c>
      <c r="G401" s="80">
        <v>7.0000000000000001E-3</v>
      </c>
      <c r="I401" s="27"/>
      <c r="J401" s="27"/>
    </row>
    <row r="402" spans="1:14">
      <c r="A402" s="15">
        <v>4</v>
      </c>
      <c r="B402" s="71">
        <v>42401</v>
      </c>
      <c r="E402" s="15">
        <v>2</v>
      </c>
      <c r="F402" s="80">
        <v>24.975999999999999</v>
      </c>
      <c r="G402" s="80">
        <v>5.0000000000000001E-3</v>
      </c>
      <c r="I402" s="27">
        <f>AVERAGE(F401:F402)</f>
        <v>19.117999999999999</v>
      </c>
      <c r="J402" s="27">
        <f>AVERAGE(G401:G402)</f>
        <v>6.0000000000000001E-3</v>
      </c>
      <c r="L402">
        <f>+J402/I402</f>
        <v>3.1384035987027937E-4</v>
      </c>
      <c r="M402">
        <f>+(L402-$L$619)/$L$620</f>
        <v>-0.41405356797844634</v>
      </c>
      <c r="N402">
        <f>+N400+M402</f>
        <v>-0.77973584114531058</v>
      </c>
    </row>
    <row r="403" spans="1:14">
      <c r="A403" s="15">
        <v>3</v>
      </c>
      <c r="B403" s="71">
        <v>42430</v>
      </c>
      <c r="E403" s="15">
        <v>3</v>
      </c>
      <c r="F403" s="80">
        <v>2.0760000000000001</v>
      </c>
      <c r="G403" s="80">
        <v>3.0000000000000001E-3</v>
      </c>
      <c r="I403" s="27"/>
      <c r="J403" s="27"/>
    </row>
    <row r="404" spans="1:14">
      <c r="A404" s="15">
        <v>4</v>
      </c>
      <c r="B404" s="71">
        <v>42430</v>
      </c>
      <c r="E404" s="15">
        <v>3</v>
      </c>
      <c r="F404" s="80">
        <v>2.532</v>
      </c>
      <c r="G404" s="80">
        <v>6.0000000000000001E-3</v>
      </c>
      <c r="I404" s="27">
        <f>AVERAGE(F403:F404)</f>
        <v>2.3040000000000003</v>
      </c>
      <c r="J404" s="27">
        <f>AVERAGE(G403:G404)</f>
        <v>4.5000000000000005E-3</v>
      </c>
      <c r="L404">
        <f>+J404/I404</f>
        <v>1.953125E-3</v>
      </c>
      <c r="M404">
        <f>+(L404-$L$619)/$L$620</f>
        <v>-0.35384480640111377</v>
      </c>
      <c r="N404">
        <f>+N402+M404</f>
        <v>-1.1335806475464243</v>
      </c>
    </row>
    <row r="405" spans="1:14">
      <c r="A405" s="15">
        <v>3</v>
      </c>
      <c r="B405" s="71">
        <v>42461</v>
      </c>
      <c r="C405" s="87" t="s">
        <v>93</v>
      </c>
      <c r="E405" s="15">
        <v>4</v>
      </c>
      <c r="F405" s="80">
        <v>2.3330000000000002</v>
      </c>
      <c r="G405" s="80">
        <v>5.0000000000000001E-3</v>
      </c>
    </row>
    <row r="406" spans="1:14">
      <c r="A406" s="15">
        <v>3</v>
      </c>
      <c r="B406" s="71">
        <v>42461</v>
      </c>
      <c r="C406" s="87" t="s">
        <v>95</v>
      </c>
      <c r="E406" s="15">
        <v>4</v>
      </c>
      <c r="F406" s="80">
        <v>3.2109999999999999</v>
      </c>
      <c r="G406" s="80">
        <v>5.0000000000000001E-3</v>
      </c>
      <c r="I406" s="27">
        <f>AVERAGE(F405:F406)</f>
        <v>2.7720000000000002</v>
      </c>
      <c r="J406" s="27">
        <f>AVERAGE(G405:G406)</f>
        <v>5.0000000000000001E-3</v>
      </c>
      <c r="L406">
        <f>+J406/I406</f>
        <v>1.8037518037518035E-3</v>
      </c>
      <c r="M406">
        <f>+(L406-$L$619)/$L$620</f>
        <v>-0.35933108678146314</v>
      </c>
      <c r="N406">
        <f>+N404+M406</f>
        <v>-1.4929117343278875</v>
      </c>
    </row>
    <row r="407" spans="1:14">
      <c r="A407" s="15">
        <v>4</v>
      </c>
      <c r="B407" s="71">
        <v>42491</v>
      </c>
      <c r="C407" s="89" t="s">
        <v>97</v>
      </c>
      <c r="E407" s="15">
        <v>5</v>
      </c>
      <c r="F407" s="80">
        <v>9.4429999999999996</v>
      </c>
      <c r="G407" s="80">
        <v>0.53600000000000003</v>
      </c>
    </row>
    <row r="408" spans="1:14">
      <c r="A408" s="15">
        <v>3</v>
      </c>
      <c r="B408" s="71">
        <v>42491</v>
      </c>
      <c r="C408" s="89" t="s">
        <v>94</v>
      </c>
      <c r="E408" s="15">
        <v>5</v>
      </c>
      <c r="F408" s="80">
        <v>9.1739999999999995</v>
      </c>
      <c r="G408" s="80">
        <v>0.25600000000000001</v>
      </c>
      <c r="I408" s="27">
        <f>AVERAGE(F407:F408)</f>
        <v>9.3084999999999987</v>
      </c>
      <c r="J408" s="27">
        <f>AVERAGE(G407:G408)</f>
        <v>0.39600000000000002</v>
      </c>
      <c r="L408">
        <f>+J408/I408</f>
        <v>4.2541762904871896E-2</v>
      </c>
      <c r="M408">
        <f>+(L408-$L$619)/$L$620</f>
        <v>1.1369223017258365</v>
      </c>
      <c r="N408">
        <f>+N406+M408</f>
        <v>-0.35598943260205096</v>
      </c>
    </row>
    <row r="409" spans="1:14">
      <c r="A409" s="15">
        <v>4</v>
      </c>
      <c r="B409" s="71">
        <v>42522</v>
      </c>
      <c r="C409" s="86"/>
      <c r="E409" s="15">
        <v>6</v>
      </c>
      <c r="F409" s="80">
        <v>13.496</v>
      </c>
      <c r="G409" s="80">
        <v>1.375</v>
      </c>
    </row>
    <row r="410" spans="1:14">
      <c r="A410" s="15">
        <v>3</v>
      </c>
      <c r="B410" s="71">
        <v>42522</v>
      </c>
      <c r="C410" s="86"/>
      <c r="E410" s="15">
        <v>6</v>
      </c>
      <c r="F410" s="80">
        <v>12.191000000000001</v>
      </c>
      <c r="G410" s="80">
        <v>0.11899999999999999</v>
      </c>
      <c r="I410" s="27">
        <f>AVERAGE(F409:F410)</f>
        <v>12.843500000000001</v>
      </c>
      <c r="J410" s="27">
        <f>AVERAGE(G409:G410)</f>
        <v>0.747</v>
      </c>
      <c r="L410">
        <f>+J410/I410</f>
        <v>5.8161716043134658E-2</v>
      </c>
      <c r="M410">
        <f>+(L410-$L$619)/$L$620</f>
        <v>1.7106225678836089</v>
      </c>
      <c r="N410">
        <f>+N408+M410</f>
        <v>1.3546331352815579</v>
      </c>
    </row>
    <row r="411" spans="1:14">
      <c r="A411" s="15">
        <v>4</v>
      </c>
      <c r="B411" s="71">
        <v>42552</v>
      </c>
      <c r="C411" s="86"/>
      <c r="E411" s="15">
        <v>7</v>
      </c>
      <c r="F411" s="80">
        <v>15.342000000000001</v>
      </c>
      <c r="G411" s="80">
        <v>4.3999999999999997E-2</v>
      </c>
      <c r="I411" s="27"/>
      <c r="J411" s="27"/>
    </row>
    <row r="412" spans="1:14">
      <c r="A412" s="15">
        <v>3</v>
      </c>
      <c r="B412" s="71">
        <v>42552</v>
      </c>
      <c r="C412" s="86"/>
      <c r="E412" s="15">
        <v>7</v>
      </c>
      <c r="F412" s="80">
        <v>11.294</v>
      </c>
      <c r="G412" s="80">
        <v>4.8000000000000001E-2</v>
      </c>
      <c r="I412" s="27">
        <f>AVERAGE(F411:F412)</f>
        <v>13.318000000000001</v>
      </c>
      <c r="J412" s="27">
        <f>AVERAGE(G411:G412)</f>
        <v>4.5999999999999999E-2</v>
      </c>
      <c r="L412">
        <f>+J412/I412</f>
        <v>3.4539720678780595E-3</v>
      </c>
      <c r="M412">
        <f>+(L412-$L$619)/$L$620</f>
        <v>-0.29872067416575177</v>
      </c>
      <c r="N412">
        <f>+N410+M412</f>
        <v>1.0559124611158062</v>
      </c>
    </row>
    <row r="413" spans="1:14">
      <c r="A413" s="15">
        <v>4</v>
      </c>
      <c r="B413" s="71">
        <v>42583</v>
      </c>
      <c r="C413" s="86"/>
      <c r="E413" s="15">
        <v>8</v>
      </c>
      <c r="F413" s="80">
        <v>24.283000000000001</v>
      </c>
      <c r="G413" s="80">
        <v>3.9E-2</v>
      </c>
      <c r="I413" s="27"/>
      <c r="J413" s="27"/>
    </row>
    <row r="414" spans="1:14">
      <c r="A414" s="15">
        <v>3</v>
      </c>
      <c r="B414" s="71">
        <v>42583</v>
      </c>
      <c r="C414" s="86"/>
      <c r="E414" s="15">
        <v>8</v>
      </c>
      <c r="F414" s="80">
        <v>37.298000000000002</v>
      </c>
      <c r="G414" s="80">
        <v>4.1000000000000002E-2</v>
      </c>
      <c r="I414" s="27">
        <f>AVERAGE(F413:F414)</f>
        <v>30.790500000000002</v>
      </c>
      <c r="J414" s="27">
        <f>AVERAGE(G413:G414)</f>
        <v>0.04</v>
      </c>
      <c r="L414">
        <f>+J414/I414</f>
        <v>1.299101995745441E-3</v>
      </c>
      <c r="M414">
        <f>+(L414-$L$619)/$L$620</f>
        <v>-0.37786620827683526</v>
      </c>
      <c r="N414">
        <f>+N412+M414</f>
        <v>0.67804625283897091</v>
      </c>
    </row>
    <row r="415" spans="1:14">
      <c r="A415" s="15">
        <v>4</v>
      </c>
      <c r="B415" s="71">
        <v>42614</v>
      </c>
      <c r="C415" s="86"/>
      <c r="E415" s="15">
        <v>9</v>
      </c>
      <c r="F415" s="80">
        <v>19.100000000000001</v>
      </c>
      <c r="G415" s="80">
        <v>2.9000000000000001E-2</v>
      </c>
    </row>
    <row r="416" spans="1:14">
      <c r="A416" s="15">
        <v>3</v>
      </c>
      <c r="B416" s="71">
        <v>42614</v>
      </c>
      <c r="C416" s="86"/>
      <c r="E416" s="15">
        <v>9</v>
      </c>
      <c r="F416" s="80">
        <v>18.978000000000002</v>
      </c>
      <c r="G416" s="80">
        <v>2.8000000000000001E-2</v>
      </c>
      <c r="I416" s="27">
        <f>AVERAGE(F415:F416)</f>
        <v>19.039000000000001</v>
      </c>
      <c r="J416" s="27">
        <f>AVERAGE(G415:G416)</f>
        <v>2.8500000000000001E-2</v>
      </c>
      <c r="L416">
        <f>+J416/I416</f>
        <v>1.4969273596302326E-3</v>
      </c>
      <c r="M416">
        <f>+(L416-$L$619)/$L$620</f>
        <v>-0.37060034371828859</v>
      </c>
      <c r="N416">
        <f>+N414+M416</f>
        <v>0.30744590912068231</v>
      </c>
    </row>
    <row r="417" spans="1:14">
      <c r="A417" s="15">
        <v>4</v>
      </c>
      <c r="B417" s="71">
        <v>42644</v>
      </c>
      <c r="C417" s="86"/>
      <c r="E417" s="15">
        <v>10</v>
      </c>
      <c r="F417" s="80">
        <v>6.383</v>
      </c>
      <c r="G417" s="80">
        <v>1.7999999999999999E-2</v>
      </c>
    </row>
    <row r="418" spans="1:14">
      <c r="A418" s="15">
        <v>3</v>
      </c>
      <c r="B418" s="71">
        <v>42644</v>
      </c>
      <c r="C418" s="86"/>
      <c r="E418" s="15">
        <v>10</v>
      </c>
      <c r="F418" s="80">
        <v>2.3820000000000001</v>
      </c>
      <c r="G418" s="80">
        <v>1.7999999999999999E-2</v>
      </c>
      <c r="I418" s="27">
        <f>AVERAGE(F417:F418)</f>
        <v>4.3825000000000003</v>
      </c>
      <c r="J418" s="27">
        <f>AVERAGE(G417:G418)</f>
        <v>1.7999999999999999E-2</v>
      </c>
      <c r="L418">
        <f>+J418/I418</f>
        <v>4.1072447233314316E-3</v>
      </c>
      <c r="M418">
        <f>+(L418-$L$619)/$L$620</f>
        <v>-0.27472683161131256</v>
      </c>
      <c r="N418">
        <f>+N416+M418</f>
        <v>3.2719077509369754E-2</v>
      </c>
    </row>
    <row r="419" spans="1:14">
      <c r="A419" s="15">
        <v>4</v>
      </c>
      <c r="B419" s="71">
        <v>42675</v>
      </c>
      <c r="C419" s="86"/>
      <c r="E419" s="15">
        <v>11</v>
      </c>
      <c r="F419" s="80">
        <v>6.407</v>
      </c>
      <c r="G419" s="80">
        <v>1.4E-2</v>
      </c>
    </row>
    <row r="420" spans="1:14">
      <c r="A420" s="15">
        <v>3</v>
      </c>
      <c r="B420" s="71">
        <v>42675</v>
      </c>
      <c r="C420" s="86"/>
      <c r="E420" s="15">
        <v>11</v>
      </c>
      <c r="F420" s="80">
        <v>4.0090000000000003</v>
      </c>
      <c r="G420" s="80">
        <v>2.5000000000000001E-2</v>
      </c>
      <c r="I420" s="27">
        <f>AVERAGE(F419:F420)</f>
        <v>5.2080000000000002</v>
      </c>
      <c r="J420" s="27">
        <f>AVERAGE(G419:G420)</f>
        <v>1.95E-2</v>
      </c>
      <c r="L420">
        <f>+J420/I420</f>
        <v>3.7442396313364054E-3</v>
      </c>
      <c r="M420">
        <f>+(L420-$L$619)/$L$620</f>
        <v>-0.28805952960667519</v>
      </c>
      <c r="N420">
        <f>+N418+M420</f>
        <v>-0.25534045209730544</v>
      </c>
    </row>
    <row r="421" spans="1:14">
      <c r="A421" s="15">
        <v>4</v>
      </c>
      <c r="B421" s="72">
        <v>42705</v>
      </c>
      <c r="C421" s="86"/>
      <c r="E421" s="15">
        <v>12</v>
      </c>
      <c r="F421" s="80">
        <v>6.2960000000000003</v>
      </c>
      <c r="G421" s="80">
        <v>9.9989999999999996E-4</v>
      </c>
    </row>
    <row r="422" spans="1:14">
      <c r="A422" s="15">
        <v>3</v>
      </c>
      <c r="B422" s="71">
        <v>42705</v>
      </c>
      <c r="C422" s="86"/>
      <c r="E422" s="15">
        <v>12</v>
      </c>
      <c r="F422" s="80">
        <v>8.6300000000000008</v>
      </c>
      <c r="G422" s="80">
        <v>0.01</v>
      </c>
      <c r="I422" s="27">
        <f>AVERAGE(F421:F422)</f>
        <v>7.463000000000001</v>
      </c>
      <c r="J422" s="27">
        <f>AVERAGE(G421:G422)</f>
        <v>5.49995E-3</v>
      </c>
      <c r="L422">
        <f>+J422/I422</f>
        <v>7.3696234758140146E-4</v>
      </c>
      <c r="M422">
        <f>+(L422-$L$619)/$L$620</f>
        <v>-0.39851285573569017</v>
      </c>
      <c r="N422">
        <f>+N420+M422</f>
        <v>-0.65385330783299556</v>
      </c>
    </row>
    <row r="423" spans="1:14">
      <c r="A423" s="15">
        <v>3</v>
      </c>
      <c r="B423" s="70">
        <v>42745</v>
      </c>
      <c r="E423" s="15">
        <v>1</v>
      </c>
    </row>
    <row r="424" spans="1:14">
      <c r="A424" s="15">
        <v>4</v>
      </c>
      <c r="B424" s="70">
        <v>42740</v>
      </c>
      <c r="E424" s="15">
        <v>1</v>
      </c>
    </row>
    <row r="425" spans="1:14">
      <c r="A425" s="15">
        <v>3</v>
      </c>
      <c r="B425" s="71">
        <v>42767</v>
      </c>
      <c r="E425" s="15">
        <v>2</v>
      </c>
    </row>
    <row r="426" spans="1:14">
      <c r="A426" s="15">
        <v>4</v>
      </c>
      <c r="B426" s="71">
        <v>42767</v>
      </c>
      <c r="E426" s="15">
        <v>2</v>
      </c>
    </row>
    <row r="427" spans="1:14">
      <c r="A427" s="15">
        <v>3</v>
      </c>
      <c r="B427" s="71">
        <v>42795</v>
      </c>
      <c r="E427" s="15">
        <v>3</v>
      </c>
      <c r="F427" s="80">
        <v>2.089</v>
      </c>
      <c r="G427" s="80">
        <v>2.5999999999999999E-2</v>
      </c>
    </row>
    <row r="428" spans="1:14">
      <c r="A428" s="15">
        <v>4</v>
      </c>
      <c r="B428" s="71">
        <v>42795</v>
      </c>
      <c r="E428" s="15">
        <v>3</v>
      </c>
      <c r="F428" s="80">
        <v>2.786</v>
      </c>
      <c r="G428" s="80">
        <v>3.5999999999999997E-2</v>
      </c>
      <c r="I428" s="27">
        <f>AVERAGE(F427:F428)</f>
        <v>2.4375</v>
      </c>
      <c r="J428" s="27">
        <f>AVERAGE(G427:G428)</f>
        <v>3.1E-2</v>
      </c>
      <c r="L428">
        <f>+J428/I428</f>
        <v>1.2717948717948718E-2</v>
      </c>
      <c r="M428">
        <f>+(L428-$L$619)/$L$620</f>
        <v>4.1532963139080024E-2</v>
      </c>
      <c r="N428">
        <f>+N422+M428</f>
        <v>-0.6123203446939155</v>
      </c>
    </row>
    <row r="429" spans="1:14">
      <c r="A429" s="15">
        <v>3</v>
      </c>
      <c r="B429" s="71">
        <v>42826</v>
      </c>
      <c r="E429" s="15">
        <v>4</v>
      </c>
      <c r="I429" s="27"/>
      <c r="J429" s="27"/>
    </row>
    <row r="430" spans="1:14">
      <c r="A430" s="15">
        <v>4</v>
      </c>
      <c r="B430" s="71">
        <v>42826</v>
      </c>
      <c r="E430" s="15">
        <v>4</v>
      </c>
      <c r="I430" s="27"/>
      <c r="J430" s="27"/>
    </row>
    <row r="431" spans="1:14">
      <c r="A431" s="15">
        <v>3</v>
      </c>
      <c r="B431" s="71">
        <v>42856</v>
      </c>
      <c r="C431" s="87" t="s">
        <v>93</v>
      </c>
      <c r="E431" s="15">
        <v>5</v>
      </c>
      <c r="F431" s="80">
        <v>24.265999999999998</v>
      </c>
      <c r="G431" s="80">
        <v>2.1589999999999998</v>
      </c>
      <c r="I431" s="27"/>
      <c r="J431" s="27"/>
    </row>
    <row r="432" spans="1:14">
      <c r="A432" s="15">
        <v>3</v>
      </c>
      <c r="B432" s="71">
        <v>42856</v>
      </c>
      <c r="C432" s="87" t="s">
        <v>95</v>
      </c>
      <c r="E432" s="15">
        <v>5</v>
      </c>
      <c r="F432" s="80">
        <v>26.532</v>
      </c>
      <c r="G432" s="80">
        <v>1.7050000000000001</v>
      </c>
      <c r="I432" s="27">
        <f>AVERAGE(F431:F432)</f>
        <v>25.399000000000001</v>
      </c>
      <c r="J432" s="27">
        <f>AVERAGE(G431:G432)</f>
        <v>1.9319999999999999</v>
      </c>
      <c r="L432">
        <f>+J432/I432</f>
        <v>7.6065986849875977E-2</v>
      </c>
      <c r="M432">
        <f>+(L432-$L$619)/$L$620</f>
        <v>2.3682228075428902</v>
      </c>
      <c r="N432">
        <f>+N428+M432</f>
        <v>1.7559024628489746</v>
      </c>
    </row>
    <row r="433" spans="1:14">
      <c r="A433" s="15">
        <v>4</v>
      </c>
      <c r="B433" s="71">
        <v>42887</v>
      </c>
      <c r="C433" s="89" t="s">
        <v>96</v>
      </c>
      <c r="E433" s="15">
        <v>6</v>
      </c>
      <c r="F433" s="81">
        <v>8.9930000000000003</v>
      </c>
      <c r="G433" s="81">
        <v>2.5999999999999999E-2</v>
      </c>
    </row>
    <row r="434" spans="1:14">
      <c r="A434" s="15">
        <v>3</v>
      </c>
      <c r="B434" s="71">
        <v>42887</v>
      </c>
      <c r="C434" s="89" t="s">
        <v>94</v>
      </c>
      <c r="E434" s="15">
        <v>6</v>
      </c>
      <c r="F434" s="80">
        <v>12.997999999999999</v>
      </c>
      <c r="G434" s="80">
        <v>2.5999999999999999E-2</v>
      </c>
      <c r="I434" s="27">
        <f>AVERAGE(F433:F434)</f>
        <v>10.9955</v>
      </c>
      <c r="J434" s="27">
        <f>AVERAGE(G433:G434)</f>
        <v>2.5999999999999999E-2</v>
      </c>
      <c r="L434">
        <f>+J434/I434</f>
        <v>2.3646037015142558E-3</v>
      </c>
      <c r="M434">
        <f>+(L434-$L$619)/$L$620</f>
        <v>-0.33873173669550016</v>
      </c>
      <c r="N434">
        <f>+N432+M434</f>
        <v>1.4171707261534743</v>
      </c>
    </row>
    <row r="435" spans="1:14">
      <c r="A435" s="15">
        <v>4</v>
      </c>
      <c r="B435" s="71">
        <v>42917</v>
      </c>
      <c r="C435" s="86"/>
      <c r="E435" s="15">
        <v>7</v>
      </c>
      <c r="F435" s="80">
        <v>16.434000000000001</v>
      </c>
      <c r="G435" s="80">
        <v>2.4E-2</v>
      </c>
    </row>
    <row r="436" spans="1:14">
      <c r="A436" s="15">
        <v>3</v>
      </c>
      <c r="B436" s="71">
        <v>42917</v>
      </c>
      <c r="C436" s="86"/>
      <c r="E436" s="15">
        <v>7</v>
      </c>
      <c r="F436" s="80">
        <v>27.914000000000001</v>
      </c>
      <c r="G436" s="80">
        <v>2.5000000000000001E-2</v>
      </c>
      <c r="I436" s="27">
        <f>AVERAGE(F435:F436)</f>
        <v>22.173999999999999</v>
      </c>
      <c r="J436" s="27">
        <f>AVERAGE(G435:G436)</f>
        <v>2.4500000000000001E-2</v>
      </c>
      <c r="L436">
        <f>+J436/I436</f>
        <v>1.1048976278524398E-3</v>
      </c>
      <c r="M436">
        <f>+(L436-$L$619)/$L$620</f>
        <v>-0.38499907843099046</v>
      </c>
      <c r="N436">
        <f>+N434+M436</f>
        <v>1.0321716477224838</v>
      </c>
    </row>
    <row r="437" spans="1:14">
      <c r="A437" s="15">
        <v>4</v>
      </c>
      <c r="B437" s="71">
        <v>42948</v>
      </c>
      <c r="C437" s="86"/>
      <c r="E437" s="15">
        <v>8</v>
      </c>
    </row>
    <row r="438" spans="1:14">
      <c r="A438" s="15">
        <v>3</v>
      </c>
      <c r="B438" s="71">
        <v>42948</v>
      </c>
      <c r="C438" s="86"/>
      <c r="E438" s="15">
        <v>8</v>
      </c>
      <c r="I438" s="27"/>
      <c r="J438" s="27"/>
    </row>
    <row r="439" spans="1:14">
      <c r="A439" s="15">
        <v>4</v>
      </c>
      <c r="B439" s="71">
        <v>42979</v>
      </c>
      <c r="C439" s="86"/>
      <c r="E439" s="15">
        <v>9</v>
      </c>
      <c r="F439" s="80">
        <v>7.6879999999999997</v>
      </c>
      <c r="G439" s="80">
        <v>2.3E-2</v>
      </c>
      <c r="I439" s="27"/>
      <c r="J439" s="27"/>
    </row>
    <row r="440" spans="1:14">
      <c r="A440" s="15">
        <v>3</v>
      </c>
      <c r="B440" s="71">
        <v>42979</v>
      </c>
      <c r="C440" s="86"/>
      <c r="E440" s="15">
        <v>9</v>
      </c>
      <c r="F440" s="80">
        <v>7.234</v>
      </c>
      <c r="G440" s="80">
        <v>1.7999999999999999E-2</v>
      </c>
      <c r="I440" s="27">
        <f>AVERAGE(F439:F440)</f>
        <v>7.4610000000000003</v>
      </c>
      <c r="J440" s="27">
        <f>AVERAGE(G439:G440)</f>
        <v>2.0499999999999997E-2</v>
      </c>
      <c r="L440">
        <f>+J440/I440</f>
        <v>2.747620962337488E-3</v>
      </c>
      <c r="M440">
        <f>+(L440-$L$619)/$L$620</f>
        <v>-0.32466401814780238</v>
      </c>
      <c r="N440">
        <f>+N436+M440</f>
        <v>0.70750762957468138</v>
      </c>
    </row>
    <row r="441" spans="1:14">
      <c r="A441" s="15">
        <v>4</v>
      </c>
      <c r="B441" s="71">
        <v>43009</v>
      </c>
      <c r="C441" s="86"/>
      <c r="E441" s="15">
        <v>10</v>
      </c>
      <c r="F441" s="80">
        <v>3.2869999999999999</v>
      </c>
      <c r="G441" s="80">
        <v>4.2000000000000003E-2</v>
      </c>
      <c r="I441" s="27"/>
      <c r="J441" s="27"/>
    </row>
    <row r="442" spans="1:14">
      <c r="A442" s="15">
        <v>3</v>
      </c>
      <c r="B442" s="71">
        <v>43009</v>
      </c>
      <c r="C442" s="86"/>
      <c r="E442" s="15">
        <v>10</v>
      </c>
      <c r="F442" s="80">
        <v>4.7690000000000001</v>
      </c>
      <c r="G442" s="80">
        <v>6.3E-2</v>
      </c>
      <c r="I442" s="27">
        <f>AVERAGE(F441:F442)</f>
        <v>4.0280000000000005</v>
      </c>
      <c r="J442" s="27">
        <f>AVERAGE(G441:G442)</f>
        <v>5.2500000000000005E-2</v>
      </c>
      <c r="L442">
        <f>+J442/I442</f>
        <v>1.3033763654419066E-2</v>
      </c>
      <c r="M442">
        <f>+(L442-$L$619)/$L$620</f>
        <v>5.3132428995722791E-2</v>
      </c>
      <c r="N442">
        <f>+N440+M442</f>
        <v>0.76064005857040418</v>
      </c>
    </row>
    <row r="443" spans="1:14">
      <c r="A443" s="15">
        <v>4</v>
      </c>
      <c r="B443" s="71">
        <v>43040</v>
      </c>
      <c r="C443" s="86"/>
      <c r="E443" s="15">
        <v>11</v>
      </c>
    </row>
    <row r="444" spans="1:14">
      <c r="A444" s="15">
        <v>3</v>
      </c>
      <c r="B444" s="71">
        <v>43040</v>
      </c>
      <c r="C444" s="86"/>
      <c r="E444" s="15">
        <v>11</v>
      </c>
      <c r="I444" s="27"/>
      <c r="J444" s="27"/>
    </row>
    <row r="445" spans="1:14">
      <c r="A445" s="15">
        <v>4</v>
      </c>
      <c r="B445" s="72">
        <v>43070</v>
      </c>
      <c r="C445" s="86"/>
      <c r="E445" s="15">
        <v>12</v>
      </c>
      <c r="F445" s="80">
        <v>6.2939999999999996</v>
      </c>
      <c r="G445" s="80">
        <v>9.9989999999999996E-4</v>
      </c>
    </row>
    <row r="446" spans="1:14">
      <c r="A446" s="15">
        <v>3</v>
      </c>
      <c r="B446" s="71">
        <v>43070</v>
      </c>
      <c r="C446" s="86"/>
      <c r="E446" s="15">
        <v>12</v>
      </c>
      <c r="F446" s="80">
        <v>9.3949999999999996</v>
      </c>
      <c r="G446" s="80">
        <v>1.2999999999999999E-2</v>
      </c>
      <c r="I446" s="27">
        <f>AVERAGE(F445:F446)</f>
        <v>7.8445</v>
      </c>
      <c r="J446" s="27">
        <f>AVERAGE(G445:G446)</f>
        <v>6.9999499999999996E-3</v>
      </c>
      <c r="L446">
        <f>+J446/I446</f>
        <v>8.923385811715214E-4</v>
      </c>
      <c r="M446">
        <f>+(L446-$L$619)/$L$620</f>
        <v>-0.39280609171558006</v>
      </c>
      <c r="N446">
        <f>+N442+M446</f>
        <v>0.36783396685482411</v>
      </c>
    </row>
    <row r="447" spans="1:14">
      <c r="A447" s="15">
        <v>4</v>
      </c>
      <c r="B447" s="70">
        <v>43110</v>
      </c>
      <c r="C447" s="86"/>
      <c r="E447" s="15">
        <v>1</v>
      </c>
      <c r="F447" s="77">
        <v>2.2909999999999999</v>
      </c>
      <c r="G447" s="77">
        <v>9.9989999999999996E-4</v>
      </c>
    </row>
    <row r="448" spans="1:14">
      <c r="A448" s="15">
        <v>3</v>
      </c>
      <c r="B448" s="70">
        <v>43105</v>
      </c>
      <c r="C448" s="86"/>
      <c r="E448" s="15">
        <v>1</v>
      </c>
      <c r="F448" s="77">
        <v>2.8929999999999998</v>
      </c>
      <c r="G448" s="77">
        <v>9.9989999999999996E-4</v>
      </c>
      <c r="I448">
        <v>2.5919999999999996</v>
      </c>
      <c r="J448">
        <v>9.9989999999999996E-4</v>
      </c>
      <c r="L448">
        <v>3.8576388888888894E-4</v>
      </c>
      <c r="M448">
        <f>+(L448-$L$619)/$L$620</f>
        <v>-0.41141191167027813</v>
      </c>
      <c r="N448">
        <f>+N446+M448</f>
        <v>-4.3577944815454017E-2</v>
      </c>
    </row>
    <row r="449" spans="1:14">
      <c r="A449" s="15">
        <v>3</v>
      </c>
      <c r="B449" s="71">
        <v>43132</v>
      </c>
      <c r="E449" s="15">
        <v>2</v>
      </c>
      <c r="F449" s="77">
        <v>2.5449999999999999</v>
      </c>
      <c r="G449" s="77">
        <v>9.9989999999999996E-4</v>
      </c>
    </row>
    <row r="450" spans="1:14">
      <c r="A450" s="15">
        <v>4</v>
      </c>
      <c r="B450" s="71">
        <v>43132</v>
      </c>
      <c r="E450" s="15">
        <v>2</v>
      </c>
      <c r="F450" s="77">
        <v>1.992</v>
      </c>
      <c r="G450" s="77">
        <v>9.9989999999999996E-4</v>
      </c>
      <c r="I450">
        <v>2.2685</v>
      </c>
      <c r="J450">
        <v>9.9989999999999996E-4</v>
      </c>
      <c r="L450">
        <v>4.4077584306810667E-4</v>
      </c>
      <c r="M450">
        <f>+(L450-$L$619)/$L$620</f>
        <v>-0.40939139518888318</v>
      </c>
      <c r="N450">
        <f>+N448+M450</f>
        <v>-0.4529693400043372</v>
      </c>
    </row>
    <row r="451" spans="1:14">
      <c r="A451" s="15">
        <v>3</v>
      </c>
      <c r="B451" s="71">
        <v>43160</v>
      </c>
      <c r="E451" s="15">
        <v>3</v>
      </c>
      <c r="F451" s="77">
        <v>6.8920000000000003</v>
      </c>
      <c r="G451" s="77">
        <v>1.4999999999999999E-2</v>
      </c>
    </row>
    <row r="452" spans="1:14">
      <c r="A452" s="15">
        <v>4</v>
      </c>
      <c r="B452" s="71">
        <v>43160</v>
      </c>
      <c r="E452" s="15">
        <v>3</v>
      </c>
      <c r="F452" s="77">
        <v>4.516</v>
      </c>
      <c r="G452" s="77">
        <v>1.4E-2</v>
      </c>
      <c r="I452">
        <v>5.7040000000000006</v>
      </c>
      <c r="J452">
        <v>1.4499999999999999E-2</v>
      </c>
      <c r="L452">
        <v>2.5420757363253852E-3</v>
      </c>
      <c r="M452">
        <f>+(L452-$L$619)/$L$620</f>
        <v>-0.33221342305489787</v>
      </c>
      <c r="N452">
        <f>+N450+M452</f>
        <v>-0.78518276305923507</v>
      </c>
    </row>
    <row r="453" spans="1:14">
      <c r="A453" s="15">
        <v>3</v>
      </c>
      <c r="B453" s="71">
        <v>43191</v>
      </c>
      <c r="E453" s="15">
        <v>4</v>
      </c>
      <c r="F453" s="77">
        <v>4.34</v>
      </c>
      <c r="G453" s="77">
        <v>0.24</v>
      </c>
    </row>
    <row r="454" spans="1:14">
      <c r="A454" s="15">
        <v>4</v>
      </c>
      <c r="B454" s="71">
        <v>43191</v>
      </c>
      <c r="E454" s="15">
        <v>4</v>
      </c>
      <c r="F454" s="78">
        <v>4.7510000000000003</v>
      </c>
      <c r="G454" s="78">
        <v>0.66900000000000004</v>
      </c>
      <c r="I454">
        <v>4.5455000000000005</v>
      </c>
      <c r="J454">
        <v>0.45450000000000002</v>
      </c>
      <c r="L454">
        <v>9.9989000109998893E-2</v>
      </c>
      <c r="M454">
        <f>+(L454-$L$619)/$L$620</f>
        <v>3.246883514981791</v>
      </c>
      <c r="N454">
        <f>+N452+M454</f>
        <v>2.4617007519225558</v>
      </c>
    </row>
    <row r="455" spans="1:14">
      <c r="A455" s="15">
        <v>3</v>
      </c>
      <c r="B455" s="71">
        <v>43221</v>
      </c>
      <c r="E455" s="15">
        <v>5</v>
      </c>
      <c r="F455" s="78">
        <v>14.69</v>
      </c>
      <c r="G455" s="78">
        <v>0.623</v>
      </c>
    </row>
    <row r="456" spans="1:14">
      <c r="A456" s="15">
        <v>4</v>
      </c>
      <c r="B456" s="71">
        <v>43221</v>
      </c>
      <c r="E456" s="15">
        <v>5</v>
      </c>
      <c r="F456" s="78">
        <v>19.47</v>
      </c>
      <c r="G456" s="78">
        <v>1.444</v>
      </c>
      <c r="I456">
        <v>17.079999999999998</v>
      </c>
      <c r="J456">
        <v>1.0335000000000001</v>
      </c>
      <c r="L456">
        <v>6.0509367681498838E-2</v>
      </c>
      <c r="M456">
        <f>+(L456-$L$619)/$L$620</f>
        <v>1.7968487145213996</v>
      </c>
      <c r="N456">
        <f>+N454+M456</f>
        <v>4.2585494664439558</v>
      </c>
    </row>
    <row r="457" spans="1:14">
      <c r="A457" s="15">
        <v>3</v>
      </c>
      <c r="B457" s="71">
        <v>43252</v>
      </c>
      <c r="C457" s="87" t="s">
        <v>93</v>
      </c>
      <c r="E457" s="15">
        <v>6</v>
      </c>
      <c r="F457" s="78">
        <v>8.5050000000000008</v>
      </c>
      <c r="G457" s="78">
        <v>0.01</v>
      </c>
    </row>
    <row r="458" spans="1:14">
      <c r="A458" s="15">
        <v>3</v>
      </c>
      <c r="B458" s="71">
        <v>43252</v>
      </c>
      <c r="C458" s="87" t="s">
        <v>95</v>
      </c>
      <c r="E458" s="15">
        <v>6</v>
      </c>
      <c r="F458" s="78">
        <v>7.37</v>
      </c>
      <c r="G458" s="78">
        <v>8.9999999999999993E-3</v>
      </c>
      <c r="I458">
        <v>7.9375</v>
      </c>
      <c r="J458">
        <v>9.4999999999999998E-3</v>
      </c>
      <c r="L458">
        <v>1.1968503937007874E-3</v>
      </c>
      <c r="M458">
        <f>+(L458-$L$619)/$L$620</f>
        <v>-0.38162177468531427</v>
      </c>
      <c r="N458">
        <f>+N456+M458</f>
        <v>3.8769276917586417</v>
      </c>
    </row>
    <row r="459" spans="1:14">
      <c r="A459" s="15">
        <v>4</v>
      </c>
      <c r="B459" s="71">
        <v>43282</v>
      </c>
      <c r="C459" s="89" t="s">
        <v>98</v>
      </c>
      <c r="E459" s="15">
        <v>7</v>
      </c>
      <c r="F459" s="78">
        <v>25.248000000000001</v>
      </c>
      <c r="G459" s="78">
        <v>2.1000000000000001E-2</v>
      </c>
    </row>
    <row r="460" spans="1:14">
      <c r="A460" s="15">
        <v>3</v>
      </c>
      <c r="B460" s="71">
        <v>43282</v>
      </c>
      <c r="C460" s="89" t="s">
        <v>94</v>
      </c>
      <c r="E460" s="15">
        <v>7</v>
      </c>
      <c r="F460" s="78">
        <v>21.135999999999999</v>
      </c>
      <c r="G460" s="78">
        <v>3.7999999999999999E-2</v>
      </c>
      <c r="I460">
        <v>23.192</v>
      </c>
      <c r="J460">
        <v>2.9499999999999998E-2</v>
      </c>
      <c r="L460">
        <v>1.2719903414970678E-3</v>
      </c>
      <c r="M460">
        <f>+(L460-$L$619)/$L$620</f>
        <v>-0.37886198355993572</v>
      </c>
      <c r="N460">
        <f>+N458+M460</f>
        <v>3.4980657081987059</v>
      </c>
    </row>
    <row r="461" spans="1:14">
      <c r="A461" s="15">
        <v>4</v>
      </c>
      <c r="B461" s="71">
        <v>43313</v>
      </c>
      <c r="C461" s="86"/>
      <c r="E461" s="15">
        <v>8</v>
      </c>
      <c r="F461" s="78">
        <v>7.7830000000000004</v>
      </c>
      <c r="G461" s="78">
        <v>1.2999999999999999E-2</v>
      </c>
    </row>
    <row r="462" spans="1:14">
      <c r="A462" s="15">
        <v>3</v>
      </c>
      <c r="B462" s="71">
        <v>43313</v>
      </c>
      <c r="C462" s="86"/>
      <c r="E462" s="15">
        <v>8</v>
      </c>
      <c r="F462" s="78">
        <v>6.617</v>
      </c>
      <c r="G462" s="78">
        <v>1.9E-2</v>
      </c>
      <c r="I462">
        <v>7.2</v>
      </c>
      <c r="J462">
        <v>1.6E-2</v>
      </c>
      <c r="L462">
        <v>2.2222222222222222E-3</v>
      </c>
      <c r="M462">
        <f>+(L462-$L$619)/$L$620</f>
        <v>-0.34396122053855233</v>
      </c>
      <c r="N462">
        <f>+N460+M462</f>
        <v>3.1541044876601534</v>
      </c>
    </row>
    <row r="463" spans="1:14">
      <c r="A463" s="15">
        <v>4</v>
      </c>
      <c r="B463" s="71">
        <v>43344</v>
      </c>
      <c r="C463" s="86"/>
      <c r="E463" s="15">
        <v>9</v>
      </c>
      <c r="F463" s="78">
        <v>10.451000000000001</v>
      </c>
      <c r="G463" s="78">
        <v>0.02</v>
      </c>
    </row>
    <row r="464" spans="1:14">
      <c r="A464" s="15">
        <v>3</v>
      </c>
      <c r="B464" s="71">
        <v>43344</v>
      </c>
      <c r="C464" s="86"/>
      <c r="E464" s="15">
        <v>9</v>
      </c>
      <c r="F464" s="78">
        <v>12.564</v>
      </c>
      <c r="G464" s="78">
        <v>5.1999999999999998E-2</v>
      </c>
      <c r="I464">
        <v>11.5075</v>
      </c>
      <c r="J464">
        <v>3.5999999999999997E-2</v>
      </c>
      <c r="L464">
        <v>3.1283945253095806E-3</v>
      </c>
      <c r="M464">
        <f>+(L464-$L$619)/$L$620</f>
        <v>-0.31067870766131855</v>
      </c>
      <c r="N464">
        <f>+N462+M464</f>
        <v>2.8434257799988347</v>
      </c>
    </row>
    <row r="465" spans="1:14">
      <c r="A465" s="15">
        <v>4</v>
      </c>
      <c r="B465" s="71">
        <v>43374</v>
      </c>
      <c r="C465" s="86"/>
      <c r="E465" s="15">
        <v>10</v>
      </c>
      <c r="F465" s="78">
        <v>1.891</v>
      </c>
      <c r="G465" s="78">
        <v>9.9989999999999996E-4</v>
      </c>
    </row>
    <row r="466" spans="1:14">
      <c r="A466" s="15">
        <v>3</v>
      </c>
      <c r="B466" s="71">
        <v>43374</v>
      </c>
      <c r="C466" s="86"/>
      <c r="E466" s="15">
        <v>10</v>
      </c>
      <c r="F466" s="78">
        <v>2.4500000000000002</v>
      </c>
      <c r="G466" s="78">
        <v>9.9989999999999996E-4</v>
      </c>
      <c r="I466">
        <v>2.1705000000000001</v>
      </c>
      <c r="J466">
        <v>9.9989999999999996E-4</v>
      </c>
      <c r="L466">
        <v>4.606772633033863E-4</v>
      </c>
      <c r="M466">
        <f>+(L466-$L$619)/$L$620</f>
        <v>-0.40866044228621867</v>
      </c>
      <c r="N466">
        <f>+N464+M466</f>
        <v>2.4347653377126162</v>
      </c>
    </row>
    <row r="467" spans="1:14">
      <c r="A467" s="15">
        <v>4</v>
      </c>
      <c r="B467" s="71">
        <v>43405</v>
      </c>
      <c r="C467" s="86"/>
      <c r="E467" s="15">
        <v>11</v>
      </c>
      <c r="F467" s="78">
        <v>3.0779999999999998</v>
      </c>
      <c r="G467" s="78">
        <v>9.9989999999999996E-4</v>
      </c>
    </row>
    <row r="468" spans="1:14">
      <c r="A468" s="15">
        <v>3</v>
      </c>
      <c r="B468" s="71">
        <v>43405</v>
      </c>
      <c r="C468" s="86"/>
      <c r="E468" s="15">
        <v>11</v>
      </c>
      <c r="F468" s="78">
        <v>2.302</v>
      </c>
      <c r="G468" s="78">
        <v>9.9989999999999996E-4</v>
      </c>
      <c r="I468">
        <v>2.69</v>
      </c>
      <c r="J468">
        <v>9.9989999999999996E-4</v>
      </c>
      <c r="L468">
        <v>3.7171003717472118E-4</v>
      </c>
      <c r="M468">
        <f>+(L468-$L$619)/$L$620</f>
        <v>-0.41192809109780854</v>
      </c>
      <c r="N468">
        <f>+N466+M468</f>
        <v>2.0228372466148077</v>
      </c>
    </row>
    <row r="469" spans="1:14">
      <c r="A469" s="15">
        <v>4</v>
      </c>
      <c r="B469" s="72">
        <v>43435</v>
      </c>
      <c r="C469" s="86"/>
      <c r="E469" s="15">
        <v>12</v>
      </c>
    </row>
    <row r="470" spans="1:14">
      <c r="A470" s="15">
        <v>3</v>
      </c>
      <c r="B470" s="71">
        <v>43435</v>
      </c>
      <c r="C470" s="86"/>
      <c r="E470" s="15">
        <v>12</v>
      </c>
    </row>
    <row r="471" spans="1:14">
      <c r="A471" s="15">
        <v>4</v>
      </c>
      <c r="B471" s="70">
        <v>43475</v>
      </c>
      <c r="C471" s="86"/>
      <c r="E471" s="15">
        <v>1</v>
      </c>
    </row>
    <row r="472" spans="1:14">
      <c r="A472" s="15">
        <v>3</v>
      </c>
      <c r="B472" s="70">
        <v>43470</v>
      </c>
      <c r="C472" s="86"/>
      <c r="E472" s="15">
        <v>1</v>
      </c>
    </row>
    <row r="473" spans="1:14">
      <c r="A473" s="15">
        <v>4</v>
      </c>
      <c r="B473" s="71">
        <v>43497</v>
      </c>
      <c r="C473" s="86"/>
      <c r="E473" s="15">
        <v>2</v>
      </c>
    </row>
    <row r="474" spans="1:14">
      <c r="A474" s="15">
        <v>3</v>
      </c>
      <c r="B474" s="71">
        <v>43497</v>
      </c>
      <c r="C474" s="86"/>
      <c r="E474" s="15">
        <v>2</v>
      </c>
    </row>
    <row r="475" spans="1:14">
      <c r="A475" s="15">
        <v>3</v>
      </c>
      <c r="B475" s="71">
        <v>43525</v>
      </c>
      <c r="E475" s="15">
        <v>3</v>
      </c>
      <c r="F475" s="82">
        <v>4.2220000000000004</v>
      </c>
      <c r="G475" s="82">
        <v>1.6E-2</v>
      </c>
    </row>
    <row r="476" spans="1:14">
      <c r="A476" s="15">
        <v>4</v>
      </c>
      <c r="B476" s="71">
        <v>43525</v>
      </c>
      <c r="E476" s="15">
        <v>3</v>
      </c>
      <c r="F476" s="82">
        <v>6.8540000000000001</v>
      </c>
      <c r="G476" s="82">
        <v>2.5999999999999999E-2</v>
      </c>
      <c r="I476" s="27">
        <f>AVERAGE(F475:F476)</f>
        <v>5.5380000000000003</v>
      </c>
      <c r="J476" s="27">
        <f>AVERAGE(G475:G476)</f>
        <v>2.0999999999999998E-2</v>
      </c>
      <c r="L476">
        <f>+J476/I476</f>
        <v>3.7919826652221011E-3</v>
      </c>
      <c r="M476">
        <f>+(L476-$L$619)/$L$620</f>
        <v>-0.28630599097535187</v>
      </c>
      <c r="N476">
        <f>+N468+M476</f>
        <v>1.7365312556394559</v>
      </c>
    </row>
    <row r="477" spans="1:14">
      <c r="A477" s="15">
        <v>3</v>
      </c>
      <c r="B477" s="71">
        <v>43556</v>
      </c>
      <c r="E477" s="15">
        <v>4</v>
      </c>
      <c r="F477" s="83">
        <v>1.8160000000000001</v>
      </c>
      <c r="G477" s="82">
        <v>8.5000000000000006E-2</v>
      </c>
      <c r="I477" s="27"/>
      <c r="J477" s="27"/>
    </row>
    <row r="478" spans="1:14">
      <c r="A478" s="15">
        <v>4</v>
      </c>
      <c r="B478" s="71">
        <v>43556</v>
      </c>
      <c r="E478" s="15">
        <v>4</v>
      </c>
      <c r="F478" s="77">
        <v>4.6609999999999996</v>
      </c>
      <c r="G478" s="82">
        <v>4.4999999999999998E-2</v>
      </c>
      <c r="I478" s="27">
        <f>AVERAGE(F477:F478)</f>
        <v>3.2384999999999997</v>
      </c>
      <c r="J478" s="27">
        <f>AVERAGE(G477:G478)</f>
        <v>6.5000000000000002E-2</v>
      </c>
      <c r="L478">
        <f>+J478/I478</f>
        <v>2.0071020534197934E-2</v>
      </c>
      <c r="M478">
        <f>+(L478-$L$619)/$L$620</f>
        <v>0.31160158759134038</v>
      </c>
      <c r="N478">
        <f>+N476+M478</f>
        <v>2.0481328432307961</v>
      </c>
    </row>
    <row r="479" spans="1:14">
      <c r="A479" s="15">
        <v>3</v>
      </c>
      <c r="B479" s="71">
        <v>43586</v>
      </c>
      <c r="E479" s="15">
        <v>5</v>
      </c>
      <c r="F479" s="77">
        <v>7.88</v>
      </c>
      <c r="G479" s="82">
        <v>0.86299999999999999</v>
      </c>
      <c r="I479" s="27"/>
      <c r="J479" s="27"/>
    </row>
    <row r="480" spans="1:14">
      <c r="A480" s="15">
        <v>4</v>
      </c>
      <c r="B480" s="71">
        <v>43586</v>
      </c>
      <c r="E480" s="15">
        <v>5</v>
      </c>
      <c r="F480" s="77">
        <v>7.3529999999999998</v>
      </c>
      <c r="G480" s="82">
        <v>0.34599999999999997</v>
      </c>
      <c r="I480" s="27">
        <f>AVERAGE(F479:F480)</f>
        <v>7.6165000000000003</v>
      </c>
      <c r="J480" s="27">
        <f>AVERAGE(G479:G480)</f>
        <v>0.60450000000000004</v>
      </c>
      <c r="L480">
        <f>+J480/I480</f>
        <v>7.9367163395260287E-2</v>
      </c>
      <c r="M480">
        <f>+(L480-$L$619)/$L$620</f>
        <v>2.4894706657122909</v>
      </c>
      <c r="N480">
        <f>+N478+M480</f>
        <v>4.5376035089430875</v>
      </c>
    </row>
    <row r="481" spans="1:14">
      <c r="A481" s="15">
        <v>3</v>
      </c>
      <c r="B481" s="71">
        <v>43617</v>
      </c>
      <c r="E481" s="15">
        <v>6</v>
      </c>
      <c r="F481" s="77">
        <v>9.16</v>
      </c>
      <c r="G481" s="82">
        <v>2.3E-2</v>
      </c>
    </row>
    <row r="482" spans="1:14">
      <c r="A482" s="15">
        <v>4</v>
      </c>
      <c r="B482" s="71">
        <v>43617</v>
      </c>
      <c r="E482" s="15">
        <v>6</v>
      </c>
      <c r="F482" s="77">
        <v>11.101000000000001</v>
      </c>
      <c r="G482" s="82">
        <v>2.3E-2</v>
      </c>
      <c r="I482" s="27">
        <f>AVERAGE(F481:F482)</f>
        <v>10.130500000000001</v>
      </c>
      <c r="J482" s="27">
        <f>AVERAGE(G481:G482)</f>
        <v>2.3E-2</v>
      </c>
      <c r="L482">
        <f>+J482/I482</f>
        <v>2.2703716499679182E-3</v>
      </c>
      <c r="M482">
        <f>+(L482-$L$619)/$L$620</f>
        <v>-0.3421927555970421</v>
      </c>
      <c r="N482">
        <f>+N480+M482</f>
        <v>4.1954107533460459</v>
      </c>
    </row>
    <row r="483" spans="1:14">
      <c r="A483" s="15">
        <v>3</v>
      </c>
      <c r="B483" s="71">
        <v>43647</v>
      </c>
      <c r="C483" s="87" t="s">
        <v>93</v>
      </c>
      <c r="E483" s="15">
        <v>7</v>
      </c>
      <c r="F483" s="78">
        <v>8.9380000000000006</v>
      </c>
      <c r="G483" s="84">
        <v>8.9999999999999993E-3</v>
      </c>
    </row>
    <row r="484" spans="1:14">
      <c r="A484" s="15">
        <v>3</v>
      </c>
      <c r="B484" s="71">
        <v>43647</v>
      </c>
      <c r="C484" s="87" t="s">
        <v>95</v>
      </c>
      <c r="E484" s="15">
        <v>7</v>
      </c>
      <c r="F484" s="78">
        <v>16.071000000000002</v>
      </c>
      <c r="G484" s="84">
        <v>1.4999999999999999E-2</v>
      </c>
      <c r="I484" s="27">
        <f>AVERAGE(F483:F484)</f>
        <v>12.5045</v>
      </c>
      <c r="J484" s="27">
        <f>AVERAGE(G483:G484)</f>
        <v>1.2E-2</v>
      </c>
      <c r="L484">
        <f>+J484/I484</f>
        <v>9.5965452437122634E-4</v>
      </c>
      <c r="M484">
        <f>+(L484-$L$619)/$L$620</f>
        <v>-0.39033366595421654</v>
      </c>
      <c r="N484">
        <f>+N482+M484</f>
        <v>3.8050770873918291</v>
      </c>
    </row>
    <row r="485" spans="1:14">
      <c r="A485" s="15">
        <v>4</v>
      </c>
      <c r="B485" s="71">
        <v>43678</v>
      </c>
      <c r="C485" s="89" t="s">
        <v>99</v>
      </c>
      <c r="E485" s="15">
        <v>8</v>
      </c>
      <c r="F485" s="78">
        <v>8.6709999999999994</v>
      </c>
      <c r="G485" s="84">
        <v>5.0000000000000001E-3</v>
      </c>
    </row>
    <row r="486" spans="1:14">
      <c r="A486" s="15">
        <v>3</v>
      </c>
      <c r="B486" s="71">
        <v>43678</v>
      </c>
      <c r="C486" s="89" t="s">
        <v>94</v>
      </c>
      <c r="E486" s="15">
        <v>8</v>
      </c>
      <c r="F486" s="78">
        <v>9.99</v>
      </c>
      <c r="G486" s="84">
        <v>9.9989999999999996E-4</v>
      </c>
      <c r="I486" s="27">
        <f>AVERAGE(F485:F486)</f>
        <v>9.3305000000000007</v>
      </c>
      <c r="J486" s="27">
        <f>AVERAGE(G485:G486)</f>
        <v>2.9999499999999999E-3</v>
      </c>
      <c r="L486">
        <f>+J486/I486</f>
        <v>3.2152081881999889E-4</v>
      </c>
      <c r="M486">
        <f>+(L486-$L$619)/$L$620</f>
        <v>-0.41377147485661264</v>
      </c>
      <c r="N486">
        <f>+N484+M486</f>
        <v>3.3913056125352163</v>
      </c>
    </row>
    <row r="487" spans="1:14">
      <c r="A487" s="15">
        <v>4</v>
      </c>
      <c r="B487" s="71">
        <v>43709</v>
      </c>
      <c r="C487" s="86"/>
      <c r="E487" s="15">
        <v>9</v>
      </c>
      <c r="F487" s="78">
        <v>6.0039999999999996</v>
      </c>
      <c r="G487" s="84">
        <v>9.9989999999999996E-4</v>
      </c>
    </row>
    <row r="488" spans="1:14">
      <c r="A488" s="15">
        <v>3</v>
      </c>
      <c r="B488" s="71">
        <v>43709</v>
      </c>
      <c r="C488" s="86"/>
      <c r="E488" s="15">
        <v>9</v>
      </c>
      <c r="F488" s="78">
        <v>7.3659999999999997</v>
      </c>
      <c r="G488" s="84">
        <v>9.9989999999999996E-4</v>
      </c>
      <c r="I488" s="27">
        <f>AVERAGE(F487:F488)</f>
        <v>6.6849999999999996</v>
      </c>
      <c r="J488" s="27">
        <f>AVERAGE(G487:G488)</f>
        <v>9.9989999999999996E-4</v>
      </c>
      <c r="L488">
        <f>+J488/I488</f>
        <v>1.4957367240089753E-4</v>
      </c>
      <c r="M488">
        <f>+(L488-$L$619)/$L$620</f>
        <v>-0.42008686663740252</v>
      </c>
      <c r="N488">
        <f>+N486+M488</f>
        <v>2.9712187458978137</v>
      </c>
    </row>
    <row r="489" spans="1:14">
      <c r="A489" s="15">
        <v>4</v>
      </c>
      <c r="B489" s="71">
        <v>43739</v>
      </c>
      <c r="C489" s="86"/>
      <c r="E489" s="15">
        <v>10</v>
      </c>
      <c r="F489" s="78">
        <v>3.508</v>
      </c>
      <c r="G489" s="84">
        <v>8.9999999999999993E-3</v>
      </c>
      <c r="I489" s="27"/>
      <c r="J489" s="27"/>
    </row>
    <row r="490" spans="1:14">
      <c r="A490" s="15">
        <v>3</v>
      </c>
      <c r="B490" s="71">
        <v>43739</v>
      </c>
      <c r="C490" s="86"/>
      <c r="E490" s="15">
        <v>10</v>
      </c>
      <c r="F490" s="78">
        <v>4.0670000000000002</v>
      </c>
      <c r="G490" s="84">
        <v>1.2E-2</v>
      </c>
      <c r="I490" s="27">
        <f>AVERAGE(F489:F490)</f>
        <v>3.7875000000000001</v>
      </c>
      <c r="J490" s="27">
        <f>AVERAGE(G489:G490)</f>
        <v>1.0499999999999999E-2</v>
      </c>
      <c r="L490">
        <f>+J490/I490</f>
        <v>2.7722772277227721E-3</v>
      </c>
      <c r="M490">
        <f>+(L490-$L$619)/$L$620</f>
        <v>-0.32375842605743022</v>
      </c>
      <c r="N490">
        <f>+N488+M490</f>
        <v>2.6474603198403832</v>
      </c>
    </row>
    <row r="491" spans="1:14">
      <c r="A491" s="15">
        <v>4</v>
      </c>
      <c r="B491" s="71">
        <v>43770</v>
      </c>
      <c r="C491" s="86"/>
      <c r="E491" s="15">
        <v>11</v>
      </c>
      <c r="I491" s="27"/>
      <c r="J491" s="27"/>
    </row>
    <row r="492" spans="1:14">
      <c r="A492" s="15">
        <v>3</v>
      </c>
      <c r="B492" s="71">
        <v>43770</v>
      </c>
      <c r="C492" s="86"/>
      <c r="E492" s="15">
        <v>11</v>
      </c>
      <c r="I492" s="27"/>
      <c r="J492" s="27"/>
    </row>
    <row r="493" spans="1:14">
      <c r="A493" s="15">
        <v>4</v>
      </c>
      <c r="B493" s="72">
        <v>43800</v>
      </c>
      <c r="C493" s="86"/>
      <c r="E493" s="15">
        <v>12</v>
      </c>
      <c r="F493" s="78">
        <v>5.9329999999999998</v>
      </c>
      <c r="G493" s="85">
        <v>9.9989999999999996E-4</v>
      </c>
    </row>
    <row r="494" spans="1:14">
      <c r="A494" s="15">
        <v>3</v>
      </c>
      <c r="B494" s="71">
        <v>43800</v>
      </c>
      <c r="C494" s="86"/>
      <c r="E494" s="15">
        <v>12</v>
      </c>
      <c r="I494" s="27">
        <f>AVERAGE(F493:F494)</f>
        <v>5.9329999999999998</v>
      </c>
      <c r="J494" s="27">
        <f>AVERAGE(G493:G494)</f>
        <v>9.9989999999999996E-4</v>
      </c>
      <c r="L494">
        <f>+J494/I494</f>
        <v>1.6853193999662901E-4</v>
      </c>
      <c r="M494">
        <f>+(L494-$L$619)/$L$620</f>
        <v>-0.41939055448657292</v>
      </c>
      <c r="N494">
        <f>+N490+M494</f>
        <v>2.2280697653538102</v>
      </c>
    </row>
    <row r="495" spans="1:14">
      <c r="A495" s="93">
        <v>3</v>
      </c>
      <c r="B495" s="90">
        <v>43831</v>
      </c>
      <c r="C495" s="91">
        <v>2020</v>
      </c>
      <c r="D495" s="92" t="s">
        <v>39</v>
      </c>
      <c r="E495" s="93">
        <v>1</v>
      </c>
    </row>
    <row r="496" spans="1:14">
      <c r="A496" s="15">
        <v>4</v>
      </c>
      <c r="B496" s="73">
        <v>43831</v>
      </c>
      <c r="C496">
        <v>2020</v>
      </c>
      <c r="D496" s="11" t="s">
        <v>39</v>
      </c>
      <c r="E496" s="15">
        <v>1</v>
      </c>
      <c r="I496" s="27"/>
      <c r="J496" s="27"/>
    </row>
    <row r="497" spans="1:14">
      <c r="A497" s="15">
        <v>3</v>
      </c>
      <c r="B497" s="71">
        <v>43862</v>
      </c>
      <c r="C497">
        <v>2020</v>
      </c>
      <c r="D497" s="11" t="s">
        <v>28</v>
      </c>
      <c r="E497" s="15">
        <v>2</v>
      </c>
      <c r="F497" s="95">
        <v>1.099</v>
      </c>
      <c r="G497" s="95">
        <v>9.9989999999999996E-4</v>
      </c>
    </row>
    <row r="498" spans="1:14">
      <c r="A498" s="15">
        <v>4</v>
      </c>
      <c r="B498" s="71">
        <v>43862</v>
      </c>
      <c r="C498">
        <v>2020</v>
      </c>
      <c r="D498" s="11" t="s">
        <v>28</v>
      </c>
      <c r="E498" s="15">
        <v>2</v>
      </c>
      <c r="F498" s="95">
        <v>2.0640000000000001</v>
      </c>
      <c r="G498" s="95">
        <v>9.9989999999999996E-4</v>
      </c>
      <c r="I498" s="27">
        <f>AVERAGE(F497:F498)</f>
        <v>1.5815000000000001</v>
      </c>
      <c r="J498" s="27">
        <f>AVERAGE(G497:G498)</f>
        <v>9.9989999999999996E-4</v>
      </c>
      <c r="L498">
        <f>+J498/I498</f>
        <v>6.322478659500473E-4</v>
      </c>
      <c r="M498">
        <f>+(L498-$L$619)/$L$620</f>
        <v>-0.40235888046129081</v>
      </c>
      <c r="N498">
        <f>+N494+M498</f>
        <v>1.8257108848925194</v>
      </c>
    </row>
    <row r="499" spans="1:14">
      <c r="A499" s="15">
        <v>3</v>
      </c>
      <c r="B499" s="71">
        <v>43891</v>
      </c>
      <c r="C499">
        <v>2020</v>
      </c>
      <c r="D499" s="11" t="s">
        <v>29</v>
      </c>
      <c r="E499" s="15">
        <v>3</v>
      </c>
    </row>
    <row r="500" spans="1:14">
      <c r="A500" s="15">
        <v>4</v>
      </c>
      <c r="B500" s="71">
        <v>43891</v>
      </c>
      <c r="C500">
        <v>2020</v>
      </c>
      <c r="D500" s="11" t="s">
        <v>29</v>
      </c>
      <c r="E500" s="15">
        <v>3</v>
      </c>
    </row>
    <row r="501" spans="1:14">
      <c r="A501" s="15">
        <v>3</v>
      </c>
      <c r="B501" s="71">
        <v>43922</v>
      </c>
      <c r="C501">
        <v>2020</v>
      </c>
      <c r="D501" s="11" t="s">
        <v>30</v>
      </c>
      <c r="E501" s="15">
        <v>4</v>
      </c>
    </row>
    <row r="502" spans="1:14">
      <c r="A502" s="15">
        <v>4</v>
      </c>
      <c r="B502" s="71">
        <v>43922</v>
      </c>
      <c r="C502">
        <v>2020</v>
      </c>
      <c r="D502" s="11" t="s">
        <v>30</v>
      </c>
      <c r="E502" s="15">
        <v>4</v>
      </c>
    </row>
    <row r="503" spans="1:14">
      <c r="A503" s="15">
        <v>3</v>
      </c>
      <c r="B503" s="71">
        <v>43952</v>
      </c>
      <c r="C503">
        <v>2020</v>
      </c>
      <c r="D503" s="11" t="s">
        <v>31</v>
      </c>
      <c r="E503" s="15">
        <v>5</v>
      </c>
    </row>
    <row r="504" spans="1:14">
      <c r="A504" s="15">
        <v>4</v>
      </c>
      <c r="B504" s="71">
        <v>43952</v>
      </c>
      <c r="C504">
        <v>2020</v>
      </c>
      <c r="D504" s="11" t="s">
        <v>31</v>
      </c>
      <c r="E504" s="15">
        <v>5</v>
      </c>
    </row>
    <row r="505" spans="1:14">
      <c r="A505" s="15">
        <v>3</v>
      </c>
      <c r="B505" s="71">
        <v>43983</v>
      </c>
      <c r="C505">
        <v>2020</v>
      </c>
      <c r="D505" s="11" t="s">
        <v>32</v>
      </c>
      <c r="E505" s="15">
        <v>6</v>
      </c>
      <c r="F505" s="95">
        <v>7.609</v>
      </c>
      <c r="G505" s="95">
        <v>9.9989999999999996E-4</v>
      </c>
    </row>
    <row r="506" spans="1:14">
      <c r="A506" s="15">
        <v>4</v>
      </c>
      <c r="B506" s="71">
        <v>43983</v>
      </c>
      <c r="C506">
        <v>2020</v>
      </c>
      <c r="D506" s="11" t="s">
        <v>32</v>
      </c>
      <c r="E506" s="15">
        <v>6</v>
      </c>
      <c r="F506" s="95">
        <v>15.394</v>
      </c>
      <c r="G506" s="95">
        <v>9.9989999999999996E-4</v>
      </c>
      <c r="I506" s="27">
        <f>AVERAGE(F505:F506)</f>
        <v>11.5015</v>
      </c>
      <c r="J506" s="27">
        <f>AVERAGE(G505:G506)</f>
        <v>9.9989999999999996E-4</v>
      </c>
      <c r="L506">
        <f>+J506/I506</f>
        <v>8.693648654523323E-5</v>
      </c>
      <c r="M506">
        <f>+(L506-$L$619)/$L$620</f>
        <v>-0.42238744781576354</v>
      </c>
      <c r="N506">
        <f>+N498+M506</f>
        <v>1.403323437076756</v>
      </c>
    </row>
    <row r="507" spans="1:14">
      <c r="A507" s="15">
        <v>3</v>
      </c>
      <c r="B507" s="71">
        <v>44013</v>
      </c>
      <c r="C507">
        <v>2020</v>
      </c>
      <c r="D507" s="11" t="s">
        <v>33</v>
      </c>
      <c r="E507" s="15">
        <v>7</v>
      </c>
      <c r="F507" s="95">
        <v>18.829000000000001</v>
      </c>
      <c r="G507" s="95">
        <v>0.01</v>
      </c>
    </row>
    <row r="508" spans="1:14">
      <c r="A508" s="15">
        <v>4</v>
      </c>
      <c r="B508" s="71">
        <v>44013</v>
      </c>
      <c r="C508">
        <v>2020</v>
      </c>
      <c r="D508" s="11" t="s">
        <v>33</v>
      </c>
      <c r="E508" s="15">
        <v>7</v>
      </c>
      <c r="F508" s="95">
        <v>29.629000000000001</v>
      </c>
      <c r="G508" s="95">
        <v>1.2999999999999999E-2</v>
      </c>
      <c r="I508" s="27">
        <f t="shared" ref="I508" si="1">AVERAGE(F507:F508)</f>
        <v>24.228999999999999</v>
      </c>
      <c r="J508" s="27">
        <f t="shared" ref="J508" si="2">AVERAGE(G507:G508)</f>
        <v>1.15E-2</v>
      </c>
      <c r="L508">
        <f t="shared" ref="L508" si="3">+J508/I508</f>
        <v>4.7463783069874946E-4</v>
      </c>
      <c r="M508">
        <f t="shared" ref="M508" si="4">+(L508-$L$619)/$L$620</f>
        <v>-0.40814768906861687</v>
      </c>
      <c r="N508">
        <f>+N506+M508</f>
        <v>0.99517574800813913</v>
      </c>
    </row>
    <row r="509" spans="1:14">
      <c r="A509" s="15">
        <v>3</v>
      </c>
      <c r="B509" s="71">
        <v>44044</v>
      </c>
      <c r="C509">
        <v>2020</v>
      </c>
      <c r="D509" s="11" t="s">
        <v>34</v>
      </c>
      <c r="E509" s="15">
        <v>8</v>
      </c>
      <c r="F509" s="95">
        <v>18.225000000000001</v>
      </c>
      <c r="G509" s="95">
        <v>0.03</v>
      </c>
    </row>
    <row r="510" spans="1:14">
      <c r="A510" s="15">
        <v>4</v>
      </c>
      <c r="B510" s="71">
        <v>44044</v>
      </c>
      <c r="C510">
        <v>2020</v>
      </c>
      <c r="D510" s="11" t="s">
        <v>34</v>
      </c>
      <c r="E510" s="15">
        <v>8</v>
      </c>
      <c r="F510" s="95">
        <v>39.006</v>
      </c>
      <c r="G510" s="95">
        <v>2.5999999999999999E-2</v>
      </c>
      <c r="I510" s="27">
        <f t="shared" ref="I510" si="5">AVERAGE(F509:F510)</f>
        <v>28.615500000000001</v>
      </c>
      <c r="J510" s="27">
        <f t="shared" ref="J510" si="6">AVERAGE(G509:G510)</f>
        <v>2.7999999999999997E-2</v>
      </c>
      <c r="L510">
        <f t="shared" ref="L510" si="7">+J510/I510</f>
        <v>9.7849067812898595E-4</v>
      </c>
      <c r="M510">
        <f t="shared" ref="M510" si="8">+(L510-$L$619)/$L$620</f>
        <v>-0.38964183888351017</v>
      </c>
      <c r="N510">
        <f t="shared" ref="N510" si="9">+N508+M510</f>
        <v>0.60553390912462901</v>
      </c>
    </row>
    <row r="511" spans="1:14">
      <c r="A511" s="15">
        <v>3</v>
      </c>
      <c r="B511" s="71">
        <v>44075</v>
      </c>
      <c r="C511">
        <v>2020</v>
      </c>
      <c r="D511" s="11" t="s">
        <v>40</v>
      </c>
      <c r="E511" s="15">
        <v>9</v>
      </c>
      <c r="F511" s="95">
        <v>6.5069999999999997</v>
      </c>
      <c r="G511" s="95">
        <v>1.4999999999999999E-2</v>
      </c>
    </row>
    <row r="512" spans="1:14">
      <c r="A512" s="15">
        <v>4</v>
      </c>
      <c r="B512" s="71">
        <v>44075</v>
      </c>
      <c r="C512">
        <v>2020</v>
      </c>
      <c r="D512" s="11" t="s">
        <v>40</v>
      </c>
      <c r="E512" s="15">
        <v>9</v>
      </c>
      <c r="F512" s="95">
        <v>6.9</v>
      </c>
      <c r="G512" s="95">
        <v>5.8999999999999997E-2</v>
      </c>
      <c r="I512" s="27">
        <f t="shared" ref="I512" si="10">AVERAGE(F511:F512)</f>
        <v>6.7035</v>
      </c>
      <c r="J512" s="27">
        <f t="shared" ref="J512" si="11">AVERAGE(G511:G512)</f>
        <v>3.6999999999999998E-2</v>
      </c>
      <c r="L512">
        <f t="shared" ref="L512" si="12">+J512/I512</f>
        <v>5.519504736331767E-3</v>
      </c>
      <c r="M512">
        <f t="shared" ref="M512" si="13">+(L512-$L$619)/$L$620</f>
        <v>-0.22285638499917998</v>
      </c>
      <c r="N512">
        <f t="shared" ref="N512" si="14">+N510+M512</f>
        <v>0.38267752412544903</v>
      </c>
    </row>
    <row r="513" spans="1:14">
      <c r="A513" s="15">
        <v>3</v>
      </c>
      <c r="B513" s="71">
        <v>44105</v>
      </c>
      <c r="C513">
        <v>2020</v>
      </c>
      <c r="D513" s="11" t="s">
        <v>36</v>
      </c>
      <c r="E513" s="15">
        <v>10</v>
      </c>
      <c r="F513" s="95">
        <v>4.202</v>
      </c>
      <c r="G513" s="95">
        <v>1.4999999999999999E-2</v>
      </c>
    </row>
    <row r="514" spans="1:14">
      <c r="A514" s="15">
        <v>4</v>
      </c>
      <c r="B514" s="71">
        <v>44105</v>
      </c>
      <c r="C514">
        <v>2020</v>
      </c>
      <c r="D514" s="11" t="s">
        <v>36</v>
      </c>
      <c r="E514" s="15">
        <v>10</v>
      </c>
      <c r="F514" s="95">
        <v>6.7469999999999999</v>
      </c>
      <c r="G514" s="95">
        <v>2.9000000000000001E-2</v>
      </c>
      <c r="I514" s="27">
        <f t="shared" ref="I514" si="15">AVERAGE(F513:F514)</f>
        <v>5.4744999999999999</v>
      </c>
      <c r="J514" s="27">
        <f t="shared" ref="J514" si="16">AVERAGE(G513:G514)</f>
        <v>2.1999999999999999E-2</v>
      </c>
      <c r="L514">
        <f t="shared" ref="L514" si="17">+J514/I514</f>
        <v>4.0186318385240661E-3</v>
      </c>
      <c r="M514">
        <f t="shared" ref="M514" si="18">+(L514-$L$619)/$L$620</f>
        <v>-0.27798146593377171</v>
      </c>
      <c r="N514">
        <f t="shared" ref="N514" si="19">+N512+M514</f>
        <v>0.10469605819167732</v>
      </c>
    </row>
    <row r="515" spans="1:14">
      <c r="A515" s="15">
        <v>3</v>
      </c>
      <c r="B515" s="71">
        <v>44136</v>
      </c>
      <c r="C515">
        <v>2020</v>
      </c>
      <c r="D515" s="11" t="s">
        <v>37</v>
      </c>
      <c r="E515" s="15">
        <v>11</v>
      </c>
      <c r="F515" s="95">
        <v>4.1719999999999997</v>
      </c>
      <c r="G515" s="95">
        <v>9.9989999999999996E-4</v>
      </c>
    </row>
    <row r="516" spans="1:14">
      <c r="A516" s="15">
        <v>4</v>
      </c>
      <c r="B516" s="71">
        <v>44136</v>
      </c>
      <c r="C516">
        <v>2020</v>
      </c>
      <c r="D516" s="11" t="s">
        <v>37</v>
      </c>
      <c r="E516" s="15">
        <v>11</v>
      </c>
      <c r="F516" s="95">
        <v>7.7880000000000003</v>
      </c>
      <c r="G516" s="95">
        <v>1.4999999999999999E-2</v>
      </c>
      <c r="I516" s="27">
        <f t="shared" ref="I516" si="20">AVERAGE(F515:F516)</f>
        <v>5.98</v>
      </c>
      <c r="J516" s="27">
        <f t="shared" ref="J516" si="21">AVERAGE(G515:G516)</f>
        <v>7.9999500000000005E-3</v>
      </c>
      <c r="L516">
        <f t="shared" ref="L516" si="22">+J516/I516</f>
        <v>1.3377842809364549E-3</v>
      </c>
      <c r="M516">
        <f t="shared" ref="M516" si="23">+(L516-$L$619)/$L$620</f>
        <v>-0.37644545898820175</v>
      </c>
      <c r="N516">
        <f t="shared" ref="N516" si="24">+N514+M516</f>
        <v>-0.27174940079652443</v>
      </c>
    </row>
    <row r="517" spans="1:14">
      <c r="A517" s="15">
        <v>3</v>
      </c>
      <c r="B517" s="72">
        <v>44166</v>
      </c>
      <c r="C517">
        <v>2020</v>
      </c>
      <c r="D517" s="11" t="s">
        <v>38</v>
      </c>
      <c r="E517" s="15">
        <v>12</v>
      </c>
    </row>
    <row r="518" spans="1:14">
      <c r="A518" s="15">
        <v>4</v>
      </c>
      <c r="B518" s="71">
        <v>44166</v>
      </c>
      <c r="C518">
        <v>2020</v>
      </c>
      <c r="D518" s="11" t="s">
        <v>38</v>
      </c>
      <c r="E518" s="15">
        <v>12</v>
      </c>
      <c r="I518" s="27"/>
      <c r="J518" s="27"/>
    </row>
    <row r="519" spans="1:14">
      <c r="A519" s="93">
        <v>3</v>
      </c>
      <c r="B519" s="90">
        <v>44197</v>
      </c>
      <c r="C519" s="91">
        <v>2021</v>
      </c>
      <c r="D519" s="92" t="s">
        <v>39</v>
      </c>
      <c r="E519" s="93">
        <v>1</v>
      </c>
    </row>
    <row r="520" spans="1:14">
      <c r="A520" s="15">
        <v>4</v>
      </c>
      <c r="B520" s="73">
        <v>44197</v>
      </c>
      <c r="C520">
        <v>2021</v>
      </c>
      <c r="D520" s="11" t="s">
        <v>39</v>
      </c>
      <c r="E520" s="15">
        <v>1</v>
      </c>
      <c r="I520" s="27"/>
      <c r="J520" s="27"/>
    </row>
    <row r="521" spans="1:14">
      <c r="A521" s="15">
        <v>3</v>
      </c>
      <c r="B521" s="71">
        <v>44228</v>
      </c>
      <c r="C521">
        <v>2021</v>
      </c>
      <c r="D521" s="11" t="s">
        <v>28</v>
      </c>
      <c r="E521" s="15">
        <v>2</v>
      </c>
      <c r="F521" s="95">
        <v>2.4740000000000002</v>
      </c>
      <c r="G521" s="95">
        <v>9.9989999999999996E-4</v>
      </c>
    </row>
    <row r="522" spans="1:14">
      <c r="A522" s="15">
        <v>4</v>
      </c>
      <c r="B522" s="71">
        <v>44228</v>
      </c>
      <c r="C522">
        <v>2021</v>
      </c>
      <c r="D522" s="11" t="s">
        <v>28</v>
      </c>
      <c r="E522" s="15">
        <v>2</v>
      </c>
      <c r="F522" s="95">
        <v>1.571</v>
      </c>
      <c r="G522" s="95">
        <v>8.9999999999999993E-3</v>
      </c>
      <c r="I522" s="27">
        <f t="shared" ref="I522" si="25">AVERAGE(F521:F522)</f>
        <v>2.0225</v>
      </c>
      <c r="J522" s="27">
        <f t="shared" ref="J522" si="26">AVERAGE(G521:G522)</f>
        <v>4.9999499999999995E-3</v>
      </c>
      <c r="L522">
        <f t="shared" ref="L522" si="27">+J522/I522</f>
        <v>2.4721631644004944E-3</v>
      </c>
      <c r="M522">
        <f t="shared" ref="M522" si="28">+(L522-$L$619)/$L$620</f>
        <v>-0.33478121956273976</v>
      </c>
      <c r="N522">
        <f>+N516+M522</f>
        <v>-0.60653062035926419</v>
      </c>
    </row>
    <row r="523" spans="1:14">
      <c r="A523" s="15">
        <v>3</v>
      </c>
      <c r="B523" s="71">
        <v>44256</v>
      </c>
      <c r="C523">
        <v>2021</v>
      </c>
      <c r="D523" s="11" t="s">
        <v>29</v>
      </c>
      <c r="E523" s="15">
        <v>3</v>
      </c>
      <c r="F523" s="95">
        <v>1.22</v>
      </c>
      <c r="G523" s="95">
        <v>9.9989999999999996E-4</v>
      </c>
    </row>
    <row r="524" spans="1:14">
      <c r="A524" s="15">
        <v>4</v>
      </c>
      <c r="B524" s="71">
        <v>44256</v>
      </c>
      <c r="C524">
        <v>2021</v>
      </c>
      <c r="D524" s="11" t="s">
        <v>29</v>
      </c>
      <c r="E524" s="15">
        <v>3</v>
      </c>
      <c r="F524" s="95">
        <v>2.097</v>
      </c>
      <c r="G524" s="95">
        <v>1.2E-2</v>
      </c>
      <c r="I524" s="27">
        <f t="shared" ref="I524" si="29">AVERAGE(F523:F524)</f>
        <v>1.6585000000000001</v>
      </c>
      <c r="J524" s="27">
        <f t="shared" ref="J524" si="30">AVERAGE(G523:G524)</f>
        <v>6.49995E-3</v>
      </c>
      <c r="L524">
        <f t="shared" ref="L524" si="31">+J524/I524</f>
        <v>3.9191739523665959E-3</v>
      </c>
      <c r="M524">
        <f t="shared" ref="M524" si="32">+(L524-$L$619)/$L$620</f>
        <v>-0.2816344228443951</v>
      </c>
      <c r="N524">
        <f t="shared" ref="N524" si="33">+N522+M524</f>
        <v>-0.8881650432036593</v>
      </c>
    </row>
    <row r="525" spans="1:14">
      <c r="A525" s="15">
        <v>3</v>
      </c>
      <c r="B525" s="71">
        <v>44287</v>
      </c>
      <c r="C525">
        <v>2021</v>
      </c>
      <c r="D525" s="11" t="s">
        <v>30</v>
      </c>
      <c r="E525" s="15">
        <v>4</v>
      </c>
      <c r="F525" s="95">
        <v>1.103</v>
      </c>
      <c r="G525" s="95">
        <v>9.9989999999999996E-4</v>
      </c>
    </row>
    <row r="526" spans="1:14">
      <c r="A526" s="15">
        <v>4</v>
      </c>
      <c r="B526" s="71">
        <v>44287</v>
      </c>
      <c r="C526">
        <v>2021</v>
      </c>
      <c r="D526" s="11" t="s">
        <v>30</v>
      </c>
      <c r="E526" s="15">
        <v>4</v>
      </c>
      <c r="F526" s="95">
        <v>3.827</v>
      </c>
      <c r="G526" s="95">
        <v>9.9989999999999996E-4</v>
      </c>
      <c r="I526" s="27">
        <f t="shared" ref="I526" si="34">AVERAGE(F525:F526)</f>
        <v>2.4649999999999999</v>
      </c>
      <c r="J526" s="27">
        <f t="shared" ref="J526" si="35">AVERAGE(G525:G526)</f>
        <v>9.9989999999999996E-4</v>
      </c>
      <c r="L526">
        <f t="shared" ref="L526" si="36">+J526/I526</f>
        <v>4.0563894523326573E-4</v>
      </c>
      <c r="M526">
        <f t="shared" ref="M526" si="37">+(L526-$L$619)/$L$620</f>
        <v>-0.41068192707853574</v>
      </c>
      <c r="N526">
        <f t="shared" ref="N526" si="38">+N524+M526</f>
        <v>-1.298846970282195</v>
      </c>
    </row>
    <row r="527" spans="1:14">
      <c r="A527" s="15">
        <v>3</v>
      </c>
      <c r="B527" s="71">
        <v>44317</v>
      </c>
      <c r="C527">
        <v>2021</v>
      </c>
      <c r="D527" s="11" t="s">
        <v>31</v>
      </c>
      <c r="E527" s="15">
        <v>5</v>
      </c>
      <c r="F527" s="95">
        <v>2.65</v>
      </c>
      <c r="G527" s="95">
        <v>1.9E-2</v>
      </c>
    </row>
    <row r="528" spans="1:14">
      <c r="A528" s="15">
        <v>4</v>
      </c>
      <c r="B528" s="71">
        <v>44317</v>
      </c>
      <c r="C528">
        <v>2021</v>
      </c>
      <c r="D528" s="11" t="s">
        <v>31</v>
      </c>
      <c r="E528" s="15">
        <v>5</v>
      </c>
      <c r="F528" s="95">
        <v>5.2370000000000001</v>
      </c>
      <c r="G528" s="95">
        <v>9.8000000000000004E-2</v>
      </c>
      <c r="I528" s="27">
        <f t="shared" ref="I528" si="39">AVERAGE(F527:F528)</f>
        <v>3.9435000000000002</v>
      </c>
      <c r="J528" s="27">
        <f t="shared" ref="J528" si="40">AVERAGE(G527:G528)</f>
        <v>5.8500000000000003E-2</v>
      </c>
      <c r="L528">
        <f t="shared" ref="L528" si="41">+J528/I528</f>
        <v>1.4834537847090148E-2</v>
      </c>
      <c r="M528">
        <f t="shared" ref="M528" si="42">+(L528-$L$619)/$L$620</f>
        <v>0.11927248873090511</v>
      </c>
      <c r="N528">
        <f t="shared" ref="N528" si="43">+N526+M528</f>
        <v>-1.1795744815512899</v>
      </c>
    </row>
    <row r="529" spans="1:14">
      <c r="A529" s="15">
        <v>3</v>
      </c>
      <c r="B529" s="71">
        <v>44348</v>
      </c>
      <c r="C529">
        <v>2021</v>
      </c>
      <c r="D529" s="11" t="s">
        <v>32</v>
      </c>
      <c r="E529" s="15">
        <v>6</v>
      </c>
      <c r="F529" s="95">
        <v>9.4239999999999995</v>
      </c>
      <c r="G529" s="95">
        <v>4.3999999999999997E-2</v>
      </c>
    </row>
    <row r="530" spans="1:14">
      <c r="A530" s="15">
        <v>4</v>
      </c>
      <c r="B530" s="71">
        <v>44348</v>
      </c>
      <c r="C530">
        <v>2021</v>
      </c>
      <c r="D530" s="11" t="s">
        <v>32</v>
      </c>
      <c r="E530" s="15">
        <v>6</v>
      </c>
      <c r="F530" s="95">
        <v>16.710999999999999</v>
      </c>
      <c r="G530" s="95">
        <v>0.113</v>
      </c>
      <c r="I530" s="27">
        <f t="shared" ref="I530" si="44">AVERAGE(F529:F530)</f>
        <v>13.067499999999999</v>
      </c>
      <c r="J530" s="27">
        <f t="shared" ref="J530" si="45">AVERAGE(G529:G530)</f>
        <v>7.85E-2</v>
      </c>
      <c r="L530">
        <f t="shared" ref="L530" si="46">+J530/I530</f>
        <v>6.0072699445188451E-3</v>
      </c>
      <c r="M530">
        <f t="shared" ref="M530" si="47">+(L530-$L$619)/$L$620</f>
        <v>-0.20494141257368967</v>
      </c>
      <c r="N530">
        <f t="shared" ref="N530" si="48">+N528+M530</f>
        <v>-1.3845158941249796</v>
      </c>
    </row>
    <row r="531" spans="1:14">
      <c r="A531" s="15">
        <v>3</v>
      </c>
      <c r="B531" s="71">
        <v>44378</v>
      </c>
      <c r="C531">
        <v>2021</v>
      </c>
      <c r="D531" s="11" t="s">
        <v>33</v>
      </c>
      <c r="E531" s="15">
        <v>7</v>
      </c>
      <c r="H531" s="96" t="s">
        <v>100</v>
      </c>
    </row>
    <row r="532" spans="1:14">
      <c r="A532" s="15">
        <v>4</v>
      </c>
      <c r="B532" s="71">
        <v>44378</v>
      </c>
      <c r="C532">
        <v>2021</v>
      </c>
      <c r="D532" s="11" t="s">
        <v>33</v>
      </c>
      <c r="E532" s="15">
        <v>7</v>
      </c>
      <c r="H532" s="96" t="s">
        <v>101</v>
      </c>
      <c r="I532" s="27"/>
      <c r="J532" s="27"/>
    </row>
    <row r="533" spans="1:14">
      <c r="A533" s="15">
        <v>3</v>
      </c>
      <c r="B533" s="71">
        <v>44409</v>
      </c>
      <c r="C533">
        <v>2021</v>
      </c>
      <c r="D533" s="11" t="s">
        <v>34</v>
      </c>
      <c r="E533" s="15">
        <v>8</v>
      </c>
      <c r="F533" s="95">
        <v>9.8279999999999994</v>
      </c>
      <c r="G533" s="95">
        <v>9.9989999999999996E-4</v>
      </c>
    </row>
    <row r="534" spans="1:14">
      <c r="A534" s="15">
        <v>4</v>
      </c>
      <c r="B534" s="71">
        <v>44409</v>
      </c>
      <c r="C534">
        <v>2021</v>
      </c>
      <c r="D534" s="11" t="s">
        <v>34</v>
      </c>
      <c r="E534" s="15">
        <v>8</v>
      </c>
      <c r="F534" s="95">
        <v>13.459</v>
      </c>
      <c r="G534" s="95">
        <v>4.1000000000000002E-2</v>
      </c>
      <c r="I534" s="27">
        <f t="shared" ref="I534" si="49">AVERAGE(F533:F534)</f>
        <v>11.6435</v>
      </c>
      <c r="J534" s="27">
        <f t="shared" ref="J534" si="50">AVERAGE(G533:G534)</f>
        <v>2.099995E-2</v>
      </c>
      <c r="L534">
        <f t="shared" ref="L534" si="51">+J534/I534</f>
        <v>1.8035771031047366E-3</v>
      </c>
      <c r="M534">
        <f t="shared" ref="M534" si="52">+(L534-$L$619)/$L$620</f>
        <v>-0.35933750330568909</v>
      </c>
      <c r="N534">
        <f>+N530+M534</f>
        <v>-1.7438533974306687</v>
      </c>
    </row>
    <row r="535" spans="1:14">
      <c r="A535" s="15">
        <v>3</v>
      </c>
      <c r="B535" s="71">
        <v>44440</v>
      </c>
      <c r="C535">
        <v>2021</v>
      </c>
      <c r="D535" s="11" t="s">
        <v>40</v>
      </c>
      <c r="E535" s="15">
        <v>9</v>
      </c>
      <c r="F535" s="95">
        <v>5.9969999999999999</v>
      </c>
      <c r="G535" s="95">
        <v>9.9989999999999996E-4</v>
      </c>
    </row>
    <row r="536" spans="1:14">
      <c r="A536" s="15">
        <v>4</v>
      </c>
      <c r="B536" s="71">
        <v>44440</v>
      </c>
      <c r="C536">
        <v>2021</v>
      </c>
      <c r="D536" s="11" t="s">
        <v>40</v>
      </c>
      <c r="E536" s="15">
        <v>9</v>
      </c>
      <c r="F536" s="95">
        <v>7.9829999999999997</v>
      </c>
      <c r="G536" s="95">
        <v>5.1999999999999998E-2</v>
      </c>
      <c r="I536" s="27">
        <f t="shared" ref="I536" si="53">AVERAGE(F535:F536)</f>
        <v>6.99</v>
      </c>
      <c r="J536" s="27">
        <f t="shared" ref="J536" si="54">AVERAGE(G535:G536)</f>
        <v>2.6499949999999998E-2</v>
      </c>
      <c r="L536">
        <f t="shared" ref="L536" si="55">+J536/I536</f>
        <v>3.7911230329041486E-3</v>
      </c>
      <c r="M536">
        <f t="shared" ref="M536" si="56">+(L536-$L$619)/$L$620</f>
        <v>-0.28633756413599082</v>
      </c>
      <c r="N536">
        <f t="shared" ref="N536" si="57">+N534+M536</f>
        <v>-2.0301909615666593</v>
      </c>
    </row>
    <row r="537" spans="1:14">
      <c r="A537" s="15">
        <v>3</v>
      </c>
      <c r="B537" s="71">
        <v>44470</v>
      </c>
      <c r="C537">
        <v>2021</v>
      </c>
      <c r="D537" s="11" t="s">
        <v>36</v>
      </c>
      <c r="E537" s="15">
        <v>10</v>
      </c>
      <c r="F537" s="95">
        <v>17.079999999999998</v>
      </c>
      <c r="G537" s="95">
        <v>0.27100000000000002</v>
      </c>
    </row>
    <row r="538" spans="1:14">
      <c r="A538" s="15">
        <v>4</v>
      </c>
      <c r="B538" s="71">
        <v>44470</v>
      </c>
      <c r="C538">
        <v>2021</v>
      </c>
      <c r="D538" s="11" t="s">
        <v>36</v>
      </c>
      <c r="E538" s="15">
        <v>10</v>
      </c>
      <c r="F538" s="95">
        <v>17.716999999999999</v>
      </c>
      <c r="G538" s="95">
        <v>0.29799999999999999</v>
      </c>
      <c r="I538" s="27">
        <f t="shared" ref="I538" si="58">AVERAGE(F537:F538)</f>
        <v>17.398499999999999</v>
      </c>
      <c r="J538" s="27">
        <f t="shared" ref="J538" si="59">AVERAGE(G537:G538)</f>
        <v>0.28449999999999998</v>
      </c>
      <c r="L538">
        <f t="shared" ref="L538" si="60">+J538/I538</f>
        <v>1.6351984366468373E-2</v>
      </c>
      <c r="M538">
        <f t="shared" ref="M538" si="61">+(L538-$L$619)/$L$620</f>
        <v>0.17500629691467895</v>
      </c>
      <c r="N538">
        <f t="shared" ref="N538" si="62">+N536+M538</f>
        <v>-1.8551846646519805</v>
      </c>
    </row>
    <row r="539" spans="1:14">
      <c r="A539" s="15">
        <v>3</v>
      </c>
      <c r="B539" s="71">
        <v>44501</v>
      </c>
      <c r="C539">
        <v>2021</v>
      </c>
      <c r="D539" s="11" t="s">
        <v>37</v>
      </c>
      <c r="E539" s="15">
        <v>11</v>
      </c>
      <c r="F539" s="95">
        <v>13.411</v>
      </c>
      <c r="G539" s="95">
        <v>0.218</v>
      </c>
    </row>
    <row r="540" spans="1:14">
      <c r="A540" s="15">
        <v>4</v>
      </c>
      <c r="B540" s="71">
        <v>44501</v>
      </c>
      <c r="C540">
        <v>2021</v>
      </c>
      <c r="D540" s="11" t="s">
        <v>37</v>
      </c>
      <c r="E540" s="15">
        <v>11</v>
      </c>
      <c r="F540" s="95">
        <v>13.923999999999999</v>
      </c>
      <c r="G540" s="95">
        <v>0.23100000000000001</v>
      </c>
      <c r="I540" s="27">
        <f t="shared" ref="I540" si="63">AVERAGE(F539:F540)</f>
        <v>13.6675</v>
      </c>
      <c r="J540" s="27">
        <f t="shared" ref="J540" si="64">AVERAGE(G539:G540)</f>
        <v>0.22450000000000001</v>
      </c>
      <c r="L540">
        <f t="shared" ref="L540" si="65">+J540/I540</f>
        <v>1.6425827693433329E-2</v>
      </c>
      <c r="M540">
        <f t="shared" ref="M540" si="66">+(L540-$L$619)/$L$620</f>
        <v>0.17771846486798706</v>
      </c>
      <c r="N540">
        <f t="shared" ref="N540" si="67">+N538+M540</f>
        <v>-1.6774661997839935</v>
      </c>
    </row>
    <row r="541" spans="1:14">
      <c r="A541" s="15">
        <v>3</v>
      </c>
      <c r="B541" s="72">
        <v>44531</v>
      </c>
      <c r="C541">
        <v>2021</v>
      </c>
      <c r="D541" s="11" t="s">
        <v>38</v>
      </c>
      <c r="E541" s="15">
        <v>12</v>
      </c>
      <c r="F541" s="95">
        <v>45.393999999999998</v>
      </c>
      <c r="G541" s="95">
        <v>9.9989999999999996E-4</v>
      </c>
    </row>
    <row r="542" spans="1:14">
      <c r="A542" s="15">
        <v>4</v>
      </c>
      <c r="B542" s="71">
        <v>44531</v>
      </c>
      <c r="C542">
        <v>2021</v>
      </c>
      <c r="D542" s="11" t="s">
        <v>38</v>
      </c>
      <c r="E542" s="15">
        <v>12</v>
      </c>
      <c r="F542" s="95">
        <v>64.753</v>
      </c>
      <c r="G542" s="95">
        <v>4.9000000000000002E-2</v>
      </c>
      <c r="I542" s="27">
        <f t="shared" ref="I542:J542" si="68">AVERAGE(F541:F542)</f>
        <v>55.073499999999996</v>
      </c>
      <c r="J542" s="27">
        <f t="shared" si="68"/>
        <v>2.499995E-2</v>
      </c>
      <c r="L542">
        <f t="shared" ref="L542" si="69">+J542/I542</f>
        <v>4.5393791932599165E-4</v>
      </c>
      <c r="M542">
        <f t="shared" ref="M542" si="70">+(L542-$L$619)/$L$620</f>
        <v>-0.4089079694970455</v>
      </c>
      <c r="N542">
        <f t="shared" ref="N542" si="71">+N540+M542</f>
        <v>-2.0863741692810391</v>
      </c>
    </row>
    <row r="543" spans="1:14">
      <c r="A543" s="93">
        <v>3</v>
      </c>
      <c r="B543" s="90">
        <v>44562</v>
      </c>
      <c r="C543" s="91">
        <v>2022</v>
      </c>
      <c r="D543" s="92" t="s">
        <v>39</v>
      </c>
      <c r="E543" s="93">
        <v>1</v>
      </c>
      <c r="H543" s="96" t="s">
        <v>102</v>
      </c>
    </row>
    <row r="544" spans="1:14">
      <c r="A544" s="15">
        <v>4</v>
      </c>
      <c r="B544" s="73">
        <v>44562</v>
      </c>
      <c r="C544">
        <v>2022</v>
      </c>
      <c r="D544" s="11" t="s">
        <v>39</v>
      </c>
      <c r="E544" s="15">
        <v>1</v>
      </c>
      <c r="H544" s="96" t="s">
        <v>103</v>
      </c>
    </row>
    <row r="545" spans="1:8">
      <c r="A545" s="15">
        <v>3</v>
      </c>
      <c r="B545" s="71">
        <v>44593</v>
      </c>
      <c r="C545">
        <v>2022</v>
      </c>
      <c r="D545" s="11" t="s">
        <v>28</v>
      </c>
      <c r="E545" s="15">
        <v>2</v>
      </c>
      <c r="H545" s="96" t="s">
        <v>104</v>
      </c>
    </row>
    <row r="546" spans="1:8">
      <c r="A546" s="15">
        <v>4</v>
      </c>
      <c r="B546" s="71">
        <v>44593</v>
      </c>
      <c r="C546">
        <v>2022</v>
      </c>
      <c r="D546" s="11" t="s">
        <v>28</v>
      </c>
      <c r="E546" s="15">
        <v>2</v>
      </c>
    </row>
    <row r="547" spans="1:8">
      <c r="A547" s="15">
        <v>3</v>
      </c>
      <c r="B547" s="71">
        <v>44621</v>
      </c>
      <c r="C547">
        <v>2022</v>
      </c>
      <c r="D547" s="11" t="s">
        <v>29</v>
      </c>
      <c r="E547" s="15">
        <v>3</v>
      </c>
    </row>
    <row r="548" spans="1:8">
      <c r="A548" s="15">
        <v>4</v>
      </c>
      <c r="B548" s="71">
        <v>44621</v>
      </c>
      <c r="C548">
        <v>2022</v>
      </c>
      <c r="D548" s="11" t="s">
        <v>29</v>
      </c>
      <c r="E548" s="15">
        <v>3</v>
      </c>
    </row>
    <row r="549" spans="1:8">
      <c r="A549" s="15">
        <v>3</v>
      </c>
      <c r="B549" s="71">
        <v>44652</v>
      </c>
      <c r="C549">
        <v>2022</v>
      </c>
      <c r="D549" s="11" t="s">
        <v>30</v>
      </c>
      <c r="E549" s="15">
        <v>4</v>
      </c>
    </row>
    <row r="550" spans="1:8">
      <c r="A550" s="15">
        <v>4</v>
      </c>
      <c r="B550" s="71">
        <v>44652</v>
      </c>
      <c r="C550">
        <v>2022</v>
      </c>
      <c r="D550" s="11" t="s">
        <v>30</v>
      </c>
      <c r="E550" s="15">
        <v>4</v>
      </c>
    </row>
    <row r="551" spans="1:8">
      <c r="A551" s="15">
        <v>3</v>
      </c>
      <c r="B551" s="71">
        <v>44682</v>
      </c>
      <c r="C551">
        <v>2022</v>
      </c>
      <c r="D551" s="11" t="s">
        <v>31</v>
      </c>
      <c r="E551" s="15">
        <v>5</v>
      </c>
    </row>
    <row r="552" spans="1:8">
      <c r="A552" s="15">
        <v>4</v>
      </c>
      <c r="B552" s="71">
        <v>44682</v>
      </c>
      <c r="C552">
        <v>2022</v>
      </c>
      <c r="D552" s="11" t="s">
        <v>31</v>
      </c>
      <c r="E552" s="15">
        <v>5</v>
      </c>
    </row>
    <row r="553" spans="1:8">
      <c r="A553" s="15">
        <v>3</v>
      </c>
      <c r="B553" s="71">
        <v>44713</v>
      </c>
      <c r="C553">
        <v>2022</v>
      </c>
      <c r="D553" s="11" t="s">
        <v>32</v>
      </c>
      <c r="E553" s="15">
        <v>6</v>
      </c>
    </row>
    <row r="554" spans="1:8">
      <c r="A554" s="15">
        <v>4</v>
      </c>
      <c r="B554" s="71">
        <v>44713</v>
      </c>
      <c r="C554">
        <v>2022</v>
      </c>
      <c r="D554" s="11" t="s">
        <v>32</v>
      </c>
      <c r="E554" s="15">
        <v>6</v>
      </c>
    </row>
    <row r="555" spans="1:8">
      <c r="A555" s="15">
        <v>3</v>
      </c>
      <c r="B555" s="71">
        <v>44743</v>
      </c>
      <c r="C555">
        <v>2022</v>
      </c>
      <c r="D555" s="11" t="s">
        <v>33</v>
      </c>
      <c r="E555" s="15">
        <v>7</v>
      </c>
    </row>
    <row r="556" spans="1:8">
      <c r="A556" s="15">
        <v>4</v>
      </c>
      <c r="B556" s="71">
        <v>44743</v>
      </c>
      <c r="C556">
        <v>2022</v>
      </c>
      <c r="D556" s="11" t="s">
        <v>33</v>
      </c>
      <c r="E556" s="15">
        <v>7</v>
      </c>
    </row>
    <row r="557" spans="1:8">
      <c r="A557" s="15">
        <v>3</v>
      </c>
      <c r="B557" s="71">
        <v>44774</v>
      </c>
      <c r="C557">
        <v>2022</v>
      </c>
      <c r="D557" s="11" t="s">
        <v>34</v>
      </c>
      <c r="E557" s="15">
        <v>8</v>
      </c>
    </row>
    <row r="558" spans="1:8">
      <c r="A558" s="15">
        <v>4</v>
      </c>
      <c r="B558" s="71">
        <v>44774</v>
      </c>
      <c r="C558">
        <v>2022</v>
      </c>
      <c r="D558" s="11" t="s">
        <v>34</v>
      </c>
      <c r="E558" s="15">
        <v>8</v>
      </c>
    </row>
    <row r="559" spans="1:8">
      <c r="A559" s="15">
        <v>3</v>
      </c>
      <c r="B559" s="71">
        <v>44805</v>
      </c>
      <c r="C559">
        <v>2022</v>
      </c>
      <c r="D559" s="11" t="s">
        <v>40</v>
      </c>
      <c r="E559" s="15">
        <v>9</v>
      </c>
    </row>
    <row r="560" spans="1:8">
      <c r="A560" s="15">
        <v>4</v>
      </c>
      <c r="B560" s="71">
        <v>44805</v>
      </c>
      <c r="C560">
        <v>2022</v>
      </c>
      <c r="D560" s="11" t="s">
        <v>40</v>
      </c>
      <c r="E560" s="15">
        <v>9</v>
      </c>
    </row>
    <row r="561" spans="1:14">
      <c r="A561" s="15">
        <v>3</v>
      </c>
      <c r="B561" s="71">
        <v>44835</v>
      </c>
      <c r="C561">
        <v>2022</v>
      </c>
      <c r="D561" s="11" t="s">
        <v>36</v>
      </c>
      <c r="E561" s="15">
        <v>10</v>
      </c>
    </row>
    <row r="562" spans="1:14">
      <c r="A562" s="15">
        <v>4</v>
      </c>
      <c r="B562" s="71">
        <v>44835</v>
      </c>
      <c r="C562">
        <v>2022</v>
      </c>
      <c r="D562" s="11" t="s">
        <v>36</v>
      </c>
      <c r="E562" s="15">
        <v>10</v>
      </c>
    </row>
    <row r="563" spans="1:14">
      <c r="A563" s="15">
        <v>3</v>
      </c>
      <c r="B563" s="71">
        <v>44866</v>
      </c>
      <c r="C563">
        <v>2022</v>
      </c>
      <c r="D563" s="11" t="s">
        <v>37</v>
      </c>
      <c r="E563" s="15">
        <v>11</v>
      </c>
    </row>
    <row r="564" spans="1:14">
      <c r="A564" s="15">
        <v>4</v>
      </c>
      <c r="B564" s="71">
        <v>44866</v>
      </c>
      <c r="C564">
        <v>2022</v>
      </c>
      <c r="D564" s="11" t="s">
        <v>37</v>
      </c>
      <c r="E564" s="15">
        <v>11</v>
      </c>
    </row>
    <row r="565" spans="1:14">
      <c r="A565" s="15">
        <v>3</v>
      </c>
      <c r="B565" s="72">
        <v>44896</v>
      </c>
      <c r="C565">
        <v>2022</v>
      </c>
      <c r="D565" s="11" t="s">
        <v>38</v>
      </c>
      <c r="E565" s="15">
        <v>12</v>
      </c>
    </row>
    <row r="566" spans="1:14">
      <c r="A566" s="15">
        <v>4</v>
      </c>
      <c r="B566" s="71">
        <v>44896</v>
      </c>
      <c r="C566">
        <v>2022</v>
      </c>
      <c r="D566" s="11" t="s">
        <v>38</v>
      </c>
      <c r="E566" s="15">
        <v>12</v>
      </c>
    </row>
    <row r="567" spans="1:14">
      <c r="A567" s="93">
        <v>3</v>
      </c>
      <c r="B567" s="90">
        <v>44927</v>
      </c>
      <c r="C567" s="91">
        <v>2023</v>
      </c>
      <c r="D567" s="92" t="s">
        <v>39</v>
      </c>
      <c r="E567" s="93">
        <v>1</v>
      </c>
      <c r="F567" s="97">
        <v>3.532</v>
      </c>
      <c r="G567" s="95">
        <v>1.4999999999999999E-2</v>
      </c>
    </row>
    <row r="568" spans="1:14">
      <c r="A568" s="15">
        <v>4</v>
      </c>
      <c r="B568" s="73">
        <v>44927</v>
      </c>
      <c r="C568">
        <v>2023</v>
      </c>
      <c r="D568" s="11" t="s">
        <v>39</v>
      </c>
      <c r="E568" s="15">
        <v>1</v>
      </c>
      <c r="F568" s="97">
        <v>3.02</v>
      </c>
      <c r="G568" s="95">
        <v>1.4999999999999999E-2</v>
      </c>
      <c r="I568" s="27">
        <f>AVERAGE(F567:F568)</f>
        <v>3.2759999999999998</v>
      </c>
      <c r="J568" s="27">
        <f>AVERAGE(G567:G568)</f>
        <v>1.4999999999999999E-2</v>
      </c>
      <c r="L568">
        <f>+J568/I568</f>
        <v>4.578754578754579E-3</v>
      </c>
      <c r="M568">
        <f>+(L568-$L$619)/$L$620</f>
        <v>-0.25740889684173635</v>
      </c>
      <c r="N568">
        <f>+N542+M568</f>
        <v>-2.3437830661227754</v>
      </c>
    </row>
    <row r="569" spans="1:14">
      <c r="A569" s="15">
        <v>3</v>
      </c>
      <c r="B569" s="71">
        <v>44958</v>
      </c>
      <c r="C569">
        <v>2023</v>
      </c>
      <c r="D569" s="11" t="s">
        <v>28</v>
      </c>
      <c r="E569" s="15">
        <v>2</v>
      </c>
      <c r="F569" s="78">
        <v>2.0270000000000001</v>
      </c>
      <c r="G569" s="78">
        <v>2.3E-2</v>
      </c>
    </row>
    <row r="570" spans="1:14">
      <c r="A570" s="15">
        <v>4</v>
      </c>
      <c r="B570" s="71">
        <v>44958</v>
      </c>
      <c r="C570">
        <v>2023</v>
      </c>
      <c r="D570" s="11" t="s">
        <v>28</v>
      </c>
      <c r="E570" s="15">
        <v>2</v>
      </c>
      <c r="F570" s="78">
        <v>2.39</v>
      </c>
      <c r="G570" s="78">
        <v>2.9000000000000001E-2</v>
      </c>
      <c r="I570" s="27">
        <f t="shared" ref="I570" si="72">AVERAGE(F569:F570)</f>
        <v>2.2084999999999999</v>
      </c>
      <c r="J570" s="27">
        <f t="shared" ref="J570" si="73">AVERAGE(G569:G570)</f>
        <v>2.6000000000000002E-2</v>
      </c>
      <c r="L570">
        <f t="shared" ref="L570" si="74">+J570/I570</f>
        <v>1.177269640027168E-2</v>
      </c>
      <c r="M570">
        <f t="shared" ref="M570" si="75">+(L570-$L$619)/$L$620</f>
        <v>6.81509289725667E-3</v>
      </c>
      <c r="N570">
        <f>+N568+M570</f>
        <v>-2.3369679732255189</v>
      </c>
    </row>
    <row r="571" spans="1:14">
      <c r="A571" s="15">
        <v>3</v>
      </c>
      <c r="B571" s="71">
        <v>44986</v>
      </c>
      <c r="C571">
        <v>2023</v>
      </c>
      <c r="D571" s="11" t="s">
        <v>29</v>
      </c>
      <c r="E571" s="15">
        <v>3</v>
      </c>
      <c r="F571" s="78">
        <v>6.65</v>
      </c>
      <c r="G571" s="78">
        <v>3.4000000000000002E-2</v>
      </c>
    </row>
    <row r="572" spans="1:14">
      <c r="A572" s="15">
        <v>4</v>
      </c>
      <c r="B572" s="71">
        <v>44986</v>
      </c>
      <c r="C572">
        <v>2023</v>
      </c>
      <c r="D572" s="11" t="s">
        <v>29</v>
      </c>
      <c r="E572" s="15">
        <v>3</v>
      </c>
      <c r="F572" s="78">
        <v>10.439</v>
      </c>
      <c r="G572" s="78">
        <v>6.0999999999999999E-2</v>
      </c>
      <c r="I572" s="27">
        <f t="shared" ref="I572" si="76">AVERAGE(F571:F572)</f>
        <v>8.5444999999999993</v>
      </c>
      <c r="J572" s="27">
        <f t="shared" ref="J572" si="77">AVERAGE(G571:G572)</f>
        <v>4.7500000000000001E-2</v>
      </c>
      <c r="L572">
        <f t="shared" ref="L572" si="78">+J572/I572</f>
        <v>5.5591316051261047E-3</v>
      </c>
      <c r="M572">
        <f t="shared" ref="M572" si="79">+(L572-$L$619)/$L$620</f>
        <v>-0.22140094240130037</v>
      </c>
      <c r="N572">
        <f t="shared" ref="N572" si="80">+N570+M572</f>
        <v>-2.5583689156268195</v>
      </c>
    </row>
    <row r="573" spans="1:14">
      <c r="A573" s="15">
        <v>3</v>
      </c>
      <c r="B573" s="71">
        <v>45017</v>
      </c>
      <c r="C573">
        <v>2023</v>
      </c>
      <c r="D573" s="11" t="s">
        <v>30</v>
      </c>
      <c r="E573" s="15">
        <v>4</v>
      </c>
      <c r="F573" s="78">
        <v>6.6710000000000003</v>
      </c>
      <c r="G573" s="78">
        <v>3.6999999999999998E-2</v>
      </c>
    </row>
    <row r="574" spans="1:14">
      <c r="A574" s="15">
        <v>4</v>
      </c>
      <c r="B574" s="71">
        <v>45017</v>
      </c>
      <c r="C574">
        <v>2023</v>
      </c>
      <c r="D574" s="11" t="s">
        <v>30</v>
      </c>
      <c r="E574" s="15">
        <v>4</v>
      </c>
      <c r="F574" s="78">
        <v>10.95</v>
      </c>
      <c r="G574" s="78">
        <v>6.6000000000000003E-2</v>
      </c>
      <c r="I574" s="27">
        <f t="shared" ref="I574" si="81">AVERAGE(F573:F574)</f>
        <v>8.8104999999999993</v>
      </c>
      <c r="J574" s="27">
        <f t="shared" ref="J574" si="82">AVERAGE(G573:G574)</f>
        <v>5.1500000000000004E-2</v>
      </c>
      <c r="L574">
        <f t="shared" ref="L574" si="83">+J574/I574</f>
        <v>5.8452982237103468E-3</v>
      </c>
      <c r="M574">
        <f t="shared" ref="M574" si="84">+(L574-$L$619)/$L$620</f>
        <v>-0.21089042013570614</v>
      </c>
      <c r="N574">
        <f t="shared" ref="N574" si="85">+N572+M574</f>
        <v>-2.7692593357625257</v>
      </c>
    </row>
    <row r="575" spans="1:14">
      <c r="A575" s="15">
        <v>3</v>
      </c>
      <c r="B575" s="71">
        <v>45047</v>
      </c>
      <c r="C575">
        <v>2023</v>
      </c>
      <c r="D575" s="11" t="s">
        <v>31</v>
      </c>
      <c r="E575" s="15">
        <v>5</v>
      </c>
      <c r="F575" s="78">
        <v>2.2709999999999999</v>
      </c>
      <c r="G575" s="78">
        <v>0.02</v>
      </c>
    </row>
    <row r="576" spans="1:14">
      <c r="A576" s="15">
        <v>4</v>
      </c>
      <c r="B576" s="71">
        <v>45047</v>
      </c>
      <c r="C576">
        <v>2023</v>
      </c>
      <c r="D576" s="11" t="s">
        <v>31</v>
      </c>
      <c r="E576" s="15">
        <v>5</v>
      </c>
      <c r="F576" s="78">
        <v>3.1110000000000002</v>
      </c>
      <c r="G576" s="78">
        <v>3.1E-2</v>
      </c>
      <c r="I576" s="27">
        <f t="shared" ref="I576" si="86">AVERAGE(F575:F576)</f>
        <v>2.6909999999999998</v>
      </c>
      <c r="J576" s="27">
        <f t="shared" ref="J576" si="87">AVERAGE(G575:G576)</f>
        <v>2.5500000000000002E-2</v>
      </c>
      <c r="L576">
        <f t="shared" ref="L576" si="88">+J576/I576</f>
        <v>9.4760312151616517E-3</v>
      </c>
      <c r="M576">
        <f t="shared" ref="M576" si="89">+(L576-$L$619)/$L$620</f>
        <v>-7.7538388595931401E-2</v>
      </c>
      <c r="N576">
        <f t="shared" ref="N576" si="90">+N574+M576</f>
        <v>-2.8467977243584572</v>
      </c>
    </row>
    <row r="577" spans="1:14">
      <c r="A577" s="15">
        <v>3</v>
      </c>
      <c r="B577" s="71">
        <v>45078</v>
      </c>
      <c r="C577">
        <v>2023</v>
      </c>
      <c r="D577" s="11" t="s">
        <v>32</v>
      </c>
      <c r="E577" s="15">
        <v>6</v>
      </c>
      <c r="F577" s="78">
        <v>10.451000000000001</v>
      </c>
      <c r="G577" s="78">
        <v>1.4999999999999999E-2</v>
      </c>
    </row>
    <row r="578" spans="1:14">
      <c r="A578" s="15">
        <v>4</v>
      </c>
      <c r="B578" s="71">
        <v>45078</v>
      </c>
      <c r="C578">
        <v>2023</v>
      </c>
      <c r="D578" s="11" t="s">
        <v>32</v>
      </c>
      <c r="E578" s="15">
        <v>6</v>
      </c>
      <c r="F578" s="78">
        <v>10.366</v>
      </c>
      <c r="G578" s="78">
        <v>2.7E-2</v>
      </c>
      <c r="I578" s="27">
        <f t="shared" ref="I578" si="91">AVERAGE(F577:F578)</f>
        <v>10.4085</v>
      </c>
      <c r="J578" s="27">
        <f t="shared" ref="J578" si="92">AVERAGE(G577:G578)</f>
        <v>2.0999999999999998E-2</v>
      </c>
      <c r="L578">
        <f t="shared" ref="L578" si="93">+J578/I578</f>
        <v>2.0175817841187487E-3</v>
      </c>
      <c r="M578">
        <f t="shared" ref="M578" si="94">+(L578-$L$619)/$L$620</f>
        <v>-0.35147739377975218</v>
      </c>
      <c r="N578">
        <f t="shared" ref="N578" si="95">+N576+M578</f>
        <v>-3.1982751181382092</v>
      </c>
    </row>
    <row r="579" spans="1:14">
      <c r="A579" s="15">
        <v>3</v>
      </c>
      <c r="B579" s="71">
        <v>45108</v>
      </c>
      <c r="C579">
        <v>2023</v>
      </c>
      <c r="D579" s="11" t="s">
        <v>33</v>
      </c>
      <c r="E579" s="15">
        <v>7</v>
      </c>
      <c r="F579" s="78">
        <v>7.2629999999999999</v>
      </c>
      <c r="G579" s="78">
        <v>8.0000000000000002E-3</v>
      </c>
    </row>
    <row r="580" spans="1:14">
      <c r="A580" s="15">
        <v>4</v>
      </c>
      <c r="B580" s="71">
        <v>45108</v>
      </c>
      <c r="C580">
        <v>2023</v>
      </c>
      <c r="D580" s="11" t="s">
        <v>33</v>
      </c>
      <c r="E580" s="15">
        <v>7</v>
      </c>
      <c r="F580" s="78">
        <v>10.723000000000001</v>
      </c>
      <c r="G580" s="78">
        <v>1.7999999999999999E-2</v>
      </c>
      <c r="I580" s="27">
        <f t="shared" ref="I580" si="96">AVERAGE(F579:F580)</f>
        <v>8.9930000000000003</v>
      </c>
      <c r="J580" s="27">
        <f t="shared" ref="J580" si="97">AVERAGE(G579:G580)</f>
        <v>1.2999999999999999E-2</v>
      </c>
      <c r="L580">
        <f t="shared" ref="L580" si="98">+J580/I580</f>
        <v>1.4455687757144444E-3</v>
      </c>
      <c r="M580">
        <f t="shared" ref="M580" si="99">+(L580-$L$619)/$L$620</f>
        <v>-0.37248667673101693</v>
      </c>
      <c r="N580">
        <f t="shared" ref="N580" si="100">+N578+M580</f>
        <v>-3.5707617948692261</v>
      </c>
    </row>
    <row r="581" spans="1:14">
      <c r="A581" s="15">
        <v>3</v>
      </c>
      <c r="B581" s="71">
        <v>45139</v>
      </c>
      <c r="C581">
        <v>2023</v>
      </c>
      <c r="D581" s="11" t="s">
        <v>34</v>
      </c>
      <c r="E581" s="15">
        <v>8</v>
      </c>
      <c r="F581" s="78">
        <v>16.826000000000001</v>
      </c>
      <c r="G581" s="78">
        <v>2.5999999999999999E-2</v>
      </c>
    </row>
    <row r="582" spans="1:14">
      <c r="A582" s="15">
        <v>4</v>
      </c>
      <c r="B582" s="71">
        <v>45139</v>
      </c>
      <c r="C582">
        <v>2023</v>
      </c>
      <c r="D582" s="11" t="s">
        <v>34</v>
      </c>
      <c r="E582" s="15">
        <v>8</v>
      </c>
      <c r="F582" s="78">
        <v>33.787999999999997</v>
      </c>
      <c r="G582" s="78">
        <v>3.9E-2</v>
      </c>
      <c r="I582" s="27">
        <f t="shared" ref="I582" si="101">AVERAGE(F581:F582)</f>
        <v>25.306999999999999</v>
      </c>
      <c r="J582" s="27">
        <f t="shared" ref="J582" si="102">AVERAGE(G581:G582)</f>
        <v>3.2500000000000001E-2</v>
      </c>
      <c r="L582">
        <f t="shared" ref="L582" si="103">+J582/I582</f>
        <v>1.2842296597779272E-3</v>
      </c>
      <c r="M582">
        <f t="shared" ref="M582" si="104">+(L582-$L$619)/$L$620</f>
        <v>-0.37841244955089198</v>
      </c>
      <c r="N582">
        <f t="shared" ref="N582" si="105">+N580+M582</f>
        <v>-3.9491742444201181</v>
      </c>
    </row>
    <row r="583" spans="1:14">
      <c r="A583" s="15">
        <v>3</v>
      </c>
      <c r="B583" s="71">
        <v>45170</v>
      </c>
      <c r="C583">
        <v>2023</v>
      </c>
      <c r="D583" s="11" t="s">
        <v>40</v>
      </c>
      <c r="E583" s="15">
        <v>9</v>
      </c>
      <c r="F583" s="78">
        <v>2.5830000000000002</v>
      </c>
      <c r="G583" s="98">
        <v>9.9989999999999996E-4</v>
      </c>
    </row>
    <row r="584" spans="1:14">
      <c r="A584" s="15">
        <v>4</v>
      </c>
      <c r="B584" s="71">
        <v>45170</v>
      </c>
      <c r="C584">
        <v>2023</v>
      </c>
      <c r="D584" s="11" t="s">
        <v>40</v>
      </c>
      <c r="E584" s="15">
        <v>9</v>
      </c>
      <c r="F584" s="78">
        <v>3.5710000000000002</v>
      </c>
      <c r="G584" s="78">
        <v>1.4E-2</v>
      </c>
      <c r="I584" s="27">
        <f t="shared" ref="I584" si="106">AVERAGE(F583:F584)</f>
        <v>3.077</v>
      </c>
      <c r="J584" s="27">
        <f t="shared" ref="J584" si="107">AVERAGE(G583:G584)</f>
        <v>7.49995E-3</v>
      </c>
      <c r="L584">
        <f t="shared" ref="L584" si="108">+J584/I584</f>
        <v>2.4374228144296395E-3</v>
      </c>
      <c r="M584">
        <f t="shared" ref="M584" si="109">+(L584-$L$619)/$L$620</f>
        <v>-0.33605718677264584</v>
      </c>
      <c r="N584">
        <f t="shared" ref="N584" si="110">+N582+M584</f>
        <v>-4.2852314311927637</v>
      </c>
    </row>
    <row r="585" spans="1:14">
      <c r="A585" s="15">
        <v>3</v>
      </c>
      <c r="B585" s="71">
        <v>45200</v>
      </c>
      <c r="C585">
        <v>2023</v>
      </c>
      <c r="D585" s="11" t="s">
        <v>36</v>
      </c>
      <c r="E585" s="15">
        <v>10</v>
      </c>
      <c r="F585" s="98">
        <v>1.5940000000000001</v>
      </c>
      <c r="G585" s="98">
        <v>9.9989999999999996E-4</v>
      </c>
    </row>
    <row r="586" spans="1:14">
      <c r="A586" s="15">
        <v>4</v>
      </c>
      <c r="B586" s="71">
        <v>45200</v>
      </c>
      <c r="C586">
        <v>2023</v>
      </c>
      <c r="D586" s="11" t="s">
        <v>36</v>
      </c>
      <c r="E586" s="15">
        <v>10</v>
      </c>
      <c r="F586" s="98">
        <v>1.7290000000000001</v>
      </c>
      <c r="G586" s="98">
        <v>9.9989999999999996E-4</v>
      </c>
      <c r="I586" s="27">
        <f t="shared" ref="I586" si="111">AVERAGE(F585:F586)</f>
        <v>1.6615000000000002</v>
      </c>
      <c r="J586" s="27">
        <f t="shared" ref="J586" si="112">AVERAGE(G585:G586)</f>
        <v>9.9989999999999996E-4</v>
      </c>
      <c r="L586">
        <f t="shared" ref="L586" si="113">+J586/I586</f>
        <v>6.018055973517905E-4</v>
      </c>
      <c r="M586">
        <f t="shared" ref="M586" si="114">+(L586-$L$619)/$L$620</f>
        <v>-0.4034769848142728</v>
      </c>
      <c r="N586">
        <f t="shared" ref="N586" si="115">+N584+M586</f>
        <v>-4.6887084160070369</v>
      </c>
    </row>
    <row r="587" spans="1:14">
      <c r="A587" s="15">
        <v>3</v>
      </c>
      <c r="B587" s="71">
        <v>45231</v>
      </c>
      <c r="C587">
        <v>2023</v>
      </c>
      <c r="D587" s="11" t="s">
        <v>37</v>
      </c>
      <c r="E587" s="15">
        <v>11</v>
      </c>
      <c r="F587" s="78">
        <v>0.71799999999999997</v>
      </c>
      <c r="G587" s="98">
        <v>9.9989999999999996E-4</v>
      </c>
    </row>
    <row r="588" spans="1:14">
      <c r="A588" s="15">
        <v>4</v>
      </c>
      <c r="B588" s="71">
        <v>45231</v>
      </c>
      <c r="C588">
        <v>2023</v>
      </c>
      <c r="D588" s="11" t="s">
        <v>37</v>
      </c>
      <c r="E588" s="15">
        <v>11</v>
      </c>
      <c r="F588" s="78">
        <v>1.911</v>
      </c>
      <c r="G588" s="98">
        <v>9.9989999999999996E-4</v>
      </c>
      <c r="I588" s="27">
        <f t="shared" ref="I588" si="116">AVERAGE(F587:F588)</f>
        <v>1.3145</v>
      </c>
      <c r="J588" s="27">
        <f t="shared" ref="J588" si="117">AVERAGE(G587:G588)</f>
        <v>9.9989999999999996E-4</v>
      </c>
      <c r="L588">
        <f t="shared" ref="L588" si="118">+J588/I588</f>
        <v>7.6066945606694555E-4</v>
      </c>
      <c r="M588">
        <f t="shared" ref="M588" si="119">+(L588-$L$619)/$L$620</f>
        <v>-0.39764212492570644</v>
      </c>
      <c r="N588">
        <f t="shared" ref="N588" si="120">+N586+M588</f>
        <v>-5.0863505409327434</v>
      </c>
    </row>
    <row r="589" spans="1:14">
      <c r="A589" s="15">
        <v>3</v>
      </c>
      <c r="B589" s="72">
        <v>45261</v>
      </c>
      <c r="C589">
        <v>2023</v>
      </c>
      <c r="D589" s="11" t="s">
        <v>38</v>
      </c>
      <c r="E589" s="15">
        <v>12</v>
      </c>
      <c r="F589" s="78">
        <v>2.25</v>
      </c>
      <c r="G589" s="78">
        <v>0.01</v>
      </c>
    </row>
    <row r="590" spans="1:14">
      <c r="A590" s="15">
        <v>4</v>
      </c>
      <c r="B590" s="71">
        <v>45261</v>
      </c>
      <c r="C590">
        <v>2023</v>
      </c>
      <c r="D590" s="11" t="s">
        <v>38</v>
      </c>
      <c r="E590" s="15">
        <v>12</v>
      </c>
      <c r="F590" s="78">
        <v>2.544</v>
      </c>
      <c r="G590" s="78">
        <v>8.9999999999999993E-3</v>
      </c>
      <c r="I590" s="27">
        <f t="shared" ref="I590" si="121">AVERAGE(F589:F590)</f>
        <v>2.3970000000000002</v>
      </c>
      <c r="J590" s="27">
        <f t="shared" ref="J590" si="122">AVERAGE(G589:G590)</f>
        <v>9.4999999999999998E-3</v>
      </c>
      <c r="L590">
        <f t="shared" ref="L590" si="123">+J590/I590</f>
        <v>3.963287442636629E-3</v>
      </c>
      <c r="M590">
        <f t="shared" ref="M590" si="124">+(L590-$L$619)/$L$620</f>
        <v>-0.28001419256040844</v>
      </c>
      <c r="N590">
        <f t="shared" ref="N590" si="125">+N588+M590</f>
        <v>-5.3663647334931515</v>
      </c>
    </row>
    <row r="591" spans="1:14">
      <c r="A591" s="93">
        <v>3</v>
      </c>
      <c r="B591" s="90">
        <v>45292</v>
      </c>
      <c r="C591" s="91">
        <v>2024</v>
      </c>
      <c r="D591" s="92" t="s">
        <v>39</v>
      </c>
      <c r="E591" s="93">
        <v>1</v>
      </c>
      <c r="F591" s="78">
        <v>0.79400000000000004</v>
      </c>
      <c r="G591" s="78">
        <v>5.0000000000000001E-3</v>
      </c>
    </row>
    <row r="592" spans="1:14">
      <c r="A592" s="15">
        <v>4</v>
      </c>
      <c r="B592" s="73">
        <v>45292</v>
      </c>
      <c r="C592">
        <v>2024</v>
      </c>
      <c r="D592" s="11" t="s">
        <v>39</v>
      </c>
      <c r="E592" s="15">
        <v>1</v>
      </c>
      <c r="F592" s="78">
        <v>1.02</v>
      </c>
      <c r="G592" s="78">
        <v>5.0000000000000001E-3</v>
      </c>
      <c r="I592" s="27">
        <f t="shared" ref="I592" si="126">AVERAGE(F591:F592)</f>
        <v>0.90700000000000003</v>
      </c>
      <c r="J592" s="27">
        <f t="shared" ref="J592" si="127">AVERAGE(G591:G592)</f>
        <v>5.0000000000000001E-3</v>
      </c>
      <c r="L592">
        <f t="shared" ref="L592" si="128">+J592/I592</f>
        <v>5.512679162072767E-3</v>
      </c>
      <c r="M592">
        <f t="shared" ref="M592" si="129">+(L592-$L$619)/$L$620</f>
        <v>-0.22310707933445784</v>
      </c>
      <c r="N592">
        <f t="shared" ref="N592" si="130">+N590+M592</f>
        <v>-5.5894718128276093</v>
      </c>
    </row>
    <row r="593" spans="1:14">
      <c r="A593" s="15">
        <v>3</v>
      </c>
      <c r="B593" s="71">
        <v>45323</v>
      </c>
      <c r="C593">
        <v>2024</v>
      </c>
      <c r="D593" s="11" t="s">
        <v>28</v>
      </c>
      <c r="E593" s="15">
        <v>2</v>
      </c>
      <c r="F593" s="78">
        <v>1.0820000000000001</v>
      </c>
      <c r="G593" s="98">
        <v>9.9989999999999996E-4</v>
      </c>
    </row>
    <row r="594" spans="1:14">
      <c r="A594" s="15">
        <v>4</v>
      </c>
      <c r="B594" s="71">
        <v>45323</v>
      </c>
      <c r="C594">
        <v>2024</v>
      </c>
      <c r="D594" s="11" t="s">
        <v>28</v>
      </c>
      <c r="E594" s="15">
        <v>2</v>
      </c>
      <c r="F594" s="78">
        <v>1.1970000000000001</v>
      </c>
      <c r="G594" s="98">
        <v>9.9989999999999996E-4</v>
      </c>
      <c r="I594" s="27">
        <f t="shared" ref="I594" si="131">AVERAGE(F593:F594)</f>
        <v>1.1395</v>
      </c>
      <c r="J594" s="27">
        <f t="shared" ref="J594" si="132">AVERAGE(G593:G594)</f>
        <v>9.9989999999999996E-4</v>
      </c>
      <c r="L594">
        <f t="shared" ref="L594" si="133">+J594/I594</f>
        <v>8.7749012724879329E-4</v>
      </c>
      <c r="M594">
        <f t="shared" ref="M594" si="134">+(L594-$L$619)/$L$620</f>
        <v>-0.39335145583364733</v>
      </c>
      <c r="N594">
        <f t="shared" ref="N594" si="135">+N592+M594</f>
        <v>-5.9828232686612566</v>
      </c>
    </row>
    <row r="595" spans="1:14">
      <c r="A595" s="15">
        <v>3</v>
      </c>
      <c r="B595" s="71">
        <v>45352</v>
      </c>
      <c r="C595">
        <v>2024</v>
      </c>
      <c r="D595" s="11" t="s">
        <v>29</v>
      </c>
      <c r="E595" s="15">
        <v>3</v>
      </c>
    </row>
    <row r="596" spans="1:14">
      <c r="A596" s="15">
        <v>4</v>
      </c>
      <c r="B596" s="71">
        <v>45352</v>
      </c>
      <c r="C596">
        <v>2024</v>
      </c>
      <c r="D596" s="11" t="s">
        <v>29</v>
      </c>
      <c r="E596" s="15">
        <v>3</v>
      </c>
      <c r="I596" s="27"/>
      <c r="J596" s="27"/>
    </row>
    <row r="597" spans="1:14">
      <c r="A597" s="15">
        <v>3</v>
      </c>
      <c r="B597" s="71">
        <v>45383</v>
      </c>
      <c r="C597">
        <v>2024</v>
      </c>
      <c r="D597" s="11" t="s">
        <v>30</v>
      </c>
      <c r="E597" s="15">
        <v>4</v>
      </c>
      <c r="F597" s="78">
        <v>0.67600000000000005</v>
      </c>
      <c r="G597" s="78">
        <v>5.0000000000000001E-3</v>
      </c>
    </row>
    <row r="598" spans="1:14">
      <c r="A598" s="15">
        <v>4</v>
      </c>
      <c r="B598" s="71">
        <v>45383</v>
      </c>
      <c r="C598">
        <v>2024</v>
      </c>
      <c r="D598" s="11" t="s">
        <v>30</v>
      </c>
      <c r="E598" s="15">
        <v>4</v>
      </c>
      <c r="F598" s="78">
        <v>5.6429999999999998</v>
      </c>
      <c r="G598" s="78">
        <v>1.7999999999999999E-2</v>
      </c>
      <c r="I598" s="27">
        <f t="shared" ref="I598" si="136">AVERAGE(F597:F598)</f>
        <v>3.1595</v>
      </c>
      <c r="J598" s="27">
        <f t="shared" ref="J598" si="137">AVERAGE(G597:G598)</f>
        <v>1.15E-2</v>
      </c>
      <c r="L598">
        <f t="shared" ref="L598" si="138">+J598/I598</f>
        <v>3.6398164266497864E-3</v>
      </c>
      <c r="M598">
        <f t="shared" ref="M598" si="139">+(L598-$L$619)/$L$620</f>
        <v>-0.29189485611447435</v>
      </c>
      <c r="N598">
        <f>+N594+M598</f>
        <v>-6.2747181247757311</v>
      </c>
    </row>
    <row r="599" spans="1:14">
      <c r="A599" s="15">
        <v>3</v>
      </c>
      <c r="B599" s="71">
        <v>45413</v>
      </c>
      <c r="C599">
        <v>2024</v>
      </c>
      <c r="D599" s="11" t="s">
        <v>31</v>
      </c>
      <c r="E599" s="15">
        <v>5</v>
      </c>
      <c r="F599" s="78">
        <v>8.4570000000000007</v>
      </c>
      <c r="G599" s="78">
        <v>1.2E-2</v>
      </c>
    </row>
    <row r="600" spans="1:14">
      <c r="A600" s="15">
        <v>4</v>
      </c>
      <c r="B600" s="71">
        <v>45413</v>
      </c>
      <c r="C600">
        <v>2024</v>
      </c>
      <c r="D600" s="11" t="s">
        <v>31</v>
      </c>
      <c r="E600" s="15">
        <v>5</v>
      </c>
      <c r="F600" s="78">
        <v>8.4969999999999999</v>
      </c>
      <c r="G600" s="78">
        <v>1.9E-2</v>
      </c>
      <c r="I600" s="27">
        <f t="shared" ref="I600:J600" si="140">AVERAGE(F599:F600)</f>
        <v>8.4770000000000003</v>
      </c>
      <c r="J600" s="27">
        <f t="shared" si="140"/>
        <v>1.55E-2</v>
      </c>
      <c r="L600">
        <f t="shared" ref="L600" si="141">+J600/I600</f>
        <v>1.8284770555621092E-3</v>
      </c>
      <c r="M600">
        <f t="shared" ref="M600" si="142">+(L600-$L$619)/$L$620</f>
        <v>-0.35842296091073678</v>
      </c>
      <c r="N600">
        <f t="shared" ref="N600" si="143">+N598+M600</f>
        <v>-6.6331410856864679</v>
      </c>
    </row>
    <row r="601" spans="1:14">
      <c r="A601" s="15">
        <v>3</v>
      </c>
      <c r="B601" s="71">
        <v>45444</v>
      </c>
      <c r="C601">
        <v>2024</v>
      </c>
      <c r="D601" s="11" t="s">
        <v>32</v>
      </c>
      <c r="E601" s="15">
        <v>6</v>
      </c>
      <c r="H601" s="96" t="s">
        <v>105</v>
      </c>
    </row>
    <row r="602" spans="1:14">
      <c r="A602" s="15">
        <v>4</v>
      </c>
      <c r="B602" s="71">
        <v>45444</v>
      </c>
      <c r="C602">
        <v>2024</v>
      </c>
      <c r="D602" s="11" t="s">
        <v>32</v>
      </c>
      <c r="E602" s="15">
        <v>6</v>
      </c>
      <c r="H602" s="96" t="s">
        <v>106</v>
      </c>
    </row>
    <row r="603" spans="1:14">
      <c r="A603" s="15">
        <v>3</v>
      </c>
      <c r="B603" s="71">
        <v>45474</v>
      </c>
      <c r="C603">
        <v>2024</v>
      </c>
      <c r="D603" s="11" t="s">
        <v>33</v>
      </c>
      <c r="E603" s="15">
        <v>7</v>
      </c>
    </row>
    <row r="604" spans="1:14">
      <c r="A604" s="15">
        <v>4</v>
      </c>
      <c r="B604" s="71">
        <v>45474</v>
      </c>
      <c r="C604">
        <v>2024</v>
      </c>
      <c r="D604" s="11" t="s">
        <v>33</v>
      </c>
      <c r="E604" s="15">
        <v>7</v>
      </c>
    </row>
    <row r="605" spans="1:14">
      <c r="A605" s="15">
        <v>3</v>
      </c>
      <c r="B605" s="71">
        <v>45505</v>
      </c>
      <c r="C605">
        <v>2024</v>
      </c>
      <c r="D605" s="11" t="s">
        <v>34</v>
      </c>
      <c r="E605" s="15">
        <v>8</v>
      </c>
    </row>
    <row r="606" spans="1:14">
      <c r="A606" s="15">
        <v>4</v>
      </c>
      <c r="B606" s="71">
        <v>45505</v>
      </c>
      <c r="C606">
        <v>2024</v>
      </c>
      <c r="D606" s="11" t="s">
        <v>34</v>
      </c>
      <c r="E606" s="15">
        <v>8</v>
      </c>
    </row>
    <row r="607" spans="1:14">
      <c r="A607" s="15">
        <v>3</v>
      </c>
      <c r="B607" s="71">
        <v>45536</v>
      </c>
      <c r="C607">
        <v>2024</v>
      </c>
      <c r="D607" s="11" t="s">
        <v>40</v>
      </c>
      <c r="E607" s="15">
        <v>9</v>
      </c>
    </row>
    <row r="608" spans="1:14">
      <c r="A608" s="15">
        <v>4</v>
      </c>
      <c r="B608" s="71">
        <v>45536</v>
      </c>
      <c r="C608">
        <v>2024</v>
      </c>
      <c r="D608" s="11" t="s">
        <v>40</v>
      </c>
      <c r="E608" s="15">
        <v>9</v>
      </c>
    </row>
    <row r="609" spans="1:12">
      <c r="A609" s="15">
        <v>3</v>
      </c>
      <c r="B609" s="71">
        <v>45566</v>
      </c>
      <c r="C609">
        <v>2024</v>
      </c>
      <c r="D609" s="11" t="s">
        <v>36</v>
      </c>
      <c r="E609" s="15">
        <v>10</v>
      </c>
    </row>
    <row r="610" spans="1:12">
      <c r="A610" s="15">
        <v>4</v>
      </c>
      <c r="B610" s="71">
        <v>45566</v>
      </c>
      <c r="C610">
        <v>2024</v>
      </c>
      <c r="D610" s="11" t="s">
        <v>36</v>
      </c>
      <c r="E610" s="15">
        <v>10</v>
      </c>
    </row>
    <row r="611" spans="1:12">
      <c r="A611" s="15">
        <v>3</v>
      </c>
      <c r="B611" s="71">
        <v>45597</v>
      </c>
      <c r="C611">
        <v>2024</v>
      </c>
      <c r="D611" s="11" t="s">
        <v>37</v>
      </c>
      <c r="E611" s="15">
        <v>11</v>
      </c>
    </row>
    <row r="612" spans="1:12">
      <c r="A612" s="15">
        <v>4</v>
      </c>
      <c r="B612" s="71">
        <v>45597</v>
      </c>
      <c r="C612">
        <v>2024</v>
      </c>
      <c r="D612" s="11" t="s">
        <v>37</v>
      </c>
      <c r="E612" s="15">
        <v>11</v>
      </c>
    </row>
    <row r="613" spans="1:12">
      <c r="A613" s="15">
        <v>3</v>
      </c>
      <c r="B613" s="72">
        <v>45627</v>
      </c>
      <c r="C613">
        <v>2024</v>
      </c>
      <c r="D613" s="11" t="s">
        <v>38</v>
      </c>
      <c r="E613" s="15">
        <v>12</v>
      </c>
    </row>
    <row r="614" spans="1:12">
      <c r="A614" s="15">
        <v>4</v>
      </c>
      <c r="B614" s="71">
        <v>45627</v>
      </c>
      <c r="C614">
        <v>2024</v>
      </c>
      <c r="D614" s="11" t="s">
        <v>38</v>
      </c>
      <c r="E614" s="15">
        <v>12</v>
      </c>
    </row>
    <row r="619" spans="1:12">
      <c r="K619" s="86" t="s">
        <v>90</v>
      </c>
      <c r="L619" s="86">
        <f>AVERAGE(L4:L614)</f>
        <v>1.1587144051828492E-2</v>
      </c>
    </row>
    <row r="620" spans="1:12">
      <c r="K620" s="86" t="s">
        <v>91</v>
      </c>
      <c r="L620" s="86">
        <f>STDEV(L4:L614)</f>
        <v>2.7226679260363356E-2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C2AB-F89A-0144-8172-730D4E864BC9}">
  <sheetPr>
    <tabColor theme="9" tint="0.39997558519241921"/>
  </sheetPr>
  <dimension ref="A1:Q621"/>
  <sheetViews>
    <sheetView workbookViewId="0">
      <pane ySplit="2" topLeftCell="A581" activePane="bottomLeft" state="frozen"/>
      <selection pane="bottomLeft" activeCell="O595" sqref="O595"/>
    </sheetView>
  </sheetViews>
  <sheetFormatPr defaultColWidth="11.42578125" defaultRowHeight="15"/>
  <cols>
    <col min="2" max="2" width="10.85546875" style="70"/>
    <col min="14" max="14" width="12.28515625" bestFit="1" customWidth="1"/>
  </cols>
  <sheetData>
    <row r="1" spans="1:17" ht="18">
      <c r="F1" s="1" t="s">
        <v>0</v>
      </c>
      <c r="G1" s="1" t="s">
        <v>1</v>
      </c>
      <c r="I1" s="1" t="s">
        <v>82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I2" s="6" t="s">
        <v>7</v>
      </c>
      <c r="J2" s="6" t="s">
        <v>86</v>
      </c>
      <c r="L2" s="67" t="s">
        <v>87</v>
      </c>
      <c r="M2" s="69" t="s">
        <v>84</v>
      </c>
      <c r="N2" s="69" t="s">
        <v>85</v>
      </c>
    </row>
    <row r="3" spans="1:17">
      <c r="A3" s="8">
        <v>3</v>
      </c>
      <c r="B3" s="74">
        <v>36445</v>
      </c>
      <c r="C3" s="10">
        <v>1999</v>
      </c>
      <c r="D3" s="11" t="s">
        <v>14</v>
      </c>
      <c r="E3" s="12">
        <v>10</v>
      </c>
      <c r="F3" s="13">
        <v>11.587624269536716</v>
      </c>
      <c r="G3" s="13">
        <v>0.54665740033333332</v>
      </c>
      <c r="Q3" t="s">
        <v>107</v>
      </c>
    </row>
    <row r="4" spans="1:17">
      <c r="A4" s="8">
        <v>4</v>
      </c>
      <c r="B4" s="74">
        <v>36444</v>
      </c>
      <c r="C4" s="10">
        <v>1999</v>
      </c>
      <c r="D4" s="11" t="s">
        <v>14</v>
      </c>
      <c r="E4" s="12">
        <v>10</v>
      </c>
      <c r="F4" s="13">
        <v>14.372718367248131</v>
      </c>
      <c r="G4" s="13">
        <v>0.39266792666666667</v>
      </c>
      <c r="I4" s="27">
        <f>AVERAGE(F3:F4)</f>
        <v>12.980171318392424</v>
      </c>
      <c r="J4" s="27">
        <f>AVERAGE(G3:G4)</f>
        <v>0.46966266349999997</v>
      </c>
      <c r="L4">
        <f>+J4/I4</f>
        <v>3.6183086646514852E-2</v>
      </c>
      <c r="M4">
        <f>+(L4-$L$619)/$L$620</f>
        <v>-0.11794030482195789</v>
      </c>
      <c r="N4">
        <f>+M4</f>
        <v>-0.11794030482195789</v>
      </c>
    </row>
    <row r="5" spans="1:17">
      <c r="A5" s="8">
        <v>3</v>
      </c>
      <c r="B5" s="74">
        <v>36472</v>
      </c>
      <c r="C5" s="10">
        <v>1999</v>
      </c>
      <c r="D5" s="11" t="s">
        <v>16</v>
      </c>
      <c r="E5" s="10">
        <v>11</v>
      </c>
      <c r="F5" s="13">
        <v>4.1068763245169384</v>
      </c>
      <c r="G5" s="13">
        <v>0.12169860549999999</v>
      </c>
    </row>
    <row r="6" spans="1:17">
      <c r="A6" s="8">
        <v>4</v>
      </c>
      <c r="B6" s="74">
        <v>36472</v>
      </c>
      <c r="C6" s="10">
        <v>1999</v>
      </c>
      <c r="D6" s="11" t="s">
        <v>16</v>
      </c>
      <c r="E6" s="10">
        <v>11</v>
      </c>
      <c r="F6" s="13">
        <v>4.5627969464577083</v>
      </c>
      <c r="G6" s="13">
        <v>0.17035343283333332</v>
      </c>
      <c r="I6" s="27">
        <f>AVERAGE(F5:F6)</f>
        <v>4.3348366354873233</v>
      </c>
      <c r="J6" s="27">
        <f>AVERAGE(G5:G6)</f>
        <v>0.14602601916666666</v>
      </c>
      <c r="L6">
        <f>+J6/I6</f>
        <v>3.3686625689932227E-2</v>
      </c>
      <c r="M6">
        <f>+(L6-$L$619)/$L$620</f>
        <v>-0.1559106210306801</v>
      </c>
      <c r="N6">
        <f>+N4+M6</f>
        <v>-0.27385092585263798</v>
      </c>
    </row>
    <row r="7" spans="1:17">
      <c r="A7" s="8">
        <v>3</v>
      </c>
      <c r="B7" s="74">
        <v>36501</v>
      </c>
      <c r="C7" s="10">
        <v>1999</v>
      </c>
      <c r="D7" s="11" t="s">
        <v>17</v>
      </c>
      <c r="E7" s="10">
        <v>12</v>
      </c>
      <c r="F7" s="13">
        <v>3.6119794887362189</v>
      </c>
      <c r="G7" s="13">
        <v>0.17813489666666668</v>
      </c>
    </row>
    <row r="8" spans="1:17">
      <c r="A8" s="8">
        <v>4</v>
      </c>
      <c r="B8" s="74">
        <v>36501</v>
      </c>
      <c r="C8" s="10">
        <v>1999</v>
      </c>
      <c r="D8" s="11" t="s">
        <v>17</v>
      </c>
      <c r="E8" s="10">
        <v>12</v>
      </c>
      <c r="F8" s="13">
        <v>7.6863744774797018</v>
      </c>
      <c r="G8" s="13">
        <v>3.3781212499999998E-2</v>
      </c>
      <c r="I8" s="27">
        <f>AVERAGE(F7:F8)</f>
        <v>5.6491769831079601</v>
      </c>
      <c r="J8" s="27">
        <f>AVERAGE(G7:G8)</f>
        <v>0.10595805458333334</v>
      </c>
      <c r="L8">
        <f>+J8/I8</f>
        <v>1.8756370158018891E-2</v>
      </c>
      <c r="M8">
        <f>+(L8-$L$619)/$L$620</f>
        <v>-0.38299469463854657</v>
      </c>
      <c r="N8">
        <f>+N6+M8</f>
        <v>-0.65684562049118456</v>
      </c>
    </row>
    <row r="9" spans="1:17">
      <c r="A9" s="8">
        <v>3</v>
      </c>
      <c r="B9" s="74">
        <v>36530</v>
      </c>
      <c r="C9" s="12">
        <v>2000</v>
      </c>
      <c r="D9" s="11" t="s">
        <v>18</v>
      </c>
      <c r="E9" s="10">
        <v>1</v>
      </c>
      <c r="F9" s="13">
        <v>5.2430358388163469</v>
      </c>
      <c r="G9" s="13">
        <v>9.7498459500000009E-2</v>
      </c>
    </row>
    <row r="10" spans="1:17">
      <c r="A10" s="8">
        <v>4</v>
      </c>
      <c r="B10" s="74">
        <v>36530</v>
      </c>
      <c r="C10" s="12">
        <v>2000</v>
      </c>
      <c r="D10" s="11" t="s">
        <v>18</v>
      </c>
      <c r="E10" s="10">
        <v>1</v>
      </c>
      <c r="F10" s="13">
        <v>9.2030291353057638</v>
      </c>
      <c r="G10" s="13">
        <v>0.85552858416666666</v>
      </c>
      <c r="I10" s="27">
        <f>AVERAGE(F9:F10)</f>
        <v>7.2230324870610554</v>
      </c>
      <c r="J10" s="27">
        <f>AVERAGE(G9:G10)</f>
        <v>0.47651352183333334</v>
      </c>
      <c r="L10">
        <f>+J10/I10</f>
        <v>6.5971393966029301E-2</v>
      </c>
      <c r="M10">
        <f>+(L10-$L$619)/$L$620</f>
        <v>0.33512964816976371</v>
      </c>
      <c r="N10">
        <f>+N8+M10</f>
        <v>-0.32171597232142085</v>
      </c>
    </row>
    <row r="11" spans="1:17">
      <c r="A11" s="8">
        <v>3</v>
      </c>
      <c r="B11" s="74">
        <v>36579</v>
      </c>
      <c r="C11" s="12">
        <v>2000</v>
      </c>
      <c r="D11" s="11" t="s">
        <v>19</v>
      </c>
      <c r="E11" s="12">
        <v>2</v>
      </c>
      <c r="F11" s="13">
        <v>4.3640586854323722</v>
      </c>
      <c r="G11" s="13">
        <v>0.39487519249999997</v>
      </c>
    </row>
    <row r="12" spans="1:17">
      <c r="A12" s="8">
        <v>4</v>
      </c>
      <c r="B12" s="74">
        <v>36579</v>
      </c>
      <c r="C12" s="12">
        <v>2000</v>
      </c>
      <c r="D12" s="11" t="s">
        <v>19</v>
      </c>
      <c r="E12" s="12">
        <v>2</v>
      </c>
      <c r="F12" s="13">
        <v>6.7678057546224348</v>
      </c>
      <c r="G12" s="13">
        <v>2.2646408021666669</v>
      </c>
      <c r="I12" s="27">
        <f>AVERAGE(F11:F12)</f>
        <v>5.5659322200274035</v>
      </c>
      <c r="J12" s="27">
        <f>AVERAGE(G11:G12)</f>
        <v>1.3297579973333333</v>
      </c>
      <c r="L12">
        <f>+J12/I12</f>
        <v>0.2389102031369664</v>
      </c>
      <c r="M12">
        <f>+(L12-$L$619)/$L$620</f>
        <v>2.9654697108355985</v>
      </c>
      <c r="N12">
        <f>+N10+M12</f>
        <v>2.6437537385141776</v>
      </c>
    </row>
    <row r="13" spans="1:17">
      <c r="A13" s="8">
        <v>3</v>
      </c>
      <c r="B13" s="74">
        <v>36598</v>
      </c>
      <c r="C13" s="12">
        <v>2000</v>
      </c>
      <c r="D13" s="11" t="s">
        <v>20</v>
      </c>
      <c r="E13" s="12">
        <v>3</v>
      </c>
      <c r="F13" s="13">
        <v>3.9525320086953584</v>
      </c>
      <c r="G13" s="13">
        <v>0.13990637333333333</v>
      </c>
    </row>
    <row r="14" spans="1:17">
      <c r="A14" s="8">
        <v>4</v>
      </c>
      <c r="B14" s="74">
        <v>36598</v>
      </c>
      <c r="C14" s="12">
        <v>2000</v>
      </c>
      <c r="D14" s="11" t="s">
        <v>20</v>
      </c>
      <c r="E14" s="12">
        <v>3</v>
      </c>
      <c r="F14" s="13">
        <v>15.295362854459274</v>
      </c>
      <c r="G14" s="13">
        <v>0.82420218266666667</v>
      </c>
      <c r="I14" s="27">
        <f>AVERAGE(F13:F14)</f>
        <v>9.6239474315773155</v>
      </c>
      <c r="J14" s="27">
        <f>AVERAGE(G13:G14)</f>
        <v>0.482054278</v>
      </c>
      <c r="L14">
        <f>+J14/I14</f>
        <v>5.0089038975662172E-2</v>
      </c>
      <c r="M14">
        <f>+(L14-$L$619)/$L$620</f>
        <v>9.356446785589409E-2</v>
      </c>
      <c r="N14">
        <f>+N12+M14</f>
        <v>2.7373182063700718</v>
      </c>
    </row>
    <row r="15" spans="1:17">
      <c r="A15" s="8">
        <v>3</v>
      </c>
      <c r="B15" s="74">
        <v>36627</v>
      </c>
      <c r="C15" s="12">
        <v>2000</v>
      </c>
      <c r="D15" s="15" t="s">
        <v>21</v>
      </c>
      <c r="E15" s="12">
        <v>4</v>
      </c>
      <c r="F15" s="13">
        <v>20.474116121754371</v>
      </c>
      <c r="G15" s="13">
        <v>4.0007887804999998</v>
      </c>
    </row>
    <row r="16" spans="1:17">
      <c r="A16" s="8">
        <v>4</v>
      </c>
      <c r="B16" s="74">
        <v>36627</v>
      </c>
      <c r="C16" s="12">
        <v>2000</v>
      </c>
      <c r="D16" s="15" t="s">
        <v>21</v>
      </c>
      <c r="E16" s="12">
        <v>4</v>
      </c>
      <c r="F16" s="13">
        <v>31.833490623441644</v>
      </c>
      <c r="G16" s="13">
        <v>5.3754380885000002</v>
      </c>
      <c r="I16" s="27">
        <f>AVERAGE(F15:F16)</f>
        <v>26.153803372598006</v>
      </c>
      <c r="J16" s="27">
        <f>AVERAGE(G15:G16)</f>
        <v>4.6881134345</v>
      </c>
      <c r="L16">
        <f>+J16/I16</f>
        <v>0.17925168923659698</v>
      </c>
      <c r="M16">
        <f>+(L16-$L$619)/$L$620</f>
        <v>2.0580841451344818</v>
      </c>
      <c r="N16">
        <f>+N14+M16</f>
        <v>4.7954023515045536</v>
      </c>
    </row>
    <row r="17" spans="1:14">
      <c r="A17" s="8">
        <v>3</v>
      </c>
      <c r="B17" s="74">
        <v>36662</v>
      </c>
      <c r="C17" s="12">
        <v>2000</v>
      </c>
      <c r="D17" s="15" t="s">
        <v>22</v>
      </c>
      <c r="E17" s="12">
        <v>5</v>
      </c>
      <c r="F17" s="13">
        <v>12.217087705074391</v>
      </c>
      <c r="G17" s="13">
        <v>9.9194977333333337E-2</v>
      </c>
    </row>
    <row r="18" spans="1:14">
      <c r="A18" s="8">
        <v>4</v>
      </c>
      <c r="B18" s="74">
        <v>36662</v>
      </c>
      <c r="C18" s="12">
        <v>2000</v>
      </c>
      <c r="D18" s="15" t="s">
        <v>22</v>
      </c>
      <c r="E18" s="12">
        <v>5</v>
      </c>
      <c r="F18" s="13">
        <v>13.170256326163051</v>
      </c>
      <c r="G18" s="13">
        <v>0.10844316433333334</v>
      </c>
      <c r="I18" s="27">
        <f>AVERAGE(F17:F18)</f>
        <v>12.69367201561872</v>
      </c>
      <c r="J18" s="27">
        <f>AVERAGE(G17:G18)</f>
        <v>0.10381907083333333</v>
      </c>
      <c r="L18">
        <f>+J18/I18</f>
        <v>8.1788052114148586E-3</v>
      </c>
      <c r="M18">
        <f>+(L18-$L$619)/$L$620</f>
        <v>-0.54387583507129822</v>
      </c>
      <c r="N18">
        <f>+N16+M18</f>
        <v>4.2515265164332554</v>
      </c>
    </row>
    <row r="19" spans="1:14">
      <c r="A19" s="8">
        <v>3</v>
      </c>
      <c r="B19" s="74">
        <v>36690</v>
      </c>
      <c r="C19" s="12">
        <v>2000</v>
      </c>
      <c r="D19" s="15" t="s">
        <v>23</v>
      </c>
      <c r="E19" s="12">
        <v>6</v>
      </c>
      <c r="F19" s="13">
        <v>18.42501600604221</v>
      </c>
      <c r="G19" s="13">
        <v>0.14096361750000003</v>
      </c>
    </row>
    <row r="20" spans="1:14">
      <c r="A20" s="8">
        <v>4</v>
      </c>
      <c r="B20" s="74">
        <v>36690</v>
      </c>
      <c r="C20" s="12">
        <v>2000</v>
      </c>
      <c r="D20" s="15" t="s">
        <v>23</v>
      </c>
      <c r="E20" s="12">
        <v>6</v>
      </c>
      <c r="F20" s="13">
        <v>32.976907299549254</v>
      </c>
      <c r="G20" s="13">
        <v>0.16694569933333334</v>
      </c>
      <c r="I20" s="27">
        <f>AVERAGE(F19:F20)</f>
        <v>25.700961652795733</v>
      </c>
      <c r="J20" s="27">
        <f>AVERAGE(G19:G20)</f>
        <v>0.15395465841666667</v>
      </c>
      <c r="L20">
        <f>+J20/I20</f>
        <v>5.9902294901062417E-3</v>
      </c>
      <c r="M20">
        <f>+(L20-$L$619)/$L$620</f>
        <v>-0.57716332229023581</v>
      </c>
      <c r="N20">
        <f>+N18+M20</f>
        <v>3.6743631941430195</v>
      </c>
    </row>
    <row r="21" spans="1:14">
      <c r="A21" s="8">
        <v>3</v>
      </c>
      <c r="B21" s="74">
        <v>36718</v>
      </c>
      <c r="C21" s="12">
        <v>2000</v>
      </c>
      <c r="D21" s="15" t="s">
        <v>24</v>
      </c>
      <c r="E21" s="12">
        <v>7</v>
      </c>
      <c r="F21" s="13">
        <v>20.025245213728596</v>
      </c>
      <c r="G21" s="13">
        <v>0.34200533133333333</v>
      </c>
    </row>
    <row r="22" spans="1:14">
      <c r="A22" s="8">
        <v>4</v>
      </c>
      <c r="B22" s="74">
        <v>36718</v>
      </c>
      <c r="C22" s="12">
        <v>2000</v>
      </c>
      <c r="D22" s="15" t="s">
        <v>24</v>
      </c>
      <c r="E22" s="12">
        <v>7</v>
      </c>
      <c r="F22" s="13">
        <v>31.953396116235044</v>
      </c>
      <c r="G22" s="13">
        <v>0.17887916433333331</v>
      </c>
      <c r="I22" s="27">
        <f>AVERAGE(F21:F22)</f>
        <v>25.989320664981818</v>
      </c>
      <c r="J22" s="27">
        <f>AVERAGE(G21:G22)</f>
        <v>0.26044224783333331</v>
      </c>
      <c r="L22">
        <f>+J22/I22</f>
        <v>1.0021125645821706E-2</v>
      </c>
      <c r="M22">
        <f>+(L22-$L$619)/$L$620</f>
        <v>-0.5158547721871517</v>
      </c>
      <c r="N22">
        <f>+N20+M22</f>
        <v>3.1585084219558679</v>
      </c>
    </row>
    <row r="23" spans="1:14">
      <c r="A23" s="8">
        <v>3</v>
      </c>
      <c r="B23" s="74">
        <v>36753</v>
      </c>
      <c r="C23" s="12">
        <v>2000</v>
      </c>
      <c r="D23" s="15" t="s">
        <v>25</v>
      </c>
      <c r="E23" s="12">
        <v>8</v>
      </c>
      <c r="F23" s="13">
        <v>28.156610334451724</v>
      </c>
      <c r="G23" s="13">
        <v>0.40492566899999999</v>
      </c>
    </row>
    <row r="24" spans="1:14">
      <c r="A24" s="8">
        <v>4</v>
      </c>
      <c r="B24" s="74">
        <v>36753</v>
      </c>
      <c r="C24" s="12">
        <v>2000</v>
      </c>
      <c r="D24" s="15" t="s">
        <v>25</v>
      </c>
      <c r="E24" s="12">
        <v>8</v>
      </c>
      <c r="F24" s="13">
        <v>35.417949447438119</v>
      </c>
      <c r="G24" s="13">
        <v>0.31665663133333338</v>
      </c>
      <c r="I24" s="27">
        <f>AVERAGE(F23:F24)</f>
        <v>31.787279890944923</v>
      </c>
      <c r="J24" s="27">
        <f>AVERAGE(G23:G24)</f>
        <v>0.36079115016666669</v>
      </c>
      <c r="L24">
        <f>+J24/I24</f>
        <v>1.1350173761468763E-2</v>
      </c>
      <c r="M24">
        <f>+(L24-$L$619)/$L$620</f>
        <v>-0.49564040549551108</v>
      </c>
      <c r="N24">
        <f>+N22+M24</f>
        <v>2.6628680164603566</v>
      </c>
    </row>
    <row r="25" spans="1:14">
      <c r="A25" s="8">
        <v>3</v>
      </c>
      <c r="B25" s="74">
        <v>36781</v>
      </c>
      <c r="C25" s="12">
        <v>2000</v>
      </c>
      <c r="D25" s="15" t="s">
        <v>26</v>
      </c>
      <c r="E25" s="12">
        <v>9</v>
      </c>
      <c r="F25" s="16">
        <v>5.505185712210781</v>
      </c>
      <c r="G25" s="16">
        <v>0.11878633550000001</v>
      </c>
    </row>
    <row r="26" spans="1:14">
      <c r="A26" s="8">
        <v>4</v>
      </c>
      <c r="B26" s="74">
        <v>36781</v>
      </c>
      <c r="C26" s="12">
        <v>2000</v>
      </c>
      <c r="D26" s="15" t="s">
        <v>26</v>
      </c>
      <c r="E26" s="12">
        <v>9</v>
      </c>
      <c r="F26" s="16">
        <v>10.02760484010903</v>
      </c>
      <c r="G26" s="16">
        <v>0.19076920033333333</v>
      </c>
      <c r="I26" s="27">
        <f>AVERAGE(F25:F26)</f>
        <v>7.7663952761599049</v>
      </c>
      <c r="J26" s="27">
        <f>AVERAGE(G25:G26)</f>
        <v>0.15477776791666667</v>
      </c>
      <c r="L26">
        <f>+J26/I26</f>
        <v>1.9929164356568337E-2</v>
      </c>
      <c r="M26">
        <f>+(L26-$L$619)/$L$620</f>
        <v>-0.36515689651506383</v>
      </c>
      <c r="N26">
        <f>+N24+M26</f>
        <v>2.2977111199452929</v>
      </c>
    </row>
    <row r="27" spans="1:14">
      <c r="A27" s="8">
        <v>3</v>
      </c>
      <c r="B27" s="74">
        <v>36817</v>
      </c>
      <c r="C27" s="12">
        <v>2000</v>
      </c>
      <c r="D27" s="15" t="s">
        <v>14</v>
      </c>
      <c r="E27" s="12">
        <v>10</v>
      </c>
      <c r="F27" s="17">
        <v>5.1552847540285232</v>
      </c>
      <c r="G27" s="17">
        <v>1.0395314218333334</v>
      </c>
    </row>
    <row r="28" spans="1:14">
      <c r="A28" s="8">
        <v>4</v>
      </c>
      <c r="B28" s="74">
        <v>36817</v>
      </c>
      <c r="C28" s="12">
        <v>2000</v>
      </c>
      <c r="D28" s="15" t="s">
        <v>14</v>
      </c>
      <c r="E28" s="12">
        <v>10</v>
      </c>
      <c r="F28" s="17">
        <v>7.6204647894963671</v>
      </c>
      <c r="G28" s="17">
        <v>0.60635379850000004</v>
      </c>
      <c r="I28" s="27">
        <f>AVERAGE(F27:F28)</f>
        <v>6.3878747717624451</v>
      </c>
      <c r="J28" s="27">
        <f>AVERAGE(G27:G28)</f>
        <v>0.8229426101666667</v>
      </c>
      <c r="L28">
        <f>+J28/I28</f>
        <v>0.12882885772972236</v>
      </c>
      <c r="M28">
        <f>+(L28-$L$619)/$L$620</f>
        <v>1.2911701457759723</v>
      </c>
      <c r="N28">
        <f>+N26+M28</f>
        <v>3.5888812657212652</v>
      </c>
    </row>
    <row r="29" spans="1:14">
      <c r="A29" s="8">
        <v>3</v>
      </c>
      <c r="B29" s="74">
        <v>36848</v>
      </c>
      <c r="C29" s="12">
        <v>2000</v>
      </c>
      <c r="D29" s="15" t="s">
        <v>16</v>
      </c>
      <c r="E29" s="12">
        <v>11</v>
      </c>
      <c r="F29" s="17">
        <v>2.1484922622143627</v>
      </c>
      <c r="G29" s="17">
        <v>0</v>
      </c>
    </row>
    <row r="30" spans="1:14">
      <c r="A30" s="8">
        <v>4</v>
      </c>
      <c r="B30" s="74">
        <v>36848</v>
      </c>
      <c r="C30" s="12">
        <v>2000</v>
      </c>
      <c r="D30" s="15" t="s">
        <v>16</v>
      </c>
      <c r="E30" s="12">
        <v>11</v>
      </c>
      <c r="F30" s="17">
        <v>5.0971790667895167</v>
      </c>
      <c r="G30" s="17">
        <v>2.0000417833333336E-2</v>
      </c>
      <c r="I30" s="27">
        <f>AVERAGE(F29:F30)</f>
        <v>3.6228356645019399</v>
      </c>
      <c r="J30" s="27">
        <f>AVERAGE(G29:G30)</f>
        <v>1.0000208916666668E-2</v>
      </c>
      <c r="L30">
        <f>+J30/I30</f>
        <v>2.7603263969859025E-3</v>
      </c>
      <c r="M30">
        <f>+(L30-$L$619)/$L$620</f>
        <v>-0.62628904222025628</v>
      </c>
      <c r="N30">
        <f>+N28+M30</f>
        <v>2.9625922235010087</v>
      </c>
    </row>
    <row r="31" spans="1:14">
      <c r="A31" s="8">
        <v>3</v>
      </c>
      <c r="B31" s="74">
        <v>36871</v>
      </c>
      <c r="C31" s="12">
        <v>2000</v>
      </c>
      <c r="D31" s="15" t="s">
        <v>17</v>
      </c>
      <c r="E31" s="12">
        <v>12</v>
      </c>
      <c r="F31" s="17">
        <v>1.8706891478801031</v>
      </c>
      <c r="G31" s="17">
        <v>0.25030593733333334</v>
      </c>
    </row>
    <row r="32" spans="1:14">
      <c r="A32" s="8">
        <v>4</v>
      </c>
      <c r="B32" s="74">
        <v>36871</v>
      </c>
      <c r="C32" s="12">
        <v>2000</v>
      </c>
      <c r="D32" s="15" t="s">
        <v>17</v>
      </c>
      <c r="E32" s="12">
        <v>12</v>
      </c>
      <c r="F32" s="17">
        <v>3.7620316666914344</v>
      </c>
      <c r="G32" s="17">
        <v>0.68829803150000002</v>
      </c>
      <c r="I32" s="27">
        <f>AVERAGE(F31:F32)</f>
        <v>2.8163604072857686</v>
      </c>
      <c r="J32" s="27">
        <f>AVERAGE(G31:G32)</f>
        <v>0.46930198441666671</v>
      </c>
      <c r="L32">
        <f>+J32/I32</f>
        <v>0.16663420746954419</v>
      </c>
      <c r="M32">
        <f>+(L32-$L$619)/$L$620</f>
        <v>1.866176568454972</v>
      </c>
      <c r="N32">
        <f>+N30+M32</f>
        <v>4.828768791955981</v>
      </c>
    </row>
    <row r="33" spans="1:14">
      <c r="A33" s="8">
        <v>3</v>
      </c>
      <c r="B33" s="74">
        <v>36901</v>
      </c>
      <c r="C33" s="12">
        <v>2001</v>
      </c>
      <c r="D33" s="15" t="s">
        <v>18</v>
      </c>
      <c r="E33" s="12">
        <v>1</v>
      </c>
      <c r="F33" s="17">
        <v>3.6603537246189437</v>
      </c>
      <c r="G33" s="17">
        <v>0.86006881099999999</v>
      </c>
    </row>
    <row r="34" spans="1:14">
      <c r="A34" s="8">
        <v>4</v>
      </c>
      <c r="B34" s="74">
        <v>36901</v>
      </c>
      <c r="C34" s="12">
        <v>2001</v>
      </c>
      <c r="D34" s="15" t="s">
        <v>18</v>
      </c>
      <c r="E34" s="12">
        <v>1</v>
      </c>
      <c r="F34" s="17">
        <v>7.1778812047673535</v>
      </c>
      <c r="G34" s="17">
        <v>1.9558241316666667</v>
      </c>
      <c r="I34" s="27">
        <f>AVERAGE(F33:F34)</f>
        <v>5.4191174646931488</v>
      </c>
      <c r="J34" s="27">
        <f>AVERAGE(G33:G34)</f>
        <v>1.4079464713333334</v>
      </c>
      <c r="L34">
        <f>+J34/I34</f>
        <v>0.25981102651980559</v>
      </c>
      <c r="M34">
        <f>+(L34-$L$619)/$L$620</f>
        <v>3.2833640767684926</v>
      </c>
      <c r="N34">
        <f>+N32+M34</f>
        <v>8.1121328687244727</v>
      </c>
    </row>
    <row r="35" spans="1:14">
      <c r="A35" s="12">
        <v>3</v>
      </c>
      <c r="B35" s="74">
        <v>36928</v>
      </c>
      <c r="C35" s="12">
        <v>2001</v>
      </c>
      <c r="D35" s="11" t="s">
        <v>19</v>
      </c>
      <c r="E35" s="12">
        <v>2</v>
      </c>
      <c r="F35" s="17">
        <v>3.8381383827951239</v>
      </c>
      <c r="G35" s="17">
        <v>0</v>
      </c>
    </row>
    <row r="36" spans="1:14">
      <c r="A36" s="12">
        <v>4</v>
      </c>
      <c r="B36" s="74">
        <v>36928</v>
      </c>
      <c r="C36" s="12">
        <v>2001</v>
      </c>
      <c r="D36" s="11" t="s">
        <v>19</v>
      </c>
      <c r="E36" s="12">
        <v>2</v>
      </c>
      <c r="F36" s="17">
        <v>4.6473219110529893</v>
      </c>
      <c r="G36" s="17">
        <v>0</v>
      </c>
      <c r="I36" s="27">
        <f>AVERAGE(F35:F36)</f>
        <v>4.2427301469240568</v>
      </c>
      <c r="J36" s="27">
        <f>AVERAGE(G35:G36)</f>
        <v>0</v>
      </c>
      <c r="L36">
        <f>+J36/I36</f>
        <v>0</v>
      </c>
      <c r="M36">
        <f>+(L36-$L$619)/$L$620</f>
        <v>-0.66827266141384922</v>
      </c>
      <c r="N36">
        <f>+N34+M36</f>
        <v>7.4438602073106237</v>
      </c>
    </row>
    <row r="37" spans="1:14">
      <c r="A37" s="8">
        <v>3</v>
      </c>
      <c r="B37" s="74">
        <v>36965</v>
      </c>
      <c r="C37" s="12">
        <v>2001</v>
      </c>
      <c r="D37" s="11" t="s">
        <v>20</v>
      </c>
      <c r="E37" s="12">
        <v>3</v>
      </c>
      <c r="F37" s="17">
        <v>3.0647509565419848</v>
      </c>
      <c r="G37" s="17">
        <v>0</v>
      </c>
    </row>
    <row r="38" spans="1:14">
      <c r="A38" s="8">
        <v>4</v>
      </c>
      <c r="B38" s="74">
        <v>36965</v>
      </c>
      <c r="C38" s="12">
        <v>2001</v>
      </c>
      <c r="D38" s="11" t="s">
        <v>20</v>
      </c>
      <c r="E38" s="12">
        <v>3</v>
      </c>
      <c r="F38" s="17">
        <v>15.923001191095393</v>
      </c>
      <c r="G38" s="17">
        <v>0</v>
      </c>
      <c r="I38" s="27">
        <f>AVERAGE(F37:F38)</f>
        <v>9.4938760738186883</v>
      </c>
      <c r="J38" s="27">
        <f>AVERAGE(G37:G38)</f>
        <v>0</v>
      </c>
      <c r="L38">
        <f>+J38/I38</f>
        <v>0</v>
      </c>
      <c r="M38">
        <f>+(L38-$L$619)/$L$620</f>
        <v>-0.66827266141384922</v>
      </c>
      <c r="N38">
        <f>+N36+M38</f>
        <v>6.7755875458967747</v>
      </c>
    </row>
    <row r="39" spans="1:14">
      <c r="A39" s="8">
        <v>3</v>
      </c>
      <c r="B39" s="74">
        <v>37000</v>
      </c>
      <c r="C39" s="12">
        <v>2001</v>
      </c>
      <c r="D39" s="15" t="s">
        <v>21</v>
      </c>
      <c r="E39" s="12">
        <v>4</v>
      </c>
      <c r="F39" s="17">
        <v>1.787291100592947</v>
      </c>
      <c r="G39" s="17">
        <v>0</v>
      </c>
    </row>
    <row r="40" spans="1:14">
      <c r="A40" s="8">
        <v>4</v>
      </c>
      <c r="B40" s="74">
        <v>37000</v>
      </c>
      <c r="C40" s="12">
        <v>2001</v>
      </c>
      <c r="D40" s="15" t="s">
        <v>21</v>
      </c>
      <c r="E40" s="12">
        <v>4</v>
      </c>
      <c r="F40" s="17">
        <v>5.6942883340020707</v>
      </c>
      <c r="G40" s="17">
        <v>0</v>
      </c>
      <c r="I40" s="27">
        <f>AVERAGE(F39:F40)</f>
        <v>3.7407897172975089</v>
      </c>
      <c r="J40" s="27">
        <f>AVERAGE(G39:G40)</f>
        <v>0</v>
      </c>
      <c r="L40">
        <f>+J40/I40</f>
        <v>0</v>
      </c>
      <c r="M40">
        <f>+(L40-$L$619)/$L$620</f>
        <v>-0.66827266141384922</v>
      </c>
      <c r="N40">
        <f>+N38+M40</f>
        <v>6.1073148844829257</v>
      </c>
    </row>
    <row r="41" spans="1:14">
      <c r="A41" s="8">
        <v>3</v>
      </c>
      <c r="B41" s="74">
        <v>37026</v>
      </c>
      <c r="C41" s="12">
        <v>2001</v>
      </c>
      <c r="D41" s="15" t="s">
        <v>22</v>
      </c>
      <c r="E41" s="12">
        <v>5</v>
      </c>
      <c r="F41" s="17">
        <v>6.2271437772758107</v>
      </c>
      <c r="G41" s="17">
        <v>0.24950773633333334</v>
      </c>
    </row>
    <row r="42" spans="1:14">
      <c r="A42" s="8">
        <v>4</v>
      </c>
      <c r="B42" s="74">
        <v>37026</v>
      </c>
      <c r="C42" s="12">
        <v>2001</v>
      </c>
      <c r="D42" s="15" t="s">
        <v>22</v>
      </c>
      <c r="E42" s="12">
        <v>5</v>
      </c>
      <c r="F42" s="17">
        <v>13.68592039227633</v>
      </c>
      <c r="G42" s="17">
        <v>0.29517418466666667</v>
      </c>
      <c r="I42" s="27">
        <f>AVERAGE(F41:F42)</f>
        <v>9.9565320847760699</v>
      </c>
      <c r="J42" s="27">
        <f>AVERAGE(G41:G42)</f>
        <v>0.27234096050000001</v>
      </c>
      <c r="L42">
        <f>+J42/I42</f>
        <v>2.7352993811612387E-2</v>
      </c>
      <c r="M42">
        <f>+(L42-$L$619)/$L$620</f>
        <v>-0.25224299287704433</v>
      </c>
      <c r="N42">
        <f>+N40+M42</f>
        <v>5.8550718916058813</v>
      </c>
    </row>
    <row r="43" spans="1:14">
      <c r="A43" s="8">
        <v>3</v>
      </c>
      <c r="B43" s="74">
        <v>37055</v>
      </c>
      <c r="C43" s="12">
        <v>2001</v>
      </c>
      <c r="D43" s="15" t="s">
        <v>23</v>
      </c>
      <c r="E43" s="12">
        <v>6</v>
      </c>
      <c r="F43" s="17">
        <v>23.472226020072025</v>
      </c>
      <c r="G43" s="17">
        <v>0.15233352633333333</v>
      </c>
    </row>
    <row r="44" spans="1:14">
      <c r="A44" s="8">
        <v>4</v>
      </c>
      <c r="B44" s="74">
        <v>37055</v>
      </c>
      <c r="C44" s="12">
        <v>2001</v>
      </c>
      <c r="D44" s="15" t="s">
        <v>23</v>
      </c>
      <c r="E44" s="12">
        <v>6</v>
      </c>
      <c r="F44" s="17">
        <v>17.031057322425486</v>
      </c>
      <c r="G44" s="17">
        <v>0.17040176100000001</v>
      </c>
      <c r="I44" s="27">
        <f>AVERAGE(F43:F44)</f>
        <v>20.251641671248755</v>
      </c>
      <c r="J44" s="27">
        <f>AVERAGE(G43:G44)</f>
        <v>0.16136764366666667</v>
      </c>
      <c r="L44">
        <f>+J44/I44</f>
        <v>7.9681265492545349E-3</v>
      </c>
      <c r="M44">
        <f>+(L44-$L$619)/$L$620</f>
        <v>-0.54708018537349912</v>
      </c>
      <c r="N44">
        <f>+N42+M44</f>
        <v>5.3079917062323823</v>
      </c>
    </row>
    <row r="45" spans="1:14">
      <c r="A45" s="8">
        <v>3</v>
      </c>
      <c r="B45" s="74">
        <v>37092</v>
      </c>
      <c r="C45" s="12">
        <v>2001</v>
      </c>
      <c r="D45" s="15" t="s">
        <v>24</v>
      </c>
      <c r="E45" s="12">
        <v>7</v>
      </c>
      <c r="F45" s="17">
        <v>25.751491910508093</v>
      </c>
      <c r="G45" s="17">
        <v>0.25293410899999996</v>
      </c>
    </row>
    <row r="46" spans="1:14">
      <c r="A46" s="8">
        <v>4</v>
      </c>
      <c r="B46" s="74">
        <v>37092</v>
      </c>
      <c r="C46" s="12">
        <v>2001</v>
      </c>
      <c r="D46" s="15" t="s">
        <v>24</v>
      </c>
      <c r="E46" s="12">
        <v>7</v>
      </c>
      <c r="F46" s="17">
        <v>42.768034028077061</v>
      </c>
      <c r="G46" s="17">
        <v>0.46116235749999995</v>
      </c>
      <c r="I46" s="27">
        <f>AVERAGE(F45:F46)</f>
        <v>34.259762969292581</v>
      </c>
      <c r="J46" s="27">
        <f>AVERAGE(G45:G46)</f>
        <v>0.35704823324999996</v>
      </c>
      <c r="L46">
        <f>+J46/I46</f>
        <v>1.0421795199518058E-2</v>
      </c>
      <c r="M46">
        <f>+(L46-$L$619)/$L$620</f>
        <v>-0.50976072548918783</v>
      </c>
      <c r="N46">
        <f>+N44+M46</f>
        <v>4.7982309807431944</v>
      </c>
    </row>
    <row r="47" spans="1:14">
      <c r="A47" s="8">
        <v>3</v>
      </c>
      <c r="B47" s="74">
        <v>37118</v>
      </c>
      <c r="C47" s="12">
        <v>2001</v>
      </c>
      <c r="D47" s="15" t="s">
        <v>25</v>
      </c>
      <c r="E47" s="12">
        <v>8</v>
      </c>
      <c r="F47" s="17">
        <v>23.00358451823671</v>
      </c>
      <c r="G47" s="17">
        <v>0.13544812616666665</v>
      </c>
    </row>
    <row r="48" spans="1:14">
      <c r="A48" s="8">
        <v>4</v>
      </c>
      <c r="B48" s="74">
        <v>37118</v>
      </c>
      <c r="C48" s="12">
        <v>2001</v>
      </c>
      <c r="D48" s="15" t="s">
        <v>25</v>
      </c>
      <c r="E48" s="12">
        <v>8</v>
      </c>
      <c r="F48" s="17">
        <v>36.365381232012211</v>
      </c>
      <c r="G48" s="17">
        <v>0.33279090066666667</v>
      </c>
      <c r="I48" s="27">
        <f>AVERAGE(F47:F48)</f>
        <v>29.684482875124459</v>
      </c>
      <c r="J48" s="27">
        <f>AVERAGE(G47:G48)</f>
        <v>0.23411951341666665</v>
      </c>
      <c r="L48">
        <f>+J48/I48</f>
        <v>7.8869325230138451E-3</v>
      </c>
      <c r="M48">
        <f>+(L48-$L$619)/$L$620</f>
        <v>-0.54831511870682004</v>
      </c>
      <c r="N48">
        <f>+N46+M48</f>
        <v>4.2499158620363744</v>
      </c>
    </row>
    <row r="49" spans="1:14">
      <c r="A49" s="8">
        <v>3</v>
      </c>
      <c r="B49" s="74">
        <v>37152</v>
      </c>
      <c r="C49" s="12">
        <v>2001</v>
      </c>
      <c r="D49" s="15" t="s">
        <v>26</v>
      </c>
      <c r="E49" s="12">
        <v>9</v>
      </c>
      <c r="F49" s="17">
        <v>8.8993261414354574</v>
      </c>
      <c r="G49" s="17">
        <v>0.20519866999999997</v>
      </c>
    </row>
    <row r="50" spans="1:14">
      <c r="A50" s="8">
        <v>4</v>
      </c>
      <c r="B50" s="74">
        <v>37152</v>
      </c>
      <c r="C50" s="12">
        <v>2001</v>
      </c>
      <c r="D50" s="15" t="s">
        <v>26</v>
      </c>
      <c r="E50" s="12">
        <v>9</v>
      </c>
      <c r="F50" s="17">
        <v>12.060995468685757</v>
      </c>
      <c r="G50" s="17">
        <v>0.21557444433333331</v>
      </c>
      <c r="I50" s="27">
        <f>AVERAGE(F49:F50)</f>
        <v>10.480160805060606</v>
      </c>
      <c r="J50" s="27">
        <f>AVERAGE(G49:G50)</f>
        <v>0.21038655716666665</v>
      </c>
      <c r="L50">
        <f>+J50/I50</f>
        <v>2.0074745137982641E-2</v>
      </c>
      <c r="M50">
        <f>+(L50-$L$619)/$L$620</f>
        <v>-0.36294266268551462</v>
      </c>
      <c r="N50">
        <f>+N48+M50</f>
        <v>3.8869731993508596</v>
      </c>
    </row>
    <row r="51" spans="1:14">
      <c r="A51" s="8">
        <v>3</v>
      </c>
      <c r="B51" s="74">
        <v>37180</v>
      </c>
      <c r="C51" s="12">
        <v>2001</v>
      </c>
      <c r="D51" s="15" t="s">
        <v>14</v>
      </c>
      <c r="E51" s="12">
        <v>10</v>
      </c>
      <c r="F51" s="16">
        <v>3.2493851022036586</v>
      </c>
      <c r="G51" s="16">
        <v>0.16936741693647472</v>
      </c>
    </row>
    <row r="52" spans="1:14">
      <c r="A52" s="8">
        <v>4</v>
      </c>
      <c r="B52" s="74">
        <v>37180</v>
      </c>
      <c r="C52" s="12">
        <v>2001</v>
      </c>
      <c r="D52" s="15" t="s">
        <v>14</v>
      </c>
      <c r="E52" s="12">
        <v>10</v>
      </c>
      <c r="F52" s="16">
        <v>4.2841916128331681</v>
      </c>
      <c r="G52" s="16">
        <v>7.6320444632261703E-2</v>
      </c>
      <c r="I52" s="27">
        <f>AVERAGE(F51:F52)</f>
        <v>3.7667883575184131</v>
      </c>
      <c r="J52" s="27">
        <f>AVERAGE(G51:G52)</f>
        <v>0.12284393078436821</v>
      </c>
      <c r="L52">
        <f>+J52/I52</f>
        <v>3.2612379333491058E-2</v>
      </c>
      <c r="M52">
        <f>+(L52-$L$619)/$L$620</f>
        <v>-0.17224954022450362</v>
      </c>
      <c r="N52">
        <f>+N50+M52</f>
        <v>3.7147236591263559</v>
      </c>
    </row>
    <row r="53" spans="1:14">
      <c r="A53" s="8">
        <v>3</v>
      </c>
      <c r="B53" s="74">
        <v>37203</v>
      </c>
      <c r="C53" s="12">
        <v>2001</v>
      </c>
      <c r="D53" s="15" t="s">
        <v>16</v>
      </c>
      <c r="E53" s="12">
        <v>11</v>
      </c>
      <c r="F53" s="16">
        <v>1.3616965947949478</v>
      </c>
      <c r="G53" s="16">
        <v>0</v>
      </c>
    </row>
    <row r="54" spans="1:14">
      <c r="A54" s="8">
        <v>4</v>
      </c>
      <c r="B54" s="74">
        <v>37203</v>
      </c>
      <c r="C54" s="12">
        <v>2001</v>
      </c>
      <c r="D54" s="15" t="s">
        <v>16</v>
      </c>
      <c r="E54" s="12">
        <v>11</v>
      </c>
      <c r="F54" s="16">
        <v>4.0950642991562116</v>
      </c>
      <c r="G54" s="16">
        <v>0</v>
      </c>
      <c r="I54" s="27">
        <f>AVERAGE(F53:F54)</f>
        <v>2.7283804469755797</v>
      </c>
      <c r="J54" s="27">
        <f>AVERAGE(G53:G54)</f>
        <v>0</v>
      </c>
      <c r="L54">
        <f>+J54/I54</f>
        <v>0</v>
      </c>
      <c r="M54">
        <f>+(L54-$L$619)/$L$620</f>
        <v>-0.66827266141384922</v>
      </c>
      <c r="N54">
        <f>+N52+M54</f>
        <v>3.0464509977125065</v>
      </c>
    </row>
    <row r="55" spans="1:14">
      <c r="A55" s="8">
        <v>3</v>
      </c>
      <c r="B55" s="74">
        <v>37228</v>
      </c>
      <c r="C55" s="12">
        <v>2001</v>
      </c>
      <c r="D55" s="15" t="s">
        <v>17</v>
      </c>
      <c r="E55" s="12">
        <v>12</v>
      </c>
      <c r="F55" s="16">
        <v>4.0507025288412777</v>
      </c>
      <c r="G55" s="16">
        <v>6.4606492570054477E-2</v>
      </c>
    </row>
    <row r="56" spans="1:14">
      <c r="A56" s="8">
        <v>4</v>
      </c>
      <c r="B56" s="74">
        <v>37228</v>
      </c>
      <c r="C56" s="12">
        <v>2001</v>
      </c>
      <c r="D56" s="15" t="s">
        <v>17</v>
      </c>
      <c r="E56" s="12">
        <v>12</v>
      </c>
      <c r="F56" s="16">
        <v>7.1636445505763398</v>
      </c>
      <c r="G56" s="16">
        <v>0.10172547857822313</v>
      </c>
      <c r="I56" s="27">
        <f>AVERAGE(F55:F56)</f>
        <v>5.6071735397088087</v>
      </c>
      <c r="J56" s="27">
        <f>AVERAGE(G55:G56)</f>
        <v>8.3165985574138804E-2</v>
      </c>
      <c r="L56">
        <f>+J56/I56</f>
        <v>1.4832069131653408E-2</v>
      </c>
      <c r="M56">
        <f>+(L56-$L$619)/$L$620</f>
        <v>-0.44268196932890835</v>
      </c>
      <c r="N56">
        <f>+N54+M56</f>
        <v>2.6037690283835984</v>
      </c>
    </row>
    <row r="57" spans="1:14">
      <c r="A57" s="8">
        <v>3</v>
      </c>
      <c r="B57" s="74">
        <v>37270</v>
      </c>
      <c r="C57" s="12">
        <v>2002</v>
      </c>
      <c r="D57" s="15" t="s">
        <v>18</v>
      </c>
      <c r="E57" s="12">
        <v>1</v>
      </c>
      <c r="F57" s="16">
        <v>4.2514887305959439</v>
      </c>
      <c r="G57" s="16">
        <v>1.1476408557160802</v>
      </c>
    </row>
    <row r="58" spans="1:14">
      <c r="A58" s="8">
        <v>4</v>
      </c>
      <c r="B58" s="74">
        <v>37270</v>
      </c>
      <c r="C58" s="12">
        <v>2002</v>
      </c>
      <c r="D58" s="15" t="s">
        <v>18</v>
      </c>
      <c r="E58" s="12">
        <v>1</v>
      </c>
      <c r="F58" s="16">
        <v>5.2303111731291096</v>
      </c>
      <c r="G58" s="16">
        <v>1.3231139893583077</v>
      </c>
      <c r="I58" s="27">
        <f>AVERAGE(F57:F58)</f>
        <v>4.7408999518625272</v>
      </c>
      <c r="J58" s="27">
        <f>AVERAGE(G57:G58)</f>
        <v>1.2353774225371938</v>
      </c>
      <c r="L58">
        <f>+J58/I58</f>
        <v>0.26057867389752848</v>
      </c>
      <c r="M58">
        <f>+(L58-$L$619)/$L$620</f>
        <v>3.2950397304942509</v>
      </c>
      <c r="N58">
        <f>+N56+M58</f>
        <v>5.8988087588778493</v>
      </c>
    </row>
    <row r="59" spans="1:14">
      <c r="A59" s="8">
        <v>3</v>
      </c>
      <c r="B59" s="74">
        <v>37300</v>
      </c>
      <c r="C59" s="12">
        <v>2002</v>
      </c>
      <c r="D59" s="11" t="s">
        <v>19</v>
      </c>
      <c r="E59" s="12">
        <v>2</v>
      </c>
      <c r="F59" s="16">
        <v>2.5319323297664096</v>
      </c>
      <c r="G59" s="16">
        <v>6.594379439098684E-2</v>
      </c>
    </row>
    <row r="60" spans="1:14">
      <c r="A60" s="8">
        <v>4</v>
      </c>
      <c r="B60" s="74">
        <v>37300</v>
      </c>
      <c r="C60" s="12">
        <v>2002</v>
      </c>
      <c r="D60" s="11" t="s">
        <v>19</v>
      </c>
      <c r="E60" s="12">
        <v>2</v>
      </c>
      <c r="F60" s="16">
        <v>1.7412773154705985</v>
      </c>
      <c r="G60" s="16">
        <v>2.9197568923735248E-2</v>
      </c>
      <c r="I60" s="27">
        <f>AVERAGE(F59:F60)</f>
        <v>2.1366048226185042</v>
      </c>
      <c r="J60" s="27">
        <f>AVERAGE(G59:G60)</f>
        <v>4.7570681657361044E-2</v>
      </c>
      <c r="L60">
        <f>+J60/I60</f>
        <v>2.2264614005252061E-2</v>
      </c>
      <c r="M60">
        <f>+(L60-$L$619)/$L$620</f>
        <v>-0.32963550715936563</v>
      </c>
      <c r="N60">
        <f>+N58+M60</f>
        <v>5.5691732517184835</v>
      </c>
    </row>
    <row r="61" spans="1:14">
      <c r="A61" s="8">
        <v>3</v>
      </c>
      <c r="B61" s="70">
        <v>37334</v>
      </c>
      <c r="C61" s="12">
        <v>2002</v>
      </c>
      <c r="D61" s="11" t="s">
        <v>20</v>
      </c>
      <c r="E61" s="12">
        <v>3</v>
      </c>
      <c r="F61" s="16">
        <v>3.0997542691102855</v>
      </c>
      <c r="G61" s="16">
        <v>5.5720508239434585E-2</v>
      </c>
    </row>
    <row r="62" spans="1:14">
      <c r="A62" s="8">
        <v>4</v>
      </c>
      <c r="B62" s="70">
        <v>37334</v>
      </c>
      <c r="C62" s="12">
        <v>2002</v>
      </c>
      <c r="D62" s="11" t="s">
        <v>20</v>
      </c>
      <c r="E62" s="12">
        <v>3</v>
      </c>
      <c r="F62" s="16">
        <v>5.2293756812203727</v>
      </c>
      <c r="G62" s="16">
        <v>0.10676303493019787</v>
      </c>
      <c r="I62" s="27">
        <f>AVERAGE(F61:F62)</f>
        <v>4.1645649751653293</v>
      </c>
      <c r="J62" s="27">
        <f>AVERAGE(G61:G62)</f>
        <v>8.1241771584816228E-2</v>
      </c>
      <c r="L62">
        <f>+J62/I62</f>
        <v>1.9507865063767196E-2</v>
      </c>
      <c r="M62">
        <f>+(L62-$L$619)/$L$620</f>
        <v>-0.37156471447992728</v>
      </c>
      <c r="N62">
        <f>+N60+M62</f>
        <v>5.1976085372385565</v>
      </c>
    </row>
    <row r="63" spans="1:14">
      <c r="A63" s="8">
        <v>3</v>
      </c>
      <c r="B63" s="70">
        <v>37361</v>
      </c>
      <c r="C63" s="12">
        <v>2002</v>
      </c>
      <c r="D63" s="15" t="s">
        <v>21</v>
      </c>
      <c r="E63" s="12">
        <v>4</v>
      </c>
      <c r="F63" s="16">
        <v>4.0387561020184775</v>
      </c>
      <c r="G63" s="16">
        <v>0.29889856972567713</v>
      </c>
    </row>
    <row r="64" spans="1:14">
      <c r="A64" s="8">
        <v>4</v>
      </c>
      <c r="B64" s="70">
        <v>37361</v>
      </c>
      <c r="C64" s="12">
        <v>2002</v>
      </c>
      <c r="D64" s="15" t="s">
        <v>21</v>
      </c>
      <c r="E64" s="12">
        <v>4</v>
      </c>
      <c r="F64" s="16">
        <v>11.333801590233278</v>
      </c>
      <c r="G64" s="16">
        <v>1.3359850342068009</v>
      </c>
      <c r="I64" s="27">
        <f>AVERAGE(F63:F64)</f>
        <v>7.6862788461258784</v>
      </c>
      <c r="J64" s="27">
        <f>AVERAGE(G63:G64)</f>
        <v>0.81744180196623906</v>
      </c>
      <c r="L64">
        <f>+J64/I64</f>
        <v>0.10635078668506216</v>
      </c>
      <c r="M64">
        <f>+(L64-$L$619)/$L$620</f>
        <v>0.94928638305283486</v>
      </c>
      <c r="N64">
        <f>+N62+M64</f>
        <v>6.1468949202913912</v>
      </c>
    </row>
    <row r="65" spans="1:14">
      <c r="A65" s="8">
        <v>3</v>
      </c>
      <c r="B65" s="70">
        <v>37389</v>
      </c>
      <c r="C65" s="12">
        <v>2002</v>
      </c>
      <c r="D65" s="15" t="s">
        <v>22</v>
      </c>
      <c r="E65" s="12">
        <v>5</v>
      </c>
      <c r="F65" s="16">
        <v>16.987336423440826</v>
      </c>
      <c r="G65" s="20"/>
    </row>
    <row r="66" spans="1:14">
      <c r="A66" s="8">
        <v>4</v>
      </c>
      <c r="B66" s="70">
        <v>37389</v>
      </c>
      <c r="C66" s="12">
        <v>2002</v>
      </c>
      <c r="D66" s="15" t="s">
        <v>22</v>
      </c>
      <c r="E66" s="12">
        <v>5</v>
      </c>
      <c r="F66" s="16">
        <v>14.556047501768324</v>
      </c>
      <c r="G66" s="20"/>
      <c r="I66" s="27">
        <f>AVERAGE(F65:F66)</f>
        <v>15.771691962604574</v>
      </c>
      <c r="J66" s="27" t="e">
        <f>AVERAGE(G65:G66)</f>
        <v>#DIV/0!</v>
      </c>
    </row>
    <row r="67" spans="1:14">
      <c r="A67" s="8">
        <v>3</v>
      </c>
      <c r="B67" s="70">
        <v>37418</v>
      </c>
      <c r="C67" s="12">
        <v>2002</v>
      </c>
      <c r="D67" s="15" t="s">
        <v>23</v>
      </c>
      <c r="E67" s="12">
        <v>6</v>
      </c>
      <c r="F67" s="16">
        <v>27.635613950571745</v>
      </c>
      <c r="G67" s="20"/>
    </row>
    <row r="68" spans="1:14">
      <c r="A68" s="8">
        <v>4</v>
      </c>
      <c r="B68" s="70">
        <v>37418</v>
      </c>
      <c r="C68" s="12">
        <v>2002</v>
      </c>
      <c r="D68" s="15" t="s">
        <v>23</v>
      </c>
      <c r="E68" s="12">
        <v>6</v>
      </c>
      <c r="F68" s="16">
        <v>25.568401315342154</v>
      </c>
      <c r="G68" s="20"/>
      <c r="I68" s="27">
        <f>AVERAGE(F67:F68)</f>
        <v>26.602007632956948</v>
      </c>
      <c r="J68" s="27" t="e">
        <f>AVERAGE(G67:G68)</f>
        <v>#DIV/0!</v>
      </c>
    </row>
    <row r="69" spans="1:14">
      <c r="A69" s="8">
        <v>3</v>
      </c>
      <c r="B69" s="70">
        <v>37455</v>
      </c>
      <c r="C69" s="12">
        <v>2002</v>
      </c>
      <c r="D69" s="15" t="s">
        <v>24</v>
      </c>
      <c r="E69" s="12">
        <v>7</v>
      </c>
      <c r="F69" s="16">
        <v>11.141478683415984</v>
      </c>
      <c r="G69" s="20"/>
    </row>
    <row r="70" spans="1:14">
      <c r="A70" s="8">
        <v>4</v>
      </c>
      <c r="B70" s="70">
        <v>37455</v>
      </c>
      <c r="C70" s="12">
        <v>2002</v>
      </c>
      <c r="D70" s="15" t="s">
        <v>24</v>
      </c>
      <c r="E70" s="12">
        <v>7</v>
      </c>
      <c r="F70" s="16">
        <v>15.213384618270862</v>
      </c>
      <c r="G70" s="20"/>
      <c r="I70" s="27">
        <f>AVERAGE(F69:F70)</f>
        <v>13.177431650843424</v>
      </c>
      <c r="J70" s="27" t="e">
        <f>AVERAGE(G69:G70)</f>
        <v>#DIV/0!</v>
      </c>
    </row>
    <row r="71" spans="1:14">
      <c r="A71" s="8">
        <v>3</v>
      </c>
      <c r="B71" s="70">
        <v>37483</v>
      </c>
      <c r="C71" s="12">
        <v>2002</v>
      </c>
      <c r="D71" s="15" t="s">
        <v>25</v>
      </c>
      <c r="E71" s="12">
        <v>8</v>
      </c>
      <c r="F71" s="16">
        <v>16.190633624498993</v>
      </c>
      <c r="G71" s="20"/>
    </row>
    <row r="72" spans="1:14">
      <c r="A72" s="8">
        <v>4</v>
      </c>
      <c r="B72" s="70">
        <v>37483</v>
      </c>
      <c r="C72" s="12">
        <v>2002</v>
      </c>
      <c r="D72" s="15" t="s">
        <v>25</v>
      </c>
      <c r="E72" s="12">
        <v>8</v>
      </c>
      <c r="F72" s="16">
        <v>25.601505200357359</v>
      </c>
      <c r="G72" s="20"/>
      <c r="I72" s="27">
        <f>AVERAGE(F71:F72)</f>
        <v>20.896069412428176</v>
      </c>
      <c r="J72" s="27" t="e">
        <f>AVERAGE(G71:G72)</f>
        <v>#DIV/0!</v>
      </c>
    </row>
    <row r="73" spans="1:14">
      <c r="A73" s="8">
        <v>3</v>
      </c>
      <c r="B73" s="70">
        <v>37516</v>
      </c>
      <c r="C73" s="12">
        <v>2002</v>
      </c>
      <c r="D73" s="15" t="s">
        <v>26</v>
      </c>
      <c r="E73" s="12">
        <v>9</v>
      </c>
      <c r="F73" s="16">
        <v>18.390989346517241</v>
      </c>
      <c r="G73" s="20"/>
    </row>
    <row r="74" spans="1:14">
      <c r="A74" s="8">
        <v>4</v>
      </c>
      <c r="B74" s="70">
        <v>37516</v>
      </c>
      <c r="C74" s="12">
        <v>2002</v>
      </c>
      <c r="D74" s="15" t="s">
        <v>26</v>
      </c>
      <c r="E74" s="12">
        <v>9</v>
      </c>
      <c r="F74" s="16">
        <v>14.536812608725272</v>
      </c>
      <c r="G74" s="20"/>
      <c r="I74" s="27">
        <f>AVERAGE(F73:F74)</f>
        <v>16.463900977621257</v>
      </c>
      <c r="J74" s="27" t="e">
        <f>AVERAGE(G73:G74)</f>
        <v>#DIV/0!</v>
      </c>
    </row>
    <row r="75" spans="1:14">
      <c r="A75" s="8">
        <v>3</v>
      </c>
      <c r="B75" s="70">
        <v>37544</v>
      </c>
      <c r="C75" s="12">
        <v>2002</v>
      </c>
      <c r="D75" s="15" t="s">
        <v>14</v>
      </c>
      <c r="E75" s="12">
        <v>10</v>
      </c>
      <c r="F75" s="17">
        <v>8.3616599397475788</v>
      </c>
      <c r="G75" s="17">
        <v>0.22254301488661155</v>
      </c>
    </row>
    <row r="76" spans="1:14">
      <c r="A76" s="8">
        <v>4</v>
      </c>
      <c r="B76" s="70">
        <v>37544</v>
      </c>
      <c r="C76" s="12">
        <v>2002</v>
      </c>
      <c r="D76" s="15" t="s">
        <v>14</v>
      </c>
      <c r="E76" s="12">
        <v>10</v>
      </c>
      <c r="F76" s="17">
        <v>13.581539322283454</v>
      </c>
      <c r="G76" s="17">
        <v>0.10512439045170656</v>
      </c>
      <c r="I76" s="27">
        <f>AVERAGE(F75:F76)</f>
        <v>10.971599631015517</v>
      </c>
      <c r="J76" s="27">
        <f>AVERAGE(G75:G76)</f>
        <v>0.16383370266915906</v>
      </c>
      <c r="L76">
        <f>+J76/I76</f>
        <v>1.4932526539340629E-2</v>
      </c>
      <c r="M76">
        <f>+(L76-$L$619)/$L$620</f>
        <v>-0.44115404656074547</v>
      </c>
      <c r="N76">
        <f>+N64+M76</f>
        <v>5.7057408737306456</v>
      </c>
    </row>
    <row r="77" spans="1:14">
      <c r="A77" s="8">
        <v>3</v>
      </c>
      <c r="B77" s="70">
        <v>37575</v>
      </c>
      <c r="C77" s="12">
        <v>2002</v>
      </c>
      <c r="D77" s="15" t="s">
        <v>16</v>
      </c>
      <c r="E77" s="12">
        <v>11</v>
      </c>
      <c r="F77" s="17">
        <v>2.7732568032777918</v>
      </c>
      <c r="G77" s="17">
        <v>0.12968687286201119</v>
      </c>
    </row>
    <row r="78" spans="1:14">
      <c r="A78" s="8">
        <v>4</v>
      </c>
      <c r="B78" s="70">
        <v>37575</v>
      </c>
      <c r="C78" s="12">
        <v>2002</v>
      </c>
      <c r="D78" s="15" t="s">
        <v>16</v>
      </c>
      <c r="E78" s="12">
        <v>11</v>
      </c>
      <c r="F78" s="17">
        <v>5.0568564250837627</v>
      </c>
      <c r="G78" s="17">
        <v>0.19188252895360416</v>
      </c>
      <c r="I78" s="27">
        <f>AVERAGE(F77:F78)</f>
        <v>3.9150566141807772</v>
      </c>
      <c r="J78" s="27">
        <f>AVERAGE(G77:G78)</f>
        <v>0.16078470090780766</v>
      </c>
      <c r="L78">
        <f>+J78/I78</f>
        <v>4.106829523880378E-2</v>
      </c>
      <c r="M78">
        <f>+(L78-$L$619)/$L$620</f>
        <v>-4.3637955127414155E-2</v>
      </c>
      <c r="N78">
        <f>+N76+M78</f>
        <v>5.6621029186032317</v>
      </c>
    </row>
    <row r="79" spans="1:14">
      <c r="A79" s="8">
        <v>3</v>
      </c>
      <c r="B79" s="70">
        <v>37609</v>
      </c>
      <c r="C79" s="12">
        <v>2002</v>
      </c>
      <c r="D79" s="15" t="s">
        <v>17</v>
      </c>
      <c r="E79" s="12">
        <v>12</v>
      </c>
      <c r="F79" s="17">
        <v>13.67730923414349</v>
      </c>
      <c r="G79" s="17">
        <v>0.31051916948432629</v>
      </c>
    </row>
    <row r="80" spans="1:14">
      <c r="A80" s="8">
        <v>4</v>
      </c>
      <c r="B80" s="70">
        <v>37609</v>
      </c>
      <c r="C80" s="12">
        <v>2002</v>
      </c>
      <c r="D80" s="15" t="s">
        <v>17</v>
      </c>
      <c r="E80" s="12">
        <v>12</v>
      </c>
      <c r="F80" s="17">
        <v>23.255795599381781</v>
      </c>
      <c r="G80" s="17">
        <v>1.1194451557953109</v>
      </c>
      <c r="I80" s="27">
        <f>AVERAGE(F79:F80)</f>
        <v>18.466552416762635</v>
      </c>
      <c r="J80" s="27">
        <f>AVERAGE(G79:G80)</f>
        <v>0.71498216263981862</v>
      </c>
      <c r="L80">
        <f>+J80/I80</f>
        <v>3.8717685169583044E-2</v>
      </c>
      <c r="M80">
        <f>+(L80-$L$619)/$L$620</f>
        <v>-7.9389929287625213E-2</v>
      </c>
      <c r="N80">
        <f>+N78+M80</f>
        <v>5.5827129893156062</v>
      </c>
    </row>
    <row r="81" spans="1:14">
      <c r="A81" s="8">
        <v>3</v>
      </c>
      <c r="B81" s="70">
        <v>37635</v>
      </c>
      <c r="C81" s="12">
        <v>2003</v>
      </c>
      <c r="D81" s="15" t="s">
        <v>18</v>
      </c>
      <c r="E81" s="12">
        <v>1</v>
      </c>
      <c r="F81" s="17">
        <v>28.241100767398116</v>
      </c>
      <c r="G81" s="17">
        <v>1.3663633530366377</v>
      </c>
    </row>
    <row r="82" spans="1:14">
      <c r="A82" s="8">
        <v>4</v>
      </c>
      <c r="B82" s="70">
        <v>37635</v>
      </c>
      <c r="C82" s="12">
        <v>2003</v>
      </c>
      <c r="D82" s="15" t="s">
        <v>18</v>
      </c>
      <c r="E82" s="12">
        <v>1</v>
      </c>
      <c r="F82" s="17">
        <v>22.579198630515862</v>
      </c>
      <c r="G82" s="17">
        <v>1.2191153050992427</v>
      </c>
      <c r="I82" s="27">
        <f>AVERAGE(F81:F82)</f>
        <v>25.410149698956989</v>
      </c>
      <c r="J82" s="27">
        <f>AVERAGE(G81:G82)</f>
        <v>1.2927393290679401</v>
      </c>
      <c r="L82">
        <f>+J82/I82</f>
        <v>5.0874919840436961E-2</v>
      </c>
      <c r="M82">
        <f>+(L82-$L$619)/$L$620</f>
        <v>0.10551744667545096</v>
      </c>
      <c r="N82">
        <f>+N80+M82</f>
        <v>5.6882304359910574</v>
      </c>
    </row>
    <row r="83" spans="1:14">
      <c r="A83" s="8">
        <v>3</v>
      </c>
      <c r="B83" s="70">
        <v>37665</v>
      </c>
      <c r="C83" s="12">
        <v>2003</v>
      </c>
      <c r="D83" s="11" t="s">
        <v>19</v>
      </c>
      <c r="E83" s="12">
        <v>2</v>
      </c>
      <c r="F83" s="17">
        <v>11.599366221982605</v>
      </c>
      <c r="G83" s="17">
        <v>0.40371782262039718</v>
      </c>
    </row>
    <row r="84" spans="1:14">
      <c r="A84" s="8">
        <v>4</v>
      </c>
      <c r="B84" s="70">
        <v>37665</v>
      </c>
      <c r="C84" s="12">
        <v>2003</v>
      </c>
      <c r="D84" s="11" t="s">
        <v>19</v>
      </c>
      <c r="E84" s="12">
        <v>2</v>
      </c>
      <c r="F84" s="17">
        <v>6.5677932354348592</v>
      </c>
      <c r="G84" s="17">
        <v>0.13565475568751617</v>
      </c>
      <c r="I84" s="27">
        <f>AVERAGE(F83:F84)</f>
        <v>9.083579728708731</v>
      </c>
      <c r="J84" s="27">
        <f>AVERAGE(G83:G84)</f>
        <v>0.26968628915395665</v>
      </c>
      <c r="L84">
        <f>+J84/I84</f>
        <v>2.9689428310031876E-2</v>
      </c>
      <c r="M84">
        <f>+(L84-$L$619)/$L$620</f>
        <v>-0.21670662429413792</v>
      </c>
      <c r="N84">
        <f>+N82+M84</f>
        <v>5.4715238116969198</v>
      </c>
    </row>
    <row r="85" spans="1:14">
      <c r="A85" s="8">
        <v>3</v>
      </c>
      <c r="B85" s="70">
        <v>37692</v>
      </c>
      <c r="C85" s="12">
        <v>2003</v>
      </c>
      <c r="D85" s="11" t="s">
        <v>20</v>
      </c>
      <c r="E85" s="12">
        <v>3</v>
      </c>
      <c r="F85" s="17">
        <v>13.908485665099207</v>
      </c>
      <c r="G85" s="17">
        <v>1.4931575096814507</v>
      </c>
    </row>
    <row r="86" spans="1:14">
      <c r="A86" s="8">
        <v>4</v>
      </c>
      <c r="B86" s="70">
        <v>37692</v>
      </c>
      <c r="C86" s="12">
        <v>2003</v>
      </c>
      <c r="D86" s="11" t="s">
        <v>20</v>
      </c>
      <c r="E86" s="12">
        <v>3</v>
      </c>
      <c r="F86" s="17">
        <v>23.075017988777937</v>
      </c>
      <c r="G86" s="17">
        <v>3.9982466760739408</v>
      </c>
      <c r="I86" s="27">
        <f>AVERAGE(F85:F86)</f>
        <v>18.491751826938572</v>
      </c>
      <c r="J86" s="27">
        <f>AVERAGE(G85:G86)</f>
        <v>2.7457020928776958</v>
      </c>
      <c r="L86">
        <f>+J86/I86</f>
        <v>0.14848252986381683</v>
      </c>
      <c r="M86">
        <f>+(L86-$L$619)/$L$620</f>
        <v>1.5900957683163144</v>
      </c>
      <c r="N86">
        <f>+N84+M86</f>
        <v>7.0616195800132342</v>
      </c>
    </row>
    <row r="87" spans="1:14">
      <c r="A87" s="8">
        <v>3</v>
      </c>
      <c r="B87" s="70">
        <v>37725</v>
      </c>
      <c r="C87" s="12">
        <v>2003</v>
      </c>
      <c r="D87" s="11" t="s">
        <v>21</v>
      </c>
      <c r="E87" s="12">
        <v>4</v>
      </c>
      <c r="F87" s="17">
        <v>7.8579158920229677</v>
      </c>
      <c r="G87" s="17">
        <v>0.12862334935763148</v>
      </c>
    </row>
    <row r="88" spans="1:14">
      <c r="A88" s="8">
        <v>4</v>
      </c>
      <c r="B88" s="70">
        <v>37725</v>
      </c>
      <c r="C88" s="12">
        <v>2003</v>
      </c>
      <c r="D88" s="11" t="s">
        <v>21</v>
      </c>
      <c r="E88" s="12">
        <v>4</v>
      </c>
      <c r="F88" s="17">
        <v>6.4005604422385955</v>
      </c>
      <c r="G88" s="17">
        <v>0</v>
      </c>
      <c r="I88" s="27">
        <f>AVERAGE(F87:F88)</f>
        <v>7.1292381671307812</v>
      </c>
      <c r="J88" s="27">
        <f>AVERAGE(G87:G88)</f>
        <v>6.4311674678815739E-2</v>
      </c>
      <c r="L88">
        <f>+J88/I88</f>
        <v>9.0208340879006556E-3</v>
      </c>
      <c r="M88">
        <f>+(L88-$L$619)/$L$620</f>
        <v>-0.53106886422212984</v>
      </c>
      <c r="N88">
        <f>+N86+M88</f>
        <v>6.5305507157911045</v>
      </c>
    </row>
    <row r="89" spans="1:14">
      <c r="A89" s="8">
        <v>3</v>
      </c>
      <c r="B89" s="70">
        <v>37753</v>
      </c>
      <c r="C89" s="12">
        <v>2003</v>
      </c>
      <c r="D89" s="11" t="s">
        <v>22</v>
      </c>
      <c r="E89" s="12">
        <v>5</v>
      </c>
      <c r="F89" s="17">
        <v>10.79591590739744</v>
      </c>
      <c r="G89" s="17">
        <v>0.39075706669566174</v>
      </c>
    </row>
    <row r="90" spans="1:14">
      <c r="A90" s="8">
        <v>4</v>
      </c>
      <c r="B90" s="70">
        <v>37753</v>
      </c>
      <c r="C90" s="12">
        <v>2003</v>
      </c>
      <c r="D90" s="11" t="s">
        <v>22</v>
      </c>
      <c r="E90" s="12">
        <v>5</v>
      </c>
      <c r="F90" s="17">
        <v>10.655932434325212</v>
      </c>
      <c r="G90" s="17">
        <v>0.71137653784559407</v>
      </c>
      <c r="I90" s="27">
        <f>AVERAGE(F89:F90)</f>
        <v>10.725924170861326</v>
      </c>
      <c r="J90" s="27">
        <f>AVERAGE(G89:G90)</f>
        <v>0.55106680227062788</v>
      </c>
      <c r="L90">
        <f>+J90/I90</f>
        <v>5.1377092872583255E-2</v>
      </c>
      <c r="M90">
        <f>+(L90-$L$619)/$L$620</f>
        <v>0.11315532651964012</v>
      </c>
      <c r="N90">
        <f>+N88+M90</f>
        <v>6.643706042310745</v>
      </c>
    </row>
    <row r="91" spans="1:14">
      <c r="A91" s="8">
        <v>3</v>
      </c>
      <c r="B91" s="70">
        <v>37792</v>
      </c>
      <c r="C91" s="12">
        <v>2003</v>
      </c>
      <c r="D91" s="11" t="s">
        <v>23</v>
      </c>
      <c r="E91" s="12">
        <v>6</v>
      </c>
      <c r="F91" s="17">
        <v>28.830816302160009</v>
      </c>
      <c r="G91" s="17">
        <v>0.15512071821331827</v>
      </c>
    </row>
    <row r="92" spans="1:14">
      <c r="A92" s="8">
        <v>4</v>
      </c>
      <c r="B92" s="70">
        <v>37792</v>
      </c>
      <c r="C92" s="12">
        <v>2003</v>
      </c>
      <c r="D92" s="11" t="s">
        <v>23</v>
      </c>
      <c r="E92" s="12">
        <v>6</v>
      </c>
      <c r="F92" s="17">
        <v>31.750755213618987</v>
      </c>
      <c r="G92" s="17">
        <v>0</v>
      </c>
      <c r="I92" s="27">
        <f>AVERAGE(F91:F92)</f>
        <v>30.290785757889498</v>
      </c>
      <c r="J92" s="27">
        <f>AVERAGE(G91:G92)</f>
        <v>7.7560359106659135E-2</v>
      </c>
      <c r="L92">
        <f>+J92/I92</f>
        <v>2.5605264824289961E-3</v>
      </c>
      <c r="M92">
        <f>+(L92-$L$619)/$L$620</f>
        <v>-0.62932793049695768</v>
      </c>
      <c r="N92">
        <f>+N90+M92</f>
        <v>6.0143781118137873</v>
      </c>
    </row>
    <row r="93" spans="1:14">
      <c r="A93" s="8">
        <v>3</v>
      </c>
      <c r="B93" s="70">
        <v>37819</v>
      </c>
      <c r="C93" s="12">
        <v>2003</v>
      </c>
      <c r="D93" s="15" t="s">
        <v>24</v>
      </c>
      <c r="E93" s="12">
        <v>7</v>
      </c>
      <c r="F93" s="17">
        <v>22.777820949333798</v>
      </c>
      <c r="G93" s="17">
        <v>2.8970732136644032E-2</v>
      </c>
    </row>
    <row r="94" spans="1:14">
      <c r="A94" s="8">
        <v>4</v>
      </c>
      <c r="B94" s="70">
        <v>37819</v>
      </c>
      <c r="C94" s="12">
        <v>2003</v>
      </c>
      <c r="D94" s="15" t="s">
        <v>24</v>
      </c>
      <c r="E94" s="12">
        <v>7</v>
      </c>
      <c r="F94" s="17">
        <v>23.060198686609905</v>
      </c>
      <c r="G94" s="17">
        <v>0</v>
      </c>
      <c r="I94" s="27">
        <f>AVERAGE(F93:F94)</f>
        <v>22.919009817971851</v>
      </c>
      <c r="J94" s="27">
        <f>AVERAGE(G93:G94)</f>
        <v>1.4485366068322016E-2</v>
      </c>
      <c r="L94">
        <f>+J94/I94</f>
        <v>6.3202407884844017E-4</v>
      </c>
      <c r="M94">
        <f>+(L94-$L$619)/$L$620</f>
        <v>-0.6586597916182596</v>
      </c>
      <c r="N94">
        <f>+N92+M94</f>
        <v>5.3557183201955274</v>
      </c>
    </row>
    <row r="95" spans="1:14">
      <c r="A95" s="8">
        <v>3</v>
      </c>
      <c r="B95" s="70">
        <v>37845</v>
      </c>
      <c r="C95" s="12">
        <v>2003</v>
      </c>
      <c r="D95" s="15" t="s">
        <v>25</v>
      </c>
      <c r="E95" s="12">
        <v>8</v>
      </c>
      <c r="F95" s="17">
        <v>41.826009294739215</v>
      </c>
      <c r="G95" s="17">
        <v>8.0955416724351428E-2</v>
      </c>
    </row>
    <row r="96" spans="1:14">
      <c r="A96" s="8">
        <v>4</v>
      </c>
      <c r="B96" s="70">
        <v>37845</v>
      </c>
      <c r="C96" s="12">
        <v>2003</v>
      </c>
      <c r="D96" s="15" t="s">
        <v>25</v>
      </c>
      <c r="E96" s="12">
        <v>8</v>
      </c>
      <c r="F96" s="17">
        <v>78.047371432756734</v>
      </c>
      <c r="G96" s="17">
        <v>0.2515363196283924</v>
      </c>
      <c r="I96" s="27">
        <f>AVERAGE(F95:F96)</f>
        <v>59.936690363747971</v>
      </c>
      <c r="J96" s="27">
        <f>AVERAGE(G95:G96)</f>
        <v>0.16624586817637191</v>
      </c>
      <c r="L96">
        <f>+J96/I96</f>
        <v>2.7736911592456536E-3</v>
      </c>
      <c r="M96">
        <f>+(L96-$L$619)/$L$620</f>
        <v>-0.62608576876319744</v>
      </c>
      <c r="N96">
        <f>+N94+M96</f>
        <v>4.7296325514323296</v>
      </c>
    </row>
    <row r="97" spans="1:14">
      <c r="A97" s="8">
        <v>3</v>
      </c>
      <c r="B97" s="70">
        <v>37888</v>
      </c>
      <c r="C97" s="12">
        <v>2003</v>
      </c>
      <c r="D97" s="15" t="s">
        <v>26</v>
      </c>
      <c r="E97" s="12">
        <v>9</v>
      </c>
      <c r="F97" s="17">
        <v>11.322446784959084</v>
      </c>
      <c r="G97" s="17">
        <v>7.40522405963768E-2</v>
      </c>
    </row>
    <row r="98" spans="1:14">
      <c r="A98" s="8">
        <v>4</v>
      </c>
      <c r="B98" s="70">
        <v>37888</v>
      </c>
      <c r="C98" s="12">
        <v>2003</v>
      </c>
      <c r="D98" s="15" t="s">
        <v>26</v>
      </c>
      <c r="E98" s="12">
        <v>9</v>
      </c>
      <c r="F98" s="17">
        <v>19.523304188652542</v>
      </c>
      <c r="G98" s="17">
        <v>7.0674641741149749E-2</v>
      </c>
      <c r="I98" s="27">
        <f>AVERAGE(F97:F98)</f>
        <v>15.422875486805813</v>
      </c>
      <c r="J98" s="27">
        <f>AVERAGE(G97:G98)</f>
        <v>7.2363441168763282E-2</v>
      </c>
      <c r="L98">
        <f>+J98/I98</f>
        <v>4.6919552213638641E-3</v>
      </c>
      <c r="M98">
        <f>+(L98-$L$619)/$L$620</f>
        <v>-0.59690962930930336</v>
      </c>
      <c r="N98">
        <f>+N96+M98</f>
        <v>4.1327229221230262</v>
      </c>
    </row>
    <row r="99" spans="1:14">
      <c r="A99" s="8">
        <v>3</v>
      </c>
      <c r="B99" s="70">
        <v>37910</v>
      </c>
      <c r="C99" s="12">
        <v>2003</v>
      </c>
      <c r="D99" s="15" t="s">
        <v>14</v>
      </c>
      <c r="E99" s="12">
        <v>10</v>
      </c>
      <c r="F99" s="16">
        <v>9.7642000000000007</v>
      </c>
      <c r="G99" s="17">
        <v>0.41868209898560876</v>
      </c>
    </row>
    <row r="100" spans="1:14">
      <c r="A100" s="8">
        <v>4</v>
      </c>
      <c r="B100" s="70">
        <v>37910</v>
      </c>
      <c r="C100" s="12">
        <v>2003</v>
      </c>
      <c r="D100" s="15" t="s">
        <v>14</v>
      </c>
      <c r="E100" s="12">
        <v>10</v>
      </c>
      <c r="F100" s="16">
        <v>9.9925999999999995</v>
      </c>
      <c r="G100" s="17">
        <v>4.7576818138613641E-2</v>
      </c>
      <c r="I100" s="27">
        <f>AVERAGE(F99:F100)</f>
        <v>9.8783999999999992</v>
      </c>
      <c r="J100" s="27">
        <f>AVERAGE(G99:G100)</f>
        <v>0.2331294585621112</v>
      </c>
      <c r="L100">
        <f>+J100/I100</f>
        <v>2.3599920894285635E-2</v>
      </c>
      <c r="M100">
        <f>+(L100-$L$619)/$L$620</f>
        <v>-0.30932594666790281</v>
      </c>
      <c r="N100">
        <f>+N98+M100</f>
        <v>3.8233969754551236</v>
      </c>
    </row>
    <row r="101" spans="1:14">
      <c r="A101" s="8">
        <v>3</v>
      </c>
      <c r="B101" s="70">
        <v>37943</v>
      </c>
      <c r="C101" s="12">
        <v>2003</v>
      </c>
      <c r="D101" s="15" t="s">
        <v>16</v>
      </c>
      <c r="E101" s="12">
        <v>11</v>
      </c>
      <c r="F101" s="16">
        <v>3.2075999999999998</v>
      </c>
      <c r="G101" s="17">
        <v>0.23019294287519221</v>
      </c>
    </row>
    <row r="102" spans="1:14">
      <c r="A102" s="8">
        <v>4</v>
      </c>
      <c r="B102" s="70">
        <v>37943</v>
      </c>
      <c r="C102" s="12">
        <v>2003</v>
      </c>
      <c r="D102" s="15" t="s">
        <v>16</v>
      </c>
      <c r="E102" s="12">
        <v>11</v>
      </c>
      <c r="F102" s="16">
        <v>5.4176000000000002</v>
      </c>
      <c r="G102" s="17">
        <v>0.16609746229817327</v>
      </c>
      <c r="I102" s="27">
        <f>AVERAGE(F101:F102)</f>
        <v>4.3125999999999998</v>
      </c>
      <c r="J102" s="27">
        <f>AVERAGE(G101:G102)</f>
        <v>0.19814520258668272</v>
      </c>
      <c r="L102">
        <f>+J102/I102</f>
        <v>4.5945648236952817E-2</v>
      </c>
      <c r="M102">
        <f>+(L102-$L$619)/$L$620</f>
        <v>3.0544913670497661E-2</v>
      </c>
      <c r="N102">
        <f>+N100+M102</f>
        <v>3.8539418891256214</v>
      </c>
    </row>
    <row r="103" spans="1:14">
      <c r="A103" s="8">
        <v>3</v>
      </c>
      <c r="B103" s="70">
        <v>37973</v>
      </c>
      <c r="C103" s="12">
        <v>2003</v>
      </c>
      <c r="D103" s="15" t="s">
        <v>17</v>
      </c>
      <c r="E103" s="12">
        <v>12</v>
      </c>
      <c r="F103" s="16">
        <v>11.6934</v>
      </c>
      <c r="G103" s="17">
        <v>1.3011526277468934</v>
      </c>
    </row>
    <row r="104" spans="1:14">
      <c r="A104" s="8">
        <v>4</v>
      </c>
      <c r="B104" s="70">
        <v>37973</v>
      </c>
      <c r="C104" s="12">
        <v>2003</v>
      </c>
      <c r="D104" s="15" t="s">
        <v>17</v>
      </c>
      <c r="E104" s="12">
        <v>12</v>
      </c>
      <c r="F104" s="16">
        <v>10.9465</v>
      </c>
      <c r="G104" s="17">
        <v>1.7772196844338268</v>
      </c>
      <c r="I104" s="27">
        <f>AVERAGE(F103:F104)</f>
        <v>11.31995</v>
      </c>
      <c r="J104" s="27">
        <f>AVERAGE(G103:G104)</f>
        <v>1.5391861560903601</v>
      </c>
      <c r="L104">
        <f>+J104/I104</f>
        <v>0.13597110906765136</v>
      </c>
      <c r="M104">
        <f>+(L104-$L$619)/$L$620</f>
        <v>1.3998013426822389</v>
      </c>
      <c r="N104">
        <f>+N102+M104</f>
        <v>5.2537432318078601</v>
      </c>
    </row>
    <row r="105" spans="1:14">
      <c r="A105" s="8">
        <v>3</v>
      </c>
      <c r="B105" s="70">
        <v>37999</v>
      </c>
      <c r="C105" s="12">
        <v>2004</v>
      </c>
      <c r="D105" s="15" t="s">
        <v>18</v>
      </c>
      <c r="E105" s="12">
        <v>1</v>
      </c>
      <c r="F105" s="16">
        <v>5.3851000000000004</v>
      </c>
      <c r="G105" s="16">
        <v>0.10528440263887573</v>
      </c>
    </row>
    <row r="106" spans="1:14">
      <c r="A106" s="8">
        <v>4</v>
      </c>
      <c r="C106" s="12">
        <v>2004</v>
      </c>
      <c r="D106" s="15" t="s">
        <v>18</v>
      </c>
      <c r="E106" s="12">
        <v>1</v>
      </c>
      <c r="F106" s="16"/>
      <c r="I106" s="27">
        <f>AVERAGE(F105:F106)</f>
        <v>5.3851000000000004</v>
      </c>
      <c r="J106" s="27">
        <f>AVERAGE(G105:G106)</f>
        <v>0.10528440263887573</v>
      </c>
      <c r="L106">
        <f>+J106/I106</f>
        <v>1.9551058037710668E-2</v>
      </c>
      <c r="M106">
        <f>+(L106-$L$619)/$L$620</f>
        <v>-0.37090776413816279</v>
      </c>
      <c r="N106">
        <f>+N104+M106</f>
        <v>4.8828354676696977</v>
      </c>
    </row>
    <row r="107" spans="1:14">
      <c r="A107" s="8">
        <v>3</v>
      </c>
      <c r="B107" s="70">
        <v>38027</v>
      </c>
      <c r="C107" s="12">
        <v>2004</v>
      </c>
      <c r="D107" s="11" t="s">
        <v>19</v>
      </c>
      <c r="E107" s="12">
        <v>2</v>
      </c>
      <c r="F107" s="16">
        <v>5.3371000000000004</v>
      </c>
      <c r="G107" s="16">
        <v>0.24309006200414726</v>
      </c>
    </row>
    <row r="108" spans="1:14">
      <c r="A108" s="8">
        <v>4</v>
      </c>
      <c r="B108" s="70">
        <v>38027</v>
      </c>
      <c r="C108" s="12">
        <v>2004</v>
      </c>
      <c r="D108" s="11" t="s">
        <v>19</v>
      </c>
      <c r="E108" s="12">
        <v>2</v>
      </c>
      <c r="F108" s="16">
        <v>2.6084999999999998</v>
      </c>
      <c r="G108" s="16">
        <v>2.4402985768134076E-2</v>
      </c>
      <c r="I108" s="27">
        <f>AVERAGE(F107:F108)</f>
        <v>3.9728000000000003</v>
      </c>
      <c r="J108" s="27">
        <f>AVERAGE(G107:G108)</f>
        <v>0.13374652388614067</v>
      </c>
      <c r="L108">
        <f>+J108/I108</f>
        <v>3.3665556757486066E-2</v>
      </c>
      <c r="M108">
        <f>+(L108-$L$619)/$L$620</f>
        <v>-0.15623107227789529</v>
      </c>
      <c r="N108">
        <f>+N106+M108</f>
        <v>4.726604395391802</v>
      </c>
    </row>
    <row r="109" spans="1:14">
      <c r="A109" s="8">
        <v>3</v>
      </c>
      <c r="B109" s="70">
        <v>38063</v>
      </c>
      <c r="C109" s="12">
        <v>2004</v>
      </c>
      <c r="D109" s="11" t="s">
        <v>20</v>
      </c>
      <c r="E109" s="12">
        <v>3</v>
      </c>
      <c r="F109" s="16">
        <v>13.4383</v>
      </c>
      <c r="G109" s="16">
        <v>2.6234830759778328E-2</v>
      </c>
    </row>
    <row r="110" spans="1:14">
      <c r="A110" s="8">
        <v>4</v>
      </c>
      <c r="B110" s="70">
        <v>38063</v>
      </c>
      <c r="C110" s="12">
        <v>2004</v>
      </c>
      <c r="D110" s="11" t="s">
        <v>20</v>
      </c>
      <c r="E110" s="12">
        <v>3</v>
      </c>
      <c r="F110" s="16">
        <v>12.3042</v>
      </c>
      <c r="G110" s="16">
        <v>2.9550395373102101E-2</v>
      </c>
      <c r="I110" s="27">
        <f>AVERAGE(F109:F110)</f>
        <v>12.87125</v>
      </c>
      <c r="J110" s="27">
        <f>AVERAGE(G109:G110)</f>
        <v>2.7892613066440215E-2</v>
      </c>
      <c r="L110">
        <f>+J110/I110</f>
        <v>2.1670477277995698E-3</v>
      </c>
      <c r="M110">
        <f>+(L110-$L$619)/$L$620</f>
        <v>-0.63531260760368291</v>
      </c>
      <c r="N110">
        <f>+N108+M110</f>
        <v>4.0912917877881192</v>
      </c>
    </row>
    <row r="111" spans="1:14">
      <c r="A111" s="8">
        <v>3</v>
      </c>
      <c r="B111" s="70">
        <v>38094</v>
      </c>
      <c r="C111" s="12">
        <v>2004</v>
      </c>
      <c r="D111" s="11" t="s">
        <v>21</v>
      </c>
      <c r="E111" s="12">
        <v>4</v>
      </c>
      <c r="F111" s="16">
        <v>5.4115000000000002</v>
      </c>
      <c r="G111" s="21">
        <v>0.15784524287259907</v>
      </c>
    </row>
    <row r="112" spans="1:14">
      <c r="A112" s="8">
        <v>4</v>
      </c>
      <c r="B112" s="70">
        <v>38094</v>
      </c>
      <c r="C112" s="12">
        <v>2004</v>
      </c>
      <c r="D112" s="11" t="s">
        <v>21</v>
      </c>
      <c r="E112" s="12">
        <v>4</v>
      </c>
      <c r="F112" s="16">
        <v>5.7423999999999999</v>
      </c>
      <c r="G112" s="21">
        <v>0.12250571451892452</v>
      </c>
      <c r="I112" s="27">
        <f>AVERAGE(F111:F112)</f>
        <v>5.5769500000000001</v>
      </c>
      <c r="J112" s="27">
        <f>AVERAGE(G111:G112)</f>
        <v>0.1401754786957618</v>
      </c>
      <c r="L112">
        <f>+J112/I112</f>
        <v>2.513479208093345E-2</v>
      </c>
      <c r="M112">
        <f>+(L112-$L$619)/$L$620</f>
        <v>-0.28598108155274699</v>
      </c>
      <c r="N112">
        <f>+N110+M112</f>
        <v>3.8053107062353724</v>
      </c>
    </row>
    <row r="113" spans="1:14">
      <c r="A113" s="8">
        <v>3</v>
      </c>
      <c r="B113" s="70">
        <v>38118</v>
      </c>
      <c r="C113" s="12">
        <v>2004</v>
      </c>
      <c r="D113" s="11" t="s">
        <v>22</v>
      </c>
      <c r="E113" s="12">
        <v>5</v>
      </c>
      <c r="F113" s="16">
        <v>3.6282999999999999</v>
      </c>
      <c r="G113" s="21">
        <v>2.1429458653200766E-2</v>
      </c>
    </row>
    <row r="114" spans="1:14">
      <c r="A114" s="8">
        <v>4</v>
      </c>
      <c r="B114" s="70">
        <v>38118</v>
      </c>
      <c r="C114" s="12">
        <v>2004</v>
      </c>
      <c r="D114" s="11" t="s">
        <v>22</v>
      </c>
      <c r="E114" s="12">
        <v>5</v>
      </c>
      <c r="F114" s="16">
        <v>4.9854000000000003</v>
      </c>
      <c r="G114" s="21">
        <v>2.1426401955018132E-2</v>
      </c>
      <c r="I114" s="27">
        <f>AVERAGE(F113:F114)</f>
        <v>4.3068499999999998</v>
      </c>
      <c r="J114" s="27">
        <f>AVERAGE(G113:G114)</f>
        <v>2.1427930304109451E-2</v>
      </c>
      <c r="L114">
        <f>+J114/I114</f>
        <v>4.9753138149945903E-3</v>
      </c>
      <c r="M114">
        <f>+(L114-$L$619)/$L$620</f>
        <v>-0.59259984213949091</v>
      </c>
      <c r="N114">
        <f>+N112+M114</f>
        <v>3.2127108640958815</v>
      </c>
    </row>
    <row r="115" spans="1:14">
      <c r="A115" s="8">
        <v>3</v>
      </c>
      <c r="B115" s="70">
        <v>38153</v>
      </c>
      <c r="C115" s="12">
        <v>2004</v>
      </c>
      <c r="D115" s="11" t="s">
        <v>23</v>
      </c>
      <c r="E115" s="12">
        <v>6</v>
      </c>
      <c r="F115" s="16">
        <v>18.753</v>
      </c>
      <c r="G115" s="21">
        <v>0.12806177754013826</v>
      </c>
    </row>
    <row r="116" spans="1:14">
      <c r="A116" s="8">
        <v>4</v>
      </c>
      <c r="B116" s="70">
        <v>38153</v>
      </c>
      <c r="C116" s="12">
        <v>2004</v>
      </c>
      <c r="D116" s="11" t="s">
        <v>23</v>
      </c>
      <c r="E116" s="12">
        <v>6</v>
      </c>
      <c r="F116" s="16">
        <v>13.9351</v>
      </c>
      <c r="G116" s="21">
        <v>0.13768437453861643</v>
      </c>
      <c r="I116" s="27">
        <f>AVERAGE(F115:F116)</f>
        <v>16.344049999999999</v>
      </c>
      <c r="J116" s="27">
        <f>AVERAGE(G115:G116)</f>
        <v>0.13287307603937734</v>
      </c>
      <c r="L116">
        <f>+J116/I116</f>
        <v>8.1297521752183421E-3</v>
      </c>
      <c r="M116">
        <f>+(L116-$L$619)/$L$620</f>
        <v>-0.54462191495308787</v>
      </c>
      <c r="N116">
        <f>+N114+M116</f>
        <v>2.6680889491427937</v>
      </c>
    </row>
    <row r="117" spans="1:14">
      <c r="A117" s="8">
        <v>3</v>
      </c>
      <c r="B117" s="70">
        <v>38181</v>
      </c>
      <c r="C117" s="12">
        <v>2004</v>
      </c>
      <c r="D117" s="15" t="s">
        <v>24</v>
      </c>
      <c r="E117" s="12">
        <v>7</v>
      </c>
      <c r="F117" s="16">
        <v>20.0915</v>
      </c>
      <c r="G117" s="21">
        <v>0.16713010348067212</v>
      </c>
    </row>
    <row r="118" spans="1:14">
      <c r="A118" s="8">
        <v>4</v>
      </c>
      <c r="B118" s="70">
        <v>38181</v>
      </c>
      <c r="C118" s="12">
        <v>2004</v>
      </c>
      <c r="D118" s="15" t="s">
        <v>24</v>
      </c>
      <c r="E118" s="12">
        <v>7</v>
      </c>
      <c r="F118" s="16">
        <v>15.782</v>
      </c>
      <c r="G118" s="21">
        <v>0.16361971245402571</v>
      </c>
      <c r="I118" s="27">
        <f>AVERAGE(F117:F118)</f>
        <v>17.93675</v>
      </c>
      <c r="J118" s="27">
        <f>AVERAGE(G117:G118)</f>
        <v>0.16537490796734891</v>
      </c>
      <c r="L118">
        <f>+J118/I118</f>
        <v>9.219892565116251E-3</v>
      </c>
      <c r="M118">
        <f>+(L118-$L$619)/$L$620</f>
        <v>-0.52804125295347637</v>
      </c>
      <c r="N118">
        <f>+N116+M118</f>
        <v>2.1400476961893173</v>
      </c>
    </row>
    <row r="119" spans="1:14">
      <c r="A119" s="8">
        <v>3</v>
      </c>
      <c r="B119" s="70">
        <v>38217</v>
      </c>
      <c r="C119" s="12">
        <v>2004</v>
      </c>
      <c r="D119" s="15" t="s">
        <v>25</v>
      </c>
      <c r="E119" s="12">
        <v>8</v>
      </c>
      <c r="F119" s="16">
        <v>10.997999999999999</v>
      </c>
      <c r="G119" s="20"/>
    </row>
    <row r="120" spans="1:14">
      <c r="A120" s="8">
        <v>4</v>
      </c>
      <c r="B120" s="70">
        <v>38217</v>
      </c>
      <c r="C120" s="12">
        <v>2004</v>
      </c>
      <c r="D120" s="15" t="s">
        <v>25</v>
      </c>
      <c r="E120" s="12">
        <v>8</v>
      </c>
      <c r="F120" s="16">
        <v>45.216900000000003</v>
      </c>
      <c r="G120" s="20"/>
      <c r="I120" s="27">
        <f>AVERAGE(F119:F120)</f>
        <v>28.10745</v>
      </c>
      <c r="J120" s="27" t="e">
        <f>AVERAGE(G119:G120)</f>
        <v>#DIV/0!</v>
      </c>
    </row>
    <row r="121" spans="1:14">
      <c r="A121" s="8">
        <v>3</v>
      </c>
      <c r="B121" s="70">
        <v>38244</v>
      </c>
      <c r="C121" s="12">
        <v>2004</v>
      </c>
      <c r="D121" s="15" t="s">
        <v>26</v>
      </c>
      <c r="E121" s="12">
        <v>9</v>
      </c>
      <c r="F121" s="16">
        <v>12.7507</v>
      </c>
      <c r="G121" s="21">
        <v>0.24309555511422545</v>
      </c>
    </row>
    <row r="122" spans="1:14">
      <c r="A122" s="8">
        <v>4</v>
      </c>
      <c r="B122" s="70">
        <v>38244</v>
      </c>
      <c r="C122" s="12">
        <v>2004</v>
      </c>
      <c r="D122" s="15" t="s">
        <v>26</v>
      </c>
      <c r="E122" s="12">
        <v>9</v>
      </c>
      <c r="F122" s="16">
        <v>14.0365</v>
      </c>
      <c r="G122" s="21">
        <v>0.21667326180209007</v>
      </c>
      <c r="I122" s="27">
        <f>AVERAGE(F121:F122)</f>
        <v>13.393599999999999</v>
      </c>
      <c r="J122" s="27">
        <f>AVERAGE(G121:G122)</f>
        <v>0.22988440845815777</v>
      </c>
      <c r="L122">
        <f>+J122/I122</f>
        <v>1.7163750482182369E-2</v>
      </c>
      <c r="M122">
        <f>+(L122-$L$619)/$L$620</f>
        <v>-0.40721789449764839</v>
      </c>
      <c r="N122">
        <f>+N118+M122</f>
        <v>1.732829801691669</v>
      </c>
    </row>
    <row r="123" spans="1:14">
      <c r="A123" s="8">
        <v>3</v>
      </c>
      <c r="B123" s="70">
        <v>38272</v>
      </c>
      <c r="C123" s="12">
        <v>2004</v>
      </c>
      <c r="D123" s="15" t="s">
        <v>14</v>
      </c>
      <c r="E123" s="12">
        <v>10</v>
      </c>
      <c r="F123" s="17">
        <v>7.8767199999999997</v>
      </c>
      <c r="G123" s="17">
        <v>0.75300452005566632</v>
      </c>
    </row>
    <row r="124" spans="1:14">
      <c r="A124" s="8">
        <v>4</v>
      </c>
      <c r="B124" s="70">
        <v>38272</v>
      </c>
      <c r="C124" s="12">
        <v>2004</v>
      </c>
      <c r="D124" s="15" t="s">
        <v>14</v>
      </c>
      <c r="E124" s="12">
        <v>10</v>
      </c>
      <c r="F124" s="17">
        <v>6.2694200000000002</v>
      </c>
      <c r="G124" s="17">
        <v>0.10918285997967254</v>
      </c>
      <c r="I124" s="27">
        <f>AVERAGE(F123:F124)</f>
        <v>7.0730699999999995</v>
      </c>
      <c r="J124" s="27">
        <f>AVERAGE(G123:G124)</f>
        <v>0.43109369001766945</v>
      </c>
      <c r="L124">
        <f>+J124/I124</f>
        <v>6.0948596580787336E-2</v>
      </c>
      <c r="M124">
        <f>+(L124-$L$619)/$L$620</f>
        <v>0.25873462005322106</v>
      </c>
      <c r="N124">
        <f>+N122+M124</f>
        <v>1.99156442174489</v>
      </c>
    </row>
    <row r="125" spans="1:14">
      <c r="A125" s="8">
        <v>3</v>
      </c>
      <c r="B125" s="70">
        <v>38306</v>
      </c>
      <c r="C125" s="12">
        <v>2004</v>
      </c>
      <c r="D125" s="15" t="s">
        <v>16</v>
      </c>
      <c r="E125" s="12">
        <v>11</v>
      </c>
      <c r="F125" s="17">
        <v>6.0825500000000003</v>
      </c>
      <c r="G125" s="17">
        <v>5.2664593826123964E-2</v>
      </c>
    </row>
    <row r="126" spans="1:14">
      <c r="A126" s="8">
        <v>4</v>
      </c>
      <c r="B126" s="70">
        <v>38306</v>
      </c>
      <c r="C126" s="12">
        <v>2004</v>
      </c>
      <c r="D126" s="15" t="s">
        <v>16</v>
      </c>
      <c r="E126" s="12">
        <v>11</v>
      </c>
      <c r="F126" s="17">
        <v>6.7589899999999998</v>
      </c>
      <c r="G126" s="17">
        <v>2.3952273369104125E-2</v>
      </c>
      <c r="I126" s="27">
        <f>AVERAGE(F125:F126)</f>
        <v>6.4207700000000001</v>
      </c>
      <c r="J126" s="27">
        <f>AVERAGE(G125:G126)</f>
        <v>3.8308433597614044E-2</v>
      </c>
      <c r="L126">
        <f>+J126/I126</f>
        <v>5.9663301438322887E-3</v>
      </c>
      <c r="M126">
        <f>+(L126-$L$619)/$L$620</f>
        <v>-0.57752682316246484</v>
      </c>
      <c r="N126">
        <f>+N124+M126</f>
        <v>1.4140375985824252</v>
      </c>
    </row>
    <row r="127" spans="1:14">
      <c r="A127" s="8">
        <v>3</v>
      </c>
      <c r="B127" s="70">
        <v>38336</v>
      </c>
      <c r="C127" s="12">
        <v>2004</v>
      </c>
      <c r="D127" s="15" t="s">
        <v>17</v>
      </c>
      <c r="E127" s="12">
        <v>12</v>
      </c>
      <c r="F127" s="17">
        <v>4.2297099999999999</v>
      </c>
      <c r="G127" s="17">
        <v>0.30738961384633001</v>
      </c>
    </row>
    <row r="128" spans="1:14">
      <c r="A128" s="8">
        <v>4</v>
      </c>
      <c r="B128" s="70">
        <v>38336</v>
      </c>
      <c r="C128" s="12">
        <v>2004</v>
      </c>
      <c r="D128" s="15" t="s">
        <v>17</v>
      </c>
      <c r="E128" s="12">
        <v>12</v>
      </c>
      <c r="F128" s="17">
        <v>12.044879999999999</v>
      </c>
      <c r="G128" s="17">
        <v>0.81353239499296481</v>
      </c>
      <c r="I128" s="27">
        <f>AVERAGE(F127:F128)</f>
        <v>8.1372949999999999</v>
      </c>
      <c r="J128" s="27">
        <f>AVERAGE(G127:G128)</f>
        <v>0.56046100441964741</v>
      </c>
      <c r="L128">
        <f>+J128/I128</f>
        <v>6.8875591264621408E-2</v>
      </c>
      <c r="M128">
        <f>+(L128-$L$619)/$L$620</f>
        <v>0.37930149450659201</v>
      </c>
      <c r="N128">
        <f>+N126+M128</f>
        <v>1.7933390930890172</v>
      </c>
    </row>
    <row r="129" spans="1:14">
      <c r="A129" s="8">
        <v>3</v>
      </c>
      <c r="B129" s="75">
        <v>38362</v>
      </c>
      <c r="C129" s="12">
        <v>2005</v>
      </c>
      <c r="D129" s="15" t="s">
        <v>18</v>
      </c>
      <c r="E129" s="12">
        <v>1</v>
      </c>
      <c r="F129" s="17">
        <v>6.4647300000000003</v>
      </c>
      <c r="G129" s="17">
        <v>0.79039295472254112</v>
      </c>
    </row>
    <row r="130" spans="1:14">
      <c r="A130" s="8">
        <v>4</v>
      </c>
      <c r="B130" s="75">
        <v>38362</v>
      </c>
      <c r="C130" s="12">
        <v>2005</v>
      </c>
      <c r="D130" s="15" t="s">
        <v>18</v>
      </c>
      <c r="E130" s="12">
        <v>1</v>
      </c>
      <c r="F130" s="17">
        <v>7.8801500000000004</v>
      </c>
      <c r="G130" s="17">
        <v>1.0814387716043101</v>
      </c>
      <c r="I130" s="27">
        <f>AVERAGE(F129:F130)</f>
        <v>7.1724399999999999</v>
      </c>
      <c r="J130" s="27">
        <f>AVERAGE(G129:G130)</f>
        <v>0.93591586316342568</v>
      </c>
      <c r="L130">
        <f>+J130/I130</f>
        <v>0.13048779260104312</v>
      </c>
      <c r="M130">
        <f>+(L130-$L$619)/$L$620</f>
        <v>1.3164019770480111</v>
      </c>
      <c r="N130">
        <f>+N128+M130</f>
        <v>3.1097410701370283</v>
      </c>
    </row>
    <row r="131" spans="1:14">
      <c r="A131" s="8">
        <v>3</v>
      </c>
      <c r="B131" s="75">
        <v>38399</v>
      </c>
      <c r="C131" s="12">
        <v>2005</v>
      </c>
      <c r="D131" s="11" t="s">
        <v>19</v>
      </c>
      <c r="E131" s="12">
        <v>2</v>
      </c>
      <c r="F131" s="17">
        <v>3.33995</v>
      </c>
      <c r="G131" s="17">
        <v>0.1486957008830169</v>
      </c>
    </row>
    <row r="132" spans="1:14">
      <c r="A132" s="8">
        <v>4</v>
      </c>
      <c r="B132" s="75">
        <v>38399</v>
      </c>
      <c r="C132" s="12">
        <v>2005</v>
      </c>
      <c r="D132" s="11" t="s">
        <v>19</v>
      </c>
      <c r="E132" s="12">
        <v>2</v>
      </c>
      <c r="F132" s="17">
        <v>3.9554900000000002</v>
      </c>
      <c r="G132" s="17">
        <v>0.11561089965104886</v>
      </c>
      <c r="I132" s="27">
        <f>AVERAGE(F131:F132)</f>
        <v>3.6477200000000001</v>
      </c>
      <c r="J132" s="27">
        <f>AVERAGE(G131:G132)</f>
        <v>0.13215330026703287</v>
      </c>
      <c r="L132">
        <f>+J132/I132</f>
        <v>3.6229014361582816E-2</v>
      </c>
      <c r="M132">
        <f>+(L132-$L$619)/$L$620</f>
        <v>-0.11724176000423243</v>
      </c>
      <c r="N132">
        <f>+N130+M132</f>
        <v>2.9924993101327959</v>
      </c>
    </row>
    <row r="133" spans="1:14">
      <c r="A133" s="8">
        <v>3</v>
      </c>
      <c r="B133" s="75">
        <v>38428</v>
      </c>
      <c r="C133" s="12">
        <v>2005</v>
      </c>
      <c r="D133" s="11" t="s">
        <v>20</v>
      </c>
      <c r="E133" s="12">
        <v>3</v>
      </c>
      <c r="F133" s="17">
        <v>1.1633800000000001</v>
      </c>
      <c r="G133" s="17">
        <v>3.900880519323157E-2</v>
      </c>
    </row>
    <row r="134" spans="1:14">
      <c r="A134" s="8">
        <v>4</v>
      </c>
      <c r="B134" s="75">
        <v>38428</v>
      </c>
      <c r="C134" s="12">
        <v>2005</v>
      </c>
      <c r="D134" s="11" t="s">
        <v>20</v>
      </c>
      <c r="E134" s="12">
        <v>3</v>
      </c>
      <c r="F134" s="17">
        <v>2.8252999999999999</v>
      </c>
      <c r="G134" s="17">
        <v>4.1975760694782364E-2</v>
      </c>
      <c r="I134" s="27">
        <f>AVERAGE(F133:F134)</f>
        <v>1.99434</v>
      </c>
      <c r="J134" s="27">
        <f>AVERAGE(G133:G134)</f>
        <v>4.0492282944006967E-2</v>
      </c>
      <c r="L134">
        <f>+J134/I134</f>
        <v>2.0303600661876593E-2</v>
      </c>
      <c r="M134">
        <f>+(L134-$L$619)/$L$620</f>
        <v>-0.35946184854121438</v>
      </c>
      <c r="N134">
        <f>+N132+M134</f>
        <v>2.6330374615915817</v>
      </c>
    </row>
    <row r="135" spans="1:14">
      <c r="A135" s="8">
        <v>3</v>
      </c>
      <c r="B135" s="75">
        <v>38469</v>
      </c>
      <c r="C135" s="12">
        <v>2005</v>
      </c>
      <c r="D135" s="11" t="s">
        <v>21</v>
      </c>
      <c r="E135" s="12">
        <v>4</v>
      </c>
      <c r="F135" s="17">
        <v>3.2155200000000002</v>
      </c>
      <c r="G135" s="17">
        <v>2.8037435902403981E-2</v>
      </c>
    </row>
    <row r="136" spans="1:14">
      <c r="A136" s="8">
        <v>4</v>
      </c>
      <c r="B136" s="75">
        <v>38469</v>
      </c>
      <c r="C136" s="12">
        <v>2005</v>
      </c>
      <c r="D136" s="11" t="s">
        <v>21</v>
      </c>
      <c r="E136" s="12">
        <v>4</v>
      </c>
      <c r="F136" s="17">
        <v>5.28355</v>
      </c>
      <c r="G136" s="17">
        <v>5.4061668503020639E-2</v>
      </c>
      <c r="I136" s="27">
        <f>AVERAGE(F135:F136)</f>
        <v>4.2495349999999998</v>
      </c>
      <c r="J136" s="27">
        <f>AVERAGE(G135:G136)</f>
        <v>4.1049552202712308E-2</v>
      </c>
      <c r="L136">
        <f>+J136/I136</f>
        <v>9.6597750583798728E-3</v>
      </c>
      <c r="M136">
        <f>+(L136-$L$619)/$L$620</f>
        <v>-0.52135079087360292</v>
      </c>
      <c r="N136">
        <f>+N134+M136</f>
        <v>2.1116866707179787</v>
      </c>
    </row>
    <row r="137" spans="1:14">
      <c r="A137" s="8">
        <v>3</v>
      </c>
      <c r="B137" s="75">
        <v>38490</v>
      </c>
      <c r="C137" s="12">
        <v>2005</v>
      </c>
      <c r="D137" s="11" t="s">
        <v>22</v>
      </c>
      <c r="E137" s="12">
        <v>5</v>
      </c>
      <c r="F137" s="17">
        <v>10.451129999999999</v>
      </c>
      <c r="G137" s="17">
        <v>0.10902042975333515</v>
      </c>
    </row>
    <row r="138" spans="1:14">
      <c r="A138" s="8">
        <v>4</v>
      </c>
      <c r="B138" s="75">
        <v>38490</v>
      </c>
      <c r="C138" s="12">
        <v>2005</v>
      </c>
      <c r="D138" s="11" t="s">
        <v>22</v>
      </c>
      <c r="E138" s="12">
        <v>5</v>
      </c>
      <c r="F138" s="17">
        <v>10.21026</v>
      </c>
      <c r="G138" s="17">
        <v>0.14983383455615065</v>
      </c>
      <c r="I138" s="27">
        <f>AVERAGE(F137:F138)</f>
        <v>10.330694999999999</v>
      </c>
      <c r="J138" s="27">
        <f>AVERAGE(G137:G138)</f>
        <v>0.12942713215474289</v>
      </c>
      <c r="L138">
        <f>+J138/I138</f>
        <v>1.2528405122282954E-2</v>
      </c>
      <c r="M138">
        <f>+(L138-$L$619)/$L$620</f>
        <v>-0.47771990999599845</v>
      </c>
      <c r="N138">
        <f>+N136+M138</f>
        <v>1.6339667607219801</v>
      </c>
    </row>
    <row r="139" spans="1:14">
      <c r="A139" s="8">
        <v>3</v>
      </c>
      <c r="B139" s="75">
        <v>38518</v>
      </c>
      <c r="C139" s="12">
        <v>2005</v>
      </c>
      <c r="D139" s="11" t="s">
        <v>23</v>
      </c>
      <c r="E139" s="12">
        <v>6</v>
      </c>
      <c r="F139" s="17">
        <v>13.36988</v>
      </c>
      <c r="G139" s="17">
        <v>0.10979844355443795</v>
      </c>
    </row>
    <row r="140" spans="1:14">
      <c r="A140" s="8">
        <v>4</v>
      </c>
      <c r="B140" s="75">
        <v>38518</v>
      </c>
      <c r="C140" s="12">
        <v>2005</v>
      </c>
      <c r="D140" s="11" t="s">
        <v>23</v>
      </c>
      <c r="E140" s="12">
        <v>6</v>
      </c>
      <c r="F140" s="17">
        <v>16.137519999999999</v>
      </c>
      <c r="G140" s="17">
        <v>0.14870503329761092</v>
      </c>
      <c r="I140" s="27">
        <f>AVERAGE(F139:F140)</f>
        <v>14.753699999999998</v>
      </c>
      <c r="J140" s="27">
        <f>AVERAGE(G139:G140)</f>
        <v>0.12925173842602444</v>
      </c>
      <c r="L140">
        <f>+J140/I140</f>
        <v>8.7606321414983677E-3</v>
      </c>
      <c r="M140">
        <f>+(L140-$L$619)/$L$620</f>
        <v>-0.53502644671784994</v>
      </c>
      <c r="N140">
        <f>+N138+M140</f>
        <v>1.0989403140041301</v>
      </c>
    </row>
    <row r="141" spans="1:14">
      <c r="A141" s="8">
        <v>3</v>
      </c>
      <c r="B141" s="75">
        <v>38547</v>
      </c>
      <c r="C141" s="12">
        <v>2005</v>
      </c>
      <c r="D141" s="15" t="s">
        <v>24</v>
      </c>
      <c r="E141" s="12">
        <v>7</v>
      </c>
      <c r="F141" s="17">
        <v>21.922049999999999</v>
      </c>
      <c r="G141" s="17">
        <v>0.38765604132340864</v>
      </c>
    </row>
    <row r="142" spans="1:14">
      <c r="A142" s="8">
        <v>4</v>
      </c>
      <c r="B142" s="75">
        <v>38547</v>
      </c>
      <c r="C142" s="12">
        <v>2005</v>
      </c>
      <c r="D142" s="15" t="s">
        <v>24</v>
      </c>
      <c r="E142" s="12">
        <v>7</v>
      </c>
      <c r="F142" s="17">
        <v>23.777570000000001</v>
      </c>
      <c r="G142" s="17">
        <v>0.34114825985995367</v>
      </c>
      <c r="I142" s="27">
        <f>AVERAGE(F141:F142)</f>
        <v>22.849809999999998</v>
      </c>
      <c r="J142" s="27">
        <f>AVERAGE(G141:G142)</f>
        <v>0.36440215059168113</v>
      </c>
      <c r="L142">
        <f>+J142/I142</f>
        <v>1.5947710313200903E-2</v>
      </c>
      <c r="M142">
        <f>+(L142-$L$619)/$L$620</f>
        <v>-0.42571344902133718</v>
      </c>
      <c r="N142">
        <f>+N140+M142</f>
        <v>0.67322686498279283</v>
      </c>
    </row>
    <row r="143" spans="1:14">
      <c r="A143" s="8">
        <v>3</v>
      </c>
      <c r="B143" s="75">
        <v>38589</v>
      </c>
      <c r="C143" s="12">
        <v>2005</v>
      </c>
      <c r="D143" s="15" t="s">
        <v>25</v>
      </c>
      <c r="E143" s="12">
        <v>8</v>
      </c>
      <c r="F143" s="17">
        <v>22.433710000000001</v>
      </c>
      <c r="G143" s="17">
        <v>0.37035977914712909</v>
      </c>
    </row>
    <row r="144" spans="1:14">
      <c r="A144" s="8">
        <v>4</v>
      </c>
      <c r="B144" s="75">
        <v>38589</v>
      </c>
      <c r="C144" s="12">
        <v>2005</v>
      </c>
      <c r="D144" s="15" t="s">
        <v>25</v>
      </c>
      <c r="E144" s="12">
        <v>8</v>
      </c>
      <c r="F144" s="17">
        <v>33.627569999999999</v>
      </c>
      <c r="G144" s="17">
        <v>0.21545050244673453</v>
      </c>
      <c r="I144" s="27">
        <f>AVERAGE(F143:F144)</f>
        <v>28.030639999999998</v>
      </c>
      <c r="J144" s="27">
        <f>AVERAGE(G143:G144)</f>
        <v>0.29290514079693181</v>
      </c>
      <c r="L144">
        <f>+J144/I144</f>
        <v>1.0449463187316873E-2</v>
      </c>
      <c r="M144">
        <f>+(L144-$L$619)/$L$620</f>
        <v>-0.50933990486997893</v>
      </c>
      <c r="N144">
        <f>+N142+M144</f>
        <v>0.1638869601128139</v>
      </c>
    </row>
    <row r="145" spans="1:14">
      <c r="A145" s="8">
        <v>3</v>
      </c>
      <c r="B145" s="75">
        <v>38608</v>
      </c>
      <c r="C145" s="12">
        <v>2005</v>
      </c>
      <c r="D145" s="15" t="s">
        <v>26</v>
      </c>
      <c r="E145" s="12">
        <v>9</v>
      </c>
      <c r="F145" s="17">
        <v>21.672129999999999</v>
      </c>
      <c r="G145" s="17">
        <v>0.24170076802404938</v>
      </c>
    </row>
    <row r="146" spans="1:14">
      <c r="A146" s="8">
        <v>4</v>
      </c>
      <c r="B146" s="75">
        <v>38608</v>
      </c>
      <c r="C146" s="12">
        <v>2005</v>
      </c>
      <c r="D146" s="15" t="s">
        <v>26</v>
      </c>
      <c r="E146" s="12">
        <v>9</v>
      </c>
      <c r="F146" s="17">
        <v>22.488399999999999</v>
      </c>
      <c r="G146" s="17">
        <v>0.1695730447738365</v>
      </c>
      <c r="I146" s="27">
        <f>AVERAGE(F145:F146)</f>
        <v>22.080264999999997</v>
      </c>
      <c r="J146" s="27">
        <f>AVERAGE(G145:G146)</f>
        <v>0.20563690639894294</v>
      </c>
      <c r="L146">
        <f>+J146/I146</f>
        <v>9.3131539136393042E-3</v>
      </c>
      <c r="M146">
        <f>+(L146-$L$619)/$L$620</f>
        <v>-0.52662277978082983</v>
      </c>
      <c r="N146">
        <f>+N144+M146</f>
        <v>-0.36273581966801594</v>
      </c>
    </row>
    <row r="147" spans="1:14">
      <c r="A147" s="8">
        <v>3</v>
      </c>
      <c r="B147" s="75">
        <v>38636</v>
      </c>
      <c r="C147" s="12">
        <v>2005</v>
      </c>
      <c r="D147" s="15" t="s">
        <v>14</v>
      </c>
      <c r="E147" s="12">
        <v>10</v>
      </c>
      <c r="F147" s="17">
        <v>21.386600000000001</v>
      </c>
      <c r="G147" s="17">
        <v>2.8799999999999999E-2</v>
      </c>
    </row>
    <row r="148" spans="1:14">
      <c r="A148" s="8">
        <v>4</v>
      </c>
      <c r="B148" s="75">
        <v>38636</v>
      </c>
      <c r="C148" s="12">
        <v>2005</v>
      </c>
      <c r="D148" s="15" t="s">
        <v>14</v>
      </c>
      <c r="E148" s="12">
        <v>10</v>
      </c>
      <c r="F148" s="17">
        <v>27.834599999999998</v>
      </c>
      <c r="G148" s="17">
        <v>7.1599999999999997E-2</v>
      </c>
      <c r="I148" s="27">
        <f>AVERAGE(F147:F148)</f>
        <v>24.610599999999998</v>
      </c>
      <c r="J148" s="27">
        <f>AVERAGE(G147:G148)</f>
        <v>5.0199999999999995E-2</v>
      </c>
      <c r="L148">
        <f>+J148/I148</f>
        <v>2.0397714805815378E-3</v>
      </c>
      <c r="M148">
        <f>+(L148-$L$619)/$L$620</f>
        <v>-0.63724843573669876</v>
      </c>
      <c r="N148">
        <f>+N146+M148</f>
        <v>-0.99998425540471469</v>
      </c>
    </row>
    <row r="149" spans="1:14">
      <c r="A149" s="8">
        <v>3</v>
      </c>
      <c r="B149" s="75">
        <v>38671</v>
      </c>
      <c r="C149" s="12">
        <v>2005</v>
      </c>
      <c r="D149" s="15" t="s">
        <v>16</v>
      </c>
      <c r="E149" s="12">
        <v>11</v>
      </c>
      <c r="F149" s="17">
        <v>6.7521000000000004</v>
      </c>
      <c r="G149" s="17">
        <v>2.01E-2</v>
      </c>
    </row>
    <row r="150" spans="1:14">
      <c r="A150" s="8">
        <v>4</v>
      </c>
      <c r="B150" s="75">
        <v>38671</v>
      </c>
      <c r="C150" s="12">
        <v>2005</v>
      </c>
      <c r="D150" s="15" t="s">
        <v>16</v>
      </c>
      <c r="E150" s="12">
        <v>11</v>
      </c>
      <c r="F150" s="17">
        <v>8.98</v>
      </c>
      <c r="G150" s="17">
        <v>3.6999999999999998E-2</v>
      </c>
      <c r="I150" s="27">
        <f>AVERAGE(F149:F150)</f>
        <v>7.8660500000000004</v>
      </c>
      <c r="J150" s="27">
        <f>AVERAGE(G149:G150)</f>
        <v>2.8549999999999999E-2</v>
      </c>
      <c r="L150">
        <f>+J150/I150</f>
        <v>3.6295218057347711E-3</v>
      </c>
      <c r="M150">
        <f>+(L150-$L$619)/$L$620</f>
        <v>-0.61306887771884855</v>
      </c>
      <c r="N150">
        <f>+N148+M150</f>
        <v>-1.6130531331235631</v>
      </c>
    </row>
    <row r="151" spans="1:14">
      <c r="A151" s="8">
        <v>3</v>
      </c>
      <c r="B151" s="75">
        <v>38707</v>
      </c>
      <c r="C151" s="12">
        <v>2005</v>
      </c>
      <c r="D151" s="15" t="s">
        <v>17</v>
      </c>
      <c r="E151" s="12">
        <v>12</v>
      </c>
      <c r="F151" s="17">
        <v>5.8943000000000003</v>
      </c>
      <c r="G151" s="17">
        <v>6.1400000000000003E-2</v>
      </c>
    </row>
    <row r="152" spans="1:14">
      <c r="A152" s="8">
        <v>4</v>
      </c>
      <c r="B152" s="75">
        <v>38707</v>
      </c>
      <c r="C152" s="12">
        <v>2005</v>
      </c>
      <c r="D152" s="15" t="s">
        <v>17</v>
      </c>
      <c r="E152" s="12">
        <v>12</v>
      </c>
      <c r="F152" s="17">
        <v>9.6709999999999994</v>
      </c>
      <c r="G152" s="17">
        <v>0.31390000000000001</v>
      </c>
      <c r="I152" s="27">
        <f>AVERAGE(F151:F152)</f>
        <v>7.7826500000000003</v>
      </c>
      <c r="J152" s="27">
        <f>AVERAGE(G151:G152)</f>
        <v>0.18765000000000001</v>
      </c>
      <c r="L152">
        <f>+J152/I152</f>
        <v>2.4111324548836195E-2</v>
      </c>
      <c r="M152">
        <f>+(L152-$L$619)/$L$620</f>
        <v>-0.30154767221807438</v>
      </c>
      <c r="N152">
        <f>+N150+M152</f>
        <v>-1.9146008053416375</v>
      </c>
    </row>
    <row r="153" spans="1:14">
      <c r="A153" s="12">
        <v>3</v>
      </c>
      <c r="B153" s="75">
        <v>38734</v>
      </c>
      <c r="C153" s="12">
        <v>2006</v>
      </c>
      <c r="D153" s="11" t="s">
        <v>18</v>
      </c>
      <c r="E153" s="12">
        <v>1</v>
      </c>
      <c r="F153" s="17">
        <v>4.3461999999999996</v>
      </c>
      <c r="G153" s="17">
        <v>0.30480000000000002</v>
      </c>
    </row>
    <row r="154" spans="1:14">
      <c r="A154" s="12">
        <v>4</v>
      </c>
      <c r="B154" s="75">
        <v>38734</v>
      </c>
      <c r="C154" s="12">
        <v>2006</v>
      </c>
      <c r="D154" s="11" t="s">
        <v>18</v>
      </c>
      <c r="E154" s="12">
        <v>1</v>
      </c>
      <c r="F154" s="17">
        <v>9.3907000000000007</v>
      </c>
      <c r="G154" s="17">
        <v>0.46810000000000002</v>
      </c>
      <c r="I154" s="27">
        <f>AVERAGE(F153:F154)</f>
        <v>6.8684500000000002</v>
      </c>
      <c r="J154" s="27">
        <f>AVERAGE(G153:G154)</f>
        <v>0.38645000000000002</v>
      </c>
      <c r="L154">
        <f>+J154/I154</f>
        <v>5.6264513827719499E-2</v>
      </c>
      <c r="M154">
        <f>+(L154-$L$619)/$L$620</f>
        <v>0.1874913254954432</v>
      </c>
      <c r="N154">
        <f>+N152+M154</f>
        <v>-1.7271094798461943</v>
      </c>
    </row>
    <row r="155" spans="1:14">
      <c r="A155" s="12">
        <v>3</v>
      </c>
      <c r="B155" s="75">
        <v>38762</v>
      </c>
      <c r="C155" s="15">
        <v>2006</v>
      </c>
      <c r="D155" s="11" t="s">
        <v>28</v>
      </c>
      <c r="E155" s="15">
        <v>2</v>
      </c>
      <c r="F155" s="17">
        <v>6.3464999999999998</v>
      </c>
      <c r="G155" s="17">
        <v>7.85E-2</v>
      </c>
    </row>
    <row r="156" spans="1:14">
      <c r="A156" s="12">
        <v>4</v>
      </c>
      <c r="B156" s="75">
        <v>38762</v>
      </c>
      <c r="C156" s="15">
        <v>2006</v>
      </c>
      <c r="D156" s="11" t="s">
        <v>28</v>
      </c>
      <c r="E156" s="15">
        <v>2</v>
      </c>
      <c r="F156" s="17">
        <v>3.6261999999999999</v>
      </c>
      <c r="G156" s="17">
        <v>2.7400000000000001E-2</v>
      </c>
      <c r="I156" s="27">
        <f>AVERAGE(F155:F156)</f>
        <v>4.9863499999999998</v>
      </c>
      <c r="J156" s="27">
        <f>AVERAGE(G155:G156)</f>
        <v>5.2949999999999997E-2</v>
      </c>
      <c r="L156">
        <f>+J156/I156</f>
        <v>1.0618989842269395E-2</v>
      </c>
      <c r="M156">
        <f>+(L156-$L$619)/$L$620</f>
        <v>-0.50676146250444487</v>
      </c>
      <c r="N156">
        <f>+N154+M156</f>
        <v>-2.2338709423506393</v>
      </c>
    </row>
    <row r="157" spans="1:14">
      <c r="A157" s="12">
        <v>3</v>
      </c>
      <c r="B157" s="75">
        <v>38789</v>
      </c>
      <c r="C157" s="12">
        <v>2006</v>
      </c>
      <c r="D157" s="11" t="s">
        <v>29</v>
      </c>
      <c r="E157" s="15">
        <v>3</v>
      </c>
      <c r="F157" s="17">
        <v>4.9821999999999997</v>
      </c>
      <c r="G157" s="17">
        <v>1.8700000000000001E-2</v>
      </c>
    </row>
    <row r="158" spans="1:14">
      <c r="A158" s="12">
        <v>4</v>
      </c>
      <c r="B158" s="75">
        <v>38789</v>
      </c>
      <c r="C158" s="12">
        <v>2006</v>
      </c>
      <c r="D158" s="11" t="s">
        <v>29</v>
      </c>
      <c r="E158" s="15">
        <v>3</v>
      </c>
      <c r="F158" s="17">
        <v>5.0571999999999999</v>
      </c>
      <c r="G158" s="17">
        <v>1.6400000000000001E-2</v>
      </c>
      <c r="I158" s="27">
        <f>AVERAGE(F157:F158)</f>
        <v>5.0197000000000003</v>
      </c>
      <c r="J158" s="27">
        <f>AVERAGE(G157:G158)</f>
        <v>1.7550000000000003E-2</v>
      </c>
      <c r="L158">
        <f>+J158/I158</f>
        <v>3.4962248739964542E-3</v>
      </c>
      <c r="M158">
        <f>+(L158-$L$619)/$L$620</f>
        <v>-0.61509627840156722</v>
      </c>
      <c r="N158">
        <f>+N156+M158</f>
        <v>-2.8489672207522068</v>
      </c>
    </row>
    <row r="159" spans="1:14">
      <c r="A159" s="12">
        <v>3</v>
      </c>
      <c r="B159" s="74">
        <v>38825</v>
      </c>
      <c r="C159" s="12">
        <v>2006</v>
      </c>
      <c r="D159" s="11" t="s">
        <v>30</v>
      </c>
      <c r="E159" s="12">
        <v>4</v>
      </c>
      <c r="F159" s="17">
        <v>6.5778999999999996</v>
      </c>
      <c r="G159" s="17">
        <v>3.7499999999999999E-2</v>
      </c>
    </row>
    <row r="160" spans="1:14">
      <c r="A160" s="12">
        <v>4</v>
      </c>
      <c r="B160" s="74">
        <v>38825</v>
      </c>
      <c r="C160" s="12">
        <v>2006</v>
      </c>
      <c r="D160" s="11" t="s">
        <v>30</v>
      </c>
      <c r="E160" s="12">
        <v>4</v>
      </c>
      <c r="F160" s="17">
        <v>9.2342999999999993</v>
      </c>
      <c r="G160" s="17">
        <v>0.1123</v>
      </c>
      <c r="I160" s="27">
        <f>AVERAGE(F159:F160)</f>
        <v>7.9060999999999995</v>
      </c>
      <c r="J160" s="27">
        <f>AVERAGE(G159:G160)</f>
        <v>7.4899999999999994E-2</v>
      </c>
      <c r="L160">
        <f>+J160/I160</f>
        <v>9.4736975246961213E-3</v>
      </c>
      <c r="M160">
        <f>+(L160-$L$619)/$L$620</f>
        <v>-0.52418096643660583</v>
      </c>
      <c r="N160">
        <f>+N158+M160</f>
        <v>-3.3731481871888125</v>
      </c>
    </row>
    <row r="161" spans="1:14">
      <c r="A161" s="12">
        <v>3</v>
      </c>
      <c r="B161" s="74">
        <v>38852</v>
      </c>
      <c r="C161" s="12">
        <v>2006</v>
      </c>
      <c r="D161" s="11" t="s">
        <v>31</v>
      </c>
      <c r="E161" s="12">
        <v>5</v>
      </c>
      <c r="F161" s="17">
        <v>4.8865999999999996</v>
      </c>
      <c r="G161" s="17">
        <v>0.114</v>
      </c>
    </row>
    <row r="162" spans="1:14">
      <c r="A162" s="12">
        <v>4</v>
      </c>
      <c r="B162" s="74">
        <v>38852</v>
      </c>
      <c r="C162" s="12">
        <v>2006</v>
      </c>
      <c r="D162" s="11" t="s">
        <v>31</v>
      </c>
      <c r="E162" s="12">
        <v>5</v>
      </c>
      <c r="F162" s="17">
        <v>8.3722999999999992</v>
      </c>
      <c r="G162" s="17">
        <v>9.2799999999999994E-2</v>
      </c>
      <c r="I162" s="27">
        <f>AVERAGE(F161:F162)</f>
        <v>6.6294499999999994</v>
      </c>
      <c r="J162" s="27">
        <f>AVERAGE(G161:G162)</f>
        <v>0.10339999999999999</v>
      </c>
      <c r="L162">
        <f>+J162/I162</f>
        <v>1.5597070646886242E-2</v>
      </c>
      <c r="M162">
        <f>+(L162-$L$619)/$L$620</f>
        <v>-0.43104655826551846</v>
      </c>
      <c r="N162">
        <f>+N160+M162</f>
        <v>-3.804194745454331</v>
      </c>
    </row>
    <row r="163" spans="1:14">
      <c r="A163" s="12">
        <v>3</v>
      </c>
      <c r="B163" s="74">
        <v>38883</v>
      </c>
      <c r="C163" s="12">
        <v>2006</v>
      </c>
      <c r="D163" s="11" t="s">
        <v>32</v>
      </c>
      <c r="E163" s="12">
        <v>6</v>
      </c>
      <c r="F163" s="17">
        <v>18.6966</v>
      </c>
      <c r="G163" s="17">
        <v>0.12479999999999999</v>
      </c>
    </row>
    <row r="164" spans="1:14">
      <c r="A164" s="12">
        <v>4</v>
      </c>
      <c r="B164" s="74">
        <v>38883</v>
      </c>
      <c r="C164" s="12">
        <v>2006</v>
      </c>
      <c r="D164" s="11" t="s">
        <v>32</v>
      </c>
      <c r="E164" s="12">
        <v>6</v>
      </c>
      <c r="F164" s="17">
        <v>25.342700000000001</v>
      </c>
      <c r="G164" s="17">
        <v>0.18809999999999999</v>
      </c>
      <c r="I164" s="27">
        <f>AVERAGE(F163:F164)</f>
        <v>22.019649999999999</v>
      </c>
      <c r="J164" s="27">
        <f>AVERAGE(G163:G164)</f>
        <v>0.15644999999999998</v>
      </c>
      <c r="L164">
        <f>+J164/I164</f>
        <v>7.1050175638577356E-3</v>
      </c>
      <c r="M164">
        <f>+(L164-$L$619)/$L$620</f>
        <v>-0.56020777746008543</v>
      </c>
      <c r="N164">
        <f>+N162+M164</f>
        <v>-4.3644025229144168</v>
      </c>
    </row>
    <row r="165" spans="1:14">
      <c r="A165" s="12">
        <v>3</v>
      </c>
      <c r="B165" s="74">
        <v>38916</v>
      </c>
      <c r="C165" s="12">
        <v>2006</v>
      </c>
      <c r="D165" s="11" t="s">
        <v>33</v>
      </c>
      <c r="E165" s="12">
        <v>7</v>
      </c>
      <c r="F165" s="17">
        <v>17.1892</v>
      </c>
      <c r="G165" s="17">
        <v>0.2772</v>
      </c>
    </row>
    <row r="166" spans="1:14">
      <c r="A166" s="12">
        <v>4</v>
      </c>
      <c r="B166" s="74">
        <v>38916</v>
      </c>
      <c r="C166" s="12">
        <v>2006</v>
      </c>
      <c r="D166" s="11" t="s">
        <v>33</v>
      </c>
      <c r="E166" s="12">
        <v>7</v>
      </c>
      <c r="F166" s="17">
        <v>27.236799999999999</v>
      </c>
      <c r="G166" s="17">
        <v>0.37969999999999998</v>
      </c>
      <c r="I166" s="27">
        <f>AVERAGE(F165:F166)</f>
        <v>22.213000000000001</v>
      </c>
      <c r="J166" s="27">
        <f>AVERAGE(G165:G166)</f>
        <v>0.32845000000000002</v>
      </c>
      <c r="L166">
        <f>+J166/I166</f>
        <v>1.4786386350335389E-2</v>
      </c>
      <c r="M166">
        <f>+(L166-$L$619)/$L$620</f>
        <v>-0.44337678878817738</v>
      </c>
      <c r="N166">
        <f>+N164+M166</f>
        <v>-4.8077793117025944</v>
      </c>
    </row>
    <row r="167" spans="1:14">
      <c r="A167" s="12">
        <v>3</v>
      </c>
      <c r="B167" s="74">
        <v>38953</v>
      </c>
      <c r="C167" s="12">
        <v>2006</v>
      </c>
      <c r="D167" s="11" t="s">
        <v>34</v>
      </c>
      <c r="E167" s="12">
        <v>8</v>
      </c>
      <c r="F167" s="17">
        <v>12.1</v>
      </c>
      <c r="G167" s="17">
        <v>0.14349999999999999</v>
      </c>
    </row>
    <row r="168" spans="1:14">
      <c r="A168" s="12">
        <v>4</v>
      </c>
      <c r="B168" s="74">
        <v>38953</v>
      </c>
      <c r="C168" s="12">
        <v>2006</v>
      </c>
      <c r="D168" s="11" t="s">
        <v>34</v>
      </c>
      <c r="E168" s="12">
        <v>8</v>
      </c>
      <c r="F168" s="17">
        <v>25.657399999999999</v>
      </c>
      <c r="G168" s="17">
        <v>0.15529999999999999</v>
      </c>
      <c r="I168" s="27">
        <f>AVERAGE(F167:F168)</f>
        <v>18.878699999999998</v>
      </c>
      <c r="J168" s="27">
        <f>AVERAGE(G167:G168)</f>
        <v>0.14939999999999998</v>
      </c>
      <c r="L168">
        <f>+J168/I168</f>
        <v>7.9136804970681238E-3</v>
      </c>
      <c r="M168">
        <f>+(L168-$L$619)/$L$620</f>
        <v>-0.54790829118159656</v>
      </c>
      <c r="N168">
        <f>+N166+M168</f>
        <v>-5.3556876028841911</v>
      </c>
    </row>
    <row r="169" spans="1:14">
      <c r="A169" s="12">
        <v>3</v>
      </c>
      <c r="B169" s="74">
        <v>38972</v>
      </c>
      <c r="C169" s="12">
        <v>2006</v>
      </c>
      <c r="D169" s="11" t="s">
        <v>35</v>
      </c>
      <c r="E169" s="12">
        <v>9</v>
      </c>
      <c r="F169" s="17">
        <v>12.8247</v>
      </c>
      <c r="G169" s="17">
        <v>0.32240000000000002</v>
      </c>
    </row>
    <row r="170" spans="1:14">
      <c r="A170" s="12">
        <v>4</v>
      </c>
      <c r="B170" s="74">
        <v>38972</v>
      </c>
      <c r="C170" s="12">
        <v>2006</v>
      </c>
      <c r="D170" s="11" t="s">
        <v>35</v>
      </c>
      <c r="E170" s="12">
        <v>9</v>
      </c>
      <c r="F170" s="17">
        <v>21.657699999999998</v>
      </c>
      <c r="G170" s="17">
        <v>0.11799999999999999</v>
      </c>
      <c r="I170" s="27">
        <f>AVERAGE(F169:F170)</f>
        <v>17.241199999999999</v>
      </c>
      <c r="J170" s="27">
        <f>AVERAGE(G169:G170)</f>
        <v>0.22020000000000001</v>
      </c>
      <c r="L170">
        <f>+J170/I170</f>
        <v>1.2771732826021391E-2</v>
      </c>
      <c r="M170">
        <f>+(L170-$L$619)/$L$620</f>
        <v>-0.47401897895242295</v>
      </c>
      <c r="N170">
        <f>+N168+M170</f>
        <v>-5.8297065818366143</v>
      </c>
    </row>
    <row r="171" spans="1:14">
      <c r="A171" s="12">
        <v>3</v>
      </c>
      <c r="B171" s="74">
        <v>39008</v>
      </c>
      <c r="C171" s="12">
        <v>2006</v>
      </c>
      <c r="D171" s="11" t="s">
        <v>36</v>
      </c>
      <c r="E171" s="12">
        <v>10</v>
      </c>
      <c r="F171" s="17">
        <v>17.082000000000001</v>
      </c>
      <c r="G171" s="17">
        <v>4.1000000000000002E-2</v>
      </c>
    </row>
    <row r="172" spans="1:14">
      <c r="A172" s="12">
        <v>4</v>
      </c>
      <c r="B172" s="74">
        <v>39008</v>
      </c>
      <c r="C172" s="12">
        <v>2006</v>
      </c>
      <c r="D172" s="11" t="s">
        <v>36</v>
      </c>
      <c r="E172" s="12">
        <v>10</v>
      </c>
      <c r="F172" s="17">
        <v>17.042000000000002</v>
      </c>
      <c r="G172" s="17">
        <v>0.05</v>
      </c>
      <c r="I172" s="27">
        <f>AVERAGE(F171:F172)</f>
        <v>17.062000000000001</v>
      </c>
      <c r="J172" s="27">
        <f>AVERAGE(G171:G172)</f>
        <v>4.5499999999999999E-2</v>
      </c>
      <c r="L172">
        <f>+J172/I172</f>
        <v>2.6667448130348139E-3</v>
      </c>
      <c r="M172">
        <f>+(L172-$L$619)/$L$620</f>
        <v>-0.62771238606409518</v>
      </c>
      <c r="N172">
        <f>+N170+M172</f>
        <v>-6.4574189679007095</v>
      </c>
    </row>
    <row r="173" spans="1:14">
      <c r="A173" s="12">
        <v>3</v>
      </c>
      <c r="B173" s="74">
        <v>39035</v>
      </c>
      <c r="C173" s="12">
        <v>2006</v>
      </c>
      <c r="D173" s="11" t="s">
        <v>37</v>
      </c>
      <c r="E173" s="12">
        <v>11</v>
      </c>
      <c r="F173" s="17">
        <v>15.141999999999999</v>
      </c>
      <c r="G173" s="17">
        <v>0.123</v>
      </c>
    </row>
    <row r="174" spans="1:14">
      <c r="A174" s="12">
        <v>4</v>
      </c>
      <c r="B174" s="74">
        <v>39035</v>
      </c>
      <c r="C174" s="12">
        <v>2006</v>
      </c>
      <c r="D174" s="11" t="s">
        <v>37</v>
      </c>
      <c r="E174" s="12">
        <v>11</v>
      </c>
      <c r="F174" s="17">
        <v>27.632000000000001</v>
      </c>
      <c r="G174" s="17">
        <v>0.129</v>
      </c>
      <c r="I174" s="27">
        <f>AVERAGE(F173:F174)</f>
        <v>21.387</v>
      </c>
      <c r="J174" s="27">
        <f>AVERAGE(G173:G174)</f>
        <v>0.126</v>
      </c>
      <c r="L174">
        <f>+J174/I174</f>
        <v>5.8914293729835877E-3</v>
      </c>
      <c r="M174">
        <f>+(L174-$L$619)/$L$620</f>
        <v>-0.57866603823646923</v>
      </c>
      <c r="N174">
        <f>+N172+M174</f>
        <v>-7.0360850061371787</v>
      </c>
    </row>
    <row r="175" spans="1:14">
      <c r="A175" s="12">
        <v>3</v>
      </c>
      <c r="B175" s="75">
        <v>39063</v>
      </c>
      <c r="C175" s="15">
        <v>2006</v>
      </c>
      <c r="D175" s="11" t="s">
        <v>38</v>
      </c>
      <c r="E175" s="15">
        <v>12</v>
      </c>
      <c r="F175" s="17">
        <v>10.353</v>
      </c>
      <c r="G175" s="17">
        <v>0.112</v>
      </c>
    </row>
    <row r="176" spans="1:14">
      <c r="A176" s="12">
        <v>4</v>
      </c>
      <c r="B176" s="75">
        <v>39063</v>
      </c>
      <c r="C176" s="15">
        <v>2006</v>
      </c>
      <c r="D176" s="11" t="s">
        <v>38</v>
      </c>
      <c r="E176" s="15">
        <v>12</v>
      </c>
      <c r="F176" s="17">
        <v>10.071999999999999</v>
      </c>
      <c r="G176" s="17">
        <v>0.18099999999999999</v>
      </c>
      <c r="I176" s="27">
        <f>AVERAGE(F175:F176)</f>
        <v>10.212499999999999</v>
      </c>
      <c r="J176" s="27">
        <f>AVERAGE(G175:G176)</f>
        <v>0.14649999999999999</v>
      </c>
      <c r="L176">
        <f>+J176/I176</f>
        <v>1.4345165238678091E-2</v>
      </c>
      <c r="M176">
        <f>+(L176-$L$619)/$L$620</f>
        <v>-0.45008761079539394</v>
      </c>
      <c r="N176">
        <f>+N174+M176</f>
        <v>-7.4861726169325724</v>
      </c>
    </row>
    <row r="177" spans="1:14">
      <c r="A177" s="15">
        <v>3</v>
      </c>
      <c r="B177" s="75">
        <v>39101</v>
      </c>
      <c r="C177" s="15">
        <v>2007</v>
      </c>
      <c r="D177" s="11" t="s">
        <v>39</v>
      </c>
      <c r="E177" s="15">
        <v>1</v>
      </c>
      <c r="F177" s="17">
        <v>19.911000000000001</v>
      </c>
      <c r="G177" s="17">
        <v>0.63100000000000001</v>
      </c>
    </row>
    <row r="178" spans="1:14">
      <c r="A178" s="15">
        <v>4</v>
      </c>
      <c r="B178" s="75">
        <v>39101</v>
      </c>
      <c r="C178" s="15">
        <v>2007</v>
      </c>
      <c r="D178" s="11" t="s">
        <v>39</v>
      </c>
      <c r="E178" s="15">
        <v>1</v>
      </c>
      <c r="F178" s="17">
        <v>22.295000000000002</v>
      </c>
      <c r="G178" s="17">
        <v>0.47599999999999998</v>
      </c>
      <c r="I178" s="27">
        <f>AVERAGE(F177:F178)</f>
        <v>21.103000000000002</v>
      </c>
      <c r="J178" s="27">
        <f>AVERAGE(G177:G178)</f>
        <v>0.55349999999999999</v>
      </c>
      <c r="L178">
        <f>+J178/I178</f>
        <v>2.6228498317774723E-2</v>
      </c>
      <c r="M178">
        <f>+(L178-$L$619)/$L$620</f>
        <v>-0.26934618424229101</v>
      </c>
      <c r="N178">
        <f>+N176+M178</f>
        <v>-7.7555188011748637</v>
      </c>
    </row>
    <row r="179" spans="1:14">
      <c r="A179" s="15">
        <v>3</v>
      </c>
      <c r="B179" s="75">
        <v>39134</v>
      </c>
      <c r="C179" s="15">
        <v>2007</v>
      </c>
      <c r="D179" s="11" t="s">
        <v>28</v>
      </c>
      <c r="E179" s="15">
        <v>2</v>
      </c>
      <c r="F179" s="17">
        <v>3.71</v>
      </c>
      <c r="G179" s="17">
        <v>0.121</v>
      </c>
    </row>
    <row r="180" spans="1:14">
      <c r="A180" s="15">
        <v>4</v>
      </c>
      <c r="B180" s="75">
        <v>39134</v>
      </c>
      <c r="C180" s="15">
        <v>2007</v>
      </c>
      <c r="D180" s="11" t="s">
        <v>28</v>
      </c>
      <c r="E180" s="15">
        <v>2</v>
      </c>
      <c r="F180" s="17">
        <v>4.2380000000000004</v>
      </c>
      <c r="G180" s="17">
        <v>0.26400000000000001</v>
      </c>
      <c r="I180" s="27">
        <f>AVERAGE(F179:F180)</f>
        <v>3.9740000000000002</v>
      </c>
      <c r="J180" s="27">
        <f>AVERAGE(G179:G180)</f>
        <v>0.1925</v>
      </c>
      <c r="L180">
        <f>+J180/I180</f>
        <v>4.8439859084046299E-2</v>
      </c>
      <c r="M180">
        <f>+(L180-$L$619)/$L$620</f>
        <v>6.8481006484465104E-2</v>
      </c>
      <c r="N180">
        <f>+N178+M180</f>
        <v>-7.6870377946903989</v>
      </c>
    </row>
    <row r="181" spans="1:14">
      <c r="A181" s="15">
        <v>3</v>
      </c>
      <c r="B181" s="75">
        <v>39154</v>
      </c>
      <c r="C181" s="15">
        <v>2007</v>
      </c>
      <c r="D181" s="11" t="s">
        <v>29</v>
      </c>
      <c r="E181" s="15">
        <v>3</v>
      </c>
      <c r="F181" s="17">
        <v>4.9480000000000004</v>
      </c>
      <c r="G181" s="17">
        <v>0.36099999999999999</v>
      </c>
    </row>
    <row r="182" spans="1:14">
      <c r="A182" s="15">
        <v>4</v>
      </c>
      <c r="B182" s="75">
        <v>39154</v>
      </c>
      <c r="C182" s="15">
        <v>2007</v>
      </c>
      <c r="D182" s="11" t="s">
        <v>29</v>
      </c>
      <c r="E182" s="15">
        <v>3</v>
      </c>
      <c r="F182" s="17">
        <v>4.407</v>
      </c>
      <c r="G182" s="17">
        <v>0.252</v>
      </c>
      <c r="I182" s="27">
        <f>AVERAGE(F181:F182)</f>
        <v>4.6775000000000002</v>
      </c>
      <c r="J182" s="27">
        <f>AVERAGE(G181:G182)</f>
        <v>0.30649999999999999</v>
      </c>
      <c r="L182">
        <f>+J182/I182</f>
        <v>6.5526456440406194E-2</v>
      </c>
      <c r="M182">
        <f>+(L182-$L$619)/$L$620</f>
        <v>0.32836230077885464</v>
      </c>
      <c r="N182">
        <f>+N180+M182</f>
        <v>-7.3586754939115444</v>
      </c>
    </row>
    <row r="183" spans="1:14">
      <c r="A183" s="15">
        <v>3</v>
      </c>
      <c r="B183" s="75">
        <v>39190</v>
      </c>
      <c r="C183" s="15">
        <v>2007</v>
      </c>
      <c r="D183" s="11" t="s">
        <v>30</v>
      </c>
      <c r="E183" s="15">
        <v>4</v>
      </c>
      <c r="F183" s="17">
        <v>17.379000000000001</v>
      </c>
      <c r="G183" s="17">
        <v>0.183</v>
      </c>
    </row>
    <row r="184" spans="1:14">
      <c r="A184" s="15">
        <v>4</v>
      </c>
      <c r="B184" s="75">
        <v>39190</v>
      </c>
      <c r="C184" s="15">
        <v>2007</v>
      </c>
      <c r="D184" s="11" t="s">
        <v>30</v>
      </c>
      <c r="E184" s="15">
        <v>4</v>
      </c>
      <c r="F184" s="17">
        <v>31.898</v>
      </c>
      <c r="G184" s="17">
        <v>0.14399999999999999</v>
      </c>
      <c r="I184" s="27">
        <f>AVERAGE(F183:F184)</f>
        <v>24.638500000000001</v>
      </c>
      <c r="J184" s="27">
        <f>AVERAGE(G183:G184)</f>
        <v>0.16349999999999998</v>
      </c>
      <c r="L184">
        <f>+J184/I184</f>
        <v>6.6359559226413936E-3</v>
      </c>
      <c r="M184">
        <f>+(L184-$L$619)/$L$620</f>
        <v>-0.56734204438759517</v>
      </c>
      <c r="N184">
        <f>+N182+M184</f>
        <v>-7.9260175382991394</v>
      </c>
    </row>
    <row r="185" spans="1:14">
      <c r="A185" s="15">
        <v>3</v>
      </c>
      <c r="B185" s="75">
        <v>39217</v>
      </c>
      <c r="C185" s="15">
        <v>2007</v>
      </c>
      <c r="D185" s="11" t="s">
        <v>31</v>
      </c>
      <c r="E185" s="15">
        <v>5</v>
      </c>
      <c r="F185" s="17">
        <v>10.680999999999999</v>
      </c>
      <c r="G185" s="17">
        <v>5.5E-2</v>
      </c>
    </row>
    <row r="186" spans="1:14">
      <c r="A186" s="15">
        <v>4</v>
      </c>
      <c r="B186" s="75">
        <v>39217</v>
      </c>
      <c r="C186" s="15">
        <v>2007</v>
      </c>
      <c r="D186" s="11" t="s">
        <v>31</v>
      </c>
      <c r="E186" s="15">
        <v>5</v>
      </c>
      <c r="F186" s="17">
        <v>14.287000000000001</v>
      </c>
      <c r="G186" s="17">
        <v>5.8000000000000003E-2</v>
      </c>
      <c r="I186" s="27">
        <f>AVERAGE(F185:F186)</f>
        <v>12.484</v>
      </c>
      <c r="J186" s="27">
        <f>AVERAGE(G185:G186)</f>
        <v>5.6500000000000002E-2</v>
      </c>
      <c r="L186">
        <f>+J186/I186</f>
        <v>4.5257930150592761E-3</v>
      </c>
      <c r="M186">
        <f>+(L186-$L$619)/$L$620</f>
        <v>-0.59943689956309532</v>
      </c>
      <c r="N186">
        <f>+N184+M186</f>
        <v>-8.5254544378622352</v>
      </c>
    </row>
    <row r="187" spans="1:14">
      <c r="A187" s="15">
        <v>3</v>
      </c>
      <c r="B187" s="75">
        <v>39246</v>
      </c>
      <c r="C187" s="15">
        <v>2007</v>
      </c>
      <c r="D187" s="11" t="s">
        <v>32</v>
      </c>
      <c r="E187" s="15">
        <v>6</v>
      </c>
      <c r="F187" s="17">
        <v>28.22</v>
      </c>
      <c r="G187" s="17">
        <v>0.05</v>
      </c>
    </row>
    <row r="188" spans="1:14">
      <c r="A188" s="15">
        <v>4</v>
      </c>
      <c r="B188" s="75">
        <v>39246</v>
      </c>
      <c r="C188" s="15">
        <v>2007</v>
      </c>
      <c r="D188" s="11" t="s">
        <v>32</v>
      </c>
      <c r="E188" s="15">
        <v>6</v>
      </c>
      <c r="F188" s="17">
        <v>24.821999999999999</v>
      </c>
      <c r="G188" s="17">
        <v>0.13</v>
      </c>
      <c r="I188" s="27">
        <f>AVERAGE(F187:F188)</f>
        <v>26.521000000000001</v>
      </c>
      <c r="J188" s="27">
        <f>AVERAGE(G187:G188)</f>
        <v>0.09</v>
      </c>
      <c r="L188">
        <f>+J188/I188</f>
        <v>3.393537196938275E-3</v>
      </c>
      <c r="M188">
        <f>+(L188-$L$619)/$L$620</f>
        <v>-0.61665812280308185</v>
      </c>
      <c r="N188">
        <f>+N186+M188</f>
        <v>-9.1421125606653177</v>
      </c>
    </row>
    <row r="189" spans="1:14">
      <c r="A189" s="15">
        <v>3</v>
      </c>
      <c r="B189" s="75">
        <v>39280</v>
      </c>
      <c r="C189" s="15">
        <v>2007</v>
      </c>
      <c r="D189" s="11" t="s">
        <v>33</v>
      </c>
      <c r="E189" s="15">
        <v>7</v>
      </c>
      <c r="F189" s="17">
        <v>18.838000000000001</v>
      </c>
      <c r="G189" s="17">
        <v>0.34599999999999997</v>
      </c>
    </row>
    <row r="190" spans="1:14">
      <c r="A190" s="15">
        <v>4</v>
      </c>
      <c r="B190" s="75">
        <v>39280</v>
      </c>
      <c r="C190" s="15">
        <v>2007</v>
      </c>
      <c r="D190" s="11" t="s">
        <v>33</v>
      </c>
      <c r="E190" s="15">
        <v>7</v>
      </c>
      <c r="F190" s="17">
        <v>30.202999999999999</v>
      </c>
      <c r="G190" s="17">
        <v>0.245</v>
      </c>
      <c r="I190" s="27">
        <f>AVERAGE(F189:F190)</f>
        <v>24.520499999999998</v>
      </c>
      <c r="J190" s="27">
        <f>AVERAGE(G189:G190)</f>
        <v>0.29549999999999998</v>
      </c>
      <c r="L190">
        <f>+J190/I190</f>
        <v>1.2051140882119043E-2</v>
      </c>
      <c r="M190">
        <f>+(L190-$L$619)/$L$620</f>
        <v>-0.48497893564442923</v>
      </c>
      <c r="N190">
        <f>+N188+M190</f>
        <v>-9.6270914963097471</v>
      </c>
    </row>
    <row r="191" spans="1:14">
      <c r="A191" s="15">
        <v>3</v>
      </c>
      <c r="B191" s="75">
        <v>39308</v>
      </c>
      <c r="C191" s="15">
        <v>2007</v>
      </c>
      <c r="D191" s="11" t="s">
        <v>34</v>
      </c>
      <c r="E191" s="15">
        <v>8</v>
      </c>
      <c r="F191" s="17">
        <v>18.850999999999999</v>
      </c>
      <c r="G191" s="17">
        <v>0.151</v>
      </c>
    </row>
    <row r="192" spans="1:14">
      <c r="A192" s="15">
        <v>4</v>
      </c>
      <c r="B192" s="75">
        <v>39308</v>
      </c>
      <c r="C192" s="15">
        <v>2007</v>
      </c>
      <c r="D192" s="11" t="s">
        <v>34</v>
      </c>
      <c r="E192" s="15">
        <v>8</v>
      </c>
      <c r="F192" s="17">
        <v>20.166</v>
      </c>
      <c r="G192" s="17">
        <v>0.183</v>
      </c>
      <c r="I192" s="27">
        <f>AVERAGE(F191:F192)</f>
        <v>19.508499999999998</v>
      </c>
      <c r="J192" s="27">
        <f>AVERAGE(G191:G192)</f>
        <v>0.16699999999999998</v>
      </c>
      <c r="L192">
        <f>+J192/I192</f>
        <v>8.5603711202809039E-3</v>
      </c>
      <c r="M192">
        <f>+(L192-$L$619)/$L$620</f>
        <v>-0.53807234826894723</v>
      </c>
      <c r="N192">
        <f>+N190+M192</f>
        <v>-10.165163844578695</v>
      </c>
    </row>
    <row r="193" spans="1:14">
      <c r="A193" s="15">
        <v>3</v>
      </c>
      <c r="B193" s="75">
        <v>39336</v>
      </c>
      <c r="C193" s="15">
        <v>2007</v>
      </c>
      <c r="D193" s="11" t="s">
        <v>40</v>
      </c>
      <c r="E193" s="15">
        <v>9</v>
      </c>
      <c r="F193" s="17">
        <v>20.366</v>
      </c>
      <c r="G193" s="17">
        <v>9.9989999999999996E-4</v>
      </c>
    </row>
    <row r="194" spans="1:14">
      <c r="A194" s="15">
        <v>4</v>
      </c>
      <c r="B194" s="75">
        <v>39336</v>
      </c>
      <c r="C194" s="15">
        <v>2007</v>
      </c>
      <c r="D194" s="11" t="s">
        <v>40</v>
      </c>
      <c r="E194" s="15">
        <v>9</v>
      </c>
      <c r="F194" s="17">
        <v>21.111000000000001</v>
      </c>
      <c r="G194" s="17">
        <v>0.10199999999999999</v>
      </c>
      <c r="I194" s="27">
        <f>AVERAGE(F193:F194)</f>
        <v>20.738500000000002</v>
      </c>
      <c r="J194" s="27">
        <f>AVERAGE(G193:G194)</f>
        <v>5.1499949999999996E-2</v>
      </c>
      <c r="L194">
        <f>+J194/I194</f>
        <v>2.4833015888323646E-3</v>
      </c>
      <c r="M194">
        <f>+(L194-$L$619)/$L$620</f>
        <v>-0.63050249468203623</v>
      </c>
      <c r="N194">
        <f>+N192+M194</f>
        <v>-10.79566633926073</v>
      </c>
    </row>
    <row r="195" spans="1:14">
      <c r="A195" s="15">
        <v>3</v>
      </c>
      <c r="B195" s="75">
        <v>39373</v>
      </c>
      <c r="C195" s="15">
        <v>2007</v>
      </c>
      <c r="D195" s="11" t="s">
        <v>36</v>
      </c>
      <c r="E195" s="15">
        <v>10</v>
      </c>
      <c r="F195" s="17">
        <v>8.282</v>
      </c>
      <c r="G195" s="17">
        <v>5.0999999999999997E-2</v>
      </c>
    </row>
    <row r="196" spans="1:14">
      <c r="A196" s="15">
        <v>4</v>
      </c>
      <c r="B196" s="75">
        <v>39373</v>
      </c>
      <c r="C196" s="15">
        <v>2007</v>
      </c>
      <c r="D196" s="11" t="s">
        <v>36</v>
      </c>
      <c r="E196" s="15">
        <v>10</v>
      </c>
      <c r="F196" s="17">
        <v>14.773</v>
      </c>
      <c r="G196" s="17">
        <v>0.112</v>
      </c>
      <c r="I196" s="27">
        <f>AVERAGE(F195:F196)</f>
        <v>11.5275</v>
      </c>
      <c r="J196" s="27">
        <f>AVERAGE(G195:G196)</f>
        <v>8.1500000000000003E-2</v>
      </c>
      <c r="L196">
        <f>+J196/I196</f>
        <v>7.0700498807200179E-3</v>
      </c>
      <c r="M196">
        <f>+(L196-$L$619)/$L$620</f>
        <v>-0.560739623945537</v>
      </c>
      <c r="N196">
        <f>+N194+M196</f>
        <v>-11.356405963206267</v>
      </c>
    </row>
    <row r="197" spans="1:14">
      <c r="A197" s="15">
        <v>3</v>
      </c>
      <c r="B197" s="75">
        <v>39399</v>
      </c>
      <c r="C197" s="15">
        <v>2007</v>
      </c>
      <c r="D197" s="11" t="s">
        <v>37</v>
      </c>
      <c r="E197" s="15">
        <v>11</v>
      </c>
      <c r="F197" s="17">
        <v>6.133</v>
      </c>
      <c r="G197" s="17">
        <v>1.7999999999999999E-2</v>
      </c>
    </row>
    <row r="198" spans="1:14">
      <c r="A198" s="15">
        <v>4</v>
      </c>
      <c r="B198" s="75">
        <v>39399</v>
      </c>
      <c r="C198" s="15">
        <v>2007</v>
      </c>
      <c r="D198" s="11" t="s">
        <v>37</v>
      </c>
      <c r="E198" s="15">
        <v>11</v>
      </c>
      <c r="F198" s="17">
        <v>7.9269999999999996</v>
      </c>
      <c r="G198" s="17">
        <v>2.8000000000000001E-2</v>
      </c>
      <c r="I198" s="27">
        <f>AVERAGE(F197:F198)</f>
        <v>7.0299999999999994</v>
      </c>
      <c r="J198" s="27">
        <f>AVERAGE(G197:G198)</f>
        <v>2.3E-2</v>
      </c>
      <c r="L198">
        <f>+J198/I198</f>
        <v>3.271692745376956E-3</v>
      </c>
      <c r="M198">
        <f>+(L198-$L$619)/$L$620</f>
        <v>-0.6185113351843381</v>
      </c>
      <c r="N198">
        <f>+N196+M198</f>
        <v>-11.974917298390606</v>
      </c>
    </row>
    <row r="199" spans="1:14">
      <c r="A199" s="15">
        <v>3</v>
      </c>
      <c r="B199" s="75">
        <v>39427</v>
      </c>
      <c r="C199" s="15">
        <v>2007</v>
      </c>
      <c r="D199" s="11" t="s">
        <v>38</v>
      </c>
      <c r="E199" s="15">
        <v>12</v>
      </c>
      <c r="F199" s="17">
        <v>5.8310000000000004</v>
      </c>
      <c r="G199" s="17">
        <v>0.14099999999999999</v>
      </c>
    </row>
    <row r="200" spans="1:14">
      <c r="A200" s="15">
        <v>4</v>
      </c>
      <c r="B200" s="75">
        <v>39427</v>
      </c>
      <c r="C200" s="15">
        <v>2007</v>
      </c>
      <c r="D200" s="11" t="s">
        <v>38</v>
      </c>
      <c r="E200" s="15">
        <v>12</v>
      </c>
      <c r="F200" s="17">
        <v>9.1120000000000001</v>
      </c>
      <c r="G200" s="17">
        <v>0.248</v>
      </c>
      <c r="I200" s="27">
        <f>AVERAGE(F199:F200)</f>
        <v>7.4715000000000007</v>
      </c>
      <c r="J200" s="27">
        <f>AVERAGE(G199:G200)</f>
        <v>0.19450000000000001</v>
      </c>
      <c r="L200">
        <f>+J200/I200</f>
        <v>2.6032255905775278E-2</v>
      </c>
      <c r="M200">
        <f>+(L200-$L$619)/$L$620</f>
        <v>-0.27233096412339969</v>
      </c>
      <c r="N200">
        <f>+N198+M200</f>
        <v>-12.247248262514006</v>
      </c>
    </row>
    <row r="201" spans="1:14">
      <c r="A201" s="15">
        <v>3</v>
      </c>
      <c r="B201" s="75">
        <v>39462</v>
      </c>
      <c r="C201" s="15">
        <v>2008</v>
      </c>
      <c r="D201" s="11" t="s">
        <v>39</v>
      </c>
      <c r="E201" s="15">
        <v>1</v>
      </c>
      <c r="F201" s="23">
        <v>3.843</v>
      </c>
      <c r="G201" s="23">
        <v>0.112</v>
      </c>
    </row>
    <row r="202" spans="1:14">
      <c r="A202" s="15">
        <v>4</v>
      </c>
      <c r="B202" s="75">
        <v>39462</v>
      </c>
      <c r="C202" s="15">
        <v>2008</v>
      </c>
      <c r="D202" s="11" t="s">
        <v>39</v>
      </c>
      <c r="E202" s="15">
        <v>1</v>
      </c>
      <c r="F202" s="23">
        <v>8.2759999999999998</v>
      </c>
      <c r="G202" s="23">
        <v>0.52</v>
      </c>
      <c r="I202" s="27">
        <f>AVERAGE(F201:F202)</f>
        <v>6.0594999999999999</v>
      </c>
      <c r="J202" s="27">
        <f>AVERAGE(G201:G202)</f>
        <v>0.316</v>
      </c>
      <c r="L202">
        <f>+J202/I202</f>
        <v>5.214951728690486E-2</v>
      </c>
      <c r="M202">
        <f>+(L202-$L$619)/$L$620</f>
        <v>0.12490363733611562</v>
      </c>
      <c r="N202">
        <f>+N200+M202</f>
        <v>-12.12234462517789</v>
      </c>
    </row>
    <row r="203" spans="1:14">
      <c r="A203" s="15">
        <v>3</v>
      </c>
      <c r="B203" s="75">
        <v>39490</v>
      </c>
      <c r="C203" s="15">
        <v>2008</v>
      </c>
      <c r="D203" s="11" t="s">
        <v>28</v>
      </c>
      <c r="E203" s="15">
        <v>2</v>
      </c>
      <c r="F203" s="23">
        <v>6.859</v>
      </c>
      <c r="G203" s="23">
        <v>0.185</v>
      </c>
    </row>
    <row r="204" spans="1:14">
      <c r="A204" s="15">
        <v>4</v>
      </c>
      <c r="B204" s="75">
        <v>39490</v>
      </c>
      <c r="C204" s="15">
        <v>2008</v>
      </c>
      <c r="D204" s="11" t="s">
        <v>28</v>
      </c>
      <c r="E204" s="15">
        <v>2</v>
      </c>
      <c r="F204" s="23">
        <v>16.058</v>
      </c>
      <c r="G204" s="23">
        <v>0.68400000000000005</v>
      </c>
      <c r="I204" s="27">
        <f>AVERAGE(F203:F204)</f>
        <v>11.458500000000001</v>
      </c>
      <c r="J204" s="27">
        <f>AVERAGE(G203:G204)</f>
        <v>0.4345</v>
      </c>
      <c r="L204">
        <f>+J204/I204</f>
        <v>3.7919448444386258E-2</v>
      </c>
      <c r="M204">
        <f>+(L204-$L$619)/$L$620</f>
        <v>-9.1530836512798433E-2</v>
      </c>
      <c r="N204">
        <f>+N202+M204</f>
        <v>-12.213875461690689</v>
      </c>
    </row>
    <row r="205" spans="1:14">
      <c r="A205" s="15">
        <v>3</v>
      </c>
      <c r="B205" s="75">
        <v>39520</v>
      </c>
      <c r="C205" s="15">
        <v>2008</v>
      </c>
      <c r="D205" s="11" t="s">
        <v>29</v>
      </c>
      <c r="E205" s="15">
        <v>3</v>
      </c>
      <c r="F205" s="24">
        <v>4.5410000000000004</v>
      </c>
      <c r="G205" s="23">
        <v>5.1999999999999998E-2</v>
      </c>
    </row>
    <row r="206" spans="1:14">
      <c r="A206" s="15">
        <v>4</v>
      </c>
      <c r="B206" s="75">
        <v>39520</v>
      </c>
      <c r="C206" s="15">
        <v>2008</v>
      </c>
      <c r="D206" s="11" t="s">
        <v>29</v>
      </c>
      <c r="E206" s="15">
        <v>3</v>
      </c>
      <c r="F206" s="24">
        <v>9.7249999999999996</v>
      </c>
      <c r="G206" s="23">
        <v>0.44900000000000001</v>
      </c>
      <c r="I206" s="27">
        <f>AVERAGE(F205:F206)</f>
        <v>7.133</v>
      </c>
      <c r="J206" s="27">
        <f>AVERAGE(G205:G206)</f>
        <v>0.2505</v>
      </c>
      <c r="L206">
        <f>+J206/I206</f>
        <v>3.5118463479601854E-2</v>
      </c>
      <c r="M206">
        <f>+(L206-$L$619)/$L$620</f>
        <v>-0.13413285859862653</v>
      </c>
      <c r="N206">
        <f>+N204+M206</f>
        <v>-12.348008320289315</v>
      </c>
    </row>
    <row r="207" spans="1:14">
      <c r="A207" s="15">
        <v>3</v>
      </c>
      <c r="B207" s="75">
        <v>39553</v>
      </c>
      <c r="C207" s="15">
        <v>2008</v>
      </c>
      <c r="D207" s="11" t="s">
        <v>30</v>
      </c>
      <c r="E207" s="15">
        <v>4</v>
      </c>
      <c r="F207" s="24">
        <v>6.3369999999999997</v>
      </c>
      <c r="G207" s="23">
        <v>2.5000000000000001E-2</v>
      </c>
    </row>
    <row r="208" spans="1:14">
      <c r="A208" s="15">
        <v>4</v>
      </c>
      <c r="B208" s="75">
        <v>39553</v>
      </c>
      <c r="C208" s="15">
        <v>2008</v>
      </c>
      <c r="D208" s="11" t="s">
        <v>30</v>
      </c>
      <c r="E208" s="15">
        <v>4</v>
      </c>
      <c r="F208" s="24">
        <v>14.29</v>
      </c>
      <c r="G208" s="23">
        <v>6.9000000000000006E-2</v>
      </c>
      <c r="I208" s="27">
        <f>AVERAGE(F207:F208)</f>
        <v>10.313499999999999</v>
      </c>
      <c r="J208" s="27">
        <f>AVERAGE(G207:G208)</f>
        <v>4.7E-2</v>
      </c>
      <c r="L208">
        <f>+J208/I208</f>
        <v>4.5571338536869151E-3</v>
      </c>
      <c r="M208">
        <f>+(L208-$L$619)/$L$620</f>
        <v>-0.59896021614058859</v>
      </c>
      <c r="N208">
        <f>+N206+M208</f>
        <v>-12.946968536429903</v>
      </c>
    </row>
    <row r="209" spans="1:14">
      <c r="A209" s="15">
        <v>3</v>
      </c>
      <c r="B209" s="75">
        <v>39582</v>
      </c>
      <c r="C209" s="15">
        <v>2008</v>
      </c>
      <c r="D209" s="11" t="s">
        <v>31</v>
      </c>
      <c r="E209" s="15">
        <v>5</v>
      </c>
      <c r="F209" s="24">
        <v>15.234</v>
      </c>
      <c r="G209" s="23">
        <v>7.2999999999999995E-2</v>
      </c>
    </row>
    <row r="210" spans="1:14">
      <c r="A210" s="15">
        <v>4</v>
      </c>
      <c r="B210" s="75">
        <v>39582</v>
      </c>
      <c r="C210" s="15">
        <v>2008</v>
      </c>
      <c r="D210" s="11" t="s">
        <v>31</v>
      </c>
      <c r="E210" s="15">
        <v>5</v>
      </c>
      <c r="F210" s="24">
        <v>14.628</v>
      </c>
      <c r="G210" s="23">
        <v>0.432</v>
      </c>
      <c r="I210" s="27">
        <f>AVERAGE(F209:F210)</f>
        <v>14.931000000000001</v>
      </c>
      <c r="J210" s="27">
        <f>AVERAGE(G209:G210)</f>
        <v>0.2525</v>
      </c>
      <c r="L210">
        <f>+J210/I210</f>
        <v>1.6911124506061213E-2</v>
      </c>
      <c r="M210">
        <f>+(L210-$L$619)/$L$620</f>
        <v>-0.41106024907986788</v>
      </c>
      <c r="N210">
        <f>+N208+M210</f>
        <v>-13.358028785509772</v>
      </c>
    </row>
    <row r="211" spans="1:14">
      <c r="A211" s="15">
        <v>3</v>
      </c>
      <c r="B211" s="75">
        <v>39616</v>
      </c>
      <c r="C211" s="15">
        <v>2008</v>
      </c>
      <c r="D211" s="11" t="s">
        <v>32</v>
      </c>
      <c r="E211" s="15">
        <v>6</v>
      </c>
      <c r="F211" s="24">
        <v>16.321000000000002</v>
      </c>
      <c r="G211" s="23">
        <v>0.13800000000000001</v>
      </c>
    </row>
    <row r="212" spans="1:14">
      <c r="A212" s="15">
        <v>4</v>
      </c>
      <c r="B212" s="75">
        <v>39616</v>
      </c>
      <c r="C212" s="15">
        <v>2008</v>
      </c>
      <c r="D212" s="11" t="s">
        <v>32</v>
      </c>
      <c r="E212" s="15">
        <v>6</v>
      </c>
      <c r="F212" s="24">
        <v>20.048999999999999</v>
      </c>
      <c r="G212" s="23">
        <v>6.0999999999999999E-2</v>
      </c>
      <c r="I212" s="27">
        <f>AVERAGE(F211:F212)</f>
        <v>18.185000000000002</v>
      </c>
      <c r="J212" s="27">
        <f>AVERAGE(G211:G212)</f>
        <v>9.9500000000000005E-2</v>
      </c>
      <c r="L212">
        <f>+J212/I212</f>
        <v>5.4715424800659881E-3</v>
      </c>
      <c r="M212">
        <f>+(L212-$L$619)/$L$620</f>
        <v>-0.58505237408279609</v>
      </c>
      <c r="N212">
        <f>+N210+M212</f>
        <v>-13.943081159592568</v>
      </c>
    </row>
    <row r="213" spans="1:14">
      <c r="A213" s="15">
        <v>3</v>
      </c>
      <c r="B213" s="75">
        <v>39644</v>
      </c>
      <c r="C213" s="15">
        <v>2008</v>
      </c>
      <c r="D213" s="11" t="s">
        <v>33</v>
      </c>
      <c r="E213" s="15">
        <v>7</v>
      </c>
      <c r="F213" s="24">
        <v>40.933</v>
      </c>
      <c r="G213" s="23">
        <v>0.27800000000000002</v>
      </c>
    </row>
    <row r="214" spans="1:14">
      <c r="A214" s="15">
        <v>4</v>
      </c>
      <c r="B214" s="75">
        <v>39644</v>
      </c>
      <c r="C214" s="15">
        <v>2008</v>
      </c>
      <c r="D214" s="11" t="s">
        <v>33</v>
      </c>
      <c r="E214" s="15">
        <v>7</v>
      </c>
      <c r="F214" s="24">
        <v>47.481999999999999</v>
      </c>
      <c r="G214" s="23">
        <v>0.28499999999999998</v>
      </c>
      <c r="I214" s="27">
        <f>AVERAGE(F213:F214)</f>
        <v>44.207499999999996</v>
      </c>
      <c r="J214" s="27">
        <f>AVERAGE(G213:G214)</f>
        <v>0.28149999999999997</v>
      </c>
      <c r="L214">
        <f>+J214/I214</f>
        <v>6.3676977888367358E-3</v>
      </c>
      <c r="M214">
        <f>+(L214-$L$619)/$L$620</f>
        <v>-0.57142215873477398</v>
      </c>
      <c r="N214">
        <f>+N212+M214</f>
        <v>-14.514503318327343</v>
      </c>
    </row>
    <row r="215" spans="1:14">
      <c r="A215" s="15">
        <v>3</v>
      </c>
      <c r="B215" s="75">
        <v>39673</v>
      </c>
      <c r="C215" s="15">
        <v>2008</v>
      </c>
      <c r="D215" s="11" t="s">
        <v>34</v>
      </c>
      <c r="E215" s="15">
        <v>8</v>
      </c>
      <c r="F215" s="24">
        <v>15.821</v>
      </c>
      <c r="G215" s="23">
        <v>0.38300000000000001</v>
      </c>
    </row>
    <row r="216" spans="1:14">
      <c r="A216" s="15">
        <v>4</v>
      </c>
      <c r="B216" s="75">
        <v>39673</v>
      </c>
      <c r="C216" s="15">
        <v>2008</v>
      </c>
      <c r="D216" s="11" t="s">
        <v>34</v>
      </c>
      <c r="E216" s="15">
        <v>8</v>
      </c>
      <c r="F216" s="24">
        <v>42.738</v>
      </c>
      <c r="G216" s="23">
        <v>0.51300000000000001</v>
      </c>
      <c r="I216" s="27">
        <f>AVERAGE(F215:F216)</f>
        <v>29.279499999999999</v>
      </c>
      <c r="J216" s="27">
        <f>AVERAGE(G215:G216)</f>
        <v>0.44800000000000001</v>
      </c>
      <c r="L216">
        <f>+J216/I216</f>
        <v>1.530080773237248E-2</v>
      </c>
      <c r="M216">
        <f>+(L216-$L$619)/$L$620</f>
        <v>-0.43555261573673326</v>
      </c>
      <c r="N216">
        <f>+N214+M216</f>
        <v>-14.950055934064077</v>
      </c>
    </row>
    <row r="217" spans="1:14">
      <c r="A217" s="15">
        <v>3</v>
      </c>
      <c r="B217" s="75">
        <v>39707</v>
      </c>
      <c r="C217" s="15">
        <v>2008</v>
      </c>
      <c r="D217" s="11" t="s">
        <v>40</v>
      </c>
      <c r="E217" s="15">
        <v>9</v>
      </c>
      <c r="F217" s="23">
        <v>20.94</v>
      </c>
      <c r="G217" s="23">
        <v>0.14199999999999999</v>
      </c>
    </row>
    <row r="218" spans="1:14">
      <c r="A218" s="15">
        <v>4</v>
      </c>
      <c r="B218" s="75">
        <v>39707</v>
      </c>
      <c r="C218" s="15">
        <v>2008</v>
      </c>
      <c r="D218" s="11" t="s">
        <v>40</v>
      </c>
      <c r="E218" s="15">
        <v>9</v>
      </c>
      <c r="F218" s="23">
        <v>20.312000000000001</v>
      </c>
      <c r="G218" s="23">
        <v>0.16</v>
      </c>
      <c r="I218" s="27">
        <f>AVERAGE(F217:F218)</f>
        <v>20.626000000000001</v>
      </c>
      <c r="J218" s="27">
        <f>AVERAGE(G217:G218)</f>
        <v>0.151</v>
      </c>
      <c r="L218">
        <f>+J218/I218</f>
        <v>7.320857170561427E-3</v>
      </c>
      <c r="M218">
        <f>+(L218-$L$619)/$L$620</f>
        <v>-0.55692493095880302</v>
      </c>
      <c r="N218">
        <f>+N216+M218</f>
        <v>-15.50698086502288</v>
      </c>
    </row>
    <row r="219" spans="1:14">
      <c r="A219" s="15">
        <v>3</v>
      </c>
      <c r="B219" s="75">
        <v>39737</v>
      </c>
      <c r="C219" s="15">
        <v>2008</v>
      </c>
      <c r="D219" s="11" t="s">
        <v>36</v>
      </c>
      <c r="E219" s="15">
        <v>10</v>
      </c>
      <c r="F219" s="23">
        <v>12.946999999999999</v>
      </c>
      <c r="G219" s="23">
        <v>6.6000000000000003E-2</v>
      </c>
    </row>
    <row r="220" spans="1:14">
      <c r="A220" s="15">
        <v>4</v>
      </c>
      <c r="B220" s="75">
        <v>39737</v>
      </c>
      <c r="C220" s="15">
        <v>2008</v>
      </c>
      <c r="D220" s="11" t="s">
        <v>36</v>
      </c>
      <c r="E220" s="15">
        <v>10</v>
      </c>
      <c r="F220" s="23">
        <v>21.135999999999999</v>
      </c>
      <c r="G220" s="23">
        <v>0.106</v>
      </c>
      <c r="I220" s="27">
        <f>AVERAGE(F219:F220)</f>
        <v>17.041499999999999</v>
      </c>
      <c r="J220" s="27">
        <f>AVERAGE(G219:G220)</f>
        <v>8.5999999999999993E-2</v>
      </c>
      <c r="L220">
        <f>+J220/I220</f>
        <v>5.0465041222897047E-3</v>
      </c>
      <c r="M220">
        <f>+(L220-$L$619)/$L$620</f>
        <v>-0.59151706194544695</v>
      </c>
      <c r="N220">
        <f>+N218+M220</f>
        <v>-16.098497926968328</v>
      </c>
    </row>
    <row r="221" spans="1:14">
      <c r="A221" s="15">
        <v>3</v>
      </c>
      <c r="B221" s="75">
        <v>39763</v>
      </c>
      <c r="C221" s="15">
        <v>2008</v>
      </c>
      <c r="D221" s="11" t="s">
        <v>37</v>
      </c>
      <c r="E221" s="15">
        <v>11</v>
      </c>
      <c r="F221" s="23">
        <v>11.272</v>
      </c>
      <c r="G221" s="23">
        <v>2.5000000000000001E-2</v>
      </c>
    </row>
    <row r="222" spans="1:14">
      <c r="A222" s="15">
        <v>4</v>
      </c>
      <c r="B222" s="75">
        <v>39763</v>
      </c>
      <c r="C222" s="15">
        <v>2008</v>
      </c>
      <c r="D222" s="11" t="s">
        <v>37</v>
      </c>
      <c r="E222" s="15">
        <v>11</v>
      </c>
      <c r="F222" s="23">
        <v>14.859</v>
      </c>
      <c r="G222" s="23">
        <v>3.7999999999999999E-2</v>
      </c>
      <c r="I222" s="27">
        <f>AVERAGE(F221:F222)</f>
        <v>13.0655</v>
      </c>
      <c r="J222" s="27">
        <f>AVERAGE(G221:G222)</f>
        <v>3.15E-2</v>
      </c>
      <c r="L222">
        <f>+J222/I222</f>
        <v>2.4109295472810074E-3</v>
      </c>
      <c r="M222">
        <f>+(L222-$L$619)/$L$620</f>
        <v>-0.63160324864941952</v>
      </c>
      <c r="N222">
        <f>+N220+M222</f>
        <v>-16.730101175617747</v>
      </c>
    </row>
    <row r="223" spans="1:14">
      <c r="A223" s="15">
        <v>3</v>
      </c>
      <c r="B223" s="75">
        <v>39434</v>
      </c>
      <c r="C223" s="15">
        <v>2008</v>
      </c>
      <c r="D223" s="11" t="s">
        <v>38</v>
      </c>
      <c r="E223" s="15">
        <v>12</v>
      </c>
      <c r="F223" s="23">
        <v>19.263000000000002</v>
      </c>
      <c r="G223" s="23">
        <v>1.7789999999999999</v>
      </c>
    </row>
    <row r="224" spans="1:14">
      <c r="A224" s="15">
        <v>4</v>
      </c>
      <c r="B224" s="75">
        <v>39434</v>
      </c>
      <c r="C224" s="15">
        <v>2008</v>
      </c>
      <c r="D224" s="11" t="s">
        <v>38</v>
      </c>
      <c r="E224" s="15">
        <v>12</v>
      </c>
      <c r="F224" s="23">
        <v>23.683</v>
      </c>
      <c r="G224" s="23">
        <v>3.93</v>
      </c>
      <c r="I224" s="27">
        <f>AVERAGE(F223:F224)</f>
        <v>21.472999999999999</v>
      </c>
      <c r="J224" s="27">
        <f>AVERAGE(G223:G224)</f>
        <v>2.8544999999999998</v>
      </c>
      <c r="L224">
        <f>+J224/I224</f>
        <v>0.13293438271317468</v>
      </c>
      <c r="M224">
        <f>+(L224-$L$619)/$L$620</f>
        <v>1.3536137747914594</v>
      </c>
      <c r="N224">
        <f>+N222+M224</f>
        <v>-15.376487400826289</v>
      </c>
    </row>
    <row r="225" spans="1:14">
      <c r="A225" s="15">
        <v>3</v>
      </c>
      <c r="B225" s="75">
        <v>39825</v>
      </c>
      <c r="C225" s="15">
        <v>2009</v>
      </c>
      <c r="D225" s="11" t="s">
        <v>39</v>
      </c>
      <c r="E225" s="12">
        <v>1</v>
      </c>
      <c r="F225" s="23">
        <v>12.114000000000001</v>
      </c>
      <c r="G225" s="23">
        <v>0.82899999999999996</v>
      </c>
    </row>
    <row r="226" spans="1:14">
      <c r="A226" s="15">
        <v>4</v>
      </c>
      <c r="B226" s="75">
        <v>39825</v>
      </c>
      <c r="C226" s="15">
        <v>2009</v>
      </c>
      <c r="D226" s="11" t="s">
        <v>39</v>
      </c>
      <c r="E226" s="12">
        <v>1</v>
      </c>
      <c r="F226" s="23">
        <v>12.62</v>
      </c>
      <c r="G226" s="23">
        <v>1.845</v>
      </c>
      <c r="I226" s="27">
        <f>AVERAGE(F225:F226)</f>
        <v>12.367000000000001</v>
      </c>
      <c r="J226" s="27">
        <f>AVERAGE(G225:G226)</f>
        <v>1.337</v>
      </c>
      <c r="L226">
        <f>+J226/I226</f>
        <v>0.10811029352308563</v>
      </c>
      <c r="M226">
        <f>+(L226-$L$619)/$L$620</f>
        <v>0.97604787949643002</v>
      </c>
      <c r="N226">
        <f>+N224+M226</f>
        <v>-14.400439521329858</v>
      </c>
    </row>
    <row r="227" spans="1:14">
      <c r="A227" s="12">
        <v>3</v>
      </c>
      <c r="B227" s="75">
        <v>39854</v>
      </c>
      <c r="C227" s="15">
        <v>2009</v>
      </c>
      <c r="D227" s="11" t="s">
        <v>28</v>
      </c>
      <c r="E227" s="12">
        <v>2</v>
      </c>
      <c r="F227" s="23">
        <v>5.9710000000000001</v>
      </c>
      <c r="G227" s="25">
        <v>9.9000000000000005E-2</v>
      </c>
    </row>
    <row r="228" spans="1:14">
      <c r="A228" s="12">
        <v>4</v>
      </c>
      <c r="B228" s="75">
        <v>39854</v>
      </c>
      <c r="C228" s="15">
        <v>2009</v>
      </c>
      <c r="D228" s="11" t="s">
        <v>28</v>
      </c>
      <c r="E228" s="12">
        <v>2</v>
      </c>
      <c r="F228" s="23">
        <v>5.5919999999999996</v>
      </c>
      <c r="G228" s="25">
        <v>0.17399999999999999</v>
      </c>
      <c r="I228" s="27">
        <f>AVERAGE(F227:F228)</f>
        <v>5.7814999999999994</v>
      </c>
      <c r="J228" s="27">
        <f>AVERAGE(G227:G228)</f>
        <v>0.13650000000000001</v>
      </c>
      <c r="L228">
        <f>+J228/I228</f>
        <v>2.3609789846925543E-2</v>
      </c>
      <c r="M228">
        <f>+(L228-$L$619)/$L$620</f>
        <v>-0.3091758432779827</v>
      </c>
      <c r="N228">
        <f>+N226+M228</f>
        <v>-14.70961536460784</v>
      </c>
    </row>
    <row r="229" spans="1:14">
      <c r="A229" s="12">
        <v>3</v>
      </c>
      <c r="B229" s="75">
        <v>39890</v>
      </c>
      <c r="C229" s="15">
        <v>2009</v>
      </c>
      <c r="D229" s="11" t="s">
        <v>29</v>
      </c>
      <c r="E229" s="12">
        <v>3</v>
      </c>
      <c r="F229" s="23">
        <v>10.291</v>
      </c>
      <c r="G229" s="25">
        <v>3.4000000000000002E-2</v>
      </c>
    </row>
    <row r="230" spans="1:14">
      <c r="A230" s="12">
        <v>4</v>
      </c>
      <c r="B230" s="75">
        <v>39890</v>
      </c>
      <c r="C230" s="15">
        <v>2009</v>
      </c>
      <c r="D230" s="11" t="s">
        <v>29</v>
      </c>
      <c r="E230" s="12">
        <v>3</v>
      </c>
      <c r="F230" s="23">
        <v>8.1660000000000004</v>
      </c>
      <c r="G230" s="25">
        <v>3.7999999999999999E-2</v>
      </c>
      <c r="I230" s="27">
        <f>AVERAGE(F229:F230)</f>
        <v>9.2285000000000004</v>
      </c>
      <c r="J230" s="27">
        <f>AVERAGE(G229:G230)</f>
        <v>3.6000000000000004E-2</v>
      </c>
      <c r="L230">
        <f>+J230/I230</f>
        <v>3.9009589857506642E-3</v>
      </c>
      <c r="M230">
        <f>+(L230-$L$619)/$L$620</f>
        <v>-0.60894041116749664</v>
      </c>
      <c r="N230">
        <f>+N228+M230</f>
        <v>-15.318555775775337</v>
      </c>
    </row>
    <row r="231" spans="1:14">
      <c r="A231" s="12">
        <v>3</v>
      </c>
      <c r="B231" s="75">
        <v>39920</v>
      </c>
      <c r="C231" s="15">
        <v>2009</v>
      </c>
      <c r="D231" s="11" t="s">
        <v>30</v>
      </c>
      <c r="E231" s="12">
        <v>4</v>
      </c>
      <c r="F231" s="23">
        <v>3.7959999999999998</v>
      </c>
      <c r="G231" s="25">
        <v>2.4E-2</v>
      </c>
    </row>
    <row r="232" spans="1:14">
      <c r="A232" s="12">
        <v>4</v>
      </c>
      <c r="B232" s="75">
        <v>39920</v>
      </c>
      <c r="C232" s="15">
        <v>2009</v>
      </c>
      <c r="D232" s="11" t="s">
        <v>30</v>
      </c>
      <c r="E232" s="12">
        <v>4</v>
      </c>
      <c r="F232" s="23">
        <v>7.9089999999999998</v>
      </c>
      <c r="G232" s="25">
        <v>0.124</v>
      </c>
      <c r="I232" s="27">
        <f>AVERAGE(F231:F232)</f>
        <v>5.8525</v>
      </c>
      <c r="J232" s="27">
        <f>AVERAGE(G231:G232)</f>
        <v>7.3999999999999996E-2</v>
      </c>
      <c r="L232">
        <f>+J232/I232</f>
        <v>1.2644169158479282E-2</v>
      </c>
      <c r="M232">
        <f>+(L232-$L$619)/$L$620</f>
        <v>-0.4759591786501377</v>
      </c>
      <c r="N232">
        <f>+N230+M232</f>
        <v>-15.794514954425475</v>
      </c>
    </row>
    <row r="233" spans="1:14">
      <c r="A233" s="12">
        <v>3</v>
      </c>
      <c r="B233" s="75">
        <v>39945</v>
      </c>
      <c r="C233" s="15">
        <v>2009</v>
      </c>
      <c r="D233" s="11" t="s">
        <v>31</v>
      </c>
      <c r="E233" s="12">
        <v>5</v>
      </c>
      <c r="F233" s="23">
        <v>7.6829999999999998</v>
      </c>
      <c r="G233" s="25">
        <v>0.874</v>
      </c>
    </row>
    <row r="234" spans="1:14">
      <c r="A234" s="12">
        <v>4</v>
      </c>
      <c r="B234" s="75">
        <v>39945</v>
      </c>
      <c r="C234" s="15">
        <v>2009</v>
      </c>
      <c r="D234" s="11" t="s">
        <v>31</v>
      </c>
      <c r="E234" s="12">
        <v>5</v>
      </c>
      <c r="F234" s="23">
        <v>18.114000000000001</v>
      </c>
      <c r="G234" s="25">
        <v>0.84499999999999997</v>
      </c>
      <c r="I234" s="27">
        <f>AVERAGE(F233:F234)</f>
        <v>12.8985</v>
      </c>
      <c r="J234" s="27">
        <f>AVERAGE(G233:G234)</f>
        <v>0.85949999999999993</v>
      </c>
      <c r="L234">
        <f>+J234/I234</f>
        <v>6.6635655308756828E-2</v>
      </c>
      <c r="M234">
        <f>+(L234-$L$619)/$L$620</f>
        <v>0.34523283570894353</v>
      </c>
      <c r="N234">
        <f>+N232+M234</f>
        <v>-15.449282118716532</v>
      </c>
    </row>
    <row r="235" spans="1:14">
      <c r="A235" s="15">
        <v>3</v>
      </c>
      <c r="B235" s="75">
        <v>39980</v>
      </c>
      <c r="C235" s="15">
        <v>2009</v>
      </c>
      <c r="D235" s="11" t="s">
        <v>32</v>
      </c>
      <c r="E235" s="12">
        <v>6</v>
      </c>
      <c r="F235" s="23">
        <v>18.402000000000001</v>
      </c>
      <c r="G235" s="25">
        <v>0.111</v>
      </c>
    </row>
    <row r="236" spans="1:14">
      <c r="A236" s="15">
        <v>4</v>
      </c>
      <c r="B236" s="75">
        <v>39980</v>
      </c>
      <c r="C236" s="15">
        <v>2009</v>
      </c>
      <c r="D236" s="11" t="s">
        <v>32</v>
      </c>
      <c r="E236" s="12">
        <v>6</v>
      </c>
      <c r="F236" s="23">
        <v>21.108000000000001</v>
      </c>
      <c r="G236" s="25">
        <v>0.127</v>
      </c>
      <c r="I236" s="27">
        <f>AVERAGE(F235:F236)</f>
        <v>19.755000000000003</v>
      </c>
      <c r="J236" s="27">
        <f>AVERAGE(G235:G236)</f>
        <v>0.11899999999999999</v>
      </c>
      <c r="L236">
        <f>+J236/I236</f>
        <v>6.0237914452037451E-3</v>
      </c>
      <c r="M236">
        <f>+(L236-$L$619)/$L$620</f>
        <v>-0.57665285644686859</v>
      </c>
      <c r="N236">
        <f>+N234+M236</f>
        <v>-16.025934975163402</v>
      </c>
    </row>
    <row r="237" spans="1:14">
      <c r="A237" s="15">
        <v>3</v>
      </c>
      <c r="B237" s="75">
        <v>40009</v>
      </c>
      <c r="C237" s="15">
        <v>2009</v>
      </c>
      <c r="D237" s="11" t="s">
        <v>33</v>
      </c>
      <c r="E237" s="12">
        <v>7</v>
      </c>
      <c r="F237" s="23">
        <v>11.356</v>
      </c>
      <c r="G237" s="25">
        <v>0.21299999999999999</v>
      </c>
    </row>
    <row r="238" spans="1:14">
      <c r="A238" s="15">
        <v>4</v>
      </c>
      <c r="B238" s="75">
        <v>40009</v>
      </c>
      <c r="C238" s="15">
        <v>2009</v>
      </c>
      <c r="D238" s="11" t="s">
        <v>33</v>
      </c>
      <c r="E238" s="12">
        <v>7</v>
      </c>
      <c r="F238" s="23">
        <v>16.303000000000001</v>
      </c>
      <c r="G238" s="25">
        <v>0.14099999999999999</v>
      </c>
      <c r="I238" s="27">
        <f>AVERAGE(F237:F238)</f>
        <v>13.829499999999999</v>
      </c>
      <c r="J238" s="27">
        <f>AVERAGE(G237:G238)</f>
        <v>0.17699999999999999</v>
      </c>
      <c r="L238">
        <f>+J238/I238</f>
        <v>1.2798727358183593E-2</v>
      </c>
      <c r="M238">
        <f>+(L238-$L$619)/$L$620</f>
        <v>-0.47360840136281451</v>
      </c>
      <c r="N238">
        <f>+N236+M238</f>
        <v>-16.499543376526216</v>
      </c>
    </row>
    <row r="239" spans="1:14">
      <c r="A239" s="15">
        <v>3</v>
      </c>
      <c r="B239" s="75">
        <v>40043</v>
      </c>
      <c r="C239" s="15">
        <v>2009</v>
      </c>
      <c r="D239" s="11" t="s">
        <v>34</v>
      </c>
      <c r="E239" s="12">
        <v>8</v>
      </c>
      <c r="F239" s="23">
        <v>21.183</v>
      </c>
      <c r="G239" s="25">
        <v>0.23400000000000001</v>
      </c>
    </row>
    <row r="240" spans="1:14">
      <c r="A240" s="15">
        <v>4</v>
      </c>
      <c r="B240" s="75">
        <v>40043</v>
      </c>
      <c r="C240" s="15">
        <v>2009</v>
      </c>
      <c r="D240" s="11" t="s">
        <v>34</v>
      </c>
      <c r="E240" s="12">
        <v>8</v>
      </c>
      <c r="F240" s="23">
        <v>33.268000000000001</v>
      </c>
      <c r="G240" s="25">
        <v>0.23799999999999999</v>
      </c>
      <c r="I240" s="27">
        <f>AVERAGE(F239:F240)</f>
        <v>27.2255</v>
      </c>
      <c r="J240" s="27">
        <f>AVERAGE(G239:G240)</f>
        <v>0.23599999999999999</v>
      </c>
      <c r="L240">
        <f>+J240/I240</f>
        <v>8.6683440157205548E-3</v>
      </c>
      <c r="M240">
        <f>+(L240-$L$619)/$L$620</f>
        <v>-0.53643011750583247</v>
      </c>
      <c r="N240">
        <f>+N238+M240</f>
        <v>-17.035973494032049</v>
      </c>
    </row>
    <row r="241" spans="1:14">
      <c r="A241" s="15">
        <v>3</v>
      </c>
      <c r="B241" s="75">
        <v>40070</v>
      </c>
      <c r="C241" s="15">
        <v>2009</v>
      </c>
      <c r="D241" s="11" t="s">
        <v>40</v>
      </c>
      <c r="E241" s="12">
        <v>9</v>
      </c>
      <c r="F241" s="23">
        <v>15.382999999999999</v>
      </c>
      <c r="G241" s="25">
        <v>5.1999999999999998E-2</v>
      </c>
    </row>
    <row r="242" spans="1:14">
      <c r="A242" s="15">
        <v>4</v>
      </c>
      <c r="B242" s="75">
        <v>40070</v>
      </c>
      <c r="C242" s="15">
        <v>2009</v>
      </c>
      <c r="D242" s="11" t="s">
        <v>40</v>
      </c>
      <c r="E242" s="12">
        <v>9</v>
      </c>
      <c r="F242" s="23">
        <v>12.561</v>
      </c>
      <c r="G242" s="25">
        <v>9.0999999999999998E-2</v>
      </c>
      <c r="I242" s="27">
        <f>AVERAGE(F241:F242)</f>
        <v>13.972</v>
      </c>
      <c r="J242" s="27">
        <f>AVERAGE(G241:G242)</f>
        <v>7.1499999999999994E-2</v>
      </c>
      <c r="L242">
        <f>+J242/I242</f>
        <v>5.1173776123675917E-3</v>
      </c>
      <c r="M242">
        <f>+(L242-$L$619)/$L$620</f>
        <v>-0.59043910043277947</v>
      </c>
      <c r="N242">
        <f>+N240+M242</f>
        <v>-17.626412594464828</v>
      </c>
    </row>
    <row r="243" spans="1:14">
      <c r="A243" s="15">
        <v>3</v>
      </c>
      <c r="B243" s="75">
        <v>40099</v>
      </c>
      <c r="C243" s="15">
        <v>2009</v>
      </c>
      <c r="D243" s="11" t="s">
        <v>36</v>
      </c>
      <c r="E243" s="12">
        <v>10</v>
      </c>
      <c r="F243" s="23">
        <v>8.7680000000000007</v>
      </c>
      <c r="G243" s="25">
        <v>5.5E-2</v>
      </c>
    </row>
    <row r="244" spans="1:14">
      <c r="A244" s="15">
        <v>4</v>
      </c>
      <c r="B244" s="75">
        <v>40099</v>
      </c>
      <c r="C244" s="15">
        <v>2009</v>
      </c>
      <c r="D244" s="11" t="s">
        <v>36</v>
      </c>
      <c r="E244" s="12">
        <v>10</v>
      </c>
      <c r="F244" s="23">
        <v>11.911</v>
      </c>
      <c r="G244" s="25">
        <v>5.3999999999999999E-2</v>
      </c>
      <c r="I244" s="27">
        <f>AVERAGE(F243:F244)</f>
        <v>10.339500000000001</v>
      </c>
      <c r="J244" s="27">
        <f>AVERAGE(G243:G244)</f>
        <v>5.45E-2</v>
      </c>
      <c r="L244">
        <f>+J244/I244</f>
        <v>5.2710479230136846E-3</v>
      </c>
      <c r="M244">
        <f>+(L244-$L$619)/$L$620</f>
        <v>-0.58810182763396424</v>
      </c>
      <c r="N244">
        <f>+N242+M244</f>
        <v>-18.214514422098791</v>
      </c>
    </row>
    <row r="245" spans="1:14">
      <c r="A245" s="15">
        <v>3</v>
      </c>
      <c r="B245" s="75">
        <v>40134</v>
      </c>
      <c r="C245" s="15">
        <v>2009</v>
      </c>
      <c r="D245" s="11" t="s">
        <v>37</v>
      </c>
      <c r="E245" s="12">
        <v>11</v>
      </c>
      <c r="F245" s="23">
        <v>3.383</v>
      </c>
      <c r="G245" s="25">
        <v>0.27700000000000002</v>
      </c>
    </row>
    <row r="246" spans="1:14">
      <c r="A246" s="15">
        <v>4</v>
      </c>
      <c r="B246" s="75">
        <v>40134</v>
      </c>
      <c r="C246" s="15">
        <v>2009</v>
      </c>
      <c r="D246" s="11" t="s">
        <v>37</v>
      </c>
      <c r="E246" s="12">
        <v>11</v>
      </c>
      <c r="F246" s="23">
        <v>2.6019999999999999</v>
      </c>
      <c r="G246" s="25">
        <v>0.109</v>
      </c>
      <c r="I246" s="27">
        <f>AVERAGE(F245:F246)</f>
        <v>2.9924999999999997</v>
      </c>
      <c r="J246" s="27">
        <f>AVERAGE(G245:G246)</f>
        <v>0.193</v>
      </c>
      <c r="L246">
        <f>+J246/I246</f>
        <v>6.449456975772766E-2</v>
      </c>
      <c r="M246">
        <f>+(L246-$L$619)/$L$620</f>
        <v>0.31266765771641802</v>
      </c>
      <c r="N246">
        <f>+N244+M246</f>
        <v>-17.901846764382373</v>
      </c>
    </row>
    <row r="247" spans="1:14">
      <c r="A247" s="15">
        <v>3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7.4050000000000002</v>
      </c>
      <c r="G247" s="25">
        <v>0.36299999999999999</v>
      </c>
    </row>
    <row r="248" spans="1:14">
      <c r="A248" s="15">
        <v>4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6.6210000000000004</v>
      </c>
      <c r="G248" s="25">
        <v>0.188</v>
      </c>
      <c r="I248" s="27">
        <f>AVERAGE(F247:F248)</f>
        <v>7.0129999999999999</v>
      </c>
      <c r="J248" s="27">
        <f>AVERAGE(G247:G248)</f>
        <v>0.27549999999999997</v>
      </c>
      <c r="L248">
        <f>+J248/I248</f>
        <v>3.928418651076572E-2</v>
      </c>
      <c r="M248">
        <f>+(L248-$L$619)/$L$620</f>
        <v>-7.0773637892939611E-2</v>
      </c>
      <c r="N248">
        <f>+N246+M248</f>
        <v>-17.972620402275314</v>
      </c>
    </row>
    <row r="249" spans="1:14">
      <c r="A249" s="15">
        <v>3</v>
      </c>
      <c r="B249" s="70">
        <v>40198</v>
      </c>
      <c r="C249" s="15">
        <v>2010</v>
      </c>
      <c r="D249" s="11" t="s">
        <v>39</v>
      </c>
      <c r="E249" s="15">
        <v>1</v>
      </c>
      <c r="F249" s="26">
        <v>7.4580000000000002</v>
      </c>
      <c r="G249" s="27">
        <v>1.5021698749999999</v>
      </c>
    </row>
    <row r="250" spans="1:14">
      <c r="A250" s="15">
        <v>4</v>
      </c>
      <c r="B250" s="70">
        <v>40198</v>
      </c>
      <c r="C250" s="15">
        <v>2010</v>
      </c>
      <c r="D250" s="11" t="s">
        <v>39</v>
      </c>
      <c r="E250" s="15">
        <v>1</v>
      </c>
      <c r="F250" s="26">
        <v>9.9359999999999999</v>
      </c>
      <c r="G250" s="27">
        <v>3.4942473749999992</v>
      </c>
      <c r="I250" s="27">
        <f>AVERAGE(F249:F250)</f>
        <v>8.6969999999999992</v>
      </c>
      <c r="J250" s="27">
        <f>AVERAGE(G249:G250)</f>
        <v>2.4982086249999993</v>
      </c>
      <c r="L250">
        <f>+J250/I250</f>
        <v>0.2872494682074278</v>
      </c>
      <c r="M250">
        <f>+(L250-$L$619)/$L$620</f>
        <v>3.7006933782368288</v>
      </c>
      <c r="N250">
        <f>+N248+M250</f>
        <v>-14.271927024038487</v>
      </c>
    </row>
    <row r="251" spans="1:14">
      <c r="A251" s="15">
        <v>3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7.367</v>
      </c>
      <c r="G251" s="27">
        <v>0.68639962499999996</v>
      </c>
    </row>
    <row r="252" spans="1:14">
      <c r="A252" s="15">
        <v>4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8.0229999999999997</v>
      </c>
      <c r="G252" s="27">
        <v>1.0478338750000002</v>
      </c>
      <c r="I252" s="27">
        <f>AVERAGE(F251:F252)</f>
        <v>7.6950000000000003</v>
      </c>
      <c r="J252" s="27">
        <f>AVERAGE(G251:G252)</f>
        <v>0.8671167500000001</v>
      </c>
      <c r="L252">
        <f>+J252/I252</f>
        <v>0.11268573749187785</v>
      </c>
      <c r="M252">
        <f>+(L252-$L$619)/$L$620</f>
        <v>1.0456388153499392</v>
      </c>
      <c r="N252">
        <f>+N250+M252</f>
        <v>-13.226288208688548</v>
      </c>
    </row>
    <row r="253" spans="1:14">
      <c r="A253" s="15">
        <v>3</v>
      </c>
      <c r="B253" s="70">
        <v>40254</v>
      </c>
      <c r="C253" s="15">
        <v>2010</v>
      </c>
      <c r="D253" s="11" t="s">
        <v>29</v>
      </c>
      <c r="E253" s="15">
        <v>3</v>
      </c>
      <c r="F253" s="26">
        <v>6.298</v>
      </c>
      <c r="G253" s="27">
        <v>0.409045875</v>
      </c>
    </row>
    <row r="254" spans="1:14">
      <c r="A254" s="15">
        <v>4</v>
      </c>
      <c r="B254" s="70">
        <v>40254</v>
      </c>
      <c r="C254" s="15">
        <v>2010</v>
      </c>
      <c r="D254" s="11" t="s">
        <v>29</v>
      </c>
      <c r="E254" s="15">
        <v>3</v>
      </c>
      <c r="F254" s="26">
        <v>5.4240000000000004</v>
      </c>
      <c r="G254" s="27">
        <v>0.46961950000000002</v>
      </c>
      <c r="I254" s="27">
        <f>AVERAGE(F253:F254)</f>
        <v>5.8610000000000007</v>
      </c>
      <c r="J254" s="27">
        <f>AVERAGE(G253:G254)</f>
        <v>0.43933268749999999</v>
      </c>
      <c r="L254">
        <f>+J254/I254</f>
        <v>7.4958656799181012E-2</v>
      </c>
      <c r="M254">
        <f>+(L254-$L$619)/$L$620</f>
        <v>0.47182283807360226</v>
      </c>
      <c r="N254">
        <f>+N252+M254</f>
        <v>-12.754465370614945</v>
      </c>
    </row>
    <row r="255" spans="1:14">
      <c r="A255" s="15">
        <v>3</v>
      </c>
      <c r="B255" s="70">
        <v>40280</v>
      </c>
      <c r="C255" s="15">
        <v>2010</v>
      </c>
      <c r="D255" s="11" t="s">
        <v>30</v>
      </c>
      <c r="E255" s="15">
        <v>4</v>
      </c>
      <c r="F255" s="26">
        <v>9.4649999999999999</v>
      </c>
      <c r="G255" s="27">
        <v>2.8041234999999998</v>
      </c>
    </row>
    <row r="256" spans="1:14">
      <c r="A256" s="15">
        <v>3</v>
      </c>
      <c r="B256" s="70">
        <v>40280</v>
      </c>
      <c r="C256" s="15">
        <v>2010</v>
      </c>
      <c r="D256" s="11" t="s">
        <v>30</v>
      </c>
      <c r="E256" s="15">
        <v>4</v>
      </c>
      <c r="F256" s="26">
        <v>9.4649999999999999</v>
      </c>
      <c r="G256" s="27">
        <v>2.7946080000000002</v>
      </c>
      <c r="H256" t="s">
        <v>13</v>
      </c>
      <c r="I256" s="27">
        <f>AVERAGE(F255:F256)</f>
        <v>9.4649999999999999</v>
      </c>
      <c r="J256" s="27">
        <f>AVERAGE(G255:G256)</f>
        <v>2.7993657499999998</v>
      </c>
      <c r="L256">
        <f>+J256/I256</f>
        <v>0.29575972002113043</v>
      </c>
      <c r="M256">
        <f>+(L256-$L$619)/$L$620</f>
        <v>3.8301313938925903</v>
      </c>
      <c r="N256">
        <f>+N254+M256</f>
        <v>-8.9243339767223553</v>
      </c>
    </row>
    <row r="257" spans="1:14">
      <c r="A257" s="15">
        <v>4</v>
      </c>
      <c r="B257" s="70">
        <v>40280</v>
      </c>
      <c r="C257" s="15">
        <v>2010</v>
      </c>
      <c r="D257" s="11" t="s">
        <v>30</v>
      </c>
      <c r="E257" s="15">
        <v>4</v>
      </c>
      <c r="F257" s="26">
        <v>15.436999999999999</v>
      </c>
      <c r="G257" s="27">
        <v>2.4303068749999999</v>
      </c>
    </row>
    <row r="258" spans="1:14">
      <c r="A258" s="15">
        <v>3</v>
      </c>
      <c r="B258" s="75">
        <v>40315</v>
      </c>
      <c r="C258" s="15">
        <v>2010</v>
      </c>
      <c r="D258" s="11" t="s">
        <v>31</v>
      </c>
      <c r="E258" s="15">
        <v>5</v>
      </c>
      <c r="F258" s="28">
        <v>5.5709999999999997</v>
      </c>
      <c r="G258" s="27">
        <v>0.13100675000000001</v>
      </c>
      <c r="I258" s="27">
        <f>AVERAGE(F257:F258)</f>
        <v>10.504</v>
      </c>
      <c r="J258" s="27">
        <f>AVERAGE(G257:G258)</f>
        <v>1.2806568125</v>
      </c>
      <c r="L258">
        <f>+J258/I258</f>
        <v>0.12192086943069307</v>
      </c>
      <c r="M258">
        <f>+(L258-$L$619)/$L$620</f>
        <v>1.1861020094653796</v>
      </c>
      <c r="N258">
        <f>+N256+M258</f>
        <v>-7.7382319672569757</v>
      </c>
    </row>
    <row r="259" spans="1:14">
      <c r="A259" s="15">
        <v>4</v>
      </c>
      <c r="B259" s="75">
        <v>40315</v>
      </c>
      <c r="C259" s="15">
        <v>2010</v>
      </c>
      <c r="D259" s="11" t="s">
        <v>31</v>
      </c>
      <c r="E259" s="15">
        <v>5</v>
      </c>
      <c r="F259" s="28">
        <v>7.5839999999999996</v>
      </c>
      <c r="G259" s="27">
        <v>0.11898262499999998</v>
      </c>
    </row>
    <row r="260" spans="1:14">
      <c r="A260" s="15">
        <v>3</v>
      </c>
      <c r="B260" s="75">
        <v>40344</v>
      </c>
      <c r="C260" s="15">
        <v>2010</v>
      </c>
      <c r="D260" s="11" t="s">
        <v>32</v>
      </c>
      <c r="E260" s="15">
        <v>6</v>
      </c>
      <c r="F260" s="28">
        <v>12.952</v>
      </c>
      <c r="G260" s="27">
        <v>0.1816565</v>
      </c>
      <c r="I260" s="27">
        <f>AVERAGE(F259:F260)</f>
        <v>10.268000000000001</v>
      </c>
      <c r="J260" s="27">
        <f>AVERAGE(G259:G260)</f>
        <v>0.1503195625</v>
      </c>
      <c r="L260">
        <f>+J260/I260</f>
        <v>1.4639614579275418E-2</v>
      </c>
      <c r="M260">
        <f>+(L260-$L$619)/$L$620</f>
        <v>-0.44560913716236955</v>
      </c>
      <c r="N260">
        <f>+N258+M260</f>
        <v>-8.1838411044193453</v>
      </c>
    </row>
    <row r="261" spans="1:14">
      <c r="A261" s="15">
        <v>4</v>
      </c>
      <c r="B261" s="75">
        <v>40344</v>
      </c>
      <c r="C261" s="15">
        <v>2010</v>
      </c>
      <c r="D261" s="11" t="s">
        <v>32</v>
      </c>
      <c r="E261" s="15">
        <v>6</v>
      </c>
      <c r="F261" s="28">
        <v>11.233000000000001</v>
      </c>
      <c r="G261" s="27">
        <v>0.12646450000000001</v>
      </c>
    </row>
    <row r="262" spans="1:14">
      <c r="A262" s="15">
        <v>4</v>
      </c>
      <c r="B262" s="75">
        <v>40344</v>
      </c>
      <c r="C262" s="15">
        <v>2010</v>
      </c>
      <c r="D262" s="11" t="s">
        <v>32</v>
      </c>
      <c r="E262" s="15">
        <v>6</v>
      </c>
      <c r="F262" s="28">
        <v>11.233000000000001</v>
      </c>
      <c r="G262" s="27">
        <v>0.18210662499999999</v>
      </c>
      <c r="H262" t="s">
        <v>13</v>
      </c>
      <c r="I262" s="27">
        <f>AVERAGE(F261:F262)</f>
        <v>11.233000000000001</v>
      </c>
      <c r="J262" s="27">
        <f>AVERAGE(G261:G262)</f>
        <v>0.1542855625</v>
      </c>
      <c r="L262">
        <f>+J262/I262</f>
        <v>1.3735027374699546E-2</v>
      </c>
      <c r="M262">
        <f>+(L262-$L$619)/$L$620</f>
        <v>-0.45936759875799077</v>
      </c>
      <c r="N262">
        <f>+N260+M262</f>
        <v>-8.6432087031773364</v>
      </c>
    </row>
    <row r="263" spans="1:14">
      <c r="A263" s="15">
        <v>3</v>
      </c>
      <c r="B263" s="75">
        <v>40371</v>
      </c>
      <c r="C263" s="15">
        <v>2010</v>
      </c>
      <c r="D263" s="11" t="s">
        <v>33</v>
      </c>
      <c r="E263" s="15">
        <v>7</v>
      </c>
      <c r="F263" s="28">
        <v>17.329999999999998</v>
      </c>
      <c r="G263" s="27">
        <v>0.18149337500000001</v>
      </c>
    </row>
    <row r="264" spans="1:14">
      <c r="A264" s="15">
        <v>4</v>
      </c>
      <c r="B264" s="75">
        <v>40371</v>
      </c>
      <c r="C264" s="15">
        <v>2010</v>
      </c>
      <c r="D264" s="11" t="s">
        <v>33</v>
      </c>
      <c r="E264" s="15">
        <v>7</v>
      </c>
      <c r="F264" s="28">
        <v>42.161000000000001</v>
      </c>
      <c r="G264" s="27">
        <v>0.19254350000000001</v>
      </c>
      <c r="I264" s="27">
        <f>AVERAGE(F263:F264)</f>
        <v>29.7455</v>
      </c>
      <c r="J264" s="27">
        <f>AVERAGE(G263:G264)</f>
        <v>0.18701843750000002</v>
      </c>
      <c r="L264">
        <f>+J264/I264</f>
        <v>6.2872850515203992E-3</v>
      </c>
      <c r="M264">
        <f>+(L264-$L$619)/$L$620</f>
        <v>-0.57264520893111681</v>
      </c>
      <c r="N264">
        <f>+N262+M264</f>
        <v>-9.2158539121084537</v>
      </c>
    </row>
    <row r="265" spans="1:14">
      <c r="A265" s="15">
        <v>3</v>
      </c>
      <c r="B265" s="75">
        <v>40407</v>
      </c>
      <c r="C265" s="15">
        <v>2010</v>
      </c>
      <c r="D265" s="11" t="s">
        <v>34</v>
      </c>
      <c r="E265" s="15">
        <v>8</v>
      </c>
      <c r="F265" s="28">
        <v>36.511000000000003</v>
      </c>
      <c r="G265" s="27">
        <v>0.57918199999999986</v>
      </c>
    </row>
    <row r="266" spans="1:14">
      <c r="A266" s="15">
        <v>4</v>
      </c>
      <c r="B266" s="75">
        <v>40407</v>
      </c>
      <c r="C266" s="15">
        <v>2010</v>
      </c>
      <c r="D266" s="11" t="s">
        <v>34</v>
      </c>
      <c r="E266" s="15">
        <v>8</v>
      </c>
      <c r="F266" s="28">
        <v>39.277000000000001</v>
      </c>
      <c r="G266" s="27">
        <v>0.28050675000000003</v>
      </c>
      <c r="I266" s="27">
        <f>AVERAGE(F265:F266)</f>
        <v>37.894000000000005</v>
      </c>
      <c r="J266" s="27">
        <f>AVERAGE(G265:G266)</f>
        <v>0.42984437499999995</v>
      </c>
      <c r="L266">
        <f>+J266/I266</f>
        <v>1.1343336016255869E-2</v>
      </c>
      <c r="M266">
        <f>+(L266-$L$619)/$L$620</f>
        <v>-0.49574440525853708</v>
      </c>
      <c r="N266">
        <f>+N264+M266</f>
        <v>-9.71159831736699</v>
      </c>
    </row>
    <row r="267" spans="1:14">
      <c r="A267" s="15">
        <v>3</v>
      </c>
      <c r="B267" s="75">
        <v>40436</v>
      </c>
      <c r="C267" s="15">
        <v>2010</v>
      </c>
      <c r="D267" s="11" t="s">
        <v>40</v>
      </c>
      <c r="E267" s="15">
        <v>9</v>
      </c>
      <c r="F267" s="28">
        <v>12.305</v>
      </c>
      <c r="G267" s="27">
        <v>0.25908649999999994</v>
      </c>
    </row>
    <row r="268" spans="1:14">
      <c r="A268" s="15">
        <v>4</v>
      </c>
      <c r="B268" s="75">
        <v>40436</v>
      </c>
      <c r="C268" s="15">
        <v>2010</v>
      </c>
      <c r="D268" s="11" t="s">
        <v>40</v>
      </c>
      <c r="E268" s="15">
        <v>9</v>
      </c>
      <c r="F268" s="28">
        <v>11.909000000000001</v>
      </c>
      <c r="G268" s="27">
        <v>0.17254675</v>
      </c>
      <c r="I268" s="27">
        <f>AVERAGE(F267:F268)</f>
        <v>12.106999999999999</v>
      </c>
      <c r="J268" s="27">
        <f>AVERAGE(G267:G268)</f>
        <v>0.21581662499999998</v>
      </c>
      <c r="L268">
        <f>+J268/I268</f>
        <v>1.7825772280498885E-2</v>
      </c>
      <c r="M268">
        <f>+(L268-$L$619)/$L$620</f>
        <v>-0.39714876966200302</v>
      </c>
      <c r="N268">
        <f>+N266+M268</f>
        <v>-10.108747087028993</v>
      </c>
    </row>
    <row r="269" spans="1:14">
      <c r="A269" s="15">
        <v>3</v>
      </c>
      <c r="B269" s="75">
        <v>40464</v>
      </c>
      <c r="C269" s="15">
        <v>2010</v>
      </c>
      <c r="D269" s="11" t="s">
        <v>36</v>
      </c>
      <c r="E269" s="15">
        <v>10</v>
      </c>
      <c r="F269" s="26">
        <v>7.3470000000000004</v>
      </c>
      <c r="G269" s="27">
        <v>4.3133999999999992E-2</v>
      </c>
    </row>
    <row r="270" spans="1:14">
      <c r="A270" s="15">
        <v>3</v>
      </c>
      <c r="B270" s="75">
        <v>40464</v>
      </c>
      <c r="C270" s="15">
        <v>2010</v>
      </c>
      <c r="D270" s="11" t="s">
        <v>36</v>
      </c>
      <c r="E270" s="15">
        <v>10</v>
      </c>
      <c r="F270" s="26">
        <v>7.3470000000000004</v>
      </c>
      <c r="G270" s="27">
        <v>5.564149999999999E-2</v>
      </c>
      <c r="H270" t="s">
        <v>13</v>
      </c>
      <c r="I270" s="27"/>
      <c r="J270" s="27"/>
    </row>
    <row r="271" spans="1:14">
      <c r="A271" s="15">
        <v>4</v>
      </c>
      <c r="B271" s="75">
        <v>40464</v>
      </c>
      <c r="C271" s="15">
        <v>2010</v>
      </c>
      <c r="D271" s="11" t="s">
        <v>36</v>
      </c>
      <c r="E271" s="15">
        <v>10</v>
      </c>
      <c r="F271" s="26">
        <v>6.298</v>
      </c>
      <c r="G271" s="27">
        <v>7.0012249999999998E-2</v>
      </c>
      <c r="I271" s="27">
        <f>AVERAGE(F269:F271)</f>
        <v>6.9973333333333336</v>
      </c>
      <c r="J271" s="27">
        <f t="shared" ref="J271" si="0">AVERAGE(G269:G271)</f>
        <v>5.6262583333333331E-2</v>
      </c>
      <c r="K271" s="27"/>
      <c r="L271">
        <f>+J271/I271</f>
        <v>8.040574980945122E-3</v>
      </c>
      <c r="M271">
        <f>+(L271-$L$619)/$L$620</f>
        <v>-0.54597826953825879</v>
      </c>
      <c r="N271">
        <f>+N268+M271</f>
        <v>-10.654725356567251</v>
      </c>
    </row>
    <row r="272" spans="1:14">
      <c r="A272" s="15">
        <v>3</v>
      </c>
      <c r="B272" s="75">
        <v>40498</v>
      </c>
      <c r="C272" s="15">
        <v>2010</v>
      </c>
      <c r="D272" s="11" t="s">
        <v>37</v>
      </c>
      <c r="E272" s="15">
        <v>11</v>
      </c>
      <c r="F272" s="26">
        <v>2.4590000000000001</v>
      </c>
      <c r="G272" s="27">
        <v>0</v>
      </c>
      <c r="I272" s="27"/>
      <c r="J272" s="27"/>
    </row>
    <row r="273" spans="1:14">
      <c r="A273" s="15">
        <v>4</v>
      </c>
      <c r="B273" s="75">
        <v>40498</v>
      </c>
      <c r="C273" s="15">
        <v>2010</v>
      </c>
      <c r="D273" s="11" t="s">
        <v>37</v>
      </c>
      <c r="E273" s="15">
        <v>11</v>
      </c>
      <c r="F273" s="26">
        <v>3.3050000000000002</v>
      </c>
      <c r="G273" s="27">
        <v>2.7931625000000005E-2</v>
      </c>
      <c r="I273" s="27">
        <f>AVERAGE(F272:F273)</f>
        <v>2.8820000000000001</v>
      </c>
      <c r="J273" s="27">
        <f>AVERAGE(G272:G273)</f>
        <v>1.3965812500000003E-2</v>
      </c>
      <c r="L273">
        <f>+J273/I273</f>
        <v>4.8458752602359477E-3</v>
      </c>
      <c r="M273">
        <f>+(L273-$L$619)/$L$620</f>
        <v>-0.59456855822969301</v>
      </c>
      <c r="N273">
        <f>+N271+M273</f>
        <v>-11.249293914796944</v>
      </c>
    </row>
    <row r="274" spans="1:14">
      <c r="A274" s="15">
        <v>3</v>
      </c>
      <c r="B274" s="75">
        <v>40520</v>
      </c>
      <c r="C274" s="15">
        <v>2010</v>
      </c>
      <c r="D274" s="11" t="s">
        <v>38</v>
      </c>
      <c r="E274" s="15">
        <v>12</v>
      </c>
      <c r="F274" s="26">
        <v>4.07</v>
      </c>
      <c r="G274" s="27">
        <v>3.0719624999999997E-2</v>
      </c>
    </row>
    <row r="275" spans="1:14">
      <c r="A275" s="15">
        <v>4</v>
      </c>
      <c r="B275" s="75">
        <v>40520</v>
      </c>
      <c r="C275" s="15">
        <v>2010</v>
      </c>
      <c r="D275" s="11" t="s">
        <v>38</v>
      </c>
      <c r="E275" s="15">
        <v>12</v>
      </c>
      <c r="F275" s="26">
        <v>5.391</v>
      </c>
      <c r="G275" s="27">
        <v>2.9317249999999996E-2</v>
      </c>
      <c r="I275" s="27">
        <f>AVERAGE(F274:F275)</f>
        <v>4.7305000000000001</v>
      </c>
      <c r="J275" s="27">
        <f>AVERAGE(G274:G275)</f>
        <v>3.0018437499999995E-2</v>
      </c>
      <c r="L275">
        <f>+J275/I275</f>
        <v>6.3457219110030641E-3</v>
      </c>
      <c r="M275">
        <f>+(L275-$L$619)/$L$620</f>
        <v>-0.57175640431073971</v>
      </c>
      <c r="N275">
        <f>+N273+M275</f>
        <v>-11.821050319107684</v>
      </c>
    </row>
    <row r="276" spans="1:14">
      <c r="A276" s="15">
        <v>3</v>
      </c>
      <c r="B276" s="75">
        <v>40562</v>
      </c>
      <c r="C276" s="15">
        <v>2011</v>
      </c>
      <c r="D276" s="11" t="s">
        <v>39</v>
      </c>
      <c r="E276" s="15">
        <v>1</v>
      </c>
      <c r="F276" s="26">
        <v>2.028</v>
      </c>
      <c r="G276" s="27">
        <v>5.8456124999999984E-2</v>
      </c>
    </row>
    <row r="277" spans="1:14">
      <c r="A277" s="15">
        <v>4</v>
      </c>
      <c r="B277" s="75">
        <v>40562</v>
      </c>
      <c r="C277" s="15">
        <v>2011</v>
      </c>
      <c r="D277" s="11" t="s">
        <v>39</v>
      </c>
      <c r="E277" s="15">
        <v>1</v>
      </c>
      <c r="F277" s="26">
        <v>3.573</v>
      </c>
      <c r="G277" s="27">
        <v>0.472232125</v>
      </c>
      <c r="I277" s="27">
        <f>AVERAGE(F276:F277)</f>
        <v>2.8005</v>
      </c>
      <c r="J277" s="27">
        <f>AVERAGE(G276:G277)</f>
        <v>0.26534412499999999</v>
      </c>
      <c r="L277">
        <f>+J277/I277</f>
        <v>9.4748839492947684E-2</v>
      </c>
      <c r="M277">
        <f>+(L277-$L$619)/$L$620</f>
        <v>0.77282473947699493</v>
      </c>
      <c r="N277">
        <f>+N275+M277</f>
        <v>-11.048225579630689</v>
      </c>
    </row>
    <row r="278" spans="1:14">
      <c r="A278" s="15">
        <v>3</v>
      </c>
      <c r="B278" s="75">
        <v>40591</v>
      </c>
      <c r="C278" s="15">
        <v>2011</v>
      </c>
      <c r="D278" s="11" t="s">
        <v>28</v>
      </c>
      <c r="E278" s="15">
        <v>2</v>
      </c>
      <c r="F278" s="26">
        <v>3.3340000000000001</v>
      </c>
      <c r="G278" s="27">
        <v>0.12355012499999998</v>
      </c>
    </row>
    <row r="279" spans="1:14">
      <c r="A279" s="15">
        <v>4</v>
      </c>
      <c r="B279" s="75">
        <v>40591</v>
      </c>
      <c r="C279" s="15">
        <v>2011</v>
      </c>
      <c r="D279" s="11" t="s">
        <v>28</v>
      </c>
      <c r="E279" s="15">
        <v>2</v>
      </c>
      <c r="F279" s="26">
        <v>3.585</v>
      </c>
      <c r="G279" s="27">
        <v>6.6023625000000016E-2</v>
      </c>
      <c r="I279" s="27">
        <f>AVERAGE(F278:F279)</f>
        <v>3.4595000000000002</v>
      </c>
      <c r="J279" s="27">
        <f>AVERAGE(G278:G279)</f>
        <v>9.4786874999999993E-2</v>
      </c>
      <c r="L279">
        <f>+J279/I279</f>
        <v>2.7399009972539381E-2</v>
      </c>
      <c r="M279">
        <f>+(L279-$L$619)/$L$620</f>
        <v>-0.25154310282809234</v>
      </c>
      <c r="N279">
        <f>+N277+M279</f>
        <v>-11.299768682458781</v>
      </c>
    </row>
    <row r="280" spans="1:14">
      <c r="A280" s="15">
        <v>3</v>
      </c>
      <c r="B280" s="75">
        <v>40619</v>
      </c>
      <c r="C280" s="15">
        <v>2011</v>
      </c>
      <c r="D280" s="11" t="s">
        <v>29</v>
      </c>
      <c r="E280" s="15">
        <v>3</v>
      </c>
      <c r="F280" s="26">
        <v>1.425</v>
      </c>
      <c r="G280" s="27">
        <v>1.3918124999999998E-2</v>
      </c>
    </row>
    <row r="281" spans="1:14">
      <c r="A281" s="15">
        <v>4</v>
      </c>
      <c r="B281" s="75">
        <v>40619</v>
      </c>
      <c r="C281" s="15">
        <v>2011</v>
      </c>
      <c r="D281" s="11" t="s">
        <v>29</v>
      </c>
      <c r="E281" s="15">
        <v>3</v>
      </c>
      <c r="F281" s="26">
        <v>1.968</v>
      </c>
      <c r="G281" s="27">
        <v>0</v>
      </c>
      <c r="I281" s="27">
        <f>AVERAGE(F280:F281)</f>
        <v>1.6964999999999999</v>
      </c>
      <c r="J281" s="27">
        <f>AVERAGE(G280:G281)</f>
        <v>6.9590624999999991E-3</v>
      </c>
      <c r="L281">
        <f>+J281/I281</f>
        <v>4.102011494252873E-3</v>
      </c>
      <c r="M281">
        <f>+(L281-$L$619)/$L$620</f>
        <v>-0.60588247136585216</v>
      </c>
      <c r="N281">
        <f>+N279+M281</f>
        <v>-11.905651153824634</v>
      </c>
    </row>
    <row r="282" spans="1:14">
      <c r="A282" s="15">
        <v>3</v>
      </c>
      <c r="B282" s="75">
        <v>40646</v>
      </c>
      <c r="C282" s="15">
        <v>2011</v>
      </c>
      <c r="D282" s="11" t="s">
        <v>30</v>
      </c>
      <c r="E282" s="15">
        <v>4</v>
      </c>
      <c r="F282" s="26">
        <v>1.224</v>
      </c>
      <c r="G282" s="27">
        <v>1.9985375000000003E-2</v>
      </c>
    </row>
    <row r="283" spans="1:14">
      <c r="A283" s="15">
        <v>4</v>
      </c>
      <c r="B283" s="75">
        <v>40646</v>
      </c>
      <c r="C283" s="15">
        <v>2011</v>
      </c>
      <c r="D283" s="11" t="s">
        <v>30</v>
      </c>
      <c r="E283" s="15">
        <v>4</v>
      </c>
      <c r="F283" s="26">
        <v>2.0760000000000001</v>
      </c>
      <c r="G283" s="27">
        <v>6.4057874999999986E-2</v>
      </c>
      <c r="I283" s="27">
        <f>AVERAGE(F282:F283)</f>
        <v>1.65</v>
      </c>
      <c r="J283" s="27">
        <f>AVERAGE(G282:G283)</f>
        <v>4.2021624999999993E-2</v>
      </c>
      <c r="L283">
        <f>+J283/I283</f>
        <v>2.5467651515151513E-2</v>
      </c>
      <c r="M283">
        <f>+(L283-$L$619)/$L$620</f>
        <v>-0.28091840354971614</v>
      </c>
      <c r="N283">
        <f>+N281+M283</f>
        <v>-12.18656955737435</v>
      </c>
    </row>
    <row r="284" spans="1:14">
      <c r="A284" s="15">
        <v>3</v>
      </c>
      <c r="B284" s="75">
        <v>40681</v>
      </c>
      <c r="C284" s="15">
        <v>2011</v>
      </c>
      <c r="D284" s="11" t="s">
        <v>31</v>
      </c>
      <c r="E284" s="15">
        <v>5</v>
      </c>
      <c r="F284" s="26">
        <v>8.2690000000000001</v>
      </c>
      <c r="G284" s="27">
        <v>0.14795587499999999</v>
      </c>
    </row>
    <row r="285" spans="1:14">
      <c r="A285" s="15">
        <v>4</v>
      </c>
      <c r="B285" s="75">
        <v>40681</v>
      </c>
      <c r="C285" s="15">
        <v>2011</v>
      </c>
      <c r="D285" s="11" t="s">
        <v>31</v>
      </c>
      <c r="E285" s="15">
        <v>5</v>
      </c>
      <c r="F285" s="26">
        <v>9.657</v>
      </c>
      <c r="G285" s="27">
        <v>8.2091500000000012E-2</v>
      </c>
      <c r="I285" s="27">
        <f>AVERAGE(F284:F285)</f>
        <v>8.963000000000001</v>
      </c>
      <c r="J285" s="27">
        <f>AVERAGE(G284:G285)</f>
        <v>0.1150236875</v>
      </c>
      <c r="L285">
        <f>+J285/I285</f>
        <v>1.2833168303023539E-2</v>
      </c>
      <c r="M285">
        <f>+(L285-$L$619)/$L$620</f>
        <v>-0.47308456638648466</v>
      </c>
      <c r="N285">
        <f>+N283+M285</f>
        <v>-12.659654123760834</v>
      </c>
    </row>
    <row r="286" spans="1:14">
      <c r="A286" s="15">
        <v>3</v>
      </c>
      <c r="B286" s="75">
        <v>40708</v>
      </c>
      <c r="C286" s="15">
        <v>2011</v>
      </c>
      <c r="D286" s="11" t="s">
        <v>32</v>
      </c>
      <c r="E286" s="15">
        <v>6</v>
      </c>
      <c r="F286" s="26">
        <v>13.473000000000001</v>
      </c>
      <c r="G286" s="27">
        <v>0.29514224999999999</v>
      </c>
    </row>
    <row r="287" spans="1:14">
      <c r="A287" s="15">
        <v>4</v>
      </c>
      <c r="B287" s="75">
        <v>40708</v>
      </c>
      <c r="C287" s="15">
        <v>2011</v>
      </c>
      <c r="D287" s="11" t="s">
        <v>32</v>
      </c>
      <c r="E287" s="15">
        <v>6</v>
      </c>
      <c r="F287" s="26">
        <v>23.321999999999999</v>
      </c>
      <c r="G287" s="27">
        <v>0.27519599999999994</v>
      </c>
      <c r="I287" s="27">
        <f>AVERAGE(F286:F287)</f>
        <v>18.397500000000001</v>
      </c>
      <c r="J287" s="27">
        <f>AVERAGE(G286:G287)</f>
        <v>0.28516912499999997</v>
      </c>
      <c r="L287">
        <f>+J287/I287</f>
        <v>1.5500428047289032E-2</v>
      </c>
      <c r="M287">
        <f>+(L287-$L$619)/$L$620</f>
        <v>-0.4325164591090559</v>
      </c>
      <c r="N287">
        <f>+N285+M287</f>
        <v>-13.09217058286989</v>
      </c>
    </row>
    <row r="288" spans="1:14">
      <c r="A288" s="15">
        <v>3</v>
      </c>
      <c r="B288" s="75">
        <v>40735</v>
      </c>
      <c r="C288" s="15">
        <v>2011</v>
      </c>
      <c r="D288" s="11" t="s">
        <v>33</v>
      </c>
      <c r="E288" s="15">
        <v>7</v>
      </c>
      <c r="F288" s="26">
        <v>13.723000000000001</v>
      </c>
      <c r="G288" s="27">
        <v>0.23055674999999998</v>
      </c>
    </row>
    <row r="289" spans="1:14">
      <c r="A289" s="15">
        <v>4</v>
      </c>
      <c r="B289" s="75">
        <v>40735</v>
      </c>
      <c r="C289" s="15">
        <v>2011</v>
      </c>
      <c r="D289" s="11" t="s">
        <v>33</v>
      </c>
      <c r="E289" s="15">
        <v>7</v>
      </c>
      <c r="F289" s="26">
        <v>24.536000000000001</v>
      </c>
      <c r="G289" s="27">
        <v>0.17779362500000001</v>
      </c>
      <c r="I289" s="27">
        <f>AVERAGE(F288:F289)</f>
        <v>19.1295</v>
      </c>
      <c r="J289" s="27">
        <f>AVERAGE(G288:G289)</f>
        <v>0.20417518749999999</v>
      </c>
      <c r="L289">
        <f>+J289/I289</f>
        <v>1.0673315429049373E-2</v>
      </c>
      <c r="M289">
        <f>+(L289-$L$619)/$L$620</f>
        <v>-0.50593518893392453</v>
      </c>
      <c r="N289">
        <f>+N287+M289</f>
        <v>-13.598105771803816</v>
      </c>
    </row>
    <row r="290" spans="1:14">
      <c r="A290" s="15">
        <v>3</v>
      </c>
      <c r="B290" s="75">
        <v>40771</v>
      </c>
      <c r="C290" s="15">
        <v>2011</v>
      </c>
      <c r="D290" s="11" t="s">
        <v>34</v>
      </c>
      <c r="E290" s="15">
        <v>8</v>
      </c>
      <c r="F290" s="26">
        <v>25.713000000000001</v>
      </c>
      <c r="G290" s="27">
        <v>0.55253062500000005</v>
      </c>
      <c r="I290" s="27"/>
      <c r="J290" s="27"/>
    </row>
    <row r="291" spans="1:14">
      <c r="A291" s="15">
        <v>4</v>
      </c>
      <c r="B291" s="75">
        <v>40771</v>
      </c>
      <c r="C291" s="15">
        <v>2011</v>
      </c>
      <c r="D291" s="11" t="s">
        <v>34</v>
      </c>
      <c r="E291" s="15">
        <v>8</v>
      </c>
      <c r="F291" s="26">
        <v>36.332999999999998</v>
      </c>
      <c r="G291" s="27">
        <v>0.306757</v>
      </c>
      <c r="I291" s="27">
        <f>AVERAGE(F290:F291)</f>
        <v>31.023</v>
      </c>
      <c r="J291" s="27">
        <f>AVERAGE(G290:G291)</f>
        <v>0.42964381250000006</v>
      </c>
      <c r="L291">
        <f>+J291/I291</f>
        <v>1.3849202607742644E-2</v>
      </c>
      <c r="M291">
        <f>+(L291-$L$619)/$L$620</f>
        <v>-0.45763103256398729</v>
      </c>
      <c r="N291">
        <f>+N289+M291</f>
        <v>-14.055736804367804</v>
      </c>
    </row>
    <row r="292" spans="1:14">
      <c r="A292" s="15">
        <v>3</v>
      </c>
      <c r="B292" s="75">
        <v>40799</v>
      </c>
      <c r="C292" s="15">
        <v>2011</v>
      </c>
      <c r="D292" s="11" t="s">
        <v>40</v>
      </c>
      <c r="E292" s="15">
        <v>9</v>
      </c>
      <c r="F292" s="26">
        <v>12.509</v>
      </c>
      <c r="G292" s="27">
        <v>0.28372262499999995</v>
      </c>
    </row>
    <row r="293" spans="1:14">
      <c r="A293" s="15">
        <v>4</v>
      </c>
      <c r="B293" s="75">
        <v>40799</v>
      </c>
      <c r="C293" s="15">
        <v>2011</v>
      </c>
      <c r="D293" s="11" t="s">
        <v>40</v>
      </c>
      <c r="E293" s="15">
        <v>9</v>
      </c>
      <c r="F293" s="26">
        <v>13.537000000000001</v>
      </c>
      <c r="G293" s="27">
        <v>0.33295412499999999</v>
      </c>
      <c r="I293" s="27">
        <f>AVERAGE(F292:F293)</f>
        <v>13.023</v>
      </c>
      <c r="J293" s="27">
        <f>AVERAGE(G292:G293)</f>
        <v>0.30833837499999994</v>
      </c>
      <c r="L293">
        <f>+J293/I293</f>
        <v>2.3676447439146122E-2</v>
      </c>
      <c r="M293">
        <f>+(L293-$L$619)/$L$620</f>
        <v>-0.30816200412794365</v>
      </c>
      <c r="N293">
        <f>+N291+M293</f>
        <v>-14.363898808495748</v>
      </c>
    </row>
    <row r="294" spans="1:14">
      <c r="A294" s="15">
        <v>3</v>
      </c>
      <c r="B294" s="75">
        <v>40827</v>
      </c>
      <c r="C294" s="15">
        <v>2011</v>
      </c>
      <c r="D294" s="11" t="s">
        <v>36</v>
      </c>
      <c r="E294" s="15">
        <v>10</v>
      </c>
      <c r="F294" s="28">
        <v>6.3570000000000002</v>
      </c>
      <c r="G294" s="27">
        <v>0.47409424999999999</v>
      </c>
    </row>
    <row r="295" spans="1:14">
      <c r="A295" s="15">
        <v>4</v>
      </c>
      <c r="B295" s="75">
        <v>40827</v>
      </c>
      <c r="C295" s="15">
        <v>2011</v>
      </c>
      <c r="D295" s="11" t="s">
        <v>36</v>
      </c>
      <c r="E295" s="15">
        <v>10</v>
      </c>
      <c r="F295" s="28">
        <v>7.4740000000000002</v>
      </c>
      <c r="G295" s="27">
        <v>1.1062578750000001</v>
      </c>
      <c r="I295" s="27">
        <f>AVERAGE(F294:F295)</f>
        <v>6.9154999999999998</v>
      </c>
      <c r="J295" s="27">
        <f>AVERAGE(G294:G295)</f>
        <v>0.79017606250000005</v>
      </c>
      <c r="L295">
        <f>+J295/I295</f>
        <v>0.11426159532933267</v>
      </c>
      <c r="M295">
        <f>+(L295-$L$619)/$L$620</f>
        <v>1.0696070733875338</v>
      </c>
      <c r="N295">
        <f>+N293+M295</f>
        <v>-13.294291735108214</v>
      </c>
    </row>
    <row r="296" spans="1:14">
      <c r="A296" s="15">
        <v>3</v>
      </c>
      <c r="B296" s="76">
        <v>40862</v>
      </c>
      <c r="C296" s="15">
        <v>2011</v>
      </c>
      <c r="D296" s="11" t="s">
        <v>37</v>
      </c>
      <c r="E296" s="15">
        <v>11</v>
      </c>
      <c r="F296" s="28">
        <v>4.6079999999999997</v>
      </c>
      <c r="G296" s="27">
        <v>0.35183624999999996</v>
      </c>
    </row>
    <row r="297" spans="1:14">
      <c r="A297" s="15">
        <v>4</v>
      </c>
      <c r="B297" s="76">
        <v>40862</v>
      </c>
      <c r="C297" s="15">
        <v>2011</v>
      </c>
      <c r="D297" s="11" t="s">
        <v>37</v>
      </c>
      <c r="E297" s="15">
        <v>11</v>
      </c>
      <c r="F297" s="28">
        <v>6.5940000000000003</v>
      </c>
      <c r="G297" s="27">
        <v>0.17171025000000001</v>
      </c>
      <c r="I297" s="27">
        <f>AVERAGE(F296:F297)</f>
        <v>5.601</v>
      </c>
      <c r="J297" s="27">
        <f>AVERAGE(G296:G297)</f>
        <v>0.26177324999999996</v>
      </c>
      <c r="L297">
        <f>+J297/I297</f>
        <v>4.673687734333154E-2</v>
      </c>
      <c r="M297">
        <f>+(L297-$L$619)/$L$620</f>
        <v>4.2579237413285377E-2</v>
      </c>
      <c r="N297">
        <f>+N295+M297</f>
        <v>-13.251712497694928</v>
      </c>
    </row>
    <row r="298" spans="1:14">
      <c r="A298" s="15">
        <v>3</v>
      </c>
      <c r="B298" s="76">
        <v>40890</v>
      </c>
      <c r="C298" s="15">
        <v>2011</v>
      </c>
      <c r="D298" s="11" t="s">
        <v>38</v>
      </c>
      <c r="E298" s="15">
        <v>12</v>
      </c>
      <c r="F298" s="28">
        <v>5.1929999999999996</v>
      </c>
      <c r="G298" s="27">
        <v>0.79110699999999989</v>
      </c>
    </row>
    <row r="299" spans="1:14">
      <c r="A299" s="15">
        <v>4</v>
      </c>
      <c r="B299" s="76">
        <v>40890</v>
      </c>
      <c r="C299" s="15">
        <v>2011</v>
      </c>
      <c r="D299" s="11" t="s">
        <v>38</v>
      </c>
      <c r="E299" s="15">
        <v>12</v>
      </c>
      <c r="F299" s="28">
        <v>10.423999999999999</v>
      </c>
      <c r="G299" s="27">
        <v>0.42844274999999993</v>
      </c>
      <c r="I299" s="27">
        <f>AVERAGE(F298:F299)</f>
        <v>7.8084999999999996</v>
      </c>
      <c r="J299" s="27">
        <f>AVERAGE(G298:G299)</f>
        <v>0.60977487499999994</v>
      </c>
      <c r="L299">
        <f>+J299/I299</f>
        <v>7.80911666773388E-2</v>
      </c>
      <c r="M299">
        <f>+(L299-$L$619)/$L$620</f>
        <v>0.51946724055743521</v>
      </c>
      <c r="N299">
        <f>+N297+M299</f>
        <v>-12.732245257137492</v>
      </c>
    </row>
    <row r="300" spans="1:14">
      <c r="A300" s="15">
        <v>3</v>
      </c>
      <c r="B300" s="75">
        <v>40917</v>
      </c>
      <c r="C300" s="15">
        <v>2012</v>
      </c>
      <c r="D300" s="11" t="s">
        <v>39</v>
      </c>
      <c r="E300" s="15">
        <v>1</v>
      </c>
      <c r="F300" s="30">
        <v>6.7110000000000003</v>
      </c>
      <c r="G300" s="27">
        <v>0.18830062500000003</v>
      </c>
    </row>
    <row r="301" spans="1:14">
      <c r="A301" s="15">
        <v>4</v>
      </c>
      <c r="B301" s="75">
        <v>40917</v>
      </c>
      <c r="C301" s="15">
        <v>2012</v>
      </c>
      <c r="D301" s="11" t="s">
        <v>39</v>
      </c>
      <c r="E301" s="15">
        <v>1</v>
      </c>
      <c r="F301" s="30">
        <v>9.3879999999999999</v>
      </c>
      <c r="G301" s="27">
        <v>0.3634135</v>
      </c>
      <c r="I301" s="27">
        <f>AVERAGE(F300:F301)</f>
        <v>8.0495000000000001</v>
      </c>
      <c r="J301" s="27">
        <f>AVERAGE(G300:G301)</f>
        <v>0.27585706250000003</v>
      </c>
      <c r="L301">
        <f>+J301/I301</f>
        <v>3.427008665134481E-2</v>
      </c>
      <c r="M301">
        <f>+(L301-$L$619)/$L$620</f>
        <v>-0.14703637962030874</v>
      </c>
      <c r="N301">
        <f>+N299+M301</f>
        <v>-12.879281636757801</v>
      </c>
    </row>
    <row r="302" spans="1:14">
      <c r="A302" s="15">
        <v>3</v>
      </c>
      <c r="B302" s="75">
        <v>40962</v>
      </c>
      <c r="C302" s="15">
        <v>2012</v>
      </c>
      <c r="D302" s="11" t="s">
        <v>28</v>
      </c>
      <c r="E302" s="15">
        <v>2</v>
      </c>
      <c r="F302" s="30">
        <v>2.6509999999999998</v>
      </c>
      <c r="G302" s="27">
        <v>0.22802949999999997</v>
      </c>
    </row>
    <row r="303" spans="1:14">
      <c r="A303" s="15">
        <v>4</v>
      </c>
      <c r="B303" s="75">
        <v>40962</v>
      </c>
      <c r="C303" s="15">
        <v>2012</v>
      </c>
      <c r="D303" s="11" t="s">
        <v>28</v>
      </c>
      <c r="E303" s="15">
        <v>2</v>
      </c>
      <c r="F303" s="30">
        <v>6.0960000000000001</v>
      </c>
      <c r="G303" s="27">
        <v>0.29854362499999998</v>
      </c>
      <c r="I303" s="27">
        <f>AVERAGE(F302:F303)</f>
        <v>4.3734999999999999</v>
      </c>
      <c r="J303" s="27">
        <f>AVERAGE(G302:G303)</f>
        <v>0.26328656249999999</v>
      </c>
      <c r="L303">
        <f>+J303/I303</f>
        <v>6.0200425860294955E-2</v>
      </c>
      <c r="M303">
        <f>+(L303-$L$619)/$L$620</f>
        <v>0.24735519961394009</v>
      </c>
      <c r="N303">
        <f>+N301+M303</f>
        <v>-12.631926437143861</v>
      </c>
    </row>
    <row r="304" spans="1:14">
      <c r="A304" s="15">
        <v>3</v>
      </c>
      <c r="B304" s="75">
        <v>40980</v>
      </c>
      <c r="C304" s="15">
        <v>2012</v>
      </c>
      <c r="D304" s="11" t="s">
        <v>29</v>
      </c>
      <c r="E304" s="15">
        <v>3</v>
      </c>
      <c r="F304" s="30">
        <v>6.5469999999999997</v>
      </c>
      <c r="G304" s="27">
        <v>0.42439512499999998</v>
      </c>
    </row>
    <row r="305" spans="1:14">
      <c r="A305" s="15">
        <v>4</v>
      </c>
      <c r="B305" s="75">
        <v>40980</v>
      </c>
      <c r="C305" s="15">
        <v>2012</v>
      </c>
      <c r="D305" s="11" t="s">
        <v>29</v>
      </c>
      <c r="E305" s="15">
        <v>3</v>
      </c>
      <c r="F305" s="30">
        <v>15.337</v>
      </c>
      <c r="G305" s="27">
        <v>0.56647712499999991</v>
      </c>
      <c r="I305" s="27">
        <f>AVERAGE(F304:F305)</f>
        <v>10.942</v>
      </c>
      <c r="J305" s="27">
        <f>AVERAGE(G304:G305)</f>
        <v>0.49543612499999995</v>
      </c>
      <c r="L305">
        <f>+J305/I305</f>
        <v>4.5278388320233953E-2</v>
      </c>
      <c r="M305">
        <f>+(L305-$L$619)/$L$620</f>
        <v>2.0396118847804678E-2</v>
      </c>
      <c r="N305">
        <f>+N303+M305</f>
        <v>-12.611530318296056</v>
      </c>
    </row>
    <row r="306" spans="1:14">
      <c r="A306" s="15">
        <v>3</v>
      </c>
      <c r="B306" s="75">
        <v>41015</v>
      </c>
      <c r="C306" s="15">
        <v>2012</v>
      </c>
      <c r="D306" s="11" t="s">
        <v>30</v>
      </c>
      <c r="E306" s="15">
        <v>4</v>
      </c>
      <c r="F306" s="26">
        <v>2.4620000000000002</v>
      </c>
      <c r="G306" s="27">
        <v>1.2205124999999999E-2</v>
      </c>
    </row>
    <row r="307" spans="1:14">
      <c r="A307" s="15">
        <v>4</v>
      </c>
      <c r="B307" s="75">
        <v>41015</v>
      </c>
      <c r="C307" s="15">
        <v>2012</v>
      </c>
      <c r="D307" s="11" t="s">
        <v>30</v>
      </c>
      <c r="E307" s="15">
        <v>4</v>
      </c>
      <c r="F307" s="26">
        <v>5.9409999999999998</v>
      </c>
      <c r="G307" s="27">
        <v>0.12113249999999999</v>
      </c>
      <c r="I307" s="27">
        <f>AVERAGE(F306:F307)</f>
        <v>4.2015000000000002</v>
      </c>
      <c r="J307" s="27">
        <f>AVERAGE(G306:G307)</f>
        <v>6.6668812499999994E-2</v>
      </c>
      <c r="L307">
        <f>+J307/I307</f>
        <v>1.5867859692966797E-2</v>
      </c>
      <c r="M307">
        <f>+(L307-$L$619)/$L$620</f>
        <v>-0.42692794960936242</v>
      </c>
      <c r="N307">
        <f>+N305+M307</f>
        <v>-13.038458267905419</v>
      </c>
    </row>
    <row r="308" spans="1:14">
      <c r="A308" s="15">
        <v>3</v>
      </c>
      <c r="B308" s="75">
        <v>41045</v>
      </c>
      <c r="C308" s="15">
        <v>2012</v>
      </c>
      <c r="D308" s="11" t="s">
        <v>31</v>
      </c>
      <c r="E308" s="15">
        <v>5</v>
      </c>
      <c r="F308" s="26">
        <v>12.733000000000001</v>
      </c>
      <c r="G308" s="27">
        <v>0.12536375</v>
      </c>
      <c r="I308" s="27"/>
      <c r="J308" s="27"/>
    </row>
    <row r="309" spans="1:14">
      <c r="A309" s="15">
        <v>4</v>
      </c>
      <c r="B309" s="75">
        <v>41045</v>
      </c>
      <c r="C309" s="15">
        <v>2012</v>
      </c>
      <c r="D309" s="11" t="s">
        <v>31</v>
      </c>
      <c r="E309" s="15">
        <v>5</v>
      </c>
      <c r="F309" s="26">
        <v>10.210000000000001</v>
      </c>
      <c r="G309" s="27">
        <v>0.38488112499999988</v>
      </c>
      <c r="I309" s="27">
        <f>AVERAGE(F308:F309)</f>
        <v>11.471500000000001</v>
      </c>
      <c r="J309" s="27">
        <f>AVERAGE(G308:G309)</f>
        <v>0.25512243749999997</v>
      </c>
      <c r="L309">
        <f>+J309/I309</f>
        <v>2.2239675500152548E-2</v>
      </c>
      <c r="M309">
        <f>+(L309-$L$619)/$L$620</f>
        <v>-0.33001481328145998</v>
      </c>
      <c r="N309">
        <f>+N307+M309</f>
        <v>-13.368473081186879</v>
      </c>
    </row>
    <row r="310" spans="1:14">
      <c r="A310" s="15">
        <v>3</v>
      </c>
      <c r="B310" s="75">
        <v>41073</v>
      </c>
      <c r="C310" s="15">
        <v>2012</v>
      </c>
      <c r="D310" s="11" t="s">
        <v>32</v>
      </c>
      <c r="E310" s="15">
        <v>6</v>
      </c>
      <c r="F310" s="26">
        <v>22.74</v>
      </c>
      <c r="G310" s="27">
        <v>0.39296862499999996</v>
      </c>
    </row>
    <row r="311" spans="1:14">
      <c r="A311" s="15">
        <v>4</v>
      </c>
      <c r="B311" s="75">
        <v>41073</v>
      </c>
      <c r="C311" s="15">
        <v>2012</v>
      </c>
      <c r="D311" s="11" t="s">
        <v>32</v>
      </c>
      <c r="E311" s="15">
        <v>6</v>
      </c>
      <c r="F311" s="26">
        <v>24.302</v>
      </c>
      <c r="G311" s="27">
        <v>0.21859950000000003</v>
      </c>
      <c r="I311" s="27">
        <f>AVERAGE(F310:F311)</f>
        <v>23.521000000000001</v>
      </c>
      <c r="J311" s="27">
        <f>AVERAGE(G310:G311)</f>
        <v>0.30578406250000001</v>
      </c>
      <c r="L311">
        <f>+J311/I311</f>
        <v>1.3000470324390969E-2</v>
      </c>
      <c r="M311">
        <f>+(L311-$L$619)/$L$620</f>
        <v>-0.47053995993592929</v>
      </c>
      <c r="N311">
        <f>+N309+M311</f>
        <v>-13.839013041122808</v>
      </c>
    </row>
    <row r="312" spans="1:14">
      <c r="A312" s="15">
        <v>3</v>
      </c>
      <c r="B312" s="75">
        <v>41107</v>
      </c>
      <c r="C312" s="15">
        <v>2012</v>
      </c>
      <c r="D312" s="11" t="s">
        <v>33</v>
      </c>
      <c r="E312" s="15">
        <v>7</v>
      </c>
      <c r="F312" s="26">
        <v>27.895</v>
      </c>
      <c r="G312" s="27">
        <v>7.345587499999999E-2</v>
      </c>
    </row>
    <row r="313" spans="1:14">
      <c r="A313" s="15">
        <v>4</v>
      </c>
      <c r="B313" s="75">
        <v>41107</v>
      </c>
      <c r="C313" s="15">
        <v>2012</v>
      </c>
      <c r="D313" s="11" t="s">
        <v>33</v>
      </c>
      <c r="E313" s="15">
        <v>7</v>
      </c>
      <c r="F313" s="26">
        <v>43.258000000000003</v>
      </c>
      <c r="G313" s="27">
        <v>0.20906862499999998</v>
      </c>
      <c r="I313" s="27">
        <f>AVERAGE(F312:F313)</f>
        <v>35.576500000000003</v>
      </c>
      <c r="J313" s="27">
        <f>AVERAGE(G312:G313)</f>
        <v>0.14126224999999998</v>
      </c>
      <c r="L313">
        <f>+J313/I313</f>
        <v>3.9706618132756165E-3</v>
      </c>
      <c r="M313">
        <f>+(L313-$L$619)/$L$620</f>
        <v>-0.6078802550313529</v>
      </c>
      <c r="N313">
        <f>+N311+M313</f>
        <v>-14.44689329615416</v>
      </c>
    </row>
    <row r="314" spans="1:14">
      <c r="A314" s="15">
        <v>3</v>
      </c>
      <c r="B314" s="75">
        <v>41135</v>
      </c>
      <c r="C314" s="15">
        <v>2012</v>
      </c>
      <c r="D314" s="11" t="s">
        <v>34</v>
      </c>
      <c r="E314" s="15">
        <v>8</v>
      </c>
      <c r="F314" s="26">
        <v>19.334</v>
      </c>
      <c r="G314" s="27">
        <v>0.50147724999999999</v>
      </c>
    </row>
    <row r="315" spans="1:14">
      <c r="A315" s="15">
        <v>4</v>
      </c>
      <c r="B315" s="75">
        <v>41135</v>
      </c>
      <c r="C315" s="15">
        <v>2012</v>
      </c>
      <c r="D315" s="11" t="s">
        <v>34</v>
      </c>
      <c r="E315" s="15">
        <v>8</v>
      </c>
      <c r="F315" s="26">
        <v>33.441000000000003</v>
      </c>
      <c r="G315" s="27">
        <v>0.73647099999999999</v>
      </c>
      <c r="I315" s="27">
        <f>AVERAGE(F314:F315)</f>
        <v>26.387500000000003</v>
      </c>
      <c r="J315" s="27">
        <f>AVERAGE(G314:G315)</f>
        <v>0.61897412500000004</v>
      </c>
      <c r="L315">
        <f>+J315/I315</f>
        <v>2.3457096162955944E-2</v>
      </c>
      <c r="M315">
        <f>+(L315-$L$619)/$L$620</f>
        <v>-0.31149826191950514</v>
      </c>
      <c r="N315">
        <f>+N313+M315</f>
        <v>-14.758391558073665</v>
      </c>
    </row>
    <row r="316" spans="1:14">
      <c r="A316" s="15">
        <v>3</v>
      </c>
      <c r="B316" s="75">
        <v>41164</v>
      </c>
      <c r="C316" s="15">
        <v>2012</v>
      </c>
      <c r="D316" s="11" t="s">
        <v>40</v>
      </c>
      <c r="E316" s="15">
        <v>9</v>
      </c>
      <c r="F316" s="26">
        <v>19.472000000000001</v>
      </c>
      <c r="G316" s="27">
        <v>0</v>
      </c>
    </row>
    <row r="317" spans="1:14">
      <c r="A317" s="15">
        <v>4</v>
      </c>
      <c r="B317" s="75">
        <v>41164</v>
      </c>
      <c r="C317" s="15">
        <v>2012</v>
      </c>
      <c r="D317" s="11" t="s">
        <v>40</v>
      </c>
      <c r="E317" s="15">
        <v>9</v>
      </c>
      <c r="F317" s="26">
        <v>18.593</v>
      </c>
      <c r="G317" s="27">
        <v>0</v>
      </c>
      <c r="I317" s="27"/>
      <c r="J317" s="27"/>
    </row>
    <row r="318" spans="1:14">
      <c r="A318" s="15">
        <v>4</v>
      </c>
      <c r="B318" s="75">
        <v>41164</v>
      </c>
      <c r="C318" s="15">
        <v>2012</v>
      </c>
      <c r="D318" s="11" t="s">
        <v>40</v>
      </c>
      <c r="E318" s="15">
        <v>9</v>
      </c>
      <c r="F318" s="26">
        <v>18.593</v>
      </c>
      <c r="G318" s="27">
        <v>0</v>
      </c>
      <c r="H318" t="s">
        <v>13</v>
      </c>
      <c r="I318" s="27">
        <f>AVERAGE(F316:F318)</f>
        <v>18.885999999999999</v>
      </c>
      <c r="J318" s="27">
        <f>AVERAGE(G316:G318)</f>
        <v>0</v>
      </c>
      <c r="L318">
        <f>+J318/I318</f>
        <v>0</v>
      </c>
      <c r="M318">
        <f>+(L318-$L$619)/$L$620</f>
        <v>-0.66827266141384922</v>
      </c>
      <c r="N318">
        <f>+N315+M318</f>
        <v>-15.426664219487515</v>
      </c>
    </row>
    <row r="319" spans="1:14">
      <c r="A319" s="15">
        <v>3</v>
      </c>
      <c r="B319" s="75">
        <v>41199</v>
      </c>
      <c r="C319" s="15">
        <v>2012</v>
      </c>
      <c r="D319" s="11" t="s">
        <v>36</v>
      </c>
      <c r="E319" s="15">
        <v>10</v>
      </c>
      <c r="F319" s="26">
        <v>6.8479999999999999</v>
      </c>
      <c r="G319" s="27">
        <v>0.23888724999999997</v>
      </c>
      <c r="I319" s="27"/>
      <c r="J319" s="27"/>
    </row>
    <row r="320" spans="1:14">
      <c r="A320" s="15">
        <v>4</v>
      </c>
      <c r="B320" s="75">
        <v>41199</v>
      </c>
      <c r="C320" s="15">
        <v>2012</v>
      </c>
      <c r="D320" s="11" t="s">
        <v>36</v>
      </c>
      <c r="E320" s="15">
        <v>10</v>
      </c>
      <c r="F320" s="26">
        <v>7.2439999999999998</v>
      </c>
      <c r="G320" s="27">
        <v>0.13697099999999998</v>
      </c>
      <c r="I320" s="27">
        <f>AVERAGE(F319:F320)</f>
        <v>7.0459999999999994</v>
      </c>
      <c r="J320" s="27">
        <f>AVERAGE(G319:G320)</f>
        <v>0.18792912499999997</v>
      </c>
      <c r="L320">
        <f>+J320/I320</f>
        <v>2.6671746380925346E-2</v>
      </c>
      <c r="M320">
        <f>+(L320-$L$619)/$L$620</f>
        <v>-0.26260453299701308</v>
      </c>
      <c r="N320">
        <f>+N318+M320</f>
        <v>-15.689268752484528</v>
      </c>
    </row>
    <row r="321" spans="1:14">
      <c r="A321" s="15">
        <v>3</v>
      </c>
      <c r="B321" s="75">
        <v>41225</v>
      </c>
      <c r="C321" s="15">
        <v>2012</v>
      </c>
      <c r="D321" s="11" t="s">
        <v>37</v>
      </c>
      <c r="E321" s="15">
        <v>11</v>
      </c>
      <c r="F321" s="26">
        <v>4.1420000000000003</v>
      </c>
      <c r="G321" s="27">
        <v>7.2264250000000002E-2</v>
      </c>
    </row>
    <row r="322" spans="1:14">
      <c r="A322" s="15">
        <v>4</v>
      </c>
      <c r="B322" s="75">
        <v>41225</v>
      </c>
      <c r="C322" s="15">
        <v>2012</v>
      </c>
      <c r="D322" s="11" t="s">
        <v>37</v>
      </c>
      <c r="E322" s="15">
        <v>11</v>
      </c>
      <c r="F322" s="26">
        <v>9.0389999999999997</v>
      </c>
      <c r="G322" s="27">
        <v>0.22180937499999998</v>
      </c>
      <c r="I322" s="27">
        <f>AVERAGE(F321:F322)</f>
        <v>6.5905000000000005</v>
      </c>
      <c r="J322" s="27">
        <f>AVERAGE(G321:G322)</f>
        <v>0.1470368125</v>
      </c>
      <c r="L322">
        <f>+J322/I322</f>
        <v>2.2310418405280325E-2</v>
      </c>
      <c r="M322">
        <f>+(L322-$L$619)/$L$620</f>
        <v>-0.32893883792116341</v>
      </c>
      <c r="N322">
        <f>+N320+M322</f>
        <v>-16.018207590405691</v>
      </c>
    </row>
    <row r="323" spans="1:14">
      <c r="A323" s="15">
        <v>3</v>
      </c>
      <c r="B323" s="75">
        <v>41254</v>
      </c>
      <c r="C323" s="15">
        <v>2012</v>
      </c>
      <c r="D323" s="11" t="s">
        <v>38</v>
      </c>
      <c r="E323" s="15">
        <v>12</v>
      </c>
      <c r="F323" s="26">
        <v>3.298</v>
      </c>
      <c r="G323" s="27">
        <v>0.27782562499999996</v>
      </c>
    </row>
    <row r="324" spans="1:14">
      <c r="A324" s="15">
        <v>4</v>
      </c>
      <c r="B324" s="75">
        <v>41254</v>
      </c>
      <c r="C324" s="15">
        <v>2012</v>
      </c>
      <c r="D324" s="11" t="s">
        <v>38</v>
      </c>
      <c r="E324" s="15">
        <v>12</v>
      </c>
      <c r="F324" s="26">
        <v>3.2759999999999998</v>
      </c>
      <c r="G324" s="27">
        <v>0.39074774999999995</v>
      </c>
      <c r="I324" s="27">
        <f>AVERAGE(F323:F324)</f>
        <v>3.2869999999999999</v>
      </c>
      <c r="J324" s="27">
        <f>AVERAGE(G323:G324)</f>
        <v>0.33428668749999996</v>
      </c>
      <c r="L324">
        <f>+J324/I324</f>
        <v>0.10169963112260419</v>
      </c>
      <c r="M324">
        <f>+(L324-$L$619)/$L$620</f>
        <v>0.87854389978794933</v>
      </c>
      <c r="N324">
        <f>+N322+M324</f>
        <v>-15.139663690617741</v>
      </c>
    </row>
    <row r="325" spans="1:14">
      <c r="A325" s="15">
        <v>3</v>
      </c>
      <c r="B325" s="75">
        <v>41288</v>
      </c>
      <c r="C325" s="15">
        <v>2013</v>
      </c>
      <c r="D325" s="11" t="s">
        <v>39</v>
      </c>
      <c r="E325" s="15">
        <v>1</v>
      </c>
      <c r="F325" s="26">
        <v>6.7839999999999998</v>
      </c>
      <c r="G325" s="27">
        <v>0.16767687499999995</v>
      </c>
      <c r="I325" s="27"/>
      <c r="J325" s="27"/>
    </row>
    <row r="326" spans="1:14">
      <c r="A326" s="15">
        <v>4</v>
      </c>
      <c r="B326" s="75">
        <v>41288</v>
      </c>
      <c r="C326" s="15">
        <v>2013</v>
      </c>
      <c r="D326" s="11" t="s">
        <v>39</v>
      </c>
      <c r="E326" s="15">
        <v>1</v>
      </c>
      <c r="F326" s="26">
        <v>9.7349999999999994</v>
      </c>
      <c r="G326" s="27">
        <v>0.8270377499999999</v>
      </c>
      <c r="I326" s="27">
        <f>AVERAGE(F325:F326)</f>
        <v>8.2594999999999992</v>
      </c>
      <c r="J326" s="27">
        <f>AVERAGE(G325:G326)</f>
        <v>0.49735731249999993</v>
      </c>
      <c r="L326">
        <f>+J326/I326</f>
        <v>6.021639475755191E-2</v>
      </c>
      <c r="M326">
        <f>+(L326-$L$619)/$L$620</f>
        <v>0.2475980810724914</v>
      </c>
      <c r="N326">
        <f>+N324+M326</f>
        <v>-14.89206560954525</v>
      </c>
    </row>
    <row r="327" spans="1:14">
      <c r="A327" s="15">
        <v>3</v>
      </c>
      <c r="B327" s="75">
        <v>41318</v>
      </c>
      <c r="C327" s="15">
        <v>2013</v>
      </c>
      <c r="D327" s="11" t="s">
        <v>28</v>
      </c>
      <c r="E327" s="15">
        <v>2</v>
      </c>
      <c r="F327" s="31">
        <v>16.471</v>
      </c>
      <c r="G327" s="27">
        <v>0.47085987500000004</v>
      </c>
    </row>
    <row r="328" spans="1:14">
      <c r="A328" s="15">
        <v>4</v>
      </c>
      <c r="B328" s="75">
        <v>41318</v>
      </c>
      <c r="C328" s="15">
        <v>2013</v>
      </c>
      <c r="D328" s="11" t="s">
        <v>28</v>
      </c>
      <c r="E328" s="15">
        <v>2</v>
      </c>
      <c r="F328" s="31">
        <v>18.884</v>
      </c>
      <c r="G328" s="27">
        <v>3.8428241249999995</v>
      </c>
      <c r="I328" s="27">
        <f>AVERAGE(F327:F328)</f>
        <v>17.677500000000002</v>
      </c>
      <c r="J328" s="27">
        <f>AVERAGE(G327:G328)</f>
        <v>2.1568419999999997</v>
      </c>
      <c r="L328">
        <f>+J328/I328</f>
        <v>0.12201057841889404</v>
      </c>
      <c r="M328">
        <f>+(L328-$L$619)/$L$620</f>
        <v>1.187466452454073</v>
      </c>
      <c r="N328">
        <f>+N326+M328</f>
        <v>-13.704599157091177</v>
      </c>
    </row>
    <row r="329" spans="1:14">
      <c r="A329" s="15">
        <v>3</v>
      </c>
      <c r="B329" s="75">
        <v>41344</v>
      </c>
      <c r="C329" s="15">
        <v>2013</v>
      </c>
      <c r="D329" s="11" t="s">
        <v>29</v>
      </c>
      <c r="E329" s="15">
        <v>3</v>
      </c>
      <c r="F329" s="31">
        <v>9.0809999999999995</v>
      </c>
      <c r="G329" s="27">
        <v>0</v>
      </c>
    </row>
    <row r="330" spans="1:14">
      <c r="A330" s="15">
        <v>4</v>
      </c>
      <c r="B330" s="75">
        <v>41344</v>
      </c>
      <c r="C330" s="15">
        <v>2013</v>
      </c>
      <c r="D330" s="11" t="s">
        <v>29</v>
      </c>
      <c r="E330" s="15">
        <v>3</v>
      </c>
      <c r="F330" s="31">
        <v>11.224</v>
      </c>
      <c r="G330" s="27">
        <v>0.25331962499999999</v>
      </c>
      <c r="I330" s="27">
        <f>AVERAGE(F329:F330)</f>
        <v>10.1525</v>
      </c>
      <c r="J330" s="27">
        <f>AVERAGE(G329:G330)</f>
        <v>0.1266598125</v>
      </c>
      <c r="L330">
        <f>+J330/I330</f>
        <v>1.2475726422063531E-2</v>
      </c>
      <c r="M330">
        <f>+(L330-$L$619)/$L$620</f>
        <v>-0.47852113498592741</v>
      </c>
      <c r="N330">
        <f>+N328+M330</f>
        <v>-14.183120292077104</v>
      </c>
    </row>
    <row r="331" spans="1:14">
      <c r="A331" s="15">
        <v>3</v>
      </c>
      <c r="B331" s="75">
        <v>41379</v>
      </c>
      <c r="C331" s="15">
        <v>2013</v>
      </c>
      <c r="D331" s="11" t="s">
        <v>30</v>
      </c>
      <c r="E331" s="15">
        <v>4</v>
      </c>
      <c r="F331" s="32">
        <v>2.968</v>
      </c>
      <c r="G331" s="27">
        <v>4.6834874999999991E-2</v>
      </c>
    </row>
    <row r="332" spans="1:14">
      <c r="A332" s="15">
        <v>4</v>
      </c>
      <c r="B332" s="75">
        <v>41379</v>
      </c>
      <c r="C332" s="15">
        <v>2013</v>
      </c>
      <c r="D332" s="11" t="s">
        <v>30</v>
      </c>
      <c r="E332" s="15">
        <v>4</v>
      </c>
      <c r="F332" s="32">
        <v>7.63</v>
      </c>
      <c r="G332" s="27">
        <v>7.3008500000000004E-2</v>
      </c>
      <c r="I332" s="27">
        <f>AVERAGE(F331:F332)</f>
        <v>5.2989999999999995</v>
      </c>
      <c r="J332" s="27">
        <f>AVERAGE(G331:G332)</f>
        <v>5.9921687500000001E-2</v>
      </c>
      <c r="L332">
        <f>+J332/I332</f>
        <v>1.1308112379694283E-2</v>
      </c>
      <c r="M332">
        <f>+(L332-$L$619)/$L$620</f>
        <v>-0.49628014470791154</v>
      </c>
      <c r="N332">
        <f>+N330+M332</f>
        <v>-14.679400436785016</v>
      </c>
    </row>
    <row r="333" spans="1:14">
      <c r="A333" s="15">
        <v>3</v>
      </c>
      <c r="B333" s="75">
        <v>41408</v>
      </c>
      <c r="C333" s="15">
        <v>2013</v>
      </c>
      <c r="D333" s="11" t="s">
        <v>31</v>
      </c>
      <c r="E333" s="15">
        <v>5</v>
      </c>
      <c r="F333" s="32">
        <v>3.6080000000000001</v>
      </c>
      <c r="G333" s="27">
        <v>9.8398374999999982E-2</v>
      </c>
    </row>
    <row r="334" spans="1:14">
      <c r="A334" s="15">
        <v>4</v>
      </c>
      <c r="B334" s="75">
        <v>41408</v>
      </c>
      <c r="C334" s="15">
        <v>2013</v>
      </c>
      <c r="D334" s="11" t="s">
        <v>31</v>
      </c>
      <c r="E334" s="15">
        <v>5</v>
      </c>
      <c r="F334" s="32">
        <v>8.8130000000000006</v>
      </c>
      <c r="G334" s="27">
        <v>0.17083512499999998</v>
      </c>
      <c r="I334" s="27">
        <f>AVERAGE(F333:F334)</f>
        <v>6.2105000000000006</v>
      </c>
      <c r="J334" s="27">
        <f>AVERAGE(G333:G334)</f>
        <v>0.13461674999999998</v>
      </c>
      <c r="L334">
        <f>+J334/I334</f>
        <v>2.1675670235890825E-2</v>
      </c>
      <c r="M334">
        <f>+(L334-$L$619)/$L$620</f>
        <v>-0.33859314020098724</v>
      </c>
      <c r="N334">
        <f>+N332+M334</f>
        <v>-15.017993576986004</v>
      </c>
    </row>
    <row r="335" spans="1:14">
      <c r="A335" s="15">
        <v>3</v>
      </c>
      <c r="B335" s="75">
        <v>41436</v>
      </c>
      <c r="C335" s="15">
        <v>2013</v>
      </c>
      <c r="D335" s="11" t="s">
        <v>32</v>
      </c>
      <c r="E335" s="15">
        <v>6</v>
      </c>
      <c r="F335" s="32">
        <v>10.775</v>
      </c>
      <c r="G335" s="27">
        <v>4.8213333333333337E-2</v>
      </c>
    </row>
    <row r="336" spans="1:14">
      <c r="A336" s="15">
        <v>4</v>
      </c>
      <c r="B336" s="75">
        <v>41436</v>
      </c>
      <c r="C336" s="15">
        <v>2013</v>
      </c>
      <c r="D336" s="11" t="s">
        <v>32</v>
      </c>
      <c r="E336" s="15">
        <v>6</v>
      </c>
      <c r="F336" s="32">
        <v>14.151</v>
      </c>
      <c r="G336" s="27">
        <v>8.9405714285714297E-2</v>
      </c>
      <c r="I336" s="27">
        <f>AVERAGE(F335:F336)</f>
        <v>12.463000000000001</v>
      </c>
      <c r="J336" s="27">
        <f>AVERAGE(G335:G336)</f>
        <v>6.880952380952382E-2</v>
      </c>
      <c r="L336">
        <f>+J336/I336</f>
        <v>5.5211043737080807E-3</v>
      </c>
      <c r="M336">
        <f>+(L336-$L$619)/$L$620</f>
        <v>-0.58429855465352309</v>
      </c>
      <c r="N336">
        <f>+N334+M336</f>
        <v>-15.602292131639528</v>
      </c>
    </row>
    <row r="337" spans="1:14">
      <c r="A337" s="15">
        <v>3</v>
      </c>
      <c r="B337" s="75">
        <v>41471</v>
      </c>
      <c r="C337" s="15">
        <v>2013</v>
      </c>
      <c r="D337" s="11" t="s">
        <v>33</v>
      </c>
      <c r="E337" s="15">
        <v>7</v>
      </c>
      <c r="F337" s="32">
        <v>32.316000000000003</v>
      </c>
      <c r="G337" s="27">
        <v>0.871988125</v>
      </c>
    </row>
    <row r="338" spans="1:14">
      <c r="A338" s="15">
        <v>4</v>
      </c>
      <c r="B338" s="75">
        <v>41471</v>
      </c>
      <c r="C338" s="15">
        <v>2013</v>
      </c>
      <c r="D338" s="11" t="s">
        <v>33</v>
      </c>
      <c r="E338" s="15">
        <v>7</v>
      </c>
      <c r="F338" s="32">
        <v>52.093000000000004</v>
      </c>
      <c r="G338" s="27">
        <v>0.25027162499999994</v>
      </c>
      <c r="I338" s="27">
        <f>AVERAGE(F337:F338)</f>
        <v>42.204500000000003</v>
      </c>
      <c r="J338" s="27">
        <f>AVERAGE(G337:G338)</f>
        <v>0.561129875</v>
      </c>
      <c r="L338">
        <f>+J338/I338</f>
        <v>1.3295498702744967E-2</v>
      </c>
      <c r="M338">
        <f>+(L338-$L$619)/$L$620</f>
        <v>-0.46605267933692379</v>
      </c>
      <c r="N338">
        <f>+N336+M338</f>
        <v>-16.068344810976452</v>
      </c>
    </row>
    <row r="339" spans="1:14">
      <c r="A339" s="15">
        <v>3</v>
      </c>
      <c r="B339" s="75">
        <v>41499</v>
      </c>
      <c r="C339" s="15">
        <v>2013</v>
      </c>
      <c r="D339" s="11" t="s">
        <v>34</v>
      </c>
      <c r="E339" s="15">
        <v>8</v>
      </c>
      <c r="F339" s="32">
        <v>12.627000000000001</v>
      </c>
      <c r="G339" s="27">
        <v>0.80050735294117636</v>
      </c>
      <c r="I339" s="27"/>
      <c r="J339" s="27"/>
    </row>
    <row r="340" spans="1:14">
      <c r="A340" s="15">
        <v>4</v>
      </c>
      <c r="B340" s="75">
        <v>41499</v>
      </c>
      <c r="C340" s="15">
        <v>2013</v>
      </c>
      <c r="D340" s="11" t="s">
        <v>34</v>
      </c>
      <c r="E340" s="15">
        <v>8</v>
      </c>
      <c r="F340" s="32">
        <v>19.396000000000001</v>
      </c>
      <c r="G340" s="27">
        <v>0.61868649999999992</v>
      </c>
      <c r="I340" s="27">
        <f>AVERAGE(F339:F340)</f>
        <v>16.011500000000002</v>
      </c>
      <c r="J340" s="27">
        <f>AVERAGE(G339:G340)</f>
        <v>0.70959692647058814</v>
      </c>
      <c r="L340">
        <f>+J340/I340</f>
        <v>4.4317954374704933E-2</v>
      </c>
      <c r="M340">
        <f>+(L340-$L$619)/$L$620</f>
        <v>5.7882474476253819E-3</v>
      </c>
      <c r="N340">
        <f>+N338+M340</f>
        <v>-16.062556563528826</v>
      </c>
    </row>
    <row r="341" spans="1:14">
      <c r="A341" s="15">
        <v>3</v>
      </c>
      <c r="B341" s="75">
        <v>41533</v>
      </c>
      <c r="C341" s="15">
        <v>2013</v>
      </c>
      <c r="D341" s="11" t="s">
        <v>40</v>
      </c>
      <c r="E341" s="15">
        <v>9</v>
      </c>
      <c r="F341" s="32">
        <v>8.641</v>
      </c>
      <c r="G341" s="27">
        <v>0.23040674999999997</v>
      </c>
    </row>
    <row r="342" spans="1:14">
      <c r="A342" s="15">
        <v>4</v>
      </c>
      <c r="B342" s="75">
        <v>41533</v>
      </c>
      <c r="C342" s="15">
        <v>2013</v>
      </c>
      <c r="D342" s="11" t="s">
        <v>40</v>
      </c>
      <c r="E342" s="15">
        <v>9</v>
      </c>
      <c r="F342" s="32">
        <v>9.0589999999999993</v>
      </c>
      <c r="G342" s="27">
        <v>0.21874549999999998</v>
      </c>
      <c r="I342" s="27">
        <f>AVERAGE(F341:F342)</f>
        <v>8.85</v>
      </c>
      <c r="J342" s="27">
        <f>AVERAGE(G341:G342)</f>
        <v>0.22457612499999996</v>
      </c>
      <c r="L342">
        <f>+J342/I342</f>
        <v>2.537583333333333E-2</v>
      </c>
      <c r="M342">
        <f>+(L342-$L$619)/$L$620</f>
        <v>-0.28231492665101021</v>
      </c>
      <c r="N342">
        <f>+N340+M342</f>
        <v>-16.344871490179838</v>
      </c>
    </row>
    <row r="343" spans="1:14">
      <c r="A343" s="15">
        <v>3</v>
      </c>
      <c r="B343" s="75">
        <v>41569</v>
      </c>
      <c r="C343" s="15">
        <v>2013</v>
      </c>
      <c r="D343" s="11" t="s">
        <v>36</v>
      </c>
      <c r="E343" s="15">
        <v>10</v>
      </c>
      <c r="F343" s="26">
        <v>4.3840000000000003</v>
      </c>
      <c r="G343" s="27">
        <v>0.6168158749999999</v>
      </c>
    </row>
    <row r="344" spans="1:14">
      <c r="A344" s="15">
        <v>4</v>
      </c>
      <c r="B344" s="75">
        <v>41569</v>
      </c>
      <c r="C344" s="15">
        <v>2013</v>
      </c>
      <c r="D344" s="11" t="s">
        <v>36</v>
      </c>
      <c r="E344" s="15">
        <v>10</v>
      </c>
      <c r="F344" s="26">
        <v>7.3710000000000004</v>
      </c>
      <c r="G344" s="27">
        <v>0.27968612500000001</v>
      </c>
      <c r="I344" s="27">
        <f>AVERAGE(F343:F344)</f>
        <v>5.8775000000000004</v>
      </c>
      <c r="J344" s="27">
        <f>AVERAGE(G343:G344)</f>
        <v>0.44825099999999996</v>
      </c>
      <c r="L344">
        <f>+J344/I344</f>
        <v>7.626558911101658E-2</v>
      </c>
      <c r="M344">
        <f>+(L344-$L$619)/$L$620</f>
        <v>0.49170083096307382</v>
      </c>
      <c r="N344">
        <f>+N342+M344</f>
        <v>-15.853170659216763</v>
      </c>
    </row>
    <row r="345" spans="1:14">
      <c r="A345" s="15">
        <v>3</v>
      </c>
      <c r="B345" s="75">
        <v>41597</v>
      </c>
      <c r="C345" s="15">
        <v>2013</v>
      </c>
      <c r="D345" s="11" t="s">
        <v>37</v>
      </c>
      <c r="E345" s="15">
        <v>11</v>
      </c>
      <c r="F345" s="26">
        <v>2.2610000000000001</v>
      </c>
      <c r="G345" s="27">
        <v>0.13439524999999997</v>
      </c>
    </row>
    <row r="346" spans="1:14">
      <c r="A346" s="15">
        <v>4</v>
      </c>
      <c r="B346" s="75">
        <v>41597</v>
      </c>
      <c r="C346" s="15">
        <v>2013</v>
      </c>
      <c r="D346" s="11" t="s">
        <v>37</v>
      </c>
      <c r="E346" s="15">
        <v>11</v>
      </c>
      <c r="F346" s="26">
        <v>2.4009999999999998</v>
      </c>
      <c r="G346" s="27">
        <v>0.12703024999999998</v>
      </c>
      <c r="I346" s="27">
        <f>AVERAGE(F345:F346)</f>
        <v>2.331</v>
      </c>
      <c r="J346" s="27">
        <f>AVERAGE(G345:G346)</f>
        <v>0.13071274999999999</v>
      </c>
      <c r="L346">
        <f>+J346/I346</f>
        <v>5.607582582582582E-2</v>
      </c>
      <c r="M346">
        <f>+(L346-$L$619)/$L$620</f>
        <v>0.18462144560495117</v>
      </c>
      <c r="N346">
        <f>+N344+M346</f>
        <v>-15.668549213611811</v>
      </c>
    </row>
    <row r="347" spans="1:14">
      <c r="A347" s="15">
        <v>3</v>
      </c>
      <c r="B347" s="75">
        <v>41624</v>
      </c>
      <c r="C347" s="15">
        <v>2013</v>
      </c>
      <c r="D347" s="11" t="s">
        <v>38</v>
      </c>
      <c r="E347" s="15">
        <v>12</v>
      </c>
      <c r="F347" s="26">
        <v>3.7669999999999999</v>
      </c>
      <c r="G347" s="27">
        <v>0.117892</v>
      </c>
    </row>
    <row r="348" spans="1:14">
      <c r="A348" s="15">
        <v>4</v>
      </c>
      <c r="B348" s="75">
        <v>41624</v>
      </c>
      <c r="C348" s="15">
        <v>2013</v>
      </c>
      <c r="D348" s="11" t="s">
        <v>38</v>
      </c>
      <c r="E348" s="15">
        <v>12</v>
      </c>
      <c r="F348" s="26">
        <v>5.1369999999999996</v>
      </c>
      <c r="G348" s="27">
        <v>0.42147124999999996</v>
      </c>
      <c r="I348" s="27">
        <f>AVERAGE(F347:F348)</f>
        <v>4.452</v>
      </c>
      <c r="J348" s="27">
        <f>AVERAGE(G347:G348)</f>
        <v>0.26968162499999998</v>
      </c>
      <c r="L348">
        <f>+J348/I348</f>
        <v>6.0575387466307272E-2</v>
      </c>
      <c r="M348">
        <f>+(L348-$L$619)/$L$620</f>
        <v>0.25305823723160326</v>
      </c>
      <c r="N348">
        <f>+N346+M348</f>
        <v>-15.415490976380209</v>
      </c>
    </row>
    <row r="349" spans="1:14">
      <c r="A349" s="15">
        <v>3</v>
      </c>
      <c r="B349" s="75">
        <v>41654</v>
      </c>
      <c r="C349" s="15">
        <v>2014</v>
      </c>
      <c r="D349" s="11" t="s">
        <v>39</v>
      </c>
      <c r="E349" s="15">
        <v>1</v>
      </c>
      <c r="F349" s="26">
        <v>3.335</v>
      </c>
      <c r="G349" s="27">
        <v>0.5443508749999999</v>
      </c>
      <c r="I349" s="27"/>
      <c r="J349" s="27"/>
    </row>
    <row r="350" spans="1:14">
      <c r="A350" s="15">
        <v>4</v>
      </c>
      <c r="B350" s="75">
        <v>41654</v>
      </c>
      <c r="C350" s="15">
        <v>2014</v>
      </c>
      <c r="D350" s="11" t="s">
        <v>39</v>
      </c>
      <c r="E350" s="15">
        <v>1</v>
      </c>
      <c r="F350" s="26">
        <v>1.752</v>
      </c>
      <c r="G350" s="27">
        <v>0.19559987499999998</v>
      </c>
      <c r="I350" s="27">
        <f>AVERAGE(F349:F350)</f>
        <v>2.5434999999999999</v>
      </c>
      <c r="J350" s="27">
        <f>AVERAGE(G349:G350)</f>
        <v>0.36997537499999994</v>
      </c>
      <c r="L350">
        <f>+J350/I350</f>
        <v>0.1454591606054649</v>
      </c>
      <c r="M350">
        <f>+(L350-$L$619)/$L$620</f>
        <v>1.5441113572833063</v>
      </c>
      <c r="N350">
        <f>+N348+M350</f>
        <v>-13.871379619096903</v>
      </c>
    </row>
    <row r="351" spans="1:14">
      <c r="A351" s="15">
        <v>3</v>
      </c>
      <c r="B351" s="75">
        <v>41688</v>
      </c>
      <c r="C351" s="15">
        <v>2014</v>
      </c>
      <c r="D351" s="11" t="s">
        <v>28</v>
      </c>
      <c r="E351" s="15">
        <v>2</v>
      </c>
      <c r="F351" s="26">
        <v>4.5439999999999996</v>
      </c>
      <c r="G351" s="27">
        <v>0.31842837499999993</v>
      </c>
    </row>
    <row r="352" spans="1:14">
      <c r="A352" s="15">
        <v>4</v>
      </c>
      <c r="B352" s="75">
        <v>41688</v>
      </c>
      <c r="C352" s="15">
        <v>2014</v>
      </c>
      <c r="D352" s="11" t="s">
        <v>28</v>
      </c>
      <c r="E352" s="15">
        <v>2</v>
      </c>
      <c r="F352" s="26">
        <v>5.3250000000000002</v>
      </c>
      <c r="G352" s="27">
        <v>0.9465849999999999</v>
      </c>
      <c r="I352" s="27">
        <f>AVERAGE(F351:F352)</f>
        <v>4.9344999999999999</v>
      </c>
      <c r="J352" s="27">
        <f>AVERAGE(G351:G352)</f>
        <v>0.63250668749999994</v>
      </c>
      <c r="L352">
        <f>+J352/I352</f>
        <v>0.12818050207721146</v>
      </c>
      <c r="M352">
        <f>+(L352-$L$619)/$L$620</f>
        <v>1.2813088783379063</v>
      </c>
      <c r="N352">
        <f>+N350+M352</f>
        <v>-12.590070740758996</v>
      </c>
    </row>
    <row r="353" spans="1:14">
      <c r="A353" s="15">
        <v>3</v>
      </c>
      <c r="B353" s="75">
        <v>41719</v>
      </c>
      <c r="C353" s="15">
        <v>2014</v>
      </c>
      <c r="D353" s="11" t="s">
        <v>29</v>
      </c>
      <c r="E353" s="15">
        <v>3</v>
      </c>
      <c r="F353" s="26">
        <v>3.1259999999999999</v>
      </c>
      <c r="G353" s="27">
        <v>3.6870750000000001E-2</v>
      </c>
    </row>
    <row r="354" spans="1:14">
      <c r="A354" s="15">
        <v>3</v>
      </c>
      <c r="B354" s="75">
        <v>41719</v>
      </c>
      <c r="C354" s="15">
        <v>2014</v>
      </c>
      <c r="D354" s="11" t="s">
        <v>29</v>
      </c>
      <c r="E354" s="15">
        <v>3</v>
      </c>
      <c r="F354" s="26">
        <v>3.1259999999999999</v>
      </c>
      <c r="G354" s="27">
        <v>3.3183874999999995E-2</v>
      </c>
      <c r="H354" t="s">
        <v>13</v>
      </c>
      <c r="I354" s="27">
        <f>AVERAGE(F353:F354)</f>
        <v>3.1259999999999999</v>
      </c>
      <c r="J354" s="27">
        <f>AVERAGE(G353:G354)</f>
        <v>3.5027312499999998E-2</v>
      </c>
      <c r="L354">
        <f>+J354/I354</f>
        <v>1.1205154350607805E-2</v>
      </c>
      <c r="M354">
        <f>+(L354-$L$619)/$L$620</f>
        <v>-0.49784610107119143</v>
      </c>
      <c r="N354">
        <f>+N352+M354</f>
        <v>-13.087916841830188</v>
      </c>
    </row>
    <row r="355" spans="1:14">
      <c r="A355" s="15">
        <v>4</v>
      </c>
      <c r="B355" s="75">
        <v>41719</v>
      </c>
      <c r="C355" s="15">
        <v>2014</v>
      </c>
      <c r="D355" s="11" t="s">
        <v>29</v>
      </c>
      <c r="E355" s="15">
        <v>3</v>
      </c>
      <c r="F355" s="26">
        <v>3.1909999999999998</v>
      </c>
      <c r="G355" s="27">
        <v>0.132049</v>
      </c>
    </row>
    <row r="356" spans="1:14">
      <c r="A356" s="15">
        <v>3</v>
      </c>
      <c r="B356" s="75">
        <v>41747</v>
      </c>
      <c r="C356" s="15">
        <v>2014</v>
      </c>
      <c r="D356" s="11" t="s">
        <v>30</v>
      </c>
      <c r="E356" s="15">
        <v>4</v>
      </c>
      <c r="F356" s="33">
        <v>2.645</v>
      </c>
      <c r="G356" s="27">
        <v>1.6637374999999999E-2</v>
      </c>
      <c r="I356" s="27">
        <f>AVERAGE(F355:F356)</f>
        <v>2.9180000000000001</v>
      </c>
      <c r="J356" s="27">
        <f>AVERAGE(G355:G356)</f>
        <v>7.4343187500000005E-2</v>
      </c>
      <c r="L356">
        <f>+J356/I356</f>
        <v>2.5477446024674433E-2</v>
      </c>
      <c r="M356">
        <f>+(L356-$L$619)/$L$620</f>
        <v>-0.28076943241411156</v>
      </c>
      <c r="N356">
        <f>+N354+M356</f>
        <v>-13.368686274244299</v>
      </c>
    </row>
    <row r="357" spans="1:14">
      <c r="A357" s="15">
        <v>4</v>
      </c>
      <c r="B357" s="75">
        <v>41747</v>
      </c>
      <c r="C357" s="15">
        <v>2014</v>
      </c>
      <c r="D357" s="11" t="s">
        <v>30</v>
      </c>
      <c r="E357" s="15">
        <v>4</v>
      </c>
      <c r="F357" s="33">
        <v>6.6870000000000003</v>
      </c>
      <c r="G357" s="27">
        <v>2.5090875000000002E-2</v>
      </c>
      <c r="I357" s="27"/>
      <c r="J357" s="27"/>
    </row>
    <row r="358" spans="1:14">
      <c r="A358" s="15">
        <v>3</v>
      </c>
      <c r="B358" s="75">
        <v>41772</v>
      </c>
      <c r="C358" s="15">
        <v>2014</v>
      </c>
      <c r="D358" s="11" t="s">
        <v>31</v>
      </c>
      <c r="E358" s="15">
        <v>5</v>
      </c>
      <c r="F358" s="33">
        <v>4.24</v>
      </c>
      <c r="G358" s="27">
        <v>1.9371362499999998</v>
      </c>
      <c r="I358" s="27">
        <f>AVERAGE(F357:F358)</f>
        <v>5.4634999999999998</v>
      </c>
      <c r="J358" s="27">
        <f>AVERAGE(G357:G358)</f>
        <v>0.98111356249999992</v>
      </c>
      <c r="L358">
        <f>+J358/I358</f>
        <v>0.1795760158323419</v>
      </c>
      <c r="M358">
        <f>+(L358-$L$619)/$L$620</f>
        <v>2.0630170415865017</v>
      </c>
      <c r="N358">
        <f>+N356+M358</f>
        <v>-11.305669232657797</v>
      </c>
    </row>
    <row r="359" spans="1:14">
      <c r="A359" s="15">
        <v>4</v>
      </c>
      <c r="B359" s="75">
        <v>41772</v>
      </c>
      <c r="C359" s="15">
        <v>2014</v>
      </c>
      <c r="D359" s="11" t="s">
        <v>31</v>
      </c>
      <c r="E359" s="15">
        <v>5</v>
      </c>
      <c r="F359" s="33">
        <v>3.7629999999999999</v>
      </c>
      <c r="G359" s="27">
        <v>1.1869702499999997</v>
      </c>
      <c r="I359" s="27"/>
      <c r="J359" s="27"/>
    </row>
    <row r="360" spans="1:14">
      <c r="A360" s="15">
        <v>3</v>
      </c>
      <c r="B360" s="75">
        <v>41808</v>
      </c>
      <c r="C360" s="15">
        <v>2014</v>
      </c>
      <c r="D360" s="11" t="s">
        <v>32</v>
      </c>
      <c r="E360" s="15">
        <v>6</v>
      </c>
      <c r="F360" s="33">
        <v>8.3550000000000004</v>
      </c>
      <c r="G360" s="27">
        <v>0.25936262500000001</v>
      </c>
      <c r="I360" s="27">
        <f>AVERAGE(F359:F360)</f>
        <v>6.0590000000000002</v>
      </c>
      <c r="J360" s="27">
        <f>AVERAGE(G359:G360)</f>
        <v>0.72316643749999987</v>
      </c>
      <c r="L360">
        <f>+J360/I360</f>
        <v>0.1193540910216207</v>
      </c>
      <c r="M360">
        <f>+(L360-$L$619)/$L$620</f>
        <v>1.1470621888852846</v>
      </c>
      <c r="N360">
        <f>+N358+M360</f>
        <v>-10.158607043772513</v>
      </c>
    </row>
    <row r="361" spans="1:14">
      <c r="A361" s="15">
        <v>4</v>
      </c>
      <c r="B361" s="75">
        <v>41808</v>
      </c>
      <c r="C361" s="15">
        <v>2014</v>
      </c>
      <c r="D361" s="11" t="s">
        <v>32</v>
      </c>
      <c r="E361" s="15">
        <v>6</v>
      </c>
      <c r="F361" s="33">
        <v>10.061999999999999</v>
      </c>
      <c r="G361" s="27">
        <v>0.24391199999999999</v>
      </c>
    </row>
    <row r="362" spans="1:14">
      <c r="A362" s="15">
        <v>3</v>
      </c>
      <c r="B362" s="75">
        <v>41834</v>
      </c>
      <c r="C362" s="15">
        <v>2014</v>
      </c>
      <c r="D362" s="11" t="s">
        <v>33</v>
      </c>
      <c r="E362" s="15">
        <v>7</v>
      </c>
      <c r="F362" s="33">
        <v>14.663</v>
      </c>
      <c r="G362" s="27">
        <v>0.65710875000000002</v>
      </c>
      <c r="I362" s="27">
        <f>AVERAGE(F361:F362)</f>
        <v>12.362500000000001</v>
      </c>
      <c r="J362" s="27">
        <f>AVERAGE(G361:G362)</f>
        <v>0.45051037500000002</v>
      </c>
      <c r="L362">
        <f>+J362/I362</f>
        <v>3.6441688574317489E-2</v>
      </c>
      <c r="M362">
        <f>+(L362-$L$619)/$L$620</f>
        <v>-0.11400705806119432</v>
      </c>
      <c r="N362">
        <f>+N360+M362</f>
        <v>-10.272614101833707</v>
      </c>
    </row>
    <row r="363" spans="1:14">
      <c r="A363" s="15">
        <v>4</v>
      </c>
      <c r="B363" s="75">
        <v>41834</v>
      </c>
      <c r="C363" s="15">
        <v>2014</v>
      </c>
      <c r="D363" s="11" t="s">
        <v>33</v>
      </c>
      <c r="E363" s="15">
        <v>7</v>
      </c>
      <c r="F363" s="33">
        <v>17.713999999999999</v>
      </c>
      <c r="G363" s="27">
        <v>0.31266062499999997</v>
      </c>
    </row>
    <row r="364" spans="1:14">
      <c r="A364" s="15">
        <v>3</v>
      </c>
      <c r="B364" s="75">
        <v>41864</v>
      </c>
      <c r="C364" s="15">
        <v>2014</v>
      </c>
      <c r="D364" s="11" t="s">
        <v>34</v>
      </c>
      <c r="E364" s="15">
        <v>8</v>
      </c>
      <c r="F364" s="33">
        <v>17.297999999999998</v>
      </c>
      <c r="G364" s="27">
        <v>1.2535890000000001</v>
      </c>
      <c r="I364" s="27">
        <f>AVERAGE(F363:F364)</f>
        <v>17.506</v>
      </c>
      <c r="J364" s="27">
        <f>AVERAGE(G363:G364)</f>
        <v>0.78312481249999999</v>
      </c>
      <c r="L364">
        <f>+J364/I364</f>
        <v>4.4734651690848851E-2</v>
      </c>
      <c r="M364">
        <f>+(L364-$L$619)/$L$620</f>
        <v>1.2126070923530708E-2</v>
      </c>
      <c r="N364">
        <f>+N362+M364</f>
        <v>-10.260488030910176</v>
      </c>
    </row>
    <row r="365" spans="1:14">
      <c r="A365" s="15">
        <v>4</v>
      </c>
      <c r="B365" s="75">
        <v>41864</v>
      </c>
      <c r="C365" s="15">
        <v>2014</v>
      </c>
      <c r="D365" s="11" t="s">
        <v>34</v>
      </c>
      <c r="E365" s="15">
        <v>8</v>
      </c>
      <c r="F365" s="33">
        <v>17.457999999999998</v>
      </c>
      <c r="G365" s="27">
        <v>0.49348312500000002</v>
      </c>
    </row>
    <row r="366" spans="1:14">
      <c r="A366" s="15">
        <v>3</v>
      </c>
      <c r="B366" s="75">
        <v>41898</v>
      </c>
      <c r="C366" s="15">
        <v>2014</v>
      </c>
      <c r="D366" s="11" t="s">
        <v>40</v>
      </c>
      <c r="E366" s="15">
        <v>9</v>
      </c>
      <c r="F366" s="33">
        <v>10.042999999999999</v>
      </c>
      <c r="G366" s="27">
        <v>1.12362275</v>
      </c>
      <c r="I366" s="27">
        <f>AVERAGE(F365:F366)</f>
        <v>13.750499999999999</v>
      </c>
      <c r="J366" s="27">
        <f>AVERAGE(G365:G366)</f>
        <v>0.80855293750000001</v>
      </c>
      <c r="L366">
        <f>+J366/I366</f>
        <v>5.8801711755936154E-2</v>
      </c>
      <c r="M366">
        <f>+(L366-$L$619)/$L$620</f>
        <v>0.22608123709188868</v>
      </c>
      <c r="N366">
        <f>+N364+M366</f>
        <v>-10.034406793818288</v>
      </c>
    </row>
    <row r="367" spans="1:14">
      <c r="A367" s="15">
        <v>4</v>
      </c>
      <c r="B367" s="75">
        <v>41898</v>
      </c>
      <c r="C367" s="15">
        <v>2014</v>
      </c>
      <c r="D367" s="11" t="s">
        <v>40</v>
      </c>
      <c r="E367" s="15">
        <v>9</v>
      </c>
      <c r="F367" s="33">
        <v>12.87</v>
      </c>
      <c r="G367" s="27">
        <v>0.62478524999999996</v>
      </c>
      <c r="I367" s="27"/>
      <c r="J367" s="27"/>
    </row>
    <row r="368" spans="1:14">
      <c r="A368" s="15">
        <v>3</v>
      </c>
      <c r="B368" s="75">
        <v>41929</v>
      </c>
      <c r="C368" s="15">
        <v>2014</v>
      </c>
      <c r="D368" s="11" t="s">
        <v>36</v>
      </c>
      <c r="E368" s="15">
        <v>10</v>
      </c>
      <c r="F368" s="26">
        <v>1.6759999999999999</v>
      </c>
      <c r="G368" s="27">
        <v>0.11012174999999999</v>
      </c>
      <c r="I368" s="27">
        <f>AVERAGE(F367:F368)</f>
        <v>7.2729999999999997</v>
      </c>
      <c r="J368" s="27">
        <f>AVERAGE(G367:G368)</f>
        <v>0.36745349999999999</v>
      </c>
      <c r="L368">
        <f>+J368/I368</f>
        <v>5.0522961638938539E-2</v>
      </c>
      <c r="M368">
        <f>+(L368-$L$619)/$L$620</f>
        <v>0.10016428296267173</v>
      </c>
      <c r="N368">
        <f>+N366+M368</f>
        <v>-9.9342425108556167</v>
      </c>
    </row>
    <row r="369" spans="1:14">
      <c r="A369" s="15">
        <v>4</v>
      </c>
      <c r="B369" s="75">
        <v>41929</v>
      </c>
      <c r="C369" s="15">
        <v>2014</v>
      </c>
      <c r="D369" s="11" t="s">
        <v>36</v>
      </c>
      <c r="E369" s="15">
        <v>10</v>
      </c>
      <c r="F369" s="26">
        <v>4.0270000000000001</v>
      </c>
      <c r="G369" s="27">
        <v>0.10629474999999999</v>
      </c>
      <c r="I369" s="27"/>
      <c r="J369" s="27"/>
    </row>
    <row r="370" spans="1:14">
      <c r="A370" s="15">
        <v>3</v>
      </c>
      <c r="B370" s="75">
        <v>41953</v>
      </c>
      <c r="C370" s="15">
        <v>2014</v>
      </c>
      <c r="D370" s="11" t="s">
        <v>37</v>
      </c>
      <c r="E370" s="15">
        <v>11</v>
      </c>
      <c r="F370" s="26">
        <v>1.635</v>
      </c>
      <c r="G370" s="27">
        <v>0.10145637499999999</v>
      </c>
      <c r="I370" s="27">
        <f>AVERAGE(F369:F370)</f>
        <v>2.831</v>
      </c>
      <c r="J370" s="27">
        <f>AVERAGE(G369:G370)</f>
        <v>0.10387556249999999</v>
      </c>
      <c r="L370">
        <f>+J370/I370</f>
        <v>3.6692180324973504E-2</v>
      </c>
      <c r="M370">
        <f>+(L370-$L$619)/$L$620</f>
        <v>-0.11019716431741028</v>
      </c>
      <c r="N370">
        <f>+N368+M370</f>
        <v>-10.044439675173027</v>
      </c>
    </row>
    <row r="371" spans="1:14">
      <c r="A371" s="15">
        <v>3</v>
      </c>
      <c r="B371" s="75">
        <v>41953</v>
      </c>
      <c r="C371" s="15">
        <v>2014</v>
      </c>
      <c r="D371" s="11" t="s">
        <v>37</v>
      </c>
      <c r="E371" s="15">
        <v>11</v>
      </c>
      <c r="F371" s="26">
        <v>1.635</v>
      </c>
      <c r="G371" s="27">
        <v>0.12523087499999996</v>
      </c>
    </row>
    <row r="372" spans="1:14">
      <c r="A372" s="15">
        <v>4</v>
      </c>
      <c r="B372" s="75">
        <v>41953</v>
      </c>
      <c r="C372" s="15">
        <v>2014</v>
      </c>
      <c r="D372" s="11" t="s">
        <v>37</v>
      </c>
      <c r="E372" s="15">
        <v>11</v>
      </c>
      <c r="F372" s="26">
        <v>2.0110000000000001</v>
      </c>
      <c r="G372" s="27">
        <v>5.7618374999999993E-2</v>
      </c>
      <c r="I372" s="27">
        <f>AVERAGE(F371:F372)</f>
        <v>1.823</v>
      </c>
      <c r="J372" s="27">
        <f>AVERAGE(G371:G372)</f>
        <v>9.1424624999999982E-2</v>
      </c>
      <c r="L372">
        <f>+J372/I372</f>
        <v>5.0150644541963788E-2</v>
      </c>
      <c r="M372">
        <f>+(L372-$L$619)/$L$620</f>
        <v>9.4501467421828356E-2</v>
      </c>
      <c r="N372">
        <f>+N370+M372</f>
        <v>-9.9499382077511989</v>
      </c>
    </row>
    <row r="373" spans="1:14">
      <c r="A373" s="15">
        <v>3</v>
      </c>
      <c r="B373" s="75">
        <v>41988</v>
      </c>
      <c r="C373" s="15">
        <v>2014</v>
      </c>
      <c r="D373" s="11" t="s">
        <v>38</v>
      </c>
      <c r="E373" s="15">
        <v>12</v>
      </c>
      <c r="F373" s="26">
        <v>5.5650000000000004</v>
      </c>
      <c r="G373" s="27">
        <v>1.1830502499999997</v>
      </c>
    </row>
    <row r="374" spans="1:14">
      <c r="A374" s="15">
        <v>4</v>
      </c>
      <c r="B374" s="75">
        <v>41988</v>
      </c>
      <c r="C374" s="15">
        <v>2014</v>
      </c>
      <c r="D374" s="11" t="s">
        <v>38</v>
      </c>
      <c r="E374" s="15">
        <v>12</v>
      </c>
      <c r="F374" s="26">
        <v>3.9420000000000002</v>
      </c>
      <c r="G374" s="27">
        <v>0.52847924999999996</v>
      </c>
      <c r="I374" s="27">
        <f>AVERAGE(F373:F374)</f>
        <v>4.7535000000000007</v>
      </c>
      <c r="J374" s="27">
        <f>AVERAGE(G373:G374)</f>
        <v>0.85576474999999985</v>
      </c>
      <c r="L374">
        <f>+J374/I374</f>
        <v>0.18002834753339639</v>
      </c>
      <c r="M374">
        <f>+(L374-$L$619)/$L$620</f>
        <v>2.0698968518535041</v>
      </c>
      <c r="N374">
        <f>+N372+M374</f>
        <v>-7.8800413558976947</v>
      </c>
    </row>
    <row r="375" spans="1:14">
      <c r="A375" s="15">
        <v>3</v>
      </c>
      <c r="B375" s="70">
        <v>42014</v>
      </c>
      <c r="E375" s="15">
        <v>1</v>
      </c>
      <c r="F375" s="79">
        <v>3.7789999999999999</v>
      </c>
      <c r="G375" s="79">
        <v>8.2000000000000003E-2</v>
      </c>
    </row>
    <row r="376" spans="1:14">
      <c r="A376" s="15">
        <v>4</v>
      </c>
      <c r="B376" s="70">
        <v>42009</v>
      </c>
      <c r="E376" s="15">
        <v>1</v>
      </c>
      <c r="F376" s="79">
        <v>2.9020000000000001</v>
      </c>
      <c r="G376" s="79">
        <v>0.152</v>
      </c>
      <c r="I376" s="27">
        <f>AVERAGE(F375:F376)</f>
        <v>3.3405</v>
      </c>
      <c r="J376" s="27">
        <f>AVERAGE(G375:G376)</f>
        <v>0.11699999999999999</v>
      </c>
      <c r="L376">
        <f>+J376/I376</f>
        <v>3.5024696901661427E-2</v>
      </c>
      <c r="M376">
        <f>+(L376-$L$619)/$L$620</f>
        <v>-0.13555901613768995</v>
      </c>
      <c r="N376">
        <f>+N374+M376</f>
        <v>-8.0156003720353848</v>
      </c>
    </row>
    <row r="377" spans="1:14">
      <c r="A377" s="15">
        <v>3</v>
      </c>
      <c r="B377" s="71">
        <v>42036</v>
      </c>
      <c r="E377" s="15">
        <v>2</v>
      </c>
    </row>
    <row r="378" spans="1:14">
      <c r="A378" s="15">
        <v>4</v>
      </c>
      <c r="B378" s="71">
        <v>42036</v>
      </c>
      <c r="E378" s="15">
        <v>2</v>
      </c>
      <c r="I378" s="27"/>
      <c r="J378" s="27"/>
    </row>
    <row r="379" spans="1:14">
      <c r="A379" s="15">
        <v>3</v>
      </c>
      <c r="B379" s="71">
        <v>42064</v>
      </c>
      <c r="E379" s="15">
        <v>3</v>
      </c>
      <c r="F379" s="79">
        <v>8.7080000000000002</v>
      </c>
      <c r="G379" s="79">
        <v>8.8999999999999996E-2</v>
      </c>
      <c r="I379" s="27"/>
      <c r="J379" s="27"/>
    </row>
    <row r="380" spans="1:14">
      <c r="A380" s="15">
        <v>3</v>
      </c>
      <c r="B380" s="71">
        <v>42064</v>
      </c>
      <c r="E380" s="15">
        <v>3</v>
      </c>
      <c r="F380" s="79">
        <v>9.9090000000000007</v>
      </c>
      <c r="G380" s="79">
        <v>0.47199999999999998</v>
      </c>
      <c r="I380" s="27">
        <f>AVERAGE(F379:F380)</f>
        <v>9.3085000000000004</v>
      </c>
      <c r="J380" s="27">
        <f>AVERAGE(G379:G380)</f>
        <v>0.28049999999999997</v>
      </c>
      <c r="L380">
        <f>+J380/I380</f>
        <v>3.0133748724284252E-2</v>
      </c>
      <c r="M380">
        <f>+(L380-$L$619)/$L$620</f>
        <v>-0.20994866295584097</v>
      </c>
      <c r="N380">
        <f>+N376+M380</f>
        <v>-8.225549034991225</v>
      </c>
    </row>
    <row r="381" spans="1:14">
      <c r="A381" s="15">
        <v>4</v>
      </c>
      <c r="B381" s="71">
        <v>42095</v>
      </c>
      <c r="E381" s="15">
        <v>4</v>
      </c>
      <c r="F381" s="79">
        <v>3.0750000000000002</v>
      </c>
      <c r="G381" s="79">
        <v>0.24099999999999999</v>
      </c>
      <c r="I381" s="27"/>
      <c r="J381" s="27"/>
    </row>
    <row r="382" spans="1:14">
      <c r="A382" s="15">
        <v>3</v>
      </c>
      <c r="B382" s="71">
        <v>42095</v>
      </c>
      <c r="E382" s="15">
        <v>4</v>
      </c>
      <c r="F382" s="79">
        <v>6.2859999999999996</v>
      </c>
      <c r="G382" s="79">
        <v>0.26500000000000001</v>
      </c>
      <c r="I382" s="27">
        <f>AVERAGE(F381:F382)</f>
        <v>4.6805000000000003</v>
      </c>
      <c r="J382" s="27">
        <f>AVERAGE(G381:G382)</f>
        <v>0.253</v>
      </c>
      <c r="L382">
        <f>+J382/I382</f>
        <v>5.405405405405405E-2</v>
      </c>
      <c r="M382">
        <f>+(L382-$L$619)/$L$620</f>
        <v>0.15387098933459614</v>
      </c>
      <c r="N382">
        <f>+N380+M382</f>
        <v>-8.0716780456566291</v>
      </c>
    </row>
    <row r="383" spans="1:14">
      <c r="A383" s="15">
        <v>4</v>
      </c>
      <c r="B383" s="71">
        <v>42125</v>
      </c>
      <c r="E383" s="15">
        <v>5</v>
      </c>
      <c r="F383" s="79">
        <v>5.4480000000000004</v>
      </c>
      <c r="G383" s="79">
        <v>0.377</v>
      </c>
    </row>
    <row r="384" spans="1:14">
      <c r="A384" s="15">
        <v>3</v>
      </c>
      <c r="B384" s="71">
        <v>42125</v>
      </c>
      <c r="E384" s="15">
        <v>5</v>
      </c>
      <c r="F384" s="79">
        <v>10.345000000000001</v>
      </c>
      <c r="G384" s="79">
        <v>0.76700000000000002</v>
      </c>
      <c r="I384" s="27">
        <f>AVERAGE(F383:F384)</f>
        <v>7.8965000000000005</v>
      </c>
      <c r="J384" s="27">
        <f>AVERAGE(G383:G384)</f>
        <v>0.57200000000000006</v>
      </c>
      <c r="L384">
        <f>+J384/I384</f>
        <v>7.2437155701893241E-2</v>
      </c>
      <c r="M384">
        <f>+(L384-$L$619)/$L$620</f>
        <v>0.43347166990003022</v>
      </c>
      <c r="N384">
        <f>+N382+M384</f>
        <v>-7.6382063757565986</v>
      </c>
    </row>
    <row r="385" spans="1:14">
      <c r="A385" s="15">
        <v>4</v>
      </c>
      <c r="B385" s="71">
        <v>42156</v>
      </c>
      <c r="E385" s="15">
        <v>6</v>
      </c>
      <c r="F385" s="79">
        <v>7.9829999999999997</v>
      </c>
      <c r="G385" s="79">
        <v>0.46800000000000003</v>
      </c>
    </row>
    <row r="386" spans="1:14">
      <c r="A386" s="15">
        <v>3</v>
      </c>
      <c r="B386" s="71">
        <v>42156</v>
      </c>
      <c r="E386" s="15">
        <v>6</v>
      </c>
      <c r="F386" s="79">
        <v>12.726000000000001</v>
      </c>
      <c r="G386" s="79">
        <v>0.499</v>
      </c>
      <c r="I386" s="27">
        <f>AVERAGE(F385:F386)</f>
        <v>10.3545</v>
      </c>
      <c r="J386" s="27">
        <f>AVERAGE(G385:G386)</f>
        <v>0.48350000000000004</v>
      </c>
      <c r="L386">
        <f>+J386/I386</f>
        <v>4.6694673813317884E-2</v>
      </c>
      <c r="M386">
        <f>+(L386-$L$619)/$L$620</f>
        <v>4.1937336174847253E-2</v>
      </c>
      <c r="N386">
        <f>+N384+M386</f>
        <v>-7.5962690395817516</v>
      </c>
    </row>
    <row r="387" spans="1:14">
      <c r="A387" s="15">
        <v>4</v>
      </c>
      <c r="B387" s="71">
        <v>42186</v>
      </c>
      <c r="E387" s="15">
        <v>7</v>
      </c>
      <c r="F387" s="79">
        <v>13.734</v>
      </c>
      <c r="G387" s="79">
        <v>1.01</v>
      </c>
    </row>
    <row r="388" spans="1:14">
      <c r="A388" s="15">
        <v>3</v>
      </c>
      <c r="B388" s="71">
        <v>42186</v>
      </c>
      <c r="E388" s="15">
        <v>7</v>
      </c>
      <c r="F388" s="79">
        <v>11.561999999999999</v>
      </c>
      <c r="G388" s="79">
        <v>0.44400000000000001</v>
      </c>
      <c r="I388" s="27">
        <f>AVERAGE(F387:F388)</f>
        <v>12.648</v>
      </c>
      <c r="J388" s="27">
        <f>AVERAGE(G387:G388)</f>
        <v>0.72699999999999998</v>
      </c>
      <c r="L388">
        <f>+J388/I388</f>
        <v>5.747944339025933E-2</v>
      </c>
      <c r="M388">
        <f>+(L388-$L$619)/$L$620</f>
        <v>0.2059699880754943</v>
      </c>
      <c r="N388">
        <f>+N386+M388</f>
        <v>-7.3902990515062577</v>
      </c>
    </row>
    <row r="389" spans="1:14">
      <c r="A389" s="15">
        <v>4</v>
      </c>
      <c r="B389" s="71">
        <v>42217</v>
      </c>
      <c r="E389" s="15">
        <v>8</v>
      </c>
      <c r="F389" s="79">
        <v>16.381</v>
      </c>
      <c r="G389" s="79">
        <v>0.154</v>
      </c>
      <c r="I389" s="27"/>
      <c r="J389" s="27"/>
    </row>
    <row r="390" spans="1:14">
      <c r="A390" s="15">
        <v>3</v>
      </c>
      <c r="B390" s="71">
        <v>42217</v>
      </c>
      <c r="E390" s="15">
        <v>8</v>
      </c>
      <c r="F390" s="79">
        <v>25.786999999999999</v>
      </c>
      <c r="G390" s="79">
        <v>0.114</v>
      </c>
      <c r="I390" s="27">
        <f>AVERAGE(F389:F390)</f>
        <v>21.084</v>
      </c>
      <c r="J390" s="27">
        <f>AVERAGE(G389:G390)</f>
        <v>0.13400000000000001</v>
      </c>
      <c r="L390">
        <f>+J390/I390</f>
        <v>6.355530259912731E-3</v>
      </c>
      <c r="M390">
        <f>+(L390-$L$619)/$L$620</f>
        <v>-0.57160722268280217</v>
      </c>
      <c r="N390">
        <f>+N388+M390</f>
        <v>-7.9619062741890598</v>
      </c>
    </row>
    <row r="391" spans="1:14">
      <c r="A391" s="15">
        <v>4</v>
      </c>
      <c r="B391" s="71">
        <v>42248</v>
      </c>
      <c r="E391" s="15">
        <v>9</v>
      </c>
      <c r="F391" s="79">
        <v>11.849</v>
      </c>
      <c r="G391" s="79">
        <v>1.1639999999999999</v>
      </c>
      <c r="I391" s="27"/>
      <c r="J391" s="27"/>
    </row>
    <row r="392" spans="1:14">
      <c r="A392" s="15">
        <v>3</v>
      </c>
      <c r="B392" s="71">
        <v>42248</v>
      </c>
      <c r="E392" s="15">
        <v>9</v>
      </c>
      <c r="F392" s="79">
        <v>14.278</v>
      </c>
      <c r="G392" s="79">
        <v>0.39600000000000002</v>
      </c>
      <c r="I392" s="27">
        <f>AVERAGE(F391:F392)</f>
        <v>13.063500000000001</v>
      </c>
      <c r="J392" s="27">
        <f>AVERAGE(G391:G392)</f>
        <v>0.78</v>
      </c>
      <c r="L392">
        <f>+J392/I392</f>
        <v>5.9708347686301524E-2</v>
      </c>
      <c r="M392">
        <f>+(L392-$L$619)/$L$620</f>
        <v>0.23987085910515923</v>
      </c>
      <c r="N392">
        <f>+N390+M392</f>
        <v>-7.7220354150839006</v>
      </c>
    </row>
    <row r="393" spans="1:14">
      <c r="A393" s="15">
        <v>4</v>
      </c>
      <c r="B393" s="71">
        <v>42278</v>
      </c>
      <c r="E393" s="15">
        <v>10</v>
      </c>
      <c r="F393" s="79">
        <v>4.944</v>
      </c>
      <c r="G393" s="79">
        <v>0.129</v>
      </c>
    </row>
    <row r="394" spans="1:14">
      <c r="A394" s="15">
        <v>3</v>
      </c>
      <c r="B394" s="71">
        <v>42278</v>
      </c>
      <c r="E394" s="15">
        <v>10</v>
      </c>
      <c r="F394" s="79">
        <v>4.3559999999999999</v>
      </c>
      <c r="G394" s="79">
        <v>3.5999999999999997E-2</v>
      </c>
      <c r="I394" s="27">
        <f>AVERAGE(F393:F394)</f>
        <v>4.6500000000000004</v>
      </c>
      <c r="J394" s="27">
        <f>AVERAGE(G393:G394)</f>
        <v>8.2500000000000004E-2</v>
      </c>
      <c r="L394">
        <f>+J394/I394</f>
        <v>1.7741935483870968E-2</v>
      </c>
      <c r="M394">
        <f>+(L394-$L$619)/$L$620</f>
        <v>-0.39842389862786753</v>
      </c>
      <c r="N394">
        <f>+N392+M394</f>
        <v>-8.120459313711768</v>
      </c>
    </row>
    <row r="395" spans="1:14">
      <c r="A395" s="15">
        <v>4</v>
      </c>
      <c r="B395" s="71">
        <v>42309</v>
      </c>
      <c r="E395" s="15">
        <v>11</v>
      </c>
      <c r="F395" s="79">
        <v>1.528</v>
      </c>
      <c r="G395" s="79">
        <v>3.1E-2</v>
      </c>
    </row>
    <row r="396" spans="1:14">
      <c r="A396" s="15">
        <v>3</v>
      </c>
      <c r="B396" s="71">
        <v>42309</v>
      </c>
      <c r="E396" s="15">
        <v>11</v>
      </c>
      <c r="F396" s="79">
        <v>2.06</v>
      </c>
      <c r="G396" s="79">
        <v>0.02</v>
      </c>
      <c r="I396" s="27">
        <f>AVERAGE(F395:F396)</f>
        <v>1.794</v>
      </c>
      <c r="J396" s="27">
        <f>AVERAGE(G395:G396)</f>
        <v>2.5500000000000002E-2</v>
      </c>
      <c r="L396">
        <f>+J396/I396</f>
        <v>1.4214046822742476E-2</v>
      </c>
      <c r="M396">
        <f>+(L396-$L$619)/$L$620</f>
        <v>-0.45208187699881069</v>
      </c>
      <c r="N396">
        <f>+N394+M396</f>
        <v>-8.5725411907105791</v>
      </c>
    </row>
    <row r="397" spans="1:14">
      <c r="A397" s="15">
        <v>3</v>
      </c>
      <c r="B397" s="72">
        <v>42339</v>
      </c>
      <c r="E397" s="15">
        <v>12</v>
      </c>
      <c r="F397" s="79">
        <v>3.9089999999999998</v>
      </c>
      <c r="G397" s="79">
        <v>0.33100000000000002</v>
      </c>
    </row>
    <row r="398" spans="1:14">
      <c r="A398" s="15">
        <v>4</v>
      </c>
      <c r="B398" s="71">
        <v>42339</v>
      </c>
      <c r="E398" s="15">
        <v>12</v>
      </c>
      <c r="F398" s="79">
        <v>21.616</v>
      </c>
      <c r="G398" s="79">
        <v>0.23599999999999999</v>
      </c>
      <c r="I398" s="27">
        <f>AVERAGE(F397:F398)</f>
        <v>12.762499999999999</v>
      </c>
      <c r="J398" s="27">
        <f>AVERAGE(G397:G398)</f>
        <v>0.28349999999999997</v>
      </c>
      <c r="L398">
        <f>+J398/I398</f>
        <v>2.2213516160626837E-2</v>
      </c>
      <c r="M398">
        <f>+(L398-$L$619)/$L$620</f>
        <v>-0.33041268787708844</v>
      </c>
      <c r="N398">
        <f>+N396+M398</f>
        <v>-8.9029538785876667</v>
      </c>
    </row>
    <row r="399" spans="1:14">
      <c r="A399" s="15">
        <v>3</v>
      </c>
      <c r="B399" s="70">
        <v>42379</v>
      </c>
      <c r="E399" s="15">
        <v>1</v>
      </c>
      <c r="F399" s="80">
        <v>3.625</v>
      </c>
      <c r="G399" s="80">
        <v>3.5000000000000003E-2</v>
      </c>
    </row>
    <row r="400" spans="1:14">
      <c r="A400" s="15">
        <v>4</v>
      </c>
      <c r="B400" s="70">
        <v>42374</v>
      </c>
      <c r="E400" s="15">
        <v>1</v>
      </c>
      <c r="F400" s="80">
        <v>5.08</v>
      </c>
      <c r="G400" s="80">
        <v>0.23200000000000001</v>
      </c>
      <c r="I400" s="27">
        <f>AVERAGE(F399:F400)</f>
        <v>4.3525</v>
      </c>
      <c r="J400" s="27">
        <f>AVERAGE(G399:G400)</f>
        <v>0.13350000000000001</v>
      </c>
      <c r="L400">
        <f>+J400/I400</f>
        <v>3.0672027570361863E-2</v>
      </c>
      <c r="M400">
        <f>+(L400-$L$619)/$L$620</f>
        <v>-0.20176162604659517</v>
      </c>
      <c r="N400">
        <f>+N398+M400</f>
        <v>-9.104715504634262</v>
      </c>
    </row>
    <row r="401" spans="1:14">
      <c r="A401" s="15">
        <v>3</v>
      </c>
      <c r="B401" s="71">
        <v>42401</v>
      </c>
      <c r="E401" s="15">
        <v>2</v>
      </c>
      <c r="F401" s="80">
        <v>13.26</v>
      </c>
      <c r="G401" s="80">
        <v>4.9020000000000001</v>
      </c>
      <c r="I401" s="27"/>
      <c r="J401" s="27"/>
    </row>
    <row r="402" spans="1:14">
      <c r="A402" s="15">
        <v>4</v>
      </c>
      <c r="B402" s="71">
        <v>42401</v>
      </c>
      <c r="E402" s="15">
        <v>2</v>
      </c>
      <c r="F402" s="80">
        <v>24.975999999999999</v>
      </c>
      <c r="G402" s="80">
        <v>9.6050000000000004</v>
      </c>
      <c r="I402" s="27">
        <f>AVERAGE(F401:F402)</f>
        <v>19.117999999999999</v>
      </c>
      <c r="J402" s="27">
        <f>AVERAGE(G401:G402)</f>
        <v>7.2535000000000007</v>
      </c>
      <c r="L402">
        <f>+J402/I402</f>
        <v>0.37940684171984523</v>
      </c>
      <c r="M402">
        <f>+(L402-$L$619)/$L$620</f>
        <v>5.1023754690402363</v>
      </c>
      <c r="N402">
        <f>+N400+M402</f>
        <v>-4.0023400355940257</v>
      </c>
    </row>
    <row r="403" spans="1:14">
      <c r="A403" s="15">
        <v>3</v>
      </c>
      <c r="B403" s="71">
        <v>42430</v>
      </c>
      <c r="E403" s="15">
        <v>3</v>
      </c>
      <c r="F403" s="80">
        <v>2.0760000000000001</v>
      </c>
      <c r="G403" s="80">
        <v>0.66900000000000004</v>
      </c>
      <c r="I403" s="27"/>
      <c r="J403" s="27"/>
    </row>
    <row r="404" spans="1:14">
      <c r="A404" s="15">
        <v>4</v>
      </c>
      <c r="B404" s="71">
        <v>42430</v>
      </c>
      <c r="E404" s="15">
        <v>3</v>
      </c>
      <c r="F404" s="80">
        <v>2.532</v>
      </c>
      <c r="G404" s="80">
        <v>0.67900000000000005</v>
      </c>
      <c r="I404" s="27">
        <f>AVERAGE(F403:F404)</f>
        <v>2.3040000000000003</v>
      </c>
      <c r="J404" s="27">
        <f>AVERAGE(G403:G404)</f>
        <v>0.67400000000000004</v>
      </c>
      <c r="L404">
        <f>+J404/I404</f>
        <v>0.29253472222222221</v>
      </c>
      <c r="M404">
        <f>+(L404-$L$619)/$L$620</f>
        <v>3.7810802818076636</v>
      </c>
      <c r="N404">
        <f>+N402+M404</f>
        <v>-0.22125975378636209</v>
      </c>
    </row>
    <row r="405" spans="1:14">
      <c r="A405" s="15">
        <v>3</v>
      </c>
      <c r="B405" s="71">
        <v>42461</v>
      </c>
      <c r="C405" s="87" t="s">
        <v>93</v>
      </c>
      <c r="E405" s="15">
        <v>4</v>
      </c>
      <c r="F405" s="80">
        <v>2.3330000000000002</v>
      </c>
      <c r="G405" s="80">
        <v>0.01</v>
      </c>
    </row>
    <row r="406" spans="1:14">
      <c r="A406" s="15">
        <v>3</v>
      </c>
      <c r="B406" s="71">
        <v>42461</v>
      </c>
      <c r="C406" s="87" t="s">
        <v>95</v>
      </c>
      <c r="E406" s="15">
        <v>4</v>
      </c>
      <c r="F406" s="80">
        <v>3.2109999999999999</v>
      </c>
      <c r="G406" s="80">
        <v>2.8000000000000001E-2</v>
      </c>
      <c r="I406" s="27">
        <f>AVERAGE(F405:F406)</f>
        <v>2.7720000000000002</v>
      </c>
      <c r="J406" s="27">
        <f>AVERAGE(G405:G406)</f>
        <v>1.9E-2</v>
      </c>
      <c r="L406">
        <f>+J406/I406</f>
        <v>6.8542568542568532E-3</v>
      </c>
      <c r="M406">
        <f>+(L406-$L$619)/$L$620</f>
        <v>-0.56402176197731291</v>
      </c>
      <c r="N406">
        <f>+N404+M406</f>
        <v>-0.785281515763675</v>
      </c>
    </row>
    <row r="407" spans="1:14">
      <c r="A407" s="15">
        <v>4</v>
      </c>
      <c r="B407" s="71">
        <v>42491</v>
      </c>
      <c r="C407" s="89" t="s">
        <v>97</v>
      </c>
      <c r="E407" s="15">
        <v>5</v>
      </c>
      <c r="F407" s="80">
        <v>9.4429999999999996</v>
      </c>
      <c r="G407" s="80">
        <v>0.28799999999999998</v>
      </c>
    </row>
    <row r="408" spans="1:14">
      <c r="A408" s="15">
        <v>3</v>
      </c>
      <c r="B408" s="71">
        <v>42491</v>
      </c>
      <c r="C408" s="89" t="s">
        <v>94</v>
      </c>
      <c r="E408" s="15">
        <v>5</v>
      </c>
      <c r="F408" s="80">
        <v>9.1739999999999995</v>
      </c>
      <c r="G408" s="80">
        <v>0.76300000000000001</v>
      </c>
      <c r="I408" s="27">
        <f>AVERAGE(F407:F408)</f>
        <v>9.3084999999999987</v>
      </c>
      <c r="J408" s="27">
        <f>AVERAGE(G407:G408)</f>
        <v>0.52549999999999997</v>
      </c>
      <c r="L408">
        <f>+J408/I408</f>
        <v>5.6453778804318636E-2</v>
      </c>
      <c r="M408">
        <f>+(L408-$L$619)/$L$620</f>
        <v>0.19036998097361379</v>
      </c>
      <c r="N408">
        <f>+N406+M408</f>
        <v>-0.5949115347900612</v>
      </c>
    </row>
    <row r="409" spans="1:14">
      <c r="A409" s="15">
        <v>4</v>
      </c>
      <c r="B409" s="71">
        <v>42522</v>
      </c>
      <c r="C409" s="86"/>
      <c r="E409" s="15">
        <v>6</v>
      </c>
      <c r="F409" s="80">
        <v>13.496</v>
      </c>
      <c r="G409" s="80">
        <v>0.158</v>
      </c>
    </row>
    <row r="410" spans="1:14">
      <c r="A410" s="15">
        <v>3</v>
      </c>
      <c r="B410" s="71">
        <v>42522</v>
      </c>
      <c r="C410" s="86"/>
      <c r="E410" s="15">
        <v>6</v>
      </c>
      <c r="F410" s="80">
        <v>12.191000000000001</v>
      </c>
      <c r="G410" s="80">
        <v>0.153</v>
      </c>
      <c r="I410" s="27">
        <f>AVERAGE(F409:F410)</f>
        <v>12.843500000000001</v>
      </c>
      <c r="J410" s="27">
        <f>AVERAGE(G409:G410)</f>
        <v>0.1555</v>
      </c>
      <c r="L410">
        <f>+J410/I410</f>
        <v>1.2107291626114377E-2</v>
      </c>
      <c r="M410">
        <f>+(L410-$L$619)/$L$620</f>
        <v>-0.48412490205770875</v>
      </c>
      <c r="N410">
        <f>+N408+M410</f>
        <v>-1.0790364368477698</v>
      </c>
    </row>
    <row r="411" spans="1:14">
      <c r="A411" s="15">
        <v>4</v>
      </c>
      <c r="B411" s="71">
        <v>42552</v>
      </c>
      <c r="C411" s="86"/>
      <c r="E411" s="15">
        <v>7</v>
      </c>
      <c r="F411" s="80">
        <v>15.342000000000001</v>
      </c>
      <c r="G411" s="80">
        <v>0.53</v>
      </c>
      <c r="I411" s="27"/>
      <c r="J411" s="27"/>
    </row>
    <row r="412" spans="1:14">
      <c r="A412" s="15">
        <v>3</v>
      </c>
      <c r="B412" s="71">
        <v>42552</v>
      </c>
      <c r="C412" s="86"/>
      <c r="E412" s="15">
        <v>7</v>
      </c>
      <c r="F412" s="80">
        <v>11.294</v>
      </c>
      <c r="G412" s="80">
        <v>0.55800000000000005</v>
      </c>
      <c r="I412" s="27">
        <f>AVERAGE(F411:F412)</f>
        <v>13.318000000000001</v>
      </c>
      <c r="J412" s="27">
        <f>AVERAGE(G411:G412)</f>
        <v>0.54400000000000004</v>
      </c>
      <c r="L412">
        <f>+J412/I412</f>
        <v>4.084697402012314E-2</v>
      </c>
      <c r="M412">
        <f>+(L412-$L$619)/$L$620</f>
        <v>-4.7004175069626779E-2</v>
      </c>
      <c r="N412">
        <f>+N410+M412</f>
        <v>-1.1260406119173967</v>
      </c>
    </row>
    <row r="413" spans="1:14">
      <c r="A413" s="15">
        <v>4</v>
      </c>
      <c r="B413" s="71">
        <v>42583</v>
      </c>
      <c r="C413" s="86"/>
      <c r="E413" s="15">
        <v>8</v>
      </c>
      <c r="F413" s="80">
        <v>24.283000000000001</v>
      </c>
      <c r="G413" s="80">
        <v>0.376</v>
      </c>
      <c r="I413" s="27"/>
      <c r="J413" s="27"/>
    </row>
    <row r="414" spans="1:14">
      <c r="A414" s="15">
        <v>3</v>
      </c>
      <c r="B414" s="71">
        <v>42583</v>
      </c>
      <c r="C414" s="86"/>
      <c r="E414" s="15">
        <v>8</v>
      </c>
      <c r="F414" s="80">
        <v>37.298000000000002</v>
      </c>
      <c r="G414" s="80">
        <v>0.51100000000000001</v>
      </c>
      <c r="I414" s="27">
        <f>AVERAGE(F413:F414)</f>
        <v>30.790500000000002</v>
      </c>
      <c r="J414" s="27">
        <f>AVERAGE(G413:G414)</f>
        <v>0.44350000000000001</v>
      </c>
      <c r="L414">
        <f>+J414/I414</f>
        <v>1.4403793377827576E-2</v>
      </c>
      <c r="M414">
        <f>+(L414-$L$619)/$L$620</f>
        <v>-0.44919589687679046</v>
      </c>
      <c r="N414">
        <f>+N412+M414</f>
        <v>-1.5752365087941871</v>
      </c>
    </row>
    <row r="415" spans="1:14">
      <c r="A415" s="15">
        <v>4</v>
      </c>
      <c r="B415" s="71">
        <v>42614</v>
      </c>
      <c r="C415" s="86"/>
      <c r="E415" s="15">
        <v>9</v>
      </c>
      <c r="F415" s="80">
        <v>19.100000000000001</v>
      </c>
      <c r="G415" s="80">
        <v>0.26200000000000001</v>
      </c>
    </row>
    <row r="416" spans="1:14">
      <c r="A416" s="15">
        <v>3</v>
      </c>
      <c r="B416" s="71">
        <v>42614</v>
      </c>
      <c r="C416" s="86"/>
      <c r="E416" s="15">
        <v>9</v>
      </c>
      <c r="F416" s="80">
        <v>18.978000000000002</v>
      </c>
      <c r="G416" s="80">
        <v>0.14000000000000001</v>
      </c>
      <c r="I416" s="27">
        <f>AVERAGE(F415:F416)</f>
        <v>19.039000000000001</v>
      </c>
      <c r="J416" s="27">
        <f>AVERAGE(G415:G416)</f>
        <v>0.20100000000000001</v>
      </c>
      <c r="L416">
        <f>+J416/I416</f>
        <v>1.0557277167918483E-2</v>
      </c>
      <c r="M416">
        <f>+(L416-$L$619)/$L$620</f>
        <v>-0.50770009114712855</v>
      </c>
      <c r="N416">
        <f>+N414+M416</f>
        <v>-2.0829365999413154</v>
      </c>
    </row>
    <row r="417" spans="1:14">
      <c r="A417" s="15">
        <v>4</v>
      </c>
      <c r="B417" s="71">
        <v>42644</v>
      </c>
      <c r="C417" s="86"/>
      <c r="E417" s="15">
        <v>10</v>
      </c>
      <c r="F417" s="80">
        <v>6.383</v>
      </c>
      <c r="G417" s="80">
        <v>1.4330000000000001</v>
      </c>
    </row>
    <row r="418" spans="1:14">
      <c r="A418" s="15">
        <v>3</v>
      </c>
      <c r="B418" s="71">
        <v>42644</v>
      </c>
      <c r="C418" s="86"/>
      <c r="E418" s="15">
        <v>10</v>
      </c>
      <c r="F418" s="80">
        <v>2.3820000000000001</v>
      </c>
      <c r="G418" s="80">
        <v>0.309</v>
      </c>
      <c r="I418" s="27">
        <f>AVERAGE(F417:F418)</f>
        <v>4.3825000000000003</v>
      </c>
      <c r="J418" s="27">
        <f>AVERAGE(G417:G418)</f>
        <v>0.871</v>
      </c>
      <c r="L418">
        <f>+J418/I418</f>
        <v>0.19874500855675983</v>
      </c>
      <c r="M418">
        <f>+(L418-$L$619)/$L$620</f>
        <v>2.3545708562895338</v>
      </c>
      <c r="N418">
        <f>+N416+M418</f>
        <v>0.27163425634821836</v>
      </c>
    </row>
    <row r="419" spans="1:14">
      <c r="A419" s="15">
        <v>4</v>
      </c>
      <c r="B419" s="71">
        <v>42675</v>
      </c>
      <c r="C419" s="86"/>
      <c r="E419" s="15">
        <v>11</v>
      </c>
      <c r="F419" s="80">
        <v>6.407</v>
      </c>
      <c r="G419" s="80">
        <v>3.5999999999999997E-2</v>
      </c>
    </row>
    <row r="420" spans="1:14">
      <c r="A420" s="15">
        <v>3</v>
      </c>
      <c r="B420" s="71">
        <v>42675</v>
      </c>
      <c r="C420" s="86"/>
      <c r="E420" s="15">
        <v>11</v>
      </c>
      <c r="F420" s="80">
        <v>4.0090000000000003</v>
      </c>
      <c r="G420" s="80">
        <v>3.5000000000000003E-2</v>
      </c>
      <c r="I420" s="27">
        <f>AVERAGE(F419:F420)</f>
        <v>5.2080000000000002</v>
      </c>
      <c r="J420" s="27">
        <f>AVERAGE(G419:G420)</f>
        <v>3.5500000000000004E-2</v>
      </c>
      <c r="L420">
        <f>+J420/I420</f>
        <v>6.8164362519201232E-3</v>
      </c>
      <c r="M420">
        <f>+(L420-$L$619)/$L$620</f>
        <v>-0.56459700038676752</v>
      </c>
      <c r="N420">
        <f>+N418+M420</f>
        <v>-0.29296274403854916</v>
      </c>
    </row>
    <row r="421" spans="1:14">
      <c r="A421" s="15">
        <v>4</v>
      </c>
      <c r="B421" s="72">
        <v>42705</v>
      </c>
      <c r="C421" s="86"/>
      <c r="E421" s="15">
        <v>12</v>
      </c>
      <c r="F421" s="80">
        <v>6.2960000000000003</v>
      </c>
      <c r="G421" s="80">
        <v>1.359</v>
      </c>
    </row>
    <row r="422" spans="1:14">
      <c r="A422" s="15">
        <v>3</v>
      </c>
      <c r="B422" s="71">
        <v>42705</v>
      </c>
      <c r="C422" s="86"/>
      <c r="E422" s="15">
        <v>12</v>
      </c>
      <c r="F422" s="80">
        <v>8.6300000000000008</v>
      </c>
      <c r="G422" s="80">
        <v>2.0299999999999998</v>
      </c>
      <c r="I422" s="27">
        <f>AVERAGE(F421:F422)</f>
        <v>7.463000000000001</v>
      </c>
      <c r="J422" s="27">
        <f>AVERAGE(G421:G422)</f>
        <v>1.6944999999999999</v>
      </c>
      <c r="L422">
        <f>+J422/I422</f>
        <v>0.22705346375452226</v>
      </c>
      <c r="M422">
        <f>+(L422-$L$619)/$L$620</f>
        <v>2.7851327653012721</v>
      </c>
      <c r="N422">
        <f>+N420+M422</f>
        <v>2.4921700212627229</v>
      </c>
    </row>
    <row r="423" spans="1:14">
      <c r="A423" s="15">
        <v>3</v>
      </c>
      <c r="B423" s="70">
        <v>42745</v>
      </c>
      <c r="E423" s="15">
        <v>1</v>
      </c>
    </row>
    <row r="424" spans="1:14">
      <c r="A424" s="15">
        <v>4</v>
      </c>
      <c r="B424" s="70">
        <v>42740</v>
      </c>
      <c r="E424" s="15">
        <v>1</v>
      </c>
    </row>
    <row r="425" spans="1:14">
      <c r="A425" s="15">
        <v>3</v>
      </c>
      <c r="B425" s="71">
        <v>42767</v>
      </c>
      <c r="E425" s="15">
        <v>2</v>
      </c>
    </row>
    <row r="426" spans="1:14">
      <c r="A426" s="15">
        <v>4</v>
      </c>
      <c r="B426" s="71">
        <v>42767</v>
      </c>
      <c r="E426" s="15">
        <v>2</v>
      </c>
    </row>
    <row r="427" spans="1:14">
      <c r="A427" s="15">
        <v>3</v>
      </c>
      <c r="B427" s="71">
        <v>42795</v>
      </c>
      <c r="E427" s="15">
        <v>3</v>
      </c>
      <c r="F427" s="80">
        <v>2.089</v>
      </c>
      <c r="G427" s="80">
        <v>9.9989999999999996E-4</v>
      </c>
    </row>
    <row r="428" spans="1:14">
      <c r="A428" s="15">
        <v>4</v>
      </c>
      <c r="B428" s="71">
        <v>42795</v>
      </c>
      <c r="E428" s="15">
        <v>3</v>
      </c>
      <c r="F428" s="80">
        <v>2.786</v>
      </c>
      <c r="G428" s="80">
        <v>9.9989999999999996E-4</v>
      </c>
      <c r="I428" s="27">
        <f>AVERAGE(F427:F428)</f>
        <v>2.4375</v>
      </c>
      <c r="J428" s="27">
        <f>AVERAGE(G427:G428)</f>
        <v>9.9989999999999996E-4</v>
      </c>
      <c r="L428">
        <f>+J428/I428</f>
        <v>4.1021538461538459E-4</v>
      </c>
      <c r="M428">
        <f>+(L428-$L$619)/$L$620</f>
        <v>-0.66203342589668313</v>
      </c>
      <c r="N428">
        <f>+N422+M428</f>
        <v>1.8301365953660398</v>
      </c>
    </row>
    <row r="429" spans="1:14">
      <c r="A429" s="15">
        <v>3</v>
      </c>
      <c r="B429" s="71">
        <v>42826</v>
      </c>
      <c r="E429" s="15">
        <v>4</v>
      </c>
      <c r="I429" s="27"/>
      <c r="J429" s="27"/>
    </row>
    <row r="430" spans="1:14">
      <c r="A430" s="15">
        <v>4</v>
      </c>
      <c r="B430" s="71">
        <v>42826</v>
      </c>
      <c r="E430" s="15">
        <v>4</v>
      </c>
      <c r="I430" s="27"/>
      <c r="J430" s="27"/>
    </row>
    <row r="431" spans="1:14">
      <c r="A431" s="15">
        <v>3</v>
      </c>
      <c r="B431" s="71">
        <v>42856</v>
      </c>
      <c r="C431" s="87" t="s">
        <v>93</v>
      </c>
      <c r="E431" s="15">
        <v>5</v>
      </c>
      <c r="F431" s="80">
        <v>24.265999999999998</v>
      </c>
      <c r="G431" s="80">
        <v>0.08</v>
      </c>
      <c r="I431" s="27"/>
      <c r="J431" s="27"/>
    </row>
    <row r="432" spans="1:14">
      <c r="A432" s="15">
        <v>3</v>
      </c>
      <c r="B432" s="71">
        <v>42856</v>
      </c>
      <c r="C432" s="87" t="s">
        <v>95</v>
      </c>
      <c r="E432" s="15">
        <v>5</v>
      </c>
      <c r="F432" s="80">
        <v>26.532</v>
      </c>
      <c r="G432" s="80">
        <v>9.1999999999999998E-2</v>
      </c>
      <c r="I432" s="27">
        <f>AVERAGE(F431:F432)</f>
        <v>25.399000000000001</v>
      </c>
      <c r="J432" s="27">
        <f>AVERAGE(G431:G432)</f>
        <v>8.5999999999999993E-2</v>
      </c>
      <c r="L432">
        <f>+J432/I432</f>
        <v>3.3859600771683923E-3</v>
      </c>
      <c r="M432">
        <f>+(L432-$L$619)/$L$620</f>
        <v>-0.61677336819991257</v>
      </c>
      <c r="N432">
        <f>+N428+M432</f>
        <v>1.2133632271661272</v>
      </c>
    </row>
    <row r="433" spans="1:14">
      <c r="A433" s="15">
        <v>4</v>
      </c>
      <c r="B433" s="71">
        <v>42887</v>
      </c>
      <c r="C433" s="89" t="s">
        <v>96</v>
      </c>
      <c r="E433" s="15">
        <v>6</v>
      </c>
      <c r="F433" s="81">
        <v>8.9930000000000003</v>
      </c>
      <c r="G433" s="81">
        <v>2.3E-2</v>
      </c>
    </row>
    <row r="434" spans="1:14">
      <c r="A434" s="15">
        <v>3</v>
      </c>
      <c r="B434" s="71">
        <v>42887</v>
      </c>
      <c r="C434" s="89" t="s">
        <v>94</v>
      </c>
      <c r="E434" s="15">
        <v>6</v>
      </c>
      <c r="F434" s="80">
        <v>12.997999999999999</v>
      </c>
      <c r="G434" s="80">
        <v>0.14099999999999999</v>
      </c>
      <c r="I434" s="27">
        <f>AVERAGE(F433:F434)</f>
        <v>10.9955</v>
      </c>
      <c r="J434" s="27">
        <f>AVERAGE(G433:G434)</f>
        <v>8.199999999999999E-2</v>
      </c>
      <c r="L434">
        <f>+J434/I434</f>
        <v>7.4575962893911139E-3</v>
      </c>
      <c r="M434">
        <f>+(L434-$L$619)/$L$620</f>
        <v>-0.55484517578923997</v>
      </c>
      <c r="N434">
        <f>+N432+M434</f>
        <v>0.65851805137688724</v>
      </c>
    </row>
    <row r="435" spans="1:14">
      <c r="A435" s="15">
        <v>4</v>
      </c>
      <c r="B435" s="71">
        <v>42917</v>
      </c>
      <c r="C435" s="86"/>
      <c r="E435" s="15">
        <v>7</v>
      </c>
      <c r="F435" s="80">
        <v>16.434000000000001</v>
      </c>
      <c r="G435" s="80">
        <v>0.127</v>
      </c>
    </row>
    <row r="436" spans="1:14">
      <c r="A436" s="15">
        <v>3</v>
      </c>
      <c r="B436" s="71">
        <v>42917</v>
      </c>
      <c r="C436" s="86"/>
      <c r="E436" s="15">
        <v>7</v>
      </c>
      <c r="F436" s="80">
        <v>27.914000000000001</v>
      </c>
      <c r="G436" s="80">
        <v>0.32400000000000001</v>
      </c>
      <c r="I436" s="27">
        <f>AVERAGE(F435:F436)</f>
        <v>22.173999999999999</v>
      </c>
      <c r="J436" s="27">
        <f>AVERAGE(G435:G436)</f>
        <v>0.22550000000000001</v>
      </c>
      <c r="L436">
        <f>+J436/I436</f>
        <v>1.0169567962478579E-2</v>
      </c>
      <c r="M436">
        <f>+(L436-$L$619)/$L$620</f>
        <v>-0.51359701538652769</v>
      </c>
      <c r="N436">
        <f>+N434+M436</f>
        <v>0.14492103599035955</v>
      </c>
    </row>
    <row r="437" spans="1:14">
      <c r="A437" s="15">
        <v>4</v>
      </c>
      <c r="B437" s="71">
        <v>42948</v>
      </c>
      <c r="C437" s="86"/>
      <c r="E437" s="15">
        <v>8</v>
      </c>
    </row>
    <row r="438" spans="1:14">
      <c r="A438" s="15">
        <v>3</v>
      </c>
      <c r="B438" s="71">
        <v>42948</v>
      </c>
      <c r="C438" s="86"/>
      <c r="E438" s="15">
        <v>8</v>
      </c>
      <c r="I438" s="27"/>
      <c r="J438" s="27"/>
    </row>
    <row r="439" spans="1:14">
      <c r="A439" s="15">
        <v>4</v>
      </c>
      <c r="B439" s="71">
        <v>42979</v>
      </c>
      <c r="C439" s="86"/>
      <c r="E439" s="15">
        <v>9</v>
      </c>
      <c r="F439" s="80">
        <v>7.6879999999999997</v>
      </c>
      <c r="G439" s="80">
        <v>0.26400000000000001</v>
      </c>
      <c r="I439" s="27"/>
      <c r="J439" s="27"/>
    </row>
    <row r="440" spans="1:14">
      <c r="A440" s="15">
        <v>3</v>
      </c>
      <c r="B440" s="71">
        <v>42979</v>
      </c>
      <c r="C440" s="86"/>
      <c r="E440" s="15">
        <v>9</v>
      </c>
      <c r="F440" s="80">
        <v>7.234</v>
      </c>
      <c r="G440" s="80">
        <v>0.186</v>
      </c>
      <c r="I440" s="27">
        <f>AVERAGE(F439:F440)</f>
        <v>7.4610000000000003</v>
      </c>
      <c r="J440" s="27">
        <f>AVERAGE(G439:G440)</f>
        <v>0.22500000000000001</v>
      </c>
      <c r="L440">
        <f>+J440/I440</f>
        <v>3.0156815440289506E-2</v>
      </c>
      <c r="M440">
        <f>+(L440-$L$619)/$L$620</f>
        <v>-0.20959782610485522</v>
      </c>
      <c r="N440">
        <f>+N436+M440</f>
        <v>-6.4676790114495675E-2</v>
      </c>
    </row>
    <row r="441" spans="1:14">
      <c r="A441" s="15">
        <v>4</v>
      </c>
      <c r="B441" s="71">
        <v>43009</v>
      </c>
      <c r="C441" s="86"/>
      <c r="E441" s="15">
        <v>10</v>
      </c>
      <c r="F441" s="80">
        <v>3.2869999999999999</v>
      </c>
      <c r="G441" s="80">
        <v>8.8999999999999996E-2</v>
      </c>
      <c r="I441" s="27"/>
      <c r="J441" s="27"/>
    </row>
    <row r="442" spans="1:14">
      <c r="A442" s="15">
        <v>3</v>
      </c>
      <c r="B442" s="71">
        <v>43009</v>
      </c>
      <c r="C442" s="86"/>
      <c r="E442" s="15">
        <v>10</v>
      </c>
      <c r="F442" s="80">
        <v>4.7690000000000001</v>
      </c>
      <c r="G442" s="80">
        <v>0.13200000000000001</v>
      </c>
      <c r="I442" s="27">
        <f>AVERAGE(F441:F442)</f>
        <v>4.0280000000000005</v>
      </c>
      <c r="J442" s="27">
        <f>AVERAGE(G441:G442)</f>
        <v>0.1105</v>
      </c>
      <c r="L442">
        <f>+J442/I442</f>
        <v>2.7432969215491557E-2</v>
      </c>
      <c r="M442">
        <f>+(L442-$L$619)/$L$620</f>
        <v>-0.25102659437251124</v>
      </c>
      <c r="N442">
        <f>+N440+M442</f>
        <v>-0.31570338448700691</v>
      </c>
    </row>
    <row r="443" spans="1:14">
      <c r="A443" s="15">
        <v>4</v>
      </c>
      <c r="B443" s="71">
        <v>43040</v>
      </c>
      <c r="C443" s="86"/>
      <c r="E443" s="15">
        <v>11</v>
      </c>
    </row>
    <row r="444" spans="1:14">
      <c r="A444" s="15">
        <v>3</v>
      </c>
      <c r="B444" s="71">
        <v>43040</v>
      </c>
      <c r="C444" s="86"/>
      <c r="E444" s="15">
        <v>11</v>
      </c>
      <c r="I444" s="27"/>
      <c r="J444" s="27"/>
    </row>
    <row r="445" spans="1:14">
      <c r="A445" s="15">
        <v>4</v>
      </c>
      <c r="B445" s="72">
        <v>43070</v>
      </c>
      <c r="C445" s="86"/>
      <c r="E445" s="15">
        <v>12</v>
      </c>
      <c r="F445" s="80">
        <v>6.2939999999999996</v>
      </c>
      <c r="G445" s="80">
        <v>0.56899999999999995</v>
      </c>
    </row>
    <row r="446" spans="1:14">
      <c r="A446" s="15">
        <v>3</v>
      </c>
      <c r="B446" s="71">
        <v>43070</v>
      </c>
      <c r="C446" s="86"/>
      <c r="E446" s="15">
        <v>12</v>
      </c>
      <c r="F446" s="80">
        <v>9.3949999999999996</v>
      </c>
      <c r="G446" s="80">
        <v>0.93200000000000005</v>
      </c>
      <c r="I446" s="27">
        <f>AVERAGE(F445:F446)</f>
        <v>7.8445</v>
      </c>
      <c r="J446" s="27">
        <f>AVERAGE(G445:G446)</f>
        <v>0.75049999999999994</v>
      </c>
      <c r="L446">
        <f>+J446/I446</f>
        <v>9.5672126967939308E-2</v>
      </c>
      <c r="M446">
        <f>+(L446-$L$619)/$L$620</f>
        <v>0.78686762578152358</v>
      </c>
      <c r="N446">
        <f>+N442+M446</f>
        <v>0.47116424129451667</v>
      </c>
    </row>
    <row r="447" spans="1:14">
      <c r="A447" s="15">
        <v>4</v>
      </c>
      <c r="B447" s="70">
        <v>43110</v>
      </c>
      <c r="C447" s="86"/>
      <c r="E447" s="15">
        <v>1</v>
      </c>
      <c r="F447" s="77">
        <v>3.1749999999999998</v>
      </c>
      <c r="G447" s="77">
        <v>0.69</v>
      </c>
    </row>
    <row r="448" spans="1:14">
      <c r="A448" s="15">
        <v>3</v>
      </c>
      <c r="B448" s="70">
        <v>43105</v>
      </c>
      <c r="C448" s="86"/>
      <c r="E448" s="15">
        <v>1</v>
      </c>
      <c r="F448" s="77">
        <v>7.5149999999999997</v>
      </c>
      <c r="G448" s="77">
        <v>1.468</v>
      </c>
      <c r="I448">
        <v>5.3449999999999998</v>
      </c>
      <c r="J448">
        <v>1.079</v>
      </c>
      <c r="L448">
        <v>0.2018709073900842</v>
      </c>
      <c r="M448">
        <f>+(L448-$L$619)/$L$620</f>
        <v>2.4021147070454765</v>
      </c>
      <c r="N448">
        <f>+N446+M448</f>
        <v>2.8732789483399932</v>
      </c>
    </row>
    <row r="449" spans="1:14">
      <c r="A449" s="15">
        <v>3</v>
      </c>
      <c r="B449" s="71">
        <v>43132</v>
      </c>
      <c r="E449" s="15">
        <v>2</v>
      </c>
      <c r="F449" s="77">
        <v>3.4670000000000001</v>
      </c>
      <c r="G449" s="77">
        <v>0.16200000000000001</v>
      </c>
    </row>
    <row r="450" spans="1:14">
      <c r="A450" s="15">
        <v>4</v>
      </c>
      <c r="B450" s="71">
        <v>43132</v>
      </c>
      <c r="E450" s="15">
        <v>2</v>
      </c>
      <c r="F450" s="77">
        <v>3.64</v>
      </c>
      <c r="G450" s="77">
        <v>5.1999999999999998E-2</v>
      </c>
      <c r="I450">
        <v>3.5535000000000001</v>
      </c>
      <c r="J450">
        <v>0.107</v>
      </c>
      <c r="L450">
        <v>3.0111158013226395E-2</v>
      </c>
      <c r="M450">
        <f>+(L450-$L$619)/$L$620</f>
        <v>-0.21029225993459</v>
      </c>
      <c r="N450">
        <f>+N448+M450</f>
        <v>2.662986688405403</v>
      </c>
    </row>
    <row r="451" spans="1:14">
      <c r="A451" s="15">
        <v>3</v>
      </c>
      <c r="B451" s="71">
        <v>43160</v>
      </c>
      <c r="E451" s="15">
        <v>3</v>
      </c>
      <c r="F451" s="77">
        <v>8.5749999999999993</v>
      </c>
      <c r="G451" s="77">
        <v>3.7999999999999999E-2</v>
      </c>
    </row>
    <row r="452" spans="1:14">
      <c r="A452" s="15">
        <v>4</v>
      </c>
      <c r="B452" s="71">
        <v>43160</v>
      </c>
      <c r="E452" s="15">
        <v>3</v>
      </c>
      <c r="F452" s="77">
        <v>6.4320000000000004</v>
      </c>
      <c r="G452" s="77">
        <v>2.8000000000000001E-2</v>
      </c>
      <c r="I452">
        <v>7.5034999999999998</v>
      </c>
      <c r="J452">
        <v>3.3000000000000002E-2</v>
      </c>
      <c r="L452">
        <v>4.3979476244419271E-3</v>
      </c>
      <c r="M452">
        <f>+(L452-$L$619)/$L$620</f>
        <v>-0.60138138417230513</v>
      </c>
      <c r="N452">
        <f>+N450+M452</f>
        <v>2.061605304233098</v>
      </c>
    </row>
    <row r="453" spans="1:14">
      <c r="A453" s="15">
        <v>3</v>
      </c>
      <c r="B453" s="71">
        <v>43191</v>
      </c>
      <c r="E453" s="15">
        <v>4</v>
      </c>
      <c r="F453" s="77">
        <v>5.1970000000000001</v>
      </c>
      <c r="G453" s="77">
        <v>4.3999999999999997E-2</v>
      </c>
    </row>
    <row r="454" spans="1:14">
      <c r="A454" s="15">
        <v>4</v>
      </c>
      <c r="B454" s="71">
        <v>43191</v>
      </c>
      <c r="E454" s="15">
        <v>4</v>
      </c>
      <c r="F454" s="77">
        <v>4.8390000000000004</v>
      </c>
      <c r="G454" s="77">
        <v>0.04</v>
      </c>
      <c r="I454">
        <v>5.0180000000000007</v>
      </c>
      <c r="J454">
        <v>4.1999999999999996E-2</v>
      </c>
      <c r="L454">
        <v>8.3698684734954138E-3</v>
      </c>
      <c r="M454">
        <f>+(L454-$L$619)/$L$620</f>
        <v>-0.54096982828679829</v>
      </c>
      <c r="N454">
        <f>+N452+M454</f>
        <v>1.5206354759462997</v>
      </c>
    </row>
    <row r="455" spans="1:14">
      <c r="A455" s="15">
        <v>3</v>
      </c>
      <c r="B455" s="71">
        <v>43221</v>
      </c>
      <c r="E455" s="15">
        <v>5</v>
      </c>
      <c r="F455" s="78">
        <v>30.202000000000002</v>
      </c>
      <c r="G455" s="78">
        <v>0.186</v>
      </c>
    </row>
    <row r="456" spans="1:14">
      <c r="A456" s="15">
        <v>4</v>
      </c>
      <c r="B456" s="71">
        <v>43221</v>
      </c>
      <c r="E456" s="15">
        <v>5</v>
      </c>
      <c r="F456" s="78">
        <v>36.225000000000001</v>
      </c>
      <c r="G456" s="78">
        <v>0.23400000000000001</v>
      </c>
      <c r="I456">
        <v>33.213500000000003</v>
      </c>
      <c r="J456">
        <v>0.21000000000000002</v>
      </c>
      <c r="L456">
        <v>6.3227302151233683E-3</v>
      </c>
      <c r="M456">
        <f>+(L456-$L$619)/$L$620</f>
        <v>-0.57210610013130714</v>
      </c>
      <c r="N456">
        <f>+N454+M456</f>
        <v>0.94852937581499253</v>
      </c>
    </row>
    <row r="457" spans="1:14">
      <c r="A457" s="15">
        <v>3</v>
      </c>
      <c r="B457" s="71">
        <v>43252</v>
      </c>
      <c r="C457" s="87" t="s">
        <v>93</v>
      </c>
      <c r="E457" s="15">
        <v>6</v>
      </c>
      <c r="F457" s="78">
        <v>7.29</v>
      </c>
      <c r="G457" s="78">
        <v>0.127</v>
      </c>
    </row>
    <row r="458" spans="1:14">
      <c r="A458" s="15">
        <v>3</v>
      </c>
      <c r="B458" s="71">
        <v>43252</v>
      </c>
      <c r="C458" s="87" t="s">
        <v>95</v>
      </c>
      <c r="E458" s="15">
        <v>6</v>
      </c>
      <c r="F458" s="78">
        <v>9.2789999999999999</v>
      </c>
      <c r="G458" s="78">
        <v>0.10199999999999999</v>
      </c>
      <c r="I458">
        <v>8.2844999999999995</v>
      </c>
      <c r="J458">
        <v>0.11449999999999999</v>
      </c>
      <c r="L458">
        <v>1.3820991007302793E-2</v>
      </c>
      <c r="M458">
        <f>+(L458-$L$619)/$L$620</f>
        <v>-0.45806012134530016</v>
      </c>
      <c r="N458">
        <f>+N456+M458</f>
        <v>0.49046925446969236</v>
      </c>
    </row>
    <row r="459" spans="1:14">
      <c r="A459" s="15">
        <v>4</v>
      </c>
      <c r="B459" s="71">
        <v>43282</v>
      </c>
      <c r="C459" s="89" t="s">
        <v>98</v>
      </c>
      <c r="E459" s="15">
        <v>7</v>
      </c>
      <c r="F459" s="78">
        <v>36.165999999999997</v>
      </c>
      <c r="G459" s="78">
        <v>0.17199999999999999</v>
      </c>
    </row>
    <row r="460" spans="1:14">
      <c r="A460" s="15">
        <v>3</v>
      </c>
      <c r="B460" s="71">
        <v>43282</v>
      </c>
      <c r="C460" s="89" t="s">
        <v>94</v>
      </c>
      <c r="E460" s="15">
        <v>7</v>
      </c>
      <c r="F460" s="78">
        <v>27.065999999999999</v>
      </c>
      <c r="G460" s="78">
        <v>0.23599999999999999</v>
      </c>
      <c r="I460">
        <v>31.616</v>
      </c>
      <c r="J460">
        <v>0.20399999999999999</v>
      </c>
      <c r="L460">
        <v>6.4524291497975702E-3</v>
      </c>
      <c r="M460">
        <f>+(L460-$L$619)/$L$620</f>
        <v>-0.57013342375175935</v>
      </c>
      <c r="N460">
        <f>+N458+M460</f>
        <v>-7.9664169282066988E-2</v>
      </c>
    </row>
    <row r="461" spans="1:14">
      <c r="A461" s="15">
        <v>4</v>
      </c>
      <c r="B461" s="71">
        <v>43313</v>
      </c>
      <c r="C461" s="86"/>
      <c r="E461" s="15">
        <v>8</v>
      </c>
      <c r="F461" s="78">
        <v>8.9960000000000004</v>
      </c>
      <c r="G461" s="78">
        <v>2.8000000000000001E-2</v>
      </c>
    </row>
    <row r="462" spans="1:14">
      <c r="A462" s="15">
        <v>3</v>
      </c>
      <c r="B462" s="71">
        <v>43313</v>
      </c>
      <c r="C462" s="86"/>
      <c r="E462" s="15">
        <v>8</v>
      </c>
      <c r="F462" s="78">
        <v>15.891</v>
      </c>
      <c r="G462" s="78">
        <v>8.3000000000000004E-2</v>
      </c>
      <c r="I462">
        <v>12.4435</v>
      </c>
      <c r="J462">
        <v>5.5500000000000001E-2</v>
      </c>
      <c r="L462">
        <v>4.4601599228512876E-3</v>
      </c>
      <c r="M462">
        <f>+(L462-$L$619)/$L$620</f>
        <v>-0.6004351564187943</v>
      </c>
      <c r="N462">
        <f>+N460+M462</f>
        <v>-0.68009932570086129</v>
      </c>
    </row>
    <row r="463" spans="1:14">
      <c r="A463" s="15">
        <v>4</v>
      </c>
      <c r="B463" s="71">
        <v>43344</v>
      </c>
      <c r="C463" s="86"/>
      <c r="E463" s="15">
        <v>9</v>
      </c>
      <c r="F463" s="78">
        <v>12.446999999999999</v>
      </c>
      <c r="G463" s="78">
        <v>0.224</v>
      </c>
    </row>
    <row r="464" spans="1:14">
      <c r="A464" s="15">
        <v>3</v>
      </c>
      <c r="B464" s="71">
        <v>43344</v>
      </c>
      <c r="C464" s="86"/>
      <c r="E464" s="15">
        <v>9</v>
      </c>
      <c r="F464" s="78">
        <v>12.887</v>
      </c>
      <c r="G464" s="78">
        <v>9.5000000000000001E-2</v>
      </c>
      <c r="I464">
        <v>12.667</v>
      </c>
      <c r="J464">
        <v>0.1595</v>
      </c>
      <c r="L464">
        <v>1.2591773900686824E-2</v>
      </c>
      <c r="M464">
        <f>+(L464-$L$619)/$L$620</f>
        <v>-0.47675609257782053</v>
      </c>
      <c r="N464">
        <f>+N462+M464</f>
        <v>-1.1568554182786819</v>
      </c>
    </row>
    <row r="465" spans="1:14">
      <c r="A465" s="15">
        <v>4</v>
      </c>
      <c r="B465" s="71">
        <v>43374</v>
      </c>
      <c r="C465" s="86"/>
      <c r="E465" s="15">
        <v>10</v>
      </c>
      <c r="F465" s="78">
        <v>5.7990000000000004</v>
      </c>
      <c r="G465" s="78">
        <v>0.216</v>
      </c>
    </row>
    <row r="466" spans="1:14">
      <c r="A466" s="15">
        <v>3</v>
      </c>
      <c r="B466" s="71">
        <v>43374</v>
      </c>
      <c r="C466" s="86"/>
      <c r="E466" s="15">
        <v>10</v>
      </c>
      <c r="F466" s="78">
        <v>5.6470000000000002</v>
      </c>
      <c r="G466" s="78">
        <v>0.154</v>
      </c>
      <c r="I466">
        <v>5.7230000000000008</v>
      </c>
      <c r="J466">
        <v>0.185</v>
      </c>
      <c r="L466">
        <v>3.2325703302463739E-2</v>
      </c>
      <c r="M466">
        <f>+(L466-$L$619)/$L$620</f>
        <v>-0.17660978448102482</v>
      </c>
      <c r="N466">
        <f>+N464+M466</f>
        <v>-1.3334652027597067</v>
      </c>
    </row>
    <row r="467" spans="1:14">
      <c r="A467" s="15">
        <v>4</v>
      </c>
      <c r="B467" s="71">
        <v>43405</v>
      </c>
      <c r="C467" s="86"/>
      <c r="E467" s="15">
        <v>11</v>
      </c>
      <c r="F467" s="78">
        <v>3.0449999999999999</v>
      </c>
      <c r="G467" s="78">
        <v>0.68200000000000005</v>
      </c>
    </row>
    <row r="468" spans="1:14">
      <c r="A468" s="15">
        <v>3</v>
      </c>
      <c r="B468" s="71">
        <v>43405</v>
      </c>
      <c r="C468" s="86"/>
      <c r="E468" s="15">
        <v>11</v>
      </c>
      <c r="F468" s="78">
        <v>5.3550000000000004</v>
      </c>
      <c r="G468" s="78">
        <v>2.0129999999999999</v>
      </c>
      <c r="I468">
        <v>4.2</v>
      </c>
      <c r="J468">
        <v>1.3474999999999999</v>
      </c>
      <c r="L468">
        <v>0.3208333333333333</v>
      </c>
      <c r="M468">
        <f>+(L468-$L$619)/$L$620</f>
        <v>4.2114924656326522</v>
      </c>
      <c r="N468">
        <f>+N466+M468</f>
        <v>2.8780272628729455</v>
      </c>
    </row>
    <row r="469" spans="1:14">
      <c r="A469" s="15">
        <v>4</v>
      </c>
      <c r="B469" s="72">
        <v>43435</v>
      </c>
      <c r="C469" s="86"/>
      <c r="E469" s="15">
        <v>12</v>
      </c>
    </row>
    <row r="470" spans="1:14">
      <c r="A470" s="15">
        <v>3</v>
      </c>
      <c r="B470" s="71">
        <v>43435</v>
      </c>
      <c r="C470" s="86"/>
      <c r="E470" s="15">
        <v>12</v>
      </c>
    </row>
    <row r="471" spans="1:14">
      <c r="A471" s="15">
        <v>4</v>
      </c>
      <c r="B471" s="70">
        <v>43475</v>
      </c>
      <c r="C471" s="86"/>
      <c r="E471" s="15">
        <v>1</v>
      </c>
    </row>
    <row r="472" spans="1:14">
      <c r="A472" s="15">
        <v>3</v>
      </c>
      <c r="B472" s="70">
        <v>43470</v>
      </c>
      <c r="C472" s="86"/>
      <c r="E472" s="15">
        <v>1</v>
      </c>
    </row>
    <row r="473" spans="1:14">
      <c r="A473" s="15">
        <v>4</v>
      </c>
      <c r="B473" s="71">
        <v>43497</v>
      </c>
      <c r="C473" s="86"/>
      <c r="E473" s="15">
        <v>2</v>
      </c>
    </row>
    <row r="474" spans="1:14">
      <c r="A474" s="15">
        <v>3</v>
      </c>
      <c r="B474" s="71">
        <v>43497</v>
      </c>
      <c r="C474" s="86"/>
      <c r="E474" s="15">
        <v>2</v>
      </c>
    </row>
    <row r="475" spans="1:14">
      <c r="A475" s="15">
        <v>3</v>
      </c>
      <c r="B475" s="71">
        <v>43525</v>
      </c>
      <c r="E475" s="15">
        <v>3</v>
      </c>
      <c r="F475" s="82">
        <v>4.2220000000000004</v>
      </c>
      <c r="G475" s="82">
        <v>0.99099999999999999</v>
      </c>
    </row>
    <row r="476" spans="1:14">
      <c r="A476" s="15">
        <v>4</v>
      </c>
      <c r="B476" s="71">
        <v>43525</v>
      </c>
      <c r="E476" s="15">
        <v>3</v>
      </c>
      <c r="F476" s="82">
        <v>6.8540000000000001</v>
      </c>
      <c r="G476" s="82">
        <v>2.028</v>
      </c>
      <c r="I476" s="27">
        <f>AVERAGE(F475:F476)</f>
        <v>5.5380000000000003</v>
      </c>
      <c r="J476" s="27">
        <f>AVERAGE(G475:G476)</f>
        <v>1.5095000000000001</v>
      </c>
      <c r="L476">
        <f>+J476/I476</f>
        <v>0.27257132538822682</v>
      </c>
      <c r="M476">
        <f>+(L476-$L$619)/$L$620</f>
        <v>3.4774438526505063</v>
      </c>
      <c r="N476">
        <f>+N468+M476</f>
        <v>6.3554711155234518</v>
      </c>
    </row>
    <row r="477" spans="1:14">
      <c r="A477" s="15">
        <v>3</v>
      </c>
      <c r="B477" s="71">
        <v>43556</v>
      </c>
      <c r="E477" s="15">
        <v>4</v>
      </c>
      <c r="F477" s="83">
        <v>1.8160000000000001</v>
      </c>
      <c r="G477" s="82">
        <v>5.7000000000000002E-2</v>
      </c>
      <c r="I477" s="27"/>
      <c r="J477" s="27"/>
    </row>
    <row r="478" spans="1:14">
      <c r="A478" s="15">
        <v>4</v>
      </c>
      <c r="B478" s="71">
        <v>43556</v>
      </c>
      <c r="E478" s="15">
        <v>4</v>
      </c>
      <c r="F478" s="77">
        <v>4.6609999999999996</v>
      </c>
      <c r="G478" s="82">
        <v>5.3999999999999999E-2</v>
      </c>
      <c r="I478" s="27">
        <f>AVERAGE(F477:F478)</f>
        <v>3.2384999999999997</v>
      </c>
      <c r="J478" s="27">
        <f>AVERAGE(G477:G478)</f>
        <v>5.5500000000000001E-2</v>
      </c>
      <c r="L478">
        <f>+J478/I478</f>
        <v>1.7137563686892083E-2</v>
      </c>
      <c r="M478">
        <f>+(L478-$L$619)/$L$620</f>
        <v>-0.40761618668605348</v>
      </c>
      <c r="N478">
        <f>+N476+M478</f>
        <v>5.9478549288373985</v>
      </c>
    </row>
    <row r="479" spans="1:14">
      <c r="A479" s="15">
        <v>3</v>
      </c>
      <c r="B479" s="71">
        <v>43586</v>
      </c>
      <c r="E479" s="15">
        <v>5</v>
      </c>
      <c r="F479" s="77">
        <v>7.88</v>
      </c>
      <c r="G479" s="82">
        <v>7.4999999999999997E-2</v>
      </c>
      <c r="I479" s="27"/>
      <c r="J479" s="27"/>
    </row>
    <row r="480" spans="1:14">
      <c r="A480" s="15">
        <v>4</v>
      </c>
      <c r="B480" s="71">
        <v>43586</v>
      </c>
      <c r="E480" s="15">
        <v>5</v>
      </c>
      <c r="F480" s="77">
        <v>7.3529999999999998</v>
      </c>
      <c r="G480" s="82">
        <v>8.5000000000000006E-2</v>
      </c>
      <c r="I480" s="27">
        <f>AVERAGE(F479:F480)</f>
        <v>7.6165000000000003</v>
      </c>
      <c r="J480" s="27">
        <f>AVERAGE(G479:G480)</f>
        <v>0.08</v>
      </c>
      <c r="L480">
        <f>+J480/I480</f>
        <v>1.0503512111862404E-2</v>
      </c>
      <c r="M480">
        <f>+(L480-$L$619)/$L$620</f>
        <v>-0.50851783923729832</v>
      </c>
      <c r="N480">
        <f>+N478+M480</f>
        <v>5.4393370896000999</v>
      </c>
    </row>
    <row r="481" spans="1:14">
      <c r="A481" s="15">
        <v>3</v>
      </c>
      <c r="B481" s="71">
        <v>43617</v>
      </c>
      <c r="E481" s="15">
        <v>6</v>
      </c>
      <c r="F481" s="77">
        <v>9.16</v>
      </c>
      <c r="G481" s="82">
        <v>0.105</v>
      </c>
    </row>
    <row r="482" spans="1:14">
      <c r="A482" s="15">
        <v>4</v>
      </c>
      <c r="B482" s="71">
        <v>43617</v>
      </c>
      <c r="E482" s="15">
        <v>6</v>
      </c>
      <c r="F482" s="77">
        <v>11.101000000000001</v>
      </c>
      <c r="G482" s="82">
        <v>0.17599999999999999</v>
      </c>
      <c r="I482" s="27">
        <f>AVERAGE(F481:F482)</f>
        <v>10.130500000000001</v>
      </c>
      <c r="J482" s="27">
        <f>AVERAGE(G481:G482)</f>
        <v>0.14049999999999999</v>
      </c>
      <c r="L482">
        <f>+J482/I482</f>
        <v>1.3869009426977934E-2</v>
      </c>
      <c r="M482">
        <f>+(L482-$L$619)/$L$620</f>
        <v>-0.45732977762648469</v>
      </c>
      <c r="N482">
        <f>+N480+M482</f>
        <v>4.9820073119736152</v>
      </c>
    </row>
    <row r="483" spans="1:14">
      <c r="A483" s="15">
        <v>3</v>
      </c>
      <c r="B483" s="71">
        <v>43647</v>
      </c>
      <c r="C483" s="87" t="s">
        <v>93</v>
      </c>
      <c r="E483" s="15">
        <v>7</v>
      </c>
      <c r="F483" s="78">
        <v>8.9380000000000006</v>
      </c>
      <c r="G483" s="84">
        <v>0.14099999999999999</v>
      </c>
    </row>
    <row r="484" spans="1:14">
      <c r="A484" s="15">
        <v>3</v>
      </c>
      <c r="B484" s="71">
        <v>43647</v>
      </c>
      <c r="C484" s="87" t="s">
        <v>95</v>
      </c>
      <c r="E484" s="15">
        <v>7</v>
      </c>
      <c r="F484" s="78">
        <v>16.071000000000002</v>
      </c>
      <c r="G484" s="84">
        <v>0.32300000000000001</v>
      </c>
      <c r="I484" s="27">
        <f>AVERAGE(F483:F484)</f>
        <v>12.5045</v>
      </c>
      <c r="J484" s="27">
        <f>AVERAGE(G483:G484)</f>
        <v>0.23199999999999998</v>
      </c>
      <c r="L484">
        <f>+J484/I484</f>
        <v>1.8553320804510373E-2</v>
      </c>
      <c r="M484">
        <f>+(L484-$L$619)/$L$620</f>
        <v>-0.38608300576889526</v>
      </c>
      <c r="N484">
        <f>+N482+M484</f>
        <v>4.5959243062047204</v>
      </c>
    </row>
    <row r="485" spans="1:14">
      <c r="A485" s="15">
        <v>4</v>
      </c>
      <c r="B485" s="71">
        <v>43678</v>
      </c>
      <c r="C485" s="89" t="s">
        <v>99</v>
      </c>
      <c r="E485" s="15">
        <v>8</v>
      </c>
      <c r="F485" s="78">
        <v>8.6709999999999994</v>
      </c>
      <c r="G485" s="84">
        <v>9.5000000000000001E-2</v>
      </c>
    </row>
    <row r="486" spans="1:14">
      <c r="A486" s="15">
        <v>3</v>
      </c>
      <c r="B486" s="71">
        <v>43678</v>
      </c>
      <c r="C486" s="89" t="s">
        <v>94</v>
      </c>
      <c r="E486" s="15">
        <v>8</v>
      </c>
      <c r="F486" s="78">
        <v>9.99</v>
      </c>
      <c r="G486" s="84">
        <v>6.6000000000000003E-2</v>
      </c>
      <c r="I486" s="27">
        <f>AVERAGE(F485:F486)</f>
        <v>9.3305000000000007</v>
      </c>
      <c r="J486" s="27">
        <f>AVERAGE(G485:G486)</f>
        <v>8.0500000000000002E-2</v>
      </c>
      <c r="L486">
        <f>+J486/I486</f>
        <v>8.6276190986549484E-3</v>
      </c>
      <c r="M486">
        <f>+(L486-$L$619)/$L$620</f>
        <v>-0.53704952954769813</v>
      </c>
      <c r="N486">
        <f>+N484+M486</f>
        <v>4.0588747766570226</v>
      </c>
    </row>
    <row r="487" spans="1:14">
      <c r="A487" s="15">
        <v>4</v>
      </c>
      <c r="B487" s="71">
        <v>43709</v>
      </c>
      <c r="C487" s="86"/>
      <c r="E487" s="15">
        <v>9</v>
      </c>
      <c r="F487" s="78">
        <v>6.0039999999999996</v>
      </c>
      <c r="G487" s="84">
        <v>9.9989999999999996E-4</v>
      </c>
    </row>
    <row r="488" spans="1:14">
      <c r="A488" s="15">
        <v>3</v>
      </c>
      <c r="B488" s="71">
        <v>43709</v>
      </c>
      <c r="C488" s="86"/>
      <c r="E488" s="15">
        <v>9</v>
      </c>
      <c r="F488" s="78">
        <v>7.3659999999999997</v>
      </c>
      <c r="G488" s="84">
        <v>6.3E-2</v>
      </c>
      <c r="I488" s="27">
        <f>AVERAGE(F487:F488)</f>
        <v>6.6849999999999996</v>
      </c>
      <c r="J488" s="27">
        <f>AVERAGE(G487:G488)</f>
        <v>3.1999949999999999E-2</v>
      </c>
      <c r="L488">
        <f>+J488/I488</f>
        <v>4.7868287210172025E-3</v>
      </c>
      <c r="M488">
        <f>+(L488-$L$619)/$L$620</f>
        <v>-0.59546663587006421</v>
      </c>
      <c r="N488">
        <f>+N486+M488</f>
        <v>3.4634081407869584</v>
      </c>
    </row>
    <row r="489" spans="1:14">
      <c r="A489" s="15">
        <v>4</v>
      </c>
      <c r="B489" s="71">
        <v>43739</v>
      </c>
      <c r="C489" s="86"/>
      <c r="E489" s="15">
        <v>10</v>
      </c>
      <c r="F489" s="78">
        <v>3.508</v>
      </c>
      <c r="G489" s="84">
        <v>0.03</v>
      </c>
      <c r="I489" s="27"/>
      <c r="J489" s="27"/>
    </row>
    <row r="490" spans="1:14">
      <c r="A490" s="15">
        <v>3</v>
      </c>
      <c r="B490" s="71">
        <v>43739</v>
      </c>
      <c r="C490" s="86"/>
      <c r="E490" s="15">
        <v>10</v>
      </c>
      <c r="F490" s="78">
        <v>4.0670000000000002</v>
      </c>
      <c r="G490" s="84">
        <v>2.5000000000000001E-2</v>
      </c>
      <c r="I490" s="27">
        <f>AVERAGE(F489:F490)</f>
        <v>3.7875000000000001</v>
      </c>
      <c r="J490" s="27">
        <f>AVERAGE(G489:G490)</f>
        <v>2.75E-2</v>
      </c>
      <c r="L490">
        <f>+J490/I490</f>
        <v>7.2607260726072608E-3</v>
      </c>
      <c r="M490">
        <f>+(L490-$L$619)/$L$620</f>
        <v>-0.55783950436612073</v>
      </c>
      <c r="N490">
        <f>+N488+M490</f>
        <v>2.9055686364208375</v>
      </c>
    </row>
    <row r="491" spans="1:14">
      <c r="A491" s="15">
        <v>4</v>
      </c>
      <c r="B491" s="71">
        <v>43770</v>
      </c>
      <c r="C491" s="86"/>
      <c r="E491" s="15">
        <v>11</v>
      </c>
      <c r="I491" s="27"/>
      <c r="J491" s="27"/>
    </row>
    <row r="492" spans="1:14">
      <c r="A492" s="15">
        <v>3</v>
      </c>
      <c r="B492" s="71">
        <v>43770</v>
      </c>
      <c r="C492" s="86"/>
      <c r="E492" s="15">
        <v>11</v>
      </c>
      <c r="I492" s="27"/>
      <c r="J492" s="27"/>
    </row>
    <row r="493" spans="1:14">
      <c r="A493" s="15">
        <v>4</v>
      </c>
      <c r="B493" s="72">
        <v>43800</v>
      </c>
      <c r="C493" s="86"/>
      <c r="E493" s="15">
        <v>12</v>
      </c>
      <c r="F493" s="78">
        <v>5.9329999999999998</v>
      </c>
      <c r="G493" s="84">
        <v>0.996</v>
      </c>
    </row>
    <row r="494" spans="1:14">
      <c r="A494" s="15">
        <v>3</v>
      </c>
      <c r="B494" s="71">
        <v>43800</v>
      </c>
      <c r="C494" s="86"/>
      <c r="E494" s="15">
        <v>12</v>
      </c>
      <c r="I494" s="27">
        <f>AVERAGE(F493:F494)</f>
        <v>5.9329999999999998</v>
      </c>
      <c r="J494" s="27">
        <f>AVERAGE(G493:G494)</f>
        <v>0.996</v>
      </c>
      <c r="L494">
        <f>+J494/I494</f>
        <v>0.16787459969661217</v>
      </c>
      <c r="M494">
        <f>+(L494-$L$619)/$L$620</f>
        <v>1.8850425094425229</v>
      </c>
      <c r="N494">
        <f>+N490+M494</f>
        <v>4.7906111458633607</v>
      </c>
    </row>
    <row r="495" spans="1:14">
      <c r="A495" s="93">
        <v>3</v>
      </c>
      <c r="B495" s="90">
        <v>43831</v>
      </c>
      <c r="C495" s="91">
        <v>2020</v>
      </c>
      <c r="D495" s="92" t="s">
        <v>39</v>
      </c>
      <c r="E495" s="93">
        <v>1</v>
      </c>
    </row>
    <row r="496" spans="1:14">
      <c r="A496" s="15">
        <v>4</v>
      </c>
      <c r="B496" s="73">
        <v>43831</v>
      </c>
      <c r="C496">
        <v>2020</v>
      </c>
      <c r="D496" s="11" t="s">
        <v>39</v>
      </c>
      <c r="E496" s="15">
        <v>1</v>
      </c>
      <c r="I496" s="27"/>
      <c r="J496" s="27"/>
    </row>
    <row r="497" spans="1:14">
      <c r="A497" s="15">
        <v>3</v>
      </c>
      <c r="B497" s="71">
        <v>43862</v>
      </c>
      <c r="C497">
        <v>2020</v>
      </c>
      <c r="D497" s="11" t="s">
        <v>28</v>
      </c>
      <c r="E497" s="15">
        <v>2</v>
      </c>
      <c r="F497" s="95">
        <v>1.099</v>
      </c>
      <c r="G497" s="95">
        <v>2.1000000000000001E-2</v>
      </c>
    </row>
    <row r="498" spans="1:14">
      <c r="A498" s="15">
        <v>4</v>
      </c>
      <c r="B498" s="71">
        <v>43862</v>
      </c>
      <c r="C498">
        <v>2020</v>
      </c>
      <c r="D498" s="11" t="s">
        <v>28</v>
      </c>
      <c r="E498" s="15">
        <v>2</v>
      </c>
      <c r="F498" s="95">
        <v>2.0640000000000001</v>
      </c>
      <c r="G498" s="95">
        <v>4.5999999999999999E-2</v>
      </c>
      <c r="I498" s="27">
        <f>AVERAGE(F497:F498)</f>
        <v>1.5815000000000001</v>
      </c>
      <c r="J498" s="27">
        <f>AVERAGE(G497:G498)</f>
        <v>3.3500000000000002E-2</v>
      </c>
      <c r="L498">
        <f>+J498/I498</f>
        <v>2.1182421751501739E-2</v>
      </c>
      <c r="M498">
        <f>+(L498-$L$619)/$L$620</f>
        <v>-0.34609528073010021</v>
      </c>
      <c r="N498">
        <f>+N494+M498</f>
        <v>4.4445158651332601</v>
      </c>
    </row>
    <row r="499" spans="1:14">
      <c r="A499" s="15">
        <v>3</v>
      </c>
      <c r="B499" s="71">
        <v>43891</v>
      </c>
      <c r="C499">
        <v>2020</v>
      </c>
      <c r="D499" s="11" t="s">
        <v>29</v>
      </c>
      <c r="E499" s="15">
        <v>3</v>
      </c>
    </row>
    <row r="500" spans="1:14">
      <c r="A500" s="15">
        <v>4</v>
      </c>
      <c r="B500" s="71">
        <v>43891</v>
      </c>
      <c r="C500">
        <v>2020</v>
      </c>
      <c r="D500" s="11" t="s">
        <v>29</v>
      </c>
      <c r="E500" s="15">
        <v>3</v>
      </c>
    </row>
    <row r="501" spans="1:14">
      <c r="A501" s="15">
        <v>3</v>
      </c>
      <c r="B501" s="71">
        <v>43922</v>
      </c>
      <c r="C501">
        <v>2020</v>
      </c>
      <c r="D501" s="11" t="s">
        <v>30</v>
      </c>
      <c r="E501" s="15">
        <v>4</v>
      </c>
    </row>
    <row r="502" spans="1:14">
      <c r="A502" s="15">
        <v>4</v>
      </c>
      <c r="B502" s="71">
        <v>43922</v>
      </c>
      <c r="C502">
        <v>2020</v>
      </c>
      <c r="D502" s="11" t="s">
        <v>30</v>
      </c>
      <c r="E502" s="15">
        <v>4</v>
      </c>
    </row>
    <row r="503" spans="1:14">
      <c r="A503" s="15">
        <v>3</v>
      </c>
      <c r="B503" s="71">
        <v>43952</v>
      </c>
      <c r="C503">
        <v>2020</v>
      </c>
      <c r="D503" s="11" t="s">
        <v>31</v>
      </c>
      <c r="E503" s="15">
        <v>5</v>
      </c>
    </row>
    <row r="504" spans="1:14">
      <c r="A504" s="15">
        <v>4</v>
      </c>
      <c r="B504" s="71">
        <v>43952</v>
      </c>
      <c r="C504">
        <v>2020</v>
      </c>
      <c r="D504" s="11" t="s">
        <v>31</v>
      </c>
      <c r="E504" s="15">
        <v>5</v>
      </c>
    </row>
    <row r="505" spans="1:14">
      <c r="A505" s="15">
        <v>3</v>
      </c>
      <c r="B505" s="71">
        <v>43983</v>
      </c>
      <c r="C505">
        <v>2020</v>
      </c>
      <c r="D505" s="11" t="s">
        <v>32</v>
      </c>
      <c r="E505" s="15">
        <v>6</v>
      </c>
      <c r="F505" s="95">
        <v>7.609</v>
      </c>
      <c r="G505" s="95">
        <v>6.6000000000000003E-2</v>
      </c>
    </row>
    <row r="506" spans="1:14">
      <c r="A506" s="15">
        <v>4</v>
      </c>
      <c r="B506" s="71">
        <v>43983</v>
      </c>
      <c r="C506">
        <v>2020</v>
      </c>
      <c r="D506" s="11" t="s">
        <v>32</v>
      </c>
      <c r="E506" s="15">
        <v>6</v>
      </c>
      <c r="F506" s="95">
        <v>15.394</v>
      </c>
      <c r="G506" s="95">
        <v>8.5000000000000006E-2</v>
      </c>
      <c r="I506" s="27">
        <f>AVERAGE(F505:F506)</f>
        <v>11.5015</v>
      </c>
      <c r="J506" s="27">
        <f>AVERAGE(G505:G506)</f>
        <v>7.5500000000000012E-2</v>
      </c>
      <c r="L506">
        <f>+J506/I506</f>
        <v>6.5643611702821377E-3</v>
      </c>
      <c r="M506">
        <f>+(L506-$L$619)/$L$620</f>
        <v>-0.56843097605255799</v>
      </c>
      <c r="N506">
        <f>+N498+M506</f>
        <v>3.876084889080702</v>
      </c>
    </row>
    <row r="507" spans="1:14">
      <c r="A507" s="15">
        <v>3</v>
      </c>
      <c r="B507" s="71">
        <v>44013</v>
      </c>
      <c r="C507">
        <v>2020</v>
      </c>
      <c r="D507" s="11" t="s">
        <v>33</v>
      </c>
      <c r="E507" s="15">
        <v>7</v>
      </c>
      <c r="F507" s="95">
        <v>18.829000000000001</v>
      </c>
      <c r="G507" s="95">
        <v>0.34200000000000003</v>
      </c>
    </row>
    <row r="508" spans="1:14">
      <c r="A508" s="15">
        <v>4</v>
      </c>
      <c r="B508" s="71">
        <v>44013</v>
      </c>
      <c r="C508">
        <v>2020</v>
      </c>
      <c r="D508" s="11" t="s">
        <v>33</v>
      </c>
      <c r="E508" s="15">
        <v>7</v>
      </c>
      <c r="F508" s="95">
        <v>29.629000000000001</v>
      </c>
      <c r="G508" s="95">
        <v>0.39</v>
      </c>
      <c r="I508" s="27">
        <f t="shared" ref="I508" si="1">AVERAGE(F507:F508)</f>
        <v>24.228999999999999</v>
      </c>
      <c r="J508" s="27">
        <f t="shared" ref="J508" si="2">AVERAGE(G507:G508)</f>
        <v>0.36599999999999999</v>
      </c>
      <c r="L508">
        <f t="shared" ref="L508" si="3">+J508/I508</f>
        <v>1.5105864872673243E-2</v>
      </c>
      <c r="M508">
        <f t="shared" ref="M508" si="4">+(L508-$L$619)/$L$620</f>
        <v>-0.43851762987240206</v>
      </c>
      <c r="N508">
        <f>+N506+M508</f>
        <v>3.4375672592082998</v>
      </c>
    </row>
    <row r="509" spans="1:14">
      <c r="A509" s="15">
        <v>3</v>
      </c>
      <c r="B509" s="71">
        <v>44044</v>
      </c>
      <c r="C509">
        <v>2020</v>
      </c>
      <c r="D509" s="11" t="s">
        <v>34</v>
      </c>
      <c r="E509" s="15">
        <v>8</v>
      </c>
      <c r="F509" s="95">
        <v>18.225000000000001</v>
      </c>
      <c r="G509" s="95">
        <v>7.3999999999999996E-2</v>
      </c>
    </row>
    <row r="510" spans="1:14">
      <c r="A510" s="15">
        <v>4</v>
      </c>
      <c r="B510" s="71">
        <v>44044</v>
      </c>
      <c r="C510">
        <v>2020</v>
      </c>
      <c r="D510" s="11" t="s">
        <v>34</v>
      </c>
      <c r="E510" s="15">
        <v>8</v>
      </c>
      <c r="F510" s="95">
        <v>39.006</v>
      </c>
      <c r="G510" s="95">
        <v>0.13400000000000001</v>
      </c>
      <c r="I510" s="27">
        <f t="shared" ref="I510" si="5">AVERAGE(F509:F510)</f>
        <v>28.615500000000001</v>
      </c>
      <c r="J510" s="27">
        <f t="shared" ref="J510" si="6">AVERAGE(G509:G510)</f>
        <v>0.10400000000000001</v>
      </c>
      <c r="L510">
        <f t="shared" ref="L510" si="7">+J510/I510</f>
        <v>3.6343939473362343E-3</v>
      </c>
      <c r="M510">
        <f t="shared" ref="M510" si="8">+(L510-$L$619)/$L$620</f>
        <v>-0.61299477411360948</v>
      </c>
      <c r="N510">
        <f t="shared" ref="N510" si="9">+N508+M510</f>
        <v>2.8245724850946905</v>
      </c>
    </row>
    <row r="511" spans="1:14">
      <c r="A511" s="15">
        <v>3</v>
      </c>
      <c r="B511" s="71">
        <v>44075</v>
      </c>
      <c r="C511">
        <v>2020</v>
      </c>
      <c r="D511" s="11" t="s">
        <v>40</v>
      </c>
      <c r="E511" s="15">
        <v>9</v>
      </c>
      <c r="F511" s="95">
        <v>6.5069999999999997</v>
      </c>
      <c r="G511" s="95">
        <v>7.4999999999999997E-2</v>
      </c>
    </row>
    <row r="512" spans="1:14">
      <c r="A512" s="15">
        <v>4</v>
      </c>
      <c r="B512" s="71">
        <v>44075</v>
      </c>
      <c r="C512">
        <v>2020</v>
      </c>
      <c r="D512" s="11" t="s">
        <v>40</v>
      </c>
      <c r="E512" s="15">
        <v>9</v>
      </c>
      <c r="F512" s="95">
        <v>6.9</v>
      </c>
      <c r="G512" s="95">
        <v>8.8999999999999996E-2</v>
      </c>
      <c r="I512" s="27">
        <f t="shared" ref="I512" si="10">AVERAGE(F511:F512)</f>
        <v>6.7035</v>
      </c>
      <c r="J512" s="27">
        <f t="shared" ref="J512" si="11">AVERAGE(G511:G512)</f>
        <v>8.199999999999999E-2</v>
      </c>
      <c r="L512">
        <f t="shared" ref="L512" si="12">+J512/I512</f>
        <v>1.2232415902140671E-2</v>
      </c>
      <c r="M512">
        <f t="shared" ref="M512" si="13">+(L512-$L$619)/$L$620</f>
        <v>-0.48222180466955272</v>
      </c>
      <c r="N512">
        <f t="shared" ref="N512" si="14">+N510+M512</f>
        <v>2.3423506804251377</v>
      </c>
    </row>
    <row r="513" spans="1:14">
      <c r="A513" s="15">
        <v>3</v>
      </c>
      <c r="B513" s="71">
        <v>44105</v>
      </c>
      <c r="C513">
        <v>2020</v>
      </c>
      <c r="D513" s="11" t="s">
        <v>36</v>
      </c>
      <c r="E513" s="15">
        <v>10</v>
      </c>
      <c r="F513" s="95">
        <v>4.202</v>
      </c>
      <c r="G513" s="95">
        <v>0.113</v>
      </c>
    </row>
    <row r="514" spans="1:14">
      <c r="A514" s="15">
        <v>4</v>
      </c>
      <c r="B514" s="71">
        <v>44105</v>
      </c>
      <c r="C514">
        <v>2020</v>
      </c>
      <c r="D514" s="11" t="s">
        <v>36</v>
      </c>
      <c r="E514" s="15">
        <v>10</v>
      </c>
      <c r="F514" s="95">
        <v>6.7469999999999999</v>
      </c>
      <c r="G514" s="95">
        <v>0.09</v>
      </c>
      <c r="I514" s="27">
        <f t="shared" ref="I514" si="15">AVERAGE(F513:F514)</f>
        <v>5.4744999999999999</v>
      </c>
      <c r="J514" s="27">
        <f t="shared" ref="J514" si="16">AVERAGE(G513:G514)</f>
        <v>0.10150000000000001</v>
      </c>
      <c r="L514">
        <f t="shared" ref="L514" si="17">+J514/I514</f>
        <v>1.8540505982281488E-2</v>
      </c>
      <c r="M514">
        <f t="shared" ref="M514" si="18">+(L514-$L$619)/$L$620</f>
        <v>-0.38627791482641777</v>
      </c>
      <c r="N514">
        <f t="shared" ref="N514" si="19">+N512+M514</f>
        <v>1.95607276559872</v>
      </c>
    </row>
    <row r="515" spans="1:14">
      <c r="A515" s="15">
        <v>3</v>
      </c>
      <c r="B515" s="71">
        <v>44136</v>
      </c>
      <c r="C515">
        <v>2020</v>
      </c>
      <c r="D515" s="11" t="s">
        <v>37</v>
      </c>
      <c r="E515" s="15">
        <v>11</v>
      </c>
      <c r="F515" s="95">
        <v>4.1719999999999997</v>
      </c>
      <c r="G515" s="95">
        <v>0.1</v>
      </c>
    </row>
    <row r="516" spans="1:14">
      <c r="A516" s="15">
        <v>4</v>
      </c>
      <c r="B516" s="71">
        <v>44136</v>
      </c>
      <c r="C516">
        <v>2020</v>
      </c>
      <c r="D516" s="11" t="s">
        <v>37</v>
      </c>
      <c r="E516" s="15">
        <v>11</v>
      </c>
      <c r="F516" s="95">
        <v>7.7880000000000003</v>
      </c>
      <c r="G516" s="95">
        <v>0.32200000000000001</v>
      </c>
      <c r="I516" s="27">
        <f t="shared" ref="I516" si="20">AVERAGE(F515:F516)</f>
        <v>5.98</v>
      </c>
      <c r="J516" s="27">
        <f t="shared" ref="J516" si="21">AVERAGE(G515:G516)</f>
        <v>0.21100000000000002</v>
      </c>
      <c r="L516">
        <f t="shared" ref="L516" si="22">+J516/I516</f>
        <v>3.5284280936454852E-2</v>
      </c>
      <c r="M516">
        <f t="shared" ref="M516" si="23">+(L516-$L$619)/$L$620</f>
        <v>-0.13161083186593001</v>
      </c>
      <c r="N516">
        <f t="shared" ref="N516" si="24">+N514+M516</f>
        <v>1.8244619337327901</v>
      </c>
    </row>
    <row r="517" spans="1:14">
      <c r="A517" s="15">
        <v>3</v>
      </c>
      <c r="B517" s="72">
        <v>44166</v>
      </c>
      <c r="C517">
        <v>2020</v>
      </c>
      <c r="D517" s="11" t="s">
        <v>38</v>
      </c>
      <c r="E517" s="15">
        <v>12</v>
      </c>
    </row>
    <row r="518" spans="1:14">
      <c r="A518" s="15">
        <v>4</v>
      </c>
      <c r="B518" s="71">
        <v>44166</v>
      </c>
      <c r="C518">
        <v>2020</v>
      </c>
      <c r="D518" s="11" t="s">
        <v>38</v>
      </c>
      <c r="E518" s="15">
        <v>12</v>
      </c>
      <c r="I518" s="27"/>
      <c r="J518" s="27"/>
    </row>
    <row r="519" spans="1:14">
      <c r="A519" s="93">
        <v>3</v>
      </c>
      <c r="B519" s="90">
        <v>44197</v>
      </c>
      <c r="C519" s="91">
        <v>2021</v>
      </c>
      <c r="D519" s="92" t="s">
        <v>39</v>
      </c>
      <c r="E519" s="93">
        <v>1</v>
      </c>
    </row>
    <row r="520" spans="1:14">
      <c r="A520" s="15">
        <v>4</v>
      </c>
      <c r="B520" s="73">
        <v>44197</v>
      </c>
      <c r="C520">
        <v>2021</v>
      </c>
      <c r="D520" s="11" t="s">
        <v>39</v>
      </c>
      <c r="E520" s="15">
        <v>1</v>
      </c>
      <c r="I520" s="27"/>
      <c r="J520" s="27"/>
    </row>
    <row r="521" spans="1:14">
      <c r="A521" s="15">
        <v>3</v>
      </c>
      <c r="B521" s="71">
        <v>44228</v>
      </c>
      <c r="C521">
        <v>2021</v>
      </c>
      <c r="D521" s="11" t="s">
        <v>28</v>
      </c>
      <c r="E521" s="15">
        <v>2</v>
      </c>
      <c r="F521" s="95">
        <v>2.4740000000000002</v>
      </c>
      <c r="G521" s="95">
        <v>0.104</v>
      </c>
    </row>
    <row r="522" spans="1:14">
      <c r="A522" s="15">
        <v>4</v>
      </c>
      <c r="B522" s="71">
        <v>44228</v>
      </c>
      <c r="C522">
        <v>2021</v>
      </c>
      <c r="D522" s="11" t="s">
        <v>28</v>
      </c>
      <c r="E522" s="15">
        <v>2</v>
      </c>
      <c r="F522" s="95">
        <v>1.571</v>
      </c>
      <c r="G522" s="95">
        <v>5.7000000000000002E-2</v>
      </c>
      <c r="I522" s="27">
        <f t="shared" ref="I522" si="25">AVERAGE(F521:F522)</f>
        <v>2.0225</v>
      </c>
      <c r="J522" s="27">
        <f t="shared" ref="J522" si="26">AVERAGE(G521:G522)</f>
        <v>8.0500000000000002E-2</v>
      </c>
      <c r="L522">
        <f t="shared" ref="L522" si="27">+J522/I522</f>
        <v>3.9802224969097653E-2</v>
      </c>
      <c r="M522">
        <f t="shared" ref="M522" si="28">+(L522-$L$619)/$L$620</f>
        <v>-6.2894450349759032E-2</v>
      </c>
      <c r="N522">
        <f>+N516+M522</f>
        <v>1.761567483383031</v>
      </c>
    </row>
    <row r="523" spans="1:14">
      <c r="A523" s="15">
        <v>3</v>
      </c>
      <c r="B523" s="71">
        <v>44256</v>
      </c>
      <c r="C523">
        <v>2021</v>
      </c>
      <c r="D523" s="11" t="s">
        <v>29</v>
      </c>
      <c r="E523" s="15">
        <v>3</v>
      </c>
      <c r="F523" s="95">
        <v>1.22</v>
      </c>
      <c r="G523" s="95">
        <v>9.9989999999999996E-4</v>
      </c>
    </row>
    <row r="524" spans="1:14">
      <c r="A524" s="15">
        <v>4</v>
      </c>
      <c r="B524" s="71">
        <v>44256</v>
      </c>
      <c r="C524">
        <v>2021</v>
      </c>
      <c r="D524" s="11" t="s">
        <v>29</v>
      </c>
      <c r="E524" s="15">
        <v>3</v>
      </c>
      <c r="F524" s="95">
        <v>2.097</v>
      </c>
      <c r="G524" s="95">
        <v>6.3E-2</v>
      </c>
      <c r="I524" s="27">
        <f t="shared" ref="I524" si="29">AVERAGE(F523:F524)</f>
        <v>1.6585000000000001</v>
      </c>
      <c r="J524" s="27">
        <f t="shared" ref="J524" si="30">AVERAGE(G523:G524)</f>
        <v>3.1999949999999999E-2</v>
      </c>
      <c r="L524">
        <f t="shared" ref="L524" si="31">+J524/I524</f>
        <v>1.9294513114259872E-2</v>
      </c>
      <c r="M524">
        <f t="shared" ref="M524" si="32">+(L524-$L$619)/$L$620</f>
        <v>-0.37480972456717893</v>
      </c>
      <c r="N524">
        <f t="shared" ref="N524" si="33">+N522+M524</f>
        <v>1.3867577588158522</v>
      </c>
    </row>
    <row r="525" spans="1:14">
      <c r="A525" s="15">
        <v>3</v>
      </c>
      <c r="B525" s="71">
        <v>44287</v>
      </c>
      <c r="C525">
        <v>2021</v>
      </c>
      <c r="D525" s="11" t="s">
        <v>30</v>
      </c>
      <c r="E525" s="15">
        <v>4</v>
      </c>
      <c r="F525" s="95">
        <v>1.103</v>
      </c>
      <c r="G525" s="95">
        <v>8.3000000000000004E-2</v>
      </c>
    </row>
    <row r="526" spans="1:14">
      <c r="A526" s="15">
        <v>4</v>
      </c>
      <c r="B526" s="71">
        <v>44287</v>
      </c>
      <c r="C526">
        <v>2021</v>
      </c>
      <c r="D526" s="11" t="s">
        <v>30</v>
      </c>
      <c r="E526" s="15">
        <v>4</v>
      </c>
      <c r="F526" s="95">
        <v>3.827</v>
      </c>
      <c r="G526" s="95">
        <v>0.502</v>
      </c>
      <c r="I526" s="27">
        <f t="shared" ref="I526" si="34">AVERAGE(F525:F526)</f>
        <v>2.4649999999999999</v>
      </c>
      <c r="J526" s="27">
        <f t="shared" ref="J526" si="35">AVERAGE(G525:G526)</f>
        <v>0.29249999999999998</v>
      </c>
      <c r="L526">
        <f t="shared" ref="L526" si="36">+J526/I526</f>
        <v>0.11866125760649088</v>
      </c>
      <c r="M526">
        <f t="shared" ref="M526" si="37">+(L526-$L$619)/$L$620</f>
        <v>1.1365244299096906</v>
      </c>
      <c r="N526">
        <f t="shared" ref="N526" si="38">+N524+M526</f>
        <v>2.5232821887255428</v>
      </c>
    </row>
    <row r="527" spans="1:14">
      <c r="A527" s="15">
        <v>3</v>
      </c>
      <c r="B527" s="71">
        <v>44317</v>
      </c>
      <c r="C527">
        <v>2021</v>
      </c>
      <c r="D527" s="11" t="s">
        <v>31</v>
      </c>
      <c r="E527" s="15">
        <v>5</v>
      </c>
      <c r="F527" s="95">
        <v>2.65</v>
      </c>
      <c r="G527" s="95">
        <v>6.7000000000000004E-2</v>
      </c>
    </row>
    <row r="528" spans="1:14">
      <c r="A528" s="15">
        <v>4</v>
      </c>
      <c r="B528" s="71">
        <v>44317</v>
      </c>
      <c r="C528">
        <v>2021</v>
      </c>
      <c r="D528" s="11" t="s">
        <v>31</v>
      </c>
      <c r="E528" s="15">
        <v>5</v>
      </c>
      <c r="F528" s="95">
        <v>5.2370000000000001</v>
      </c>
      <c r="G528" s="95">
        <v>0.14099999999999999</v>
      </c>
      <c r="I528" s="27">
        <f t="shared" ref="I528" si="39">AVERAGE(F527:F528)</f>
        <v>3.9435000000000002</v>
      </c>
      <c r="J528" s="27">
        <f t="shared" ref="J528" si="40">AVERAGE(G527:G528)</f>
        <v>0.104</v>
      </c>
      <c r="L528">
        <f t="shared" ref="L528" si="41">+J528/I528</f>
        <v>2.6372511728160263E-2</v>
      </c>
      <c r="M528">
        <f t="shared" ref="M528" si="42">+(L528-$L$619)/$L$620</f>
        <v>-0.26715578958932562</v>
      </c>
      <c r="N528">
        <f t="shared" ref="N528" si="43">+N526+M528</f>
        <v>2.256126399136217</v>
      </c>
    </row>
    <row r="529" spans="1:14">
      <c r="A529" s="15">
        <v>3</v>
      </c>
      <c r="B529" s="71">
        <v>44348</v>
      </c>
      <c r="C529">
        <v>2021</v>
      </c>
      <c r="D529" s="11" t="s">
        <v>32</v>
      </c>
      <c r="E529" s="15">
        <v>6</v>
      </c>
      <c r="F529" s="95">
        <v>9.4239999999999995</v>
      </c>
      <c r="G529" s="95">
        <v>0.155</v>
      </c>
    </row>
    <row r="530" spans="1:14">
      <c r="A530" s="15">
        <v>4</v>
      </c>
      <c r="B530" s="71">
        <v>44348</v>
      </c>
      <c r="C530">
        <v>2021</v>
      </c>
      <c r="D530" s="11" t="s">
        <v>32</v>
      </c>
      <c r="E530" s="15">
        <v>6</v>
      </c>
      <c r="F530" s="95">
        <v>16.710999999999999</v>
      </c>
      <c r="G530" s="95">
        <v>0.17399999999999999</v>
      </c>
      <c r="I530" s="27">
        <f t="shared" ref="I530" si="44">AVERAGE(F529:F530)</f>
        <v>13.067499999999999</v>
      </c>
      <c r="J530" s="27">
        <f t="shared" ref="J530" si="45">AVERAGE(G529:G530)</f>
        <v>0.16449999999999998</v>
      </c>
      <c r="L530">
        <f t="shared" ref="L530" si="46">+J530/I530</f>
        <v>1.2588482877367514E-2</v>
      </c>
      <c r="M530">
        <f t="shared" ref="M530" si="47">+(L530-$L$619)/$L$620</f>
        <v>-0.47680614791545955</v>
      </c>
      <c r="N530">
        <f t="shared" ref="N530" si="48">+N528+M530</f>
        <v>1.7793202512207575</v>
      </c>
    </row>
    <row r="531" spans="1:14">
      <c r="A531" s="15">
        <v>3</v>
      </c>
      <c r="B531" s="71">
        <v>44378</v>
      </c>
      <c r="C531">
        <v>2021</v>
      </c>
      <c r="D531" s="11" t="s">
        <v>33</v>
      </c>
      <c r="E531" s="15">
        <v>7</v>
      </c>
      <c r="H531" s="96" t="s">
        <v>100</v>
      </c>
    </row>
    <row r="532" spans="1:14">
      <c r="A532" s="15">
        <v>4</v>
      </c>
      <c r="B532" s="71">
        <v>44378</v>
      </c>
      <c r="C532">
        <v>2021</v>
      </c>
      <c r="D532" s="11" t="s">
        <v>33</v>
      </c>
      <c r="E532" s="15">
        <v>7</v>
      </c>
      <c r="H532" s="96" t="s">
        <v>101</v>
      </c>
      <c r="I532" s="27"/>
      <c r="J532" s="27"/>
    </row>
    <row r="533" spans="1:14">
      <c r="A533" s="15">
        <v>3</v>
      </c>
      <c r="B533" s="71">
        <v>44409</v>
      </c>
      <c r="C533">
        <v>2021</v>
      </c>
      <c r="D533" s="11" t="s">
        <v>34</v>
      </c>
      <c r="E533" s="15">
        <v>8</v>
      </c>
      <c r="F533" s="95">
        <v>9.8279999999999994</v>
      </c>
      <c r="G533" s="95">
        <v>0.55000000000000004</v>
      </c>
    </row>
    <row r="534" spans="1:14">
      <c r="A534" s="15">
        <v>4</v>
      </c>
      <c r="B534" s="71">
        <v>44409</v>
      </c>
      <c r="C534">
        <v>2021</v>
      </c>
      <c r="D534" s="11" t="s">
        <v>34</v>
      </c>
      <c r="E534" s="15">
        <v>8</v>
      </c>
      <c r="F534" s="95">
        <v>13.459</v>
      </c>
      <c r="G534" s="95">
        <v>0.38200000000000001</v>
      </c>
      <c r="I534" s="27">
        <f t="shared" ref="I534" si="49">AVERAGE(F533:F534)</f>
        <v>11.6435</v>
      </c>
      <c r="J534" s="27">
        <f t="shared" ref="J534" si="50">AVERAGE(G533:G534)</f>
        <v>0.46600000000000003</v>
      </c>
      <c r="L534">
        <f t="shared" ref="L534" si="51">+J534/I534</f>
        <v>4.0022330055395718E-2</v>
      </c>
      <c r="M534">
        <f t="shared" ref="M534" si="52">+(L534-$L$619)/$L$620</f>
        <v>-5.9546727364607283E-2</v>
      </c>
      <c r="N534">
        <f>+N530+M534</f>
        <v>1.7197735238561502</v>
      </c>
    </row>
    <row r="535" spans="1:14">
      <c r="A535" s="15">
        <v>3</v>
      </c>
      <c r="B535" s="71">
        <v>44440</v>
      </c>
      <c r="C535">
        <v>2021</v>
      </c>
      <c r="D535" s="11" t="s">
        <v>40</v>
      </c>
      <c r="E535" s="15">
        <v>9</v>
      </c>
      <c r="F535" s="95">
        <v>5.9969999999999999</v>
      </c>
      <c r="G535" s="95">
        <v>7.0999999999999994E-2</v>
      </c>
    </row>
    <row r="536" spans="1:14">
      <c r="A536" s="15">
        <v>4</v>
      </c>
      <c r="B536" s="71">
        <v>44440</v>
      </c>
      <c r="C536">
        <v>2021</v>
      </c>
      <c r="D536" s="11" t="s">
        <v>40</v>
      </c>
      <c r="E536" s="15">
        <v>9</v>
      </c>
      <c r="F536" s="95">
        <v>7.9829999999999997</v>
      </c>
      <c r="G536" s="95">
        <v>0.22600000000000001</v>
      </c>
      <c r="I536" s="27">
        <f t="shared" ref="I536" si="53">AVERAGE(F535:F536)</f>
        <v>6.99</v>
      </c>
      <c r="J536" s="27">
        <f t="shared" ref="J536" si="54">AVERAGE(G535:G536)</f>
        <v>0.14849999999999999</v>
      </c>
      <c r="L536">
        <f t="shared" ref="L536" si="55">+J536/I536</f>
        <v>2.1244635193133046E-2</v>
      </c>
      <c r="M536">
        <f t="shared" ref="M536" si="56">+(L536-$L$619)/$L$620</f>
        <v>-0.34514903558857507</v>
      </c>
      <c r="N536">
        <f t="shared" ref="N536" si="57">+N534+M536</f>
        <v>1.3746244882675751</v>
      </c>
    </row>
    <row r="537" spans="1:14">
      <c r="A537" s="15">
        <v>3</v>
      </c>
      <c r="B537" s="71">
        <v>44470</v>
      </c>
      <c r="C537">
        <v>2021</v>
      </c>
      <c r="D537" s="11" t="s">
        <v>36</v>
      </c>
      <c r="E537" s="15">
        <v>10</v>
      </c>
      <c r="F537" s="95">
        <v>17.079999999999998</v>
      </c>
      <c r="G537" s="95">
        <v>0.64</v>
      </c>
    </row>
    <row r="538" spans="1:14">
      <c r="A538" s="15">
        <v>4</v>
      </c>
      <c r="B538" s="71">
        <v>44470</v>
      </c>
      <c r="C538">
        <v>2021</v>
      </c>
      <c r="D538" s="11" t="s">
        <v>36</v>
      </c>
      <c r="E538" s="15">
        <v>10</v>
      </c>
      <c r="F538" s="95">
        <v>17.716999999999999</v>
      </c>
      <c r="G538" s="95">
        <v>0.66700000000000004</v>
      </c>
      <c r="I538" s="27">
        <f t="shared" ref="I538" si="58">AVERAGE(F537:F538)</f>
        <v>17.398499999999999</v>
      </c>
      <c r="J538" s="27">
        <f t="shared" ref="J538" si="59">AVERAGE(G537:G538)</f>
        <v>0.65349999999999997</v>
      </c>
      <c r="L538">
        <f t="shared" ref="L538" si="60">+J538/I538</f>
        <v>3.7560709256545109E-2</v>
      </c>
      <c r="M538">
        <f t="shared" ref="M538" si="61">+(L538-$L$619)/$L$620</f>
        <v>-9.6987136705626142E-2</v>
      </c>
      <c r="N538">
        <f t="shared" ref="N538" si="62">+N536+M538</f>
        <v>1.277637351561949</v>
      </c>
    </row>
    <row r="539" spans="1:14">
      <c r="A539" s="15">
        <v>3</v>
      </c>
      <c r="B539" s="71">
        <v>44501</v>
      </c>
      <c r="C539">
        <v>2021</v>
      </c>
      <c r="D539" s="11" t="s">
        <v>37</v>
      </c>
      <c r="E539" s="15">
        <v>11</v>
      </c>
      <c r="F539" s="95">
        <v>13.411</v>
      </c>
      <c r="G539" s="95">
        <v>0.24299999999999999</v>
      </c>
    </row>
    <row r="540" spans="1:14">
      <c r="A540" s="15">
        <v>4</v>
      </c>
      <c r="B540" s="71">
        <v>44501</v>
      </c>
      <c r="C540">
        <v>2021</v>
      </c>
      <c r="D540" s="11" t="s">
        <v>37</v>
      </c>
      <c r="E540" s="15">
        <v>11</v>
      </c>
      <c r="F540" s="95">
        <v>13.923999999999999</v>
      </c>
      <c r="G540" s="95">
        <v>0.23599999999999999</v>
      </c>
      <c r="I540" s="27">
        <f t="shared" ref="I540" si="63">AVERAGE(F539:F540)</f>
        <v>13.6675</v>
      </c>
      <c r="J540" s="27">
        <f t="shared" ref="J540" si="64">AVERAGE(G539:G540)</f>
        <v>0.23949999999999999</v>
      </c>
      <c r="L540">
        <f t="shared" ref="L540" si="65">+J540/I540</f>
        <v>1.752332174867386E-2</v>
      </c>
      <c r="M540">
        <f t="shared" ref="M540" si="66">+(L540-$L$619)/$L$620</f>
        <v>-0.40174893867350359</v>
      </c>
      <c r="N540">
        <f t="shared" ref="N540" si="67">+N538+M540</f>
        <v>0.87588841288844543</v>
      </c>
    </row>
    <row r="541" spans="1:14">
      <c r="A541" s="15">
        <v>3</v>
      </c>
      <c r="B541" s="72">
        <v>44531</v>
      </c>
      <c r="C541">
        <v>2021</v>
      </c>
      <c r="D541" s="11" t="s">
        <v>38</v>
      </c>
      <c r="E541" s="15">
        <v>12</v>
      </c>
      <c r="F541" s="95">
        <v>45.393999999999998</v>
      </c>
      <c r="G541" s="95">
        <v>16.991</v>
      </c>
    </row>
    <row r="542" spans="1:14">
      <c r="A542" s="15">
        <v>4</v>
      </c>
      <c r="B542" s="71">
        <v>44531</v>
      </c>
      <c r="C542">
        <v>2021</v>
      </c>
      <c r="D542" s="11" t="s">
        <v>38</v>
      </c>
      <c r="E542" s="15">
        <v>12</v>
      </c>
      <c r="F542" s="95">
        <v>64.753</v>
      </c>
      <c r="G542" s="95">
        <v>23.388000000000002</v>
      </c>
      <c r="I542" s="27">
        <f t="shared" ref="I542:J542" si="68">AVERAGE(F541:F542)</f>
        <v>55.073499999999996</v>
      </c>
      <c r="J542" s="27">
        <f t="shared" si="68"/>
        <v>20.189500000000002</v>
      </c>
      <c r="L542">
        <f t="shared" ref="L542" si="69">+J542/I542</f>
        <v>0.36659191807312053</v>
      </c>
      <c r="M542">
        <f t="shared" ref="M542" si="70">+(L542-$L$619)/$L$620</f>
        <v>4.9074648689870912</v>
      </c>
      <c r="N542">
        <f t="shared" ref="N542" si="71">+N540+M542</f>
        <v>5.7833532818755362</v>
      </c>
    </row>
    <row r="543" spans="1:14">
      <c r="A543" s="93">
        <v>3</v>
      </c>
      <c r="B543" s="90">
        <v>44562</v>
      </c>
      <c r="C543" s="91">
        <v>2022</v>
      </c>
      <c r="D543" s="92" t="s">
        <v>39</v>
      </c>
      <c r="E543" s="93">
        <v>1</v>
      </c>
      <c r="H543" s="96" t="s">
        <v>102</v>
      </c>
    </row>
    <row r="544" spans="1:14">
      <c r="A544" s="15">
        <v>4</v>
      </c>
      <c r="B544" s="73">
        <v>44562</v>
      </c>
      <c r="C544">
        <v>2022</v>
      </c>
      <c r="D544" s="11" t="s">
        <v>39</v>
      </c>
      <c r="E544" s="15">
        <v>1</v>
      </c>
      <c r="H544" s="96" t="s">
        <v>103</v>
      </c>
    </row>
    <row r="545" spans="1:8">
      <c r="A545" s="15">
        <v>3</v>
      </c>
      <c r="B545" s="71">
        <v>44593</v>
      </c>
      <c r="C545">
        <v>2022</v>
      </c>
      <c r="D545" s="11" t="s">
        <v>28</v>
      </c>
      <c r="E545" s="15">
        <v>2</v>
      </c>
      <c r="H545" s="96" t="s">
        <v>104</v>
      </c>
    </row>
    <row r="546" spans="1:8">
      <c r="A546" s="15">
        <v>4</v>
      </c>
      <c r="B546" s="71">
        <v>44593</v>
      </c>
      <c r="C546">
        <v>2022</v>
      </c>
      <c r="D546" s="11" t="s">
        <v>28</v>
      </c>
      <c r="E546" s="15">
        <v>2</v>
      </c>
    </row>
    <row r="547" spans="1:8">
      <c r="A547" s="15">
        <v>3</v>
      </c>
      <c r="B547" s="71">
        <v>44621</v>
      </c>
      <c r="C547">
        <v>2022</v>
      </c>
      <c r="D547" s="11" t="s">
        <v>29</v>
      </c>
      <c r="E547" s="15">
        <v>3</v>
      </c>
    </row>
    <row r="548" spans="1:8">
      <c r="A548" s="15">
        <v>4</v>
      </c>
      <c r="B548" s="71">
        <v>44621</v>
      </c>
      <c r="C548">
        <v>2022</v>
      </c>
      <c r="D548" s="11" t="s">
        <v>29</v>
      </c>
      <c r="E548" s="15">
        <v>3</v>
      </c>
    </row>
    <row r="549" spans="1:8">
      <c r="A549" s="15">
        <v>3</v>
      </c>
      <c r="B549" s="71">
        <v>44652</v>
      </c>
      <c r="C549">
        <v>2022</v>
      </c>
      <c r="D549" s="11" t="s">
        <v>30</v>
      </c>
      <c r="E549" s="15">
        <v>4</v>
      </c>
    </row>
    <row r="550" spans="1:8">
      <c r="A550" s="15">
        <v>4</v>
      </c>
      <c r="B550" s="71">
        <v>44652</v>
      </c>
      <c r="C550">
        <v>2022</v>
      </c>
      <c r="D550" s="11" t="s">
        <v>30</v>
      </c>
      <c r="E550" s="15">
        <v>4</v>
      </c>
    </row>
    <row r="551" spans="1:8">
      <c r="A551" s="15">
        <v>3</v>
      </c>
      <c r="B551" s="71">
        <v>44682</v>
      </c>
      <c r="C551">
        <v>2022</v>
      </c>
      <c r="D551" s="11" t="s">
        <v>31</v>
      </c>
      <c r="E551" s="15">
        <v>5</v>
      </c>
    </row>
    <row r="552" spans="1:8">
      <c r="A552" s="15">
        <v>4</v>
      </c>
      <c r="B552" s="71">
        <v>44682</v>
      </c>
      <c r="C552">
        <v>2022</v>
      </c>
      <c r="D552" s="11" t="s">
        <v>31</v>
      </c>
      <c r="E552" s="15">
        <v>5</v>
      </c>
    </row>
    <row r="553" spans="1:8">
      <c r="A553" s="15">
        <v>3</v>
      </c>
      <c r="B553" s="71">
        <v>44713</v>
      </c>
      <c r="C553">
        <v>2022</v>
      </c>
      <c r="D553" s="11" t="s">
        <v>32</v>
      </c>
      <c r="E553" s="15">
        <v>6</v>
      </c>
    </row>
    <row r="554" spans="1:8">
      <c r="A554" s="15">
        <v>4</v>
      </c>
      <c r="B554" s="71">
        <v>44713</v>
      </c>
      <c r="C554">
        <v>2022</v>
      </c>
      <c r="D554" s="11" t="s">
        <v>32</v>
      </c>
      <c r="E554" s="15">
        <v>6</v>
      </c>
    </row>
    <row r="555" spans="1:8">
      <c r="A555" s="15">
        <v>3</v>
      </c>
      <c r="B555" s="71">
        <v>44743</v>
      </c>
      <c r="C555">
        <v>2022</v>
      </c>
      <c r="D555" s="11" t="s">
        <v>33</v>
      </c>
      <c r="E555" s="15">
        <v>7</v>
      </c>
    </row>
    <row r="556" spans="1:8">
      <c r="A556" s="15">
        <v>4</v>
      </c>
      <c r="B556" s="71">
        <v>44743</v>
      </c>
      <c r="C556">
        <v>2022</v>
      </c>
      <c r="D556" s="11" t="s">
        <v>33</v>
      </c>
      <c r="E556" s="15">
        <v>7</v>
      </c>
    </row>
    <row r="557" spans="1:8">
      <c r="A557" s="15">
        <v>3</v>
      </c>
      <c r="B557" s="71">
        <v>44774</v>
      </c>
      <c r="C557">
        <v>2022</v>
      </c>
      <c r="D557" s="11" t="s">
        <v>34</v>
      </c>
      <c r="E557" s="15">
        <v>8</v>
      </c>
    </row>
    <row r="558" spans="1:8">
      <c r="A558" s="15">
        <v>4</v>
      </c>
      <c r="B558" s="71">
        <v>44774</v>
      </c>
      <c r="C558">
        <v>2022</v>
      </c>
      <c r="D558" s="11" t="s">
        <v>34</v>
      </c>
      <c r="E558" s="15">
        <v>8</v>
      </c>
    </row>
    <row r="559" spans="1:8">
      <c r="A559" s="15">
        <v>3</v>
      </c>
      <c r="B559" s="71">
        <v>44805</v>
      </c>
      <c r="C559">
        <v>2022</v>
      </c>
      <c r="D559" s="11" t="s">
        <v>40</v>
      </c>
      <c r="E559" s="15">
        <v>9</v>
      </c>
    </row>
    <row r="560" spans="1:8">
      <c r="A560" s="15">
        <v>4</v>
      </c>
      <c r="B560" s="71">
        <v>44805</v>
      </c>
      <c r="C560">
        <v>2022</v>
      </c>
      <c r="D560" s="11" t="s">
        <v>40</v>
      </c>
      <c r="E560" s="15">
        <v>9</v>
      </c>
    </row>
    <row r="561" spans="1:14">
      <c r="A561" s="15">
        <v>3</v>
      </c>
      <c r="B561" s="71">
        <v>44835</v>
      </c>
      <c r="C561">
        <v>2022</v>
      </c>
      <c r="D561" s="11" t="s">
        <v>36</v>
      </c>
      <c r="E561" s="15">
        <v>10</v>
      </c>
    </row>
    <row r="562" spans="1:14">
      <c r="A562" s="15">
        <v>4</v>
      </c>
      <c r="B562" s="71">
        <v>44835</v>
      </c>
      <c r="C562">
        <v>2022</v>
      </c>
      <c r="D562" s="11" t="s">
        <v>36</v>
      </c>
      <c r="E562" s="15">
        <v>10</v>
      </c>
    </row>
    <row r="563" spans="1:14">
      <c r="A563" s="15">
        <v>3</v>
      </c>
      <c r="B563" s="71">
        <v>44866</v>
      </c>
      <c r="C563">
        <v>2022</v>
      </c>
      <c r="D563" s="11" t="s">
        <v>37</v>
      </c>
      <c r="E563" s="15">
        <v>11</v>
      </c>
    </row>
    <row r="564" spans="1:14">
      <c r="A564" s="15">
        <v>4</v>
      </c>
      <c r="B564" s="71">
        <v>44866</v>
      </c>
      <c r="C564">
        <v>2022</v>
      </c>
      <c r="D564" s="11" t="s">
        <v>37</v>
      </c>
      <c r="E564" s="15">
        <v>11</v>
      </c>
    </row>
    <row r="565" spans="1:14">
      <c r="A565" s="15">
        <v>3</v>
      </c>
      <c r="B565" s="72">
        <v>44896</v>
      </c>
      <c r="C565">
        <v>2022</v>
      </c>
      <c r="D565" s="11" t="s">
        <v>38</v>
      </c>
      <c r="E565" s="15">
        <v>12</v>
      </c>
    </row>
    <row r="566" spans="1:14">
      <c r="A566" s="15">
        <v>4</v>
      </c>
      <c r="B566" s="71">
        <v>44896</v>
      </c>
      <c r="C566">
        <v>2022</v>
      </c>
      <c r="D566" s="11" t="s">
        <v>38</v>
      </c>
      <c r="E566" s="15">
        <v>12</v>
      </c>
    </row>
    <row r="567" spans="1:14">
      <c r="A567" s="93">
        <v>3</v>
      </c>
      <c r="B567" s="90">
        <v>44927</v>
      </c>
      <c r="C567" s="91">
        <v>2023</v>
      </c>
      <c r="D567" s="92" t="s">
        <v>39</v>
      </c>
      <c r="E567" s="93">
        <v>1</v>
      </c>
      <c r="F567" s="97">
        <v>3.532</v>
      </c>
      <c r="G567" s="95">
        <v>8.1000000000000003E-2</v>
      </c>
    </row>
    <row r="568" spans="1:14">
      <c r="A568" s="15">
        <v>4</v>
      </c>
      <c r="B568" s="73">
        <v>44927</v>
      </c>
      <c r="C568">
        <v>2023</v>
      </c>
      <c r="D568" s="11" t="s">
        <v>39</v>
      </c>
      <c r="E568" s="15">
        <v>1</v>
      </c>
      <c r="F568" s="97">
        <v>3.02</v>
      </c>
      <c r="G568" s="95">
        <v>6.6000000000000003E-2</v>
      </c>
      <c r="I568" s="27">
        <f>AVERAGE(F567:F568)</f>
        <v>3.2759999999999998</v>
      </c>
      <c r="J568" s="27">
        <f>AVERAGE(G567:G568)</f>
        <v>7.350000000000001E-2</v>
      </c>
      <c r="L568">
        <f>+J568/I568</f>
        <v>2.2435897435897439E-2</v>
      </c>
      <c r="M568">
        <f>+(L568-$L$619)/$L$620</f>
        <v>-0.32703034483717069</v>
      </c>
      <c r="N568">
        <f>+N542+M568</f>
        <v>5.4563229370383652</v>
      </c>
    </row>
    <row r="569" spans="1:14">
      <c r="A569" s="15">
        <v>3</v>
      </c>
      <c r="B569" s="71">
        <v>44958</v>
      </c>
      <c r="C569">
        <v>2023</v>
      </c>
      <c r="D569" s="11" t="s">
        <v>28</v>
      </c>
      <c r="E569" s="15">
        <v>2</v>
      </c>
      <c r="F569" s="78">
        <v>2.0270000000000001</v>
      </c>
      <c r="G569" s="78">
        <v>1.6E-2</v>
      </c>
    </row>
    <row r="570" spans="1:14">
      <c r="A570" s="15">
        <v>4</v>
      </c>
      <c r="B570" s="71">
        <v>44958</v>
      </c>
      <c r="C570">
        <v>2023</v>
      </c>
      <c r="D570" s="11" t="s">
        <v>28</v>
      </c>
      <c r="E570" s="15">
        <v>2</v>
      </c>
      <c r="F570" s="78">
        <v>2.39</v>
      </c>
      <c r="G570" s="78">
        <v>0.02</v>
      </c>
      <c r="I570" s="27">
        <f t="shared" ref="I570" si="72">AVERAGE(F569:F570)</f>
        <v>2.2084999999999999</v>
      </c>
      <c r="J570" s="27">
        <f t="shared" ref="J570" si="73">AVERAGE(G569:G570)</f>
        <v>1.8000000000000002E-2</v>
      </c>
      <c r="L570">
        <f t="shared" ref="L570" si="74">+J570/I570</f>
        <v>8.1503282771111622E-3</v>
      </c>
      <c r="M570">
        <f t="shared" ref="M570" si="75">+(L570-$L$619)/$L$620</f>
        <v>-0.54430895948981384</v>
      </c>
      <c r="N570">
        <f>+N568+M570</f>
        <v>4.9120139775485514</v>
      </c>
    </row>
    <row r="571" spans="1:14">
      <c r="A571" s="15">
        <v>3</v>
      </c>
      <c r="B571" s="71">
        <v>44986</v>
      </c>
      <c r="C571">
        <v>2023</v>
      </c>
      <c r="D571" s="11" t="s">
        <v>29</v>
      </c>
      <c r="E571" s="15">
        <v>3</v>
      </c>
      <c r="F571" s="78">
        <v>6.65</v>
      </c>
      <c r="G571" s="78">
        <v>0.153</v>
      </c>
    </row>
    <row r="572" spans="1:14">
      <c r="A572" s="15">
        <v>4</v>
      </c>
      <c r="B572" s="71">
        <v>44986</v>
      </c>
      <c r="C572">
        <v>2023</v>
      </c>
      <c r="D572" s="11" t="s">
        <v>29</v>
      </c>
      <c r="E572" s="15">
        <v>3</v>
      </c>
      <c r="F572" s="78">
        <v>10.439</v>
      </c>
      <c r="G572" s="78">
        <v>0.30199999999999999</v>
      </c>
      <c r="I572" s="27">
        <f t="shared" ref="I572" si="76">AVERAGE(F571:F572)</f>
        <v>8.5444999999999993</v>
      </c>
      <c r="J572" s="27">
        <f t="shared" ref="J572" si="77">AVERAGE(G571:G572)</f>
        <v>0.22749999999999998</v>
      </c>
      <c r="L572">
        <f t="shared" ref="L572" si="78">+J572/I572</f>
        <v>2.6625314529814502E-2</v>
      </c>
      <c r="M572">
        <f t="shared" ref="M572" si="79">+(L572-$L$619)/$L$620</f>
        <v>-0.26331074555130374</v>
      </c>
      <c r="N572">
        <f t="shared" ref="N572" si="80">+N570+M572</f>
        <v>4.6487032319972474</v>
      </c>
    </row>
    <row r="573" spans="1:14">
      <c r="A573" s="15">
        <v>3</v>
      </c>
      <c r="B573" s="71">
        <v>45017</v>
      </c>
      <c r="C573">
        <v>2023</v>
      </c>
      <c r="D573" s="11" t="s">
        <v>30</v>
      </c>
      <c r="E573" s="15">
        <v>4</v>
      </c>
      <c r="F573" s="78">
        <v>6.6710000000000003</v>
      </c>
      <c r="G573" s="78">
        <v>0.152</v>
      </c>
    </row>
    <row r="574" spans="1:14">
      <c r="A574" s="15">
        <v>4</v>
      </c>
      <c r="B574" s="71">
        <v>45017</v>
      </c>
      <c r="C574">
        <v>2023</v>
      </c>
      <c r="D574" s="11" t="s">
        <v>30</v>
      </c>
      <c r="E574" s="15">
        <v>4</v>
      </c>
      <c r="F574" s="78">
        <v>10.95</v>
      </c>
      <c r="G574" s="78">
        <v>0.32100000000000001</v>
      </c>
      <c r="I574" s="27">
        <f t="shared" ref="I574" si="81">AVERAGE(F573:F574)</f>
        <v>8.8104999999999993</v>
      </c>
      <c r="J574" s="27">
        <f t="shared" ref="J574" si="82">AVERAGE(G573:G574)</f>
        <v>0.23649999999999999</v>
      </c>
      <c r="L574">
        <f t="shared" ref="L574" si="83">+J574/I574</f>
        <v>2.6842971454514499E-2</v>
      </c>
      <c r="M574">
        <f t="shared" ref="M574" si="84">+(L574-$L$619)/$L$620</f>
        <v>-0.26000025826565837</v>
      </c>
      <c r="N574">
        <f t="shared" ref="N574" si="85">+N572+M574</f>
        <v>4.388702973731589</v>
      </c>
    </row>
    <row r="575" spans="1:14">
      <c r="A575" s="15">
        <v>3</v>
      </c>
      <c r="B575" s="71">
        <v>45047</v>
      </c>
      <c r="C575">
        <v>2023</v>
      </c>
      <c r="D575" s="11" t="s">
        <v>31</v>
      </c>
      <c r="E575" s="15">
        <v>5</v>
      </c>
      <c r="F575" s="78">
        <v>2.2709999999999999</v>
      </c>
      <c r="G575" s="98">
        <v>9.0999999999999998E-2</v>
      </c>
    </row>
    <row r="576" spans="1:14">
      <c r="A576" s="15">
        <v>4</v>
      </c>
      <c r="B576" s="71">
        <v>45047</v>
      </c>
      <c r="C576">
        <v>2023</v>
      </c>
      <c r="D576" s="11" t="s">
        <v>31</v>
      </c>
      <c r="E576" s="15">
        <v>5</v>
      </c>
      <c r="F576" s="78">
        <v>3.1110000000000002</v>
      </c>
      <c r="G576" s="98">
        <v>0.13800000000000001</v>
      </c>
      <c r="I576" s="27">
        <f t="shared" ref="I576" si="86">AVERAGE(F575:F576)</f>
        <v>2.6909999999999998</v>
      </c>
      <c r="J576" s="27">
        <f t="shared" ref="J576" si="87">AVERAGE(G575:G576)</f>
        <v>0.1145</v>
      </c>
      <c r="L576">
        <f t="shared" ref="L576" si="88">+J576/I576</f>
        <v>4.2549238201412119E-2</v>
      </c>
      <c r="M576">
        <f t="shared" ref="M576" si="89">+(L576-$L$619)/$L$620</f>
        <v>-2.1113319831576941E-2</v>
      </c>
      <c r="N576">
        <f t="shared" ref="N576" si="90">+N574+M576</f>
        <v>4.3675896539000121</v>
      </c>
    </row>
    <row r="577" spans="1:14">
      <c r="A577" s="15">
        <v>3</v>
      </c>
      <c r="B577" s="71">
        <v>45078</v>
      </c>
      <c r="C577">
        <v>2023</v>
      </c>
      <c r="D577" s="11" t="s">
        <v>32</v>
      </c>
      <c r="E577" s="15">
        <v>6</v>
      </c>
      <c r="F577" s="78">
        <v>10.451000000000001</v>
      </c>
      <c r="G577" s="98">
        <v>0.108</v>
      </c>
    </row>
    <row r="578" spans="1:14">
      <c r="A578" s="15">
        <v>4</v>
      </c>
      <c r="B578" s="71">
        <v>45078</v>
      </c>
      <c r="C578">
        <v>2023</v>
      </c>
      <c r="D578" s="11" t="s">
        <v>32</v>
      </c>
      <c r="E578" s="15">
        <v>6</v>
      </c>
      <c r="F578" s="78">
        <v>10.366</v>
      </c>
      <c r="G578" s="98">
        <v>0.13500000000000001</v>
      </c>
      <c r="I578" s="27">
        <f t="shared" ref="I578" si="91">AVERAGE(F577:F578)</f>
        <v>10.4085</v>
      </c>
      <c r="J578" s="27">
        <f t="shared" ref="J578" si="92">AVERAGE(G577:G578)</f>
        <v>0.1215</v>
      </c>
      <c r="L578">
        <f t="shared" ref="L578" si="93">+J578/I578</f>
        <v>1.1673151750972763E-2</v>
      </c>
      <c r="M578">
        <f t="shared" ref="M578" si="94">+(L578-$L$619)/$L$620</f>
        <v>-0.49072802088257017</v>
      </c>
      <c r="N578">
        <f t="shared" ref="N578" si="95">+N576+M578</f>
        <v>3.8768616330174419</v>
      </c>
    </row>
    <row r="579" spans="1:14">
      <c r="A579" s="15">
        <v>3</v>
      </c>
      <c r="B579" s="71">
        <v>45108</v>
      </c>
      <c r="C579">
        <v>2023</v>
      </c>
      <c r="D579" s="11" t="s">
        <v>33</v>
      </c>
      <c r="E579" s="15">
        <v>7</v>
      </c>
      <c r="F579" s="78">
        <v>7.2629999999999999</v>
      </c>
      <c r="G579" s="98">
        <v>0.114</v>
      </c>
    </row>
    <row r="580" spans="1:14">
      <c r="A580" s="15">
        <v>4</v>
      </c>
      <c r="B580" s="71">
        <v>45108</v>
      </c>
      <c r="C580">
        <v>2023</v>
      </c>
      <c r="D580" s="11" t="s">
        <v>33</v>
      </c>
      <c r="E580" s="15">
        <v>7</v>
      </c>
      <c r="F580" s="78">
        <v>10.723000000000001</v>
      </c>
      <c r="G580" s="98">
        <v>0.27200000000000002</v>
      </c>
      <c r="I580" s="27">
        <f t="shared" ref="I580" si="96">AVERAGE(F579:F580)</f>
        <v>8.9930000000000003</v>
      </c>
      <c r="J580" s="27">
        <f t="shared" ref="J580" si="97">AVERAGE(G579:G580)</f>
        <v>0.193</v>
      </c>
      <c r="L580">
        <f t="shared" ref="L580" si="98">+J580/I580</f>
        <v>2.1461136439452907E-2</v>
      </c>
      <c r="M580">
        <f t="shared" ref="M580" si="99">+(L580-$L$619)/$L$620</f>
        <v>-0.34185612577531654</v>
      </c>
      <c r="N580">
        <f t="shared" ref="N580" si="100">+N578+M580</f>
        <v>3.5350055072421256</v>
      </c>
    </row>
    <row r="581" spans="1:14">
      <c r="A581" s="15">
        <v>3</v>
      </c>
      <c r="B581" s="71">
        <v>45139</v>
      </c>
      <c r="C581">
        <v>2023</v>
      </c>
      <c r="D581" s="11" t="s">
        <v>34</v>
      </c>
      <c r="E581" s="15">
        <v>8</v>
      </c>
      <c r="F581" s="78">
        <v>16.826000000000001</v>
      </c>
      <c r="G581" s="98">
        <v>8.5999999999999993E-2</v>
      </c>
    </row>
    <row r="582" spans="1:14">
      <c r="A582" s="15">
        <v>4</v>
      </c>
      <c r="B582" s="71">
        <v>45139</v>
      </c>
      <c r="C582">
        <v>2023</v>
      </c>
      <c r="D582" s="11" t="s">
        <v>34</v>
      </c>
      <c r="E582" s="15">
        <v>8</v>
      </c>
      <c r="F582" s="78">
        <v>33.787999999999997</v>
      </c>
      <c r="G582" s="98">
        <v>0.125</v>
      </c>
      <c r="I582" s="27">
        <f t="shared" ref="I582" si="101">AVERAGE(F581:F582)</f>
        <v>25.306999999999999</v>
      </c>
      <c r="J582" s="27">
        <f t="shared" ref="J582" si="102">AVERAGE(G581:G582)</f>
        <v>0.1055</v>
      </c>
      <c r="L582">
        <f t="shared" ref="L582" si="103">+J582/I582</f>
        <v>4.168807049432963E-3</v>
      </c>
      <c r="M582">
        <f t="shared" ref="M582" si="104">+(L582-$L$619)/$L$620</f>
        <v>-0.60486653384644584</v>
      </c>
      <c r="N582">
        <f t="shared" ref="N582" si="105">+N580+M582</f>
        <v>2.93013897339568</v>
      </c>
    </row>
    <row r="583" spans="1:14">
      <c r="A583" s="15">
        <v>3</v>
      </c>
      <c r="B583" s="71">
        <v>45170</v>
      </c>
      <c r="C583">
        <v>2023</v>
      </c>
      <c r="D583" s="11" t="s">
        <v>40</v>
      </c>
      <c r="E583" s="15">
        <v>9</v>
      </c>
      <c r="F583" s="78">
        <v>2.5830000000000002</v>
      </c>
      <c r="G583" s="98">
        <v>0.11799999999999999</v>
      </c>
    </row>
    <row r="584" spans="1:14">
      <c r="A584" s="15">
        <v>4</v>
      </c>
      <c r="B584" s="71">
        <v>45170</v>
      </c>
      <c r="C584">
        <v>2023</v>
      </c>
      <c r="D584" s="11" t="s">
        <v>40</v>
      </c>
      <c r="E584" s="15">
        <v>9</v>
      </c>
      <c r="F584" s="78">
        <v>3.5710000000000002</v>
      </c>
      <c r="G584" s="98">
        <v>6.2E-2</v>
      </c>
      <c r="I584" s="27">
        <f t="shared" ref="I584" si="106">AVERAGE(F583:F584)</f>
        <v>3.077</v>
      </c>
      <c r="J584" s="27">
        <f t="shared" ref="J584" si="107">AVERAGE(G583:G584)</f>
        <v>0.09</v>
      </c>
      <c r="L584">
        <f t="shared" ref="L584" si="108">+J584/I584</f>
        <v>2.9249268768280792E-2</v>
      </c>
      <c r="M584">
        <f t="shared" ref="M584" si="109">+(L584-$L$619)/$L$620</f>
        <v>-0.22340130018662741</v>
      </c>
      <c r="N584">
        <f t="shared" ref="N584" si="110">+N582+M584</f>
        <v>2.7067376732090525</v>
      </c>
    </row>
    <row r="585" spans="1:14">
      <c r="A585" s="15">
        <v>3</v>
      </c>
      <c r="B585" s="71">
        <v>45200</v>
      </c>
      <c r="C585">
        <v>2023</v>
      </c>
      <c r="D585" s="11" t="s">
        <v>36</v>
      </c>
      <c r="E585" s="15">
        <v>10</v>
      </c>
      <c r="F585" s="98">
        <v>1.5940000000000001</v>
      </c>
      <c r="G585" s="78">
        <v>9.9989999999999996E-4</v>
      </c>
    </row>
    <row r="586" spans="1:14">
      <c r="A586" s="15">
        <v>4</v>
      </c>
      <c r="B586" s="71">
        <v>45200</v>
      </c>
      <c r="C586">
        <v>2023</v>
      </c>
      <c r="D586" s="11" t="s">
        <v>36</v>
      </c>
      <c r="E586" s="15">
        <v>10</v>
      </c>
      <c r="F586" s="98">
        <v>1.7290000000000001</v>
      </c>
      <c r="G586" s="78">
        <v>2.1999999999999999E-2</v>
      </c>
      <c r="I586" s="27">
        <f t="shared" ref="I586" si="111">AVERAGE(F585:F586)</f>
        <v>1.6615000000000002</v>
      </c>
      <c r="J586" s="27">
        <f t="shared" ref="J586" si="112">AVERAGE(G585:G586)</f>
        <v>1.149995E-2</v>
      </c>
      <c r="L586">
        <f t="shared" ref="L586" si="113">+J586/I586</f>
        <v>6.9214264219079136E-3</v>
      </c>
      <c r="M586">
        <f t="shared" ref="M586" si="114">+(L586-$L$619)/$L$620</f>
        <v>-0.56300013585630793</v>
      </c>
      <c r="N586">
        <f t="shared" ref="N586" si="115">+N584+M586</f>
        <v>2.1437375373527443</v>
      </c>
    </row>
    <row r="587" spans="1:14">
      <c r="A587" s="15">
        <v>3</v>
      </c>
      <c r="B587" s="71">
        <v>45231</v>
      </c>
      <c r="C587">
        <v>2023</v>
      </c>
      <c r="D587" s="11" t="s">
        <v>37</v>
      </c>
      <c r="E587" s="15">
        <v>11</v>
      </c>
      <c r="F587" s="78">
        <v>0.71799999999999997</v>
      </c>
      <c r="G587" s="98">
        <v>9.9989999999999996E-4</v>
      </c>
    </row>
    <row r="588" spans="1:14">
      <c r="A588" s="15">
        <v>4</v>
      </c>
      <c r="B588" s="71">
        <v>45231</v>
      </c>
      <c r="C588">
        <v>2023</v>
      </c>
      <c r="D588" s="11" t="s">
        <v>37</v>
      </c>
      <c r="E588" s="15">
        <v>11</v>
      </c>
      <c r="F588" s="78">
        <v>1.911</v>
      </c>
      <c r="G588" s="98">
        <v>1.6E-2</v>
      </c>
      <c r="I588" s="27">
        <f t="shared" ref="I588" si="116">AVERAGE(F587:F588)</f>
        <v>1.3145</v>
      </c>
      <c r="J588" s="27">
        <f t="shared" ref="J588" si="117">AVERAGE(G587:G588)</f>
        <v>8.4999500000000009E-3</v>
      </c>
      <c r="L588">
        <f t="shared" ref="L588" si="118">+J588/I588</f>
        <v>6.4662989729935344E-3</v>
      </c>
      <c r="M588">
        <f t="shared" ref="M588" si="119">+(L588-$L$619)/$L$620</f>
        <v>-0.5699224684908244</v>
      </c>
      <c r="N588">
        <f t="shared" ref="N588" si="120">+N586+M588</f>
        <v>1.5738150688619199</v>
      </c>
    </row>
    <row r="589" spans="1:14">
      <c r="A589" s="15">
        <v>3</v>
      </c>
      <c r="B589" s="72">
        <v>45261</v>
      </c>
      <c r="C589">
        <v>2023</v>
      </c>
      <c r="D589" s="11" t="s">
        <v>38</v>
      </c>
      <c r="E589" s="15">
        <v>12</v>
      </c>
      <c r="F589" s="78">
        <v>2.25</v>
      </c>
      <c r="G589" s="98">
        <v>4.8000000000000001E-2</v>
      </c>
    </row>
    <row r="590" spans="1:14">
      <c r="A590" s="15">
        <v>4</v>
      </c>
      <c r="B590" s="71">
        <v>45261</v>
      </c>
      <c r="C590">
        <v>2023</v>
      </c>
      <c r="D590" s="11" t="s">
        <v>38</v>
      </c>
      <c r="E590" s="15">
        <v>12</v>
      </c>
      <c r="F590" s="78">
        <v>2.544</v>
      </c>
      <c r="G590" s="98">
        <v>4.4999999999999998E-2</v>
      </c>
      <c r="I590" s="27">
        <f t="shared" ref="I590" si="121">AVERAGE(F589:F590)</f>
        <v>2.3970000000000002</v>
      </c>
      <c r="J590" s="27">
        <f t="shared" ref="J590" si="122">AVERAGE(G589:G590)</f>
        <v>4.65E-2</v>
      </c>
      <c r="L590">
        <f t="shared" ref="L590" si="123">+J590/I590</f>
        <v>1.9399249061326656E-2</v>
      </c>
      <c r="M590">
        <f t="shared" ref="M590" si="124">+(L590-$L$619)/$L$620</f>
        <v>-0.37321672668028638</v>
      </c>
      <c r="N590">
        <f t="shared" ref="N590" si="125">+N588+M590</f>
        <v>1.2005983421816335</v>
      </c>
    </row>
    <row r="591" spans="1:14">
      <c r="A591" s="93">
        <v>3</v>
      </c>
      <c r="B591" s="90">
        <v>45292</v>
      </c>
      <c r="C591" s="91">
        <v>2024</v>
      </c>
      <c r="D591" s="92" t="s">
        <v>39</v>
      </c>
      <c r="E591" s="93">
        <v>1</v>
      </c>
      <c r="F591" s="78">
        <v>0.79400000000000004</v>
      </c>
      <c r="G591" s="98">
        <v>1.7000000000000001E-2</v>
      </c>
    </row>
    <row r="592" spans="1:14">
      <c r="A592" s="15">
        <v>4</v>
      </c>
      <c r="B592" s="73">
        <v>45292</v>
      </c>
      <c r="C592">
        <v>2024</v>
      </c>
      <c r="D592" s="11" t="s">
        <v>39</v>
      </c>
      <c r="E592" s="15">
        <v>1</v>
      </c>
      <c r="F592" s="78">
        <v>1.02</v>
      </c>
      <c r="G592" s="98">
        <v>1.7000000000000001E-2</v>
      </c>
      <c r="I592" s="27">
        <f t="shared" ref="I592" si="126">AVERAGE(F591:F592)</f>
        <v>0.90700000000000003</v>
      </c>
      <c r="J592" s="27">
        <f t="shared" ref="J592" si="127">AVERAGE(G591:G592)</f>
        <v>1.7000000000000001E-2</v>
      </c>
      <c r="L592">
        <f t="shared" ref="L592" si="128">+J592/I592</f>
        <v>1.8743109151047408E-2</v>
      </c>
      <c r="M592">
        <f t="shared" ref="M592" si="129">+(L592-$L$619)/$L$620</f>
        <v>-0.38319639001320305</v>
      </c>
      <c r="N592">
        <f t="shared" ref="N592" si="130">+N590+M592</f>
        <v>0.81740195216843048</v>
      </c>
    </row>
    <row r="593" spans="1:14">
      <c r="A593" s="15">
        <v>3</v>
      </c>
      <c r="B593" s="71">
        <v>45323</v>
      </c>
      <c r="C593">
        <v>2024</v>
      </c>
      <c r="D593" s="11" t="s">
        <v>28</v>
      </c>
      <c r="E593" s="15">
        <v>2</v>
      </c>
      <c r="F593" s="78">
        <v>1.0820000000000001</v>
      </c>
      <c r="G593" s="98">
        <v>3.1E-2</v>
      </c>
    </row>
    <row r="594" spans="1:14">
      <c r="A594" s="15">
        <v>4</v>
      </c>
      <c r="B594" s="71">
        <v>45323</v>
      </c>
      <c r="C594">
        <v>2024</v>
      </c>
      <c r="D594" s="11" t="s">
        <v>28</v>
      </c>
      <c r="E594" s="15">
        <v>2</v>
      </c>
      <c r="F594" s="78">
        <v>1.1970000000000001</v>
      </c>
      <c r="G594" s="98">
        <v>0.04</v>
      </c>
      <c r="I594" s="27">
        <f t="shared" ref="I594" si="131">AVERAGE(F593:F594)</f>
        <v>1.1395</v>
      </c>
      <c r="J594" s="27">
        <f t="shared" ref="J594" si="132">AVERAGE(G593:G594)</f>
        <v>3.5500000000000004E-2</v>
      </c>
      <c r="L594">
        <f t="shared" ref="L594" si="133">+J594/I594</f>
        <v>3.1154014918824049E-2</v>
      </c>
      <c r="M594">
        <f t="shared" ref="M594" si="134">+(L594-$L$619)/$L$620</f>
        <v>-0.19443076353842878</v>
      </c>
      <c r="N594">
        <f t="shared" ref="N594" si="135">+N592+M594</f>
        <v>0.62297118863000167</v>
      </c>
    </row>
    <row r="595" spans="1:14">
      <c r="A595" s="15">
        <v>3</v>
      </c>
      <c r="B595" s="71">
        <v>45352</v>
      </c>
      <c r="C595">
        <v>2024</v>
      </c>
      <c r="D595" s="11" t="s">
        <v>29</v>
      </c>
      <c r="E595" s="15">
        <v>3</v>
      </c>
    </row>
    <row r="596" spans="1:14">
      <c r="A596" s="15">
        <v>4</v>
      </c>
      <c r="B596" s="71">
        <v>45352</v>
      </c>
      <c r="C596">
        <v>2024</v>
      </c>
      <c r="D596" s="11" t="s">
        <v>29</v>
      </c>
      <c r="E596" s="15">
        <v>3</v>
      </c>
      <c r="I596" s="27"/>
      <c r="J596" s="27"/>
    </row>
    <row r="597" spans="1:14">
      <c r="A597" s="15">
        <v>3</v>
      </c>
      <c r="B597" s="71">
        <v>45383</v>
      </c>
      <c r="C597">
        <v>2024</v>
      </c>
      <c r="D597" s="11" t="s">
        <v>30</v>
      </c>
      <c r="E597" s="15">
        <v>4</v>
      </c>
      <c r="F597" s="78">
        <v>0.67600000000000005</v>
      </c>
      <c r="G597" s="98">
        <v>1.2999999999999999E-2</v>
      </c>
    </row>
    <row r="598" spans="1:14">
      <c r="A598" s="15">
        <v>4</v>
      </c>
      <c r="B598" s="71">
        <v>45383</v>
      </c>
      <c r="C598">
        <v>2024</v>
      </c>
      <c r="D598" s="11" t="s">
        <v>30</v>
      </c>
      <c r="E598" s="15">
        <v>4</v>
      </c>
      <c r="F598" s="78">
        <v>5.6429999999999998</v>
      </c>
      <c r="G598" s="98">
        <v>0.216</v>
      </c>
      <c r="I598" s="27">
        <f t="shared" ref="I598" si="136">AVERAGE(F597:F598)</f>
        <v>3.1595</v>
      </c>
      <c r="J598" s="27">
        <f t="shared" ref="J598" si="137">AVERAGE(G597:G598)</f>
        <v>0.1145</v>
      </c>
      <c r="L598">
        <f t="shared" ref="L598" si="138">+J598/I598</f>
        <v>3.6239911378382658E-2</v>
      </c>
      <c r="M598">
        <f t="shared" ref="M598" si="139">+(L598-$L$619)/$L$620</f>
        <v>-0.11707602011051178</v>
      </c>
      <c r="N598">
        <f>+N594+M598</f>
        <v>0.5058951685194899</v>
      </c>
    </row>
    <row r="599" spans="1:14">
      <c r="A599" s="15">
        <v>3</v>
      </c>
      <c r="B599" s="71">
        <v>45413</v>
      </c>
      <c r="C599">
        <v>2024</v>
      </c>
      <c r="D599" s="11" t="s">
        <v>31</v>
      </c>
      <c r="E599" s="15">
        <v>5</v>
      </c>
      <c r="F599" s="78">
        <v>8.4570000000000007</v>
      </c>
      <c r="G599" s="98">
        <v>0.105</v>
      </c>
    </row>
    <row r="600" spans="1:14">
      <c r="A600" s="15">
        <v>4</v>
      </c>
      <c r="B600" s="71">
        <v>45413</v>
      </c>
      <c r="C600">
        <v>2024</v>
      </c>
      <c r="D600" s="11" t="s">
        <v>31</v>
      </c>
      <c r="E600" s="15">
        <v>5</v>
      </c>
      <c r="F600" s="78">
        <v>8.4969999999999999</v>
      </c>
      <c r="G600" s="98">
        <v>7.5999999999999998E-2</v>
      </c>
      <c r="I600" s="27">
        <f t="shared" ref="I600:J600" si="140">AVERAGE(F599:F600)</f>
        <v>8.4770000000000003</v>
      </c>
      <c r="J600" s="27">
        <f t="shared" si="140"/>
        <v>9.0499999999999997E-2</v>
      </c>
      <c r="L600">
        <f t="shared" ref="L600" si="141">+J600/I600</f>
        <v>1.0675946679249733E-2</v>
      </c>
      <c r="M600">
        <f t="shared" ref="M600" si="142">+(L600-$L$619)/$L$620</f>
        <v>-0.50589516851947802</v>
      </c>
      <c r="N600">
        <f t="shared" ref="N600" si="143">+N598+M600</f>
        <v>1.1879386363489175E-14</v>
      </c>
    </row>
    <row r="601" spans="1:14">
      <c r="A601" s="15">
        <v>3</v>
      </c>
      <c r="B601" s="71">
        <v>45444</v>
      </c>
      <c r="C601">
        <v>2024</v>
      </c>
      <c r="D601" s="11" t="s">
        <v>32</v>
      </c>
      <c r="E601" s="15">
        <v>6</v>
      </c>
      <c r="H601" s="96" t="s">
        <v>105</v>
      </c>
    </row>
    <row r="602" spans="1:14">
      <c r="A602" s="15">
        <v>4</v>
      </c>
      <c r="B602" s="71">
        <v>45444</v>
      </c>
      <c r="C602">
        <v>2024</v>
      </c>
      <c r="D602" s="11" t="s">
        <v>32</v>
      </c>
      <c r="E602" s="15">
        <v>6</v>
      </c>
      <c r="H602" s="96" t="s">
        <v>106</v>
      </c>
    </row>
    <row r="603" spans="1:14">
      <c r="A603" s="15">
        <v>3</v>
      </c>
      <c r="B603" s="71">
        <v>45474</v>
      </c>
      <c r="C603">
        <v>2024</v>
      </c>
      <c r="D603" s="11" t="s">
        <v>33</v>
      </c>
      <c r="E603" s="15">
        <v>7</v>
      </c>
    </row>
    <row r="604" spans="1:14">
      <c r="A604" s="15">
        <v>4</v>
      </c>
      <c r="B604" s="71">
        <v>45474</v>
      </c>
      <c r="C604">
        <v>2024</v>
      </c>
      <c r="D604" s="11" t="s">
        <v>33</v>
      </c>
      <c r="E604" s="15">
        <v>7</v>
      </c>
    </row>
    <row r="605" spans="1:14">
      <c r="A605" s="15">
        <v>3</v>
      </c>
      <c r="B605" s="71">
        <v>45505</v>
      </c>
      <c r="C605">
        <v>2024</v>
      </c>
      <c r="D605" s="11" t="s">
        <v>34</v>
      </c>
      <c r="E605" s="15">
        <v>8</v>
      </c>
    </row>
    <row r="606" spans="1:14">
      <c r="A606" s="15">
        <v>4</v>
      </c>
      <c r="B606" s="71">
        <v>45505</v>
      </c>
      <c r="C606">
        <v>2024</v>
      </c>
      <c r="D606" s="11" t="s">
        <v>34</v>
      </c>
      <c r="E606" s="15">
        <v>8</v>
      </c>
    </row>
    <row r="607" spans="1:14">
      <c r="A607" s="15">
        <v>3</v>
      </c>
      <c r="B607" s="71">
        <v>45536</v>
      </c>
      <c r="C607">
        <v>2024</v>
      </c>
      <c r="D607" s="11" t="s">
        <v>40</v>
      </c>
      <c r="E607" s="15">
        <v>9</v>
      </c>
    </row>
    <row r="608" spans="1:14">
      <c r="A608" s="15">
        <v>4</v>
      </c>
      <c r="B608" s="71">
        <v>45536</v>
      </c>
      <c r="C608">
        <v>2024</v>
      </c>
      <c r="D608" s="11" t="s">
        <v>40</v>
      </c>
      <c r="E608" s="15">
        <v>9</v>
      </c>
    </row>
    <row r="609" spans="1:12">
      <c r="A609" s="15">
        <v>3</v>
      </c>
      <c r="B609" s="71">
        <v>45566</v>
      </c>
      <c r="C609">
        <v>2024</v>
      </c>
      <c r="D609" s="11" t="s">
        <v>36</v>
      </c>
      <c r="E609" s="15">
        <v>10</v>
      </c>
    </row>
    <row r="610" spans="1:12">
      <c r="A610" s="15">
        <v>4</v>
      </c>
      <c r="B610" s="71">
        <v>45566</v>
      </c>
      <c r="C610">
        <v>2024</v>
      </c>
      <c r="D610" s="11" t="s">
        <v>36</v>
      </c>
      <c r="E610" s="15">
        <v>10</v>
      </c>
    </row>
    <row r="611" spans="1:12">
      <c r="A611" s="15">
        <v>3</v>
      </c>
      <c r="B611" s="71">
        <v>45597</v>
      </c>
      <c r="C611">
        <v>2024</v>
      </c>
      <c r="D611" s="11" t="s">
        <v>37</v>
      </c>
      <c r="E611" s="15">
        <v>11</v>
      </c>
    </row>
    <row r="612" spans="1:12">
      <c r="A612" s="15">
        <v>4</v>
      </c>
      <c r="B612" s="71">
        <v>45597</v>
      </c>
      <c r="C612">
        <v>2024</v>
      </c>
      <c r="D612" s="11" t="s">
        <v>37</v>
      </c>
      <c r="E612" s="15">
        <v>11</v>
      </c>
    </row>
    <row r="613" spans="1:12">
      <c r="A613" s="15">
        <v>3</v>
      </c>
      <c r="B613" s="72">
        <v>45627</v>
      </c>
      <c r="C613">
        <v>2024</v>
      </c>
      <c r="D613" s="11" t="s">
        <v>38</v>
      </c>
      <c r="E613" s="15">
        <v>12</v>
      </c>
    </row>
    <row r="614" spans="1:12">
      <c r="A614" s="15">
        <v>4</v>
      </c>
      <c r="B614" s="71">
        <v>45627</v>
      </c>
      <c r="C614">
        <v>2024</v>
      </c>
      <c r="D614" s="11" t="s">
        <v>38</v>
      </c>
      <c r="E614" s="15">
        <v>12</v>
      </c>
    </row>
    <row r="619" spans="1:12">
      <c r="K619" s="86" t="s">
        <v>90</v>
      </c>
      <c r="L619" s="86">
        <f>AVERAGE(L4:L614)</f>
        <v>4.3937390418360624E-2</v>
      </c>
    </row>
    <row r="620" spans="1:12">
      <c r="K620" s="86" t="s">
        <v>91</v>
      </c>
      <c r="L620" s="86">
        <f>STDEV(L4:L614)</f>
        <v>6.5747699936435061E-2</v>
      </c>
    </row>
    <row r="621" spans="1:12">
      <c r="K621" s="86"/>
      <c r="L621" s="8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4"/>
  <sheetViews>
    <sheetView workbookViewId="0">
      <selection sqref="A1:L1048576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3</v>
      </c>
      <c r="B3" s="9">
        <v>36445</v>
      </c>
      <c r="C3" s="10">
        <v>1999</v>
      </c>
      <c r="D3" s="11" t="s">
        <v>14</v>
      </c>
      <c r="E3" s="12">
        <v>10</v>
      </c>
      <c r="F3" s="13">
        <v>11.587624269536716</v>
      </c>
      <c r="G3" s="13">
        <v>0.54665740033333332</v>
      </c>
      <c r="H3" s="13">
        <v>5.5105851333333324E-2</v>
      </c>
      <c r="I3" s="13">
        <v>2.0426174305</v>
      </c>
      <c r="J3" s="13">
        <v>0.8778340773333333</v>
      </c>
      <c r="K3" s="14" t="s">
        <v>15</v>
      </c>
    </row>
    <row r="4" spans="1:12">
      <c r="A4" s="8">
        <v>4</v>
      </c>
      <c r="B4" s="9">
        <v>36444</v>
      </c>
      <c r="C4" s="10">
        <v>1999</v>
      </c>
      <c r="D4" s="11" t="s">
        <v>14</v>
      </c>
      <c r="E4" s="12">
        <v>10</v>
      </c>
      <c r="F4" s="13">
        <v>14.372718367248131</v>
      </c>
      <c r="G4" s="13">
        <v>0.39266792666666667</v>
      </c>
      <c r="H4" s="13">
        <v>8.7489916333333348E-2</v>
      </c>
      <c r="I4" s="13">
        <v>1.7032575683333331</v>
      </c>
      <c r="J4" s="13">
        <v>1.6285648666666668</v>
      </c>
      <c r="K4" s="14" t="s">
        <v>15</v>
      </c>
    </row>
    <row r="5" spans="1:12">
      <c r="A5" s="8">
        <v>3</v>
      </c>
      <c r="B5" s="9">
        <v>36472</v>
      </c>
      <c r="C5" s="10">
        <v>1999</v>
      </c>
      <c r="D5" s="11" t="s">
        <v>16</v>
      </c>
      <c r="E5" s="10">
        <v>11</v>
      </c>
      <c r="F5" s="13">
        <v>4.1068763245169384</v>
      </c>
      <c r="G5" s="13">
        <v>0.12169860549999999</v>
      </c>
      <c r="H5" s="13">
        <v>0</v>
      </c>
      <c r="I5" s="13">
        <v>0.50522192050000003</v>
      </c>
      <c r="J5" s="13">
        <v>6.3241861499999996E-2</v>
      </c>
      <c r="K5" s="14" t="s">
        <v>15</v>
      </c>
    </row>
    <row r="6" spans="1:12">
      <c r="A6" s="8">
        <v>4</v>
      </c>
      <c r="B6" s="9">
        <v>36472</v>
      </c>
      <c r="C6" s="10">
        <v>1999</v>
      </c>
      <c r="D6" s="11" t="s">
        <v>16</v>
      </c>
      <c r="E6" s="10">
        <v>11</v>
      </c>
      <c r="F6" s="13">
        <v>4.5627969464577083</v>
      </c>
      <c r="G6" s="13">
        <v>0.17035343283333332</v>
      </c>
      <c r="H6" s="13">
        <v>1.4422445833333335E-2</v>
      </c>
      <c r="I6" s="13">
        <v>0.69990685549999998</v>
      </c>
      <c r="J6" s="13">
        <v>6.3672411999999998E-2</v>
      </c>
      <c r="K6" s="14" t="s">
        <v>15</v>
      </c>
    </row>
    <row r="7" spans="1:12">
      <c r="A7" s="8">
        <v>3</v>
      </c>
      <c r="B7" s="9">
        <v>36501</v>
      </c>
      <c r="C7" s="10">
        <v>1999</v>
      </c>
      <c r="D7" s="11" t="s">
        <v>17</v>
      </c>
      <c r="E7" s="10">
        <v>12</v>
      </c>
      <c r="F7" s="13">
        <v>3.6119794887362189</v>
      </c>
      <c r="G7" s="13">
        <v>0.17813489666666668</v>
      </c>
      <c r="H7" s="13">
        <v>0</v>
      </c>
      <c r="I7" s="13">
        <v>0.40046543000000001</v>
      </c>
      <c r="J7" s="13">
        <v>2.1607093499999997E-2</v>
      </c>
      <c r="K7" s="14" t="s">
        <v>15</v>
      </c>
    </row>
    <row r="8" spans="1:12">
      <c r="A8" s="8">
        <v>4</v>
      </c>
      <c r="B8" s="9">
        <v>36501</v>
      </c>
      <c r="C8" s="10">
        <v>1999</v>
      </c>
      <c r="D8" s="11" t="s">
        <v>17</v>
      </c>
      <c r="E8" s="10">
        <v>12</v>
      </c>
      <c r="F8" s="13">
        <v>7.6863744774797018</v>
      </c>
      <c r="G8" s="13">
        <v>3.3781212499999998E-2</v>
      </c>
      <c r="H8" s="13">
        <v>1.9299238E-2</v>
      </c>
      <c r="I8" s="13">
        <v>2.5816659889999998</v>
      </c>
      <c r="J8" s="13">
        <v>4.5664619000000004E-2</v>
      </c>
      <c r="K8" s="14" t="s">
        <v>15</v>
      </c>
    </row>
    <row r="9" spans="1:12">
      <c r="A9" s="8">
        <v>3</v>
      </c>
      <c r="B9" s="9">
        <v>36530</v>
      </c>
      <c r="C9" s="12">
        <v>2000</v>
      </c>
      <c r="D9" s="11" t="s">
        <v>18</v>
      </c>
      <c r="E9" s="10">
        <v>1</v>
      </c>
      <c r="F9" s="13">
        <v>5.2430358388163469</v>
      </c>
      <c r="G9" s="13">
        <v>9.7498459500000009E-2</v>
      </c>
      <c r="H9" s="13">
        <v>0</v>
      </c>
      <c r="I9" s="13">
        <v>1.6686553348333331</v>
      </c>
      <c r="J9" s="13">
        <v>1.8754892999999998E-2</v>
      </c>
      <c r="K9" s="14" t="s">
        <v>15</v>
      </c>
    </row>
    <row r="10" spans="1:12">
      <c r="A10" s="8">
        <v>4</v>
      </c>
      <c r="B10" s="9">
        <v>36530</v>
      </c>
      <c r="C10" s="12">
        <v>2000</v>
      </c>
      <c r="D10" s="11" t="s">
        <v>18</v>
      </c>
      <c r="E10" s="10">
        <v>1</v>
      </c>
      <c r="F10" s="13">
        <v>9.2030291353057638</v>
      </c>
      <c r="G10" s="13">
        <v>0.85552858416666666</v>
      </c>
      <c r="H10" s="13">
        <v>0</v>
      </c>
      <c r="I10" s="13">
        <v>2.7644156874999997</v>
      </c>
      <c r="J10" s="13">
        <v>4.1257053499999995E-2</v>
      </c>
      <c r="K10" s="14" t="s">
        <v>15</v>
      </c>
    </row>
    <row r="11" spans="1:12">
      <c r="A11" s="8">
        <v>3</v>
      </c>
      <c r="B11" s="9">
        <v>36579</v>
      </c>
      <c r="C11" s="12">
        <v>2000</v>
      </c>
      <c r="D11" s="11" t="s">
        <v>19</v>
      </c>
      <c r="E11" s="12">
        <v>2</v>
      </c>
      <c r="F11" s="13">
        <v>4.3640586854323722</v>
      </c>
      <c r="G11" s="13">
        <v>0.39487519249999997</v>
      </c>
      <c r="H11" s="13">
        <v>1.5732128666666668E-2</v>
      </c>
      <c r="I11" s="13">
        <v>1.6224429144999999</v>
      </c>
      <c r="J11" s="13">
        <v>6.4468516333333337E-2</v>
      </c>
      <c r="K11" s="14" t="s">
        <v>15</v>
      </c>
    </row>
    <row r="12" spans="1:12">
      <c r="A12" s="8">
        <v>4</v>
      </c>
      <c r="B12" s="9">
        <v>36579</v>
      </c>
      <c r="C12" s="12">
        <v>2000</v>
      </c>
      <c r="D12" s="11" t="s">
        <v>19</v>
      </c>
      <c r="E12" s="12">
        <v>2</v>
      </c>
      <c r="F12" s="13">
        <v>6.7678057546224348</v>
      </c>
      <c r="G12" s="13">
        <v>2.2646408021666669</v>
      </c>
      <c r="H12" s="13">
        <v>0</v>
      </c>
      <c r="I12" s="13">
        <v>1.8209400088333334</v>
      </c>
      <c r="J12" s="13">
        <v>9.1529144666666659E-2</v>
      </c>
      <c r="K12" s="14" t="s">
        <v>15</v>
      </c>
    </row>
    <row r="13" spans="1:12">
      <c r="A13" s="8">
        <v>3</v>
      </c>
      <c r="B13" s="9">
        <v>36598</v>
      </c>
      <c r="C13" s="12">
        <v>2000</v>
      </c>
      <c r="D13" s="11" t="s">
        <v>20</v>
      </c>
      <c r="E13" s="12">
        <v>3</v>
      </c>
      <c r="F13" s="13">
        <v>3.9525320086953584</v>
      </c>
      <c r="G13" s="13">
        <v>0.13990637333333333</v>
      </c>
      <c r="H13" s="13">
        <v>1.7598790999999999E-2</v>
      </c>
      <c r="I13" s="13">
        <v>0.98975917600000007</v>
      </c>
      <c r="J13" s="13">
        <v>3.8138052166666665E-2</v>
      </c>
      <c r="K13" s="14" t="s">
        <v>15</v>
      </c>
    </row>
    <row r="14" spans="1:12">
      <c r="A14" s="8">
        <v>4</v>
      </c>
      <c r="B14" s="9">
        <v>36598</v>
      </c>
      <c r="C14" s="12">
        <v>2000</v>
      </c>
      <c r="D14" s="11" t="s">
        <v>20</v>
      </c>
      <c r="E14" s="12">
        <v>3</v>
      </c>
      <c r="F14" s="13">
        <v>15.295362854459274</v>
      </c>
      <c r="G14" s="13">
        <v>0.82420218266666667</v>
      </c>
      <c r="H14" s="13">
        <v>0</v>
      </c>
      <c r="I14" s="13">
        <v>4.2922111898333331</v>
      </c>
      <c r="J14" s="13">
        <v>0.11098034066666665</v>
      </c>
      <c r="K14" s="14" t="s">
        <v>15</v>
      </c>
    </row>
    <row r="15" spans="1:12">
      <c r="A15" s="8">
        <v>3</v>
      </c>
      <c r="B15" s="9">
        <v>36627</v>
      </c>
      <c r="C15" s="12">
        <v>2000</v>
      </c>
      <c r="D15" s="15" t="s">
        <v>21</v>
      </c>
      <c r="E15" s="12">
        <v>4</v>
      </c>
      <c r="F15" s="13">
        <v>20.474116121754371</v>
      </c>
      <c r="G15" s="13">
        <v>4.0007887804999998</v>
      </c>
      <c r="H15" s="13">
        <v>0</v>
      </c>
      <c r="I15" s="13">
        <v>2.4918042569999996</v>
      </c>
      <c r="J15" s="13">
        <v>0.3009719921666667</v>
      </c>
      <c r="K15" s="14" t="s">
        <v>15</v>
      </c>
    </row>
    <row r="16" spans="1:12">
      <c r="A16" s="8">
        <v>4</v>
      </c>
      <c r="B16" s="9">
        <v>36627</v>
      </c>
      <c r="C16" s="12">
        <v>2000</v>
      </c>
      <c r="D16" s="15" t="s">
        <v>21</v>
      </c>
      <c r="E16" s="12">
        <v>4</v>
      </c>
      <c r="F16" s="13">
        <v>31.833490623441644</v>
      </c>
      <c r="G16" s="13">
        <v>5.3754380885000002</v>
      </c>
      <c r="H16" s="13">
        <v>0</v>
      </c>
      <c r="I16" s="13">
        <v>3.8490673759999998</v>
      </c>
      <c r="J16" s="13">
        <v>0.4903978581666667</v>
      </c>
      <c r="K16" s="14" t="s">
        <v>15</v>
      </c>
    </row>
    <row r="17" spans="1:11">
      <c r="A17" s="8">
        <v>3</v>
      </c>
      <c r="B17" s="9">
        <v>36662</v>
      </c>
      <c r="C17" s="12">
        <v>2000</v>
      </c>
      <c r="D17" s="15" t="s">
        <v>22</v>
      </c>
      <c r="E17" s="12">
        <v>5</v>
      </c>
      <c r="F17" s="13">
        <v>12.217087705074391</v>
      </c>
      <c r="G17" s="13">
        <v>9.9194977333333337E-2</v>
      </c>
      <c r="H17" s="13">
        <v>1.4927900798333333</v>
      </c>
      <c r="I17" s="13">
        <v>4.9139994951666663</v>
      </c>
      <c r="J17" s="13">
        <v>0.46249782933333333</v>
      </c>
      <c r="K17" s="14" t="s">
        <v>15</v>
      </c>
    </row>
    <row r="18" spans="1:11">
      <c r="A18" s="8">
        <v>4</v>
      </c>
      <c r="B18" s="9">
        <v>36662</v>
      </c>
      <c r="C18" s="12">
        <v>2000</v>
      </c>
      <c r="D18" s="15" t="s">
        <v>22</v>
      </c>
      <c r="E18" s="12">
        <v>5</v>
      </c>
      <c r="F18" s="13">
        <v>13.170256326163051</v>
      </c>
      <c r="G18" s="13">
        <v>0.10844316433333334</v>
      </c>
      <c r="H18" s="13">
        <v>0.47522082200000004</v>
      </c>
      <c r="I18" s="13">
        <v>3.8913566184999997</v>
      </c>
      <c r="J18" s="13">
        <v>0.688139838</v>
      </c>
      <c r="K18" s="14" t="s">
        <v>15</v>
      </c>
    </row>
    <row r="19" spans="1:11">
      <c r="A19" s="8">
        <v>3</v>
      </c>
      <c r="B19" s="9">
        <v>36690</v>
      </c>
      <c r="C19" s="12">
        <v>2000</v>
      </c>
      <c r="D19" s="15" t="s">
        <v>23</v>
      </c>
      <c r="E19" s="12">
        <v>6</v>
      </c>
      <c r="F19" s="13">
        <v>18.42501600604221</v>
      </c>
      <c r="G19" s="13">
        <v>0.14096361750000003</v>
      </c>
      <c r="H19" s="13">
        <v>0.94923522199999999</v>
      </c>
      <c r="I19" s="13">
        <v>4.427583626333333</v>
      </c>
      <c r="J19" s="13">
        <v>1.4544563038333334</v>
      </c>
      <c r="K19" s="14" t="s">
        <v>15</v>
      </c>
    </row>
    <row r="20" spans="1:11">
      <c r="A20" s="8">
        <v>4</v>
      </c>
      <c r="B20" s="9">
        <v>36690</v>
      </c>
      <c r="C20" s="12">
        <v>2000</v>
      </c>
      <c r="D20" s="15" t="s">
        <v>23</v>
      </c>
      <c r="E20" s="12">
        <v>6</v>
      </c>
      <c r="F20" s="13">
        <v>32.976907299549254</v>
      </c>
      <c r="G20" s="13">
        <v>0.16694569933333334</v>
      </c>
      <c r="H20" s="13">
        <v>8.2978763666666677E-2</v>
      </c>
      <c r="I20" s="13">
        <v>3.9440741166666662</v>
      </c>
      <c r="J20" s="13">
        <v>4.4695590880000005</v>
      </c>
      <c r="K20" s="14" t="s">
        <v>15</v>
      </c>
    </row>
    <row r="21" spans="1:11">
      <c r="A21" s="8">
        <v>3</v>
      </c>
      <c r="B21" s="9">
        <v>36718</v>
      </c>
      <c r="C21" s="12">
        <v>2000</v>
      </c>
      <c r="D21" s="15" t="s">
        <v>24</v>
      </c>
      <c r="E21" s="12">
        <v>7</v>
      </c>
      <c r="F21" s="13">
        <v>20.025245213728596</v>
      </c>
      <c r="G21" s="13">
        <v>0.34200533133333333</v>
      </c>
      <c r="H21" s="13">
        <v>0.11907997366666667</v>
      </c>
      <c r="I21" s="13">
        <v>2.8437402403333327</v>
      </c>
      <c r="J21" s="13">
        <v>2.3464952978333331</v>
      </c>
      <c r="K21" s="14" t="s">
        <v>15</v>
      </c>
    </row>
    <row r="22" spans="1:11">
      <c r="A22" s="8">
        <v>4</v>
      </c>
      <c r="B22" s="9">
        <v>36718</v>
      </c>
      <c r="C22" s="12">
        <v>2000</v>
      </c>
      <c r="D22" s="15" t="s">
        <v>24</v>
      </c>
      <c r="E22" s="12">
        <v>7</v>
      </c>
      <c r="F22" s="13">
        <v>31.953396116235044</v>
      </c>
      <c r="G22" s="13">
        <v>0.17887916433333331</v>
      </c>
      <c r="H22" s="13">
        <v>0.25835130766666664</v>
      </c>
      <c r="I22" s="13">
        <v>4.006450249666667</v>
      </c>
      <c r="J22" s="13">
        <v>2.90595172</v>
      </c>
      <c r="K22" s="14" t="s">
        <v>15</v>
      </c>
    </row>
    <row r="23" spans="1:11">
      <c r="A23" s="8">
        <v>3</v>
      </c>
      <c r="B23" s="9">
        <v>36753</v>
      </c>
      <c r="C23" s="12">
        <v>2000</v>
      </c>
      <c r="D23" s="15" t="s">
        <v>25</v>
      </c>
      <c r="E23" s="12">
        <v>8</v>
      </c>
      <c r="F23" s="13">
        <v>28.156610334451724</v>
      </c>
      <c r="G23" s="13">
        <v>0.40492566899999999</v>
      </c>
      <c r="H23" s="13">
        <v>0</v>
      </c>
      <c r="I23" s="13">
        <v>3.2528478158333338</v>
      </c>
      <c r="J23" s="13">
        <v>3.4888973633333329</v>
      </c>
      <c r="K23" s="14" t="s">
        <v>15</v>
      </c>
    </row>
    <row r="24" spans="1:11">
      <c r="A24" s="8">
        <v>4</v>
      </c>
      <c r="B24" s="9">
        <v>36753</v>
      </c>
      <c r="C24" s="12">
        <v>2000</v>
      </c>
      <c r="D24" s="15" t="s">
        <v>25</v>
      </c>
      <c r="E24" s="12">
        <v>8</v>
      </c>
      <c r="F24" s="13">
        <v>35.417949447438119</v>
      </c>
      <c r="G24" s="13">
        <v>0.31665663133333338</v>
      </c>
      <c r="H24" s="13">
        <v>0</v>
      </c>
      <c r="I24" s="13">
        <v>2.8447982183333327</v>
      </c>
      <c r="J24" s="13">
        <v>4.4387798263333336</v>
      </c>
      <c r="K24" s="14" t="s">
        <v>15</v>
      </c>
    </row>
    <row r="25" spans="1:11">
      <c r="A25" s="8">
        <v>3</v>
      </c>
      <c r="B25" s="9">
        <v>36781</v>
      </c>
      <c r="C25" s="12">
        <v>2000</v>
      </c>
      <c r="D25" s="15" t="s">
        <v>26</v>
      </c>
      <c r="E25" s="12">
        <v>9</v>
      </c>
      <c r="F25" s="16">
        <v>5.505185712210781</v>
      </c>
      <c r="G25" s="16">
        <v>0.11878633550000001</v>
      </c>
      <c r="H25" s="16">
        <v>3.6936871833333329E-2</v>
      </c>
      <c r="I25" s="16">
        <v>0.97710956666666671</v>
      </c>
      <c r="J25" s="16">
        <v>0.76140345166666679</v>
      </c>
      <c r="K25" s="17" t="s">
        <v>15</v>
      </c>
    </row>
    <row r="26" spans="1:11">
      <c r="A26" s="8">
        <v>4</v>
      </c>
      <c r="B26" s="9">
        <v>36781</v>
      </c>
      <c r="C26" s="12">
        <v>2000</v>
      </c>
      <c r="D26" s="15" t="s">
        <v>26</v>
      </c>
      <c r="E26" s="12">
        <v>9</v>
      </c>
      <c r="F26" s="16">
        <v>10.02760484010903</v>
      </c>
      <c r="G26" s="16">
        <v>0.19076920033333333</v>
      </c>
      <c r="H26" s="16">
        <v>4.1397320500000001E-2</v>
      </c>
      <c r="I26" s="16">
        <v>1.7485088766666665</v>
      </c>
      <c r="J26" s="16">
        <v>1.2120290108333334</v>
      </c>
      <c r="K26" s="17" t="s">
        <v>15</v>
      </c>
    </row>
    <row r="27" spans="1:11">
      <c r="A27" s="8">
        <v>3</v>
      </c>
      <c r="B27" s="9">
        <v>36817</v>
      </c>
      <c r="C27" s="12">
        <v>2000</v>
      </c>
      <c r="D27" s="15" t="s">
        <v>14</v>
      </c>
      <c r="E27" s="12">
        <v>10</v>
      </c>
      <c r="F27" s="17">
        <v>5.1552847540285232</v>
      </c>
      <c r="G27" s="17">
        <v>1.0395314218333334</v>
      </c>
      <c r="H27" s="17">
        <v>0</v>
      </c>
      <c r="I27" s="17">
        <v>0.16182010433333333</v>
      </c>
      <c r="J27" s="17">
        <v>4.9894481500000004E-2</v>
      </c>
      <c r="K27" s="17" t="s">
        <v>15</v>
      </c>
    </row>
    <row r="28" spans="1:11">
      <c r="A28" s="8">
        <v>4</v>
      </c>
      <c r="B28" s="9">
        <v>36817</v>
      </c>
      <c r="C28" s="12">
        <v>2000</v>
      </c>
      <c r="D28" s="15" t="s">
        <v>14</v>
      </c>
      <c r="E28" s="12">
        <v>10</v>
      </c>
      <c r="F28" s="17">
        <v>7.6204647894963671</v>
      </c>
      <c r="G28" s="17">
        <v>0.60635379850000004</v>
      </c>
      <c r="H28" s="17">
        <v>0</v>
      </c>
      <c r="I28" s="17">
        <v>0.29691672433333333</v>
      </c>
      <c r="J28" s="17">
        <v>0.51940670916666665</v>
      </c>
      <c r="K28" s="17" t="s">
        <v>15</v>
      </c>
    </row>
    <row r="29" spans="1:11">
      <c r="A29" s="8">
        <v>3</v>
      </c>
      <c r="B29" s="9">
        <v>36848</v>
      </c>
      <c r="C29" s="12">
        <v>2000</v>
      </c>
      <c r="D29" s="15" t="s">
        <v>16</v>
      </c>
      <c r="E29" s="12">
        <v>11</v>
      </c>
      <c r="F29" s="17">
        <v>2.1484922622143627</v>
      </c>
      <c r="G29" s="17">
        <v>0</v>
      </c>
      <c r="H29" s="17">
        <v>0</v>
      </c>
      <c r="I29" s="17">
        <v>0.27904777783333334</v>
      </c>
      <c r="J29" s="17">
        <v>0.24586865683333334</v>
      </c>
      <c r="K29" s="17" t="s">
        <v>15</v>
      </c>
    </row>
    <row r="30" spans="1:11">
      <c r="A30" s="8">
        <v>4</v>
      </c>
      <c r="B30" s="9">
        <v>36848</v>
      </c>
      <c r="C30" s="12">
        <v>2000</v>
      </c>
      <c r="D30" s="15" t="s">
        <v>16</v>
      </c>
      <c r="E30" s="12">
        <v>11</v>
      </c>
      <c r="F30" s="17">
        <v>5.0971790667895167</v>
      </c>
      <c r="G30" s="17">
        <v>2.0000417833333336E-2</v>
      </c>
      <c r="H30" s="17">
        <v>0</v>
      </c>
      <c r="I30" s="17">
        <v>0.57796765750000001</v>
      </c>
      <c r="J30" s="17">
        <v>0.65751298933333335</v>
      </c>
      <c r="K30" s="17" t="s">
        <v>15</v>
      </c>
    </row>
    <row r="31" spans="1:11">
      <c r="A31" s="8">
        <v>3</v>
      </c>
      <c r="B31" s="9">
        <v>36871</v>
      </c>
      <c r="C31" s="12">
        <v>2000</v>
      </c>
      <c r="D31" s="15" t="s">
        <v>17</v>
      </c>
      <c r="E31" s="12">
        <v>12</v>
      </c>
      <c r="F31" s="17">
        <v>1.8706891478801031</v>
      </c>
      <c r="G31" s="17">
        <v>0.25030593733333334</v>
      </c>
      <c r="H31" s="17">
        <v>0</v>
      </c>
      <c r="I31" s="17">
        <v>0.16593030483333332</v>
      </c>
      <c r="J31" s="17">
        <v>2.5977385499999998E-2</v>
      </c>
      <c r="K31" s="17" t="s">
        <v>15</v>
      </c>
    </row>
    <row r="32" spans="1:11">
      <c r="A32" s="8">
        <v>4</v>
      </c>
      <c r="B32" s="9">
        <v>36871</v>
      </c>
      <c r="C32" s="12">
        <v>2000</v>
      </c>
      <c r="D32" s="15" t="s">
        <v>17</v>
      </c>
      <c r="E32" s="12">
        <v>12</v>
      </c>
      <c r="F32" s="17">
        <v>3.7620316666914344</v>
      </c>
      <c r="G32" s="17">
        <v>0.68829803150000002</v>
      </c>
      <c r="H32" s="17">
        <v>0</v>
      </c>
      <c r="I32" s="17">
        <v>0.33870979066666662</v>
      </c>
      <c r="J32" s="17">
        <v>5.8125575499999999E-2</v>
      </c>
      <c r="K32" s="17" t="s">
        <v>15</v>
      </c>
    </row>
    <row r="33" spans="1:11">
      <c r="A33" s="8">
        <v>3</v>
      </c>
      <c r="B33" s="9">
        <v>36901</v>
      </c>
      <c r="C33" s="12">
        <v>2001</v>
      </c>
      <c r="D33" s="15" t="s">
        <v>18</v>
      </c>
      <c r="E33" s="12">
        <v>1</v>
      </c>
      <c r="F33" s="17">
        <v>3.6603537246189437</v>
      </c>
      <c r="G33" s="17">
        <v>0.86006881099999999</v>
      </c>
      <c r="H33" s="17">
        <v>0</v>
      </c>
      <c r="I33" s="17">
        <v>0.27575674500000003</v>
      </c>
      <c r="J33" s="17">
        <v>6.2355076333333335E-2</v>
      </c>
      <c r="K33" s="17" t="s">
        <v>15</v>
      </c>
    </row>
    <row r="34" spans="1:11">
      <c r="A34" s="8">
        <v>4</v>
      </c>
      <c r="B34" s="9">
        <v>36901</v>
      </c>
      <c r="C34" s="12">
        <v>2001</v>
      </c>
      <c r="D34" s="15" t="s">
        <v>18</v>
      </c>
      <c r="E34" s="12">
        <v>1</v>
      </c>
      <c r="F34" s="17">
        <v>7.1778812047673535</v>
      </c>
      <c r="G34" s="17">
        <v>1.9558241316666667</v>
      </c>
      <c r="H34" s="17">
        <v>0</v>
      </c>
      <c r="I34" s="17">
        <v>0.40866622716666662</v>
      </c>
      <c r="J34" s="17">
        <v>0.10998306116666667</v>
      </c>
      <c r="K34" s="17" t="s">
        <v>15</v>
      </c>
    </row>
    <row r="35" spans="1:11">
      <c r="A35" s="12">
        <v>3</v>
      </c>
      <c r="B35" s="9">
        <v>36928</v>
      </c>
      <c r="C35" s="12">
        <v>2001</v>
      </c>
      <c r="D35" s="11" t="s">
        <v>19</v>
      </c>
      <c r="E35" s="12">
        <v>2</v>
      </c>
      <c r="F35" s="17">
        <v>3.8381383827951239</v>
      </c>
      <c r="G35" s="17">
        <v>0</v>
      </c>
      <c r="H35" s="17">
        <v>0</v>
      </c>
      <c r="I35" s="17">
        <v>1.1100196778333333</v>
      </c>
      <c r="J35" s="17">
        <v>6.7767306833333332E-2</v>
      </c>
      <c r="K35" s="17" t="s">
        <v>15</v>
      </c>
    </row>
    <row r="36" spans="1:11">
      <c r="A36" s="12">
        <v>4</v>
      </c>
      <c r="B36" s="9">
        <v>36928</v>
      </c>
      <c r="C36" s="12">
        <v>2001</v>
      </c>
      <c r="D36" s="11" t="s">
        <v>19</v>
      </c>
      <c r="E36" s="12">
        <v>2</v>
      </c>
      <c r="F36" s="17">
        <v>4.6473219110529893</v>
      </c>
      <c r="G36" s="17">
        <v>0</v>
      </c>
      <c r="H36" s="17">
        <v>0</v>
      </c>
      <c r="I36" s="17">
        <v>0.97963751766666662</v>
      </c>
      <c r="J36" s="17">
        <v>0.10498701899999999</v>
      </c>
      <c r="K36" s="17" t="s">
        <v>15</v>
      </c>
    </row>
    <row r="37" spans="1:11">
      <c r="A37" s="8">
        <v>3</v>
      </c>
      <c r="B37" s="9">
        <v>36965</v>
      </c>
      <c r="C37" s="12">
        <v>2001</v>
      </c>
      <c r="D37" s="11" t="s">
        <v>20</v>
      </c>
      <c r="E37" s="12">
        <v>3</v>
      </c>
      <c r="F37" s="17">
        <v>3.0647509565419848</v>
      </c>
      <c r="G37" s="17">
        <v>0</v>
      </c>
      <c r="H37" s="17">
        <v>3.5679605666666669E-2</v>
      </c>
      <c r="I37" s="17">
        <v>0.84151561733333335</v>
      </c>
      <c r="J37" s="17">
        <v>2.2643161333333332E-2</v>
      </c>
      <c r="K37" s="17" t="s">
        <v>15</v>
      </c>
    </row>
    <row r="38" spans="1:11">
      <c r="A38" s="8">
        <v>4</v>
      </c>
      <c r="B38" s="9">
        <v>36965</v>
      </c>
      <c r="C38" s="12">
        <v>2001</v>
      </c>
      <c r="D38" s="11" t="s">
        <v>20</v>
      </c>
      <c r="E38" s="12">
        <v>3</v>
      </c>
      <c r="F38" s="17">
        <v>15.923001191095393</v>
      </c>
      <c r="G38" s="17">
        <v>0</v>
      </c>
      <c r="H38" s="17">
        <v>0</v>
      </c>
      <c r="I38" s="17">
        <v>4.7861398346666668</v>
      </c>
      <c r="J38" s="17">
        <v>8.195712749999999E-2</v>
      </c>
      <c r="K38" s="17" t="s">
        <v>15</v>
      </c>
    </row>
    <row r="39" spans="1:11">
      <c r="A39" s="8">
        <v>3</v>
      </c>
      <c r="B39" s="9">
        <v>37000</v>
      </c>
      <c r="C39" s="12">
        <v>2001</v>
      </c>
      <c r="D39" s="15" t="s">
        <v>21</v>
      </c>
      <c r="E39" s="12">
        <v>4</v>
      </c>
      <c r="F39" s="17">
        <v>1.787291100592947</v>
      </c>
      <c r="G39" s="17">
        <v>0</v>
      </c>
      <c r="H39" s="17">
        <v>0</v>
      </c>
      <c r="I39" s="17">
        <v>0.27965685950000002</v>
      </c>
      <c r="J39" s="17">
        <v>2.3421234333333332E-2</v>
      </c>
      <c r="K39" s="17" t="s">
        <v>15</v>
      </c>
    </row>
    <row r="40" spans="1:11">
      <c r="A40" s="8">
        <v>4</v>
      </c>
      <c r="B40" s="9">
        <v>37000</v>
      </c>
      <c r="C40" s="12">
        <v>2001</v>
      </c>
      <c r="D40" s="15" t="s">
        <v>21</v>
      </c>
      <c r="E40" s="12">
        <v>4</v>
      </c>
      <c r="F40" s="17">
        <v>5.6942883340020707</v>
      </c>
      <c r="G40" s="17">
        <v>0</v>
      </c>
      <c r="H40" s="17">
        <v>0</v>
      </c>
      <c r="I40" s="17">
        <v>1.3340860415</v>
      </c>
      <c r="J40" s="17">
        <v>0.14311228149999999</v>
      </c>
      <c r="K40" s="17" t="s">
        <v>15</v>
      </c>
    </row>
    <row r="41" spans="1:11">
      <c r="A41" s="8">
        <v>3</v>
      </c>
      <c r="B41" s="9">
        <v>37026</v>
      </c>
      <c r="C41" s="12">
        <v>2001</v>
      </c>
      <c r="D41" s="15" t="s">
        <v>22</v>
      </c>
      <c r="E41" s="12">
        <v>5</v>
      </c>
      <c r="F41" s="17">
        <v>6.2271437772758107</v>
      </c>
      <c r="G41" s="17">
        <v>0.24950773633333334</v>
      </c>
      <c r="H41" s="17">
        <v>0.68171575616666669</v>
      </c>
      <c r="I41" s="17">
        <v>2.5785345510000002</v>
      </c>
      <c r="J41" s="17">
        <v>0.25176333033333337</v>
      </c>
      <c r="K41" s="17" t="s">
        <v>15</v>
      </c>
    </row>
    <row r="42" spans="1:11">
      <c r="A42" s="8">
        <v>4</v>
      </c>
      <c r="B42" s="9">
        <v>37026</v>
      </c>
      <c r="C42" s="12">
        <v>2001</v>
      </c>
      <c r="D42" s="15" t="s">
        <v>22</v>
      </c>
      <c r="E42" s="12">
        <v>5</v>
      </c>
      <c r="F42" s="17">
        <v>13.68592039227633</v>
      </c>
      <c r="G42" s="17">
        <v>0.29517418466666667</v>
      </c>
      <c r="H42" s="17">
        <v>0.88532536249999993</v>
      </c>
      <c r="I42" s="17">
        <v>4.7100608169999996</v>
      </c>
      <c r="J42" s="17">
        <v>0.86139547683333328</v>
      </c>
      <c r="K42" s="17" t="s">
        <v>15</v>
      </c>
    </row>
    <row r="43" spans="1:11">
      <c r="A43" s="8">
        <v>3</v>
      </c>
      <c r="B43" s="9">
        <v>37055</v>
      </c>
      <c r="C43" s="12">
        <v>2001</v>
      </c>
      <c r="D43" s="15" t="s">
        <v>23</v>
      </c>
      <c r="E43" s="12">
        <v>6</v>
      </c>
      <c r="F43" s="17">
        <v>23.472226020072025</v>
      </c>
      <c r="G43" s="17">
        <v>0.15233352633333333</v>
      </c>
      <c r="H43" s="17">
        <v>5.3737819314999999</v>
      </c>
      <c r="I43" s="17">
        <v>9.6043826761666669</v>
      </c>
      <c r="J43" s="17">
        <v>1.2974531863333334</v>
      </c>
      <c r="K43" s="17" t="s">
        <v>15</v>
      </c>
    </row>
    <row r="44" spans="1:11">
      <c r="A44" s="8">
        <v>4</v>
      </c>
      <c r="B44" s="9">
        <v>37055</v>
      </c>
      <c r="C44" s="12">
        <v>2001</v>
      </c>
      <c r="D44" s="15" t="s">
        <v>23</v>
      </c>
      <c r="E44" s="12">
        <v>6</v>
      </c>
      <c r="F44" s="17">
        <v>17.031057322425486</v>
      </c>
      <c r="G44" s="17">
        <v>0.17040176100000001</v>
      </c>
      <c r="H44" s="17">
        <v>0.9715931318333334</v>
      </c>
      <c r="I44" s="17">
        <v>4.5126676176666667</v>
      </c>
      <c r="J44" s="17">
        <v>2.4710011303333337</v>
      </c>
      <c r="K44" s="17" t="s">
        <v>15</v>
      </c>
    </row>
    <row r="45" spans="1:11">
      <c r="A45" s="8">
        <v>3</v>
      </c>
      <c r="B45" s="9">
        <v>37092</v>
      </c>
      <c r="C45" s="12">
        <v>2001</v>
      </c>
      <c r="D45" s="15" t="s">
        <v>24</v>
      </c>
      <c r="E45" s="12">
        <v>7</v>
      </c>
      <c r="F45" s="17">
        <v>25.751491910508093</v>
      </c>
      <c r="G45" s="17">
        <v>0.25293410899999996</v>
      </c>
      <c r="H45" s="17">
        <v>8.3238819833333325E-2</v>
      </c>
      <c r="I45" s="17">
        <v>2.7396955681666668</v>
      </c>
      <c r="J45" s="17">
        <v>1.6664413596666667</v>
      </c>
      <c r="K45" s="17" t="s">
        <v>15</v>
      </c>
    </row>
    <row r="46" spans="1:11">
      <c r="A46" s="8">
        <v>4</v>
      </c>
      <c r="B46" s="9">
        <v>37092</v>
      </c>
      <c r="C46" s="12">
        <v>2001</v>
      </c>
      <c r="D46" s="15" t="s">
        <v>24</v>
      </c>
      <c r="E46" s="12">
        <v>7</v>
      </c>
      <c r="F46" s="17">
        <v>42.768034028077061</v>
      </c>
      <c r="G46" s="17">
        <v>0.46116235749999995</v>
      </c>
      <c r="H46" s="17">
        <v>0.12094747466666667</v>
      </c>
      <c r="I46" s="17">
        <v>4.4095446401666667</v>
      </c>
      <c r="J46" s="17">
        <v>2.8882748031666665</v>
      </c>
      <c r="K46" s="17" t="s">
        <v>15</v>
      </c>
    </row>
    <row r="47" spans="1:11">
      <c r="A47" s="8">
        <v>3</v>
      </c>
      <c r="B47" s="9">
        <v>37118</v>
      </c>
      <c r="C47" s="12">
        <v>2001</v>
      </c>
      <c r="D47" s="15" t="s">
        <v>25</v>
      </c>
      <c r="E47" s="12">
        <v>8</v>
      </c>
      <c r="F47" s="17">
        <v>23.00358451823671</v>
      </c>
      <c r="G47" s="17">
        <v>0.13544812616666665</v>
      </c>
      <c r="H47" s="17">
        <v>4.8727162333333324E-2</v>
      </c>
      <c r="I47" s="17">
        <v>2.6864299611666667</v>
      </c>
      <c r="J47" s="17">
        <v>2.0210099176666669</v>
      </c>
      <c r="K47" s="17" t="s">
        <v>15</v>
      </c>
    </row>
    <row r="48" spans="1:11">
      <c r="A48" s="8">
        <v>4</v>
      </c>
      <c r="B48" s="9">
        <v>37118</v>
      </c>
      <c r="C48" s="12">
        <v>2001</v>
      </c>
      <c r="D48" s="15" t="s">
        <v>25</v>
      </c>
      <c r="E48" s="12">
        <v>8</v>
      </c>
      <c r="F48" s="17">
        <v>36.365381232012211</v>
      </c>
      <c r="G48" s="17">
        <v>0.33279090066666667</v>
      </c>
      <c r="H48" s="17">
        <v>6.9371466499999992E-2</v>
      </c>
      <c r="I48" s="17">
        <v>3.2119058913333332</v>
      </c>
      <c r="J48" s="17">
        <v>3.5841533329999997</v>
      </c>
      <c r="K48" s="17" t="s">
        <v>15</v>
      </c>
    </row>
    <row r="49" spans="1:11">
      <c r="A49" s="8">
        <v>3</v>
      </c>
      <c r="B49" s="9">
        <v>37152</v>
      </c>
      <c r="C49" s="12">
        <v>2001</v>
      </c>
      <c r="D49" s="15" t="s">
        <v>26</v>
      </c>
      <c r="E49" s="12">
        <v>9</v>
      </c>
      <c r="F49" s="17">
        <v>8.8993261414354574</v>
      </c>
      <c r="G49" s="17">
        <v>0.20519866999999997</v>
      </c>
      <c r="H49" s="17">
        <v>4.6520944833333341E-2</v>
      </c>
      <c r="I49" s="17">
        <v>1.8689569253333334</v>
      </c>
      <c r="J49" s="17">
        <v>0.49798013866666674</v>
      </c>
      <c r="K49" s="17" t="s">
        <v>15</v>
      </c>
    </row>
    <row r="50" spans="1:11">
      <c r="A50" s="8">
        <v>4</v>
      </c>
      <c r="B50" s="9">
        <v>37152</v>
      </c>
      <c r="C50" s="12">
        <v>2001</v>
      </c>
      <c r="D50" s="15" t="s">
        <v>26</v>
      </c>
      <c r="E50" s="12">
        <v>9</v>
      </c>
      <c r="F50" s="17">
        <v>12.060995468685757</v>
      </c>
      <c r="G50" s="17">
        <v>0.21557444433333331</v>
      </c>
      <c r="H50" s="17">
        <v>0.13262349683333333</v>
      </c>
      <c r="I50" s="17">
        <v>1.8995613396666664</v>
      </c>
      <c r="J50" s="17">
        <v>1.5680431156666668</v>
      </c>
      <c r="K50" s="17" t="s">
        <v>15</v>
      </c>
    </row>
    <row r="51" spans="1:11">
      <c r="A51" s="8">
        <v>3</v>
      </c>
      <c r="B51" s="9">
        <v>37180</v>
      </c>
      <c r="C51" s="12">
        <v>2001</v>
      </c>
      <c r="D51" s="15" t="s">
        <v>14</v>
      </c>
      <c r="E51" s="12">
        <v>10</v>
      </c>
      <c r="F51" s="16">
        <v>3.2493851022036586</v>
      </c>
      <c r="G51" s="16">
        <v>0.16936741693647472</v>
      </c>
      <c r="H51" s="18">
        <v>1.0737968105455777E-2</v>
      </c>
      <c r="I51" s="16">
        <v>0.3169387733011455</v>
      </c>
      <c r="J51" s="16">
        <v>6.3194794242695043E-2</v>
      </c>
      <c r="K51" s="17" t="s">
        <v>27</v>
      </c>
    </row>
    <row r="52" spans="1:11">
      <c r="A52" s="8">
        <v>4</v>
      </c>
      <c r="B52" s="9">
        <v>37180</v>
      </c>
      <c r="C52" s="12">
        <v>2001</v>
      </c>
      <c r="D52" s="15" t="s">
        <v>14</v>
      </c>
      <c r="E52" s="12">
        <v>10</v>
      </c>
      <c r="F52" s="16">
        <v>4.2841916128331681</v>
      </c>
      <c r="G52" s="16">
        <v>7.6320444632261703E-2</v>
      </c>
      <c r="H52" s="18">
        <v>9.0311976206869753E-3</v>
      </c>
      <c r="I52" s="16">
        <v>0.21700994793818773</v>
      </c>
      <c r="J52" s="16">
        <v>0.11733650190608014</v>
      </c>
      <c r="K52" s="17" t="s">
        <v>27</v>
      </c>
    </row>
    <row r="53" spans="1:11">
      <c r="A53" s="8">
        <v>3</v>
      </c>
      <c r="B53" s="9">
        <v>37203</v>
      </c>
      <c r="C53" s="12">
        <v>2001</v>
      </c>
      <c r="D53" s="15" t="s">
        <v>16</v>
      </c>
      <c r="E53" s="12">
        <v>11</v>
      </c>
      <c r="F53" s="16">
        <v>1.3616965947949478</v>
      </c>
      <c r="G53" s="16">
        <v>0</v>
      </c>
      <c r="H53" s="18">
        <v>0</v>
      </c>
      <c r="I53" s="16">
        <v>0.11215932781247862</v>
      </c>
      <c r="J53" s="16">
        <v>5.6675309032092197E-2</v>
      </c>
      <c r="K53" s="17" t="s">
        <v>27</v>
      </c>
    </row>
    <row r="54" spans="1:11">
      <c r="A54" s="8">
        <v>4</v>
      </c>
      <c r="B54" s="9">
        <v>37203</v>
      </c>
      <c r="C54" s="12">
        <v>2001</v>
      </c>
      <c r="D54" s="15" t="s">
        <v>16</v>
      </c>
      <c r="E54" s="12">
        <v>11</v>
      </c>
      <c r="F54" s="16">
        <v>4.0950642991562116</v>
      </c>
      <c r="G54" s="16">
        <v>0</v>
      </c>
      <c r="H54" s="18">
        <v>2.5631747594340587E-2</v>
      </c>
      <c r="I54" s="16">
        <v>0.33752291368713699</v>
      </c>
      <c r="J54" s="16">
        <v>0.11297427945681228</v>
      </c>
      <c r="K54" s="17" t="s">
        <v>27</v>
      </c>
    </row>
    <row r="55" spans="1:11">
      <c r="A55" s="8">
        <v>3</v>
      </c>
      <c r="B55" s="9">
        <v>37228</v>
      </c>
      <c r="C55" s="12">
        <v>2001</v>
      </c>
      <c r="D55" s="15" t="s">
        <v>17</v>
      </c>
      <c r="E55" s="12">
        <v>12</v>
      </c>
      <c r="F55" s="16">
        <v>4.0507025288412777</v>
      </c>
      <c r="G55" s="16">
        <v>6.4606492570054477E-2</v>
      </c>
      <c r="H55" s="18">
        <v>0.204209317006117</v>
      </c>
      <c r="I55" s="16">
        <v>1.6535871579611139</v>
      </c>
      <c r="J55" s="16">
        <v>8.2978962928461825E-2</v>
      </c>
      <c r="K55" s="17" t="s">
        <v>27</v>
      </c>
    </row>
    <row r="56" spans="1:11">
      <c r="A56" s="8">
        <v>4</v>
      </c>
      <c r="B56" s="9">
        <v>37228</v>
      </c>
      <c r="C56" s="12">
        <v>2001</v>
      </c>
      <c r="D56" s="15" t="s">
        <v>17</v>
      </c>
      <c r="E56" s="12">
        <v>12</v>
      </c>
      <c r="F56" s="16">
        <v>7.1636445505763398</v>
      </c>
      <c r="G56" s="16">
        <v>0.10172547857822313</v>
      </c>
      <c r="H56" s="18">
        <v>0.31920250089070273</v>
      </c>
      <c r="I56" s="16">
        <v>3.1844264937845796</v>
      </c>
      <c r="J56" s="16">
        <v>0.10801602149499696</v>
      </c>
      <c r="K56" s="17" t="s">
        <v>27</v>
      </c>
    </row>
    <row r="57" spans="1:11">
      <c r="A57" s="8">
        <v>3</v>
      </c>
      <c r="B57" s="9">
        <v>37270</v>
      </c>
      <c r="C57" s="12">
        <v>2002</v>
      </c>
      <c r="D57" s="15" t="s">
        <v>18</v>
      </c>
      <c r="E57" s="12">
        <v>1</v>
      </c>
      <c r="F57" s="16">
        <v>4.2514887305959439</v>
      </c>
      <c r="G57" s="16">
        <v>1.1476408557160802</v>
      </c>
      <c r="H57" s="18">
        <v>1.8873072477509995E-2</v>
      </c>
      <c r="I57" s="16">
        <v>0.21528763760210951</v>
      </c>
      <c r="J57" s="16">
        <v>4.5313730040364292E-2</v>
      </c>
      <c r="K57" s="17" t="s">
        <v>27</v>
      </c>
    </row>
    <row r="58" spans="1:11">
      <c r="A58" s="8">
        <v>4</v>
      </c>
      <c r="B58" s="9">
        <v>37270</v>
      </c>
      <c r="C58" s="12">
        <v>2002</v>
      </c>
      <c r="D58" s="15" t="s">
        <v>18</v>
      </c>
      <c r="E58" s="12">
        <v>1</v>
      </c>
      <c r="F58" s="16">
        <v>5.2303111731291096</v>
      </c>
      <c r="G58" s="16">
        <v>1.3231139893583077</v>
      </c>
      <c r="H58" s="18">
        <v>1.59074307092444E-2</v>
      </c>
      <c r="I58" s="16">
        <v>0.32932961240137032</v>
      </c>
      <c r="J58" s="16">
        <v>3.4202951447983444E-2</v>
      </c>
      <c r="K58" s="17" t="s">
        <v>27</v>
      </c>
    </row>
    <row r="59" spans="1:11">
      <c r="A59" s="8">
        <v>3</v>
      </c>
      <c r="B59" s="9">
        <v>37300</v>
      </c>
      <c r="C59" s="12">
        <v>2002</v>
      </c>
      <c r="D59" s="11" t="s">
        <v>19</v>
      </c>
      <c r="E59" s="12">
        <v>2</v>
      </c>
      <c r="F59" s="16">
        <v>2.5319323297664096</v>
      </c>
      <c r="G59" s="16">
        <v>6.594379439098684E-2</v>
      </c>
      <c r="H59" s="18">
        <v>0.1204803409590825</v>
      </c>
      <c r="I59" s="16">
        <v>0.95350270182919128</v>
      </c>
      <c r="J59" s="16">
        <v>4.4538188278440326E-2</v>
      </c>
      <c r="K59" s="17" t="s">
        <v>27</v>
      </c>
    </row>
    <row r="60" spans="1:11">
      <c r="A60" s="8">
        <v>4</v>
      </c>
      <c r="B60" s="9">
        <v>37300</v>
      </c>
      <c r="C60" s="12">
        <v>2002</v>
      </c>
      <c r="D60" s="11" t="s">
        <v>19</v>
      </c>
      <c r="E60" s="12">
        <v>2</v>
      </c>
      <c r="F60" s="16">
        <v>1.7412773154705985</v>
      </c>
      <c r="G60" s="16">
        <v>2.9197568923735248E-2</v>
      </c>
      <c r="H60" s="18">
        <v>6.5638541033855913E-2</v>
      </c>
      <c r="I60" s="16">
        <v>0.56422682774764121</v>
      </c>
      <c r="J60" s="16">
        <v>4.8494613557900947E-2</v>
      </c>
      <c r="K60" s="17" t="s">
        <v>27</v>
      </c>
    </row>
    <row r="61" spans="1:11">
      <c r="A61" s="8">
        <v>3</v>
      </c>
      <c r="B61" s="19">
        <v>37334</v>
      </c>
      <c r="C61" s="12">
        <v>2002</v>
      </c>
      <c r="D61" s="11" t="s">
        <v>20</v>
      </c>
      <c r="E61" s="12">
        <v>3</v>
      </c>
      <c r="F61" s="16">
        <v>3.0997542691102855</v>
      </c>
      <c r="G61" s="16">
        <v>5.5720508239434585E-2</v>
      </c>
      <c r="H61" s="18">
        <v>3.5461343693839971E-2</v>
      </c>
      <c r="I61" s="16">
        <v>0.94812113106089957</v>
      </c>
      <c r="J61" s="16">
        <v>3.3957180355172471E-2</v>
      </c>
      <c r="K61" s="17" t="s">
        <v>27</v>
      </c>
    </row>
    <row r="62" spans="1:11">
      <c r="A62" s="8">
        <v>4</v>
      </c>
      <c r="B62" s="19">
        <v>37334</v>
      </c>
      <c r="C62" s="12">
        <v>2002</v>
      </c>
      <c r="D62" s="11" t="s">
        <v>20</v>
      </c>
      <c r="E62" s="12">
        <v>3</v>
      </c>
      <c r="F62" s="16">
        <v>5.2293756812203727</v>
      </c>
      <c r="G62" s="16">
        <v>0.10676303493019787</v>
      </c>
      <c r="H62" s="18">
        <v>5.0612283587839944E-2</v>
      </c>
      <c r="I62" s="16">
        <v>1.0099404860580177</v>
      </c>
      <c r="J62" s="16">
        <v>9.5613383860199797E-2</v>
      </c>
      <c r="K62" s="17" t="s">
        <v>27</v>
      </c>
    </row>
    <row r="63" spans="1:11">
      <c r="A63" s="8">
        <v>3</v>
      </c>
      <c r="B63" s="19">
        <v>37361</v>
      </c>
      <c r="C63" s="12">
        <v>2002</v>
      </c>
      <c r="D63" s="15" t="s">
        <v>21</v>
      </c>
      <c r="E63" s="12">
        <v>4</v>
      </c>
      <c r="F63" s="16">
        <v>4.0387561020184775</v>
      </c>
      <c r="G63" s="16">
        <v>0.29889856972567713</v>
      </c>
      <c r="H63" s="18">
        <v>1.5563797893968915E-2</v>
      </c>
      <c r="I63" s="16">
        <v>0.57794405185674025</v>
      </c>
      <c r="J63" s="16">
        <v>6.5300542532303427E-2</v>
      </c>
      <c r="K63" s="17" t="s">
        <v>27</v>
      </c>
    </row>
    <row r="64" spans="1:11">
      <c r="A64" s="8">
        <v>4</v>
      </c>
      <c r="B64" s="19">
        <v>37361</v>
      </c>
      <c r="C64" s="12">
        <v>2002</v>
      </c>
      <c r="D64" s="15" t="s">
        <v>21</v>
      </c>
      <c r="E64" s="12">
        <v>4</v>
      </c>
      <c r="F64" s="16">
        <v>11.333801590233278</v>
      </c>
      <c r="G64" s="16">
        <v>1.3359850342068009</v>
      </c>
      <c r="H64" s="18">
        <v>4.0241522331325205E-2</v>
      </c>
      <c r="I64" s="16">
        <v>1.2763744013350913</v>
      </c>
      <c r="J64" s="16">
        <v>0.19335397781586039</v>
      </c>
      <c r="K64" s="17" t="s">
        <v>27</v>
      </c>
    </row>
    <row r="65" spans="1:11">
      <c r="A65" s="8">
        <v>3</v>
      </c>
      <c r="B65" s="19">
        <v>37389</v>
      </c>
      <c r="C65" s="12">
        <v>2002</v>
      </c>
      <c r="D65" s="15" t="s">
        <v>22</v>
      </c>
      <c r="E65" s="12">
        <v>5</v>
      </c>
      <c r="F65" s="16">
        <v>16.987336423440826</v>
      </c>
      <c r="G65" s="20"/>
      <c r="H65" s="16">
        <v>1.2942995803762276</v>
      </c>
      <c r="I65" s="20"/>
      <c r="J65" s="20"/>
      <c r="K65" s="17" t="s">
        <v>27</v>
      </c>
    </row>
    <row r="66" spans="1:11">
      <c r="A66" s="8">
        <v>4</v>
      </c>
      <c r="B66" s="19">
        <v>37389</v>
      </c>
      <c r="C66" s="12">
        <v>2002</v>
      </c>
      <c r="D66" s="15" t="s">
        <v>22</v>
      </c>
      <c r="E66" s="12">
        <v>5</v>
      </c>
      <c r="F66" s="16">
        <v>14.556047501768324</v>
      </c>
      <c r="G66" s="20"/>
      <c r="H66" s="16">
        <v>0.84865497510745447</v>
      </c>
      <c r="I66" s="20"/>
      <c r="J66" s="20"/>
      <c r="K66" s="17" t="s">
        <v>27</v>
      </c>
    </row>
    <row r="67" spans="1:11">
      <c r="A67" s="8">
        <v>3</v>
      </c>
      <c r="B67" s="19">
        <v>37418</v>
      </c>
      <c r="C67" s="12">
        <v>2002</v>
      </c>
      <c r="D67" s="15" t="s">
        <v>23</v>
      </c>
      <c r="E67" s="12">
        <v>6</v>
      </c>
      <c r="F67" s="16">
        <v>27.635613950571745</v>
      </c>
      <c r="G67" s="20"/>
      <c r="H67" s="16">
        <v>5.8898894913384536</v>
      </c>
      <c r="I67" s="20"/>
      <c r="J67" s="20"/>
      <c r="K67" s="17" t="s">
        <v>27</v>
      </c>
    </row>
    <row r="68" spans="1:11">
      <c r="A68" s="8">
        <v>4</v>
      </c>
      <c r="B68" s="19">
        <v>37418</v>
      </c>
      <c r="C68" s="12">
        <v>2002</v>
      </c>
      <c r="D68" s="15" t="s">
        <v>23</v>
      </c>
      <c r="E68" s="12">
        <v>6</v>
      </c>
      <c r="F68" s="16">
        <v>25.568401315342154</v>
      </c>
      <c r="G68" s="20"/>
      <c r="H68" s="16">
        <v>2.9983528612644501</v>
      </c>
      <c r="I68" s="20"/>
      <c r="J68" s="20"/>
      <c r="K68" s="17" t="s">
        <v>27</v>
      </c>
    </row>
    <row r="69" spans="1:11">
      <c r="A69" s="8">
        <v>3</v>
      </c>
      <c r="B69" s="19">
        <v>37455</v>
      </c>
      <c r="C69" s="12">
        <v>2002</v>
      </c>
      <c r="D69" s="15" t="s">
        <v>24</v>
      </c>
      <c r="E69" s="12">
        <v>7</v>
      </c>
      <c r="F69" s="16">
        <v>11.141478683415984</v>
      </c>
      <c r="G69" s="20"/>
      <c r="H69" s="16">
        <v>0</v>
      </c>
      <c r="I69" s="20"/>
      <c r="J69" s="20"/>
      <c r="K69" s="17" t="s">
        <v>27</v>
      </c>
    </row>
    <row r="70" spans="1:11">
      <c r="A70" s="8">
        <v>4</v>
      </c>
      <c r="B70" s="19">
        <v>37455</v>
      </c>
      <c r="C70" s="12">
        <v>2002</v>
      </c>
      <c r="D70" s="15" t="s">
        <v>24</v>
      </c>
      <c r="E70" s="12">
        <v>7</v>
      </c>
      <c r="F70" s="16">
        <v>15.213384618270862</v>
      </c>
      <c r="G70" s="20"/>
      <c r="H70" s="16">
        <v>5.6415868699843823E-2</v>
      </c>
      <c r="I70" s="20"/>
      <c r="J70" s="20"/>
      <c r="K70" s="17" t="s">
        <v>27</v>
      </c>
    </row>
    <row r="71" spans="1:11">
      <c r="A71" s="8">
        <v>3</v>
      </c>
      <c r="B71" s="19">
        <v>37483</v>
      </c>
      <c r="C71" s="12">
        <v>2002</v>
      </c>
      <c r="D71" s="15" t="s">
        <v>25</v>
      </c>
      <c r="E71" s="12">
        <v>8</v>
      </c>
      <c r="F71" s="16">
        <v>16.190633624498993</v>
      </c>
      <c r="G71" s="20"/>
      <c r="H71" s="16">
        <v>0</v>
      </c>
      <c r="I71" s="20"/>
      <c r="J71" s="20"/>
      <c r="K71" s="17" t="s">
        <v>27</v>
      </c>
    </row>
    <row r="72" spans="1:11">
      <c r="A72" s="8">
        <v>4</v>
      </c>
      <c r="B72" s="19">
        <v>37483</v>
      </c>
      <c r="C72" s="12">
        <v>2002</v>
      </c>
      <c r="D72" s="15" t="s">
        <v>25</v>
      </c>
      <c r="E72" s="12">
        <v>8</v>
      </c>
      <c r="F72" s="16">
        <v>25.601505200357359</v>
      </c>
      <c r="G72" s="20"/>
      <c r="H72" s="16">
        <v>0</v>
      </c>
      <c r="I72" s="20"/>
      <c r="J72" s="20"/>
      <c r="K72" s="17" t="s">
        <v>27</v>
      </c>
    </row>
    <row r="73" spans="1:11">
      <c r="A73" s="8">
        <v>3</v>
      </c>
      <c r="B73" s="19">
        <v>37516</v>
      </c>
      <c r="C73" s="12">
        <v>2002</v>
      </c>
      <c r="D73" s="15" t="s">
        <v>26</v>
      </c>
      <c r="E73" s="12">
        <v>9</v>
      </c>
      <c r="F73" s="16">
        <v>18.390989346517241</v>
      </c>
      <c r="G73" s="20"/>
      <c r="H73" s="16">
        <v>1.734323159100095E-2</v>
      </c>
      <c r="I73" s="20"/>
      <c r="J73" s="20"/>
      <c r="K73" s="17" t="s">
        <v>27</v>
      </c>
    </row>
    <row r="74" spans="1:11">
      <c r="A74" s="8">
        <v>4</v>
      </c>
      <c r="B74" s="19">
        <v>37516</v>
      </c>
      <c r="C74" s="12">
        <v>2002</v>
      </c>
      <c r="D74" s="15" t="s">
        <v>26</v>
      </c>
      <c r="E74" s="12">
        <v>9</v>
      </c>
      <c r="F74" s="16">
        <v>14.536812608725272</v>
      </c>
      <c r="G74" s="20"/>
      <c r="H74" s="16">
        <v>2.8661792088695511E-2</v>
      </c>
      <c r="I74" s="20"/>
      <c r="J74" s="20"/>
      <c r="K74" s="17" t="s">
        <v>27</v>
      </c>
    </row>
    <row r="75" spans="1:11">
      <c r="A75" s="8">
        <v>3</v>
      </c>
      <c r="B75" s="19">
        <v>37544</v>
      </c>
      <c r="C75" s="12">
        <v>2002</v>
      </c>
      <c r="D75" s="15" t="s">
        <v>14</v>
      </c>
      <c r="E75" s="12">
        <v>10</v>
      </c>
      <c r="F75" s="17">
        <v>8.3616599397475788</v>
      </c>
      <c r="G75" s="17">
        <v>0.22254301488661155</v>
      </c>
      <c r="H75" s="17">
        <v>0</v>
      </c>
      <c r="I75" s="17">
        <v>1.3378681695660879</v>
      </c>
      <c r="J75" s="17">
        <v>0.81460992828562784</v>
      </c>
      <c r="K75" s="17">
        <v>0</v>
      </c>
    </row>
    <row r="76" spans="1:11">
      <c r="A76" s="8">
        <v>4</v>
      </c>
      <c r="B76" s="19">
        <v>37544</v>
      </c>
      <c r="C76" s="12">
        <v>2002</v>
      </c>
      <c r="D76" s="15" t="s">
        <v>14</v>
      </c>
      <c r="E76" s="12">
        <v>10</v>
      </c>
      <c r="F76" s="17">
        <v>13.581539322283454</v>
      </c>
      <c r="G76" s="17">
        <v>0.10512439045170656</v>
      </c>
      <c r="H76" s="17">
        <v>0</v>
      </c>
      <c r="I76" s="17">
        <v>1.9765411508432107</v>
      </c>
      <c r="J76" s="17">
        <v>1.4194458199616122</v>
      </c>
      <c r="K76" s="17">
        <v>0</v>
      </c>
    </row>
    <row r="77" spans="1:11">
      <c r="A77" s="8">
        <v>3</v>
      </c>
      <c r="B77" s="19">
        <v>37575</v>
      </c>
      <c r="C77" s="12">
        <v>2002</v>
      </c>
      <c r="D77" s="15" t="s">
        <v>16</v>
      </c>
      <c r="E77" s="12">
        <v>11</v>
      </c>
      <c r="F77" s="17">
        <v>2.7732568032777918</v>
      </c>
      <c r="G77" s="17">
        <v>0.12968687286201119</v>
      </c>
      <c r="H77" s="17">
        <v>0</v>
      </c>
      <c r="I77" s="17">
        <v>0.88410645762654727</v>
      </c>
      <c r="J77" s="17">
        <v>2.7715387081645147E-2</v>
      </c>
      <c r="K77" s="17">
        <v>0</v>
      </c>
    </row>
    <row r="78" spans="1:11">
      <c r="A78" s="8">
        <v>4</v>
      </c>
      <c r="B78" s="19">
        <v>37575</v>
      </c>
      <c r="C78" s="12">
        <v>2002</v>
      </c>
      <c r="D78" s="15" t="s">
        <v>16</v>
      </c>
      <c r="E78" s="12">
        <v>11</v>
      </c>
      <c r="F78" s="17">
        <v>5.0568564250837627</v>
      </c>
      <c r="G78" s="17">
        <v>0.19188252895360416</v>
      </c>
      <c r="H78" s="17">
        <v>0</v>
      </c>
      <c r="I78" s="17">
        <v>0.63150956110467937</v>
      </c>
      <c r="J78" s="17">
        <v>5.1727426375380005E-2</v>
      </c>
      <c r="K78" s="17">
        <v>0</v>
      </c>
    </row>
    <row r="79" spans="1:11">
      <c r="A79" s="8">
        <v>3</v>
      </c>
      <c r="B79" s="19">
        <v>37609</v>
      </c>
      <c r="C79" s="12">
        <v>2002</v>
      </c>
      <c r="D79" s="15" t="s">
        <v>17</v>
      </c>
      <c r="E79" s="12">
        <v>12</v>
      </c>
      <c r="F79" s="17">
        <v>13.67730923414349</v>
      </c>
      <c r="G79" s="17">
        <v>0.31051916948432629</v>
      </c>
      <c r="H79" s="17">
        <v>0</v>
      </c>
      <c r="I79" s="17">
        <v>0.5979298391792548</v>
      </c>
      <c r="J79" s="17">
        <v>3.7524761154459012E-2</v>
      </c>
      <c r="K79" s="17">
        <v>0</v>
      </c>
    </row>
    <row r="80" spans="1:11">
      <c r="A80" s="8">
        <v>4</v>
      </c>
      <c r="B80" s="19">
        <v>37609</v>
      </c>
      <c r="C80" s="12">
        <v>2002</v>
      </c>
      <c r="D80" s="15" t="s">
        <v>17</v>
      </c>
      <c r="E80" s="12">
        <v>12</v>
      </c>
      <c r="F80" s="17">
        <v>23.255795599381781</v>
      </c>
      <c r="G80" s="17">
        <v>1.1194451557953109</v>
      </c>
      <c r="H80" s="17">
        <v>0</v>
      </c>
      <c r="I80" s="17">
        <v>0.52297178014023304</v>
      </c>
      <c r="J80" s="17">
        <v>4.0384794377611527E-2</v>
      </c>
      <c r="K80" s="17">
        <v>0</v>
      </c>
    </row>
    <row r="81" spans="1:11">
      <c r="A81" s="8">
        <v>3</v>
      </c>
      <c r="B81" s="19">
        <v>37635</v>
      </c>
      <c r="C81" s="12">
        <v>2003</v>
      </c>
      <c r="D81" s="15" t="s">
        <v>18</v>
      </c>
      <c r="E81" s="12">
        <v>1</v>
      </c>
      <c r="F81" s="17">
        <v>28.241100767398116</v>
      </c>
      <c r="G81" s="17">
        <v>1.3663633530366377</v>
      </c>
      <c r="H81" s="17">
        <v>0</v>
      </c>
      <c r="I81" s="17">
        <v>1.2652498220194648</v>
      </c>
      <c r="J81" s="17">
        <v>0.13474935828465748</v>
      </c>
      <c r="K81" s="17">
        <v>0</v>
      </c>
    </row>
    <row r="82" spans="1:11">
      <c r="A82" s="8">
        <v>4</v>
      </c>
      <c r="B82" s="19">
        <v>37635</v>
      </c>
      <c r="C82" s="12">
        <v>2003</v>
      </c>
      <c r="D82" s="15" t="s">
        <v>18</v>
      </c>
      <c r="E82" s="12">
        <v>1</v>
      </c>
      <c r="F82" s="17">
        <v>22.579198630515862</v>
      </c>
      <c r="G82" s="17">
        <v>1.2191153050992427</v>
      </c>
      <c r="H82" s="17">
        <v>0</v>
      </c>
      <c r="I82" s="17">
        <v>0.91541644750245554</v>
      </c>
      <c r="J82" s="17">
        <v>0.12384127708472112</v>
      </c>
      <c r="K82" s="17">
        <v>0</v>
      </c>
    </row>
    <row r="83" spans="1:11">
      <c r="A83" s="8">
        <v>3</v>
      </c>
      <c r="B83" s="19">
        <v>37665</v>
      </c>
      <c r="C83" s="12">
        <v>2003</v>
      </c>
      <c r="D83" s="11" t="s">
        <v>19</v>
      </c>
      <c r="E83" s="12">
        <v>2</v>
      </c>
      <c r="F83" s="17">
        <v>11.599366221982605</v>
      </c>
      <c r="G83" s="17">
        <v>0.40371782262039718</v>
      </c>
      <c r="H83" s="17">
        <v>1.463667448570961E-2</v>
      </c>
      <c r="I83" s="17">
        <v>2.8492299458795673</v>
      </c>
      <c r="J83" s="17">
        <v>0.11849878120851445</v>
      </c>
      <c r="K83" s="17">
        <v>0</v>
      </c>
    </row>
    <row r="84" spans="1:11">
      <c r="A84" s="8">
        <v>4</v>
      </c>
      <c r="B84" s="19">
        <v>37665</v>
      </c>
      <c r="C84" s="12">
        <v>2003</v>
      </c>
      <c r="D84" s="11" t="s">
        <v>19</v>
      </c>
      <c r="E84" s="12">
        <v>2</v>
      </c>
      <c r="F84" s="17">
        <v>6.5677932354348592</v>
      </c>
      <c r="G84" s="17">
        <v>0.13565475568751617</v>
      </c>
      <c r="H84" s="17">
        <v>0</v>
      </c>
      <c r="I84" s="17">
        <v>0.93977525485276925</v>
      </c>
      <c r="J84" s="17">
        <v>6.7856307367036794E-2</v>
      </c>
      <c r="K84" s="17">
        <v>0</v>
      </c>
    </row>
    <row r="85" spans="1:11">
      <c r="A85" s="8">
        <v>3</v>
      </c>
      <c r="B85" s="19">
        <v>37692</v>
      </c>
      <c r="C85" s="12">
        <v>2003</v>
      </c>
      <c r="D85" s="11" t="s">
        <v>20</v>
      </c>
      <c r="E85" s="12">
        <v>3</v>
      </c>
      <c r="F85" s="17">
        <v>13.908485665099207</v>
      </c>
      <c r="G85" s="17">
        <v>1.4931575096814507</v>
      </c>
      <c r="H85" s="17">
        <v>0</v>
      </c>
      <c r="I85" s="17">
        <v>3.6917216057719613</v>
      </c>
      <c r="J85" s="17">
        <v>7.6411407490435318E-2</v>
      </c>
      <c r="K85" s="17">
        <v>0</v>
      </c>
    </row>
    <row r="86" spans="1:11">
      <c r="A86" s="8">
        <v>4</v>
      </c>
      <c r="B86" s="19">
        <v>37692</v>
      </c>
      <c r="C86" s="12">
        <v>2003</v>
      </c>
      <c r="D86" s="11" t="s">
        <v>20</v>
      </c>
      <c r="E86" s="12">
        <v>3</v>
      </c>
      <c r="F86" s="17">
        <v>23.075017988777937</v>
      </c>
      <c r="G86" s="17">
        <v>3.9982466760739408</v>
      </c>
      <c r="H86" s="17">
        <v>0</v>
      </c>
      <c r="I86" s="17">
        <v>3.2477772642646592</v>
      </c>
      <c r="J86" s="17">
        <v>0.11618088709861897</v>
      </c>
      <c r="K86" s="17">
        <v>0</v>
      </c>
    </row>
    <row r="87" spans="1:11">
      <c r="A87" s="8">
        <v>3</v>
      </c>
      <c r="B87" s="19">
        <v>37725</v>
      </c>
      <c r="C87" s="12">
        <v>2003</v>
      </c>
      <c r="D87" s="11" t="s">
        <v>21</v>
      </c>
      <c r="E87" s="12">
        <v>4</v>
      </c>
      <c r="F87" s="17">
        <v>7.8579158920229677</v>
      </c>
      <c r="G87" s="17">
        <v>0.12862334935763148</v>
      </c>
      <c r="H87" s="17">
        <v>0</v>
      </c>
      <c r="I87" s="17">
        <v>2.2393015085738774</v>
      </c>
      <c r="J87" s="17">
        <v>8.6212233278918082E-2</v>
      </c>
      <c r="K87" s="17">
        <v>0</v>
      </c>
    </row>
    <row r="88" spans="1:11">
      <c r="A88" s="8">
        <v>4</v>
      </c>
      <c r="B88" s="19">
        <v>37725</v>
      </c>
      <c r="C88" s="12">
        <v>2003</v>
      </c>
      <c r="D88" s="11" t="s">
        <v>21</v>
      </c>
      <c r="E88" s="12">
        <v>4</v>
      </c>
      <c r="F88" s="17">
        <v>6.4005604422385955</v>
      </c>
      <c r="G88" s="17">
        <v>0</v>
      </c>
      <c r="H88" s="17">
        <v>0</v>
      </c>
      <c r="I88" s="17">
        <v>1.4024958511353776</v>
      </c>
      <c r="J88" s="17">
        <v>8.620263791525018E-2</v>
      </c>
      <c r="K88" s="17">
        <v>0</v>
      </c>
    </row>
    <row r="89" spans="1:11">
      <c r="A89" s="8">
        <v>3</v>
      </c>
      <c r="B89" s="19">
        <v>37753</v>
      </c>
      <c r="C89" s="12">
        <v>2003</v>
      </c>
      <c r="D89" s="11" t="s">
        <v>22</v>
      </c>
      <c r="E89" s="12">
        <v>5</v>
      </c>
      <c r="F89" s="17">
        <v>10.79591590739744</v>
      </c>
      <c r="G89" s="17">
        <v>0.39075706669566174</v>
      </c>
      <c r="H89" s="17">
        <v>0.77879418674951106</v>
      </c>
      <c r="I89" s="17">
        <v>4.6208577184266435</v>
      </c>
      <c r="J89" s="17">
        <v>0.43182370324431757</v>
      </c>
      <c r="K89" s="17">
        <v>2.6050407664189673E-2</v>
      </c>
    </row>
    <row r="90" spans="1:11">
      <c r="A90" s="8">
        <v>4</v>
      </c>
      <c r="B90" s="19">
        <v>37753</v>
      </c>
      <c r="C90" s="12">
        <v>2003</v>
      </c>
      <c r="D90" s="11" t="s">
        <v>22</v>
      </c>
      <c r="E90" s="12">
        <v>5</v>
      </c>
      <c r="F90" s="17">
        <v>10.655932434325212</v>
      </c>
      <c r="G90" s="17">
        <v>0.71137653784559407</v>
      </c>
      <c r="H90" s="17">
        <v>0.57808490103182453</v>
      </c>
      <c r="I90" s="17">
        <v>3.5044918621614358</v>
      </c>
      <c r="J90" s="17">
        <v>0.87571892337325619</v>
      </c>
      <c r="K90" s="17">
        <v>4.8242963178050567E-2</v>
      </c>
    </row>
    <row r="91" spans="1:11">
      <c r="A91" s="8">
        <v>3</v>
      </c>
      <c r="B91" s="19">
        <v>37792</v>
      </c>
      <c r="C91" s="12">
        <v>2003</v>
      </c>
      <c r="D91" s="11" t="s">
        <v>23</v>
      </c>
      <c r="E91" s="12">
        <v>6</v>
      </c>
      <c r="F91" s="17">
        <v>28.830816302160009</v>
      </c>
      <c r="G91" s="17">
        <v>0.15512071821331827</v>
      </c>
      <c r="H91" s="17">
        <v>3.7197125970913678</v>
      </c>
      <c r="I91" s="17">
        <v>9.2484820254243409</v>
      </c>
      <c r="J91" s="17">
        <v>2.624699768341257</v>
      </c>
      <c r="K91" s="17">
        <v>0</v>
      </c>
    </row>
    <row r="92" spans="1:11">
      <c r="A92" s="8">
        <v>4</v>
      </c>
      <c r="B92" s="19">
        <v>37792</v>
      </c>
      <c r="C92" s="12">
        <v>2003</v>
      </c>
      <c r="D92" s="11" t="s">
        <v>23</v>
      </c>
      <c r="E92" s="12">
        <v>6</v>
      </c>
      <c r="F92" s="17">
        <v>31.750755213618987</v>
      </c>
      <c r="G92" s="17">
        <v>0</v>
      </c>
      <c r="H92" s="17">
        <v>1.4199742043433543</v>
      </c>
      <c r="I92" s="17">
        <v>6.1964549168050009</v>
      </c>
      <c r="J92" s="17">
        <v>4.7324761306000473</v>
      </c>
      <c r="K92" s="17">
        <v>0</v>
      </c>
    </row>
    <row r="93" spans="1:11">
      <c r="A93" s="8">
        <v>3</v>
      </c>
      <c r="B93" s="19">
        <v>37819</v>
      </c>
      <c r="C93" s="12">
        <v>2003</v>
      </c>
      <c r="D93" s="15" t="s">
        <v>24</v>
      </c>
      <c r="E93" s="12">
        <v>7</v>
      </c>
      <c r="F93" s="17">
        <v>22.777820949333798</v>
      </c>
      <c r="G93" s="17">
        <v>2.8970732136644032E-2</v>
      </c>
      <c r="H93" s="17">
        <v>0</v>
      </c>
      <c r="I93" s="17">
        <v>1.6389555024155535</v>
      </c>
      <c r="J93" s="17">
        <v>3.1845274111007167</v>
      </c>
      <c r="K93" s="17">
        <v>0</v>
      </c>
    </row>
    <row r="94" spans="1:11">
      <c r="A94" s="8">
        <v>4</v>
      </c>
      <c r="B94" s="19">
        <v>37819</v>
      </c>
      <c r="C94" s="12">
        <v>2003</v>
      </c>
      <c r="D94" s="15" t="s">
        <v>24</v>
      </c>
      <c r="E94" s="12">
        <v>7</v>
      </c>
      <c r="F94" s="17">
        <v>23.060198686609905</v>
      </c>
      <c r="G94" s="17">
        <v>0</v>
      </c>
      <c r="H94" s="17">
        <v>0</v>
      </c>
      <c r="I94" s="17">
        <v>2.0963769829407979</v>
      </c>
      <c r="J94" s="17">
        <v>3.7417390353589441</v>
      </c>
      <c r="K94" s="17">
        <v>0</v>
      </c>
    </row>
    <row r="95" spans="1:11">
      <c r="A95" s="8">
        <v>3</v>
      </c>
      <c r="B95" s="19">
        <v>37845</v>
      </c>
      <c r="C95" s="12">
        <v>2003</v>
      </c>
      <c r="D95" s="15" t="s">
        <v>25</v>
      </c>
      <c r="E95" s="12">
        <v>8</v>
      </c>
      <c r="F95" s="17">
        <v>41.826009294739215</v>
      </c>
      <c r="G95" s="17">
        <v>8.0955416724351428E-2</v>
      </c>
      <c r="H95" s="17">
        <v>5.6522622277469917E-2</v>
      </c>
      <c r="I95" s="17">
        <v>4.7867160956671446</v>
      </c>
      <c r="J95" s="17">
        <v>2.5746966183793627</v>
      </c>
      <c r="K95" s="17">
        <v>0</v>
      </c>
    </row>
    <row r="96" spans="1:11">
      <c r="A96" s="8">
        <v>4</v>
      </c>
      <c r="B96" s="19">
        <v>37845</v>
      </c>
      <c r="C96" s="12">
        <v>2003</v>
      </c>
      <c r="D96" s="15" t="s">
        <v>25</v>
      </c>
      <c r="E96" s="12">
        <v>8</v>
      </c>
      <c r="F96" s="17">
        <v>78.047371432756734</v>
      </c>
      <c r="G96" s="17">
        <v>0.2515363196283924</v>
      </c>
      <c r="H96" s="17">
        <v>0</v>
      </c>
      <c r="I96" s="17">
        <v>11.628614277169929</v>
      </c>
      <c r="J96" s="17">
        <v>2.7590255490800528</v>
      </c>
      <c r="K96" s="17">
        <v>0</v>
      </c>
    </row>
    <row r="97" spans="1:11">
      <c r="A97" s="8">
        <v>3</v>
      </c>
      <c r="B97" s="19">
        <v>37888</v>
      </c>
      <c r="C97" s="12">
        <v>2003</v>
      </c>
      <c r="D97" s="15" t="s">
        <v>26</v>
      </c>
      <c r="E97" s="12">
        <v>9</v>
      </c>
      <c r="F97" s="17">
        <v>11.322446784959084</v>
      </c>
      <c r="G97" s="17">
        <v>7.40522405963768E-2</v>
      </c>
      <c r="H97" s="17">
        <v>0</v>
      </c>
      <c r="I97" s="17">
        <v>1.7795026662614706</v>
      </c>
      <c r="J97" s="17">
        <v>1.1190005256627755</v>
      </c>
      <c r="K97" s="17">
        <v>0</v>
      </c>
    </row>
    <row r="98" spans="1:11">
      <c r="A98" s="8">
        <v>4</v>
      </c>
      <c r="B98" s="19">
        <v>37888</v>
      </c>
      <c r="C98" s="12">
        <v>2003</v>
      </c>
      <c r="D98" s="15" t="s">
        <v>26</v>
      </c>
      <c r="E98" s="12">
        <v>9</v>
      </c>
      <c r="F98" s="17">
        <v>19.523304188652542</v>
      </c>
      <c r="G98" s="17">
        <v>7.0674641741149749E-2</v>
      </c>
      <c r="H98" s="17">
        <v>0</v>
      </c>
      <c r="I98" s="17">
        <v>2.6758212442921878</v>
      </c>
      <c r="J98" s="17">
        <v>1.9597546210092796</v>
      </c>
      <c r="K98" s="17">
        <v>0</v>
      </c>
    </row>
    <row r="99" spans="1:11">
      <c r="A99" s="8">
        <v>3</v>
      </c>
      <c r="B99" s="19">
        <v>37910</v>
      </c>
      <c r="C99" s="12">
        <v>2003</v>
      </c>
      <c r="D99" s="15" t="s">
        <v>14</v>
      </c>
      <c r="E99" s="12">
        <v>10</v>
      </c>
      <c r="F99" s="16">
        <v>9.7642000000000007</v>
      </c>
      <c r="G99" s="17">
        <v>0.41868209898560876</v>
      </c>
      <c r="H99" s="17">
        <v>4.5453975478011326E-2</v>
      </c>
      <c r="I99" s="17">
        <v>1.3839139385783499</v>
      </c>
      <c r="J99" s="17">
        <v>0.59963481127173457</v>
      </c>
      <c r="K99" s="17">
        <v>0</v>
      </c>
    </row>
    <row r="100" spans="1:11">
      <c r="A100" s="8">
        <v>4</v>
      </c>
      <c r="B100" s="19">
        <v>37910</v>
      </c>
      <c r="C100" s="12">
        <v>2003</v>
      </c>
      <c r="D100" s="15" t="s">
        <v>14</v>
      </c>
      <c r="E100" s="12">
        <v>10</v>
      </c>
      <c r="F100" s="16">
        <v>9.9925999999999995</v>
      </c>
      <c r="G100" s="17">
        <v>4.7576818138613641E-2</v>
      </c>
      <c r="H100" s="17">
        <v>4.4151045075440473E-2</v>
      </c>
      <c r="I100" s="17">
        <v>0.81962443561549292</v>
      </c>
      <c r="J100" s="17">
        <v>1.7748589982930474</v>
      </c>
      <c r="K100" s="17">
        <v>0</v>
      </c>
    </row>
    <row r="101" spans="1:11">
      <c r="A101" s="8">
        <v>3</v>
      </c>
      <c r="B101" s="19">
        <v>37943</v>
      </c>
      <c r="C101" s="12">
        <v>2003</v>
      </c>
      <c r="D101" s="15" t="s">
        <v>16</v>
      </c>
      <c r="E101" s="12">
        <v>11</v>
      </c>
      <c r="F101" s="16">
        <v>3.2075999999999998</v>
      </c>
      <c r="G101" s="17">
        <v>0.23019294287519221</v>
      </c>
      <c r="H101" s="17">
        <v>1.3221462981197167E-2</v>
      </c>
      <c r="I101" s="17">
        <v>0.61031253052305934</v>
      </c>
      <c r="J101" s="17">
        <v>6.4714424751670677E-2</v>
      </c>
      <c r="K101" s="17">
        <v>0</v>
      </c>
    </row>
    <row r="102" spans="1:11">
      <c r="A102" s="8">
        <v>4</v>
      </c>
      <c r="B102" s="19">
        <v>37943</v>
      </c>
      <c r="C102" s="12">
        <v>2003</v>
      </c>
      <c r="D102" s="15" t="s">
        <v>16</v>
      </c>
      <c r="E102" s="12">
        <v>11</v>
      </c>
      <c r="F102" s="16">
        <v>5.4176000000000002</v>
      </c>
      <c r="G102" s="17">
        <v>0.16609746229817327</v>
      </c>
      <c r="H102" s="17">
        <v>0</v>
      </c>
      <c r="I102" s="17">
        <v>0.96361560674696445</v>
      </c>
      <c r="J102" s="17">
        <v>0.19515025796215507</v>
      </c>
      <c r="K102" s="17">
        <v>0</v>
      </c>
    </row>
    <row r="103" spans="1:11">
      <c r="A103" s="8">
        <v>3</v>
      </c>
      <c r="B103" s="19">
        <v>37973</v>
      </c>
      <c r="C103" s="12">
        <v>2003</v>
      </c>
      <c r="D103" s="15" t="s">
        <v>17</v>
      </c>
      <c r="E103" s="12">
        <v>12</v>
      </c>
      <c r="F103" s="16">
        <v>11.6934</v>
      </c>
      <c r="G103" s="17">
        <v>1.3011526277468934</v>
      </c>
      <c r="H103" s="17">
        <v>0</v>
      </c>
      <c r="I103" s="17">
        <v>1.3370946416200373</v>
      </c>
      <c r="J103" s="17">
        <v>6.0767688421533454E-2</v>
      </c>
      <c r="K103" s="17">
        <v>0</v>
      </c>
    </row>
    <row r="104" spans="1:11">
      <c r="A104" s="8">
        <v>4</v>
      </c>
      <c r="B104" s="19">
        <v>37973</v>
      </c>
      <c r="C104" s="12">
        <v>2003</v>
      </c>
      <c r="D104" s="15" t="s">
        <v>17</v>
      </c>
      <c r="E104" s="12">
        <v>12</v>
      </c>
      <c r="F104" s="16">
        <v>10.9465</v>
      </c>
      <c r="G104" s="17">
        <v>1.7772196844338268</v>
      </c>
      <c r="H104" s="17">
        <v>0</v>
      </c>
      <c r="I104" s="17">
        <v>1.0249089304915338</v>
      </c>
      <c r="J104" s="17">
        <v>9.8620534194994156E-2</v>
      </c>
      <c r="K104" s="17">
        <v>0</v>
      </c>
    </row>
    <row r="105" spans="1:11">
      <c r="A105" s="8">
        <v>3</v>
      </c>
      <c r="B105" s="19">
        <v>37999</v>
      </c>
      <c r="C105" s="12">
        <v>2004</v>
      </c>
      <c r="D105" s="15" t="s">
        <v>18</v>
      </c>
      <c r="E105" s="12">
        <v>1</v>
      </c>
      <c r="F105" s="16">
        <v>5.3851000000000004</v>
      </c>
      <c r="G105" s="16">
        <v>0.10528440263887573</v>
      </c>
      <c r="H105" s="16">
        <v>0</v>
      </c>
      <c r="I105" s="16">
        <v>1.7809284283774076</v>
      </c>
      <c r="J105" s="16">
        <v>4.5632552843316042E-2</v>
      </c>
      <c r="K105" s="16">
        <v>0</v>
      </c>
    </row>
    <row r="106" spans="1:11">
      <c r="A106" s="8">
        <v>4</v>
      </c>
      <c r="C106" s="12">
        <v>2004</v>
      </c>
      <c r="D106" s="15" t="s">
        <v>18</v>
      </c>
      <c r="E106" s="12">
        <v>1</v>
      </c>
      <c r="F106" s="16"/>
    </row>
    <row r="107" spans="1:11">
      <c r="A107" s="8">
        <v>3</v>
      </c>
      <c r="B107" s="19">
        <v>38027</v>
      </c>
      <c r="C107" s="12">
        <v>2004</v>
      </c>
      <c r="D107" s="11" t="s">
        <v>19</v>
      </c>
      <c r="E107" s="12">
        <v>2</v>
      </c>
      <c r="F107" s="16">
        <v>5.3371000000000004</v>
      </c>
      <c r="G107" s="16">
        <v>0.24309006200414726</v>
      </c>
      <c r="H107" s="16">
        <v>0</v>
      </c>
      <c r="I107" s="16">
        <v>1.1945989625959736</v>
      </c>
      <c r="J107" s="16">
        <v>8.6273192903857099E-2</v>
      </c>
      <c r="K107" s="16">
        <v>0</v>
      </c>
    </row>
    <row r="108" spans="1:11">
      <c r="A108" s="8">
        <v>4</v>
      </c>
      <c r="B108" s="19">
        <v>38027</v>
      </c>
      <c r="C108" s="12">
        <v>2004</v>
      </c>
      <c r="D108" s="11" t="s">
        <v>19</v>
      </c>
      <c r="E108" s="12">
        <v>2</v>
      </c>
      <c r="F108" s="16">
        <v>2.6084999999999998</v>
      </c>
      <c r="G108" s="16">
        <v>2.4402985768134076E-2</v>
      </c>
      <c r="H108" s="16">
        <v>0</v>
      </c>
      <c r="I108" s="16">
        <v>0.27933945429466439</v>
      </c>
      <c r="J108" s="16">
        <v>0.11624733969784859</v>
      </c>
      <c r="K108" s="16">
        <v>0</v>
      </c>
    </row>
    <row r="109" spans="1:11">
      <c r="A109" s="8">
        <v>3</v>
      </c>
      <c r="B109" s="19">
        <v>38063</v>
      </c>
      <c r="C109" s="12">
        <v>2004</v>
      </c>
      <c r="D109" s="11" t="s">
        <v>20</v>
      </c>
      <c r="E109" s="12">
        <v>3</v>
      </c>
      <c r="F109" s="16">
        <v>13.4383</v>
      </c>
      <c r="G109" s="16">
        <v>2.6234830759778328E-2</v>
      </c>
      <c r="H109" s="16">
        <v>0</v>
      </c>
      <c r="I109" s="16">
        <v>6.1225678193617679</v>
      </c>
      <c r="J109" s="16">
        <v>4.7206611592298914E-2</v>
      </c>
      <c r="K109" s="16">
        <v>0</v>
      </c>
    </row>
    <row r="110" spans="1:11">
      <c r="A110" s="8">
        <v>4</v>
      </c>
      <c r="B110" s="19">
        <v>38063</v>
      </c>
      <c r="C110" s="12">
        <v>2004</v>
      </c>
      <c r="D110" s="11" t="s">
        <v>20</v>
      </c>
      <c r="E110" s="12">
        <v>3</v>
      </c>
      <c r="F110" s="16">
        <v>12.3042</v>
      </c>
      <c r="G110" s="16">
        <v>2.9550395373102101E-2</v>
      </c>
      <c r="H110" s="16">
        <v>0</v>
      </c>
      <c r="I110" s="16">
        <v>5.5160264115233657</v>
      </c>
      <c r="J110" s="16">
        <v>7.1743789554736231E-2</v>
      </c>
      <c r="K110" s="16">
        <v>0</v>
      </c>
    </row>
    <row r="111" spans="1:11">
      <c r="A111" s="8">
        <v>3</v>
      </c>
      <c r="B111" s="19">
        <v>38094</v>
      </c>
      <c r="C111" s="12">
        <v>2004</v>
      </c>
      <c r="D111" s="11" t="s">
        <v>21</v>
      </c>
      <c r="E111" s="12">
        <v>4</v>
      </c>
      <c r="F111" s="16">
        <v>5.4115000000000002</v>
      </c>
      <c r="G111" s="21">
        <v>0.15784524287259907</v>
      </c>
      <c r="H111" s="21">
        <v>0</v>
      </c>
      <c r="I111" s="21">
        <v>1.0041601822292627</v>
      </c>
      <c r="J111" s="21">
        <v>7.0277115039891938E-2</v>
      </c>
      <c r="K111" s="21">
        <v>0</v>
      </c>
    </row>
    <row r="112" spans="1:11">
      <c r="A112" s="8">
        <v>4</v>
      </c>
      <c r="B112" s="19">
        <v>38094</v>
      </c>
      <c r="C112" s="12">
        <v>2004</v>
      </c>
      <c r="D112" s="11" t="s">
        <v>21</v>
      </c>
      <c r="E112" s="12">
        <v>4</v>
      </c>
      <c r="F112" s="16">
        <v>5.7423999999999999</v>
      </c>
      <c r="G112" s="21">
        <v>0.12250571451892452</v>
      </c>
      <c r="H112" s="21">
        <v>0</v>
      </c>
      <c r="I112" s="21">
        <v>0.86191598063387942</v>
      </c>
      <c r="J112" s="21">
        <v>7.4200041663514404E-2</v>
      </c>
      <c r="K112" s="21">
        <v>0</v>
      </c>
    </row>
    <row r="113" spans="1:11">
      <c r="A113" s="8">
        <v>3</v>
      </c>
      <c r="B113" s="19">
        <v>38118</v>
      </c>
      <c r="C113" s="12">
        <v>2004</v>
      </c>
      <c r="D113" s="11" t="s">
        <v>22</v>
      </c>
      <c r="E113" s="12">
        <v>5</v>
      </c>
      <c r="F113" s="16">
        <v>3.6282999999999999</v>
      </c>
      <c r="G113" s="21">
        <v>2.1429458653200766E-2</v>
      </c>
      <c r="H113" s="21">
        <v>0</v>
      </c>
      <c r="I113" s="21">
        <v>0.61489421037302716</v>
      </c>
      <c r="J113" s="21">
        <v>0.38247653781114183</v>
      </c>
      <c r="K113" s="21">
        <v>0</v>
      </c>
    </row>
    <row r="114" spans="1:11">
      <c r="A114" s="8">
        <v>4</v>
      </c>
      <c r="B114" s="19">
        <v>38118</v>
      </c>
      <c r="C114" s="12">
        <v>2004</v>
      </c>
      <c r="D114" s="11" t="s">
        <v>22</v>
      </c>
      <c r="E114" s="12">
        <v>5</v>
      </c>
      <c r="F114" s="16">
        <v>4.9854000000000003</v>
      </c>
      <c r="G114" s="21">
        <v>2.1426401955018132E-2</v>
      </c>
      <c r="H114" s="21">
        <v>0</v>
      </c>
      <c r="I114" s="21">
        <v>0.4525592456868377</v>
      </c>
      <c r="J114" s="21">
        <v>0.94308726872628312</v>
      </c>
      <c r="K114" s="21">
        <v>0</v>
      </c>
    </row>
    <row r="115" spans="1:11">
      <c r="A115" s="8">
        <v>3</v>
      </c>
      <c r="B115" s="19">
        <v>38153</v>
      </c>
      <c r="C115" s="12">
        <v>2004</v>
      </c>
      <c r="D115" s="11" t="s">
        <v>23</v>
      </c>
      <c r="E115" s="12">
        <v>6</v>
      </c>
      <c r="F115" s="16">
        <v>18.753</v>
      </c>
      <c r="G115" s="21">
        <v>0.12806177754013826</v>
      </c>
      <c r="H115" s="21">
        <v>0.91760947473392074</v>
      </c>
      <c r="I115" s="21">
        <v>3.7806646896903122</v>
      </c>
      <c r="J115" s="21">
        <v>2.3008646817213165</v>
      </c>
      <c r="K115" s="21">
        <v>4.1240629709144078E-2</v>
      </c>
    </row>
    <row r="116" spans="1:11">
      <c r="A116" s="8">
        <v>4</v>
      </c>
      <c r="B116" s="19">
        <v>38153</v>
      </c>
      <c r="C116" s="12">
        <v>2004</v>
      </c>
      <c r="D116" s="11" t="s">
        <v>23</v>
      </c>
      <c r="E116" s="12">
        <v>6</v>
      </c>
      <c r="F116" s="16">
        <v>13.9351</v>
      </c>
      <c r="G116" s="21">
        <v>0.13768437453861643</v>
      </c>
      <c r="H116" s="21">
        <v>0.2832702780754639</v>
      </c>
      <c r="I116" s="21">
        <v>1.9564965490913808</v>
      </c>
      <c r="J116" s="21">
        <v>3.0454821386171358</v>
      </c>
      <c r="K116" s="16">
        <v>4.0272328073477984E-2</v>
      </c>
    </row>
    <row r="117" spans="1:11">
      <c r="A117" s="8">
        <v>3</v>
      </c>
      <c r="B117" s="19">
        <v>38181</v>
      </c>
      <c r="C117" s="12">
        <v>2004</v>
      </c>
      <c r="D117" s="15" t="s">
        <v>24</v>
      </c>
      <c r="E117" s="12">
        <v>7</v>
      </c>
      <c r="F117" s="16">
        <v>20.0915</v>
      </c>
      <c r="G117" s="21">
        <v>0.16713010348067212</v>
      </c>
      <c r="H117" s="21">
        <v>7.0552630515793802E-2</v>
      </c>
      <c r="I117" s="21">
        <v>2.2629564231703188</v>
      </c>
      <c r="J117" s="21">
        <v>2.3369501123278074</v>
      </c>
      <c r="K117" s="21">
        <v>0</v>
      </c>
    </row>
    <row r="118" spans="1:11">
      <c r="A118" s="8">
        <v>4</v>
      </c>
      <c r="B118" s="19">
        <v>38181</v>
      </c>
      <c r="C118" s="12">
        <v>2004</v>
      </c>
      <c r="D118" s="15" t="s">
        <v>24</v>
      </c>
      <c r="E118" s="12">
        <v>7</v>
      </c>
      <c r="F118" s="16">
        <v>15.782</v>
      </c>
      <c r="G118" s="21">
        <v>0.16361971245402571</v>
      </c>
      <c r="H118" s="21">
        <v>0</v>
      </c>
      <c r="I118" s="21">
        <v>1.50302472509605</v>
      </c>
      <c r="J118" s="21">
        <v>2.3074698043944819</v>
      </c>
      <c r="K118" s="21">
        <v>0</v>
      </c>
    </row>
    <row r="119" spans="1:11">
      <c r="A119" s="8">
        <v>3</v>
      </c>
      <c r="B119" s="19">
        <v>38217</v>
      </c>
      <c r="C119" s="12">
        <v>2004</v>
      </c>
      <c r="D119" s="15" t="s">
        <v>25</v>
      </c>
      <c r="E119" s="12">
        <v>8</v>
      </c>
      <c r="F119" s="16">
        <v>10.997999999999999</v>
      </c>
      <c r="G119" s="20"/>
      <c r="H119" s="20"/>
      <c r="I119" s="20"/>
      <c r="J119" s="20"/>
      <c r="K119" s="20"/>
    </row>
    <row r="120" spans="1:11">
      <c r="A120" s="8">
        <v>4</v>
      </c>
      <c r="B120" s="19">
        <v>38217</v>
      </c>
      <c r="C120" s="12">
        <v>2004</v>
      </c>
      <c r="D120" s="15" t="s">
        <v>25</v>
      </c>
      <c r="E120" s="12">
        <v>8</v>
      </c>
      <c r="F120" s="16">
        <v>45.216900000000003</v>
      </c>
      <c r="G120" s="20"/>
      <c r="H120" s="20"/>
      <c r="I120" s="20"/>
      <c r="J120" s="20"/>
      <c r="K120" s="20"/>
    </row>
    <row r="121" spans="1:11">
      <c r="A121" s="8">
        <v>3</v>
      </c>
      <c r="B121" s="19">
        <v>38244</v>
      </c>
      <c r="C121" s="12">
        <v>2004</v>
      </c>
      <c r="D121" s="15" t="s">
        <v>26</v>
      </c>
      <c r="E121" s="12">
        <v>9</v>
      </c>
      <c r="F121" s="16">
        <v>12.7507</v>
      </c>
      <c r="G121" s="21">
        <v>0.24309555511422545</v>
      </c>
      <c r="H121" s="21">
        <v>0</v>
      </c>
      <c r="I121" s="21">
        <v>2.510084595556175</v>
      </c>
      <c r="J121" s="21">
        <v>1.5251476549326533</v>
      </c>
      <c r="K121" s="21">
        <v>0</v>
      </c>
    </row>
    <row r="122" spans="1:11">
      <c r="A122" s="8">
        <v>4</v>
      </c>
      <c r="B122" s="19">
        <v>38244</v>
      </c>
      <c r="C122" s="12">
        <v>2004</v>
      </c>
      <c r="D122" s="15" t="s">
        <v>26</v>
      </c>
      <c r="E122" s="12">
        <v>9</v>
      </c>
      <c r="F122" s="16">
        <v>14.0365</v>
      </c>
      <c r="G122" s="21">
        <v>0.21667326180209007</v>
      </c>
      <c r="H122" s="21">
        <v>0</v>
      </c>
      <c r="I122" s="21">
        <v>2.2179829097957726</v>
      </c>
      <c r="J122" s="21">
        <v>1.6940551311670464</v>
      </c>
      <c r="K122" s="21">
        <v>0</v>
      </c>
    </row>
    <row r="123" spans="1:11">
      <c r="A123" s="8">
        <v>3</v>
      </c>
      <c r="B123" s="19">
        <v>38272</v>
      </c>
      <c r="C123" s="12">
        <v>2004</v>
      </c>
      <c r="D123" s="15" t="s">
        <v>14</v>
      </c>
      <c r="E123" s="12">
        <v>10</v>
      </c>
      <c r="F123" s="17">
        <v>7.8767199999999997</v>
      </c>
      <c r="G123" s="17">
        <v>0.75300452005566632</v>
      </c>
      <c r="H123" s="17">
        <v>0</v>
      </c>
      <c r="I123" s="17">
        <v>0.43251658240007279</v>
      </c>
      <c r="J123" s="17">
        <v>0.96561455546181008</v>
      </c>
      <c r="K123" s="17">
        <v>0</v>
      </c>
    </row>
    <row r="124" spans="1:11">
      <c r="A124" s="8">
        <v>4</v>
      </c>
      <c r="B124" s="19">
        <v>38272</v>
      </c>
      <c r="C124" s="12">
        <v>2004</v>
      </c>
      <c r="D124" s="15" t="s">
        <v>14</v>
      </c>
      <c r="E124" s="12">
        <v>10</v>
      </c>
      <c r="F124" s="17">
        <v>6.2694200000000002</v>
      </c>
      <c r="G124" s="17">
        <v>0.10918285997967254</v>
      </c>
      <c r="H124" s="17">
        <v>0</v>
      </c>
      <c r="I124" s="17">
        <v>0.30589665485975986</v>
      </c>
      <c r="J124" s="17">
        <v>1.3525203208672503</v>
      </c>
      <c r="K124" s="17">
        <v>0</v>
      </c>
    </row>
    <row r="125" spans="1:11">
      <c r="A125" s="8">
        <v>3</v>
      </c>
      <c r="B125" s="19">
        <v>38306</v>
      </c>
      <c r="C125" s="12">
        <v>2004</v>
      </c>
      <c r="D125" s="15" t="s">
        <v>16</v>
      </c>
      <c r="E125" s="12">
        <v>11</v>
      </c>
      <c r="F125" s="17">
        <v>6.0825500000000003</v>
      </c>
      <c r="G125" s="17">
        <v>5.2664593826123964E-2</v>
      </c>
      <c r="H125" s="17">
        <v>0</v>
      </c>
      <c r="I125" s="17">
        <v>1.6880263310354644</v>
      </c>
      <c r="J125" s="17">
        <v>7.4091233090591221E-2</v>
      </c>
      <c r="K125" s="17">
        <v>0</v>
      </c>
    </row>
    <row r="126" spans="1:11">
      <c r="A126" s="8">
        <v>4</v>
      </c>
      <c r="B126" s="19">
        <v>38306</v>
      </c>
      <c r="C126" s="12">
        <v>2004</v>
      </c>
      <c r="D126" s="15" t="s">
        <v>16</v>
      </c>
      <c r="E126" s="12">
        <v>11</v>
      </c>
      <c r="F126" s="17">
        <v>6.7589899999999998</v>
      </c>
      <c r="G126" s="17">
        <v>2.3952273369104125E-2</v>
      </c>
      <c r="H126" s="17">
        <v>0</v>
      </c>
      <c r="I126" s="17">
        <v>1.6361387052122456</v>
      </c>
      <c r="J126" s="17">
        <v>0.11067275267299027</v>
      </c>
      <c r="K126" s="17">
        <v>0</v>
      </c>
    </row>
    <row r="127" spans="1:11">
      <c r="A127" s="8">
        <v>3</v>
      </c>
      <c r="B127" s="19">
        <v>38336</v>
      </c>
      <c r="C127" s="12">
        <v>2004</v>
      </c>
      <c r="D127" s="15" t="s">
        <v>17</v>
      </c>
      <c r="E127" s="12">
        <v>12</v>
      </c>
      <c r="F127" s="17">
        <v>4.2297099999999999</v>
      </c>
      <c r="G127" s="17">
        <v>0.30738961384633001</v>
      </c>
      <c r="H127" s="17">
        <v>0</v>
      </c>
      <c r="I127" s="17">
        <v>0.38986576642301346</v>
      </c>
      <c r="J127" s="17">
        <v>4.1446856512349708E-2</v>
      </c>
      <c r="K127" s="17">
        <v>0</v>
      </c>
    </row>
    <row r="128" spans="1:11">
      <c r="A128" s="8">
        <v>4</v>
      </c>
      <c r="B128" s="19">
        <v>38336</v>
      </c>
      <c r="C128" s="12">
        <v>2004</v>
      </c>
      <c r="D128" s="15" t="s">
        <v>17</v>
      </c>
      <c r="E128" s="12">
        <v>12</v>
      </c>
      <c r="F128" s="17">
        <v>12.044879999999999</v>
      </c>
      <c r="G128" s="17">
        <v>0.81353239499296481</v>
      </c>
      <c r="H128" s="17">
        <v>0</v>
      </c>
      <c r="I128" s="17">
        <v>1.0508198626836853</v>
      </c>
      <c r="J128" s="17">
        <v>0.11189090018110737</v>
      </c>
      <c r="K128" s="17">
        <v>0</v>
      </c>
    </row>
    <row r="129" spans="1:11">
      <c r="A129" s="8">
        <v>3</v>
      </c>
      <c r="B129" s="22">
        <v>38362</v>
      </c>
      <c r="C129" s="12">
        <v>2005</v>
      </c>
      <c r="D129" s="15" t="s">
        <v>18</v>
      </c>
      <c r="E129" s="12">
        <v>1</v>
      </c>
      <c r="F129" s="17">
        <v>6.4647300000000003</v>
      </c>
      <c r="G129" s="17">
        <v>0.79039295472254112</v>
      </c>
      <c r="H129" s="17">
        <v>3.153905419461283E-2</v>
      </c>
      <c r="I129" s="17">
        <v>1.0229536860427006</v>
      </c>
      <c r="J129" s="17">
        <v>2.4594402325787579E-2</v>
      </c>
      <c r="K129" s="17">
        <v>0</v>
      </c>
    </row>
    <row r="130" spans="1:11">
      <c r="A130" s="8">
        <v>4</v>
      </c>
      <c r="B130" s="22">
        <v>38362</v>
      </c>
      <c r="C130" s="12">
        <v>2005</v>
      </c>
      <c r="D130" s="15" t="s">
        <v>18</v>
      </c>
      <c r="E130" s="12">
        <v>1</v>
      </c>
      <c r="F130" s="17">
        <v>7.8801500000000004</v>
      </c>
      <c r="G130" s="17">
        <v>1.0814387716043101</v>
      </c>
      <c r="H130" s="17">
        <v>0</v>
      </c>
      <c r="I130" s="17">
        <v>1.1464602924940137</v>
      </c>
      <c r="J130" s="17">
        <v>2.3835237777805787E-2</v>
      </c>
      <c r="K130" s="17">
        <v>0</v>
      </c>
    </row>
    <row r="131" spans="1:11">
      <c r="A131" s="8">
        <v>3</v>
      </c>
      <c r="B131" s="22">
        <v>38399</v>
      </c>
      <c r="C131" s="12">
        <v>2005</v>
      </c>
      <c r="D131" s="11" t="s">
        <v>19</v>
      </c>
      <c r="E131" s="12">
        <v>2</v>
      </c>
      <c r="F131" s="17">
        <v>3.33995</v>
      </c>
      <c r="G131" s="17">
        <v>0.1486957008830169</v>
      </c>
      <c r="H131" s="17">
        <v>0</v>
      </c>
      <c r="I131" s="17">
        <v>0.71400904643100782</v>
      </c>
      <c r="J131" s="17">
        <v>3.1026385013023614E-2</v>
      </c>
      <c r="K131" s="17">
        <v>0</v>
      </c>
    </row>
    <row r="132" spans="1:11">
      <c r="A132" s="8">
        <v>4</v>
      </c>
      <c r="B132" s="22">
        <v>38399</v>
      </c>
      <c r="C132" s="12">
        <v>2005</v>
      </c>
      <c r="D132" s="11" t="s">
        <v>19</v>
      </c>
      <c r="E132" s="12">
        <v>2</v>
      </c>
      <c r="F132" s="17">
        <v>3.9554900000000002</v>
      </c>
      <c r="G132" s="17">
        <v>0.11561089965104886</v>
      </c>
      <c r="H132" s="17">
        <v>0</v>
      </c>
      <c r="I132" s="17">
        <v>0.4306963603617866</v>
      </c>
      <c r="J132" s="17">
        <v>4.4375618989859575E-2</v>
      </c>
      <c r="K132" s="17">
        <v>0</v>
      </c>
    </row>
    <row r="133" spans="1:11">
      <c r="A133" s="8">
        <v>3</v>
      </c>
      <c r="B133" s="22">
        <v>38428</v>
      </c>
      <c r="C133" s="12">
        <v>2005</v>
      </c>
      <c r="D133" s="11" t="s">
        <v>20</v>
      </c>
      <c r="E133" s="12">
        <v>3</v>
      </c>
      <c r="F133" s="17">
        <v>1.1633800000000001</v>
      </c>
      <c r="G133" s="17">
        <v>3.900880519323157E-2</v>
      </c>
      <c r="H133" s="17">
        <v>0</v>
      </c>
      <c r="I133" s="17">
        <v>0.12735903283828598</v>
      </c>
      <c r="J133" s="17">
        <v>8.4816007377382895E-3</v>
      </c>
      <c r="K133" s="17">
        <v>0</v>
      </c>
    </row>
    <row r="134" spans="1:11">
      <c r="A134" s="8">
        <v>4</v>
      </c>
      <c r="B134" s="22">
        <v>38428</v>
      </c>
      <c r="C134" s="12">
        <v>2005</v>
      </c>
      <c r="D134" s="11" t="s">
        <v>20</v>
      </c>
      <c r="E134" s="12">
        <v>3</v>
      </c>
      <c r="F134" s="17">
        <v>2.8252999999999999</v>
      </c>
      <c r="G134" s="17">
        <v>4.1975760694782364E-2</v>
      </c>
      <c r="H134" s="17">
        <v>0</v>
      </c>
      <c r="I134" s="17">
        <v>0.192247010677357</v>
      </c>
      <c r="J134" s="17">
        <v>2.7404164700148927E-2</v>
      </c>
      <c r="K134" s="17">
        <v>0</v>
      </c>
    </row>
    <row r="135" spans="1:11">
      <c r="A135" s="8">
        <v>3</v>
      </c>
      <c r="B135" s="22">
        <v>38469</v>
      </c>
      <c r="C135" s="12">
        <v>2005</v>
      </c>
      <c r="D135" s="11" t="s">
        <v>21</v>
      </c>
      <c r="E135" s="12">
        <v>4</v>
      </c>
      <c r="F135" s="17">
        <v>3.2155200000000002</v>
      </c>
      <c r="G135" s="17">
        <v>2.8037435902403981E-2</v>
      </c>
      <c r="H135" s="17">
        <v>7.0755575757826789E-2</v>
      </c>
      <c r="I135" s="17">
        <v>1.1625004827323295</v>
      </c>
      <c r="J135" s="17">
        <v>6.9128398466088245E-2</v>
      </c>
      <c r="K135" s="17">
        <v>0</v>
      </c>
    </row>
    <row r="136" spans="1:11">
      <c r="A136" s="8">
        <v>4</v>
      </c>
      <c r="B136" s="22">
        <v>38469</v>
      </c>
      <c r="C136" s="12">
        <v>2005</v>
      </c>
      <c r="D136" s="11" t="s">
        <v>21</v>
      </c>
      <c r="E136" s="12">
        <v>4</v>
      </c>
      <c r="F136" s="17">
        <v>5.28355</v>
      </c>
      <c r="G136" s="17">
        <v>5.4061668503020639E-2</v>
      </c>
      <c r="H136" s="17">
        <v>3.072385204826706E-2</v>
      </c>
      <c r="I136" s="17">
        <v>1.2608107263439805</v>
      </c>
      <c r="J136" s="17">
        <v>0.14760352285800149</v>
      </c>
      <c r="K136" s="17">
        <v>0</v>
      </c>
    </row>
    <row r="137" spans="1:11">
      <c r="A137" s="8">
        <v>3</v>
      </c>
      <c r="B137" s="22">
        <v>38490</v>
      </c>
      <c r="C137" s="12">
        <v>2005</v>
      </c>
      <c r="D137" s="11" t="s">
        <v>22</v>
      </c>
      <c r="E137" s="12">
        <v>5</v>
      </c>
      <c r="F137" s="17">
        <v>10.451129999999999</v>
      </c>
      <c r="G137" s="17">
        <v>0.10902042975333515</v>
      </c>
      <c r="H137" s="17">
        <v>1.2375259026541607</v>
      </c>
      <c r="I137" s="17">
        <v>4.9755142502901464</v>
      </c>
      <c r="J137" s="17">
        <v>0.31513152104532005</v>
      </c>
      <c r="K137" s="17">
        <v>1.5847942843687918E-2</v>
      </c>
    </row>
    <row r="138" spans="1:11">
      <c r="A138" s="8">
        <v>4</v>
      </c>
      <c r="B138" s="22">
        <v>38490</v>
      </c>
      <c r="C138" s="12">
        <v>2005</v>
      </c>
      <c r="D138" s="11" t="s">
        <v>22</v>
      </c>
      <c r="E138" s="12">
        <v>5</v>
      </c>
      <c r="F138" s="17">
        <v>10.21026</v>
      </c>
      <c r="G138" s="17">
        <v>0.14983383455615065</v>
      </c>
      <c r="H138" s="17">
        <v>0.9143</v>
      </c>
      <c r="I138" s="17">
        <v>4.507891551131145</v>
      </c>
      <c r="J138" s="17">
        <v>0.51337113549156588</v>
      </c>
      <c r="K138" s="17">
        <v>3.3817420872577351E-2</v>
      </c>
    </row>
    <row r="139" spans="1:11">
      <c r="A139" s="8">
        <v>3</v>
      </c>
      <c r="B139" s="22">
        <v>38518</v>
      </c>
      <c r="C139" s="12">
        <v>2005</v>
      </c>
      <c r="D139" s="11" t="s">
        <v>23</v>
      </c>
      <c r="E139" s="12">
        <v>6</v>
      </c>
      <c r="F139" s="17">
        <v>13.36988</v>
      </c>
      <c r="G139" s="17">
        <v>0.10979844355443795</v>
      </c>
      <c r="H139" s="17">
        <v>7.2304966870211498E-2</v>
      </c>
      <c r="I139" s="17">
        <v>3.2752573046300775</v>
      </c>
      <c r="J139" s="17">
        <v>1.301783497139914</v>
      </c>
      <c r="K139" s="17">
        <v>2.2588569022809479E-2</v>
      </c>
    </row>
    <row r="140" spans="1:11">
      <c r="A140" s="8">
        <v>4</v>
      </c>
      <c r="B140" s="22">
        <v>38518</v>
      </c>
      <c r="C140" s="12">
        <v>2005</v>
      </c>
      <c r="D140" s="11" t="s">
        <v>23</v>
      </c>
      <c r="E140" s="12">
        <v>6</v>
      </c>
      <c r="F140" s="17">
        <v>16.137519999999999</v>
      </c>
      <c r="G140" s="17">
        <v>0.14870503329761092</v>
      </c>
      <c r="H140" s="17">
        <v>0.13528502300466791</v>
      </c>
      <c r="I140" s="17">
        <v>2.50465349948953</v>
      </c>
      <c r="J140" s="17">
        <v>2.793553318231409</v>
      </c>
      <c r="K140" s="17">
        <v>3.3420735286238241E-2</v>
      </c>
    </row>
    <row r="141" spans="1:11">
      <c r="A141" s="8">
        <v>3</v>
      </c>
      <c r="B141" s="22">
        <v>38547</v>
      </c>
      <c r="C141" s="12">
        <v>2005</v>
      </c>
      <c r="D141" s="15" t="s">
        <v>24</v>
      </c>
      <c r="E141" s="12">
        <v>7</v>
      </c>
      <c r="F141" s="17">
        <v>21.922049999999999</v>
      </c>
      <c r="G141" s="17">
        <v>0.38765604132340864</v>
      </c>
      <c r="H141" s="17">
        <v>3.6026400815063891E-2</v>
      </c>
      <c r="I141" s="17">
        <v>1.8764156773865563</v>
      </c>
      <c r="J141" s="17">
        <v>1.8903261202070181</v>
      </c>
      <c r="K141" s="17">
        <v>3.3002913317631007E-2</v>
      </c>
    </row>
    <row r="142" spans="1:11">
      <c r="A142" s="8">
        <v>4</v>
      </c>
      <c r="B142" s="22">
        <v>38547</v>
      </c>
      <c r="C142" s="12">
        <v>2005</v>
      </c>
      <c r="D142" s="15" t="s">
        <v>24</v>
      </c>
      <c r="E142" s="12">
        <v>7</v>
      </c>
      <c r="F142" s="17">
        <v>23.777570000000001</v>
      </c>
      <c r="G142" s="17">
        <v>0.34114825985995367</v>
      </c>
      <c r="H142" s="17">
        <v>0.12093240197444738</v>
      </c>
      <c r="I142" s="17">
        <v>2.67984476525467</v>
      </c>
      <c r="J142" s="17">
        <v>1.9867539907154301</v>
      </c>
      <c r="K142" s="17">
        <v>5.7338588386035727E-2</v>
      </c>
    </row>
    <row r="143" spans="1:11">
      <c r="A143" s="8">
        <v>3</v>
      </c>
      <c r="B143" s="22">
        <v>38589</v>
      </c>
      <c r="C143" s="12">
        <v>2005</v>
      </c>
      <c r="D143" s="15" t="s">
        <v>25</v>
      </c>
      <c r="E143" s="12">
        <v>8</v>
      </c>
      <c r="F143" s="17">
        <v>22.433710000000001</v>
      </c>
      <c r="G143" s="17">
        <v>0.37035977914712909</v>
      </c>
      <c r="H143" s="17">
        <v>0</v>
      </c>
      <c r="I143" s="17">
        <v>3.5460154461443412</v>
      </c>
      <c r="J143" s="17">
        <v>1.6444007218854446</v>
      </c>
      <c r="K143" s="17">
        <v>3.1405475204981832E-2</v>
      </c>
    </row>
    <row r="144" spans="1:11">
      <c r="A144" s="8">
        <v>4</v>
      </c>
      <c r="B144" s="22">
        <v>38589</v>
      </c>
      <c r="C144" s="12">
        <v>2005</v>
      </c>
      <c r="D144" s="15" t="s">
        <v>25</v>
      </c>
      <c r="E144" s="12">
        <v>8</v>
      </c>
      <c r="F144" s="17">
        <v>33.627569999999999</v>
      </c>
      <c r="G144" s="17">
        <v>0.21545050244673453</v>
      </c>
      <c r="H144" s="17">
        <v>0</v>
      </c>
      <c r="I144" s="17">
        <v>4.0881671717073989</v>
      </c>
      <c r="J144" s="17">
        <v>1.9040856056105231</v>
      </c>
      <c r="K144" s="17">
        <v>0</v>
      </c>
    </row>
    <row r="145" spans="1:11">
      <c r="A145" s="8">
        <v>3</v>
      </c>
      <c r="B145" s="22">
        <v>38608</v>
      </c>
      <c r="C145" s="12">
        <v>2005</v>
      </c>
      <c r="D145" s="15" t="s">
        <v>26</v>
      </c>
      <c r="E145" s="12">
        <v>9</v>
      </c>
      <c r="F145" s="17">
        <v>21.672129999999999</v>
      </c>
      <c r="G145" s="17">
        <v>0.24170076802404938</v>
      </c>
      <c r="H145" s="17">
        <v>0.10893420091382496</v>
      </c>
      <c r="I145" s="17">
        <v>2.5599549804538144</v>
      </c>
      <c r="J145" s="17">
        <v>3.8467312191804166</v>
      </c>
      <c r="K145" s="17">
        <v>3.1996110141567571E-2</v>
      </c>
    </row>
    <row r="146" spans="1:11">
      <c r="A146" s="8">
        <v>4</v>
      </c>
      <c r="B146" s="22">
        <v>38608</v>
      </c>
      <c r="C146" s="12">
        <v>2005</v>
      </c>
      <c r="D146" s="15" t="s">
        <v>26</v>
      </c>
      <c r="E146" s="12">
        <v>9</v>
      </c>
      <c r="F146" s="17">
        <v>22.488399999999999</v>
      </c>
      <c r="G146" s="17">
        <v>0.1695730447738365</v>
      </c>
      <c r="H146" s="17">
        <v>8.5279172817126214E-2</v>
      </c>
      <c r="I146" s="17">
        <v>2.3096930342560467</v>
      </c>
      <c r="J146" s="17">
        <v>4.2412191866353597</v>
      </c>
      <c r="K146" s="17">
        <v>3.9938152946723031E-2</v>
      </c>
    </row>
    <row r="147" spans="1:11">
      <c r="A147" s="8">
        <v>3</v>
      </c>
      <c r="B147" s="22">
        <v>38636</v>
      </c>
      <c r="C147" s="12">
        <v>2005</v>
      </c>
      <c r="D147" s="15" t="s">
        <v>14</v>
      </c>
      <c r="E147" s="12">
        <v>10</v>
      </c>
      <c r="F147" s="17">
        <v>21.386600000000001</v>
      </c>
      <c r="G147" s="17">
        <v>2.8799999999999999E-2</v>
      </c>
      <c r="H147" s="17">
        <v>1E-4</v>
      </c>
      <c r="I147" s="17">
        <v>6.3696000000000002</v>
      </c>
      <c r="J147" s="17">
        <v>0.96650000000000003</v>
      </c>
      <c r="K147" s="17">
        <v>1E-4</v>
      </c>
    </row>
    <row r="148" spans="1:11">
      <c r="A148" s="8">
        <v>4</v>
      </c>
      <c r="B148" s="22">
        <v>38636</v>
      </c>
      <c r="C148" s="12">
        <v>2005</v>
      </c>
      <c r="D148" s="15" t="s">
        <v>14</v>
      </c>
      <c r="E148" s="12">
        <v>10</v>
      </c>
      <c r="F148" s="17">
        <v>27.834599999999998</v>
      </c>
      <c r="G148" s="17">
        <v>7.1599999999999997E-2</v>
      </c>
      <c r="H148" s="17">
        <v>1E-4</v>
      </c>
      <c r="I148" s="17">
        <v>5.1101999999999999</v>
      </c>
      <c r="J148" s="17">
        <v>1.9530000000000001</v>
      </c>
      <c r="K148" s="17">
        <v>1E-4</v>
      </c>
    </row>
    <row r="149" spans="1:11">
      <c r="A149" s="8">
        <v>3</v>
      </c>
      <c r="B149" s="22">
        <v>38671</v>
      </c>
      <c r="C149" s="12">
        <v>2005</v>
      </c>
      <c r="D149" s="15" t="s">
        <v>16</v>
      </c>
      <c r="E149" s="12">
        <v>11</v>
      </c>
      <c r="F149" s="17">
        <v>6.7521000000000004</v>
      </c>
      <c r="G149" s="17">
        <v>2.01E-2</v>
      </c>
      <c r="H149" s="17">
        <v>0.2135</v>
      </c>
      <c r="I149" s="17">
        <v>2.379</v>
      </c>
      <c r="J149" s="17">
        <v>0.11799999999999999</v>
      </c>
      <c r="K149" s="17">
        <v>1E-4</v>
      </c>
    </row>
    <row r="150" spans="1:11">
      <c r="A150" s="8">
        <v>4</v>
      </c>
      <c r="B150" s="22">
        <v>38671</v>
      </c>
      <c r="C150" s="12">
        <v>2005</v>
      </c>
      <c r="D150" s="15" t="s">
        <v>16</v>
      </c>
      <c r="E150" s="12">
        <v>11</v>
      </c>
      <c r="F150" s="17">
        <v>8.98</v>
      </c>
      <c r="G150" s="17">
        <v>3.6999999999999998E-2</v>
      </c>
      <c r="H150" s="17">
        <v>0.24610000000000001</v>
      </c>
      <c r="I150" s="17">
        <v>2.8847999999999998</v>
      </c>
      <c r="J150" s="17">
        <v>0.25130000000000002</v>
      </c>
      <c r="K150" s="17">
        <v>1E-4</v>
      </c>
    </row>
    <row r="151" spans="1:11">
      <c r="A151" s="8">
        <v>3</v>
      </c>
      <c r="B151" s="22">
        <v>38707</v>
      </c>
      <c r="C151" s="12">
        <v>2005</v>
      </c>
      <c r="D151" s="15" t="s">
        <v>17</v>
      </c>
      <c r="E151" s="12">
        <v>12</v>
      </c>
      <c r="F151" s="17">
        <v>5.8943000000000003</v>
      </c>
      <c r="G151" s="17">
        <v>6.1400000000000003E-2</v>
      </c>
      <c r="H151" s="17">
        <v>1E-4</v>
      </c>
      <c r="I151" s="17">
        <v>1.4137999999999999</v>
      </c>
      <c r="J151" s="17">
        <v>3.5200000000000002E-2</v>
      </c>
      <c r="K151" s="17">
        <v>1E-4</v>
      </c>
    </row>
    <row r="152" spans="1:11">
      <c r="A152" s="8">
        <v>4</v>
      </c>
      <c r="B152" s="22">
        <v>38707</v>
      </c>
      <c r="C152" s="12">
        <v>2005</v>
      </c>
      <c r="D152" s="15" t="s">
        <v>17</v>
      </c>
      <c r="E152" s="12">
        <v>12</v>
      </c>
      <c r="F152" s="17">
        <v>9.6709999999999994</v>
      </c>
      <c r="G152" s="17">
        <v>0.31390000000000001</v>
      </c>
      <c r="H152" s="17">
        <v>1E-4</v>
      </c>
      <c r="I152" s="17">
        <v>2.2955000000000001</v>
      </c>
      <c r="J152" s="17">
        <v>5.79E-2</v>
      </c>
      <c r="K152" s="17">
        <v>1E-4</v>
      </c>
    </row>
    <row r="153" spans="1:11">
      <c r="A153" s="12">
        <v>3</v>
      </c>
      <c r="B153" s="22">
        <v>38734</v>
      </c>
      <c r="C153" s="12">
        <v>2006</v>
      </c>
      <c r="D153" s="11" t="s">
        <v>18</v>
      </c>
      <c r="E153" s="12">
        <v>1</v>
      </c>
      <c r="F153" s="17">
        <v>4.3461999999999996</v>
      </c>
      <c r="G153" s="17">
        <v>0.30480000000000002</v>
      </c>
      <c r="H153" s="17">
        <v>4.7500000000000001E-2</v>
      </c>
      <c r="I153" s="17">
        <v>1.0976999999999999</v>
      </c>
      <c r="J153" s="17">
        <v>4.48E-2</v>
      </c>
      <c r="K153" s="17">
        <v>1E-4</v>
      </c>
    </row>
    <row r="154" spans="1:11">
      <c r="A154" s="12">
        <v>4</v>
      </c>
      <c r="B154" s="22">
        <v>38734</v>
      </c>
      <c r="C154" s="12">
        <v>2006</v>
      </c>
      <c r="D154" s="11" t="s">
        <v>18</v>
      </c>
      <c r="E154" s="12">
        <v>1</v>
      </c>
      <c r="F154" s="17">
        <v>9.3907000000000007</v>
      </c>
      <c r="G154" s="17">
        <v>0.46810000000000002</v>
      </c>
      <c r="H154" s="17">
        <v>1E-4</v>
      </c>
      <c r="I154" s="17">
        <v>1.978</v>
      </c>
      <c r="J154" s="17">
        <v>9.6699999999999994E-2</v>
      </c>
      <c r="K154" s="17">
        <v>1E-4</v>
      </c>
    </row>
    <row r="155" spans="1:11">
      <c r="A155" s="12">
        <v>3</v>
      </c>
      <c r="B155" s="22">
        <v>38762</v>
      </c>
      <c r="C155" s="15">
        <v>2006</v>
      </c>
      <c r="D155" s="11" t="s">
        <v>28</v>
      </c>
      <c r="E155" s="15">
        <v>2</v>
      </c>
      <c r="F155" s="17">
        <v>6.3464999999999998</v>
      </c>
      <c r="G155" s="17">
        <v>7.85E-2</v>
      </c>
      <c r="H155" s="17">
        <v>6.4399999999999999E-2</v>
      </c>
      <c r="I155" s="17">
        <v>1.4267000000000001</v>
      </c>
      <c r="J155" s="17">
        <v>9.0800000000000006E-2</v>
      </c>
      <c r="K155" s="17">
        <v>1E-4</v>
      </c>
    </row>
    <row r="156" spans="1:11">
      <c r="A156" s="12">
        <v>4</v>
      </c>
      <c r="B156" s="22">
        <v>38762</v>
      </c>
      <c r="C156" s="15">
        <v>2006</v>
      </c>
      <c r="D156" s="11" t="s">
        <v>28</v>
      </c>
      <c r="E156" s="15">
        <v>2</v>
      </c>
      <c r="F156" s="17">
        <v>3.6261999999999999</v>
      </c>
      <c r="G156" s="17">
        <v>2.7400000000000001E-2</v>
      </c>
      <c r="H156" s="17">
        <v>1E-4</v>
      </c>
      <c r="I156" s="17">
        <v>0.72609999999999997</v>
      </c>
      <c r="J156" s="17">
        <v>7.6300000000000007E-2</v>
      </c>
      <c r="K156" s="17">
        <v>1E-4</v>
      </c>
    </row>
    <row r="157" spans="1:11">
      <c r="A157" s="12">
        <v>3</v>
      </c>
      <c r="B157" s="22">
        <v>38789</v>
      </c>
      <c r="C157" s="12">
        <v>2006</v>
      </c>
      <c r="D157" s="11" t="s">
        <v>29</v>
      </c>
      <c r="E157" s="15">
        <v>3</v>
      </c>
      <c r="F157" s="17">
        <v>4.9821999999999997</v>
      </c>
      <c r="G157" s="17">
        <v>1.8700000000000001E-2</v>
      </c>
      <c r="H157" s="17">
        <v>7.9299999999999995E-2</v>
      </c>
      <c r="I157" s="17">
        <v>1.8001</v>
      </c>
      <c r="J157" s="17">
        <v>3.5900000000000001E-2</v>
      </c>
      <c r="K157" s="17">
        <v>1E-4</v>
      </c>
    </row>
    <row r="158" spans="1:11">
      <c r="A158" s="12">
        <v>4</v>
      </c>
      <c r="B158" s="22">
        <v>38789</v>
      </c>
      <c r="C158" s="12">
        <v>2006</v>
      </c>
      <c r="D158" s="11" t="s">
        <v>29</v>
      </c>
      <c r="E158" s="15">
        <v>3</v>
      </c>
      <c r="F158" s="17">
        <v>5.0571999999999999</v>
      </c>
      <c r="G158" s="17">
        <v>1.6400000000000001E-2</v>
      </c>
      <c r="H158" s="17">
        <v>7.3099999999999998E-2</v>
      </c>
      <c r="I158" s="17">
        <v>1.7265999999999999</v>
      </c>
      <c r="J158" s="17">
        <v>3.6799999999999999E-2</v>
      </c>
      <c r="K158" s="17">
        <v>1E-4</v>
      </c>
    </row>
    <row r="159" spans="1:11">
      <c r="A159" s="12">
        <v>3</v>
      </c>
      <c r="B159" s="9">
        <v>38825</v>
      </c>
      <c r="C159" s="12">
        <v>2006</v>
      </c>
      <c r="D159" s="11" t="s">
        <v>30</v>
      </c>
      <c r="E159" s="12">
        <v>4</v>
      </c>
      <c r="F159" s="17">
        <v>6.5778999999999996</v>
      </c>
      <c r="G159" s="17">
        <v>3.7499999999999999E-2</v>
      </c>
      <c r="H159" s="17">
        <v>0.1444</v>
      </c>
      <c r="I159" s="17">
        <v>2.4382999999999999</v>
      </c>
      <c r="J159" s="17">
        <v>0.22359999999999999</v>
      </c>
      <c r="K159" s="17">
        <v>1E-4</v>
      </c>
    </row>
    <row r="160" spans="1:11">
      <c r="A160" s="12">
        <v>4</v>
      </c>
      <c r="B160" s="9">
        <v>38825</v>
      </c>
      <c r="C160" s="12">
        <v>2006</v>
      </c>
      <c r="D160" s="11" t="s">
        <v>30</v>
      </c>
      <c r="E160" s="12">
        <v>4</v>
      </c>
      <c r="F160" s="17">
        <v>9.2342999999999993</v>
      </c>
      <c r="G160" s="17">
        <v>0.1123</v>
      </c>
      <c r="H160" s="17">
        <v>0.14319999999999999</v>
      </c>
      <c r="I160" s="17">
        <v>2.3047</v>
      </c>
      <c r="J160" s="17">
        <v>0.43540000000000001</v>
      </c>
      <c r="K160" s="17">
        <v>1E-4</v>
      </c>
    </row>
    <row r="161" spans="1:11">
      <c r="A161" s="12">
        <v>3</v>
      </c>
      <c r="B161" s="9">
        <v>38852</v>
      </c>
      <c r="C161" s="12">
        <v>2006</v>
      </c>
      <c r="D161" s="11" t="s">
        <v>31</v>
      </c>
      <c r="E161" s="12">
        <v>5</v>
      </c>
      <c r="F161" s="17">
        <v>4.8865999999999996</v>
      </c>
      <c r="G161" s="17">
        <v>0.114</v>
      </c>
      <c r="H161" s="17">
        <v>0.4793</v>
      </c>
      <c r="I161" s="17">
        <v>1.7487999999999999</v>
      </c>
      <c r="J161" s="17">
        <v>0.34839999999999999</v>
      </c>
      <c r="K161" s="17">
        <v>1E-4</v>
      </c>
    </row>
    <row r="162" spans="1:11">
      <c r="A162" s="12">
        <v>4</v>
      </c>
      <c r="B162" s="9">
        <v>38852</v>
      </c>
      <c r="C162" s="12">
        <v>2006</v>
      </c>
      <c r="D162" s="11" t="s">
        <v>31</v>
      </c>
      <c r="E162" s="12">
        <v>5</v>
      </c>
      <c r="F162" s="17">
        <v>8.3722999999999992</v>
      </c>
      <c r="G162" s="17">
        <v>9.2799999999999994E-2</v>
      </c>
      <c r="H162" s="17">
        <v>0.38400000000000001</v>
      </c>
      <c r="I162" s="17">
        <v>2.6331000000000002</v>
      </c>
      <c r="J162" s="17">
        <v>0.70399999999999996</v>
      </c>
      <c r="K162" s="17">
        <v>9.2999999999999992E-3</v>
      </c>
    </row>
    <row r="163" spans="1:11">
      <c r="A163" s="12">
        <v>3</v>
      </c>
      <c r="B163" s="9">
        <v>38883</v>
      </c>
      <c r="C163" s="12">
        <v>2006</v>
      </c>
      <c r="D163" s="11" t="s">
        <v>32</v>
      </c>
      <c r="E163" s="12">
        <v>6</v>
      </c>
      <c r="F163" s="17">
        <v>18.6966</v>
      </c>
      <c r="G163" s="17">
        <v>0.12479999999999999</v>
      </c>
      <c r="H163" s="17">
        <v>0.97909999999999997</v>
      </c>
      <c r="I163" s="17">
        <v>4.5848000000000004</v>
      </c>
      <c r="J163" s="17">
        <v>1.2749999999999999</v>
      </c>
      <c r="K163" s="17">
        <v>2.6800000000000001E-2</v>
      </c>
    </row>
    <row r="164" spans="1:11">
      <c r="A164" s="12">
        <v>4</v>
      </c>
      <c r="B164" s="9">
        <v>38883</v>
      </c>
      <c r="C164" s="12">
        <v>2006</v>
      </c>
      <c r="D164" s="11" t="s">
        <v>32</v>
      </c>
      <c r="E164" s="12">
        <v>6</v>
      </c>
      <c r="F164" s="17">
        <v>25.342700000000001</v>
      </c>
      <c r="G164" s="17">
        <v>0.18809999999999999</v>
      </c>
      <c r="H164" s="17">
        <v>0.58250000000000002</v>
      </c>
      <c r="I164" s="17">
        <v>4.9683999999999999</v>
      </c>
      <c r="J164" s="17">
        <v>1.9601</v>
      </c>
      <c r="K164" s="17">
        <v>3.9199999999999999E-2</v>
      </c>
    </row>
    <row r="165" spans="1:11">
      <c r="A165" s="12">
        <v>3</v>
      </c>
      <c r="B165" s="9">
        <v>38916</v>
      </c>
      <c r="C165" s="12">
        <v>2006</v>
      </c>
      <c r="D165" s="11" t="s">
        <v>33</v>
      </c>
      <c r="E165" s="12">
        <v>7</v>
      </c>
      <c r="F165" s="17">
        <v>17.1892</v>
      </c>
      <c r="G165" s="17">
        <v>0.2772</v>
      </c>
      <c r="H165" s="17">
        <v>1E-4</v>
      </c>
      <c r="I165" s="17">
        <v>1.8746</v>
      </c>
      <c r="J165" s="17">
        <v>2.2170000000000001</v>
      </c>
      <c r="K165" s="17">
        <v>1E-4</v>
      </c>
    </row>
    <row r="166" spans="1:11">
      <c r="A166" s="12">
        <v>4</v>
      </c>
      <c r="B166" s="9">
        <v>38916</v>
      </c>
      <c r="C166" s="12">
        <v>2006</v>
      </c>
      <c r="D166" s="11" t="s">
        <v>33</v>
      </c>
      <c r="E166" s="12">
        <v>7</v>
      </c>
      <c r="F166" s="17">
        <v>27.236799999999999</v>
      </c>
      <c r="G166" s="17">
        <v>0.37969999999999998</v>
      </c>
      <c r="H166" s="17">
        <v>1E-4</v>
      </c>
      <c r="I166" s="17">
        <v>3.5665</v>
      </c>
      <c r="J166" s="17">
        <v>2.9355000000000002</v>
      </c>
      <c r="K166" s="17">
        <v>1E-4</v>
      </c>
    </row>
    <row r="167" spans="1:11">
      <c r="A167" s="12">
        <v>3</v>
      </c>
      <c r="B167" s="9">
        <v>38953</v>
      </c>
      <c r="C167" s="12">
        <v>2006</v>
      </c>
      <c r="D167" s="11" t="s">
        <v>34</v>
      </c>
      <c r="E167" s="12">
        <v>8</v>
      </c>
      <c r="F167" s="17">
        <v>12.1</v>
      </c>
      <c r="G167" s="17">
        <v>0.14349999999999999</v>
      </c>
      <c r="H167" s="17">
        <v>1E-4</v>
      </c>
      <c r="I167" s="17">
        <v>3.1225000000000001</v>
      </c>
      <c r="J167" s="17">
        <v>1.2954000000000001</v>
      </c>
      <c r="K167" s="17">
        <v>1E-4</v>
      </c>
    </row>
    <row r="168" spans="1:11">
      <c r="A168" s="12">
        <v>4</v>
      </c>
      <c r="B168" s="9">
        <v>38953</v>
      </c>
      <c r="C168" s="12">
        <v>2006</v>
      </c>
      <c r="D168" s="11" t="s">
        <v>34</v>
      </c>
      <c r="E168" s="12">
        <v>8</v>
      </c>
      <c r="F168" s="17">
        <v>25.657399999999999</v>
      </c>
      <c r="G168" s="17">
        <v>0.15529999999999999</v>
      </c>
      <c r="H168" s="17">
        <v>1E-4</v>
      </c>
      <c r="I168" s="17">
        <v>2.6025</v>
      </c>
      <c r="J168" s="17">
        <v>2.6591999999999998</v>
      </c>
      <c r="K168" s="17">
        <v>1E-4</v>
      </c>
    </row>
    <row r="169" spans="1:11">
      <c r="A169" s="12">
        <v>3</v>
      </c>
      <c r="B169" s="9">
        <v>38972</v>
      </c>
      <c r="C169" s="12">
        <v>2006</v>
      </c>
      <c r="D169" s="11" t="s">
        <v>35</v>
      </c>
      <c r="E169" s="12">
        <v>9</v>
      </c>
      <c r="F169" s="17">
        <v>12.8247</v>
      </c>
      <c r="G169" s="17">
        <v>0.32240000000000002</v>
      </c>
      <c r="H169" s="17">
        <v>1E-4</v>
      </c>
      <c r="I169" s="17">
        <v>3.0175000000000001</v>
      </c>
      <c r="J169" s="17">
        <v>0.7419</v>
      </c>
      <c r="K169" s="17">
        <v>1E-4</v>
      </c>
    </row>
    <row r="170" spans="1:11">
      <c r="A170" s="12">
        <v>4</v>
      </c>
      <c r="B170" s="9">
        <v>38972</v>
      </c>
      <c r="C170" s="12">
        <v>2006</v>
      </c>
      <c r="D170" s="11" t="s">
        <v>35</v>
      </c>
      <c r="E170" s="12">
        <v>9</v>
      </c>
      <c r="F170" s="17">
        <v>21.657699999999998</v>
      </c>
      <c r="G170" s="17">
        <v>0.11799999999999999</v>
      </c>
      <c r="H170" s="17">
        <v>1E-4</v>
      </c>
      <c r="I170" s="17">
        <v>5.9207999999999998</v>
      </c>
      <c r="J170" s="17">
        <v>1.044</v>
      </c>
      <c r="K170" s="17">
        <v>1E-4</v>
      </c>
    </row>
    <row r="171" spans="1:11">
      <c r="A171" s="12">
        <v>3</v>
      </c>
      <c r="B171" s="9">
        <v>39008</v>
      </c>
      <c r="C171" s="12">
        <v>2006</v>
      </c>
      <c r="D171" s="11" t="s">
        <v>36</v>
      </c>
      <c r="E171" s="12">
        <v>10</v>
      </c>
      <c r="F171" s="17">
        <v>17.082000000000001</v>
      </c>
      <c r="G171" s="17">
        <v>4.1000000000000002E-2</v>
      </c>
      <c r="H171" s="17">
        <v>1.0049999999999999</v>
      </c>
      <c r="I171" s="17">
        <v>7.2649999999999997</v>
      </c>
      <c r="J171" s="17">
        <v>1.395</v>
      </c>
      <c r="K171" s="17">
        <v>9.9989999999999996E-4</v>
      </c>
    </row>
    <row r="172" spans="1:11">
      <c r="A172" s="12">
        <v>4</v>
      </c>
      <c r="B172" s="9">
        <v>39008</v>
      </c>
      <c r="C172" s="12">
        <v>2006</v>
      </c>
      <c r="D172" s="11" t="s">
        <v>36</v>
      </c>
      <c r="E172" s="12">
        <v>10</v>
      </c>
      <c r="F172" s="17">
        <v>17.042000000000002</v>
      </c>
      <c r="G172" s="17">
        <v>0.05</v>
      </c>
      <c r="H172" s="17">
        <v>0.84299999999999997</v>
      </c>
      <c r="I172" s="17">
        <v>6.7160000000000002</v>
      </c>
      <c r="J172" s="17">
        <v>1.655</v>
      </c>
      <c r="K172" s="17">
        <v>9.9989999999999996E-4</v>
      </c>
    </row>
    <row r="173" spans="1:11">
      <c r="A173" s="12">
        <v>3</v>
      </c>
      <c r="B173" s="9">
        <v>39035</v>
      </c>
      <c r="C173" s="12">
        <v>2006</v>
      </c>
      <c r="D173" s="11" t="s">
        <v>37</v>
      </c>
      <c r="E173" s="12">
        <v>11</v>
      </c>
      <c r="F173" s="17">
        <v>15.141999999999999</v>
      </c>
      <c r="G173" s="17">
        <v>0.123</v>
      </c>
      <c r="H173" s="17">
        <v>0.46600000000000003</v>
      </c>
      <c r="I173" s="17">
        <v>6.0430000000000001</v>
      </c>
      <c r="J173" s="17">
        <v>0.23300000000000001</v>
      </c>
      <c r="K173" s="17">
        <v>9.9989999999999996E-4</v>
      </c>
    </row>
    <row r="174" spans="1:11">
      <c r="A174" s="12">
        <v>4</v>
      </c>
      <c r="B174" s="9">
        <v>39035</v>
      </c>
      <c r="C174" s="12">
        <v>2006</v>
      </c>
      <c r="D174" s="11" t="s">
        <v>37</v>
      </c>
      <c r="E174" s="12">
        <v>11</v>
      </c>
      <c r="F174" s="17">
        <v>27.632000000000001</v>
      </c>
      <c r="G174" s="17">
        <v>0.129</v>
      </c>
      <c r="H174" s="17">
        <v>0.33600000000000002</v>
      </c>
      <c r="I174" s="17">
        <v>9.3800000000000008</v>
      </c>
      <c r="J174" s="17">
        <v>0.28499999999999998</v>
      </c>
      <c r="K174" s="17">
        <v>9.9989999999999996E-4</v>
      </c>
    </row>
    <row r="175" spans="1:11">
      <c r="A175" s="12">
        <v>3</v>
      </c>
      <c r="B175" s="22">
        <v>39063</v>
      </c>
      <c r="C175" s="15">
        <v>2006</v>
      </c>
      <c r="D175" s="11" t="s">
        <v>38</v>
      </c>
      <c r="E175" s="15">
        <v>12</v>
      </c>
      <c r="F175" s="17">
        <v>10.353</v>
      </c>
      <c r="G175" s="17">
        <v>0.112</v>
      </c>
      <c r="H175" s="17">
        <v>0.77800000000000002</v>
      </c>
      <c r="I175" s="17">
        <v>4.3529999999999998</v>
      </c>
      <c r="J175" s="17">
        <v>0.30599999999999999</v>
      </c>
      <c r="K175" s="17">
        <v>9.9989999999999996E-4</v>
      </c>
    </row>
    <row r="176" spans="1:11">
      <c r="A176" s="12">
        <v>4</v>
      </c>
      <c r="B176" s="22">
        <v>39063</v>
      </c>
      <c r="C176" s="15">
        <v>2006</v>
      </c>
      <c r="D176" s="11" t="s">
        <v>38</v>
      </c>
      <c r="E176" s="15">
        <v>12</v>
      </c>
      <c r="F176" s="17">
        <v>10.071999999999999</v>
      </c>
      <c r="G176" s="17">
        <v>0.18099999999999999</v>
      </c>
      <c r="H176" s="17">
        <v>0.33200000000000002</v>
      </c>
      <c r="I176" s="17">
        <v>3.2650000000000001</v>
      </c>
      <c r="J176" s="17">
        <v>0.313</v>
      </c>
      <c r="K176" s="17">
        <v>9.9989999999999996E-4</v>
      </c>
    </row>
    <row r="177" spans="1:11">
      <c r="A177" s="15">
        <v>3</v>
      </c>
      <c r="B177" s="22">
        <v>39101</v>
      </c>
      <c r="C177" s="15">
        <v>2007</v>
      </c>
      <c r="D177" s="11" t="s">
        <v>39</v>
      </c>
      <c r="E177" s="15">
        <v>1</v>
      </c>
      <c r="F177" s="17">
        <v>19.911000000000001</v>
      </c>
      <c r="G177" s="17">
        <v>0.63100000000000001</v>
      </c>
      <c r="H177" s="17">
        <v>0.151</v>
      </c>
      <c r="I177" s="17">
        <v>6.9530000000000003</v>
      </c>
      <c r="J177" s="17">
        <v>0.40899999999999997</v>
      </c>
      <c r="K177" s="17">
        <v>8.9999999999999993E-3</v>
      </c>
    </row>
    <row r="178" spans="1:11">
      <c r="A178" s="15">
        <v>4</v>
      </c>
      <c r="B178" s="22">
        <v>39101</v>
      </c>
      <c r="C178" s="15">
        <v>2007</v>
      </c>
      <c r="D178" s="11" t="s">
        <v>39</v>
      </c>
      <c r="E178" s="15">
        <v>1</v>
      </c>
      <c r="F178" s="17">
        <v>22.295000000000002</v>
      </c>
      <c r="G178" s="17">
        <v>0.47599999999999998</v>
      </c>
      <c r="H178" s="17">
        <v>0.17299999999999999</v>
      </c>
      <c r="I178" s="17">
        <v>7.7450000000000001</v>
      </c>
      <c r="J178" s="17">
        <v>0.47099999999999997</v>
      </c>
      <c r="K178" s="17">
        <v>9.9989999999999996E-4</v>
      </c>
    </row>
    <row r="179" spans="1:11">
      <c r="A179" s="15">
        <v>3</v>
      </c>
      <c r="B179" s="22">
        <v>39134</v>
      </c>
      <c r="C179" s="15">
        <v>2007</v>
      </c>
      <c r="D179" s="11" t="s">
        <v>28</v>
      </c>
      <c r="E179" s="15">
        <v>2</v>
      </c>
      <c r="F179" s="17">
        <v>3.71</v>
      </c>
      <c r="G179" s="17">
        <v>0.121</v>
      </c>
      <c r="H179" s="17">
        <v>9.9989999999999996E-4</v>
      </c>
      <c r="I179" s="17">
        <v>0.69099999999999995</v>
      </c>
      <c r="J179" s="17">
        <v>6.3E-2</v>
      </c>
      <c r="K179" s="17">
        <v>9.9989999999999996E-4</v>
      </c>
    </row>
    <row r="180" spans="1:11">
      <c r="A180" s="15">
        <v>4</v>
      </c>
      <c r="B180" s="22">
        <v>39134</v>
      </c>
      <c r="C180" s="15">
        <v>2007</v>
      </c>
      <c r="D180" s="11" t="s">
        <v>28</v>
      </c>
      <c r="E180" s="15">
        <v>2</v>
      </c>
      <c r="F180" s="17">
        <v>4.2380000000000004</v>
      </c>
      <c r="G180" s="17">
        <v>0.26400000000000001</v>
      </c>
      <c r="H180" s="17">
        <v>9.9989999999999996E-4</v>
      </c>
      <c r="I180" s="17">
        <v>0.80200000000000005</v>
      </c>
      <c r="J180" s="17">
        <v>6.2E-2</v>
      </c>
      <c r="K180" s="17">
        <v>9.9989999999999996E-4</v>
      </c>
    </row>
    <row r="181" spans="1:11">
      <c r="A181" s="15">
        <v>3</v>
      </c>
      <c r="B181" s="22">
        <v>39154</v>
      </c>
      <c r="C181" s="15">
        <v>2007</v>
      </c>
      <c r="D181" s="11" t="s">
        <v>29</v>
      </c>
      <c r="E181" s="15">
        <v>3</v>
      </c>
      <c r="F181" s="17">
        <v>4.9480000000000004</v>
      </c>
      <c r="G181" s="17">
        <v>0.36099999999999999</v>
      </c>
      <c r="H181" s="17">
        <v>9.9989999999999996E-4</v>
      </c>
      <c r="I181" s="17">
        <v>1.4510000000000001</v>
      </c>
      <c r="J181" s="17">
        <v>3.9E-2</v>
      </c>
      <c r="K181" s="17">
        <v>9.9989999999999996E-4</v>
      </c>
    </row>
    <row r="182" spans="1:11">
      <c r="A182" s="15">
        <v>4</v>
      </c>
      <c r="B182" s="22">
        <v>39154</v>
      </c>
      <c r="C182" s="15">
        <v>2007</v>
      </c>
      <c r="D182" s="11" t="s">
        <v>29</v>
      </c>
      <c r="E182" s="15">
        <v>3</v>
      </c>
      <c r="F182" s="17">
        <v>4.407</v>
      </c>
      <c r="G182" s="17">
        <v>0.252</v>
      </c>
      <c r="H182" s="17">
        <v>9.9989999999999996E-4</v>
      </c>
      <c r="I182" s="17">
        <v>0.97299999999999998</v>
      </c>
      <c r="J182" s="17">
        <v>7.5999999999999998E-2</v>
      </c>
      <c r="K182" s="17">
        <v>9.9989999999999996E-4</v>
      </c>
    </row>
    <row r="183" spans="1:11">
      <c r="A183" s="15">
        <v>3</v>
      </c>
      <c r="B183" s="22">
        <v>39190</v>
      </c>
      <c r="C183" s="15">
        <v>2007</v>
      </c>
      <c r="D183" s="11" t="s">
        <v>30</v>
      </c>
      <c r="E183" s="15">
        <v>4</v>
      </c>
      <c r="F183" s="17">
        <v>17.379000000000001</v>
      </c>
      <c r="G183" s="17">
        <v>0.183</v>
      </c>
      <c r="H183" s="17">
        <v>9.9989999999999996E-4</v>
      </c>
      <c r="I183" s="17">
        <v>6.9480000000000004</v>
      </c>
      <c r="J183" s="17">
        <v>8.4000000000000005E-2</v>
      </c>
      <c r="K183" s="17">
        <v>9.9989999999999996E-4</v>
      </c>
    </row>
    <row r="184" spans="1:11">
      <c r="A184" s="15">
        <v>4</v>
      </c>
      <c r="B184" s="22">
        <v>39190</v>
      </c>
      <c r="C184" s="15">
        <v>2007</v>
      </c>
      <c r="D184" s="11" t="s">
        <v>30</v>
      </c>
      <c r="E184" s="15">
        <v>4</v>
      </c>
      <c r="F184" s="17">
        <v>31.898</v>
      </c>
      <c r="G184" s="17">
        <v>0.14399999999999999</v>
      </c>
      <c r="H184" s="17">
        <v>9.9989999999999996E-4</v>
      </c>
      <c r="I184" s="17">
        <v>11.007</v>
      </c>
      <c r="J184" s="17">
        <v>0.217</v>
      </c>
      <c r="K184" s="17">
        <v>9.9989999999999996E-4</v>
      </c>
    </row>
    <row r="185" spans="1:11">
      <c r="A185" s="15">
        <v>3</v>
      </c>
      <c r="B185" s="22">
        <v>39217</v>
      </c>
      <c r="C185" s="15">
        <v>2007</v>
      </c>
      <c r="D185" s="11" t="s">
        <v>31</v>
      </c>
      <c r="E185" s="15">
        <v>5</v>
      </c>
      <c r="F185" s="17">
        <v>10.680999999999999</v>
      </c>
      <c r="G185" s="17">
        <v>5.5E-2</v>
      </c>
      <c r="H185" s="17">
        <v>1.7629999999999999</v>
      </c>
      <c r="I185" s="17">
        <v>4.7140000000000004</v>
      </c>
      <c r="J185" s="17">
        <v>0.151</v>
      </c>
      <c r="K185" s="17">
        <v>9.9989999999999996E-4</v>
      </c>
    </row>
    <row r="186" spans="1:11">
      <c r="A186" s="15">
        <v>4</v>
      </c>
      <c r="B186" s="22">
        <v>39217</v>
      </c>
      <c r="C186" s="15">
        <v>2007</v>
      </c>
      <c r="D186" s="11" t="s">
        <v>31</v>
      </c>
      <c r="E186" s="15">
        <v>5</v>
      </c>
      <c r="F186" s="17">
        <v>14.287000000000001</v>
      </c>
      <c r="G186" s="17">
        <v>5.8000000000000003E-2</v>
      </c>
      <c r="H186" s="17">
        <v>2.2109999999999999</v>
      </c>
      <c r="I186" s="17">
        <v>6.1929999999999996</v>
      </c>
      <c r="J186" s="17">
        <v>0.247</v>
      </c>
      <c r="K186" s="17">
        <v>1.0999999999999999E-2</v>
      </c>
    </row>
    <row r="187" spans="1:11">
      <c r="A187" s="15">
        <v>3</v>
      </c>
      <c r="B187" s="22">
        <v>39246</v>
      </c>
      <c r="C187" s="15">
        <v>2007</v>
      </c>
      <c r="D187" s="11" t="s">
        <v>32</v>
      </c>
      <c r="E187" s="15">
        <v>6</v>
      </c>
      <c r="F187" s="17">
        <v>28.22</v>
      </c>
      <c r="G187" s="17">
        <v>0.05</v>
      </c>
      <c r="H187" s="17">
        <v>6.8090000000000002</v>
      </c>
      <c r="I187" s="17">
        <v>8.85</v>
      </c>
      <c r="J187" s="17">
        <v>1.2350000000000001</v>
      </c>
      <c r="K187" s="17">
        <v>9.9989999999999996E-4</v>
      </c>
    </row>
    <row r="188" spans="1:11">
      <c r="A188" s="15">
        <v>4</v>
      </c>
      <c r="B188" s="22">
        <v>39246</v>
      </c>
      <c r="C188" s="15">
        <v>2007</v>
      </c>
      <c r="D188" s="11" t="s">
        <v>32</v>
      </c>
      <c r="E188" s="15">
        <v>6</v>
      </c>
      <c r="F188" s="17">
        <v>24.821999999999999</v>
      </c>
      <c r="G188" s="17">
        <v>0.13</v>
      </c>
      <c r="H188" s="17">
        <v>2.8039999999999998</v>
      </c>
      <c r="I188" s="17">
        <v>5.218</v>
      </c>
      <c r="J188" s="17">
        <v>3.3540000000000001</v>
      </c>
      <c r="K188" s="17">
        <v>4.8000000000000001E-2</v>
      </c>
    </row>
    <row r="189" spans="1:11">
      <c r="A189" s="15">
        <v>3</v>
      </c>
      <c r="B189" s="22">
        <v>39280</v>
      </c>
      <c r="C189" s="15">
        <v>2007</v>
      </c>
      <c r="D189" s="11" t="s">
        <v>33</v>
      </c>
      <c r="E189" s="15">
        <v>7</v>
      </c>
      <c r="F189" s="17">
        <v>18.838000000000001</v>
      </c>
      <c r="G189" s="17">
        <v>0.34599999999999997</v>
      </c>
      <c r="H189" s="17">
        <v>6.4000000000000001E-2</v>
      </c>
      <c r="I189" s="17">
        <v>2.1640000000000001</v>
      </c>
      <c r="J189" s="17">
        <v>2.5099999999999998</v>
      </c>
      <c r="K189" s="17">
        <v>1.4E-2</v>
      </c>
    </row>
    <row r="190" spans="1:11">
      <c r="A190" s="15">
        <v>4</v>
      </c>
      <c r="B190" s="22">
        <v>39280</v>
      </c>
      <c r="C190" s="15">
        <v>2007</v>
      </c>
      <c r="D190" s="11" t="s">
        <v>33</v>
      </c>
      <c r="E190" s="15">
        <v>7</v>
      </c>
      <c r="F190" s="17">
        <v>30.202999999999999</v>
      </c>
      <c r="G190" s="17">
        <v>0.245</v>
      </c>
      <c r="H190" s="17">
        <v>0.13200000000000001</v>
      </c>
      <c r="I190" s="17">
        <v>4.5650000000000004</v>
      </c>
      <c r="J190" s="17">
        <v>3.0920000000000001</v>
      </c>
      <c r="K190" s="17">
        <v>2.1999999999999999E-2</v>
      </c>
    </row>
    <row r="191" spans="1:11">
      <c r="A191" s="15">
        <v>3</v>
      </c>
      <c r="B191" s="22">
        <v>39308</v>
      </c>
      <c r="C191" s="15">
        <v>2007</v>
      </c>
      <c r="D191" s="11" t="s">
        <v>34</v>
      </c>
      <c r="E191" s="15">
        <v>8</v>
      </c>
      <c r="F191" s="17">
        <v>18.850999999999999</v>
      </c>
      <c r="G191" s="17">
        <v>0.151</v>
      </c>
      <c r="H191" s="17">
        <v>9.9989999999999996E-4</v>
      </c>
      <c r="I191" s="17">
        <v>1.6970000000000001</v>
      </c>
      <c r="J191" s="17">
        <v>2.6</v>
      </c>
      <c r="K191" s="17">
        <v>9.9989999999999996E-4</v>
      </c>
    </row>
    <row r="192" spans="1:11">
      <c r="A192" s="15">
        <v>4</v>
      </c>
      <c r="B192" s="22">
        <v>39308</v>
      </c>
      <c r="C192" s="15">
        <v>2007</v>
      </c>
      <c r="D192" s="11" t="s">
        <v>34</v>
      </c>
      <c r="E192" s="15">
        <v>8</v>
      </c>
      <c r="F192" s="17">
        <v>20.166</v>
      </c>
      <c r="G192" s="17">
        <v>0.183</v>
      </c>
      <c r="H192" s="17">
        <v>5.6000000000000001E-2</v>
      </c>
      <c r="I192" s="17">
        <v>1.6519999999999999</v>
      </c>
      <c r="J192" s="17">
        <v>3.2189999999999999</v>
      </c>
      <c r="K192" s="17">
        <v>9.9989999999999996E-4</v>
      </c>
    </row>
    <row r="193" spans="1:11">
      <c r="A193" s="15">
        <v>3</v>
      </c>
      <c r="B193" s="22">
        <v>39336</v>
      </c>
      <c r="C193" s="15">
        <v>2007</v>
      </c>
      <c r="D193" s="11" t="s">
        <v>40</v>
      </c>
      <c r="E193" s="15">
        <v>9</v>
      </c>
      <c r="F193" s="17">
        <v>20.366</v>
      </c>
      <c r="G193" s="17">
        <v>9.9989999999999996E-4</v>
      </c>
      <c r="H193" s="17">
        <v>9.9989999999999996E-4</v>
      </c>
      <c r="I193" s="17">
        <v>2.7389999999999999</v>
      </c>
      <c r="J193" s="17">
        <v>2.109</v>
      </c>
      <c r="K193" s="17">
        <v>9.9989999999999996E-4</v>
      </c>
    </row>
    <row r="194" spans="1:11">
      <c r="A194" s="15">
        <v>4</v>
      </c>
      <c r="B194" s="22">
        <v>39336</v>
      </c>
      <c r="C194" s="15">
        <v>2007</v>
      </c>
      <c r="D194" s="11" t="s">
        <v>40</v>
      </c>
      <c r="E194" s="15">
        <v>9</v>
      </c>
      <c r="F194" s="17">
        <v>21.111000000000001</v>
      </c>
      <c r="G194" s="17">
        <v>0.10199999999999999</v>
      </c>
      <c r="H194" s="17">
        <v>9.9989999999999996E-4</v>
      </c>
      <c r="I194" s="17">
        <v>2.5379999999999998</v>
      </c>
      <c r="J194" s="17">
        <v>2.6139999999999999</v>
      </c>
      <c r="K194" s="17">
        <v>9.9989999999999996E-4</v>
      </c>
    </row>
    <row r="195" spans="1:11">
      <c r="A195" s="15">
        <v>3</v>
      </c>
      <c r="B195" s="22">
        <v>39373</v>
      </c>
      <c r="C195" s="15">
        <v>2007</v>
      </c>
      <c r="D195" s="11" t="s">
        <v>36</v>
      </c>
      <c r="E195" s="15">
        <v>10</v>
      </c>
      <c r="F195" s="17">
        <v>8.282</v>
      </c>
      <c r="G195" s="17">
        <v>5.0999999999999997E-2</v>
      </c>
      <c r="H195" s="17">
        <v>9.9989999999999996E-4</v>
      </c>
      <c r="I195" s="17">
        <v>1.113</v>
      </c>
      <c r="J195" s="17">
        <v>1.2589999999999999</v>
      </c>
      <c r="K195" s="17">
        <v>9.9989999999999996E-4</v>
      </c>
    </row>
    <row r="196" spans="1:11">
      <c r="A196" s="15">
        <v>4</v>
      </c>
      <c r="B196" s="22">
        <v>39373</v>
      </c>
      <c r="C196" s="15">
        <v>2007</v>
      </c>
      <c r="D196" s="11" t="s">
        <v>36</v>
      </c>
      <c r="E196" s="15">
        <v>10</v>
      </c>
      <c r="F196" s="17">
        <v>14.773</v>
      </c>
      <c r="G196" s="17">
        <v>0.112</v>
      </c>
      <c r="H196" s="17">
        <v>9.9989999999999996E-4</v>
      </c>
      <c r="I196" s="17">
        <v>1.9770000000000001</v>
      </c>
      <c r="J196" s="17">
        <v>2.5760000000000001</v>
      </c>
      <c r="K196" s="17">
        <v>9.9989999999999996E-4</v>
      </c>
    </row>
    <row r="197" spans="1:11">
      <c r="A197" s="15">
        <v>3</v>
      </c>
      <c r="B197" s="22">
        <v>39399</v>
      </c>
      <c r="C197" s="15">
        <v>2007</v>
      </c>
      <c r="D197" s="11" t="s">
        <v>37</v>
      </c>
      <c r="E197" s="15">
        <v>11</v>
      </c>
      <c r="F197" s="17">
        <v>6.133</v>
      </c>
      <c r="G197" s="17">
        <v>1.7999999999999999E-2</v>
      </c>
      <c r="H197" s="17">
        <v>0.33400000000000002</v>
      </c>
      <c r="I197" s="17">
        <v>1.89</v>
      </c>
      <c r="J197" s="17">
        <v>0.14699999999999999</v>
      </c>
      <c r="K197" s="17">
        <v>9.9989999999999996E-4</v>
      </c>
    </row>
    <row r="198" spans="1:11">
      <c r="A198" s="15">
        <v>4</v>
      </c>
      <c r="B198" s="22">
        <v>39399</v>
      </c>
      <c r="C198" s="15">
        <v>2007</v>
      </c>
      <c r="D198" s="11" t="s">
        <v>37</v>
      </c>
      <c r="E198" s="15">
        <v>11</v>
      </c>
      <c r="F198" s="17">
        <v>7.9269999999999996</v>
      </c>
      <c r="G198" s="17">
        <v>2.8000000000000001E-2</v>
      </c>
      <c r="H198" s="17">
        <v>0.37</v>
      </c>
      <c r="I198" s="17">
        <v>2.0710000000000002</v>
      </c>
      <c r="J198" s="17">
        <v>0.27100000000000002</v>
      </c>
      <c r="K198" s="17">
        <v>9.9989999999999996E-4</v>
      </c>
    </row>
    <row r="199" spans="1:11">
      <c r="A199" s="15">
        <v>3</v>
      </c>
      <c r="B199" s="22">
        <v>39427</v>
      </c>
      <c r="C199" s="15">
        <v>2007</v>
      </c>
      <c r="D199" s="11" t="s">
        <v>38</v>
      </c>
      <c r="E199" s="15">
        <v>12</v>
      </c>
      <c r="F199" s="17">
        <v>5.8310000000000004</v>
      </c>
      <c r="G199" s="17">
        <v>0.14099999999999999</v>
      </c>
      <c r="H199" s="17">
        <v>9.9989999999999996E-4</v>
      </c>
      <c r="I199" s="17">
        <v>1.792</v>
      </c>
      <c r="J199" s="17">
        <v>3.5000000000000003E-2</v>
      </c>
      <c r="K199" s="17">
        <v>8.0000000000000002E-3</v>
      </c>
    </row>
    <row r="200" spans="1:11">
      <c r="A200" s="15">
        <v>4</v>
      </c>
      <c r="B200" s="22">
        <v>39427</v>
      </c>
      <c r="C200" s="15">
        <v>2007</v>
      </c>
      <c r="D200" s="11" t="s">
        <v>38</v>
      </c>
      <c r="E200" s="15">
        <v>12</v>
      </c>
      <c r="F200" s="17">
        <v>9.1120000000000001</v>
      </c>
      <c r="G200" s="17">
        <v>0.248</v>
      </c>
      <c r="H200" s="17">
        <v>0.08</v>
      </c>
      <c r="I200" s="17">
        <v>2.69</v>
      </c>
      <c r="J200" s="17">
        <v>4.2000000000000003E-2</v>
      </c>
      <c r="K200" s="17">
        <v>4.1000000000000002E-2</v>
      </c>
    </row>
    <row r="201" spans="1:11">
      <c r="A201" s="15">
        <v>3</v>
      </c>
      <c r="B201" s="22">
        <v>39462</v>
      </c>
      <c r="C201" s="15">
        <v>2008</v>
      </c>
      <c r="D201" s="11" t="s">
        <v>39</v>
      </c>
      <c r="E201" s="15">
        <v>1</v>
      </c>
      <c r="F201" s="23">
        <v>3.843</v>
      </c>
      <c r="G201" s="23">
        <v>0.112</v>
      </c>
      <c r="H201" s="23">
        <v>9.9989999999999996E-4</v>
      </c>
      <c r="I201" s="23">
        <v>0.78900000000000003</v>
      </c>
      <c r="J201" s="23">
        <v>8.4000000000000005E-2</v>
      </c>
      <c r="K201" s="23">
        <v>5.0000000000000001E-3</v>
      </c>
    </row>
    <row r="202" spans="1:11">
      <c r="A202" s="15">
        <v>4</v>
      </c>
      <c r="B202" s="22">
        <v>39462</v>
      </c>
      <c r="C202" s="15">
        <v>2008</v>
      </c>
      <c r="D202" s="11" t="s">
        <v>39</v>
      </c>
      <c r="E202" s="15">
        <v>1</v>
      </c>
      <c r="F202" s="23">
        <v>8.2759999999999998</v>
      </c>
      <c r="G202" s="23">
        <v>0.52</v>
      </c>
      <c r="H202" s="23">
        <v>0.19900000000000001</v>
      </c>
      <c r="I202" s="23">
        <v>1.679</v>
      </c>
      <c r="J202" s="23">
        <v>8.1000000000000003E-2</v>
      </c>
      <c r="K202" s="23">
        <v>0.13200000000000001</v>
      </c>
    </row>
    <row r="203" spans="1:11">
      <c r="A203" s="15">
        <v>3</v>
      </c>
      <c r="B203" s="22">
        <v>39490</v>
      </c>
      <c r="C203" s="15">
        <v>2008</v>
      </c>
      <c r="D203" s="11" t="s">
        <v>28</v>
      </c>
      <c r="E203" s="15">
        <v>2</v>
      </c>
      <c r="F203" s="23">
        <v>6.859</v>
      </c>
      <c r="G203" s="23">
        <v>0.185</v>
      </c>
      <c r="H203" s="23">
        <v>0.161</v>
      </c>
      <c r="I203" s="23">
        <v>1.427</v>
      </c>
      <c r="J203" s="23">
        <v>0.154</v>
      </c>
      <c r="K203" s="23">
        <v>6.9000000000000006E-2</v>
      </c>
    </row>
    <row r="204" spans="1:11">
      <c r="A204" s="15">
        <v>4</v>
      </c>
      <c r="B204" s="22">
        <v>39490</v>
      </c>
      <c r="C204" s="15">
        <v>2008</v>
      </c>
      <c r="D204" s="11" t="s">
        <v>28</v>
      </c>
      <c r="E204" s="15">
        <v>2</v>
      </c>
      <c r="F204" s="23">
        <v>16.058</v>
      </c>
      <c r="G204" s="23">
        <v>0.68400000000000005</v>
      </c>
      <c r="H204" s="23">
        <v>0.57099999999999995</v>
      </c>
      <c r="I204" s="23">
        <v>3.6389999999999998</v>
      </c>
      <c r="J204" s="23">
        <v>0.28799999999999998</v>
      </c>
      <c r="K204" s="23">
        <v>0.31</v>
      </c>
    </row>
    <row r="205" spans="1:11">
      <c r="A205" s="15">
        <v>3</v>
      </c>
      <c r="B205" s="22">
        <v>39520</v>
      </c>
      <c r="C205" s="15">
        <v>2008</v>
      </c>
      <c r="D205" s="11" t="s">
        <v>29</v>
      </c>
      <c r="E205" s="15">
        <v>3</v>
      </c>
      <c r="F205" s="24">
        <v>4.5410000000000004</v>
      </c>
      <c r="G205" s="23">
        <v>5.1999999999999998E-2</v>
      </c>
      <c r="H205" s="23">
        <v>0.09</v>
      </c>
      <c r="I205" s="23">
        <v>1.6160000000000001</v>
      </c>
      <c r="J205" s="23">
        <v>0.09</v>
      </c>
      <c r="K205" s="23">
        <v>2.1000000000000001E-2</v>
      </c>
    </row>
    <row r="206" spans="1:11">
      <c r="A206" s="15">
        <v>4</v>
      </c>
      <c r="B206" s="22">
        <v>39520</v>
      </c>
      <c r="C206" s="15">
        <v>2008</v>
      </c>
      <c r="D206" s="11" t="s">
        <v>29</v>
      </c>
      <c r="E206" s="15">
        <v>3</v>
      </c>
      <c r="F206" s="24">
        <v>9.7249999999999996</v>
      </c>
      <c r="G206" s="23">
        <v>0.44900000000000001</v>
      </c>
      <c r="H206" s="23">
        <v>0.29799999999999999</v>
      </c>
      <c r="I206" s="23">
        <v>2.52</v>
      </c>
      <c r="J206" s="23">
        <v>0.13900000000000001</v>
      </c>
      <c r="K206" s="23">
        <v>0.14499999999999999</v>
      </c>
    </row>
    <row r="207" spans="1:11">
      <c r="A207" s="15">
        <v>3</v>
      </c>
      <c r="B207" s="22">
        <v>39553</v>
      </c>
      <c r="C207" s="15">
        <v>2008</v>
      </c>
      <c r="D207" s="11" t="s">
        <v>30</v>
      </c>
      <c r="E207" s="15">
        <v>4</v>
      </c>
      <c r="F207" s="24">
        <v>6.3369999999999997</v>
      </c>
      <c r="G207" s="23">
        <v>2.5000000000000001E-2</v>
      </c>
      <c r="H207" s="23">
        <v>0.27</v>
      </c>
      <c r="I207" s="23">
        <v>2.504</v>
      </c>
      <c r="J207" s="23">
        <v>9.5000000000000001E-2</v>
      </c>
      <c r="K207" s="23">
        <v>9.9989999999999996E-4</v>
      </c>
    </row>
    <row r="208" spans="1:11">
      <c r="A208" s="15">
        <v>4</v>
      </c>
      <c r="B208" s="22">
        <v>39553</v>
      </c>
      <c r="C208" s="15">
        <v>2008</v>
      </c>
      <c r="D208" s="11" t="s">
        <v>30</v>
      </c>
      <c r="E208" s="15">
        <v>4</v>
      </c>
      <c r="F208" s="24">
        <v>14.29</v>
      </c>
      <c r="G208" s="23">
        <v>6.9000000000000006E-2</v>
      </c>
      <c r="H208" s="23">
        <v>0.33200000000000002</v>
      </c>
      <c r="I208" s="23">
        <v>4.7850000000000001</v>
      </c>
      <c r="J208" s="23">
        <v>0.14299999999999999</v>
      </c>
      <c r="K208" s="23">
        <v>6.0999999999999999E-2</v>
      </c>
    </row>
    <row r="209" spans="1:11">
      <c r="A209" s="15">
        <v>3</v>
      </c>
      <c r="B209" s="22">
        <v>39582</v>
      </c>
      <c r="C209" s="15">
        <v>2008</v>
      </c>
      <c r="D209" s="11" t="s">
        <v>31</v>
      </c>
      <c r="E209" s="15">
        <v>5</v>
      </c>
      <c r="F209" s="24">
        <v>15.234</v>
      </c>
      <c r="G209" s="23">
        <v>7.2999999999999995E-2</v>
      </c>
      <c r="H209" s="23">
        <v>0.64700000000000002</v>
      </c>
      <c r="I209" s="23">
        <v>5.734</v>
      </c>
      <c r="J209" s="23">
        <v>0.45600000000000002</v>
      </c>
      <c r="K209" s="23">
        <v>9.9989999999999996E-4</v>
      </c>
    </row>
    <row r="210" spans="1:11">
      <c r="A210" s="15">
        <v>4</v>
      </c>
      <c r="B210" s="22">
        <v>39582</v>
      </c>
      <c r="C210" s="15">
        <v>2008</v>
      </c>
      <c r="D210" s="11" t="s">
        <v>31</v>
      </c>
      <c r="E210" s="15">
        <v>5</v>
      </c>
      <c r="F210" s="24">
        <v>14.628</v>
      </c>
      <c r="G210" s="23">
        <v>0.432</v>
      </c>
      <c r="H210" s="23">
        <v>0.39900000000000002</v>
      </c>
      <c r="I210" s="23">
        <v>4.2279999999999998</v>
      </c>
      <c r="J210" s="23">
        <v>0.496</v>
      </c>
      <c r="K210" s="23">
        <v>9.9989999999999996E-4</v>
      </c>
    </row>
    <row r="211" spans="1:11">
      <c r="A211" s="15">
        <v>3</v>
      </c>
      <c r="B211" s="22">
        <v>39616</v>
      </c>
      <c r="C211" s="15">
        <v>2008</v>
      </c>
      <c r="D211" s="11" t="s">
        <v>32</v>
      </c>
      <c r="E211" s="15">
        <v>6</v>
      </c>
      <c r="F211" s="24">
        <v>16.321000000000002</v>
      </c>
      <c r="G211" s="23">
        <v>0.13800000000000001</v>
      </c>
      <c r="H211" s="23">
        <v>9.9989999999999996E-4</v>
      </c>
      <c r="I211" s="23">
        <v>2.2839999999999998</v>
      </c>
      <c r="J211" s="23">
        <v>1.857</v>
      </c>
      <c r="K211" s="23">
        <v>9.9989999999999996E-4</v>
      </c>
    </row>
    <row r="212" spans="1:11">
      <c r="A212" s="15">
        <v>4</v>
      </c>
      <c r="B212" s="22">
        <v>39616</v>
      </c>
      <c r="C212" s="15">
        <v>2008</v>
      </c>
      <c r="D212" s="11" t="s">
        <v>32</v>
      </c>
      <c r="E212" s="15">
        <v>6</v>
      </c>
      <c r="F212" s="24">
        <v>20.048999999999999</v>
      </c>
      <c r="G212" s="23">
        <v>6.0999999999999999E-2</v>
      </c>
      <c r="H212" s="23">
        <v>9.9989999999999996E-4</v>
      </c>
      <c r="I212" s="23">
        <v>1.7729999999999999</v>
      </c>
      <c r="J212" s="23">
        <v>3.9329999999999998</v>
      </c>
      <c r="K212" s="23">
        <v>9.9989999999999996E-4</v>
      </c>
    </row>
    <row r="213" spans="1:11">
      <c r="A213" s="15">
        <v>3</v>
      </c>
      <c r="B213" s="22">
        <v>39644</v>
      </c>
      <c r="C213" s="15">
        <v>2008</v>
      </c>
      <c r="D213" s="11" t="s">
        <v>33</v>
      </c>
      <c r="E213" s="15">
        <v>7</v>
      </c>
      <c r="F213" s="24">
        <v>40.933</v>
      </c>
      <c r="G213" s="23">
        <v>0.27800000000000002</v>
      </c>
      <c r="H213" s="23">
        <v>7.4999999999999997E-2</v>
      </c>
      <c r="I213" s="23">
        <v>4.9119999999999999</v>
      </c>
      <c r="J213" s="23">
        <v>1.744</v>
      </c>
      <c r="K213" s="23">
        <v>9.9989999999999996E-4</v>
      </c>
    </row>
    <row r="214" spans="1:11">
      <c r="A214" s="15">
        <v>4</v>
      </c>
      <c r="B214" s="22">
        <v>39644</v>
      </c>
      <c r="C214" s="15">
        <v>2008</v>
      </c>
      <c r="D214" s="11" t="s">
        <v>33</v>
      </c>
      <c r="E214" s="15">
        <v>7</v>
      </c>
      <c r="F214" s="24">
        <v>47.481999999999999</v>
      </c>
      <c r="G214" s="23">
        <v>0.28499999999999998</v>
      </c>
      <c r="H214" s="23">
        <v>7.0999999999999994E-2</v>
      </c>
      <c r="I214" s="23">
        <v>5.4450000000000003</v>
      </c>
      <c r="J214" s="23">
        <v>1.7909999999999999</v>
      </c>
      <c r="K214" s="23">
        <v>9.9989999999999996E-4</v>
      </c>
    </row>
    <row r="215" spans="1:11">
      <c r="A215" s="15">
        <v>3</v>
      </c>
      <c r="B215" s="22">
        <v>39673</v>
      </c>
      <c r="C215" s="15">
        <v>2008</v>
      </c>
      <c r="D215" s="11" t="s">
        <v>34</v>
      </c>
      <c r="E215" s="15">
        <v>8</v>
      </c>
      <c r="F215" s="24">
        <v>15.821</v>
      </c>
      <c r="G215" s="23">
        <v>0.38300000000000001</v>
      </c>
      <c r="H215" s="23">
        <v>0.125</v>
      </c>
      <c r="I215" s="23">
        <v>2.105</v>
      </c>
      <c r="J215" s="23">
        <v>1.323</v>
      </c>
      <c r="K215" s="23">
        <v>9.9989999999999996E-4</v>
      </c>
    </row>
    <row r="216" spans="1:11">
      <c r="A216" s="15">
        <v>4</v>
      </c>
      <c r="B216" s="22">
        <v>39673</v>
      </c>
      <c r="C216" s="15">
        <v>2008</v>
      </c>
      <c r="D216" s="11" t="s">
        <v>34</v>
      </c>
      <c r="E216" s="15">
        <v>8</v>
      </c>
      <c r="F216" s="24">
        <v>42.738</v>
      </c>
      <c r="G216" s="23">
        <v>0.51300000000000001</v>
      </c>
      <c r="H216" s="23">
        <v>0.55200000000000005</v>
      </c>
      <c r="I216" s="23">
        <v>5.07</v>
      </c>
      <c r="J216" s="23">
        <v>1.2290000000000001</v>
      </c>
      <c r="K216" s="23">
        <v>9.9989999999999996E-4</v>
      </c>
    </row>
    <row r="217" spans="1:11">
      <c r="A217" s="15">
        <v>3</v>
      </c>
      <c r="B217" s="22">
        <v>39707</v>
      </c>
      <c r="C217" s="15">
        <v>2008</v>
      </c>
      <c r="D217" s="11" t="s">
        <v>40</v>
      </c>
      <c r="E217" s="15">
        <v>9</v>
      </c>
      <c r="F217" s="23">
        <v>20.94</v>
      </c>
      <c r="G217" s="23">
        <v>0.14199999999999999</v>
      </c>
      <c r="H217" s="23">
        <v>1.2669999999999999</v>
      </c>
      <c r="I217" s="23">
        <v>5.0010000000000003</v>
      </c>
      <c r="J217" s="23">
        <v>2.161</v>
      </c>
      <c r="K217" s="23">
        <v>9.9989999999999996E-4</v>
      </c>
    </row>
    <row r="218" spans="1:11">
      <c r="A218" s="15">
        <v>4</v>
      </c>
      <c r="B218" s="22">
        <v>39707</v>
      </c>
      <c r="C218" s="15">
        <v>2008</v>
      </c>
      <c r="D218" s="11" t="s">
        <v>40</v>
      </c>
      <c r="E218" s="15">
        <v>9</v>
      </c>
      <c r="F218" s="23">
        <v>20.312000000000001</v>
      </c>
      <c r="G218" s="23">
        <v>0.16</v>
      </c>
      <c r="H218" s="23">
        <v>0.65100000000000002</v>
      </c>
      <c r="I218" s="23">
        <v>3.6</v>
      </c>
      <c r="J218" s="23">
        <v>2.5409999999999999</v>
      </c>
      <c r="K218" s="23">
        <v>9.9989999999999996E-4</v>
      </c>
    </row>
    <row r="219" spans="1:11">
      <c r="A219" s="15">
        <v>3</v>
      </c>
      <c r="B219" s="22">
        <v>39737</v>
      </c>
      <c r="C219" s="15">
        <v>2008</v>
      </c>
      <c r="D219" s="11" t="s">
        <v>36</v>
      </c>
      <c r="E219" s="15">
        <v>10</v>
      </c>
      <c r="F219" s="23">
        <v>12.946999999999999</v>
      </c>
      <c r="G219" s="23">
        <v>6.6000000000000003E-2</v>
      </c>
      <c r="H219" s="23">
        <v>1.1819999999999999</v>
      </c>
      <c r="I219" s="23">
        <v>4.16</v>
      </c>
      <c r="J219" s="23">
        <v>1.252</v>
      </c>
      <c r="K219" s="23">
        <v>9.9989999999999996E-4</v>
      </c>
    </row>
    <row r="220" spans="1:11">
      <c r="A220" s="15">
        <v>4</v>
      </c>
      <c r="B220" s="22">
        <v>39737</v>
      </c>
      <c r="C220" s="15">
        <v>2008</v>
      </c>
      <c r="D220" s="11" t="s">
        <v>36</v>
      </c>
      <c r="E220" s="15">
        <v>10</v>
      </c>
      <c r="F220" s="23">
        <v>21.135999999999999</v>
      </c>
      <c r="G220" s="23">
        <v>0.106</v>
      </c>
      <c r="H220" s="23">
        <v>1.7569999999999999</v>
      </c>
      <c r="I220" s="23">
        <v>5.5949999999999998</v>
      </c>
      <c r="J220" s="23">
        <v>2.9289999999999998</v>
      </c>
      <c r="K220" s="23">
        <v>9.9989999999999996E-4</v>
      </c>
    </row>
    <row r="221" spans="1:11">
      <c r="A221" s="15">
        <v>3</v>
      </c>
      <c r="B221" s="22">
        <v>39763</v>
      </c>
      <c r="C221" s="15">
        <v>2008</v>
      </c>
      <c r="D221" s="11" t="s">
        <v>37</v>
      </c>
      <c r="E221" s="15">
        <v>11</v>
      </c>
      <c r="F221" s="23">
        <v>11.272</v>
      </c>
      <c r="G221" s="23">
        <v>2.5000000000000001E-2</v>
      </c>
      <c r="H221" s="23">
        <v>0.625</v>
      </c>
      <c r="I221" s="23">
        <v>4.7249999999999996</v>
      </c>
      <c r="J221" s="23">
        <v>0.504</v>
      </c>
      <c r="K221" s="23">
        <v>9.9989999999999996E-4</v>
      </c>
    </row>
    <row r="222" spans="1:11">
      <c r="A222" s="15">
        <v>4</v>
      </c>
      <c r="B222" s="22">
        <v>39763</v>
      </c>
      <c r="C222" s="15">
        <v>2008</v>
      </c>
      <c r="D222" s="11" t="s">
        <v>37</v>
      </c>
      <c r="E222" s="15">
        <v>11</v>
      </c>
      <c r="F222" s="23">
        <v>14.859</v>
      </c>
      <c r="G222" s="23">
        <v>3.7999999999999999E-2</v>
      </c>
      <c r="H222" s="23">
        <v>0.81799999999999995</v>
      </c>
      <c r="I222" s="23">
        <v>6.343</v>
      </c>
      <c r="J222" s="23">
        <v>0.57799999999999996</v>
      </c>
      <c r="K222" s="23">
        <v>9.9989999999999996E-4</v>
      </c>
    </row>
    <row r="223" spans="1:11">
      <c r="A223" s="15">
        <v>3</v>
      </c>
      <c r="B223" s="22">
        <v>39434</v>
      </c>
      <c r="C223" s="15">
        <v>2008</v>
      </c>
      <c r="D223" s="11" t="s">
        <v>38</v>
      </c>
      <c r="E223" s="15">
        <v>12</v>
      </c>
      <c r="F223" s="23">
        <v>19.263000000000002</v>
      </c>
      <c r="G223" s="23">
        <v>1.7789999999999999</v>
      </c>
      <c r="H223" s="23">
        <v>0.29599999999999999</v>
      </c>
      <c r="I223" s="23">
        <v>5.1189999999999998</v>
      </c>
      <c r="J223" s="23">
        <v>9.4E-2</v>
      </c>
      <c r="K223" s="23">
        <v>9.9989999999999996E-4</v>
      </c>
    </row>
    <row r="224" spans="1:11">
      <c r="A224" s="15">
        <v>4</v>
      </c>
      <c r="B224" s="22">
        <v>39434</v>
      </c>
      <c r="C224" s="15">
        <v>2008</v>
      </c>
      <c r="D224" s="11" t="s">
        <v>38</v>
      </c>
      <c r="E224" s="15">
        <v>12</v>
      </c>
      <c r="F224" s="23">
        <v>23.683</v>
      </c>
      <c r="G224" s="23">
        <v>3.93</v>
      </c>
      <c r="H224" s="23">
        <v>0.23200000000000001</v>
      </c>
      <c r="I224" s="23">
        <v>4.5679999999999996</v>
      </c>
      <c r="J224" s="23">
        <v>0.112</v>
      </c>
      <c r="K224" s="23">
        <v>9.9989999999999996E-4</v>
      </c>
    </row>
    <row r="225" spans="1:11">
      <c r="A225" s="15">
        <v>3</v>
      </c>
      <c r="B225" s="22">
        <v>39825</v>
      </c>
      <c r="C225" s="15">
        <v>2009</v>
      </c>
      <c r="D225" s="11" t="s">
        <v>39</v>
      </c>
      <c r="E225" s="12">
        <v>1</v>
      </c>
      <c r="F225" s="23">
        <v>12.114000000000001</v>
      </c>
      <c r="G225" s="23">
        <v>0.82899999999999996</v>
      </c>
      <c r="H225" s="23">
        <v>9.9989999999999996E-4</v>
      </c>
      <c r="I225" s="23">
        <v>2.3559999999999999</v>
      </c>
      <c r="J225" s="23">
        <v>6.9000000000000006E-2</v>
      </c>
      <c r="K225" s="23">
        <v>9.9989999999999996E-4</v>
      </c>
    </row>
    <row r="226" spans="1:11">
      <c r="A226" s="15">
        <v>4</v>
      </c>
      <c r="B226" s="22">
        <v>39825</v>
      </c>
      <c r="C226" s="15">
        <v>2009</v>
      </c>
      <c r="D226" s="11" t="s">
        <v>39</v>
      </c>
      <c r="E226" s="12">
        <v>1</v>
      </c>
      <c r="F226" s="23">
        <v>12.62</v>
      </c>
      <c r="G226" s="23">
        <v>1.845</v>
      </c>
      <c r="H226" s="23">
        <v>4.3999999999999997E-2</v>
      </c>
      <c r="I226" s="23">
        <v>1.889</v>
      </c>
      <c r="J226" s="23">
        <v>9.8000000000000004E-2</v>
      </c>
      <c r="K226" s="23">
        <v>9.9989999999999996E-4</v>
      </c>
    </row>
    <row r="227" spans="1:11">
      <c r="A227" s="12">
        <v>3</v>
      </c>
      <c r="B227" s="22">
        <v>39854</v>
      </c>
      <c r="C227" s="15">
        <v>2009</v>
      </c>
      <c r="D227" s="11" t="s">
        <v>28</v>
      </c>
      <c r="E227" s="12">
        <v>2</v>
      </c>
      <c r="F227" s="23">
        <v>5.9710000000000001</v>
      </c>
      <c r="G227" s="25">
        <v>9.9000000000000005E-2</v>
      </c>
      <c r="H227" s="25">
        <v>1.7000000000000001E-2</v>
      </c>
      <c r="I227" s="25">
        <v>1.875</v>
      </c>
      <c r="J227" s="25">
        <v>2.7E-2</v>
      </c>
      <c r="K227" s="25">
        <v>9.9989999999999996E-4</v>
      </c>
    </row>
    <row r="228" spans="1:11">
      <c r="A228" s="12">
        <v>4</v>
      </c>
      <c r="B228" s="22">
        <v>39854</v>
      </c>
      <c r="C228" s="15">
        <v>2009</v>
      </c>
      <c r="D228" s="11" t="s">
        <v>28</v>
      </c>
      <c r="E228" s="12">
        <v>2</v>
      </c>
      <c r="F228" s="23">
        <v>5.5919999999999996</v>
      </c>
      <c r="G228" s="25">
        <v>0.17399999999999999</v>
      </c>
      <c r="H228" s="25">
        <v>9.9989999999999996E-4</v>
      </c>
      <c r="I228" s="25">
        <v>2.056</v>
      </c>
      <c r="J228" s="25">
        <v>3.3000000000000002E-2</v>
      </c>
      <c r="K228" s="25">
        <v>9.9989999999999996E-4</v>
      </c>
    </row>
    <row r="229" spans="1:11">
      <c r="A229" s="12">
        <v>3</v>
      </c>
      <c r="B229" s="22">
        <v>39890</v>
      </c>
      <c r="C229" s="15">
        <v>2009</v>
      </c>
      <c r="D229" s="11" t="s">
        <v>29</v>
      </c>
      <c r="E229" s="12">
        <v>3</v>
      </c>
      <c r="F229" s="23">
        <v>10.291</v>
      </c>
      <c r="G229" s="25">
        <v>3.4000000000000002E-2</v>
      </c>
      <c r="H229" s="25">
        <v>1E-3</v>
      </c>
      <c r="I229" s="25">
        <v>4.6260000000000003</v>
      </c>
      <c r="J229" s="25">
        <v>7.6999999999999999E-2</v>
      </c>
      <c r="K229" s="25">
        <v>9.9989999999999996E-4</v>
      </c>
    </row>
    <row r="230" spans="1:11">
      <c r="A230" s="12">
        <v>4</v>
      </c>
      <c r="B230" s="22">
        <v>39890</v>
      </c>
      <c r="C230" s="15">
        <v>2009</v>
      </c>
      <c r="D230" s="11" t="s">
        <v>29</v>
      </c>
      <c r="E230" s="12">
        <v>3</v>
      </c>
      <c r="F230" s="23">
        <v>8.1660000000000004</v>
      </c>
      <c r="G230" s="25">
        <v>3.7999999999999999E-2</v>
      </c>
      <c r="H230" s="25">
        <v>9.9989999999999996E-4</v>
      </c>
      <c r="I230" s="25">
        <v>3.383</v>
      </c>
      <c r="J230" s="25">
        <v>8.5999999999999993E-2</v>
      </c>
      <c r="K230" s="25">
        <v>9.9989999999999996E-4</v>
      </c>
    </row>
    <row r="231" spans="1:11">
      <c r="A231" s="12">
        <v>3</v>
      </c>
      <c r="B231" s="22">
        <v>39920</v>
      </c>
      <c r="C231" s="15">
        <v>2009</v>
      </c>
      <c r="D231" s="11" t="s">
        <v>30</v>
      </c>
      <c r="E231" s="12">
        <v>4</v>
      </c>
      <c r="F231" s="23">
        <v>3.7959999999999998</v>
      </c>
      <c r="G231" s="25">
        <v>2.4E-2</v>
      </c>
      <c r="H231" s="25">
        <v>1E-3</v>
      </c>
      <c r="I231" s="25">
        <v>0.90100000000000002</v>
      </c>
      <c r="J231" s="25">
        <v>0.04</v>
      </c>
      <c r="K231" s="25">
        <v>9.9989999999999996E-4</v>
      </c>
    </row>
    <row r="232" spans="1:11">
      <c r="A232" s="12">
        <v>4</v>
      </c>
      <c r="B232" s="22">
        <v>39920</v>
      </c>
      <c r="C232" s="15">
        <v>2009</v>
      </c>
      <c r="D232" s="11" t="s">
        <v>30</v>
      </c>
      <c r="E232" s="12">
        <v>4</v>
      </c>
      <c r="F232" s="23">
        <v>7.9089999999999998</v>
      </c>
      <c r="G232" s="25">
        <v>0.124</v>
      </c>
      <c r="H232" s="25">
        <v>1E-3</v>
      </c>
      <c r="I232" s="25">
        <v>1.948</v>
      </c>
      <c r="J232" s="25">
        <v>6.5000000000000002E-2</v>
      </c>
      <c r="K232" s="25">
        <v>9.9989999999999996E-4</v>
      </c>
    </row>
    <row r="233" spans="1:11">
      <c r="A233" s="12">
        <v>3</v>
      </c>
      <c r="B233" s="22">
        <v>39945</v>
      </c>
      <c r="C233" s="15">
        <v>2009</v>
      </c>
      <c r="D233" s="11" t="s">
        <v>31</v>
      </c>
      <c r="E233" s="12">
        <v>5</v>
      </c>
      <c r="F233" s="23">
        <v>7.6829999999999998</v>
      </c>
      <c r="G233" s="25">
        <v>0.874</v>
      </c>
      <c r="H233" s="25">
        <v>0.05</v>
      </c>
      <c r="I233" s="25">
        <v>1.397</v>
      </c>
      <c r="J233" s="25">
        <v>0.24199999999999999</v>
      </c>
      <c r="K233" s="25">
        <v>2.3E-2</v>
      </c>
    </row>
    <row r="234" spans="1:11">
      <c r="A234" s="12">
        <v>4</v>
      </c>
      <c r="B234" s="22">
        <v>39945</v>
      </c>
      <c r="C234" s="15">
        <v>2009</v>
      </c>
      <c r="D234" s="11" t="s">
        <v>31</v>
      </c>
      <c r="E234" s="12">
        <v>5</v>
      </c>
      <c r="F234" s="23">
        <v>18.114000000000001</v>
      </c>
      <c r="G234" s="25">
        <v>0.84499999999999997</v>
      </c>
      <c r="H234" s="25">
        <v>9.2999999999999999E-2</v>
      </c>
      <c r="I234" s="25">
        <v>3.5750000000000002</v>
      </c>
      <c r="J234" s="25">
        <v>0.64700000000000002</v>
      </c>
      <c r="K234" s="25">
        <v>4.7E-2</v>
      </c>
    </row>
    <row r="235" spans="1:11">
      <c r="A235" s="15">
        <v>3</v>
      </c>
      <c r="B235" s="22">
        <v>39980</v>
      </c>
      <c r="C235" s="15">
        <v>2009</v>
      </c>
      <c r="D235" s="11" t="s">
        <v>32</v>
      </c>
      <c r="E235" s="12">
        <v>6</v>
      </c>
      <c r="F235" s="23">
        <v>18.402000000000001</v>
      </c>
      <c r="G235" s="25">
        <v>0.111</v>
      </c>
      <c r="H235" s="25">
        <v>1.4039999999999999</v>
      </c>
      <c r="I235" s="25">
        <v>5.2619999999999996</v>
      </c>
      <c r="J235" s="25">
        <v>1.43</v>
      </c>
      <c r="K235" s="25">
        <v>1.7999999999999999E-2</v>
      </c>
    </row>
    <row r="236" spans="1:11">
      <c r="A236" s="15">
        <v>4</v>
      </c>
      <c r="B236" s="22">
        <v>39980</v>
      </c>
      <c r="C236" s="15">
        <v>2009</v>
      </c>
      <c r="D236" s="11" t="s">
        <v>32</v>
      </c>
      <c r="E236" s="12">
        <v>6</v>
      </c>
      <c r="F236" s="23">
        <v>21.108000000000001</v>
      </c>
      <c r="G236" s="25">
        <v>0.127</v>
      </c>
      <c r="H236" s="25">
        <v>0.44600000000000001</v>
      </c>
      <c r="I236" s="25">
        <v>4.58</v>
      </c>
      <c r="J236" s="25">
        <v>2.625</v>
      </c>
      <c r="K236" s="25">
        <v>0.02</v>
      </c>
    </row>
    <row r="237" spans="1:11">
      <c r="A237" s="15">
        <v>3</v>
      </c>
      <c r="B237" s="22">
        <v>40009</v>
      </c>
      <c r="C237" s="15">
        <v>2009</v>
      </c>
      <c r="D237" s="11" t="s">
        <v>33</v>
      </c>
      <c r="E237" s="12">
        <v>7</v>
      </c>
      <c r="F237" s="23">
        <v>11.356</v>
      </c>
      <c r="G237" s="25">
        <v>0.21299999999999999</v>
      </c>
      <c r="H237" s="25">
        <v>0.107</v>
      </c>
      <c r="I237" s="25">
        <v>1.2669999999999999</v>
      </c>
      <c r="J237" s="25">
        <v>2.59</v>
      </c>
      <c r="K237" s="25">
        <v>1E-3</v>
      </c>
    </row>
    <row r="238" spans="1:11">
      <c r="A238" s="15">
        <v>4</v>
      </c>
      <c r="B238" s="22">
        <v>40009</v>
      </c>
      <c r="C238" s="15">
        <v>2009</v>
      </c>
      <c r="D238" s="11" t="s">
        <v>33</v>
      </c>
      <c r="E238" s="12">
        <v>7</v>
      </c>
      <c r="F238" s="23">
        <v>16.303000000000001</v>
      </c>
      <c r="G238" s="25">
        <v>0.14099999999999999</v>
      </c>
      <c r="H238" s="25">
        <v>0.16300000000000001</v>
      </c>
      <c r="I238" s="25">
        <v>2.2250000000000001</v>
      </c>
      <c r="J238" s="25">
        <v>2.6080000000000001</v>
      </c>
      <c r="K238" s="25">
        <v>1E-3</v>
      </c>
    </row>
    <row r="239" spans="1:11">
      <c r="A239" s="15">
        <v>3</v>
      </c>
      <c r="B239" s="22">
        <v>40043</v>
      </c>
      <c r="C239" s="15">
        <v>2009</v>
      </c>
      <c r="D239" s="11" t="s">
        <v>34</v>
      </c>
      <c r="E239" s="12">
        <v>8</v>
      </c>
      <c r="F239" s="23">
        <v>21.183</v>
      </c>
      <c r="G239" s="25">
        <v>0.23400000000000001</v>
      </c>
      <c r="H239" s="25">
        <v>1E-3</v>
      </c>
      <c r="I239" s="25">
        <v>2.919</v>
      </c>
      <c r="J239" s="25">
        <v>1.5880000000000001</v>
      </c>
      <c r="K239" s="25">
        <v>1E-3</v>
      </c>
    </row>
    <row r="240" spans="1:11">
      <c r="A240" s="15">
        <v>4</v>
      </c>
      <c r="B240" s="22">
        <v>40043</v>
      </c>
      <c r="C240" s="15">
        <v>2009</v>
      </c>
      <c r="D240" s="11" t="s">
        <v>34</v>
      </c>
      <c r="E240" s="12">
        <v>8</v>
      </c>
      <c r="F240" s="23">
        <v>33.268000000000001</v>
      </c>
      <c r="G240" s="25">
        <v>0.23799999999999999</v>
      </c>
      <c r="H240" s="25">
        <v>1E-3</v>
      </c>
      <c r="I240" s="25">
        <v>4.2210000000000001</v>
      </c>
      <c r="J240" s="25">
        <v>1.6559999999999999</v>
      </c>
      <c r="K240" s="25">
        <v>1E-3</v>
      </c>
    </row>
    <row r="241" spans="1:12">
      <c r="A241" s="15">
        <v>3</v>
      </c>
      <c r="B241" s="22">
        <v>40070</v>
      </c>
      <c r="C241" s="15">
        <v>2009</v>
      </c>
      <c r="D241" s="11" t="s">
        <v>40</v>
      </c>
      <c r="E241" s="12">
        <v>9</v>
      </c>
      <c r="F241" s="23">
        <v>15.382999999999999</v>
      </c>
      <c r="G241" s="25">
        <v>5.1999999999999998E-2</v>
      </c>
      <c r="H241" s="25">
        <v>1E-3</v>
      </c>
      <c r="I241" s="25">
        <v>4.2370000000000001</v>
      </c>
      <c r="J241" s="25">
        <v>0.96199999999999997</v>
      </c>
      <c r="K241" s="25">
        <v>9.9989999999999996E-4</v>
      </c>
    </row>
    <row r="242" spans="1:12">
      <c r="A242" s="15">
        <v>4</v>
      </c>
      <c r="B242" s="22">
        <v>40070</v>
      </c>
      <c r="C242" s="15">
        <v>2009</v>
      </c>
      <c r="D242" s="11" t="s">
        <v>40</v>
      </c>
      <c r="E242" s="12">
        <v>9</v>
      </c>
      <c r="F242" s="23">
        <v>12.561</v>
      </c>
      <c r="G242" s="25">
        <v>9.0999999999999998E-2</v>
      </c>
      <c r="H242" s="25">
        <v>1E-3</v>
      </c>
      <c r="I242" s="25">
        <v>2.13</v>
      </c>
      <c r="J242" s="25">
        <v>1.0760000000000001</v>
      </c>
      <c r="K242" s="25">
        <v>9.9989999999999996E-4</v>
      </c>
    </row>
    <row r="243" spans="1:12">
      <c r="A243" s="15">
        <v>3</v>
      </c>
      <c r="B243" s="22">
        <v>40099</v>
      </c>
      <c r="C243" s="15">
        <v>2009</v>
      </c>
      <c r="D243" s="11" t="s">
        <v>36</v>
      </c>
      <c r="E243" s="12">
        <v>10</v>
      </c>
      <c r="F243" s="23">
        <v>8.7680000000000007</v>
      </c>
      <c r="G243" s="25">
        <v>5.5E-2</v>
      </c>
      <c r="H243" s="25">
        <v>4.4999999999999998E-2</v>
      </c>
      <c r="I243" s="25">
        <v>1.2849999999999999</v>
      </c>
      <c r="J243" s="25">
        <v>1.431</v>
      </c>
      <c r="K243" s="25">
        <v>9.9989999999999996E-4</v>
      </c>
    </row>
    <row r="244" spans="1:12">
      <c r="A244" s="15">
        <v>4</v>
      </c>
      <c r="B244" s="22">
        <v>40099</v>
      </c>
      <c r="C244" s="15">
        <v>2009</v>
      </c>
      <c r="D244" s="11" t="s">
        <v>36</v>
      </c>
      <c r="E244" s="12">
        <v>10</v>
      </c>
      <c r="F244" s="23">
        <v>11.911</v>
      </c>
      <c r="G244" s="25">
        <v>5.3999999999999999E-2</v>
      </c>
      <c r="H244" s="25">
        <v>3.4000000000000002E-2</v>
      </c>
      <c r="I244" s="25">
        <v>1.2230000000000001</v>
      </c>
      <c r="J244" s="25">
        <v>2.4049999999999998</v>
      </c>
      <c r="K244" s="25">
        <v>9.9989999999999996E-4</v>
      </c>
    </row>
    <row r="245" spans="1:12">
      <c r="A245" s="15">
        <v>3</v>
      </c>
      <c r="B245" s="22">
        <v>40134</v>
      </c>
      <c r="C245" s="15">
        <v>2009</v>
      </c>
      <c r="D245" s="11" t="s">
        <v>37</v>
      </c>
      <c r="E245" s="12">
        <v>11</v>
      </c>
      <c r="F245" s="23">
        <v>3.383</v>
      </c>
      <c r="G245" s="25">
        <v>0.27700000000000002</v>
      </c>
      <c r="H245" s="25">
        <v>9.9989999999999996E-4</v>
      </c>
      <c r="I245" s="25">
        <v>0.57499999999999996</v>
      </c>
      <c r="J245" s="25">
        <v>5.6000000000000001E-2</v>
      </c>
      <c r="K245" s="25">
        <v>9.9989999999999996E-4</v>
      </c>
    </row>
    <row r="246" spans="1:12">
      <c r="A246" s="15">
        <v>4</v>
      </c>
      <c r="B246" s="22">
        <v>40134</v>
      </c>
      <c r="C246" s="15">
        <v>2009</v>
      </c>
      <c r="D246" s="11" t="s">
        <v>37</v>
      </c>
      <c r="E246" s="12">
        <v>11</v>
      </c>
      <c r="F246" s="23">
        <v>2.6019999999999999</v>
      </c>
      <c r="G246" s="25">
        <v>0.109</v>
      </c>
      <c r="H246" s="25">
        <v>9.9989999999999996E-4</v>
      </c>
      <c r="I246" s="25">
        <v>0.47199999999999998</v>
      </c>
      <c r="J246" s="25">
        <v>6.5000000000000002E-2</v>
      </c>
      <c r="K246" s="25">
        <v>9.9989999999999996E-4</v>
      </c>
    </row>
    <row r="247" spans="1:12">
      <c r="A247" s="15">
        <v>3</v>
      </c>
      <c r="B247" s="22">
        <v>40161</v>
      </c>
      <c r="C247" s="15">
        <v>2009</v>
      </c>
      <c r="D247" s="11" t="s">
        <v>38</v>
      </c>
      <c r="E247" s="12">
        <v>12</v>
      </c>
      <c r="F247" s="23">
        <v>7.4050000000000002</v>
      </c>
      <c r="G247" s="25">
        <v>0.36299999999999999</v>
      </c>
      <c r="H247" s="25">
        <v>9.9989999999999996E-4</v>
      </c>
      <c r="I247" s="25">
        <v>1.637</v>
      </c>
      <c r="J247" s="25">
        <v>4.2999999999999997E-2</v>
      </c>
      <c r="K247" s="25">
        <v>9.9989999999999996E-4</v>
      </c>
    </row>
    <row r="248" spans="1:12">
      <c r="A248" s="15">
        <v>4</v>
      </c>
      <c r="B248" s="22">
        <v>40161</v>
      </c>
      <c r="C248" s="15">
        <v>2009</v>
      </c>
      <c r="D248" s="11" t="s">
        <v>38</v>
      </c>
      <c r="E248" s="12">
        <v>12</v>
      </c>
      <c r="F248" s="23">
        <v>6.6210000000000004</v>
      </c>
      <c r="G248" s="25">
        <v>0.188</v>
      </c>
      <c r="H248" s="25">
        <v>9.9989999999999996E-4</v>
      </c>
      <c r="I248" s="25">
        <v>1.294</v>
      </c>
      <c r="J248" s="25">
        <v>8.1000000000000003E-2</v>
      </c>
      <c r="K248" s="25">
        <v>9.9989999999999996E-4</v>
      </c>
    </row>
    <row r="249" spans="1:12">
      <c r="A249" s="15">
        <v>3</v>
      </c>
      <c r="B249" s="19">
        <v>40198</v>
      </c>
      <c r="C249" s="15">
        <v>2010</v>
      </c>
      <c r="D249" s="11" t="s">
        <v>39</v>
      </c>
      <c r="E249" s="15">
        <v>1</v>
      </c>
      <c r="F249" s="26">
        <v>7.4580000000000002</v>
      </c>
      <c r="G249" s="27">
        <v>1.5021698749999999</v>
      </c>
      <c r="H249" s="27">
        <v>0</v>
      </c>
      <c r="I249" s="27">
        <v>2.4775922500000003</v>
      </c>
      <c r="J249" s="27">
        <v>3.5856875000000003E-2</v>
      </c>
      <c r="K249" s="27">
        <v>0</v>
      </c>
    </row>
    <row r="250" spans="1:12">
      <c r="A250" s="15">
        <v>4</v>
      </c>
      <c r="B250" s="19">
        <v>40198</v>
      </c>
      <c r="C250" s="15">
        <v>2010</v>
      </c>
      <c r="D250" s="11" t="s">
        <v>39</v>
      </c>
      <c r="E250" s="15">
        <v>1</v>
      </c>
      <c r="F250" s="26">
        <v>9.9359999999999999</v>
      </c>
      <c r="G250" s="27">
        <v>3.4942473749999992</v>
      </c>
      <c r="H250" s="27">
        <v>0</v>
      </c>
      <c r="I250" s="27">
        <v>2.1787363749999997</v>
      </c>
      <c r="J250" s="27">
        <v>5.8066624999999983E-2</v>
      </c>
      <c r="K250" s="27">
        <v>0</v>
      </c>
    </row>
    <row r="251" spans="1:12">
      <c r="A251" s="15">
        <v>3</v>
      </c>
      <c r="B251" s="19">
        <v>40225</v>
      </c>
      <c r="C251" s="15">
        <v>2010</v>
      </c>
      <c r="D251" s="11" t="s">
        <v>28</v>
      </c>
      <c r="E251" s="15">
        <v>2</v>
      </c>
      <c r="F251" s="26">
        <v>7.367</v>
      </c>
      <c r="G251" s="27">
        <v>0.68639962499999996</v>
      </c>
      <c r="H251" s="27">
        <v>0</v>
      </c>
      <c r="I251" s="27">
        <v>2.8348466250000004</v>
      </c>
      <c r="J251" s="27">
        <v>2.4660624999999995E-2</v>
      </c>
      <c r="K251" s="27">
        <v>0</v>
      </c>
    </row>
    <row r="252" spans="1:12">
      <c r="A252" s="15">
        <v>4</v>
      </c>
      <c r="B252" s="19">
        <v>40225</v>
      </c>
      <c r="C252" s="15">
        <v>2010</v>
      </c>
      <c r="D252" s="11" t="s">
        <v>28</v>
      </c>
      <c r="E252" s="15">
        <v>2</v>
      </c>
      <c r="F252" s="26">
        <v>8.0229999999999997</v>
      </c>
      <c r="G252" s="27">
        <v>1.0478338750000002</v>
      </c>
      <c r="H252" s="27">
        <v>0</v>
      </c>
      <c r="I252" s="27">
        <v>2.6461416249999994</v>
      </c>
      <c r="J252" s="27">
        <v>5.8846624999999993E-2</v>
      </c>
      <c r="K252" s="27">
        <v>0</v>
      </c>
    </row>
    <row r="253" spans="1:12">
      <c r="A253" s="15">
        <v>3</v>
      </c>
      <c r="B253" s="19">
        <v>40254</v>
      </c>
      <c r="C253" s="15">
        <v>2010</v>
      </c>
      <c r="D253" s="11" t="s">
        <v>29</v>
      </c>
      <c r="E253" s="15">
        <v>3</v>
      </c>
      <c r="F253" s="26">
        <v>6.298</v>
      </c>
      <c r="G253" s="27">
        <v>0.409045875</v>
      </c>
      <c r="H253" s="27">
        <v>0</v>
      </c>
      <c r="I253" s="27">
        <v>1.7316848749999996</v>
      </c>
      <c r="J253" s="27">
        <v>0.114169625</v>
      </c>
      <c r="K253" s="27">
        <v>0</v>
      </c>
    </row>
    <row r="254" spans="1:12">
      <c r="A254" s="15">
        <v>4</v>
      </c>
      <c r="B254" s="19">
        <v>40254</v>
      </c>
      <c r="C254" s="15">
        <v>2010</v>
      </c>
      <c r="D254" s="11" t="s">
        <v>29</v>
      </c>
      <c r="E254" s="15">
        <v>3</v>
      </c>
      <c r="F254" s="26">
        <v>5.4240000000000004</v>
      </c>
      <c r="G254" s="27">
        <v>0.46961950000000002</v>
      </c>
      <c r="H254" s="27">
        <v>0</v>
      </c>
      <c r="I254" s="27">
        <v>1.6037768750000001</v>
      </c>
      <c r="J254" s="27">
        <v>5.7121125000000002E-2</v>
      </c>
      <c r="K254" s="27">
        <v>0</v>
      </c>
    </row>
    <row r="255" spans="1:12">
      <c r="A255" s="15">
        <v>3</v>
      </c>
      <c r="B255" s="19">
        <v>40280</v>
      </c>
      <c r="C255" s="15">
        <v>2010</v>
      </c>
      <c r="D255" s="11" t="s">
        <v>30</v>
      </c>
      <c r="E255" s="15">
        <v>4</v>
      </c>
      <c r="F255" s="26">
        <v>9.4649999999999999</v>
      </c>
      <c r="G255" s="27">
        <v>2.8041234999999998</v>
      </c>
      <c r="H255" s="27">
        <v>0</v>
      </c>
      <c r="I255" s="27">
        <v>2.1246241250000004</v>
      </c>
      <c r="J255" s="27">
        <v>0.22768437499999999</v>
      </c>
      <c r="K255" s="27">
        <v>0</v>
      </c>
    </row>
    <row r="256" spans="1:12">
      <c r="A256" s="15">
        <v>3</v>
      </c>
      <c r="B256" s="19">
        <v>40280</v>
      </c>
      <c r="C256" s="15">
        <v>2010</v>
      </c>
      <c r="D256" s="11" t="s">
        <v>30</v>
      </c>
      <c r="E256" s="15">
        <v>4</v>
      </c>
      <c r="F256" s="26">
        <v>9.4649999999999999</v>
      </c>
      <c r="G256" s="27">
        <v>2.7946080000000002</v>
      </c>
      <c r="H256" s="27">
        <v>0</v>
      </c>
      <c r="I256" s="27">
        <v>2.1329881250000002</v>
      </c>
      <c r="J256" s="27">
        <v>0.23123037499999999</v>
      </c>
      <c r="K256" s="27">
        <v>0</v>
      </c>
      <c r="L256" t="s">
        <v>41</v>
      </c>
    </row>
    <row r="257" spans="1:12">
      <c r="A257" s="15">
        <v>4</v>
      </c>
      <c r="B257" s="19">
        <v>40280</v>
      </c>
      <c r="C257" s="15">
        <v>2010</v>
      </c>
      <c r="D257" s="11" t="s">
        <v>30</v>
      </c>
      <c r="E257" s="15">
        <v>4</v>
      </c>
      <c r="F257" s="26">
        <v>15.436999999999999</v>
      </c>
      <c r="G257" s="27">
        <v>2.4303068749999999</v>
      </c>
      <c r="H257" s="27">
        <v>0</v>
      </c>
      <c r="I257" s="27">
        <v>3.9888555000000001</v>
      </c>
      <c r="J257" s="27">
        <v>0.79852987499999983</v>
      </c>
      <c r="K257" s="27">
        <v>2.7586249999999994E-3</v>
      </c>
    </row>
    <row r="258" spans="1:12">
      <c r="A258" s="15">
        <v>3</v>
      </c>
      <c r="B258" s="22">
        <v>40315</v>
      </c>
      <c r="C258" s="15">
        <v>2010</v>
      </c>
      <c r="D258" s="11" t="s">
        <v>31</v>
      </c>
      <c r="E258" s="15">
        <v>5</v>
      </c>
      <c r="F258" s="28">
        <v>5.5709999999999997</v>
      </c>
      <c r="G258" s="27">
        <v>0.13100675000000001</v>
      </c>
      <c r="H258" s="27">
        <v>8.8547249999999994E-2</v>
      </c>
      <c r="I258" s="27">
        <v>1.0584173750000001</v>
      </c>
      <c r="J258" s="27">
        <v>1.6918322500000003</v>
      </c>
      <c r="K258" s="27">
        <v>2.7686875E-2</v>
      </c>
    </row>
    <row r="259" spans="1:12">
      <c r="A259" s="15">
        <v>4</v>
      </c>
      <c r="B259" s="22">
        <v>40315</v>
      </c>
      <c r="C259" s="15">
        <v>2010</v>
      </c>
      <c r="D259" s="11" t="s">
        <v>31</v>
      </c>
      <c r="E259" s="15">
        <v>5</v>
      </c>
      <c r="F259" s="28">
        <v>7.5839999999999996</v>
      </c>
      <c r="G259" s="27">
        <v>0.11898262499999998</v>
      </c>
      <c r="H259" s="27">
        <v>0</v>
      </c>
      <c r="I259" s="27">
        <v>1.0817613749999999</v>
      </c>
      <c r="J259" s="27">
        <v>2.7844369999999996</v>
      </c>
      <c r="K259" s="27">
        <v>0</v>
      </c>
    </row>
    <row r="260" spans="1:12">
      <c r="A260" s="15">
        <v>3</v>
      </c>
      <c r="B260" s="22">
        <v>40344</v>
      </c>
      <c r="C260" s="15">
        <v>2010</v>
      </c>
      <c r="D260" s="11" t="s">
        <v>32</v>
      </c>
      <c r="E260" s="15">
        <v>6</v>
      </c>
      <c r="F260" s="28">
        <v>12.952</v>
      </c>
      <c r="G260" s="27">
        <v>0.1816565</v>
      </c>
      <c r="H260" s="27">
        <v>9.4122750000000019E-2</v>
      </c>
      <c r="I260" s="27">
        <v>2.3841303749999998</v>
      </c>
      <c r="J260" s="27">
        <v>3.4183308749999997</v>
      </c>
      <c r="K260" s="27">
        <v>2.6467250000000001E-2</v>
      </c>
    </row>
    <row r="261" spans="1:12">
      <c r="A261" s="15">
        <v>4</v>
      </c>
      <c r="B261" s="22">
        <v>40344</v>
      </c>
      <c r="C261" s="15">
        <v>2010</v>
      </c>
      <c r="D261" s="11" t="s">
        <v>32</v>
      </c>
      <c r="E261" s="15">
        <v>6</v>
      </c>
      <c r="F261" s="28">
        <v>11.233000000000001</v>
      </c>
      <c r="G261" s="27">
        <v>0.12646450000000001</v>
      </c>
      <c r="H261" s="27">
        <v>9.2700624999999981E-2</v>
      </c>
      <c r="I261" s="27">
        <v>2.0427359999999997</v>
      </c>
      <c r="J261" s="27">
        <v>2.9776998749999994</v>
      </c>
      <c r="K261" s="27">
        <v>0</v>
      </c>
    </row>
    <row r="262" spans="1:12">
      <c r="A262" s="15">
        <v>4</v>
      </c>
      <c r="B262" s="22">
        <v>40344</v>
      </c>
      <c r="C262" s="15">
        <v>2010</v>
      </c>
      <c r="D262" s="11" t="s">
        <v>32</v>
      </c>
      <c r="E262" s="15">
        <v>6</v>
      </c>
      <c r="F262" s="28">
        <v>11.233000000000001</v>
      </c>
      <c r="G262" s="27">
        <v>0.18210662499999999</v>
      </c>
      <c r="H262" s="27">
        <v>0.1238485</v>
      </c>
      <c r="I262" s="27">
        <v>2.9477702499999996</v>
      </c>
      <c r="J262" s="27">
        <v>4.3569082499999991</v>
      </c>
      <c r="K262" s="27">
        <v>0</v>
      </c>
      <c r="L262" t="s">
        <v>41</v>
      </c>
    </row>
    <row r="263" spans="1:12">
      <c r="A263" s="15">
        <v>3</v>
      </c>
      <c r="B263" s="22">
        <v>40371</v>
      </c>
      <c r="C263" s="15">
        <v>2010</v>
      </c>
      <c r="D263" s="11" t="s">
        <v>33</v>
      </c>
      <c r="E263" s="15">
        <v>7</v>
      </c>
      <c r="F263" s="28">
        <v>17.329999999999998</v>
      </c>
      <c r="G263" s="27">
        <v>0.18149337500000001</v>
      </c>
      <c r="H263" s="27">
        <v>0</v>
      </c>
      <c r="I263" s="27">
        <v>2.4477976249999998</v>
      </c>
      <c r="J263" s="27">
        <v>2.6977083749999999</v>
      </c>
      <c r="K263" s="27">
        <v>0</v>
      </c>
    </row>
    <row r="264" spans="1:12">
      <c r="A264" s="15">
        <v>4</v>
      </c>
      <c r="B264" s="22">
        <v>40371</v>
      </c>
      <c r="C264" s="15">
        <v>2010</v>
      </c>
      <c r="D264" s="11" t="s">
        <v>33</v>
      </c>
      <c r="E264" s="15">
        <v>7</v>
      </c>
      <c r="F264" s="28">
        <v>42.161000000000001</v>
      </c>
      <c r="G264" s="27">
        <v>0.19254350000000001</v>
      </c>
      <c r="H264" s="27">
        <v>0</v>
      </c>
      <c r="I264" s="27">
        <v>5.9843509999999993</v>
      </c>
      <c r="J264" s="27">
        <v>2.7444999999999995</v>
      </c>
      <c r="K264" s="27">
        <v>0</v>
      </c>
    </row>
    <row r="265" spans="1:12">
      <c r="A265" s="15">
        <v>3</v>
      </c>
      <c r="B265" s="22">
        <v>40407</v>
      </c>
      <c r="C265" s="15">
        <v>2010</v>
      </c>
      <c r="D265" s="11" t="s">
        <v>34</v>
      </c>
      <c r="E265" s="15">
        <v>8</v>
      </c>
      <c r="F265" s="28">
        <v>36.511000000000003</v>
      </c>
      <c r="G265" s="27">
        <v>0.57918199999999986</v>
      </c>
      <c r="H265" s="27">
        <v>7.5988249999999993E-2</v>
      </c>
      <c r="I265" s="27">
        <v>5.3900476250000002</v>
      </c>
      <c r="J265" s="27">
        <v>2.4320003749999994</v>
      </c>
      <c r="K265" s="27">
        <v>0</v>
      </c>
    </row>
    <row r="266" spans="1:12">
      <c r="A266" s="15">
        <v>4</v>
      </c>
      <c r="B266" s="22">
        <v>40407</v>
      </c>
      <c r="C266" s="15">
        <v>2010</v>
      </c>
      <c r="D266" s="11" t="s">
        <v>34</v>
      </c>
      <c r="E266" s="15">
        <v>8</v>
      </c>
      <c r="F266" s="28">
        <v>39.277000000000001</v>
      </c>
      <c r="G266" s="27">
        <v>0.28050675000000003</v>
      </c>
      <c r="H266" s="27">
        <v>0</v>
      </c>
      <c r="I266" s="27">
        <v>6.1853699999999989</v>
      </c>
      <c r="J266" s="27">
        <v>2.0605877499999998</v>
      </c>
      <c r="K266" s="27">
        <v>0</v>
      </c>
    </row>
    <row r="267" spans="1:12">
      <c r="A267" s="15">
        <v>3</v>
      </c>
      <c r="B267" s="22">
        <v>40436</v>
      </c>
      <c r="C267" s="15">
        <v>2010</v>
      </c>
      <c r="D267" s="11" t="s">
        <v>40</v>
      </c>
      <c r="E267" s="15">
        <v>9</v>
      </c>
      <c r="F267" s="28">
        <v>12.305</v>
      </c>
      <c r="G267" s="27">
        <v>0.25908649999999994</v>
      </c>
      <c r="H267" s="27">
        <v>0</v>
      </c>
      <c r="I267" s="27">
        <v>2.6206521249999999</v>
      </c>
      <c r="J267" s="27">
        <v>2.3948494999999999</v>
      </c>
      <c r="K267" s="27">
        <v>0</v>
      </c>
    </row>
    <row r="268" spans="1:12">
      <c r="A268" s="15">
        <v>4</v>
      </c>
      <c r="B268" s="22">
        <v>40436</v>
      </c>
      <c r="C268" s="15">
        <v>2010</v>
      </c>
      <c r="D268" s="11" t="s">
        <v>40</v>
      </c>
      <c r="E268" s="15">
        <v>9</v>
      </c>
      <c r="F268" s="28">
        <v>11.909000000000001</v>
      </c>
      <c r="G268" s="27">
        <v>0.17254675</v>
      </c>
      <c r="H268" s="27">
        <v>0</v>
      </c>
      <c r="I268" s="27">
        <v>1.7870163749999999</v>
      </c>
      <c r="J268" s="27">
        <v>2.8628699999999996</v>
      </c>
      <c r="K268" s="27">
        <v>0</v>
      </c>
    </row>
    <row r="269" spans="1:12">
      <c r="A269" s="15">
        <v>3</v>
      </c>
      <c r="B269" s="22">
        <v>40464</v>
      </c>
      <c r="C269" s="15">
        <v>2010</v>
      </c>
      <c r="D269" s="11" t="s">
        <v>36</v>
      </c>
      <c r="E269" s="15">
        <v>10</v>
      </c>
      <c r="F269" s="26">
        <v>7.3470000000000004</v>
      </c>
      <c r="G269" s="27">
        <v>4.3133999999999992E-2</v>
      </c>
      <c r="H269" s="27">
        <v>5.7864499999999992E-2</v>
      </c>
      <c r="I269" s="27">
        <v>1.2905875</v>
      </c>
      <c r="J269" s="27">
        <v>1.1432502499999999</v>
      </c>
      <c r="K269" s="27">
        <v>8.4402499999999978E-2</v>
      </c>
    </row>
    <row r="270" spans="1:12">
      <c r="A270" s="15">
        <v>3</v>
      </c>
      <c r="B270" s="22">
        <v>40464</v>
      </c>
      <c r="C270" s="15">
        <v>2010</v>
      </c>
      <c r="D270" s="11" t="s">
        <v>36</v>
      </c>
      <c r="E270" s="15">
        <v>10</v>
      </c>
      <c r="F270" s="26">
        <v>7.3470000000000004</v>
      </c>
      <c r="G270" s="27">
        <v>5.564149999999999E-2</v>
      </c>
      <c r="H270" s="27">
        <v>0</v>
      </c>
      <c r="I270" s="27">
        <v>1.2321728749999998</v>
      </c>
      <c r="J270" s="27">
        <v>1.3840008749999999</v>
      </c>
      <c r="K270" s="27">
        <v>2.8799374999999995E-2</v>
      </c>
      <c r="L270" t="s">
        <v>41</v>
      </c>
    </row>
    <row r="271" spans="1:12">
      <c r="A271" s="15">
        <v>4</v>
      </c>
      <c r="B271" s="22">
        <v>40464</v>
      </c>
      <c r="C271" s="15">
        <v>2010</v>
      </c>
      <c r="D271" s="11" t="s">
        <v>36</v>
      </c>
      <c r="E271" s="15">
        <v>10</v>
      </c>
      <c r="F271" s="26">
        <v>6.298</v>
      </c>
      <c r="G271" s="27">
        <v>7.0012249999999998E-2</v>
      </c>
      <c r="H271" s="27">
        <v>0</v>
      </c>
      <c r="I271" s="27">
        <v>0.84060562500000002</v>
      </c>
      <c r="J271" s="27">
        <v>1.6957875000000001E-2</v>
      </c>
      <c r="K271" s="27">
        <v>7.4771874999999988E-2</v>
      </c>
    </row>
    <row r="272" spans="1:12">
      <c r="A272" s="15">
        <v>3</v>
      </c>
      <c r="B272" s="22">
        <v>40498</v>
      </c>
      <c r="C272" s="15">
        <v>2010</v>
      </c>
      <c r="D272" s="11" t="s">
        <v>37</v>
      </c>
      <c r="E272" s="15">
        <v>11</v>
      </c>
      <c r="F272" s="26">
        <v>2.4590000000000001</v>
      </c>
      <c r="G272" s="27">
        <v>0</v>
      </c>
      <c r="H272" s="27">
        <v>0.17634249999999999</v>
      </c>
      <c r="I272" s="27">
        <v>0.82151887499999987</v>
      </c>
      <c r="J272" s="27">
        <v>0.14744825</v>
      </c>
      <c r="K272" s="27">
        <v>0</v>
      </c>
    </row>
    <row r="273" spans="1:11">
      <c r="A273" s="15">
        <v>4</v>
      </c>
      <c r="B273" s="22">
        <v>40498</v>
      </c>
      <c r="C273" s="15">
        <v>2010</v>
      </c>
      <c r="D273" s="11" t="s">
        <v>37</v>
      </c>
      <c r="E273" s="15">
        <v>11</v>
      </c>
      <c r="F273" s="26">
        <v>3.3050000000000002</v>
      </c>
      <c r="G273" s="27">
        <v>2.7931625000000005E-2</v>
      </c>
      <c r="H273" s="27">
        <v>0.24185712500000001</v>
      </c>
      <c r="I273" s="27">
        <v>1.0994356249999999</v>
      </c>
      <c r="J273" s="27">
        <v>0.28950637499999993</v>
      </c>
      <c r="K273" s="27">
        <v>0</v>
      </c>
    </row>
    <row r="274" spans="1:11">
      <c r="A274" s="15">
        <v>3</v>
      </c>
      <c r="B274" s="22">
        <v>40520</v>
      </c>
      <c r="C274" s="15">
        <v>2010</v>
      </c>
      <c r="D274" s="11" t="s">
        <v>38</v>
      </c>
      <c r="E274" s="15">
        <v>12</v>
      </c>
      <c r="F274" s="26">
        <v>4.07</v>
      </c>
      <c r="G274" s="27">
        <v>3.0719624999999997E-2</v>
      </c>
      <c r="H274" s="27">
        <v>0</v>
      </c>
      <c r="I274" s="27">
        <v>1.24378875</v>
      </c>
      <c r="J274" s="27">
        <v>0.24769474999999999</v>
      </c>
      <c r="K274" s="27">
        <v>0</v>
      </c>
    </row>
    <row r="275" spans="1:11">
      <c r="A275" s="15">
        <v>4</v>
      </c>
      <c r="B275" s="22">
        <v>40520</v>
      </c>
      <c r="C275" s="15">
        <v>2010</v>
      </c>
      <c r="D275" s="11" t="s">
        <v>38</v>
      </c>
      <c r="E275" s="15">
        <v>12</v>
      </c>
      <c r="F275" s="26">
        <v>5.391</v>
      </c>
      <c r="G275" s="27">
        <v>2.9317249999999996E-2</v>
      </c>
      <c r="H275" s="27">
        <v>4.8617249999999994E-2</v>
      </c>
      <c r="I275" s="27">
        <v>1.044755375</v>
      </c>
      <c r="J275" s="27">
        <v>0.62976262500000002</v>
      </c>
      <c r="K275" s="27">
        <v>3.1206999999999995E-2</v>
      </c>
    </row>
    <row r="276" spans="1:11">
      <c r="A276" s="15">
        <v>3</v>
      </c>
      <c r="B276" s="22">
        <v>40562</v>
      </c>
      <c r="C276" s="15">
        <v>2011</v>
      </c>
      <c r="D276" s="11" t="s">
        <v>39</v>
      </c>
      <c r="E276" s="15">
        <v>1</v>
      </c>
      <c r="F276" s="26">
        <v>2.028</v>
      </c>
      <c r="G276" s="27">
        <v>5.8456124999999984E-2</v>
      </c>
      <c r="H276" s="27">
        <v>0</v>
      </c>
      <c r="I276" s="27">
        <v>0.54023474999999987</v>
      </c>
      <c r="J276" s="27">
        <v>1.6859499999999999E-2</v>
      </c>
      <c r="K276" s="27">
        <v>0</v>
      </c>
    </row>
    <row r="277" spans="1:11">
      <c r="A277" s="15">
        <v>4</v>
      </c>
      <c r="B277" s="22">
        <v>40562</v>
      </c>
      <c r="C277" s="15">
        <v>2011</v>
      </c>
      <c r="D277" s="11" t="s">
        <v>39</v>
      </c>
      <c r="E277" s="15">
        <v>1</v>
      </c>
      <c r="F277" s="26">
        <v>3.573</v>
      </c>
      <c r="G277" s="27">
        <v>0.472232125</v>
      </c>
      <c r="H277" s="27">
        <v>2.3751499999999995E-2</v>
      </c>
      <c r="I277" s="27">
        <v>0.98375387500000011</v>
      </c>
      <c r="J277" s="27">
        <v>5.9377499999999993E-2</v>
      </c>
      <c r="K277" s="27">
        <v>0</v>
      </c>
    </row>
    <row r="278" spans="1:11">
      <c r="A278" s="15">
        <v>3</v>
      </c>
      <c r="B278" s="22">
        <v>40591</v>
      </c>
      <c r="C278" s="15">
        <v>2011</v>
      </c>
      <c r="D278" s="11" t="s">
        <v>28</v>
      </c>
      <c r="E278" s="15">
        <v>2</v>
      </c>
      <c r="F278" s="26">
        <v>3.3340000000000001</v>
      </c>
      <c r="G278" s="27">
        <v>0.12355012499999998</v>
      </c>
      <c r="H278" s="27">
        <v>0</v>
      </c>
      <c r="I278" s="27">
        <v>1.2335417500000001</v>
      </c>
      <c r="J278" s="27">
        <v>3.2053125000000002E-2</v>
      </c>
      <c r="K278" s="27">
        <v>0</v>
      </c>
    </row>
    <row r="279" spans="1:11">
      <c r="A279" s="15">
        <v>4</v>
      </c>
      <c r="B279" s="22">
        <v>40591</v>
      </c>
      <c r="C279" s="15">
        <v>2011</v>
      </c>
      <c r="D279" s="11" t="s">
        <v>28</v>
      </c>
      <c r="E279" s="15">
        <v>2</v>
      </c>
      <c r="F279" s="26">
        <v>3.585</v>
      </c>
      <c r="G279" s="27">
        <v>6.6023625000000016E-2</v>
      </c>
      <c r="H279" s="27">
        <v>3.1180125E-2</v>
      </c>
      <c r="I279" s="27">
        <v>1.275792875</v>
      </c>
      <c r="J279" s="27">
        <v>4.1405749999999998E-2</v>
      </c>
      <c r="K279" s="27">
        <v>0</v>
      </c>
    </row>
    <row r="280" spans="1:11">
      <c r="A280" s="15">
        <v>3</v>
      </c>
      <c r="B280" s="22">
        <v>40619</v>
      </c>
      <c r="C280" s="15">
        <v>2011</v>
      </c>
      <c r="D280" s="11" t="s">
        <v>29</v>
      </c>
      <c r="E280" s="15">
        <v>3</v>
      </c>
      <c r="F280" s="26">
        <v>1.425</v>
      </c>
      <c r="G280" s="27">
        <v>1.3918124999999998E-2</v>
      </c>
      <c r="H280" s="27">
        <v>0</v>
      </c>
      <c r="I280" s="27">
        <v>0.52614974999999997</v>
      </c>
      <c r="J280" s="27">
        <v>1.5196124999999998E-2</v>
      </c>
      <c r="K280" s="27">
        <v>0</v>
      </c>
    </row>
    <row r="281" spans="1:11">
      <c r="A281" s="15">
        <v>4</v>
      </c>
      <c r="B281" s="22">
        <v>40619</v>
      </c>
      <c r="C281" s="15">
        <v>2011</v>
      </c>
      <c r="D281" s="11" t="s">
        <v>29</v>
      </c>
      <c r="E281" s="15">
        <v>3</v>
      </c>
      <c r="F281" s="26">
        <v>1.968</v>
      </c>
      <c r="G281" s="27">
        <v>0</v>
      </c>
      <c r="H281" s="27">
        <v>0</v>
      </c>
      <c r="I281" s="27">
        <v>0.63691637499999998</v>
      </c>
      <c r="J281" s="27">
        <v>2.5884624999999998E-2</v>
      </c>
      <c r="K281" s="27">
        <v>0</v>
      </c>
    </row>
    <row r="282" spans="1:11">
      <c r="A282" s="15">
        <v>3</v>
      </c>
      <c r="B282" s="22">
        <v>40646</v>
      </c>
      <c r="C282" s="15">
        <v>2011</v>
      </c>
      <c r="D282" s="11" t="s">
        <v>30</v>
      </c>
      <c r="E282" s="15">
        <v>4</v>
      </c>
      <c r="F282" s="26">
        <v>1.224</v>
      </c>
      <c r="G282" s="27">
        <v>1.9985375000000003E-2</v>
      </c>
      <c r="H282" s="27">
        <v>0</v>
      </c>
      <c r="I282" s="27">
        <v>0.19420499999999996</v>
      </c>
      <c r="J282" s="27">
        <v>1.4498375000000001E-2</v>
      </c>
      <c r="K282" s="27">
        <v>0</v>
      </c>
    </row>
    <row r="283" spans="1:11">
      <c r="A283" s="15">
        <v>4</v>
      </c>
      <c r="B283" s="22">
        <v>40646</v>
      </c>
      <c r="C283" s="15">
        <v>2011</v>
      </c>
      <c r="D283" s="11" t="s">
        <v>30</v>
      </c>
      <c r="E283" s="15">
        <v>4</v>
      </c>
      <c r="F283" s="26">
        <v>2.0760000000000001</v>
      </c>
      <c r="G283" s="27">
        <v>6.4057874999999986E-2</v>
      </c>
      <c r="H283" s="27">
        <v>0</v>
      </c>
      <c r="I283" s="27">
        <v>0.37993587499999992</v>
      </c>
      <c r="J283" s="27">
        <v>2.1060875000000003E-2</v>
      </c>
      <c r="K283" s="27">
        <v>0</v>
      </c>
    </row>
    <row r="284" spans="1:11">
      <c r="A284" s="15">
        <v>3</v>
      </c>
      <c r="B284" s="22">
        <v>40681</v>
      </c>
      <c r="C284" s="15">
        <v>2011</v>
      </c>
      <c r="D284" s="11" t="s">
        <v>31</v>
      </c>
      <c r="E284" s="15">
        <v>5</v>
      </c>
      <c r="F284" s="26">
        <v>8.2690000000000001</v>
      </c>
      <c r="G284" s="27">
        <v>0.14795587499999999</v>
      </c>
      <c r="H284" s="27">
        <v>0.41504824999999995</v>
      </c>
      <c r="I284" s="27">
        <v>3.0238186249999996</v>
      </c>
      <c r="J284" s="27">
        <v>0.85285975000000003</v>
      </c>
      <c r="K284" s="27">
        <v>0</v>
      </c>
    </row>
    <row r="285" spans="1:11">
      <c r="A285" s="15">
        <v>4</v>
      </c>
      <c r="B285" s="22">
        <v>40681</v>
      </c>
      <c r="C285" s="15">
        <v>2011</v>
      </c>
      <c r="D285" s="11" t="s">
        <v>31</v>
      </c>
      <c r="E285" s="15">
        <v>5</v>
      </c>
      <c r="F285" s="26">
        <v>9.657</v>
      </c>
      <c r="G285" s="27">
        <v>8.2091500000000012E-2</v>
      </c>
      <c r="H285" s="27">
        <v>0.24517337499999997</v>
      </c>
      <c r="I285" s="27">
        <v>2.1833507499999998</v>
      </c>
      <c r="J285" s="27">
        <v>1.1446304999999999</v>
      </c>
      <c r="K285" s="27">
        <v>0</v>
      </c>
    </row>
    <row r="286" spans="1:11">
      <c r="A286" s="15">
        <v>3</v>
      </c>
      <c r="B286" s="22">
        <v>40708</v>
      </c>
      <c r="C286" s="15">
        <v>2011</v>
      </c>
      <c r="D286" s="11" t="s">
        <v>32</v>
      </c>
      <c r="E286" s="15">
        <v>6</v>
      </c>
      <c r="F286" s="26">
        <v>13.473000000000001</v>
      </c>
      <c r="G286" s="27">
        <v>0.29514224999999999</v>
      </c>
      <c r="H286" s="27">
        <v>4.9976E-2</v>
      </c>
      <c r="I286" s="27">
        <v>1.248499</v>
      </c>
      <c r="J286" s="27">
        <v>3.2974202500000001</v>
      </c>
      <c r="K286" s="27">
        <v>6.5750624999999993E-2</v>
      </c>
    </row>
    <row r="287" spans="1:11">
      <c r="A287" s="15">
        <v>4</v>
      </c>
      <c r="B287" s="22">
        <v>40708</v>
      </c>
      <c r="C287" s="15">
        <v>2011</v>
      </c>
      <c r="D287" s="11" t="s">
        <v>32</v>
      </c>
      <c r="E287" s="15">
        <v>6</v>
      </c>
      <c r="F287" s="26">
        <v>23.321999999999999</v>
      </c>
      <c r="G287" s="27">
        <v>0.27519599999999994</v>
      </c>
      <c r="H287" s="27">
        <v>0</v>
      </c>
      <c r="I287" s="27">
        <v>2.31533575</v>
      </c>
      <c r="J287" s="27">
        <v>4.1623101249999994</v>
      </c>
      <c r="K287" s="27">
        <v>0.1953975</v>
      </c>
    </row>
    <row r="288" spans="1:11">
      <c r="A288" s="15">
        <v>3</v>
      </c>
      <c r="B288" s="22">
        <v>40735</v>
      </c>
      <c r="C288" s="15">
        <v>2011</v>
      </c>
      <c r="D288" s="11" t="s">
        <v>33</v>
      </c>
      <c r="E288" s="15">
        <v>7</v>
      </c>
      <c r="F288" s="26">
        <v>13.723000000000001</v>
      </c>
      <c r="G288" s="27">
        <v>0.23055674999999998</v>
      </c>
      <c r="H288" s="27">
        <v>0</v>
      </c>
      <c r="I288" s="27">
        <v>1.4072488750000001</v>
      </c>
      <c r="J288" s="27">
        <v>1.9768267500000001</v>
      </c>
      <c r="K288" s="27">
        <v>2.9056999999999996E-2</v>
      </c>
    </row>
    <row r="289" spans="1:11">
      <c r="A289" s="15">
        <v>4</v>
      </c>
      <c r="B289" s="22">
        <v>40735</v>
      </c>
      <c r="C289" s="15">
        <v>2011</v>
      </c>
      <c r="D289" s="11" t="s">
        <v>33</v>
      </c>
      <c r="E289" s="15">
        <v>7</v>
      </c>
      <c r="F289" s="26">
        <v>24.536000000000001</v>
      </c>
      <c r="G289" s="27">
        <v>0.17779362500000001</v>
      </c>
      <c r="H289" s="27">
        <v>0</v>
      </c>
      <c r="I289" s="27">
        <v>2.9786837500000001</v>
      </c>
      <c r="J289" s="27">
        <v>2.1302352500000001</v>
      </c>
      <c r="K289" s="27">
        <v>6.8544750000000002E-2</v>
      </c>
    </row>
    <row r="290" spans="1:11">
      <c r="A290" s="15">
        <v>3</v>
      </c>
      <c r="B290" s="22">
        <v>40771</v>
      </c>
      <c r="C290" s="15">
        <v>2011</v>
      </c>
      <c r="D290" s="11" t="s">
        <v>34</v>
      </c>
      <c r="E290" s="15">
        <v>8</v>
      </c>
      <c r="F290" s="26">
        <v>25.713000000000001</v>
      </c>
      <c r="G290" s="27">
        <v>0.55253062500000005</v>
      </c>
      <c r="H290" s="27">
        <v>0</v>
      </c>
      <c r="I290" s="27">
        <v>3.39935425</v>
      </c>
      <c r="J290" s="27">
        <v>2.7718526250000002</v>
      </c>
      <c r="K290" s="27">
        <v>0</v>
      </c>
    </row>
    <row r="291" spans="1:11">
      <c r="A291" s="15">
        <v>4</v>
      </c>
      <c r="B291" s="22">
        <v>40771</v>
      </c>
      <c r="C291" s="15">
        <v>2011</v>
      </c>
      <c r="D291" s="11" t="s">
        <v>34</v>
      </c>
      <c r="E291" s="15">
        <v>8</v>
      </c>
      <c r="F291" s="26">
        <v>36.332999999999998</v>
      </c>
      <c r="G291" s="27">
        <v>0.306757</v>
      </c>
      <c r="H291" s="27">
        <v>0</v>
      </c>
      <c r="I291" s="27">
        <v>4.4233015</v>
      </c>
      <c r="J291" s="27">
        <v>2.6231318749999999</v>
      </c>
      <c r="K291" s="27">
        <v>8.7321375000000007E-2</v>
      </c>
    </row>
    <row r="292" spans="1:11">
      <c r="A292" s="15">
        <v>3</v>
      </c>
      <c r="B292" s="22">
        <v>40799</v>
      </c>
      <c r="C292" s="15">
        <v>2011</v>
      </c>
      <c r="D292" s="11" t="s">
        <v>40</v>
      </c>
      <c r="E292" s="15">
        <v>9</v>
      </c>
      <c r="F292" s="26">
        <v>12.509</v>
      </c>
      <c r="G292" s="27">
        <v>0.28372262499999995</v>
      </c>
      <c r="H292" s="27">
        <v>0</v>
      </c>
      <c r="I292" s="27">
        <v>2.8640379999999999</v>
      </c>
      <c r="J292" s="27">
        <v>2.2940828750000004</v>
      </c>
      <c r="K292" s="27">
        <v>0</v>
      </c>
    </row>
    <row r="293" spans="1:11">
      <c r="A293" s="15">
        <v>4</v>
      </c>
      <c r="B293" s="22">
        <v>40799</v>
      </c>
      <c r="C293" s="15">
        <v>2011</v>
      </c>
      <c r="D293" s="11" t="s">
        <v>40</v>
      </c>
      <c r="E293" s="15">
        <v>9</v>
      </c>
      <c r="F293" s="26">
        <v>13.537000000000001</v>
      </c>
      <c r="G293" s="27">
        <v>0.33295412499999999</v>
      </c>
      <c r="H293" s="27">
        <v>0</v>
      </c>
      <c r="I293" s="27">
        <v>2.2538186250000001</v>
      </c>
      <c r="J293" s="27">
        <v>2.4102328750000002</v>
      </c>
      <c r="K293" s="27">
        <v>4.5336750000000002E-2</v>
      </c>
    </row>
    <row r="294" spans="1:11">
      <c r="A294" s="15">
        <v>3</v>
      </c>
      <c r="B294" s="22">
        <v>40827</v>
      </c>
      <c r="C294" s="15">
        <v>2011</v>
      </c>
      <c r="D294" s="11" t="s">
        <v>36</v>
      </c>
      <c r="E294" s="15">
        <v>10</v>
      </c>
      <c r="F294" s="28">
        <v>6.3570000000000002</v>
      </c>
      <c r="G294" s="27">
        <v>0.47409424999999999</v>
      </c>
      <c r="H294" s="27">
        <v>0</v>
      </c>
      <c r="I294" s="27">
        <v>0.87871737500000002</v>
      </c>
      <c r="J294" s="27">
        <v>0.80697200000000002</v>
      </c>
      <c r="K294" s="27">
        <v>0</v>
      </c>
    </row>
    <row r="295" spans="1:11">
      <c r="A295" s="15">
        <v>4</v>
      </c>
      <c r="B295" s="22">
        <v>40827</v>
      </c>
      <c r="C295" s="15">
        <v>2011</v>
      </c>
      <c r="D295" s="11" t="s">
        <v>36</v>
      </c>
      <c r="E295" s="15">
        <v>10</v>
      </c>
      <c r="F295" s="28">
        <v>7.4740000000000002</v>
      </c>
      <c r="G295" s="27">
        <v>1.1062578750000001</v>
      </c>
      <c r="H295" s="27">
        <v>0</v>
      </c>
      <c r="I295" s="27">
        <v>1.0528598750000002</v>
      </c>
      <c r="J295" s="27">
        <v>0.94507324999999975</v>
      </c>
      <c r="K295" s="27">
        <v>0</v>
      </c>
    </row>
    <row r="296" spans="1:11">
      <c r="A296" s="15">
        <v>3</v>
      </c>
      <c r="B296" s="29">
        <v>40862</v>
      </c>
      <c r="C296" s="15">
        <v>2011</v>
      </c>
      <c r="D296" s="11" t="s">
        <v>37</v>
      </c>
      <c r="E296" s="15">
        <v>11</v>
      </c>
      <c r="F296" s="28">
        <v>4.6079999999999997</v>
      </c>
      <c r="G296" s="27">
        <v>0.35183624999999996</v>
      </c>
      <c r="H296" s="27">
        <v>0</v>
      </c>
      <c r="I296" s="27">
        <v>1.0570295000000001</v>
      </c>
      <c r="J296" s="27">
        <v>0.10807537499999999</v>
      </c>
      <c r="K296" s="27">
        <v>0</v>
      </c>
    </row>
    <row r="297" spans="1:11">
      <c r="A297" s="15">
        <v>4</v>
      </c>
      <c r="B297" s="29">
        <v>40862</v>
      </c>
      <c r="C297" s="15">
        <v>2011</v>
      </c>
      <c r="D297" s="11" t="s">
        <v>37</v>
      </c>
      <c r="E297" s="15">
        <v>11</v>
      </c>
      <c r="F297" s="28">
        <v>6.5940000000000003</v>
      </c>
      <c r="G297" s="27">
        <v>0.17171025000000001</v>
      </c>
      <c r="H297" s="27">
        <v>0</v>
      </c>
      <c r="I297" s="27">
        <v>0.62483562500000001</v>
      </c>
      <c r="J297" s="27">
        <v>0.30730037500000001</v>
      </c>
      <c r="K297" s="27">
        <v>0</v>
      </c>
    </row>
    <row r="298" spans="1:11">
      <c r="A298" s="15">
        <v>3</v>
      </c>
      <c r="B298" s="29">
        <v>40890</v>
      </c>
      <c r="C298" s="15">
        <v>2011</v>
      </c>
      <c r="D298" s="11" t="s">
        <v>38</v>
      </c>
      <c r="E298" s="15">
        <v>12</v>
      </c>
      <c r="F298" s="28">
        <v>5.1929999999999996</v>
      </c>
      <c r="G298" s="27">
        <v>0.79110699999999989</v>
      </c>
      <c r="H298" s="27">
        <v>0</v>
      </c>
      <c r="I298" s="27">
        <v>1.2482498750000002</v>
      </c>
      <c r="J298" s="27">
        <v>2.9202875E-2</v>
      </c>
      <c r="K298" s="27">
        <v>0</v>
      </c>
    </row>
    <row r="299" spans="1:11">
      <c r="A299" s="15">
        <v>4</v>
      </c>
      <c r="B299" s="29">
        <v>40890</v>
      </c>
      <c r="C299" s="15">
        <v>2011</v>
      </c>
      <c r="D299" s="11" t="s">
        <v>38</v>
      </c>
      <c r="E299" s="15">
        <v>12</v>
      </c>
      <c r="F299" s="28">
        <v>10.423999999999999</v>
      </c>
      <c r="G299" s="27">
        <v>0.42844274999999993</v>
      </c>
      <c r="H299" s="27">
        <v>0</v>
      </c>
      <c r="I299" s="27">
        <v>3.7892349999999997</v>
      </c>
      <c r="J299" s="27">
        <v>7.1412374999999986E-2</v>
      </c>
      <c r="K299" s="27">
        <v>0</v>
      </c>
    </row>
    <row r="300" spans="1:11">
      <c r="A300" s="15">
        <v>3</v>
      </c>
      <c r="B300" s="22">
        <v>40917</v>
      </c>
      <c r="C300" s="15">
        <v>2012</v>
      </c>
      <c r="D300" s="11" t="s">
        <v>39</v>
      </c>
      <c r="E300" s="15">
        <v>1</v>
      </c>
      <c r="F300" s="30">
        <v>6.7110000000000003</v>
      </c>
      <c r="G300" s="27">
        <v>0.18830062500000003</v>
      </c>
      <c r="H300" s="27">
        <v>0</v>
      </c>
      <c r="I300" s="27">
        <v>2.5395184999999998</v>
      </c>
      <c r="J300" s="27">
        <v>3.0347875000000003E-2</v>
      </c>
      <c r="K300" s="27">
        <v>0</v>
      </c>
    </row>
    <row r="301" spans="1:11">
      <c r="A301" s="15">
        <v>4</v>
      </c>
      <c r="B301" s="22">
        <v>40917</v>
      </c>
      <c r="C301" s="15">
        <v>2012</v>
      </c>
      <c r="D301" s="11" t="s">
        <v>39</v>
      </c>
      <c r="E301" s="15">
        <v>1</v>
      </c>
      <c r="F301" s="30">
        <v>9.3879999999999999</v>
      </c>
      <c r="G301" s="27">
        <v>0.3634135</v>
      </c>
      <c r="H301" s="27">
        <v>0</v>
      </c>
      <c r="I301" s="27">
        <v>3.2562108749999998</v>
      </c>
      <c r="J301" s="27">
        <v>6.3706125000000002E-2</v>
      </c>
      <c r="K301" s="27">
        <v>0</v>
      </c>
    </row>
    <row r="302" spans="1:11">
      <c r="A302" s="15">
        <v>3</v>
      </c>
      <c r="B302" s="22">
        <v>40962</v>
      </c>
      <c r="C302" s="15">
        <v>2012</v>
      </c>
      <c r="D302" s="11" t="s">
        <v>28</v>
      </c>
      <c r="E302" s="15">
        <v>2</v>
      </c>
      <c r="F302" s="30">
        <v>2.6509999999999998</v>
      </c>
      <c r="G302" s="27">
        <v>0.22802949999999997</v>
      </c>
      <c r="H302" s="27">
        <v>0</v>
      </c>
      <c r="I302" s="27">
        <v>0.93506237499999989</v>
      </c>
      <c r="J302" s="27">
        <v>5.0204124999999995E-2</v>
      </c>
      <c r="K302" s="27">
        <v>0</v>
      </c>
    </row>
    <row r="303" spans="1:11">
      <c r="A303" s="15">
        <v>4</v>
      </c>
      <c r="B303" s="22">
        <v>40962</v>
      </c>
      <c r="C303" s="15">
        <v>2012</v>
      </c>
      <c r="D303" s="11" t="s">
        <v>28</v>
      </c>
      <c r="E303" s="15">
        <v>2</v>
      </c>
      <c r="F303" s="30">
        <v>6.0960000000000001</v>
      </c>
      <c r="G303" s="27">
        <v>0.29854362499999998</v>
      </c>
      <c r="H303" s="27">
        <v>6.2841250000000001E-2</v>
      </c>
      <c r="I303" s="27">
        <v>2.2948089999999999</v>
      </c>
      <c r="J303" s="27">
        <v>7.1795874999999981E-2</v>
      </c>
      <c r="K303" s="27">
        <v>0</v>
      </c>
    </row>
    <row r="304" spans="1:11">
      <c r="A304" s="15">
        <v>3</v>
      </c>
      <c r="B304" s="22">
        <v>40980</v>
      </c>
      <c r="C304" s="15">
        <v>2012</v>
      </c>
      <c r="D304" s="11" t="s">
        <v>29</v>
      </c>
      <c r="E304" s="15">
        <v>3</v>
      </c>
      <c r="F304" s="30">
        <v>6.5469999999999997</v>
      </c>
      <c r="G304" s="27">
        <v>0.42439512499999998</v>
      </c>
      <c r="H304" s="27">
        <v>5.1406999999999994E-2</v>
      </c>
      <c r="I304" s="27">
        <v>2.277466875</v>
      </c>
      <c r="J304" s="27">
        <v>0.12208924999999998</v>
      </c>
      <c r="K304" s="27">
        <v>2.1304375E-2</v>
      </c>
    </row>
    <row r="305" spans="1:12">
      <c r="A305" s="15">
        <v>4</v>
      </c>
      <c r="B305" s="22">
        <v>40980</v>
      </c>
      <c r="C305" s="15">
        <v>2012</v>
      </c>
      <c r="D305" s="11" t="s">
        <v>29</v>
      </c>
      <c r="E305" s="15">
        <v>3</v>
      </c>
      <c r="F305" s="30">
        <v>15.337</v>
      </c>
      <c r="G305" s="27">
        <v>0.56647712499999991</v>
      </c>
      <c r="H305" s="27">
        <v>0</v>
      </c>
      <c r="I305" s="27">
        <v>6.0420342499999995</v>
      </c>
      <c r="J305" s="27">
        <v>0.15693699999999997</v>
      </c>
      <c r="K305" s="27">
        <v>0</v>
      </c>
    </row>
    <row r="306" spans="1:12">
      <c r="A306" s="15">
        <v>3</v>
      </c>
      <c r="B306" s="22">
        <v>41015</v>
      </c>
      <c r="C306" s="15">
        <v>2012</v>
      </c>
      <c r="D306" s="11" t="s">
        <v>30</v>
      </c>
      <c r="E306" s="15">
        <v>4</v>
      </c>
      <c r="F306" s="26">
        <v>2.4620000000000002</v>
      </c>
      <c r="G306" s="27">
        <v>1.2205124999999999E-2</v>
      </c>
      <c r="H306" s="27">
        <v>2.7273749999999992E-2</v>
      </c>
      <c r="I306" s="27">
        <v>0.85935549999999983</v>
      </c>
      <c r="J306" s="27">
        <v>2.5421624999999996E-2</v>
      </c>
      <c r="K306" s="27">
        <v>6.9125000000000002E-3</v>
      </c>
    </row>
    <row r="307" spans="1:12">
      <c r="A307" s="15">
        <v>4</v>
      </c>
      <c r="B307" s="22">
        <v>41015</v>
      </c>
      <c r="C307" s="15">
        <v>2012</v>
      </c>
      <c r="D307" s="11" t="s">
        <v>30</v>
      </c>
      <c r="E307" s="15">
        <v>4</v>
      </c>
      <c r="F307" s="26">
        <v>5.9409999999999998</v>
      </c>
      <c r="G307" s="27">
        <v>0.12113249999999999</v>
      </c>
      <c r="H307" s="27">
        <v>9.8431000000000005E-2</v>
      </c>
      <c r="I307" s="27">
        <v>2.1616258749999999</v>
      </c>
      <c r="J307" s="27">
        <v>9.3197874999999999E-2</v>
      </c>
      <c r="K307" s="27">
        <v>4.4165000000000003E-2</v>
      </c>
    </row>
    <row r="308" spans="1:12">
      <c r="A308" s="15">
        <v>3</v>
      </c>
      <c r="B308" s="22">
        <v>41045</v>
      </c>
      <c r="C308" s="15">
        <v>2012</v>
      </c>
      <c r="D308" s="11" t="s">
        <v>31</v>
      </c>
      <c r="E308" s="15">
        <v>5</v>
      </c>
      <c r="F308" s="26">
        <v>12.733000000000001</v>
      </c>
      <c r="G308" s="27">
        <v>0.12536375</v>
      </c>
      <c r="H308" s="27">
        <v>0</v>
      </c>
      <c r="I308" s="27">
        <v>6.2965222499999998</v>
      </c>
      <c r="J308" s="27">
        <v>0.49118974999999998</v>
      </c>
      <c r="K308" s="27">
        <v>0</v>
      </c>
    </row>
    <row r="309" spans="1:12">
      <c r="A309" s="15">
        <v>4</v>
      </c>
      <c r="B309" s="22">
        <v>41045</v>
      </c>
      <c r="C309" s="15">
        <v>2012</v>
      </c>
      <c r="D309" s="11" t="s">
        <v>31</v>
      </c>
      <c r="E309" s="15">
        <v>5</v>
      </c>
      <c r="F309" s="26">
        <v>10.210000000000001</v>
      </c>
      <c r="G309" s="27">
        <v>0.38488112499999988</v>
      </c>
      <c r="H309" s="27">
        <v>0</v>
      </c>
      <c r="I309" s="27">
        <v>3.6210641249999997</v>
      </c>
      <c r="J309" s="27">
        <v>1.31709575</v>
      </c>
      <c r="K309" s="27">
        <v>0</v>
      </c>
    </row>
    <row r="310" spans="1:12">
      <c r="A310" s="15">
        <v>3</v>
      </c>
      <c r="B310" s="22">
        <v>41073</v>
      </c>
      <c r="C310" s="15">
        <v>2012</v>
      </c>
      <c r="D310" s="11" t="s">
        <v>32</v>
      </c>
      <c r="E310" s="15">
        <v>6</v>
      </c>
      <c r="F310" s="26">
        <v>22.74</v>
      </c>
      <c r="G310" s="27">
        <v>0.39296862499999996</v>
      </c>
      <c r="H310" s="27">
        <v>0.19140149999999997</v>
      </c>
      <c r="I310" s="27">
        <v>5.9639781249999997</v>
      </c>
      <c r="J310" s="27">
        <v>2.144333375</v>
      </c>
      <c r="K310" s="27">
        <v>0</v>
      </c>
    </row>
    <row r="311" spans="1:12">
      <c r="A311" s="15">
        <v>4</v>
      </c>
      <c r="B311" s="22">
        <v>41073</v>
      </c>
      <c r="C311" s="15">
        <v>2012</v>
      </c>
      <c r="D311" s="11" t="s">
        <v>32</v>
      </c>
      <c r="E311" s="15">
        <v>6</v>
      </c>
      <c r="F311" s="26">
        <v>24.302</v>
      </c>
      <c r="G311" s="27">
        <v>0.21859950000000003</v>
      </c>
      <c r="H311" s="27">
        <v>0.18716187500000001</v>
      </c>
      <c r="I311" s="27">
        <v>4.309809875</v>
      </c>
      <c r="J311" s="27">
        <v>2.7247129999999995</v>
      </c>
      <c r="K311" s="27">
        <v>0</v>
      </c>
    </row>
    <row r="312" spans="1:12">
      <c r="A312" s="15">
        <v>3</v>
      </c>
      <c r="B312" s="22">
        <v>41107</v>
      </c>
      <c r="C312" s="15">
        <v>2012</v>
      </c>
      <c r="D312" s="11" t="s">
        <v>33</v>
      </c>
      <c r="E312" s="15">
        <v>7</v>
      </c>
      <c r="F312" s="26">
        <v>27.895</v>
      </c>
      <c r="G312" s="27">
        <v>7.345587499999999E-2</v>
      </c>
      <c r="H312" s="27">
        <v>0</v>
      </c>
      <c r="I312" s="27">
        <v>4.0007642499999996</v>
      </c>
      <c r="J312" s="27">
        <v>2.0790606249999999</v>
      </c>
      <c r="K312" s="27">
        <v>5.9962124999999998E-2</v>
      </c>
    </row>
    <row r="313" spans="1:12">
      <c r="A313" s="15">
        <v>4</v>
      </c>
      <c r="B313" s="22">
        <v>41107</v>
      </c>
      <c r="C313" s="15">
        <v>2012</v>
      </c>
      <c r="D313" s="11" t="s">
        <v>33</v>
      </c>
      <c r="E313" s="15">
        <v>7</v>
      </c>
      <c r="F313" s="26">
        <v>43.258000000000003</v>
      </c>
      <c r="G313" s="27">
        <v>0.20906862499999998</v>
      </c>
      <c r="H313" s="27">
        <v>0</v>
      </c>
      <c r="I313" s="27">
        <v>6.2354525000000001</v>
      </c>
      <c r="J313" s="27">
        <v>2.118975625</v>
      </c>
      <c r="K313" s="27">
        <v>0</v>
      </c>
    </row>
    <row r="314" spans="1:12">
      <c r="A314" s="15">
        <v>3</v>
      </c>
      <c r="B314" s="22">
        <v>41135</v>
      </c>
      <c r="C314" s="15">
        <v>2012</v>
      </c>
      <c r="D314" s="11" t="s">
        <v>34</v>
      </c>
      <c r="E314" s="15">
        <v>8</v>
      </c>
      <c r="F314" s="26">
        <v>19.334</v>
      </c>
      <c r="G314" s="27">
        <v>0.50147724999999999</v>
      </c>
      <c r="H314" s="27">
        <v>0</v>
      </c>
      <c r="I314" s="27">
        <v>4.6460663749999993</v>
      </c>
      <c r="J314" s="27">
        <v>1.3013157499999999</v>
      </c>
      <c r="K314" s="27">
        <v>0</v>
      </c>
    </row>
    <row r="315" spans="1:12">
      <c r="A315" s="15">
        <v>4</v>
      </c>
      <c r="B315" s="22">
        <v>41135</v>
      </c>
      <c r="C315" s="15">
        <v>2012</v>
      </c>
      <c r="D315" s="11" t="s">
        <v>34</v>
      </c>
      <c r="E315" s="15">
        <v>8</v>
      </c>
      <c r="F315" s="26">
        <v>33.441000000000003</v>
      </c>
      <c r="G315" s="27">
        <v>0.73647099999999999</v>
      </c>
      <c r="H315" s="27">
        <v>0</v>
      </c>
      <c r="I315" s="27">
        <v>15.141437499999999</v>
      </c>
      <c r="J315" s="27">
        <v>2.83700675</v>
      </c>
      <c r="K315" s="27">
        <v>0</v>
      </c>
    </row>
    <row r="316" spans="1:12">
      <c r="A316" s="15">
        <v>3</v>
      </c>
      <c r="B316" s="22">
        <v>41164</v>
      </c>
      <c r="C316" s="15">
        <v>2012</v>
      </c>
      <c r="D316" s="11" t="s">
        <v>40</v>
      </c>
      <c r="E316" s="15">
        <v>9</v>
      </c>
      <c r="F316" s="26">
        <v>19.472000000000001</v>
      </c>
      <c r="G316" s="27">
        <v>0</v>
      </c>
      <c r="H316" s="27">
        <v>0</v>
      </c>
      <c r="I316" s="27">
        <v>12.676731999999999</v>
      </c>
      <c r="J316" s="27">
        <v>1.2862413749999997</v>
      </c>
      <c r="K316" s="27">
        <v>0</v>
      </c>
    </row>
    <row r="317" spans="1:12">
      <c r="A317" s="15">
        <v>4</v>
      </c>
      <c r="B317" s="22">
        <v>41164</v>
      </c>
      <c r="C317" s="15">
        <v>2012</v>
      </c>
      <c r="D317" s="11" t="s">
        <v>40</v>
      </c>
      <c r="E317" s="15">
        <v>9</v>
      </c>
      <c r="F317" s="26">
        <v>18.593</v>
      </c>
      <c r="G317" s="27">
        <v>0</v>
      </c>
      <c r="H317" s="27">
        <v>0</v>
      </c>
      <c r="I317" s="27">
        <v>9.5181242499999996</v>
      </c>
      <c r="J317" s="27">
        <v>1.9290476249999995</v>
      </c>
      <c r="K317" s="27">
        <v>0</v>
      </c>
    </row>
    <row r="318" spans="1:12">
      <c r="A318" s="15">
        <v>4</v>
      </c>
      <c r="B318" s="22">
        <v>41164</v>
      </c>
      <c r="C318" s="15">
        <v>2012</v>
      </c>
      <c r="D318" s="11" t="s">
        <v>40</v>
      </c>
      <c r="E318" s="15">
        <v>9</v>
      </c>
      <c r="F318" s="26">
        <v>18.593</v>
      </c>
      <c r="G318" s="27">
        <v>0</v>
      </c>
      <c r="H318" s="27">
        <v>0</v>
      </c>
      <c r="I318" s="27">
        <v>6.6885400000000006</v>
      </c>
      <c r="J318" s="27">
        <v>1.894244</v>
      </c>
      <c r="K318" s="27">
        <v>6.7583249999999997E-2</v>
      </c>
      <c r="L318" t="s">
        <v>41</v>
      </c>
    </row>
    <row r="319" spans="1:12">
      <c r="A319" s="15">
        <v>3</v>
      </c>
      <c r="B319" s="22">
        <v>41199</v>
      </c>
      <c r="C319" s="15">
        <v>2012</v>
      </c>
      <c r="D319" s="11" t="s">
        <v>36</v>
      </c>
      <c r="E319" s="15">
        <v>10</v>
      </c>
      <c r="F319" s="26">
        <v>6.8479999999999999</v>
      </c>
      <c r="G319" s="27">
        <v>0.23888724999999997</v>
      </c>
      <c r="H319" s="27">
        <v>2.6958375E-2</v>
      </c>
      <c r="I319" s="27">
        <v>1.4885418749999999</v>
      </c>
      <c r="J319" s="27">
        <v>0.29776825000000007</v>
      </c>
      <c r="K319" s="27">
        <v>0</v>
      </c>
    </row>
    <row r="320" spans="1:12">
      <c r="A320" s="15">
        <v>4</v>
      </c>
      <c r="B320" s="22">
        <v>41199</v>
      </c>
      <c r="C320" s="15">
        <v>2012</v>
      </c>
      <c r="D320" s="11" t="s">
        <v>36</v>
      </c>
      <c r="E320" s="15">
        <v>10</v>
      </c>
      <c r="F320" s="26">
        <v>7.2439999999999998</v>
      </c>
      <c r="G320" s="27">
        <v>0.13697099999999998</v>
      </c>
      <c r="H320" s="27">
        <v>0</v>
      </c>
      <c r="I320" s="27">
        <v>1.9203711249999997</v>
      </c>
      <c r="J320" s="27">
        <v>0.55303024999999995</v>
      </c>
      <c r="K320" s="27">
        <v>0</v>
      </c>
    </row>
    <row r="321" spans="1:11">
      <c r="A321" s="15">
        <v>3</v>
      </c>
      <c r="B321" s="22">
        <v>41225</v>
      </c>
      <c r="C321" s="15">
        <v>2012</v>
      </c>
      <c r="D321" s="11" t="s">
        <v>37</v>
      </c>
      <c r="E321" s="15">
        <v>11</v>
      </c>
      <c r="F321" s="26">
        <v>4.1420000000000003</v>
      </c>
      <c r="G321" s="27">
        <v>7.2264250000000002E-2</v>
      </c>
      <c r="H321" s="27">
        <v>0</v>
      </c>
      <c r="I321" s="27">
        <v>1.28875925</v>
      </c>
      <c r="J321" s="27">
        <v>3.3971500000000002E-2</v>
      </c>
      <c r="K321" s="27">
        <v>0</v>
      </c>
    </row>
    <row r="322" spans="1:11">
      <c r="A322" s="15">
        <v>4</v>
      </c>
      <c r="B322" s="22">
        <v>41225</v>
      </c>
      <c r="C322" s="15">
        <v>2012</v>
      </c>
      <c r="D322" s="11" t="s">
        <v>37</v>
      </c>
      <c r="E322" s="15">
        <v>11</v>
      </c>
      <c r="F322" s="26">
        <v>9.0389999999999997</v>
      </c>
      <c r="G322" s="27">
        <v>0.22180937499999998</v>
      </c>
      <c r="H322" s="27">
        <v>0</v>
      </c>
      <c r="I322" s="27">
        <v>1.40424675</v>
      </c>
      <c r="J322" s="27">
        <v>5.9882124999999994E-2</v>
      </c>
      <c r="K322" s="27">
        <v>0</v>
      </c>
    </row>
    <row r="323" spans="1:11">
      <c r="A323" s="15">
        <v>3</v>
      </c>
      <c r="B323" s="22">
        <v>41254</v>
      </c>
      <c r="C323" s="15">
        <v>2012</v>
      </c>
      <c r="D323" s="11" t="s">
        <v>38</v>
      </c>
      <c r="E323" s="15">
        <v>12</v>
      </c>
      <c r="F323" s="26">
        <v>3.298</v>
      </c>
      <c r="G323" s="27">
        <v>0.27782562499999996</v>
      </c>
      <c r="H323" s="27">
        <v>0</v>
      </c>
      <c r="I323" s="27">
        <v>0.89269899999999991</v>
      </c>
      <c r="J323" s="27">
        <v>1.8053625E-2</v>
      </c>
      <c r="K323" s="27">
        <v>0</v>
      </c>
    </row>
    <row r="324" spans="1:11">
      <c r="A324" s="15">
        <v>4</v>
      </c>
      <c r="B324" s="22">
        <v>41254</v>
      </c>
      <c r="C324" s="15">
        <v>2012</v>
      </c>
      <c r="D324" s="11" t="s">
        <v>38</v>
      </c>
      <c r="E324" s="15">
        <v>12</v>
      </c>
      <c r="F324" s="26">
        <v>3.2759999999999998</v>
      </c>
      <c r="G324" s="27">
        <v>0.39074774999999995</v>
      </c>
      <c r="H324" s="27">
        <v>0</v>
      </c>
      <c r="I324" s="27">
        <v>0.9113031250000001</v>
      </c>
      <c r="J324" s="27">
        <v>1.0066624999999997E-2</v>
      </c>
      <c r="K324" s="27">
        <v>0</v>
      </c>
    </row>
    <row r="325" spans="1:11">
      <c r="A325" s="15">
        <v>3</v>
      </c>
      <c r="B325" s="22">
        <v>41288</v>
      </c>
      <c r="C325" s="15">
        <v>2013</v>
      </c>
      <c r="D325" s="11" t="s">
        <v>39</v>
      </c>
      <c r="E325" s="15">
        <v>1</v>
      </c>
      <c r="F325" s="26">
        <v>6.7839999999999998</v>
      </c>
      <c r="G325" s="27">
        <v>0.16767687499999995</v>
      </c>
      <c r="H325" s="27">
        <v>0</v>
      </c>
      <c r="I325" s="27">
        <v>3.8867686250000006</v>
      </c>
      <c r="J325" s="27">
        <v>1.9724374999999999E-2</v>
      </c>
      <c r="K325" s="27">
        <v>0</v>
      </c>
    </row>
    <row r="326" spans="1:11">
      <c r="A326" s="15">
        <v>4</v>
      </c>
      <c r="B326" s="22">
        <v>41288</v>
      </c>
      <c r="C326" s="15">
        <v>2013</v>
      </c>
      <c r="D326" s="11" t="s">
        <v>39</v>
      </c>
      <c r="E326" s="15">
        <v>1</v>
      </c>
      <c r="F326" s="26">
        <v>9.7349999999999994</v>
      </c>
      <c r="G326" s="27">
        <v>0.8270377499999999</v>
      </c>
      <c r="H326" s="27">
        <v>0</v>
      </c>
      <c r="I326" s="27">
        <v>4.6814334999999998</v>
      </c>
      <c r="J326" s="27">
        <v>2.7271125E-2</v>
      </c>
      <c r="K326" s="27">
        <v>0</v>
      </c>
    </row>
    <row r="327" spans="1:11">
      <c r="A327" s="15">
        <v>3</v>
      </c>
      <c r="B327" s="22">
        <v>41318</v>
      </c>
      <c r="C327" s="15">
        <v>2013</v>
      </c>
      <c r="D327" s="11" t="s">
        <v>28</v>
      </c>
      <c r="E327" s="15">
        <v>2</v>
      </c>
      <c r="F327" s="31">
        <v>16.471</v>
      </c>
      <c r="G327" s="27">
        <v>0.47085987500000004</v>
      </c>
      <c r="H327" s="27">
        <v>0</v>
      </c>
      <c r="I327" s="27">
        <v>8.9382391250000026</v>
      </c>
      <c r="J327" s="27">
        <v>4.5777249999999998E-2</v>
      </c>
      <c r="K327" s="27">
        <v>0</v>
      </c>
    </row>
    <row r="328" spans="1:11">
      <c r="A328" s="15">
        <v>4</v>
      </c>
      <c r="B328" s="22">
        <v>41318</v>
      </c>
      <c r="C328" s="15">
        <v>2013</v>
      </c>
      <c r="D328" s="11" t="s">
        <v>28</v>
      </c>
      <c r="E328" s="15">
        <v>2</v>
      </c>
      <c r="F328" s="31">
        <v>18.884</v>
      </c>
      <c r="G328" s="27">
        <v>3.8428241249999995</v>
      </c>
      <c r="H328" s="27">
        <v>0</v>
      </c>
      <c r="I328" s="27">
        <v>5.8038043749999995</v>
      </c>
      <c r="J328" s="27">
        <v>7.9295500000000005E-2</v>
      </c>
      <c r="K328" s="27">
        <v>0</v>
      </c>
    </row>
    <row r="329" spans="1:11">
      <c r="A329" s="15">
        <v>3</v>
      </c>
      <c r="B329" s="22">
        <v>41344</v>
      </c>
      <c r="C329" s="15">
        <v>2013</v>
      </c>
      <c r="D329" s="11" t="s">
        <v>29</v>
      </c>
      <c r="E329" s="15">
        <v>3</v>
      </c>
      <c r="F329" s="31">
        <v>9.0809999999999995</v>
      </c>
      <c r="G329" s="27">
        <v>0</v>
      </c>
      <c r="H329" s="27">
        <v>0</v>
      </c>
      <c r="I329" s="27">
        <v>5.9458380000000002</v>
      </c>
      <c r="J329" s="27">
        <v>6.1405750000000009E-2</v>
      </c>
      <c r="K329" s="27">
        <v>0</v>
      </c>
    </row>
    <row r="330" spans="1:11">
      <c r="A330" s="15">
        <v>4</v>
      </c>
      <c r="B330" s="22">
        <v>41344</v>
      </c>
      <c r="C330" s="15">
        <v>2013</v>
      </c>
      <c r="D330" s="11" t="s">
        <v>29</v>
      </c>
      <c r="E330" s="15">
        <v>3</v>
      </c>
      <c r="F330" s="31">
        <v>11.224</v>
      </c>
      <c r="G330" s="27">
        <v>0.25331962499999999</v>
      </c>
      <c r="H330" s="27">
        <v>0</v>
      </c>
      <c r="I330" s="27">
        <v>6.7376446249999988</v>
      </c>
      <c r="J330" s="27">
        <v>0.10942724999999999</v>
      </c>
      <c r="K330" s="27">
        <v>0</v>
      </c>
    </row>
    <row r="331" spans="1:11">
      <c r="A331" s="15">
        <v>3</v>
      </c>
      <c r="B331" s="22">
        <v>41379</v>
      </c>
      <c r="C331" s="15">
        <v>2013</v>
      </c>
      <c r="D331" s="11" t="s">
        <v>30</v>
      </c>
      <c r="E331" s="15">
        <v>4</v>
      </c>
      <c r="F331" s="32">
        <v>2.968</v>
      </c>
      <c r="G331" s="27">
        <v>4.6834874999999991E-2</v>
      </c>
      <c r="H331" s="27">
        <v>0</v>
      </c>
      <c r="I331" s="27">
        <v>1.04962825</v>
      </c>
      <c r="J331" s="27">
        <v>2.5049374999999999E-2</v>
      </c>
      <c r="K331" s="27">
        <v>0</v>
      </c>
    </row>
    <row r="332" spans="1:11">
      <c r="A332" s="15">
        <v>4</v>
      </c>
      <c r="B332" s="22">
        <v>41379</v>
      </c>
      <c r="C332" s="15">
        <v>2013</v>
      </c>
      <c r="D332" s="11" t="s">
        <v>30</v>
      </c>
      <c r="E332" s="15">
        <v>4</v>
      </c>
      <c r="F332" s="32">
        <v>7.63</v>
      </c>
      <c r="G332" s="27">
        <v>7.3008500000000004E-2</v>
      </c>
      <c r="H332" s="27">
        <v>0</v>
      </c>
      <c r="I332" s="27">
        <v>2.8352088750000002</v>
      </c>
      <c r="J332" s="27">
        <v>0.10060612500000002</v>
      </c>
      <c r="K332" s="27">
        <v>0</v>
      </c>
    </row>
    <row r="333" spans="1:11">
      <c r="A333" s="15">
        <v>3</v>
      </c>
      <c r="B333" s="22">
        <v>41408</v>
      </c>
      <c r="C333" s="15">
        <v>2013</v>
      </c>
      <c r="D333" s="11" t="s">
        <v>31</v>
      </c>
      <c r="E333" s="15">
        <v>5</v>
      </c>
      <c r="F333" s="32">
        <v>3.6080000000000001</v>
      </c>
      <c r="G333" s="27">
        <v>9.8398374999999982E-2</v>
      </c>
      <c r="H333" s="27">
        <v>0</v>
      </c>
      <c r="I333" s="27">
        <v>1.2479074999999999</v>
      </c>
      <c r="J333" s="27">
        <v>0.60069612500000003</v>
      </c>
      <c r="K333" s="27">
        <v>0</v>
      </c>
    </row>
    <row r="334" spans="1:11">
      <c r="A334" s="15">
        <v>4</v>
      </c>
      <c r="B334" s="22">
        <v>41408</v>
      </c>
      <c r="C334" s="15">
        <v>2013</v>
      </c>
      <c r="D334" s="11" t="s">
        <v>31</v>
      </c>
      <c r="E334" s="15">
        <v>5</v>
      </c>
      <c r="F334" s="32">
        <v>8.8130000000000006</v>
      </c>
      <c r="G334" s="27">
        <v>0.17083512499999998</v>
      </c>
      <c r="H334" s="27">
        <v>5.8738624999999996E-2</v>
      </c>
      <c r="I334" s="27">
        <v>2.8237636249999998</v>
      </c>
      <c r="J334" s="27">
        <v>1.6468557499999996</v>
      </c>
      <c r="K334" s="27">
        <v>0</v>
      </c>
    </row>
    <row r="335" spans="1:11">
      <c r="A335" s="15">
        <v>3</v>
      </c>
      <c r="B335" s="22">
        <v>41436</v>
      </c>
      <c r="C335" s="15">
        <v>2013</v>
      </c>
      <c r="D335" s="11" t="s">
        <v>32</v>
      </c>
      <c r="E335" s="15">
        <v>6</v>
      </c>
      <c r="F335" s="32">
        <v>10.775</v>
      </c>
      <c r="G335" s="27">
        <v>4.8213333333333337E-2</v>
      </c>
      <c r="H335" s="27">
        <v>0</v>
      </c>
      <c r="I335" s="27">
        <v>4.5995159999999995</v>
      </c>
      <c r="J335" s="27">
        <v>1.2194706666666666</v>
      </c>
      <c r="K335" s="27">
        <v>0</v>
      </c>
    </row>
    <row r="336" spans="1:11">
      <c r="A336" s="15">
        <v>4</v>
      </c>
      <c r="B336" s="22">
        <v>41436</v>
      </c>
      <c r="C336" s="15">
        <v>2013</v>
      </c>
      <c r="D336" s="11" t="s">
        <v>32</v>
      </c>
      <c r="E336" s="15">
        <v>6</v>
      </c>
      <c r="F336" s="32">
        <v>14.151</v>
      </c>
      <c r="G336" s="27">
        <v>8.9405714285714297E-2</v>
      </c>
      <c r="H336" s="27">
        <v>0</v>
      </c>
      <c r="I336" s="27">
        <v>3.3983514285714285</v>
      </c>
      <c r="J336" s="27">
        <v>3.7351938571428569</v>
      </c>
      <c r="K336" s="27">
        <v>0</v>
      </c>
    </row>
    <row r="337" spans="1:11">
      <c r="A337" s="15">
        <v>3</v>
      </c>
      <c r="B337" s="22">
        <v>41471</v>
      </c>
      <c r="C337" s="15">
        <v>2013</v>
      </c>
      <c r="D337" s="11" t="s">
        <v>33</v>
      </c>
      <c r="E337" s="15">
        <v>7</v>
      </c>
      <c r="F337" s="32">
        <v>32.316000000000003</v>
      </c>
      <c r="G337" s="27">
        <v>0.871988125</v>
      </c>
      <c r="H337" s="27">
        <v>0</v>
      </c>
      <c r="I337" s="27">
        <v>4.6491423750000003</v>
      </c>
      <c r="J337" s="27">
        <v>1.6939932499999999</v>
      </c>
      <c r="K337" s="27">
        <v>0</v>
      </c>
    </row>
    <row r="338" spans="1:11">
      <c r="A338" s="15">
        <v>4</v>
      </c>
      <c r="B338" s="22">
        <v>41471</v>
      </c>
      <c r="C338" s="15">
        <v>2013</v>
      </c>
      <c r="D338" s="11" t="s">
        <v>33</v>
      </c>
      <c r="E338" s="15">
        <v>7</v>
      </c>
      <c r="F338" s="32">
        <v>52.093000000000004</v>
      </c>
      <c r="G338" s="27">
        <v>0.25027162499999994</v>
      </c>
      <c r="H338" s="27">
        <v>0</v>
      </c>
      <c r="I338" s="27">
        <v>9.3805577499999995</v>
      </c>
      <c r="J338" s="27">
        <v>2.4762148750000001</v>
      </c>
      <c r="K338" s="27">
        <v>0</v>
      </c>
    </row>
    <row r="339" spans="1:11">
      <c r="A339" s="15">
        <v>3</v>
      </c>
      <c r="B339" s="22">
        <v>41499</v>
      </c>
      <c r="C339" s="15">
        <v>2013</v>
      </c>
      <c r="D339" s="11" t="s">
        <v>34</v>
      </c>
      <c r="E339" s="15">
        <v>8</v>
      </c>
      <c r="F339" s="32">
        <v>12.627000000000001</v>
      </c>
      <c r="G339" s="27">
        <v>0.80050735294117636</v>
      </c>
      <c r="H339" s="27">
        <v>0</v>
      </c>
      <c r="I339" s="27">
        <v>2.350511911764706</v>
      </c>
      <c r="J339" s="27">
        <v>1.3103091176470589</v>
      </c>
      <c r="K339" s="27">
        <v>0</v>
      </c>
    </row>
    <row r="340" spans="1:11">
      <c r="A340" s="15">
        <v>4</v>
      </c>
      <c r="B340" s="22">
        <v>41499</v>
      </c>
      <c r="C340" s="15">
        <v>2013</v>
      </c>
      <c r="D340" s="11" t="s">
        <v>34</v>
      </c>
      <c r="E340" s="15">
        <v>8</v>
      </c>
      <c r="F340" s="32">
        <v>19.396000000000001</v>
      </c>
      <c r="G340" s="27">
        <v>0.61868649999999992</v>
      </c>
      <c r="H340" s="27">
        <v>0</v>
      </c>
      <c r="I340" s="27">
        <v>3.2683111666666669</v>
      </c>
      <c r="J340" s="27">
        <v>1.6730276666666668</v>
      </c>
      <c r="K340" s="27">
        <v>0</v>
      </c>
    </row>
    <row r="341" spans="1:11">
      <c r="A341" s="15">
        <v>3</v>
      </c>
      <c r="B341" s="22">
        <v>41533</v>
      </c>
      <c r="C341" s="15">
        <v>2013</v>
      </c>
      <c r="D341" s="11" t="s">
        <v>40</v>
      </c>
      <c r="E341" s="15">
        <v>9</v>
      </c>
      <c r="F341" s="32">
        <v>8.641</v>
      </c>
      <c r="G341" s="27">
        <v>0.23040674999999997</v>
      </c>
      <c r="H341" s="27">
        <v>0</v>
      </c>
      <c r="I341" s="27">
        <v>2.4066233750000001</v>
      </c>
      <c r="J341" s="27">
        <v>0.51827662500000005</v>
      </c>
      <c r="K341" s="27">
        <v>0</v>
      </c>
    </row>
    <row r="342" spans="1:11">
      <c r="A342" s="15">
        <v>4</v>
      </c>
      <c r="B342" s="22">
        <v>41533</v>
      </c>
      <c r="C342" s="15">
        <v>2013</v>
      </c>
      <c r="D342" s="11" t="s">
        <v>40</v>
      </c>
      <c r="E342" s="15">
        <v>9</v>
      </c>
      <c r="F342" s="32">
        <v>9.0589999999999993</v>
      </c>
      <c r="G342" s="27">
        <v>0.21874549999999998</v>
      </c>
      <c r="H342" s="27">
        <v>0</v>
      </c>
      <c r="I342" s="27">
        <v>1.8680883749999999</v>
      </c>
      <c r="J342" s="27">
        <v>1.1544353749999998</v>
      </c>
      <c r="K342" s="27">
        <v>0</v>
      </c>
    </row>
    <row r="343" spans="1:11">
      <c r="A343" s="15">
        <v>3</v>
      </c>
      <c r="B343" s="22">
        <v>41569</v>
      </c>
      <c r="C343" s="15">
        <v>2013</v>
      </c>
      <c r="D343" s="11" t="s">
        <v>36</v>
      </c>
      <c r="E343" s="15">
        <v>10</v>
      </c>
      <c r="F343" s="26">
        <v>4.3840000000000003</v>
      </c>
      <c r="G343" s="27">
        <v>0.6168158749999999</v>
      </c>
      <c r="H343" s="27">
        <v>0</v>
      </c>
      <c r="I343" s="27">
        <v>0.31529049999999997</v>
      </c>
      <c r="J343" s="27">
        <v>7.2570249999999989E-2</v>
      </c>
      <c r="K343" s="27">
        <v>0</v>
      </c>
    </row>
    <row r="344" spans="1:11">
      <c r="A344" s="15">
        <v>4</v>
      </c>
      <c r="B344" s="22">
        <v>41569</v>
      </c>
      <c r="C344" s="15">
        <v>2013</v>
      </c>
      <c r="D344" s="11" t="s">
        <v>36</v>
      </c>
      <c r="E344" s="15">
        <v>10</v>
      </c>
      <c r="F344" s="26">
        <v>7.3710000000000004</v>
      </c>
      <c r="G344" s="27">
        <v>0.27968612500000001</v>
      </c>
      <c r="H344" s="27">
        <v>0</v>
      </c>
      <c r="I344" s="27">
        <v>0.68512275</v>
      </c>
      <c r="J344" s="27">
        <v>0.29580262499999993</v>
      </c>
      <c r="K344" s="27">
        <v>0</v>
      </c>
    </row>
    <row r="345" spans="1:11">
      <c r="A345" s="15">
        <v>3</v>
      </c>
      <c r="B345" s="22">
        <v>41597</v>
      </c>
      <c r="C345" s="15">
        <v>2013</v>
      </c>
      <c r="D345" s="11" t="s">
        <v>37</v>
      </c>
      <c r="E345" s="15">
        <v>11</v>
      </c>
      <c r="F345" s="26">
        <v>2.2610000000000001</v>
      </c>
      <c r="G345" s="27">
        <v>0.13439524999999997</v>
      </c>
      <c r="H345" s="27">
        <v>0</v>
      </c>
      <c r="I345" s="27">
        <v>0.31730737499999995</v>
      </c>
      <c r="J345" s="27">
        <v>1.8883750000000001E-2</v>
      </c>
      <c r="K345" s="27">
        <v>0</v>
      </c>
    </row>
    <row r="346" spans="1:11">
      <c r="A346" s="15">
        <v>4</v>
      </c>
      <c r="B346" s="22">
        <v>41597</v>
      </c>
      <c r="C346" s="15">
        <v>2013</v>
      </c>
      <c r="D346" s="11" t="s">
        <v>37</v>
      </c>
      <c r="E346" s="15">
        <v>11</v>
      </c>
      <c r="F346" s="26">
        <v>2.4009999999999998</v>
      </c>
      <c r="G346" s="27">
        <v>0.12703024999999998</v>
      </c>
      <c r="H346" s="27">
        <v>0</v>
      </c>
      <c r="I346" s="27">
        <v>0.56046787499999995</v>
      </c>
      <c r="J346" s="27">
        <v>7.7184749999999996E-2</v>
      </c>
      <c r="K346" s="27">
        <v>0</v>
      </c>
    </row>
    <row r="347" spans="1:11">
      <c r="A347" s="15">
        <v>3</v>
      </c>
      <c r="B347" s="22">
        <v>41624</v>
      </c>
      <c r="C347" s="15">
        <v>2013</v>
      </c>
      <c r="D347" s="11" t="s">
        <v>38</v>
      </c>
      <c r="E347" s="15">
        <v>12</v>
      </c>
      <c r="F347" s="26">
        <v>3.7669999999999999</v>
      </c>
      <c r="G347" s="27">
        <v>0.117892</v>
      </c>
      <c r="H347" s="27">
        <v>0</v>
      </c>
      <c r="I347" s="27">
        <v>1.205529375</v>
      </c>
      <c r="J347" s="27">
        <v>2.4133499999999999E-2</v>
      </c>
      <c r="K347" s="27">
        <v>0</v>
      </c>
    </row>
    <row r="348" spans="1:11">
      <c r="A348" s="15">
        <v>4</v>
      </c>
      <c r="B348" s="22">
        <v>41624</v>
      </c>
      <c r="C348" s="15">
        <v>2013</v>
      </c>
      <c r="D348" s="11" t="s">
        <v>38</v>
      </c>
      <c r="E348" s="15">
        <v>12</v>
      </c>
      <c r="F348" s="26">
        <v>5.1369999999999996</v>
      </c>
      <c r="G348" s="27">
        <v>0.42147124999999996</v>
      </c>
      <c r="H348" s="27">
        <v>0</v>
      </c>
      <c r="I348" s="27">
        <v>1.5719788749999999</v>
      </c>
      <c r="J348" s="27">
        <v>2.9674874999999996E-2</v>
      </c>
      <c r="K348" s="27">
        <v>0</v>
      </c>
    </row>
    <row r="349" spans="1:11">
      <c r="A349" s="15">
        <v>3</v>
      </c>
      <c r="B349" s="22">
        <v>41654</v>
      </c>
      <c r="C349" s="15">
        <v>2014</v>
      </c>
      <c r="D349" s="11" t="s">
        <v>39</v>
      </c>
      <c r="E349" s="15">
        <v>1</v>
      </c>
      <c r="F349" s="26">
        <v>3.335</v>
      </c>
      <c r="G349" s="27">
        <v>0.5443508749999999</v>
      </c>
      <c r="H349" s="27">
        <v>0</v>
      </c>
      <c r="I349" s="27">
        <v>0.74987937500000013</v>
      </c>
      <c r="J349" s="27">
        <v>3.2306874999999999E-2</v>
      </c>
      <c r="K349" s="27">
        <v>0</v>
      </c>
    </row>
    <row r="350" spans="1:11">
      <c r="A350" s="15">
        <v>4</v>
      </c>
      <c r="B350" s="22">
        <v>41654</v>
      </c>
      <c r="C350" s="15">
        <v>2014</v>
      </c>
      <c r="D350" s="11" t="s">
        <v>39</v>
      </c>
      <c r="E350" s="15">
        <v>1</v>
      </c>
      <c r="F350" s="26">
        <v>1.752</v>
      </c>
      <c r="G350" s="27">
        <v>0.19559987499999998</v>
      </c>
      <c r="H350" s="27">
        <v>0</v>
      </c>
      <c r="I350" s="27">
        <v>0.55399725</v>
      </c>
      <c r="J350" s="27">
        <v>1.83515E-2</v>
      </c>
      <c r="K350" s="27">
        <v>0</v>
      </c>
    </row>
    <row r="351" spans="1:11">
      <c r="A351" s="15">
        <v>3</v>
      </c>
      <c r="B351" s="22">
        <v>41688</v>
      </c>
      <c r="C351" s="15">
        <v>2014</v>
      </c>
      <c r="D351" s="11" t="s">
        <v>28</v>
      </c>
      <c r="E351" s="15">
        <v>2</v>
      </c>
      <c r="F351" s="26">
        <v>4.5439999999999996</v>
      </c>
      <c r="G351" s="27">
        <v>0.31842837499999993</v>
      </c>
      <c r="H351" s="27">
        <v>0</v>
      </c>
      <c r="I351" s="27">
        <v>1.5313650000000001</v>
      </c>
      <c r="J351" s="27">
        <v>3.5767500000000001E-2</v>
      </c>
      <c r="K351" s="27">
        <v>0</v>
      </c>
    </row>
    <row r="352" spans="1:11">
      <c r="A352" s="15">
        <v>4</v>
      </c>
      <c r="B352" s="22">
        <v>41688</v>
      </c>
      <c r="C352" s="15">
        <v>2014</v>
      </c>
      <c r="D352" s="11" t="s">
        <v>28</v>
      </c>
      <c r="E352" s="15">
        <v>2</v>
      </c>
      <c r="F352" s="26">
        <v>5.3250000000000002</v>
      </c>
      <c r="G352" s="27">
        <v>0.9465849999999999</v>
      </c>
      <c r="H352" s="27">
        <v>0</v>
      </c>
      <c r="I352" s="27">
        <v>1.13505425</v>
      </c>
      <c r="J352" s="27">
        <v>6.8974624999999998E-2</v>
      </c>
      <c r="K352" s="27">
        <v>0</v>
      </c>
    </row>
    <row r="353" spans="1:12">
      <c r="A353" s="15">
        <v>3</v>
      </c>
      <c r="B353" s="22">
        <v>41719</v>
      </c>
      <c r="C353" s="15">
        <v>2014</v>
      </c>
      <c r="D353" s="11" t="s">
        <v>29</v>
      </c>
      <c r="E353" s="15">
        <v>3</v>
      </c>
      <c r="F353" s="26">
        <v>3.1259999999999999</v>
      </c>
      <c r="G353" s="27">
        <v>3.6870750000000001E-2</v>
      </c>
      <c r="H353" s="27">
        <v>0</v>
      </c>
      <c r="I353" s="27">
        <v>1.317851125</v>
      </c>
      <c r="J353" s="27">
        <v>4.4123124999999992E-2</v>
      </c>
      <c r="K353" s="27">
        <v>0</v>
      </c>
    </row>
    <row r="354" spans="1:12">
      <c r="A354" s="15">
        <v>3</v>
      </c>
      <c r="B354" s="22">
        <v>41719</v>
      </c>
      <c r="C354" s="15">
        <v>2014</v>
      </c>
      <c r="D354" s="11" t="s">
        <v>29</v>
      </c>
      <c r="E354" s="15">
        <v>3</v>
      </c>
      <c r="F354" s="26">
        <v>3.1259999999999999</v>
      </c>
      <c r="G354" s="27">
        <v>3.3183874999999995E-2</v>
      </c>
      <c r="H354" s="27">
        <v>0</v>
      </c>
      <c r="I354" s="27">
        <v>1.3717966249999998</v>
      </c>
      <c r="J354" s="27">
        <v>5.1793749999999986E-2</v>
      </c>
      <c r="K354" s="27">
        <v>0</v>
      </c>
      <c r="L354" t="s">
        <v>41</v>
      </c>
    </row>
    <row r="355" spans="1:12">
      <c r="A355" s="15">
        <v>4</v>
      </c>
      <c r="B355" s="22">
        <v>41719</v>
      </c>
      <c r="C355" s="15">
        <v>2014</v>
      </c>
      <c r="D355" s="11" t="s">
        <v>29</v>
      </c>
      <c r="E355" s="15">
        <v>3</v>
      </c>
      <c r="F355" s="26">
        <v>3.1909999999999998</v>
      </c>
      <c r="G355" s="27">
        <v>0.132049</v>
      </c>
      <c r="H355" s="27">
        <v>0</v>
      </c>
      <c r="I355" s="27">
        <v>1.0794044999999999</v>
      </c>
      <c r="J355" s="27">
        <v>5.5256124999999996E-2</v>
      </c>
      <c r="K355" s="27">
        <v>0</v>
      </c>
    </row>
    <row r="356" spans="1:12">
      <c r="A356" s="15">
        <v>3</v>
      </c>
      <c r="B356" s="22">
        <v>41747</v>
      </c>
      <c r="C356" s="15">
        <v>2014</v>
      </c>
      <c r="D356" s="11" t="s">
        <v>30</v>
      </c>
      <c r="E356" s="15">
        <v>4</v>
      </c>
      <c r="F356" s="33">
        <v>2.645</v>
      </c>
      <c r="G356" s="27">
        <v>1.6637374999999999E-2</v>
      </c>
      <c r="H356" s="27">
        <v>0</v>
      </c>
      <c r="I356" s="27">
        <v>0.87752649999999988</v>
      </c>
      <c r="J356" s="27">
        <v>2.3579624999999996E-2</v>
      </c>
      <c r="K356" s="27">
        <v>0</v>
      </c>
    </row>
    <row r="357" spans="1:12">
      <c r="A357" s="15">
        <v>4</v>
      </c>
      <c r="B357" s="22">
        <v>41747</v>
      </c>
      <c r="C357" s="15">
        <v>2014</v>
      </c>
      <c r="D357" s="11" t="s">
        <v>30</v>
      </c>
      <c r="E357" s="15">
        <v>4</v>
      </c>
      <c r="F357" s="33">
        <v>6.6870000000000003</v>
      </c>
      <c r="G357" s="27">
        <v>2.5090875000000002E-2</v>
      </c>
      <c r="H357" s="27">
        <v>0</v>
      </c>
      <c r="I357" s="27">
        <v>2.0179132499999994</v>
      </c>
      <c r="J357" s="27">
        <v>0.11551412500000001</v>
      </c>
      <c r="K357" s="27">
        <v>0</v>
      </c>
    </row>
    <row r="358" spans="1:12">
      <c r="A358" s="15">
        <v>3</v>
      </c>
      <c r="B358" s="22">
        <v>41772</v>
      </c>
      <c r="C358" s="15">
        <v>2014</v>
      </c>
      <c r="D358" s="11" t="s">
        <v>31</v>
      </c>
      <c r="E358" s="15">
        <v>5</v>
      </c>
      <c r="F358" s="33">
        <v>4.24</v>
      </c>
      <c r="G358" s="27">
        <v>1.9371362499999998</v>
      </c>
      <c r="H358" s="27">
        <v>0</v>
      </c>
      <c r="I358" s="27">
        <v>0.16081599999999999</v>
      </c>
      <c r="J358" s="27">
        <v>0.31169762499999992</v>
      </c>
      <c r="K358" s="27">
        <v>0</v>
      </c>
    </row>
    <row r="359" spans="1:12">
      <c r="A359" s="15">
        <v>4</v>
      </c>
      <c r="B359" s="22">
        <v>41772</v>
      </c>
      <c r="C359" s="15">
        <v>2014</v>
      </c>
      <c r="D359" s="11" t="s">
        <v>31</v>
      </c>
      <c r="E359" s="15">
        <v>5</v>
      </c>
      <c r="F359" s="33">
        <v>3.7629999999999999</v>
      </c>
      <c r="G359" s="27">
        <v>1.1869702499999997</v>
      </c>
      <c r="H359" s="27">
        <v>0</v>
      </c>
      <c r="I359" s="27">
        <v>0.27572012499999998</v>
      </c>
      <c r="J359" s="27">
        <v>0.61531037499999996</v>
      </c>
      <c r="K359" s="27">
        <v>0</v>
      </c>
    </row>
    <row r="360" spans="1:12">
      <c r="A360" s="15">
        <v>3</v>
      </c>
      <c r="B360" s="22">
        <v>41808</v>
      </c>
      <c r="C360" s="15">
        <v>2014</v>
      </c>
      <c r="D360" s="11" t="s">
        <v>32</v>
      </c>
      <c r="E360" s="15">
        <v>6</v>
      </c>
      <c r="F360" s="33">
        <v>8.3550000000000004</v>
      </c>
      <c r="G360" s="27">
        <v>0.25936262500000001</v>
      </c>
      <c r="H360" s="27">
        <v>0</v>
      </c>
      <c r="I360" s="27">
        <v>1.23038775</v>
      </c>
      <c r="J360" s="27">
        <v>2.8802321249999996</v>
      </c>
      <c r="K360" s="27">
        <v>0</v>
      </c>
    </row>
    <row r="361" spans="1:12">
      <c r="A361" s="15">
        <v>4</v>
      </c>
      <c r="B361" s="22">
        <v>41808</v>
      </c>
      <c r="C361" s="15">
        <v>2014</v>
      </c>
      <c r="D361" s="11" t="s">
        <v>32</v>
      </c>
      <c r="E361" s="15">
        <v>6</v>
      </c>
      <c r="F361" s="33">
        <v>10.061999999999999</v>
      </c>
      <c r="G361" s="27">
        <v>0.24391199999999999</v>
      </c>
      <c r="H361" s="27">
        <v>0</v>
      </c>
      <c r="I361" s="27">
        <v>1.2661182499999997</v>
      </c>
      <c r="J361" s="27">
        <v>3.4274501249999996</v>
      </c>
      <c r="K361" s="27">
        <v>0</v>
      </c>
    </row>
    <row r="362" spans="1:12">
      <c r="A362" s="15">
        <v>3</v>
      </c>
      <c r="B362" s="22">
        <v>41834</v>
      </c>
      <c r="C362" s="15">
        <v>2014</v>
      </c>
      <c r="D362" s="11" t="s">
        <v>33</v>
      </c>
      <c r="E362" s="15">
        <v>7</v>
      </c>
      <c r="F362" s="33">
        <v>14.663</v>
      </c>
      <c r="G362" s="27">
        <v>0.65710875000000002</v>
      </c>
      <c r="H362" s="27">
        <v>0</v>
      </c>
      <c r="I362" s="27">
        <v>2.4222667500000004</v>
      </c>
      <c r="J362" s="27">
        <v>1.655107125</v>
      </c>
      <c r="K362" s="27">
        <v>0</v>
      </c>
    </row>
    <row r="363" spans="1:12">
      <c r="A363" s="15">
        <v>4</v>
      </c>
      <c r="B363" s="22">
        <v>41834</v>
      </c>
      <c r="C363" s="15">
        <v>2014</v>
      </c>
      <c r="D363" s="11" t="s">
        <v>33</v>
      </c>
      <c r="E363" s="15">
        <v>7</v>
      </c>
      <c r="F363" s="33">
        <v>17.713999999999999</v>
      </c>
      <c r="G363" s="27">
        <v>0.31266062499999997</v>
      </c>
      <c r="H363" s="27">
        <v>0</v>
      </c>
      <c r="I363" s="27">
        <v>2.8836415</v>
      </c>
      <c r="J363" s="27">
        <v>3.066036875</v>
      </c>
      <c r="K363" s="27">
        <v>8.2586124999999996E-2</v>
      </c>
    </row>
    <row r="364" spans="1:12">
      <c r="A364" s="15">
        <v>3</v>
      </c>
      <c r="B364" s="22">
        <v>41864</v>
      </c>
      <c r="C364" s="15">
        <v>2014</v>
      </c>
      <c r="D364" s="11" t="s">
        <v>34</v>
      </c>
      <c r="E364" s="15">
        <v>8</v>
      </c>
      <c r="F364" s="33">
        <v>17.297999999999998</v>
      </c>
      <c r="G364" s="27">
        <v>1.2535890000000001</v>
      </c>
      <c r="H364" s="27">
        <v>0</v>
      </c>
      <c r="I364" s="27">
        <v>2.1025795000000005</v>
      </c>
      <c r="J364" s="27">
        <v>1.1974332499999998</v>
      </c>
      <c r="K364" s="27">
        <v>0</v>
      </c>
    </row>
    <row r="365" spans="1:12">
      <c r="A365" s="15">
        <v>4</v>
      </c>
      <c r="B365" s="22">
        <v>41864</v>
      </c>
      <c r="C365" s="15">
        <v>2014</v>
      </c>
      <c r="D365" s="11" t="s">
        <v>34</v>
      </c>
      <c r="E365" s="15">
        <v>8</v>
      </c>
      <c r="F365" s="33">
        <v>17.457999999999998</v>
      </c>
      <c r="G365" s="27">
        <v>0.49348312500000002</v>
      </c>
      <c r="H365" s="27">
        <v>0</v>
      </c>
      <c r="I365" s="27">
        <v>2.5212759999999994</v>
      </c>
      <c r="J365" s="27">
        <v>1.121007125</v>
      </c>
      <c r="K365" s="27">
        <v>0</v>
      </c>
    </row>
    <row r="366" spans="1:12">
      <c r="A366" s="15">
        <v>3</v>
      </c>
      <c r="B366" s="22">
        <v>41898</v>
      </c>
      <c r="C366" s="15">
        <v>2014</v>
      </c>
      <c r="D366" s="11" t="s">
        <v>40</v>
      </c>
      <c r="E366" s="15">
        <v>9</v>
      </c>
      <c r="F366" s="33">
        <v>10.042999999999999</v>
      </c>
      <c r="G366" s="27">
        <v>1.12362275</v>
      </c>
      <c r="H366" s="27">
        <v>0</v>
      </c>
      <c r="I366" s="27">
        <v>1.3672545</v>
      </c>
      <c r="J366" s="27">
        <v>0.35609924999999992</v>
      </c>
      <c r="K366" s="27">
        <v>0</v>
      </c>
    </row>
    <row r="367" spans="1:12">
      <c r="A367" s="15">
        <v>4</v>
      </c>
      <c r="B367" s="22">
        <v>41898</v>
      </c>
      <c r="C367" s="15">
        <v>2014</v>
      </c>
      <c r="D367" s="11" t="s">
        <v>40</v>
      </c>
      <c r="E367" s="15">
        <v>9</v>
      </c>
      <c r="F367" s="33">
        <v>12.87</v>
      </c>
      <c r="G367" s="27">
        <v>0.62478524999999996</v>
      </c>
      <c r="H367" s="27">
        <v>0</v>
      </c>
      <c r="I367" s="27">
        <v>2.105775</v>
      </c>
      <c r="J367" s="27">
        <v>1.113679125</v>
      </c>
      <c r="K367" s="27">
        <v>0</v>
      </c>
    </row>
    <row r="368" spans="1:12">
      <c r="A368" s="15">
        <v>3</v>
      </c>
      <c r="B368" s="22">
        <v>41929</v>
      </c>
      <c r="C368" s="15">
        <v>2014</v>
      </c>
      <c r="D368" s="11" t="s">
        <v>36</v>
      </c>
      <c r="E368" s="15">
        <v>10</v>
      </c>
      <c r="F368" s="26">
        <v>1.6759999999999999</v>
      </c>
      <c r="G368" s="27">
        <v>0.11012174999999999</v>
      </c>
      <c r="H368" s="27">
        <v>0</v>
      </c>
      <c r="I368" s="27">
        <v>0.16766887499999997</v>
      </c>
      <c r="J368" s="27">
        <v>5.7918125000000001E-2</v>
      </c>
      <c r="K368" s="27">
        <v>0</v>
      </c>
    </row>
    <row r="369" spans="1:12">
      <c r="A369" s="15">
        <v>4</v>
      </c>
      <c r="B369" s="22">
        <v>41929</v>
      </c>
      <c r="C369" s="15">
        <v>2014</v>
      </c>
      <c r="D369" s="11" t="s">
        <v>36</v>
      </c>
      <c r="E369" s="15">
        <v>10</v>
      </c>
      <c r="F369" s="26">
        <v>4.0270000000000001</v>
      </c>
      <c r="G369" s="27">
        <v>0.10629474999999999</v>
      </c>
      <c r="H369" s="27">
        <v>0</v>
      </c>
      <c r="I369" s="27">
        <v>0.32296549999999996</v>
      </c>
      <c r="J369" s="27">
        <v>0.39009924999999995</v>
      </c>
      <c r="K369" s="27">
        <v>0</v>
      </c>
    </row>
    <row r="370" spans="1:12">
      <c r="A370" s="15">
        <v>3</v>
      </c>
      <c r="B370" s="22">
        <v>41953</v>
      </c>
      <c r="C370" s="15">
        <v>2014</v>
      </c>
      <c r="D370" s="11" t="s">
        <v>37</v>
      </c>
      <c r="E370" s="15">
        <v>11</v>
      </c>
      <c r="F370" s="26">
        <v>1.635</v>
      </c>
      <c r="G370" s="27">
        <v>0.10145637499999999</v>
      </c>
      <c r="H370" s="27">
        <v>0</v>
      </c>
      <c r="I370" s="27">
        <v>0.12559637500000001</v>
      </c>
      <c r="J370" s="27">
        <v>2.0041E-2</v>
      </c>
      <c r="K370" s="27">
        <v>0</v>
      </c>
    </row>
    <row r="371" spans="1:12">
      <c r="A371" s="15">
        <v>3</v>
      </c>
      <c r="B371" s="22">
        <v>41953</v>
      </c>
      <c r="C371" s="15">
        <v>2014</v>
      </c>
      <c r="D371" s="11" t="s">
        <v>37</v>
      </c>
      <c r="E371" s="15">
        <v>11</v>
      </c>
      <c r="F371" s="26">
        <v>1.635</v>
      </c>
      <c r="G371" s="27">
        <v>0.12523087499999996</v>
      </c>
      <c r="H371" s="27">
        <v>0</v>
      </c>
      <c r="I371" s="27">
        <v>0.12758112499999996</v>
      </c>
      <c r="J371" s="27">
        <v>2.4140499999999995E-2</v>
      </c>
      <c r="K371" s="27">
        <v>0</v>
      </c>
      <c r="L371" t="s">
        <v>41</v>
      </c>
    </row>
    <row r="372" spans="1:12">
      <c r="A372" s="15">
        <v>4</v>
      </c>
      <c r="B372" s="22">
        <v>41953</v>
      </c>
      <c r="C372" s="15">
        <v>2014</v>
      </c>
      <c r="D372" s="11" t="s">
        <v>37</v>
      </c>
      <c r="E372" s="15">
        <v>11</v>
      </c>
      <c r="F372" s="26">
        <v>2.0110000000000001</v>
      </c>
      <c r="G372" s="27">
        <v>5.7618374999999993E-2</v>
      </c>
      <c r="H372" s="27">
        <v>0</v>
      </c>
      <c r="I372" s="27">
        <v>0.21138537499999996</v>
      </c>
      <c r="J372" s="27">
        <v>3.8820500000000001E-2</v>
      </c>
      <c r="K372" s="27">
        <v>0</v>
      </c>
    </row>
    <row r="373" spans="1:12">
      <c r="A373" s="15">
        <v>3</v>
      </c>
      <c r="B373" s="22">
        <v>41988</v>
      </c>
      <c r="C373" s="15">
        <v>2014</v>
      </c>
      <c r="D373" s="11" t="s">
        <v>38</v>
      </c>
      <c r="E373" s="15">
        <v>12</v>
      </c>
      <c r="F373" s="26">
        <v>5.5650000000000004</v>
      </c>
      <c r="G373" s="27">
        <v>1.1830502499999997</v>
      </c>
      <c r="H373" s="27">
        <v>0</v>
      </c>
      <c r="I373" s="27">
        <v>1.2356728749999999</v>
      </c>
      <c r="J373" s="27">
        <v>2.0511374999999998E-2</v>
      </c>
      <c r="K373" s="27">
        <v>0</v>
      </c>
    </row>
    <row r="374" spans="1:12">
      <c r="A374" s="15">
        <v>4</v>
      </c>
      <c r="B374" s="22">
        <v>41988</v>
      </c>
      <c r="C374" s="15">
        <v>2014</v>
      </c>
      <c r="D374" s="11" t="s">
        <v>38</v>
      </c>
      <c r="E374" s="15">
        <v>12</v>
      </c>
      <c r="F374" s="26">
        <v>3.9420000000000002</v>
      </c>
      <c r="G374" s="27">
        <v>0.52847924999999996</v>
      </c>
      <c r="H374" s="27">
        <v>0</v>
      </c>
      <c r="I374" s="27">
        <v>0.80063925000000002</v>
      </c>
      <c r="J374" s="27">
        <v>4.1400249999999993E-2</v>
      </c>
      <c r="K374" s="27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8"/>
  <sheetViews>
    <sheetView workbookViewId="0">
      <selection activeCell="F3" sqref="F3:K368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3</v>
      </c>
      <c r="B3" s="9">
        <v>36445</v>
      </c>
      <c r="C3" s="10">
        <v>1999</v>
      </c>
      <c r="D3" s="11" t="s">
        <v>14</v>
      </c>
      <c r="E3" s="12">
        <v>10</v>
      </c>
      <c r="F3" s="13">
        <v>11.587624269536716</v>
      </c>
      <c r="G3" s="13">
        <v>0.54665740033333332</v>
      </c>
      <c r="H3" s="13">
        <v>5.5105851333333324E-2</v>
      </c>
      <c r="I3" s="13">
        <v>2.0426174305</v>
      </c>
      <c r="J3" s="13">
        <v>0.8778340773333333</v>
      </c>
      <c r="K3" s="14" t="s">
        <v>15</v>
      </c>
    </row>
    <row r="4" spans="1:12">
      <c r="A4" s="8">
        <v>4</v>
      </c>
      <c r="B4" s="9">
        <v>36444</v>
      </c>
      <c r="C4" s="10">
        <v>1999</v>
      </c>
      <c r="D4" s="11" t="s">
        <v>14</v>
      </c>
      <c r="E4" s="12">
        <v>10</v>
      </c>
      <c r="F4" s="13">
        <v>14.372718367248131</v>
      </c>
      <c r="G4" s="13">
        <v>0.39266792666666667</v>
      </c>
      <c r="H4" s="13">
        <v>8.7489916333333348E-2</v>
      </c>
      <c r="I4" s="13">
        <v>1.7032575683333331</v>
      </c>
      <c r="J4" s="13">
        <v>1.6285648666666668</v>
      </c>
      <c r="K4" s="14" t="s">
        <v>15</v>
      </c>
    </row>
    <row r="5" spans="1:12">
      <c r="A5" s="8">
        <v>3</v>
      </c>
      <c r="B5" s="9">
        <v>36472</v>
      </c>
      <c r="C5" s="10">
        <v>1999</v>
      </c>
      <c r="D5" s="11" t="s">
        <v>16</v>
      </c>
      <c r="E5" s="10">
        <v>11</v>
      </c>
      <c r="F5" s="13">
        <v>4.1068763245169384</v>
      </c>
      <c r="G5" s="13">
        <v>0.12169860549999999</v>
      </c>
      <c r="H5" s="13">
        <v>0</v>
      </c>
      <c r="I5" s="13">
        <v>0.50522192050000003</v>
      </c>
      <c r="J5" s="13">
        <v>6.3241861499999996E-2</v>
      </c>
      <c r="K5" s="14" t="s">
        <v>15</v>
      </c>
    </row>
    <row r="6" spans="1:12">
      <c r="A6" s="8">
        <v>4</v>
      </c>
      <c r="B6" s="9">
        <v>36472</v>
      </c>
      <c r="C6" s="10">
        <v>1999</v>
      </c>
      <c r="D6" s="11" t="s">
        <v>16</v>
      </c>
      <c r="E6" s="10">
        <v>11</v>
      </c>
      <c r="F6" s="13">
        <v>4.5627969464577083</v>
      </c>
      <c r="G6" s="13">
        <v>0.17035343283333332</v>
      </c>
      <c r="H6" s="13">
        <v>1.4422445833333335E-2</v>
      </c>
      <c r="I6" s="13">
        <v>0.69990685549999998</v>
      </c>
      <c r="J6" s="13">
        <v>6.3672411999999998E-2</v>
      </c>
      <c r="K6" s="14" t="s">
        <v>15</v>
      </c>
    </row>
    <row r="7" spans="1:12">
      <c r="A7" s="8">
        <v>3</v>
      </c>
      <c r="B7" s="9">
        <v>36501</v>
      </c>
      <c r="C7" s="10">
        <v>1999</v>
      </c>
      <c r="D7" s="11" t="s">
        <v>17</v>
      </c>
      <c r="E7" s="10">
        <v>12</v>
      </c>
      <c r="F7" s="13">
        <v>3.6119794887362189</v>
      </c>
      <c r="G7" s="13">
        <v>0.17813489666666668</v>
      </c>
      <c r="H7" s="13">
        <v>0</v>
      </c>
      <c r="I7" s="13">
        <v>0.40046543000000001</v>
      </c>
      <c r="J7" s="13">
        <v>2.1607093499999997E-2</v>
      </c>
      <c r="K7" s="14" t="s">
        <v>15</v>
      </c>
    </row>
    <row r="8" spans="1:12">
      <c r="A8" s="8">
        <v>4</v>
      </c>
      <c r="B8" s="9">
        <v>36501</v>
      </c>
      <c r="C8" s="10">
        <v>1999</v>
      </c>
      <c r="D8" s="11" t="s">
        <v>17</v>
      </c>
      <c r="E8" s="10">
        <v>12</v>
      </c>
      <c r="F8" s="13">
        <v>7.6863744774797018</v>
      </c>
      <c r="G8" s="13">
        <v>3.3781212499999998E-2</v>
      </c>
      <c r="H8" s="13">
        <v>1.9299238E-2</v>
      </c>
      <c r="I8" s="13">
        <v>2.5816659889999998</v>
      </c>
      <c r="J8" s="13">
        <v>4.5664619000000004E-2</v>
      </c>
      <c r="K8" s="14" t="s">
        <v>15</v>
      </c>
    </row>
    <row r="9" spans="1:12">
      <c r="A9" s="8">
        <v>3</v>
      </c>
      <c r="B9" s="9">
        <v>36530</v>
      </c>
      <c r="C9" s="12">
        <v>2000</v>
      </c>
      <c r="D9" s="11" t="s">
        <v>18</v>
      </c>
      <c r="E9" s="10">
        <v>1</v>
      </c>
      <c r="F9" s="13">
        <v>5.2430358388163469</v>
      </c>
      <c r="G9" s="13">
        <v>9.7498459500000009E-2</v>
      </c>
      <c r="H9" s="13">
        <v>0</v>
      </c>
      <c r="I9" s="13">
        <v>1.6686553348333331</v>
      </c>
      <c r="J9" s="13">
        <v>1.8754892999999998E-2</v>
      </c>
      <c r="K9" s="14" t="s">
        <v>15</v>
      </c>
    </row>
    <row r="10" spans="1:12">
      <c r="A10" s="8">
        <v>4</v>
      </c>
      <c r="B10" s="9">
        <v>36530</v>
      </c>
      <c r="C10" s="12">
        <v>2000</v>
      </c>
      <c r="D10" s="11" t="s">
        <v>18</v>
      </c>
      <c r="E10" s="10">
        <v>1</v>
      </c>
      <c r="F10" s="13">
        <v>9.2030291353057638</v>
      </c>
      <c r="G10" s="13">
        <v>0.85552858416666666</v>
      </c>
      <c r="H10" s="13">
        <v>0</v>
      </c>
      <c r="I10" s="13">
        <v>2.7644156874999997</v>
      </c>
      <c r="J10" s="13">
        <v>4.1257053499999995E-2</v>
      </c>
      <c r="K10" s="14" t="s">
        <v>15</v>
      </c>
    </row>
    <row r="11" spans="1:12">
      <c r="A11" s="8">
        <v>3</v>
      </c>
      <c r="B11" s="9">
        <v>36579</v>
      </c>
      <c r="C11" s="12">
        <v>2000</v>
      </c>
      <c r="D11" s="11" t="s">
        <v>19</v>
      </c>
      <c r="E11" s="12">
        <v>2</v>
      </c>
      <c r="F11" s="13">
        <v>4.3640586854323722</v>
      </c>
      <c r="G11" s="13">
        <v>0.39487519249999997</v>
      </c>
      <c r="H11" s="13">
        <v>1.5732128666666668E-2</v>
      </c>
      <c r="I11" s="13">
        <v>1.6224429144999999</v>
      </c>
      <c r="J11" s="13">
        <v>6.4468516333333337E-2</v>
      </c>
      <c r="K11" s="14" t="s">
        <v>15</v>
      </c>
    </row>
    <row r="12" spans="1:12">
      <c r="A12" s="8">
        <v>4</v>
      </c>
      <c r="B12" s="9">
        <v>36579</v>
      </c>
      <c r="C12" s="12">
        <v>2000</v>
      </c>
      <c r="D12" s="11" t="s">
        <v>19</v>
      </c>
      <c r="E12" s="12">
        <v>2</v>
      </c>
      <c r="F12" s="13">
        <v>6.7678057546224348</v>
      </c>
      <c r="G12" s="13">
        <v>2.2646408021666669</v>
      </c>
      <c r="H12" s="13">
        <v>0</v>
      </c>
      <c r="I12" s="13">
        <v>1.8209400088333334</v>
      </c>
      <c r="J12" s="13">
        <v>9.1529144666666659E-2</v>
      </c>
      <c r="K12" s="14" t="s">
        <v>15</v>
      </c>
    </row>
    <row r="13" spans="1:12">
      <c r="A13" s="8">
        <v>3</v>
      </c>
      <c r="B13" s="9">
        <v>36598</v>
      </c>
      <c r="C13" s="12">
        <v>2000</v>
      </c>
      <c r="D13" s="11" t="s">
        <v>20</v>
      </c>
      <c r="E13" s="12">
        <v>3</v>
      </c>
      <c r="F13" s="13">
        <v>3.9525320086953584</v>
      </c>
      <c r="G13" s="13">
        <v>0.13990637333333333</v>
      </c>
      <c r="H13" s="13">
        <v>1.7598790999999999E-2</v>
      </c>
      <c r="I13" s="13">
        <v>0.98975917600000007</v>
      </c>
      <c r="J13" s="13">
        <v>3.8138052166666665E-2</v>
      </c>
      <c r="K13" s="14" t="s">
        <v>15</v>
      </c>
    </row>
    <row r="14" spans="1:12">
      <c r="A14" s="8">
        <v>4</v>
      </c>
      <c r="B14" s="9">
        <v>36598</v>
      </c>
      <c r="C14" s="12">
        <v>2000</v>
      </c>
      <c r="D14" s="11" t="s">
        <v>20</v>
      </c>
      <c r="E14" s="12">
        <v>3</v>
      </c>
      <c r="F14" s="13">
        <v>15.295362854459274</v>
      </c>
      <c r="G14" s="13">
        <v>0.82420218266666667</v>
      </c>
      <c r="H14" s="13">
        <v>0</v>
      </c>
      <c r="I14" s="13">
        <v>4.2922111898333331</v>
      </c>
      <c r="J14" s="13">
        <v>0.11098034066666665</v>
      </c>
      <c r="K14" s="14" t="s">
        <v>15</v>
      </c>
    </row>
    <row r="15" spans="1:12">
      <c r="A15" s="8">
        <v>3</v>
      </c>
      <c r="B15" s="9">
        <v>36627</v>
      </c>
      <c r="C15" s="12">
        <v>2000</v>
      </c>
      <c r="D15" s="15" t="s">
        <v>21</v>
      </c>
      <c r="E15" s="12">
        <v>4</v>
      </c>
      <c r="F15" s="13">
        <v>20.474116121754371</v>
      </c>
      <c r="G15" s="13">
        <v>4.0007887804999998</v>
      </c>
      <c r="H15" s="13">
        <v>0</v>
      </c>
      <c r="I15" s="13">
        <v>2.4918042569999996</v>
      </c>
      <c r="J15" s="13">
        <v>0.3009719921666667</v>
      </c>
      <c r="K15" s="14" t="s">
        <v>15</v>
      </c>
    </row>
    <row r="16" spans="1:12">
      <c r="A16" s="8">
        <v>4</v>
      </c>
      <c r="B16" s="9">
        <v>36627</v>
      </c>
      <c r="C16" s="12">
        <v>2000</v>
      </c>
      <c r="D16" s="15" t="s">
        <v>21</v>
      </c>
      <c r="E16" s="12">
        <v>4</v>
      </c>
      <c r="F16" s="13">
        <v>31.833490623441644</v>
      </c>
      <c r="G16" s="13">
        <v>5.3754380885000002</v>
      </c>
      <c r="H16" s="13">
        <v>0</v>
      </c>
      <c r="I16" s="13">
        <v>3.8490673759999998</v>
      </c>
      <c r="J16" s="13">
        <v>0.4903978581666667</v>
      </c>
      <c r="K16" s="14" t="s">
        <v>15</v>
      </c>
    </row>
    <row r="17" spans="1:11">
      <c r="A17" s="8">
        <v>3</v>
      </c>
      <c r="B17" s="9">
        <v>36662</v>
      </c>
      <c r="C17" s="12">
        <v>2000</v>
      </c>
      <c r="D17" s="15" t="s">
        <v>22</v>
      </c>
      <c r="E17" s="12">
        <v>5</v>
      </c>
      <c r="F17" s="13">
        <v>12.217087705074391</v>
      </c>
      <c r="G17" s="13">
        <v>9.9194977333333337E-2</v>
      </c>
      <c r="H17" s="13">
        <v>1.4927900798333333</v>
      </c>
      <c r="I17" s="13">
        <v>4.9139994951666663</v>
      </c>
      <c r="J17" s="13">
        <v>0.46249782933333333</v>
      </c>
      <c r="K17" s="14" t="s">
        <v>15</v>
      </c>
    </row>
    <row r="18" spans="1:11">
      <c r="A18" s="8">
        <v>4</v>
      </c>
      <c r="B18" s="9">
        <v>36662</v>
      </c>
      <c r="C18" s="12">
        <v>2000</v>
      </c>
      <c r="D18" s="15" t="s">
        <v>22</v>
      </c>
      <c r="E18" s="12">
        <v>5</v>
      </c>
      <c r="F18" s="13">
        <v>13.170256326163051</v>
      </c>
      <c r="G18" s="13">
        <v>0.10844316433333334</v>
      </c>
      <c r="H18" s="13">
        <v>0.47522082200000004</v>
      </c>
      <c r="I18" s="13">
        <v>3.8913566184999997</v>
      </c>
      <c r="J18" s="13">
        <v>0.688139838</v>
      </c>
      <c r="K18" s="14" t="s">
        <v>15</v>
      </c>
    </row>
    <row r="19" spans="1:11">
      <c r="A19" s="8">
        <v>3</v>
      </c>
      <c r="B19" s="9">
        <v>36690</v>
      </c>
      <c r="C19" s="12">
        <v>2000</v>
      </c>
      <c r="D19" s="15" t="s">
        <v>23</v>
      </c>
      <c r="E19" s="12">
        <v>6</v>
      </c>
      <c r="F19" s="13">
        <v>18.42501600604221</v>
      </c>
      <c r="G19" s="13">
        <v>0.14096361750000003</v>
      </c>
      <c r="H19" s="13">
        <v>0.94923522199999999</v>
      </c>
      <c r="I19" s="13">
        <v>4.427583626333333</v>
      </c>
      <c r="J19" s="13">
        <v>1.4544563038333334</v>
      </c>
      <c r="K19" s="14" t="s">
        <v>15</v>
      </c>
    </row>
    <row r="20" spans="1:11">
      <c r="A20" s="8">
        <v>4</v>
      </c>
      <c r="B20" s="9">
        <v>36690</v>
      </c>
      <c r="C20" s="12">
        <v>2000</v>
      </c>
      <c r="D20" s="15" t="s">
        <v>23</v>
      </c>
      <c r="E20" s="12">
        <v>6</v>
      </c>
      <c r="F20" s="13">
        <v>32.976907299549254</v>
      </c>
      <c r="G20" s="13">
        <v>0.16694569933333334</v>
      </c>
      <c r="H20" s="13">
        <v>8.2978763666666677E-2</v>
      </c>
      <c r="I20" s="13">
        <v>3.9440741166666662</v>
      </c>
      <c r="J20" s="13">
        <v>4.4695590880000005</v>
      </c>
      <c r="K20" s="14" t="s">
        <v>15</v>
      </c>
    </row>
    <row r="21" spans="1:11">
      <c r="A21" s="8">
        <v>3</v>
      </c>
      <c r="B21" s="9">
        <v>36718</v>
      </c>
      <c r="C21" s="12">
        <v>2000</v>
      </c>
      <c r="D21" s="15" t="s">
        <v>24</v>
      </c>
      <c r="E21" s="12">
        <v>7</v>
      </c>
      <c r="F21" s="13">
        <v>20.025245213728596</v>
      </c>
      <c r="G21" s="13">
        <v>0.34200533133333333</v>
      </c>
      <c r="H21" s="13">
        <v>0.11907997366666667</v>
      </c>
      <c r="I21" s="13">
        <v>2.8437402403333327</v>
      </c>
      <c r="J21" s="13">
        <v>2.3464952978333331</v>
      </c>
      <c r="K21" s="14" t="s">
        <v>15</v>
      </c>
    </row>
    <row r="22" spans="1:11">
      <c r="A22" s="8">
        <v>4</v>
      </c>
      <c r="B22" s="9">
        <v>36718</v>
      </c>
      <c r="C22" s="12">
        <v>2000</v>
      </c>
      <c r="D22" s="15" t="s">
        <v>24</v>
      </c>
      <c r="E22" s="12">
        <v>7</v>
      </c>
      <c r="F22" s="13">
        <v>31.953396116235044</v>
      </c>
      <c r="G22" s="13">
        <v>0.17887916433333331</v>
      </c>
      <c r="H22" s="13">
        <v>0.25835130766666664</v>
      </c>
      <c r="I22" s="13">
        <v>4.006450249666667</v>
      </c>
      <c r="J22" s="13">
        <v>2.90595172</v>
      </c>
      <c r="K22" s="14" t="s">
        <v>15</v>
      </c>
    </row>
    <row r="23" spans="1:11">
      <c r="A23" s="8">
        <v>3</v>
      </c>
      <c r="B23" s="9">
        <v>36753</v>
      </c>
      <c r="C23" s="12">
        <v>2000</v>
      </c>
      <c r="D23" s="15" t="s">
        <v>25</v>
      </c>
      <c r="E23" s="12">
        <v>8</v>
      </c>
      <c r="F23" s="13">
        <v>28.156610334451724</v>
      </c>
      <c r="G23" s="13">
        <v>0.40492566899999999</v>
      </c>
      <c r="H23" s="13">
        <v>0</v>
      </c>
      <c r="I23" s="13">
        <v>3.2528478158333338</v>
      </c>
      <c r="J23" s="13">
        <v>3.4888973633333329</v>
      </c>
      <c r="K23" s="14" t="s">
        <v>15</v>
      </c>
    </row>
    <row r="24" spans="1:11">
      <c r="A24" s="8">
        <v>4</v>
      </c>
      <c r="B24" s="9">
        <v>36753</v>
      </c>
      <c r="C24" s="12">
        <v>2000</v>
      </c>
      <c r="D24" s="15" t="s">
        <v>25</v>
      </c>
      <c r="E24" s="12">
        <v>8</v>
      </c>
      <c r="F24" s="13">
        <v>35.417949447438119</v>
      </c>
      <c r="G24" s="13">
        <v>0.31665663133333338</v>
      </c>
      <c r="H24" s="13">
        <v>0</v>
      </c>
      <c r="I24" s="13">
        <v>2.8447982183333327</v>
      </c>
      <c r="J24" s="13">
        <v>4.4387798263333336</v>
      </c>
      <c r="K24" s="14" t="s">
        <v>15</v>
      </c>
    </row>
    <row r="25" spans="1:11">
      <c r="A25" s="8">
        <v>3</v>
      </c>
      <c r="B25" s="9">
        <v>36781</v>
      </c>
      <c r="C25" s="12">
        <v>2000</v>
      </c>
      <c r="D25" s="15" t="s">
        <v>26</v>
      </c>
      <c r="E25" s="12">
        <v>9</v>
      </c>
      <c r="F25" s="16">
        <v>5.505185712210781</v>
      </c>
      <c r="G25" s="16">
        <v>0.11878633550000001</v>
      </c>
      <c r="H25" s="16">
        <v>3.6936871833333329E-2</v>
      </c>
      <c r="I25" s="16">
        <v>0.97710956666666671</v>
      </c>
      <c r="J25" s="16">
        <v>0.76140345166666679</v>
      </c>
      <c r="K25" s="17" t="s">
        <v>15</v>
      </c>
    </row>
    <row r="26" spans="1:11">
      <c r="A26" s="8">
        <v>4</v>
      </c>
      <c r="B26" s="9">
        <v>36781</v>
      </c>
      <c r="C26" s="12">
        <v>2000</v>
      </c>
      <c r="D26" s="15" t="s">
        <v>26</v>
      </c>
      <c r="E26" s="12">
        <v>9</v>
      </c>
      <c r="F26" s="16">
        <v>10.02760484010903</v>
      </c>
      <c r="G26" s="16">
        <v>0.19076920033333333</v>
      </c>
      <c r="H26" s="16">
        <v>4.1397320500000001E-2</v>
      </c>
      <c r="I26" s="16">
        <v>1.7485088766666665</v>
      </c>
      <c r="J26" s="16">
        <v>1.2120290108333334</v>
      </c>
      <c r="K26" s="17" t="s">
        <v>15</v>
      </c>
    </row>
    <row r="27" spans="1:11">
      <c r="A27" s="8">
        <v>3</v>
      </c>
      <c r="B27" s="9">
        <v>36817</v>
      </c>
      <c r="C27" s="12">
        <v>2000</v>
      </c>
      <c r="D27" s="15" t="s">
        <v>14</v>
      </c>
      <c r="E27" s="12">
        <v>10</v>
      </c>
      <c r="F27" s="17">
        <v>5.1552847540285232</v>
      </c>
      <c r="G27" s="17">
        <v>1.0395314218333334</v>
      </c>
      <c r="H27" s="17">
        <v>0</v>
      </c>
      <c r="I27" s="17">
        <v>0.16182010433333333</v>
      </c>
      <c r="J27" s="17">
        <v>4.9894481500000004E-2</v>
      </c>
      <c r="K27" s="17" t="s">
        <v>15</v>
      </c>
    </row>
    <row r="28" spans="1:11">
      <c r="A28" s="8">
        <v>4</v>
      </c>
      <c r="B28" s="9">
        <v>36817</v>
      </c>
      <c r="C28" s="12">
        <v>2000</v>
      </c>
      <c r="D28" s="15" t="s">
        <v>14</v>
      </c>
      <c r="E28" s="12">
        <v>10</v>
      </c>
      <c r="F28" s="17">
        <v>7.6204647894963671</v>
      </c>
      <c r="G28" s="17">
        <v>0.60635379850000004</v>
      </c>
      <c r="H28" s="17">
        <v>0</v>
      </c>
      <c r="I28" s="17">
        <v>0.29691672433333333</v>
      </c>
      <c r="J28" s="17">
        <v>0.51940670916666665</v>
      </c>
      <c r="K28" s="17" t="s">
        <v>15</v>
      </c>
    </row>
    <row r="29" spans="1:11">
      <c r="A29" s="8">
        <v>3</v>
      </c>
      <c r="B29" s="9">
        <v>36848</v>
      </c>
      <c r="C29" s="12">
        <v>2000</v>
      </c>
      <c r="D29" s="15" t="s">
        <v>16</v>
      </c>
      <c r="E29" s="12">
        <v>11</v>
      </c>
      <c r="F29" s="17">
        <v>2.1484922622143627</v>
      </c>
      <c r="G29" s="17">
        <v>0</v>
      </c>
      <c r="H29" s="17">
        <v>0</v>
      </c>
      <c r="I29" s="17">
        <v>0.27904777783333334</v>
      </c>
      <c r="J29" s="17">
        <v>0.24586865683333334</v>
      </c>
      <c r="K29" s="17" t="s">
        <v>15</v>
      </c>
    </row>
    <row r="30" spans="1:11">
      <c r="A30" s="8">
        <v>4</v>
      </c>
      <c r="B30" s="9">
        <v>36848</v>
      </c>
      <c r="C30" s="12">
        <v>2000</v>
      </c>
      <c r="D30" s="15" t="s">
        <v>16</v>
      </c>
      <c r="E30" s="12">
        <v>11</v>
      </c>
      <c r="F30" s="17">
        <v>5.0971790667895167</v>
      </c>
      <c r="G30" s="17">
        <v>2.0000417833333336E-2</v>
      </c>
      <c r="H30" s="17">
        <v>0</v>
      </c>
      <c r="I30" s="17">
        <v>0.57796765750000001</v>
      </c>
      <c r="J30" s="17">
        <v>0.65751298933333335</v>
      </c>
      <c r="K30" s="17" t="s">
        <v>15</v>
      </c>
    </row>
    <row r="31" spans="1:11">
      <c r="A31" s="8">
        <v>3</v>
      </c>
      <c r="B31" s="9">
        <v>36871</v>
      </c>
      <c r="C31" s="12">
        <v>2000</v>
      </c>
      <c r="D31" s="15" t="s">
        <v>17</v>
      </c>
      <c r="E31" s="12">
        <v>12</v>
      </c>
      <c r="F31" s="17">
        <v>1.8706891478801031</v>
      </c>
      <c r="G31" s="17">
        <v>0.25030593733333334</v>
      </c>
      <c r="H31" s="17">
        <v>0</v>
      </c>
      <c r="I31" s="17">
        <v>0.16593030483333332</v>
      </c>
      <c r="J31" s="17">
        <v>2.5977385499999998E-2</v>
      </c>
      <c r="K31" s="17" t="s">
        <v>15</v>
      </c>
    </row>
    <row r="32" spans="1:11">
      <c r="A32" s="8">
        <v>4</v>
      </c>
      <c r="B32" s="9">
        <v>36871</v>
      </c>
      <c r="C32" s="12">
        <v>2000</v>
      </c>
      <c r="D32" s="15" t="s">
        <v>17</v>
      </c>
      <c r="E32" s="12">
        <v>12</v>
      </c>
      <c r="F32" s="17">
        <v>3.7620316666914344</v>
      </c>
      <c r="G32" s="17">
        <v>0.68829803150000002</v>
      </c>
      <c r="H32" s="17">
        <v>0</v>
      </c>
      <c r="I32" s="17">
        <v>0.33870979066666662</v>
      </c>
      <c r="J32" s="17">
        <v>5.8125575499999999E-2</v>
      </c>
      <c r="K32" s="17" t="s">
        <v>15</v>
      </c>
    </row>
    <row r="33" spans="1:11">
      <c r="A33" s="8">
        <v>3</v>
      </c>
      <c r="B33" s="9">
        <v>36901</v>
      </c>
      <c r="C33" s="12">
        <v>2001</v>
      </c>
      <c r="D33" s="15" t="s">
        <v>18</v>
      </c>
      <c r="E33" s="12">
        <v>1</v>
      </c>
      <c r="F33" s="17">
        <v>3.6603537246189437</v>
      </c>
      <c r="G33" s="17">
        <v>0.86006881099999999</v>
      </c>
      <c r="H33" s="17">
        <v>0</v>
      </c>
      <c r="I33" s="17">
        <v>0.27575674500000003</v>
      </c>
      <c r="J33" s="17">
        <v>6.2355076333333335E-2</v>
      </c>
      <c r="K33" s="17" t="s">
        <v>15</v>
      </c>
    </row>
    <row r="34" spans="1:11">
      <c r="A34" s="8">
        <v>4</v>
      </c>
      <c r="B34" s="9">
        <v>36901</v>
      </c>
      <c r="C34" s="12">
        <v>2001</v>
      </c>
      <c r="D34" s="15" t="s">
        <v>18</v>
      </c>
      <c r="E34" s="12">
        <v>1</v>
      </c>
      <c r="F34" s="17">
        <v>7.1778812047673535</v>
      </c>
      <c r="G34" s="17">
        <v>1.9558241316666667</v>
      </c>
      <c r="H34" s="17">
        <v>0</v>
      </c>
      <c r="I34" s="17">
        <v>0.40866622716666662</v>
      </c>
      <c r="J34" s="17">
        <v>0.10998306116666667</v>
      </c>
      <c r="K34" s="17" t="s">
        <v>15</v>
      </c>
    </row>
    <row r="35" spans="1:11">
      <c r="A35" s="12">
        <v>3</v>
      </c>
      <c r="B35" s="9">
        <v>36928</v>
      </c>
      <c r="C35" s="12">
        <v>2001</v>
      </c>
      <c r="D35" s="11" t="s">
        <v>19</v>
      </c>
      <c r="E35" s="12">
        <v>2</v>
      </c>
      <c r="F35" s="17">
        <v>3.8381383827951239</v>
      </c>
      <c r="G35" s="17">
        <v>0</v>
      </c>
      <c r="H35" s="17">
        <v>0</v>
      </c>
      <c r="I35" s="17">
        <v>1.1100196778333333</v>
      </c>
      <c r="J35" s="17">
        <v>6.7767306833333332E-2</v>
      </c>
      <c r="K35" s="17" t="s">
        <v>15</v>
      </c>
    </row>
    <row r="36" spans="1:11">
      <c r="A36" s="12">
        <v>4</v>
      </c>
      <c r="B36" s="9">
        <v>36928</v>
      </c>
      <c r="C36" s="12">
        <v>2001</v>
      </c>
      <c r="D36" s="11" t="s">
        <v>19</v>
      </c>
      <c r="E36" s="12">
        <v>2</v>
      </c>
      <c r="F36" s="17">
        <v>4.6473219110529893</v>
      </c>
      <c r="G36" s="17">
        <v>0</v>
      </c>
      <c r="H36" s="17">
        <v>0</v>
      </c>
      <c r="I36" s="17">
        <v>0.97963751766666662</v>
      </c>
      <c r="J36" s="17">
        <v>0.10498701899999999</v>
      </c>
      <c r="K36" s="17" t="s">
        <v>15</v>
      </c>
    </row>
    <row r="37" spans="1:11">
      <c r="A37" s="8">
        <v>3</v>
      </c>
      <c r="B37" s="9">
        <v>36965</v>
      </c>
      <c r="C37" s="12">
        <v>2001</v>
      </c>
      <c r="D37" s="11" t="s">
        <v>20</v>
      </c>
      <c r="E37" s="12">
        <v>3</v>
      </c>
      <c r="F37" s="17">
        <v>3.0647509565419848</v>
      </c>
      <c r="G37" s="17">
        <v>0</v>
      </c>
      <c r="H37" s="17">
        <v>3.5679605666666669E-2</v>
      </c>
      <c r="I37" s="17">
        <v>0.84151561733333335</v>
      </c>
      <c r="J37" s="17">
        <v>2.2643161333333332E-2</v>
      </c>
      <c r="K37" s="17" t="s">
        <v>15</v>
      </c>
    </row>
    <row r="38" spans="1:11">
      <c r="A38" s="8">
        <v>4</v>
      </c>
      <c r="B38" s="9">
        <v>36965</v>
      </c>
      <c r="C38" s="12">
        <v>2001</v>
      </c>
      <c r="D38" s="11" t="s">
        <v>20</v>
      </c>
      <c r="E38" s="12">
        <v>3</v>
      </c>
      <c r="F38" s="17">
        <v>15.923001191095393</v>
      </c>
      <c r="G38" s="17">
        <v>0</v>
      </c>
      <c r="H38" s="17">
        <v>0</v>
      </c>
      <c r="I38" s="17">
        <v>4.7861398346666668</v>
      </c>
      <c r="J38" s="17">
        <v>8.195712749999999E-2</v>
      </c>
      <c r="K38" s="17" t="s">
        <v>15</v>
      </c>
    </row>
    <row r="39" spans="1:11">
      <c r="A39" s="8">
        <v>3</v>
      </c>
      <c r="B39" s="9">
        <v>37000</v>
      </c>
      <c r="C39" s="12">
        <v>2001</v>
      </c>
      <c r="D39" s="15" t="s">
        <v>21</v>
      </c>
      <c r="E39" s="12">
        <v>4</v>
      </c>
      <c r="F39" s="17">
        <v>1.787291100592947</v>
      </c>
      <c r="G39" s="17">
        <v>0</v>
      </c>
      <c r="H39" s="17">
        <v>0</v>
      </c>
      <c r="I39" s="17">
        <v>0.27965685950000002</v>
      </c>
      <c r="J39" s="17">
        <v>2.3421234333333332E-2</v>
      </c>
      <c r="K39" s="17" t="s">
        <v>15</v>
      </c>
    </row>
    <row r="40" spans="1:11">
      <c r="A40" s="8">
        <v>4</v>
      </c>
      <c r="B40" s="9">
        <v>37000</v>
      </c>
      <c r="C40" s="12">
        <v>2001</v>
      </c>
      <c r="D40" s="15" t="s">
        <v>21</v>
      </c>
      <c r="E40" s="12">
        <v>4</v>
      </c>
      <c r="F40" s="17">
        <v>5.6942883340020707</v>
      </c>
      <c r="G40" s="17">
        <v>0</v>
      </c>
      <c r="H40" s="17">
        <v>0</v>
      </c>
      <c r="I40" s="17">
        <v>1.3340860415</v>
      </c>
      <c r="J40" s="17">
        <v>0.14311228149999999</v>
      </c>
      <c r="K40" s="17" t="s">
        <v>15</v>
      </c>
    </row>
    <row r="41" spans="1:11">
      <c r="A41" s="8">
        <v>3</v>
      </c>
      <c r="B41" s="9">
        <v>37026</v>
      </c>
      <c r="C41" s="12">
        <v>2001</v>
      </c>
      <c r="D41" s="15" t="s">
        <v>22</v>
      </c>
      <c r="E41" s="12">
        <v>5</v>
      </c>
      <c r="F41" s="17">
        <v>6.2271437772758107</v>
      </c>
      <c r="G41" s="17">
        <v>0.24950773633333334</v>
      </c>
      <c r="H41" s="17">
        <v>0.68171575616666669</v>
      </c>
      <c r="I41" s="17">
        <v>2.5785345510000002</v>
      </c>
      <c r="J41" s="17">
        <v>0.25176333033333337</v>
      </c>
      <c r="K41" s="17" t="s">
        <v>15</v>
      </c>
    </row>
    <row r="42" spans="1:11">
      <c r="A42" s="8">
        <v>4</v>
      </c>
      <c r="B42" s="9">
        <v>37026</v>
      </c>
      <c r="C42" s="12">
        <v>2001</v>
      </c>
      <c r="D42" s="15" t="s">
        <v>22</v>
      </c>
      <c r="E42" s="12">
        <v>5</v>
      </c>
      <c r="F42" s="17">
        <v>13.68592039227633</v>
      </c>
      <c r="G42" s="17">
        <v>0.29517418466666667</v>
      </c>
      <c r="H42" s="17">
        <v>0.88532536249999993</v>
      </c>
      <c r="I42" s="17">
        <v>4.7100608169999996</v>
      </c>
      <c r="J42" s="17">
        <v>0.86139547683333328</v>
      </c>
      <c r="K42" s="17" t="s">
        <v>15</v>
      </c>
    </row>
    <row r="43" spans="1:11">
      <c r="A43" s="8">
        <v>3</v>
      </c>
      <c r="B43" s="9">
        <v>37055</v>
      </c>
      <c r="C43" s="12">
        <v>2001</v>
      </c>
      <c r="D43" s="15" t="s">
        <v>23</v>
      </c>
      <c r="E43" s="12">
        <v>6</v>
      </c>
      <c r="F43" s="17">
        <v>23.472226020072025</v>
      </c>
      <c r="G43" s="17">
        <v>0.15233352633333333</v>
      </c>
      <c r="H43" s="17">
        <v>5.3737819314999999</v>
      </c>
      <c r="I43" s="17">
        <v>9.6043826761666669</v>
      </c>
      <c r="J43" s="17">
        <v>1.2974531863333334</v>
      </c>
      <c r="K43" s="17" t="s">
        <v>15</v>
      </c>
    </row>
    <row r="44" spans="1:11">
      <c r="A44" s="8">
        <v>4</v>
      </c>
      <c r="B44" s="9">
        <v>37055</v>
      </c>
      <c r="C44" s="12">
        <v>2001</v>
      </c>
      <c r="D44" s="15" t="s">
        <v>23</v>
      </c>
      <c r="E44" s="12">
        <v>6</v>
      </c>
      <c r="F44" s="17">
        <v>17.031057322425486</v>
      </c>
      <c r="G44" s="17">
        <v>0.17040176100000001</v>
      </c>
      <c r="H44" s="17">
        <v>0.9715931318333334</v>
      </c>
      <c r="I44" s="17">
        <v>4.5126676176666667</v>
      </c>
      <c r="J44" s="17">
        <v>2.4710011303333337</v>
      </c>
      <c r="K44" s="17" t="s">
        <v>15</v>
      </c>
    </row>
    <row r="45" spans="1:11">
      <c r="A45" s="8">
        <v>3</v>
      </c>
      <c r="B45" s="9">
        <v>37092</v>
      </c>
      <c r="C45" s="12">
        <v>2001</v>
      </c>
      <c r="D45" s="15" t="s">
        <v>24</v>
      </c>
      <c r="E45" s="12">
        <v>7</v>
      </c>
      <c r="F45" s="17">
        <v>25.751491910508093</v>
      </c>
      <c r="G45" s="17">
        <v>0.25293410899999996</v>
      </c>
      <c r="H45" s="17">
        <v>8.3238819833333325E-2</v>
      </c>
      <c r="I45" s="17">
        <v>2.7396955681666668</v>
      </c>
      <c r="J45" s="17">
        <v>1.6664413596666667</v>
      </c>
      <c r="K45" s="17" t="s">
        <v>15</v>
      </c>
    </row>
    <row r="46" spans="1:11">
      <c r="A46" s="8">
        <v>4</v>
      </c>
      <c r="B46" s="9">
        <v>37092</v>
      </c>
      <c r="C46" s="12">
        <v>2001</v>
      </c>
      <c r="D46" s="15" t="s">
        <v>24</v>
      </c>
      <c r="E46" s="12">
        <v>7</v>
      </c>
      <c r="F46" s="17">
        <v>42.768034028077061</v>
      </c>
      <c r="G46" s="17">
        <v>0.46116235749999995</v>
      </c>
      <c r="H46" s="17">
        <v>0.12094747466666667</v>
      </c>
      <c r="I46" s="17">
        <v>4.4095446401666667</v>
      </c>
      <c r="J46" s="17">
        <v>2.8882748031666665</v>
      </c>
      <c r="K46" s="17" t="s">
        <v>15</v>
      </c>
    </row>
    <row r="47" spans="1:11">
      <c r="A47" s="8">
        <v>3</v>
      </c>
      <c r="B47" s="9">
        <v>37118</v>
      </c>
      <c r="C47" s="12">
        <v>2001</v>
      </c>
      <c r="D47" s="15" t="s">
        <v>25</v>
      </c>
      <c r="E47" s="12">
        <v>8</v>
      </c>
      <c r="F47" s="17">
        <v>23.00358451823671</v>
      </c>
      <c r="G47" s="17">
        <v>0.13544812616666665</v>
      </c>
      <c r="H47" s="17">
        <v>4.8727162333333324E-2</v>
      </c>
      <c r="I47" s="17">
        <v>2.6864299611666667</v>
      </c>
      <c r="J47" s="17">
        <v>2.0210099176666669</v>
      </c>
      <c r="K47" s="17" t="s">
        <v>15</v>
      </c>
    </row>
    <row r="48" spans="1:11">
      <c r="A48" s="8">
        <v>4</v>
      </c>
      <c r="B48" s="9">
        <v>37118</v>
      </c>
      <c r="C48" s="12">
        <v>2001</v>
      </c>
      <c r="D48" s="15" t="s">
        <v>25</v>
      </c>
      <c r="E48" s="12">
        <v>8</v>
      </c>
      <c r="F48" s="17">
        <v>36.365381232012211</v>
      </c>
      <c r="G48" s="17">
        <v>0.33279090066666667</v>
      </c>
      <c r="H48" s="17">
        <v>6.9371466499999992E-2</v>
      </c>
      <c r="I48" s="17">
        <v>3.2119058913333332</v>
      </c>
      <c r="J48" s="17">
        <v>3.5841533329999997</v>
      </c>
      <c r="K48" s="17" t="s">
        <v>15</v>
      </c>
    </row>
    <row r="49" spans="1:11">
      <c r="A49" s="8">
        <v>3</v>
      </c>
      <c r="B49" s="9">
        <v>37152</v>
      </c>
      <c r="C49" s="12">
        <v>2001</v>
      </c>
      <c r="D49" s="15" t="s">
        <v>26</v>
      </c>
      <c r="E49" s="12">
        <v>9</v>
      </c>
      <c r="F49" s="17">
        <v>8.8993261414354574</v>
      </c>
      <c r="G49" s="17">
        <v>0.20519866999999997</v>
      </c>
      <c r="H49" s="17">
        <v>4.6520944833333341E-2</v>
      </c>
      <c r="I49" s="17">
        <v>1.8689569253333334</v>
      </c>
      <c r="J49" s="17">
        <v>0.49798013866666674</v>
      </c>
      <c r="K49" s="17" t="s">
        <v>15</v>
      </c>
    </row>
    <row r="50" spans="1:11">
      <c r="A50" s="8">
        <v>4</v>
      </c>
      <c r="B50" s="9">
        <v>37152</v>
      </c>
      <c r="C50" s="12">
        <v>2001</v>
      </c>
      <c r="D50" s="15" t="s">
        <v>26</v>
      </c>
      <c r="E50" s="12">
        <v>9</v>
      </c>
      <c r="F50" s="17">
        <v>12.060995468685757</v>
      </c>
      <c r="G50" s="17">
        <v>0.21557444433333331</v>
      </c>
      <c r="H50" s="17">
        <v>0.13262349683333333</v>
      </c>
      <c r="I50" s="17">
        <v>1.8995613396666664</v>
      </c>
      <c r="J50" s="17">
        <v>1.5680431156666668</v>
      </c>
      <c r="K50" s="17" t="s">
        <v>15</v>
      </c>
    </row>
    <row r="51" spans="1:11">
      <c r="A51" s="8">
        <v>3</v>
      </c>
      <c r="B51" s="9">
        <v>37180</v>
      </c>
      <c r="C51" s="12">
        <v>2001</v>
      </c>
      <c r="D51" s="15" t="s">
        <v>14</v>
      </c>
      <c r="E51" s="12">
        <v>10</v>
      </c>
      <c r="F51" s="16">
        <v>3.2493851022036586</v>
      </c>
      <c r="G51" s="16">
        <v>0.16936741693647472</v>
      </c>
      <c r="H51" s="18">
        <v>1.0737968105455777E-2</v>
      </c>
      <c r="I51" s="16">
        <v>0.3169387733011455</v>
      </c>
      <c r="J51" s="16">
        <v>6.3194794242695043E-2</v>
      </c>
      <c r="K51" s="17" t="s">
        <v>27</v>
      </c>
    </row>
    <row r="52" spans="1:11">
      <c r="A52" s="8">
        <v>4</v>
      </c>
      <c r="B52" s="9">
        <v>37180</v>
      </c>
      <c r="C52" s="12">
        <v>2001</v>
      </c>
      <c r="D52" s="15" t="s">
        <v>14</v>
      </c>
      <c r="E52" s="12">
        <v>10</v>
      </c>
      <c r="F52" s="16">
        <v>4.2841916128331681</v>
      </c>
      <c r="G52" s="16">
        <v>7.6320444632261703E-2</v>
      </c>
      <c r="H52" s="18">
        <v>9.0311976206869753E-3</v>
      </c>
      <c r="I52" s="16">
        <v>0.21700994793818773</v>
      </c>
      <c r="J52" s="16">
        <v>0.11733650190608014</v>
      </c>
      <c r="K52" s="17" t="s">
        <v>27</v>
      </c>
    </row>
    <row r="53" spans="1:11">
      <c r="A53" s="8">
        <v>3</v>
      </c>
      <c r="B53" s="9">
        <v>37203</v>
      </c>
      <c r="C53" s="12">
        <v>2001</v>
      </c>
      <c r="D53" s="15" t="s">
        <v>16</v>
      </c>
      <c r="E53" s="12">
        <v>11</v>
      </c>
      <c r="F53" s="16">
        <v>1.3616965947949478</v>
      </c>
      <c r="G53" s="16">
        <v>0</v>
      </c>
      <c r="H53" s="18">
        <v>0</v>
      </c>
      <c r="I53" s="16">
        <v>0.11215932781247862</v>
      </c>
      <c r="J53" s="16">
        <v>5.6675309032092197E-2</v>
      </c>
      <c r="K53" s="17" t="s">
        <v>27</v>
      </c>
    </row>
    <row r="54" spans="1:11">
      <c r="A54" s="8">
        <v>4</v>
      </c>
      <c r="B54" s="9">
        <v>37203</v>
      </c>
      <c r="C54" s="12">
        <v>2001</v>
      </c>
      <c r="D54" s="15" t="s">
        <v>16</v>
      </c>
      <c r="E54" s="12">
        <v>11</v>
      </c>
      <c r="F54" s="16">
        <v>4.0950642991562116</v>
      </c>
      <c r="G54" s="16">
        <v>0</v>
      </c>
      <c r="H54" s="18">
        <v>2.5631747594340587E-2</v>
      </c>
      <c r="I54" s="16">
        <v>0.33752291368713699</v>
      </c>
      <c r="J54" s="16">
        <v>0.11297427945681228</v>
      </c>
      <c r="K54" s="17" t="s">
        <v>27</v>
      </c>
    </row>
    <row r="55" spans="1:11">
      <c r="A55" s="8">
        <v>3</v>
      </c>
      <c r="B55" s="9">
        <v>37228</v>
      </c>
      <c r="C55" s="12">
        <v>2001</v>
      </c>
      <c r="D55" s="15" t="s">
        <v>17</v>
      </c>
      <c r="E55" s="12">
        <v>12</v>
      </c>
      <c r="F55" s="16">
        <v>4.0507025288412777</v>
      </c>
      <c r="G55" s="16">
        <v>6.4606492570054477E-2</v>
      </c>
      <c r="H55" s="18">
        <v>0.204209317006117</v>
      </c>
      <c r="I55" s="16">
        <v>1.6535871579611139</v>
      </c>
      <c r="J55" s="16">
        <v>8.2978962928461825E-2</v>
      </c>
      <c r="K55" s="17" t="s">
        <v>27</v>
      </c>
    </row>
    <row r="56" spans="1:11">
      <c r="A56" s="8">
        <v>4</v>
      </c>
      <c r="B56" s="9">
        <v>37228</v>
      </c>
      <c r="C56" s="12">
        <v>2001</v>
      </c>
      <c r="D56" s="15" t="s">
        <v>17</v>
      </c>
      <c r="E56" s="12">
        <v>12</v>
      </c>
      <c r="F56" s="16">
        <v>7.1636445505763398</v>
      </c>
      <c r="G56" s="16">
        <v>0.10172547857822313</v>
      </c>
      <c r="H56" s="18">
        <v>0.31920250089070273</v>
      </c>
      <c r="I56" s="16">
        <v>3.1844264937845796</v>
      </c>
      <c r="J56" s="16">
        <v>0.10801602149499696</v>
      </c>
      <c r="K56" s="17" t="s">
        <v>27</v>
      </c>
    </row>
    <row r="57" spans="1:11">
      <c r="A57" s="8">
        <v>3</v>
      </c>
      <c r="B57" s="9">
        <v>37270</v>
      </c>
      <c r="C57" s="12">
        <v>2002</v>
      </c>
      <c r="D57" s="15" t="s">
        <v>18</v>
      </c>
      <c r="E57" s="12">
        <v>1</v>
      </c>
      <c r="F57" s="16">
        <v>4.2514887305959439</v>
      </c>
      <c r="G57" s="16">
        <v>1.1476408557160802</v>
      </c>
      <c r="H57" s="18">
        <v>1.8873072477509995E-2</v>
      </c>
      <c r="I57" s="16">
        <v>0.21528763760210951</v>
      </c>
      <c r="J57" s="16">
        <v>4.5313730040364292E-2</v>
      </c>
      <c r="K57" s="17" t="s">
        <v>27</v>
      </c>
    </row>
    <row r="58" spans="1:11">
      <c r="A58" s="8">
        <v>4</v>
      </c>
      <c r="B58" s="9">
        <v>37270</v>
      </c>
      <c r="C58" s="12">
        <v>2002</v>
      </c>
      <c r="D58" s="15" t="s">
        <v>18</v>
      </c>
      <c r="E58" s="12">
        <v>1</v>
      </c>
      <c r="F58" s="16">
        <v>5.2303111731291096</v>
      </c>
      <c r="G58" s="16">
        <v>1.3231139893583077</v>
      </c>
      <c r="H58" s="18">
        <v>1.59074307092444E-2</v>
      </c>
      <c r="I58" s="16">
        <v>0.32932961240137032</v>
      </c>
      <c r="J58" s="16">
        <v>3.4202951447983444E-2</v>
      </c>
      <c r="K58" s="17" t="s">
        <v>27</v>
      </c>
    </row>
    <row r="59" spans="1:11">
      <c r="A59" s="8">
        <v>3</v>
      </c>
      <c r="B59" s="9">
        <v>37300</v>
      </c>
      <c r="C59" s="12">
        <v>2002</v>
      </c>
      <c r="D59" s="11" t="s">
        <v>19</v>
      </c>
      <c r="E59" s="12">
        <v>2</v>
      </c>
      <c r="F59" s="16">
        <v>2.5319323297664096</v>
      </c>
      <c r="G59" s="16">
        <v>6.594379439098684E-2</v>
      </c>
      <c r="H59" s="18">
        <v>0.1204803409590825</v>
      </c>
      <c r="I59" s="16">
        <v>0.95350270182919128</v>
      </c>
      <c r="J59" s="16">
        <v>4.4538188278440326E-2</v>
      </c>
      <c r="K59" s="17" t="s">
        <v>27</v>
      </c>
    </row>
    <row r="60" spans="1:11">
      <c r="A60" s="8">
        <v>4</v>
      </c>
      <c r="B60" s="9">
        <v>37300</v>
      </c>
      <c r="C60" s="12">
        <v>2002</v>
      </c>
      <c r="D60" s="11" t="s">
        <v>19</v>
      </c>
      <c r="E60" s="12">
        <v>2</v>
      </c>
      <c r="F60" s="16">
        <v>1.7412773154705985</v>
      </c>
      <c r="G60" s="16">
        <v>2.9197568923735248E-2</v>
      </c>
      <c r="H60" s="18">
        <v>6.5638541033855913E-2</v>
      </c>
      <c r="I60" s="16">
        <v>0.56422682774764121</v>
      </c>
      <c r="J60" s="16">
        <v>4.8494613557900947E-2</v>
      </c>
      <c r="K60" s="17" t="s">
        <v>27</v>
      </c>
    </row>
    <row r="61" spans="1:11">
      <c r="A61" s="8">
        <v>3</v>
      </c>
      <c r="B61" s="19">
        <v>37334</v>
      </c>
      <c r="C61" s="12">
        <v>2002</v>
      </c>
      <c r="D61" s="11" t="s">
        <v>20</v>
      </c>
      <c r="E61" s="12">
        <v>3</v>
      </c>
      <c r="F61" s="16">
        <v>3.0997542691102855</v>
      </c>
      <c r="G61" s="16">
        <v>5.5720508239434585E-2</v>
      </c>
      <c r="H61" s="18">
        <v>3.5461343693839971E-2</v>
      </c>
      <c r="I61" s="16">
        <v>0.94812113106089957</v>
      </c>
      <c r="J61" s="16">
        <v>3.3957180355172471E-2</v>
      </c>
      <c r="K61" s="17" t="s">
        <v>27</v>
      </c>
    </row>
    <row r="62" spans="1:11">
      <c r="A62" s="8">
        <v>4</v>
      </c>
      <c r="B62" s="19">
        <v>37334</v>
      </c>
      <c r="C62" s="12">
        <v>2002</v>
      </c>
      <c r="D62" s="11" t="s">
        <v>20</v>
      </c>
      <c r="E62" s="12">
        <v>3</v>
      </c>
      <c r="F62" s="16">
        <v>5.2293756812203727</v>
      </c>
      <c r="G62" s="16">
        <v>0.10676303493019787</v>
      </c>
      <c r="H62" s="18">
        <v>5.0612283587839944E-2</v>
      </c>
      <c r="I62" s="16">
        <v>1.0099404860580177</v>
      </c>
      <c r="J62" s="16">
        <v>9.5613383860199797E-2</v>
      </c>
      <c r="K62" s="17" t="s">
        <v>27</v>
      </c>
    </row>
    <row r="63" spans="1:11">
      <c r="A63" s="8">
        <v>3</v>
      </c>
      <c r="B63" s="19">
        <v>37361</v>
      </c>
      <c r="C63" s="12">
        <v>2002</v>
      </c>
      <c r="D63" s="15" t="s">
        <v>21</v>
      </c>
      <c r="E63" s="12">
        <v>4</v>
      </c>
      <c r="F63" s="16">
        <v>4.0387561020184775</v>
      </c>
      <c r="G63" s="16">
        <v>0.29889856972567713</v>
      </c>
      <c r="H63" s="18">
        <v>1.5563797893968915E-2</v>
      </c>
      <c r="I63" s="16">
        <v>0.57794405185674025</v>
      </c>
      <c r="J63" s="16">
        <v>6.5300542532303427E-2</v>
      </c>
      <c r="K63" s="17" t="s">
        <v>27</v>
      </c>
    </row>
    <row r="64" spans="1:11">
      <c r="A64" s="8">
        <v>4</v>
      </c>
      <c r="B64" s="19">
        <v>37361</v>
      </c>
      <c r="C64" s="12">
        <v>2002</v>
      </c>
      <c r="D64" s="15" t="s">
        <v>21</v>
      </c>
      <c r="E64" s="12">
        <v>4</v>
      </c>
      <c r="F64" s="16">
        <v>11.333801590233278</v>
      </c>
      <c r="G64" s="16">
        <v>1.3359850342068009</v>
      </c>
      <c r="H64" s="18">
        <v>4.0241522331325205E-2</v>
      </c>
      <c r="I64" s="16">
        <v>1.2763744013350913</v>
      </c>
      <c r="J64" s="16">
        <v>0.19335397781586039</v>
      </c>
      <c r="K64" s="17" t="s">
        <v>27</v>
      </c>
    </row>
    <row r="65" spans="1:11">
      <c r="A65" s="8">
        <v>3</v>
      </c>
      <c r="B65" s="19">
        <v>37389</v>
      </c>
      <c r="C65" s="12">
        <v>2002</v>
      </c>
      <c r="D65" s="15" t="s">
        <v>22</v>
      </c>
      <c r="E65" s="12">
        <v>5</v>
      </c>
      <c r="F65" s="16">
        <v>16.987336423440826</v>
      </c>
      <c r="G65" s="20"/>
      <c r="H65" s="16">
        <v>1.2942995803762276</v>
      </c>
      <c r="I65" s="20"/>
      <c r="J65" s="20"/>
      <c r="K65" s="17" t="s">
        <v>27</v>
      </c>
    </row>
    <row r="66" spans="1:11">
      <c r="A66" s="8">
        <v>4</v>
      </c>
      <c r="B66" s="19">
        <v>37389</v>
      </c>
      <c r="C66" s="12">
        <v>2002</v>
      </c>
      <c r="D66" s="15" t="s">
        <v>22</v>
      </c>
      <c r="E66" s="12">
        <v>5</v>
      </c>
      <c r="F66" s="16">
        <v>14.556047501768324</v>
      </c>
      <c r="G66" s="20"/>
      <c r="H66" s="16">
        <v>0.84865497510745447</v>
      </c>
      <c r="I66" s="20"/>
      <c r="J66" s="20"/>
      <c r="K66" s="17" t="s">
        <v>27</v>
      </c>
    </row>
    <row r="67" spans="1:11">
      <c r="A67" s="8">
        <v>3</v>
      </c>
      <c r="B67" s="19">
        <v>37418</v>
      </c>
      <c r="C67" s="12">
        <v>2002</v>
      </c>
      <c r="D67" s="15" t="s">
        <v>23</v>
      </c>
      <c r="E67" s="12">
        <v>6</v>
      </c>
      <c r="F67" s="16">
        <v>27.635613950571745</v>
      </c>
      <c r="G67" s="20"/>
      <c r="H67" s="16">
        <v>5.8898894913384536</v>
      </c>
      <c r="I67" s="20"/>
      <c r="J67" s="20"/>
      <c r="K67" s="17" t="s">
        <v>27</v>
      </c>
    </row>
    <row r="68" spans="1:11">
      <c r="A68" s="8">
        <v>4</v>
      </c>
      <c r="B68" s="19">
        <v>37418</v>
      </c>
      <c r="C68" s="12">
        <v>2002</v>
      </c>
      <c r="D68" s="15" t="s">
        <v>23</v>
      </c>
      <c r="E68" s="12">
        <v>6</v>
      </c>
      <c r="F68" s="16">
        <v>25.568401315342154</v>
      </c>
      <c r="G68" s="20"/>
      <c r="H68" s="16">
        <v>2.9983528612644501</v>
      </c>
      <c r="I68" s="20"/>
      <c r="J68" s="20"/>
      <c r="K68" s="17" t="s">
        <v>27</v>
      </c>
    </row>
    <row r="69" spans="1:11">
      <c r="A69" s="8">
        <v>3</v>
      </c>
      <c r="B69" s="19">
        <v>37455</v>
      </c>
      <c r="C69" s="12">
        <v>2002</v>
      </c>
      <c r="D69" s="15" t="s">
        <v>24</v>
      </c>
      <c r="E69" s="12">
        <v>7</v>
      </c>
      <c r="F69" s="16">
        <v>11.141478683415984</v>
      </c>
      <c r="G69" s="20"/>
      <c r="H69" s="16">
        <v>0</v>
      </c>
      <c r="I69" s="20"/>
      <c r="J69" s="20"/>
      <c r="K69" s="17" t="s">
        <v>27</v>
      </c>
    </row>
    <row r="70" spans="1:11">
      <c r="A70" s="8">
        <v>4</v>
      </c>
      <c r="B70" s="19">
        <v>37455</v>
      </c>
      <c r="C70" s="12">
        <v>2002</v>
      </c>
      <c r="D70" s="15" t="s">
        <v>24</v>
      </c>
      <c r="E70" s="12">
        <v>7</v>
      </c>
      <c r="F70" s="16">
        <v>15.213384618270862</v>
      </c>
      <c r="G70" s="20"/>
      <c r="H70" s="16">
        <v>5.6415868699843823E-2</v>
      </c>
      <c r="I70" s="20"/>
      <c r="J70" s="20"/>
      <c r="K70" s="17" t="s">
        <v>27</v>
      </c>
    </row>
    <row r="71" spans="1:11">
      <c r="A71" s="8">
        <v>3</v>
      </c>
      <c r="B71" s="19">
        <v>37483</v>
      </c>
      <c r="C71" s="12">
        <v>2002</v>
      </c>
      <c r="D71" s="15" t="s">
        <v>25</v>
      </c>
      <c r="E71" s="12">
        <v>8</v>
      </c>
      <c r="F71" s="16">
        <v>16.190633624498993</v>
      </c>
      <c r="G71" s="20"/>
      <c r="H71" s="16">
        <v>0</v>
      </c>
      <c r="I71" s="20"/>
      <c r="J71" s="20"/>
      <c r="K71" s="17" t="s">
        <v>27</v>
      </c>
    </row>
    <row r="72" spans="1:11">
      <c r="A72" s="8">
        <v>4</v>
      </c>
      <c r="B72" s="19">
        <v>37483</v>
      </c>
      <c r="C72" s="12">
        <v>2002</v>
      </c>
      <c r="D72" s="15" t="s">
        <v>25</v>
      </c>
      <c r="E72" s="12">
        <v>8</v>
      </c>
      <c r="F72" s="16">
        <v>25.601505200357359</v>
      </c>
      <c r="G72" s="20"/>
      <c r="H72" s="16">
        <v>0</v>
      </c>
      <c r="I72" s="20"/>
      <c r="J72" s="20"/>
      <c r="K72" s="17" t="s">
        <v>27</v>
      </c>
    </row>
    <row r="73" spans="1:11">
      <c r="A73" s="8">
        <v>3</v>
      </c>
      <c r="B73" s="19">
        <v>37516</v>
      </c>
      <c r="C73" s="12">
        <v>2002</v>
      </c>
      <c r="D73" s="15" t="s">
        <v>26</v>
      </c>
      <c r="E73" s="12">
        <v>9</v>
      </c>
      <c r="F73" s="16">
        <v>18.390989346517241</v>
      </c>
      <c r="G73" s="20"/>
      <c r="H73" s="16">
        <v>1.734323159100095E-2</v>
      </c>
      <c r="I73" s="20"/>
      <c r="J73" s="20"/>
      <c r="K73" s="17" t="s">
        <v>27</v>
      </c>
    </row>
    <row r="74" spans="1:11">
      <c r="A74" s="8">
        <v>4</v>
      </c>
      <c r="B74" s="19">
        <v>37516</v>
      </c>
      <c r="C74" s="12">
        <v>2002</v>
      </c>
      <c r="D74" s="15" t="s">
        <v>26</v>
      </c>
      <c r="E74" s="12">
        <v>9</v>
      </c>
      <c r="F74" s="16">
        <v>14.536812608725272</v>
      </c>
      <c r="G74" s="20"/>
      <c r="H74" s="16">
        <v>2.8661792088695511E-2</v>
      </c>
      <c r="I74" s="20"/>
      <c r="J74" s="20"/>
      <c r="K74" s="17" t="s">
        <v>27</v>
      </c>
    </row>
    <row r="75" spans="1:11">
      <c r="A75" s="8">
        <v>3</v>
      </c>
      <c r="B75" s="19">
        <v>37544</v>
      </c>
      <c r="C75" s="12">
        <v>2002</v>
      </c>
      <c r="D75" s="15" t="s">
        <v>14</v>
      </c>
      <c r="E75" s="12">
        <v>10</v>
      </c>
      <c r="F75" s="17">
        <v>8.3616599397475788</v>
      </c>
      <c r="G75" s="17">
        <v>0.22254301488661155</v>
      </c>
      <c r="H75" s="17">
        <v>0</v>
      </c>
      <c r="I75" s="17">
        <v>1.3378681695660879</v>
      </c>
      <c r="J75" s="17">
        <v>0.81460992828562784</v>
      </c>
      <c r="K75" s="17">
        <v>0</v>
      </c>
    </row>
    <row r="76" spans="1:11">
      <c r="A76" s="8">
        <v>4</v>
      </c>
      <c r="B76" s="19">
        <v>37544</v>
      </c>
      <c r="C76" s="12">
        <v>2002</v>
      </c>
      <c r="D76" s="15" t="s">
        <v>14</v>
      </c>
      <c r="E76" s="12">
        <v>10</v>
      </c>
      <c r="F76" s="17">
        <v>13.581539322283454</v>
      </c>
      <c r="G76" s="17">
        <v>0.10512439045170656</v>
      </c>
      <c r="H76" s="17">
        <v>0</v>
      </c>
      <c r="I76" s="17">
        <v>1.9765411508432107</v>
      </c>
      <c r="J76" s="17">
        <v>1.4194458199616122</v>
      </c>
      <c r="K76" s="17">
        <v>0</v>
      </c>
    </row>
    <row r="77" spans="1:11">
      <c r="A77" s="8">
        <v>3</v>
      </c>
      <c r="B77" s="19">
        <v>37575</v>
      </c>
      <c r="C77" s="12">
        <v>2002</v>
      </c>
      <c r="D77" s="15" t="s">
        <v>16</v>
      </c>
      <c r="E77" s="12">
        <v>11</v>
      </c>
      <c r="F77" s="17">
        <v>2.7732568032777918</v>
      </c>
      <c r="G77" s="17">
        <v>0.12968687286201119</v>
      </c>
      <c r="H77" s="17">
        <v>0</v>
      </c>
      <c r="I77" s="17">
        <v>0.88410645762654727</v>
      </c>
      <c r="J77" s="17">
        <v>2.7715387081645147E-2</v>
      </c>
      <c r="K77" s="17">
        <v>0</v>
      </c>
    </row>
    <row r="78" spans="1:11">
      <c r="A78" s="8">
        <v>4</v>
      </c>
      <c r="B78" s="19">
        <v>37575</v>
      </c>
      <c r="C78" s="12">
        <v>2002</v>
      </c>
      <c r="D78" s="15" t="s">
        <v>16</v>
      </c>
      <c r="E78" s="12">
        <v>11</v>
      </c>
      <c r="F78" s="17">
        <v>5.0568564250837627</v>
      </c>
      <c r="G78" s="17">
        <v>0.19188252895360416</v>
      </c>
      <c r="H78" s="17">
        <v>0</v>
      </c>
      <c r="I78" s="17">
        <v>0.63150956110467937</v>
      </c>
      <c r="J78" s="17">
        <v>5.1727426375380005E-2</v>
      </c>
      <c r="K78" s="17">
        <v>0</v>
      </c>
    </row>
    <row r="79" spans="1:11">
      <c r="A79" s="8">
        <v>3</v>
      </c>
      <c r="B79" s="19">
        <v>37609</v>
      </c>
      <c r="C79" s="12">
        <v>2002</v>
      </c>
      <c r="D79" s="15" t="s">
        <v>17</v>
      </c>
      <c r="E79" s="12">
        <v>12</v>
      </c>
      <c r="F79" s="17">
        <v>13.67730923414349</v>
      </c>
      <c r="G79" s="17">
        <v>0.31051916948432629</v>
      </c>
      <c r="H79" s="17">
        <v>0</v>
      </c>
      <c r="I79" s="17">
        <v>0.5979298391792548</v>
      </c>
      <c r="J79" s="17">
        <v>3.7524761154459012E-2</v>
      </c>
      <c r="K79" s="17">
        <v>0</v>
      </c>
    </row>
    <row r="80" spans="1:11">
      <c r="A80" s="8">
        <v>4</v>
      </c>
      <c r="B80" s="19">
        <v>37609</v>
      </c>
      <c r="C80" s="12">
        <v>2002</v>
      </c>
      <c r="D80" s="15" t="s">
        <v>17</v>
      </c>
      <c r="E80" s="12">
        <v>12</v>
      </c>
      <c r="F80" s="17">
        <v>23.255795599381781</v>
      </c>
      <c r="G80" s="17">
        <v>1.1194451557953109</v>
      </c>
      <c r="H80" s="17">
        <v>0</v>
      </c>
      <c r="I80" s="17">
        <v>0.52297178014023304</v>
      </c>
      <c r="J80" s="17">
        <v>4.0384794377611527E-2</v>
      </c>
      <c r="K80" s="17">
        <v>0</v>
      </c>
    </row>
    <row r="81" spans="1:11">
      <c r="A81" s="8">
        <v>3</v>
      </c>
      <c r="B81" s="19">
        <v>37635</v>
      </c>
      <c r="C81" s="12">
        <v>2003</v>
      </c>
      <c r="D81" s="15" t="s">
        <v>18</v>
      </c>
      <c r="E81" s="12">
        <v>1</v>
      </c>
      <c r="F81" s="17">
        <v>28.241100767398116</v>
      </c>
      <c r="G81" s="17">
        <v>1.3663633530366377</v>
      </c>
      <c r="H81" s="17">
        <v>0</v>
      </c>
      <c r="I81" s="17">
        <v>1.2652498220194648</v>
      </c>
      <c r="J81" s="17">
        <v>0.13474935828465748</v>
      </c>
      <c r="K81" s="17">
        <v>0</v>
      </c>
    </row>
    <row r="82" spans="1:11">
      <c r="A82" s="8">
        <v>4</v>
      </c>
      <c r="B82" s="19">
        <v>37635</v>
      </c>
      <c r="C82" s="12">
        <v>2003</v>
      </c>
      <c r="D82" s="15" t="s">
        <v>18</v>
      </c>
      <c r="E82" s="12">
        <v>1</v>
      </c>
      <c r="F82" s="17">
        <v>22.579198630515862</v>
      </c>
      <c r="G82" s="17">
        <v>1.2191153050992427</v>
      </c>
      <c r="H82" s="17">
        <v>0</v>
      </c>
      <c r="I82" s="17">
        <v>0.91541644750245554</v>
      </c>
      <c r="J82" s="17">
        <v>0.12384127708472112</v>
      </c>
      <c r="K82" s="17">
        <v>0</v>
      </c>
    </row>
    <row r="83" spans="1:11">
      <c r="A83" s="8">
        <v>3</v>
      </c>
      <c r="B83" s="19">
        <v>37665</v>
      </c>
      <c r="C83" s="12">
        <v>2003</v>
      </c>
      <c r="D83" s="11" t="s">
        <v>19</v>
      </c>
      <c r="E83" s="12">
        <v>2</v>
      </c>
      <c r="F83" s="17">
        <v>11.599366221982605</v>
      </c>
      <c r="G83" s="17">
        <v>0.40371782262039718</v>
      </c>
      <c r="H83" s="17">
        <v>1.463667448570961E-2</v>
      </c>
      <c r="I83" s="17">
        <v>2.8492299458795673</v>
      </c>
      <c r="J83" s="17">
        <v>0.11849878120851445</v>
      </c>
      <c r="K83" s="17">
        <v>0</v>
      </c>
    </row>
    <row r="84" spans="1:11">
      <c r="A84" s="8">
        <v>4</v>
      </c>
      <c r="B84" s="19">
        <v>37665</v>
      </c>
      <c r="C84" s="12">
        <v>2003</v>
      </c>
      <c r="D84" s="11" t="s">
        <v>19</v>
      </c>
      <c r="E84" s="12">
        <v>2</v>
      </c>
      <c r="F84" s="17">
        <v>6.5677932354348592</v>
      </c>
      <c r="G84" s="17">
        <v>0.13565475568751617</v>
      </c>
      <c r="H84" s="17">
        <v>0</v>
      </c>
      <c r="I84" s="17">
        <v>0.93977525485276925</v>
      </c>
      <c r="J84" s="17">
        <v>6.7856307367036794E-2</v>
      </c>
      <c r="K84" s="17">
        <v>0</v>
      </c>
    </row>
    <row r="85" spans="1:11">
      <c r="A85" s="8">
        <v>3</v>
      </c>
      <c r="B85" s="19">
        <v>37692</v>
      </c>
      <c r="C85" s="12">
        <v>2003</v>
      </c>
      <c r="D85" s="11" t="s">
        <v>20</v>
      </c>
      <c r="E85" s="12">
        <v>3</v>
      </c>
      <c r="F85" s="17">
        <v>13.908485665099207</v>
      </c>
      <c r="G85" s="17">
        <v>1.4931575096814507</v>
      </c>
      <c r="H85" s="17">
        <v>0</v>
      </c>
      <c r="I85" s="17">
        <v>3.6917216057719613</v>
      </c>
      <c r="J85" s="17">
        <v>7.6411407490435318E-2</v>
      </c>
      <c r="K85" s="17">
        <v>0</v>
      </c>
    </row>
    <row r="86" spans="1:11">
      <c r="A86" s="8">
        <v>4</v>
      </c>
      <c r="B86" s="19">
        <v>37692</v>
      </c>
      <c r="C86" s="12">
        <v>2003</v>
      </c>
      <c r="D86" s="11" t="s">
        <v>20</v>
      </c>
      <c r="E86" s="12">
        <v>3</v>
      </c>
      <c r="F86" s="17">
        <v>23.075017988777937</v>
      </c>
      <c r="G86" s="17">
        <v>3.9982466760739408</v>
      </c>
      <c r="H86" s="17">
        <v>0</v>
      </c>
      <c r="I86" s="17">
        <v>3.2477772642646592</v>
      </c>
      <c r="J86" s="17">
        <v>0.11618088709861897</v>
      </c>
      <c r="K86" s="17">
        <v>0</v>
      </c>
    </row>
    <row r="87" spans="1:11">
      <c r="A87" s="8">
        <v>3</v>
      </c>
      <c r="B87" s="19">
        <v>37725</v>
      </c>
      <c r="C87" s="12">
        <v>2003</v>
      </c>
      <c r="D87" s="11" t="s">
        <v>21</v>
      </c>
      <c r="E87" s="12">
        <v>4</v>
      </c>
      <c r="F87" s="17">
        <v>7.8579158920229677</v>
      </c>
      <c r="G87" s="17">
        <v>0.12862334935763148</v>
      </c>
      <c r="H87" s="17">
        <v>0</v>
      </c>
      <c r="I87" s="17">
        <v>2.2393015085738774</v>
      </c>
      <c r="J87" s="17">
        <v>8.6212233278918082E-2</v>
      </c>
      <c r="K87" s="17">
        <v>0</v>
      </c>
    </row>
    <row r="88" spans="1:11">
      <c r="A88" s="8">
        <v>4</v>
      </c>
      <c r="B88" s="19">
        <v>37725</v>
      </c>
      <c r="C88" s="12">
        <v>2003</v>
      </c>
      <c r="D88" s="11" t="s">
        <v>21</v>
      </c>
      <c r="E88" s="12">
        <v>4</v>
      </c>
      <c r="F88" s="17">
        <v>6.4005604422385955</v>
      </c>
      <c r="G88" s="17">
        <v>0</v>
      </c>
      <c r="H88" s="17">
        <v>0</v>
      </c>
      <c r="I88" s="17">
        <v>1.4024958511353776</v>
      </c>
      <c r="J88" s="17">
        <v>8.620263791525018E-2</v>
      </c>
      <c r="K88" s="17">
        <v>0</v>
      </c>
    </row>
    <row r="89" spans="1:11">
      <c r="A89" s="8">
        <v>3</v>
      </c>
      <c r="B89" s="19">
        <v>37753</v>
      </c>
      <c r="C89" s="12">
        <v>2003</v>
      </c>
      <c r="D89" s="11" t="s">
        <v>22</v>
      </c>
      <c r="E89" s="12">
        <v>5</v>
      </c>
      <c r="F89" s="17">
        <v>10.79591590739744</v>
      </c>
      <c r="G89" s="17">
        <v>0.39075706669566174</v>
      </c>
      <c r="H89" s="17">
        <v>0.77879418674951106</v>
      </c>
      <c r="I89" s="17">
        <v>4.6208577184266435</v>
      </c>
      <c r="J89" s="17">
        <v>0.43182370324431757</v>
      </c>
      <c r="K89" s="17">
        <v>2.6050407664189673E-2</v>
      </c>
    </row>
    <row r="90" spans="1:11">
      <c r="A90" s="8">
        <v>4</v>
      </c>
      <c r="B90" s="19">
        <v>37753</v>
      </c>
      <c r="C90" s="12">
        <v>2003</v>
      </c>
      <c r="D90" s="11" t="s">
        <v>22</v>
      </c>
      <c r="E90" s="12">
        <v>5</v>
      </c>
      <c r="F90" s="17">
        <v>10.655932434325212</v>
      </c>
      <c r="G90" s="17">
        <v>0.71137653784559407</v>
      </c>
      <c r="H90" s="17">
        <v>0.57808490103182453</v>
      </c>
      <c r="I90" s="17">
        <v>3.5044918621614358</v>
      </c>
      <c r="J90" s="17">
        <v>0.87571892337325619</v>
      </c>
      <c r="K90" s="17">
        <v>4.8242963178050567E-2</v>
      </c>
    </row>
    <row r="91" spans="1:11">
      <c r="A91" s="8">
        <v>3</v>
      </c>
      <c r="B91" s="19">
        <v>37792</v>
      </c>
      <c r="C91" s="12">
        <v>2003</v>
      </c>
      <c r="D91" s="11" t="s">
        <v>23</v>
      </c>
      <c r="E91" s="12">
        <v>6</v>
      </c>
      <c r="F91" s="17">
        <v>28.830816302160009</v>
      </c>
      <c r="G91" s="17">
        <v>0.15512071821331827</v>
      </c>
      <c r="H91" s="17">
        <v>3.7197125970913678</v>
      </c>
      <c r="I91" s="17">
        <v>9.2484820254243409</v>
      </c>
      <c r="J91" s="17">
        <v>2.624699768341257</v>
      </c>
      <c r="K91" s="17">
        <v>0</v>
      </c>
    </row>
    <row r="92" spans="1:11">
      <c r="A92" s="8">
        <v>4</v>
      </c>
      <c r="B92" s="19">
        <v>37792</v>
      </c>
      <c r="C92" s="12">
        <v>2003</v>
      </c>
      <c r="D92" s="11" t="s">
        <v>23</v>
      </c>
      <c r="E92" s="12">
        <v>6</v>
      </c>
      <c r="F92" s="17">
        <v>31.750755213618987</v>
      </c>
      <c r="G92" s="17">
        <v>0</v>
      </c>
      <c r="H92" s="17">
        <v>1.4199742043433543</v>
      </c>
      <c r="I92" s="17">
        <v>6.1964549168050009</v>
      </c>
      <c r="J92" s="17">
        <v>4.7324761306000473</v>
      </c>
      <c r="K92" s="17">
        <v>0</v>
      </c>
    </row>
    <row r="93" spans="1:11">
      <c r="A93" s="8">
        <v>3</v>
      </c>
      <c r="B93" s="19">
        <v>37819</v>
      </c>
      <c r="C93" s="12">
        <v>2003</v>
      </c>
      <c r="D93" s="15" t="s">
        <v>24</v>
      </c>
      <c r="E93" s="12">
        <v>7</v>
      </c>
      <c r="F93" s="17">
        <v>22.777820949333798</v>
      </c>
      <c r="G93" s="17">
        <v>2.8970732136644032E-2</v>
      </c>
      <c r="H93" s="17">
        <v>0</v>
      </c>
      <c r="I93" s="17">
        <v>1.6389555024155535</v>
      </c>
      <c r="J93" s="17">
        <v>3.1845274111007167</v>
      </c>
      <c r="K93" s="17">
        <v>0</v>
      </c>
    </row>
    <row r="94" spans="1:11">
      <c r="A94" s="8">
        <v>4</v>
      </c>
      <c r="B94" s="19">
        <v>37819</v>
      </c>
      <c r="C94" s="12">
        <v>2003</v>
      </c>
      <c r="D94" s="15" t="s">
        <v>24</v>
      </c>
      <c r="E94" s="12">
        <v>7</v>
      </c>
      <c r="F94" s="17">
        <v>23.060198686609905</v>
      </c>
      <c r="G94" s="17">
        <v>0</v>
      </c>
      <c r="H94" s="17">
        <v>0</v>
      </c>
      <c r="I94" s="17">
        <v>2.0963769829407979</v>
      </c>
      <c r="J94" s="17">
        <v>3.7417390353589441</v>
      </c>
      <c r="K94" s="17">
        <v>0</v>
      </c>
    </row>
    <row r="95" spans="1:11">
      <c r="A95" s="8">
        <v>3</v>
      </c>
      <c r="B95" s="19">
        <v>37845</v>
      </c>
      <c r="C95" s="12">
        <v>2003</v>
      </c>
      <c r="D95" s="15" t="s">
        <v>25</v>
      </c>
      <c r="E95" s="12">
        <v>8</v>
      </c>
      <c r="F95" s="17">
        <v>41.826009294739215</v>
      </c>
      <c r="G95" s="17">
        <v>8.0955416724351428E-2</v>
      </c>
      <c r="H95" s="17">
        <v>5.6522622277469917E-2</v>
      </c>
      <c r="I95" s="17">
        <v>4.7867160956671446</v>
      </c>
      <c r="J95" s="17">
        <v>2.5746966183793627</v>
      </c>
      <c r="K95" s="17">
        <v>0</v>
      </c>
    </row>
    <row r="96" spans="1:11">
      <c r="A96" s="8">
        <v>4</v>
      </c>
      <c r="B96" s="19">
        <v>37845</v>
      </c>
      <c r="C96" s="12">
        <v>2003</v>
      </c>
      <c r="D96" s="15" t="s">
        <v>25</v>
      </c>
      <c r="E96" s="12">
        <v>8</v>
      </c>
      <c r="F96" s="17">
        <v>78.047371432756734</v>
      </c>
      <c r="G96" s="17">
        <v>0.2515363196283924</v>
      </c>
      <c r="H96" s="17">
        <v>0</v>
      </c>
      <c r="I96" s="17">
        <v>11.628614277169929</v>
      </c>
      <c r="J96" s="17">
        <v>2.7590255490800528</v>
      </c>
      <c r="K96" s="17">
        <v>0</v>
      </c>
    </row>
    <row r="97" spans="1:11">
      <c r="A97" s="8">
        <v>3</v>
      </c>
      <c r="B97" s="19">
        <v>37888</v>
      </c>
      <c r="C97" s="12">
        <v>2003</v>
      </c>
      <c r="D97" s="15" t="s">
        <v>26</v>
      </c>
      <c r="E97" s="12">
        <v>9</v>
      </c>
      <c r="F97" s="17">
        <v>11.322446784959084</v>
      </c>
      <c r="G97" s="17">
        <v>7.40522405963768E-2</v>
      </c>
      <c r="H97" s="17">
        <v>0</v>
      </c>
      <c r="I97" s="17">
        <v>1.7795026662614706</v>
      </c>
      <c r="J97" s="17">
        <v>1.1190005256627755</v>
      </c>
      <c r="K97" s="17">
        <v>0</v>
      </c>
    </row>
    <row r="98" spans="1:11">
      <c r="A98" s="8">
        <v>4</v>
      </c>
      <c r="B98" s="19">
        <v>37888</v>
      </c>
      <c r="C98" s="12">
        <v>2003</v>
      </c>
      <c r="D98" s="15" t="s">
        <v>26</v>
      </c>
      <c r="E98" s="12">
        <v>9</v>
      </c>
      <c r="F98" s="17">
        <v>19.523304188652542</v>
      </c>
      <c r="G98" s="17">
        <v>7.0674641741149749E-2</v>
      </c>
      <c r="H98" s="17">
        <v>0</v>
      </c>
      <c r="I98" s="17">
        <v>2.6758212442921878</v>
      </c>
      <c r="J98" s="17">
        <v>1.9597546210092796</v>
      </c>
      <c r="K98" s="17">
        <v>0</v>
      </c>
    </row>
    <row r="99" spans="1:11">
      <c r="A99" s="8">
        <v>3</v>
      </c>
      <c r="B99" s="19">
        <v>37910</v>
      </c>
      <c r="C99" s="12">
        <v>2003</v>
      </c>
      <c r="D99" s="15" t="s">
        <v>14</v>
      </c>
      <c r="E99" s="12">
        <v>10</v>
      </c>
      <c r="F99" s="16">
        <v>9.7642000000000007</v>
      </c>
      <c r="G99" s="17">
        <v>0.41868209898560876</v>
      </c>
      <c r="H99" s="17">
        <v>4.5453975478011326E-2</v>
      </c>
      <c r="I99" s="17">
        <v>1.3839139385783499</v>
      </c>
      <c r="J99" s="17">
        <v>0.59963481127173457</v>
      </c>
      <c r="K99" s="17">
        <v>0</v>
      </c>
    </row>
    <row r="100" spans="1:11">
      <c r="A100" s="8">
        <v>4</v>
      </c>
      <c r="B100" s="19">
        <v>37910</v>
      </c>
      <c r="C100" s="12">
        <v>2003</v>
      </c>
      <c r="D100" s="15" t="s">
        <v>14</v>
      </c>
      <c r="E100" s="12">
        <v>10</v>
      </c>
      <c r="F100" s="16">
        <v>9.9925999999999995</v>
      </c>
      <c r="G100" s="17">
        <v>4.7576818138613641E-2</v>
      </c>
      <c r="H100" s="17">
        <v>4.4151045075440473E-2</v>
      </c>
      <c r="I100" s="17">
        <v>0.81962443561549292</v>
      </c>
      <c r="J100" s="17">
        <v>1.7748589982930474</v>
      </c>
      <c r="K100" s="17">
        <v>0</v>
      </c>
    </row>
    <row r="101" spans="1:11">
      <c r="A101" s="8">
        <v>3</v>
      </c>
      <c r="B101" s="19">
        <v>37943</v>
      </c>
      <c r="C101" s="12">
        <v>2003</v>
      </c>
      <c r="D101" s="15" t="s">
        <v>16</v>
      </c>
      <c r="E101" s="12">
        <v>11</v>
      </c>
      <c r="F101" s="16">
        <v>3.2075999999999998</v>
      </c>
      <c r="G101" s="17">
        <v>0.23019294287519221</v>
      </c>
      <c r="H101" s="17">
        <v>1.3221462981197167E-2</v>
      </c>
      <c r="I101" s="17">
        <v>0.61031253052305934</v>
      </c>
      <c r="J101" s="17">
        <v>6.4714424751670677E-2</v>
      </c>
      <c r="K101" s="17">
        <v>0</v>
      </c>
    </row>
    <row r="102" spans="1:11">
      <c r="A102" s="8">
        <v>4</v>
      </c>
      <c r="B102" s="19">
        <v>37943</v>
      </c>
      <c r="C102" s="12">
        <v>2003</v>
      </c>
      <c r="D102" s="15" t="s">
        <v>16</v>
      </c>
      <c r="E102" s="12">
        <v>11</v>
      </c>
      <c r="F102" s="16">
        <v>5.4176000000000002</v>
      </c>
      <c r="G102" s="17">
        <v>0.16609746229817327</v>
      </c>
      <c r="H102" s="17">
        <v>0</v>
      </c>
      <c r="I102" s="17">
        <v>0.96361560674696445</v>
      </c>
      <c r="J102" s="17">
        <v>0.19515025796215507</v>
      </c>
      <c r="K102" s="17">
        <v>0</v>
      </c>
    </row>
    <row r="103" spans="1:11">
      <c r="A103" s="8">
        <v>3</v>
      </c>
      <c r="B103" s="19">
        <v>37973</v>
      </c>
      <c r="C103" s="12">
        <v>2003</v>
      </c>
      <c r="D103" s="15" t="s">
        <v>17</v>
      </c>
      <c r="E103" s="12">
        <v>12</v>
      </c>
      <c r="F103" s="16">
        <v>11.6934</v>
      </c>
      <c r="G103" s="17">
        <v>1.3011526277468934</v>
      </c>
      <c r="H103" s="17">
        <v>0</v>
      </c>
      <c r="I103" s="17">
        <v>1.3370946416200373</v>
      </c>
      <c r="J103" s="17">
        <v>6.0767688421533454E-2</v>
      </c>
      <c r="K103" s="17">
        <v>0</v>
      </c>
    </row>
    <row r="104" spans="1:11">
      <c r="A104" s="8">
        <v>4</v>
      </c>
      <c r="B104" s="19">
        <v>37973</v>
      </c>
      <c r="C104" s="12">
        <v>2003</v>
      </c>
      <c r="D104" s="15" t="s">
        <v>17</v>
      </c>
      <c r="E104" s="12">
        <v>12</v>
      </c>
      <c r="F104" s="16">
        <v>10.9465</v>
      </c>
      <c r="G104" s="17">
        <v>1.7772196844338268</v>
      </c>
      <c r="H104" s="17">
        <v>0</v>
      </c>
      <c r="I104" s="17">
        <v>1.0249089304915338</v>
      </c>
      <c r="J104" s="17">
        <v>9.8620534194994156E-2</v>
      </c>
      <c r="K104" s="17">
        <v>0</v>
      </c>
    </row>
    <row r="105" spans="1:11">
      <c r="A105" s="8">
        <v>3</v>
      </c>
      <c r="B105" s="19">
        <v>37999</v>
      </c>
      <c r="C105" s="12">
        <v>2004</v>
      </c>
      <c r="D105" s="15" t="s">
        <v>18</v>
      </c>
      <c r="E105" s="12">
        <v>1</v>
      </c>
      <c r="F105" s="16">
        <v>5.3851000000000004</v>
      </c>
      <c r="G105" s="16">
        <v>0.10528440263887573</v>
      </c>
      <c r="H105" s="16">
        <v>0</v>
      </c>
      <c r="I105" s="16">
        <v>1.7809284283774076</v>
      </c>
      <c r="J105" s="16">
        <v>4.5632552843316042E-2</v>
      </c>
      <c r="K105" s="16">
        <v>0</v>
      </c>
    </row>
    <row r="106" spans="1:11">
      <c r="A106" s="8">
        <v>4</v>
      </c>
      <c r="C106" s="12">
        <v>2004</v>
      </c>
      <c r="D106" s="15" t="s">
        <v>18</v>
      </c>
      <c r="E106" s="12">
        <v>1</v>
      </c>
      <c r="F106" s="16"/>
    </row>
    <row r="107" spans="1:11">
      <c r="A107" s="8">
        <v>3</v>
      </c>
      <c r="B107" s="19">
        <v>38027</v>
      </c>
      <c r="C107" s="12">
        <v>2004</v>
      </c>
      <c r="D107" s="11" t="s">
        <v>19</v>
      </c>
      <c r="E107" s="12">
        <v>2</v>
      </c>
      <c r="F107" s="16">
        <v>5.3371000000000004</v>
      </c>
      <c r="G107" s="16">
        <v>0.24309006200414726</v>
      </c>
      <c r="H107" s="16">
        <v>0</v>
      </c>
      <c r="I107" s="16">
        <v>1.1945989625959736</v>
      </c>
      <c r="J107" s="16">
        <v>8.6273192903857099E-2</v>
      </c>
      <c r="K107" s="16">
        <v>0</v>
      </c>
    </row>
    <row r="108" spans="1:11">
      <c r="A108" s="8">
        <v>4</v>
      </c>
      <c r="B108" s="19">
        <v>38027</v>
      </c>
      <c r="C108" s="12">
        <v>2004</v>
      </c>
      <c r="D108" s="11" t="s">
        <v>19</v>
      </c>
      <c r="E108" s="12">
        <v>2</v>
      </c>
      <c r="F108" s="16">
        <v>2.6084999999999998</v>
      </c>
      <c r="G108" s="16">
        <v>2.4402985768134076E-2</v>
      </c>
      <c r="H108" s="16">
        <v>0</v>
      </c>
      <c r="I108" s="16">
        <v>0.27933945429466439</v>
      </c>
      <c r="J108" s="16">
        <v>0.11624733969784859</v>
      </c>
      <c r="K108" s="16">
        <v>0</v>
      </c>
    </row>
    <row r="109" spans="1:11">
      <c r="A109" s="8">
        <v>3</v>
      </c>
      <c r="B109" s="19">
        <v>38063</v>
      </c>
      <c r="C109" s="12">
        <v>2004</v>
      </c>
      <c r="D109" s="11" t="s">
        <v>20</v>
      </c>
      <c r="E109" s="12">
        <v>3</v>
      </c>
      <c r="F109" s="16">
        <v>13.4383</v>
      </c>
      <c r="G109" s="16">
        <v>2.6234830759778328E-2</v>
      </c>
      <c r="H109" s="16">
        <v>0</v>
      </c>
      <c r="I109" s="16">
        <v>6.1225678193617679</v>
      </c>
      <c r="J109" s="16">
        <v>4.7206611592298914E-2</v>
      </c>
      <c r="K109" s="16">
        <v>0</v>
      </c>
    </row>
    <row r="110" spans="1:11">
      <c r="A110" s="8">
        <v>4</v>
      </c>
      <c r="B110" s="19">
        <v>38063</v>
      </c>
      <c r="C110" s="12">
        <v>2004</v>
      </c>
      <c r="D110" s="11" t="s">
        <v>20</v>
      </c>
      <c r="E110" s="12">
        <v>3</v>
      </c>
      <c r="F110" s="16">
        <v>12.3042</v>
      </c>
      <c r="G110" s="16">
        <v>2.9550395373102101E-2</v>
      </c>
      <c r="H110" s="16">
        <v>0</v>
      </c>
      <c r="I110" s="16">
        <v>5.5160264115233657</v>
      </c>
      <c r="J110" s="16">
        <v>7.1743789554736231E-2</v>
      </c>
      <c r="K110" s="16">
        <v>0</v>
      </c>
    </row>
    <row r="111" spans="1:11">
      <c r="A111" s="8">
        <v>3</v>
      </c>
      <c r="B111" s="19">
        <v>38094</v>
      </c>
      <c r="C111" s="12">
        <v>2004</v>
      </c>
      <c r="D111" s="11" t="s">
        <v>21</v>
      </c>
      <c r="E111" s="12">
        <v>4</v>
      </c>
      <c r="F111" s="16">
        <v>5.4115000000000002</v>
      </c>
      <c r="G111" s="21">
        <v>0.15784524287259907</v>
      </c>
      <c r="H111" s="21">
        <v>0</v>
      </c>
      <c r="I111" s="21">
        <v>1.0041601822292627</v>
      </c>
      <c r="J111" s="21">
        <v>7.0277115039891938E-2</v>
      </c>
      <c r="K111" s="21">
        <v>0</v>
      </c>
    </row>
    <row r="112" spans="1:11">
      <c r="A112" s="8">
        <v>4</v>
      </c>
      <c r="B112" s="19">
        <v>38094</v>
      </c>
      <c r="C112" s="12">
        <v>2004</v>
      </c>
      <c r="D112" s="11" t="s">
        <v>21</v>
      </c>
      <c r="E112" s="12">
        <v>4</v>
      </c>
      <c r="F112" s="16">
        <v>5.7423999999999999</v>
      </c>
      <c r="G112" s="21">
        <v>0.12250571451892452</v>
      </c>
      <c r="H112" s="21">
        <v>0</v>
      </c>
      <c r="I112" s="21">
        <v>0.86191598063387942</v>
      </c>
      <c r="J112" s="21">
        <v>7.4200041663514404E-2</v>
      </c>
      <c r="K112" s="21">
        <v>0</v>
      </c>
    </row>
    <row r="113" spans="1:11">
      <c r="A113" s="8">
        <v>3</v>
      </c>
      <c r="B113" s="19">
        <v>38118</v>
      </c>
      <c r="C113" s="12">
        <v>2004</v>
      </c>
      <c r="D113" s="11" t="s">
        <v>22</v>
      </c>
      <c r="E113" s="12">
        <v>5</v>
      </c>
      <c r="F113" s="16">
        <v>3.6282999999999999</v>
      </c>
      <c r="G113" s="21">
        <v>2.1429458653200766E-2</v>
      </c>
      <c r="H113" s="21">
        <v>0</v>
      </c>
      <c r="I113" s="21">
        <v>0.61489421037302716</v>
      </c>
      <c r="J113" s="21">
        <v>0.38247653781114183</v>
      </c>
      <c r="K113" s="21">
        <v>0</v>
      </c>
    </row>
    <row r="114" spans="1:11">
      <c r="A114" s="8">
        <v>4</v>
      </c>
      <c r="B114" s="19">
        <v>38118</v>
      </c>
      <c r="C114" s="12">
        <v>2004</v>
      </c>
      <c r="D114" s="11" t="s">
        <v>22</v>
      </c>
      <c r="E114" s="12">
        <v>5</v>
      </c>
      <c r="F114" s="16">
        <v>4.9854000000000003</v>
      </c>
      <c r="G114" s="21">
        <v>2.1426401955018132E-2</v>
      </c>
      <c r="H114" s="21">
        <v>0</v>
      </c>
      <c r="I114" s="21">
        <v>0.4525592456868377</v>
      </c>
      <c r="J114" s="21">
        <v>0.94308726872628312</v>
      </c>
      <c r="K114" s="21">
        <v>0</v>
      </c>
    </row>
    <row r="115" spans="1:11">
      <c r="A115" s="8">
        <v>3</v>
      </c>
      <c r="B115" s="19">
        <v>38153</v>
      </c>
      <c r="C115" s="12">
        <v>2004</v>
      </c>
      <c r="D115" s="11" t="s">
        <v>23</v>
      </c>
      <c r="E115" s="12">
        <v>6</v>
      </c>
      <c r="F115" s="16">
        <v>18.753</v>
      </c>
      <c r="G115" s="21">
        <v>0.12806177754013826</v>
      </c>
      <c r="H115" s="21">
        <v>0.91760947473392074</v>
      </c>
      <c r="I115" s="21">
        <v>3.7806646896903122</v>
      </c>
      <c r="J115" s="21">
        <v>2.3008646817213165</v>
      </c>
      <c r="K115" s="21">
        <v>4.1240629709144078E-2</v>
      </c>
    </row>
    <row r="116" spans="1:11">
      <c r="A116" s="8">
        <v>4</v>
      </c>
      <c r="B116" s="19">
        <v>38153</v>
      </c>
      <c r="C116" s="12">
        <v>2004</v>
      </c>
      <c r="D116" s="11" t="s">
        <v>23</v>
      </c>
      <c r="E116" s="12">
        <v>6</v>
      </c>
      <c r="F116" s="16">
        <v>13.9351</v>
      </c>
      <c r="G116" s="21">
        <v>0.13768437453861643</v>
      </c>
      <c r="H116" s="21">
        <v>0.2832702780754639</v>
      </c>
      <c r="I116" s="21">
        <v>1.9564965490913808</v>
      </c>
      <c r="J116" s="21">
        <v>3.0454821386171358</v>
      </c>
      <c r="K116" s="16">
        <v>4.0272328073477984E-2</v>
      </c>
    </row>
    <row r="117" spans="1:11">
      <c r="A117" s="8">
        <v>3</v>
      </c>
      <c r="B117" s="19">
        <v>38181</v>
      </c>
      <c r="C117" s="12">
        <v>2004</v>
      </c>
      <c r="D117" s="15" t="s">
        <v>24</v>
      </c>
      <c r="E117" s="12">
        <v>7</v>
      </c>
      <c r="F117" s="16">
        <v>20.0915</v>
      </c>
      <c r="G117" s="21">
        <v>0.16713010348067212</v>
      </c>
      <c r="H117" s="21">
        <v>7.0552630515793802E-2</v>
      </c>
      <c r="I117" s="21">
        <v>2.2629564231703188</v>
      </c>
      <c r="J117" s="21">
        <v>2.3369501123278074</v>
      </c>
      <c r="K117" s="21">
        <v>0</v>
      </c>
    </row>
    <row r="118" spans="1:11">
      <c r="A118" s="8">
        <v>4</v>
      </c>
      <c r="B118" s="19">
        <v>38181</v>
      </c>
      <c r="C118" s="12">
        <v>2004</v>
      </c>
      <c r="D118" s="15" t="s">
        <v>24</v>
      </c>
      <c r="E118" s="12">
        <v>7</v>
      </c>
      <c r="F118" s="16">
        <v>15.782</v>
      </c>
      <c r="G118" s="21">
        <v>0.16361971245402571</v>
      </c>
      <c r="H118" s="21">
        <v>0</v>
      </c>
      <c r="I118" s="21">
        <v>1.50302472509605</v>
      </c>
      <c r="J118" s="21">
        <v>2.3074698043944819</v>
      </c>
      <c r="K118" s="21">
        <v>0</v>
      </c>
    </row>
    <row r="119" spans="1:11">
      <c r="A119" s="8">
        <v>3</v>
      </c>
      <c r="B119" s="19">
        <v>38217</v>
      </c>
      <c r="C119" s="12">
        <v>2004</v>
      </c>
      <c r="D119" s="15" t="s">
        <v>25</v>
      </c>
      <c r="E119" s="12">
        <v>8</v>
      </c>
      <c r="F119" s="16">
        <v>10.997999999999999</v>
      </c>
      <c r="G119" s="20"/>
      <c r="H119" s="20"/>
      <c r="I119" s="20"/>
      <c r="J119" s="20"/>
      <c r="K119" s="20"/>
    </row>
    <row r="120" spans="1:11">
      <c r="A120" s="8">
        <v>4</v>
      </c>
      <c r="B120" s="19">
        <v>38217</v>
      </c>
      <c r="C120" s="12">
        <v>2004</v>
      </c>
      <c r="D120" s="15" t="s">
        <v>25</v>
      </c>
      <c r="E120" s="12">
        <v>8</v>
      </c>
      <c r="F120" s="16">
        <v>45.216900000000003</v>
      </c>
      <c r="G120" s="20"/>
      <c r="H120" s="20"/>
      <c r="I120" s="20"/>
      <c r="J120" s="20"/>
      <c r="K120" s="20"/>
    </row>
    <row r="121" spans="1:11">
      <c r="A121" s="8">
        <v>3</v>
      </c>
      <c r="B121" s="19">
        <v>38244</v>
      </c>
      <c r="C121" s="12">
        <v>2004</v>
      </c>
      <c r="D121" s="15" t="s">
        <v>26</v>
      </c>
      <c r="E121" s="12">
        <v>9</v>
      </c>
      <c r="F121" s="16">
        <v>12.7507</v>
      </c>
      <c r="G121" s="21">
        <v>0.24309555511422545</v>
      </c>
      <c r="H121" s="21">
        <v>0</v>
      </c>
      <c r="I121" s="21">
        <v>2.510084595556175</v>
      </c>
      <c r="J121" s="21">
        <v>1.5251476549326533</v>
      </c>
      <c r="K121" s="21">
        <v>0</v>
      </c>
    </row>
    <row r="122" spans="1:11">
      <c r="A122" s="8">
        <v>4</v>
      </c>
      <c r="B122" s="19">
        <v>38244</v>
      </c>
      <c r="C122" s="12">
        <v>2004</v>
      </c>
      <c r="D122" s="15" t="s">
        <v>26</v>
      </c>
      <c r="E122" s="12">
        <v>9</v>
      </c>
      <c r="F122" s="16">
        <v>14.0365</v>
      </c>
      <c r="G122" s="21">
        <v>0.21667326180209007</v>
      </c>
      <c r="H122" s="21">
        <v>0</v>
      </c>
      <c r="I122" s="21">
        <v>2.2179829097957726</v>
      </c>
      <c r="J122" s="21">
        <v>1.6940551311670464</v>
      </c>
      <c r="K122" s="21">
        <v>0</v>
      </c>
    </row>
    <row r="123" spans="1:11">
      <c r="A123" s="8">
        <v>3</v>
      </c>
      <c r="B123" s="19">
        <v>38272</v>
      </c>
      <c r="C123" s="12">
        <v>2004</v>
      </c>
      <c r="D123" s="15" t="s">
        <v>14</v>
      </c>
      <c r="E123" s="12">
        <v>10</v>
      </c>
      <c r="F123" s="17">
        <v>7.8767199999999997</v>
      </c>
      <c r="G123" s="17">
        <v>0.75300452005566632</v>
      </c>
      <c r="H123" s="17">
        <v>0</v>
      </c>
      <c r="I123" s="17">
        <v>0.43251658240007279</v>
      </c>
      <c r="J123" s="17">
        <v>0.96561455546181008</v>
      </c>
      <c r="K123" s="17">
        <v>0</v>
      </c>
    </row>
    <row r="124" spans="1:11">
      <c r="A124" s="8">
        <v>4</v>
      </c>
      <c r="B124" s="19">
        <v>38272</v>
      </c>
      <c r="C124" s="12">
        <v>2004</v>
      </c>
      <c r="D124" s="15" t="s">
        <v>14</v>
      </c>
      <c r="E124" s="12">
        <v>10</v>
      </c>
      <c r="F124" s="17">
        <v>6.2694200000000002</v>
      </c>
      <c r="G124" s="17">
        <v>0.10918285997967254</v>
      </c>
      <c r="H124" s="17">
        <v>0</v>
      </c>
      <c r="I124" s="17">
        <v>0.30589665485975986</v>
      </c>
      <c r="J124" s="17">
        <v>1.3525203208672503</v>
      </c>
      <c r="K124" s="17">
        <v>0</v>
      </c>
    </row>
    <row r="125" spans="1:11">
      <c r="A125" s="8">
        <v>3</v>
      </c>
      <c r="B125" s="19">
        <v>38306</v>
      </c>
      <c r="C125" s="12">
        <v>2004</v>
      </c>
      <c r="D125" s="15" t="s">
        <v>16</v>
      </c>
      <c r="E125" s="12">
        <v>11</v>
      </c>
      <c r="F125" s="17">
        <v>6.0825500000000003</v>
      </c>
      <c r="G125" s="17">
        <v>5.2664593826123964E-2</v>
      </c>
      <c r="H125" s="17">
        <v>0</v>
      </c>
      <c r="I125" s="17">
        <v>1.6880263310354644</v>
      </c>
      <c r="J125" s="17">
        <v>7.4091233090591221E-2</v>
      </c>
      <c r="K125" s="17">
        <v>0</v>
      </c>
    </row>
    <row r="126" spans="1:11">
      <c r="A126" s="8">
        <v>4</v>
      </c>
      <c r="B126" s="19">
        <v>38306</v>
      </c>
      <c r="C126" s="12">
        <v>2004</v>
      </c>
      <c r="D126" s="15" t="s">
        <v>16</v>
      </c>
      <c r="E126" s="12">
        <v>11</v>
      </c>
      <c r="F126" s="17">
        <v>6.7589899999999998</v>
      </c>
      <c r="G126" s="17">
        <v>2.3952273369104125E-2</v>
      </c>
      <c r="H126" s="17">
        <v>0</v>
      </c>
      <c r="I126" s="17">
        <v>1.6361387052122456</v>
      </c>
      <c r="J126" s="17">
        <v>0.11067275267299027</v>
      </c>
      <c r="K126" s="17">
        <v>0</v>
      </c>
    </row>
    <row r="127" spans="1:11">
      <c r="A127" s="8">
        <v>3</v>
      </c>
      <c r="B127" s="19">
        <v>38336</v>
      </c>
      <c r="C127" s="12">
        <v>2004</v>
      </c>
      <c r="D127" s="15" t="s">
        <v>17</v>
      </c>
      <c r="E127" s="12">
        <v>12</v>
      </c>
      <c r="F127" s="17">
        <v>4.2297099999999999</v>
      </c>
      <c r="G127" s="17">
        <v>0.30738961384633001</v>
      </c>
      <c r="H127" s="17">
        <v>0</v>
      </c>
      <c r="I127" s="17">
        <v>0.38986576642301346</v>
      </c>
      <c r="J127" s="17">
        <v>4.1446856512349708E-2</v>
      </c>
      <c r="K127" s="17">
        <v>0</v>
      </c>
    </row>
    <row r="128" spans="1:11">
      <c r="A128" s="8">
        <v>4</v>
      </c>
      <c r="B128" s="19">
        <v>38336</v>
      </c>
      <c r="C128" s="12">
        <v>2004</v>
      </c>
      <c r="D128" s="15" t="s">
        <v>17</v>
      </c>
      <c r="E128" s="12">
        <v>12</v>
      </c>
      <c r="F128" s="17">
        <v>12.044879999999999</v>
      </c>
      <c r="G128" s="17">
        <v>0.81353239499296481</v>
      </c>
      <c r="H128" s="17">
        <v>0</v>
      </c>
      <c r="I128" s="17">
        <v>1.0508198626836853</v>
      </c>
      <c r="J128" s="17">
        <v>0.11189090018110737</v>
      </c>
      <c r="K128" s="17">
        <v>0</v>
      </c>
    </row>
    <row r="129" spans="1:11">
      <c r="A129" s="8">
        <v>3</v>
      </c>
      <c r="B129" s="22">
        <v>38362</v>
      </c>
      <c r="C129" s="12">
        <v>2005</v>
      </c>
      <c r="D129" s="15" t="s">
        <v>18</v>
      </c>
      <c r="E129" s="12">
        <v>1</v>
      </c>
      <c r="F129" s="17">
        <v>6.4647300000000003</v>
      </c>
      <c r="G129" s="17">
        <v>0.79039295472254112</v>
      </c>
      <c r="H129" s="17">
        <v>3.153905419461283E-2</v>
      </c>
      <c r="I129" s="17">
        <v>1.0229536860427006</v>
      </c>
      <c r="J129" s="17">
        <v>2.4594402325787579E-2</v>
      </c>
      <c r="K129" s="17">
        <v>0</v>
      </c>
    </row>
    <row r="130" spans="1:11">
      <c r="A130" s="8">
        <v>4</v>
      </c>
      <c r="B130" s="22">
        <v>38362</v>
      </c>
      <c r="C130" s="12">
        <v>2005</v>
      </c>
      <c r="D130" s="15" t="s">
        <v>18</v>
      </c>
      <c r="E130" s="12">
        <v>1</v>
      </c>
      <c r="F130" s="17">
        <v>7.8801500000000004</v>
      </c>
      <c r="G130" s="17">
        <v>1.0814387716043101</v>
      </c>
      <c r="H130" s="17">
        <v>0</v>
      </c>
      <c r="I130" s="17">
        <v>1.1464602924940137</v>
      </c>
      <c r="J130" s="17">
        <v>2.3835237777805787E-2</v>
      </c>
      <c r="K130" s="17">
        <v>0</v>
      </c>
    </row>
    <row r="131" spans="1:11">
      <c r="A131" s="8">
        <v>3</v>
      </c>
      <c r="B131" s="22">
        <v>38399</v>
      </c>
      <c r="C131" s="12">
        <v>2005</v>
      </c>
      <c r="D131" s="11" t="s">
        <v>19</v>
      </c>
      <c r="E131" s="12">
        <v>2</v>
      </c>
      <c r="F131" s="17">
        <v>3.33995</v>
      </c>
      <c r="G131" s="17">
        <v>0.1486957008830169</v>
      </c>
      <c r="H131" s="17">
        <v>0</v>
      </c>
      <c r="I131" s="17">
        <v>0.71400904643100782</v>
      </c>
      <c r="J131" s="17">
        <v>3.1026385013023614E-2</v>
      </c>
      <c r="K131" s="17">
        <v>0</v>
      </c>
    </row>
    <row r="132" spans="1:11">
      <c r="A132" s="8">
        <v>4</v>
      </c>
      <c r="B132" s="22">
        <v>38399</v>
      </c>
      <c r="C132" s="12">
        <v>2005</v>
      </c>
      <c r="D132" s="11" t="s">
        <v>19</v>
      </c>
      <c r="E132" s="12">
        <v>2</v>
      </c>
      <c r="F132" s="17">
        <v>3.9554900000000002</v>
      </c>
      <c r="G132" s="17">
        <v>0.11561089965104886</v>
      </c>
      <c r="H132" s="17">
        <v>0</v>
      </c>
      <c r="I132" s="17">
        <v>0.4306963603617866</v>
      </c>
      <c r="J132" s="17">
        <v>4.4375618989859575E-2</v>
      </c>
      <c r="K132" s="17">
        <v>0</v>
      </c>
    </row>
    <row r="133" spans="1:11">
      <c r="A133" s="8">
        <v>3</v>
      </c>
      <c r="B133" s="22">
        <v>38428</v>
      </c>
      <c r="C133" s="12">
        <v>2005</v>
      </c>
      <c r="D133" s="11" t="s">
        <v>20</v>
      </c>
      <c r="E133" s="12">
        <v>3</v>
      </c>
      <c r="F133" s="17">
        <v>1.1633800000000001</v>
      </c>
      <c r="G133" s="17">
        <v>3.900880519323157E-2</v>
      </c>
      <c r="H133" s="17">
        <v>0</v>
      </c>
      <c r="I133" s="17">
        <v>0.12735903283828598</v>
      </c>
      <c r="J133" s="17">
        <v>8.4816007377382895E-3</v>
      </c>
      <c r="K133" s="17">
        <v>0</v>
      </c>
    </row>
    <row r="134" spans="1:11">
      <c r="A134" s="8">
        <v>4</v>
      </c>
      <c r="B134" s="22">
        <v>38428</v>
      </c>
      <c r="C134" s="12">
        <v>2005</v>
      </c>
      <c r="D134" s="11" t="s">
        <v>20</v>
      </c>
      <c r="E134" s="12">
        <v>3</v>
      </c>
      <c r="F134" s="17">
        <v>2.8252999999999999</v>
      </c>
      <c r="G134" s="17">
        <v>4.1975760694782364E-2</v>
      </c>
      <c r="H134" s="17">
        <v>0</v>
      </c>
      <c r="I134" s="17">
        <v>0.192247010677357</v>
      </c>
      <c r="J134" s="17">
        <v>2.7404164700148927E-2</v>
      </c>
      <c r="K134" s="17">
        <v>0</v>
      </c>
    </row>
    <row r="135" spans="1:11">
      <c r="A135" s="8">
        <v>3</v>
      </c>
      <c r="B135" s="22">
        <v>38469</v>
      </c>
      <c r="C135" s="12">
        <v>2005</v>
      </c>
      <c r="D135" s="11" t="s">
        <v>21</v>
      </c>
      <c r="E135" s="12">
        <v>4</v>
      </c>
      <c r="F135" s="17">
        <v>3.2155200000000002</v>
      </c>
      <c r="G135" s="17">
        <v>2.8037435902403981E-2</v>
      </c>
      <c r="H135" s="17">
        <v>7.0755575757826789E-2</v>
      </c>
      <c r="I135" s="17">
        <v>1.1625004827323295</v>
      </c>
      <c r="J135" s="17">
        <v>6.9128398466088245E-2</v>
      </c>
      <c r="K135" s="17">
        <v>0</v>
      </c>
    </row>
    <row r="136" spans="1:11">
      <c r="A136" s="8">
        <v>4</v>
      </c>
      <c r="B136" s="22">
        <v>38469</v>
      </c>
      <c r="C136" s="12">
        <v>2005</v>
      </c>
      <c r="D136" s="11" t="s">
        <v>21</v>
      </c>
      <c r="E136" s="12">
        <v>4</v>
      </c>
      <c r="F136" s="17">
        <v>5.28355</v>
      </c>
      <c r="G136" s="17">
        <v>5.4061668503020639E-2</v>
      </c>
      <c r="H136" s="17">
        <v>3.072385204826706E-2</v>
      </c>
      <c r="I136" s="17">
        <v>1.2608107263439805</v>
      </c>
      <c r="J136" s="17">
        <v>0.14760352285800149</v>
      </c>
      <c r="K136" s="17">
        <v>0</v>
      </c>
    </row>
    <row r="137" spans="1:11">
      <c r="A137" s="8">
        <v>3</v>
      </c>
      <c r="B137" s="22">
        <v>38490</v>
      </c>
      <c r="C137" s="12">
        <v>2005</v>
      </c>
      <c r="D137" s="11" t="s">
        <v>22</v>
      </c>
      <c r="E137" s="12">
        <v>5</v>
      </c>
      <c r="F137" s="17">
        <v>10.451129999999999</v>
      </c>
      <c r="G137" s="17">
        <v>0.10902042975333515</v>
      </c>
      <c r="H137" s="17">
        <v>1.2375259026541607</v>
      </c>
      <c r="I137" s="17">
        <v>4.9755142502901464</v>
      </c>
      <c r="J137" s="17">
        <v>0.31513152104532005</v>
      </c>
      <c r="K137" s="17">
        <v>1.5847942843687918E-2</v>
      </c>
    </row>
    <row r="138" spans="1:11">
      <c r="A138" s="8">
        <v>4</v>
      </c>
      <c r="B138" s="22">
        <v>38490</v>
      </c>
      <c r="C138" s="12">
        <v>2005</v>
      </c>
      <c r="D138" s="11" t="s">
        <v>22</v>
      </c>
      <c r="E138" s="12">
        <v>5</v>
      </c>
      <c r="F138" s="17">
        <v>10.21026</v>
      </c>
      <c r="G138" s="17">
        <v>0.14983383455615065</v>
      </c>
      <c r="H138" s="17">
        <v>0.9143</v>
      </c>
      <c r="I138" s="17">
        <v>4.507891551131145</v>
      </c>
      <c r="J138" s="17">
        <v>0.51337113549156588</v>
      </c>
      <c r="K138" s="17">
        <v>3.3817420872577351E-2</v>
      </c>
    </row>
    <row r="139" spans="1:11">
      <c r="A139" s="8">
        <v>3</v>
      </c>
      <c r="B139" s="22">
        <v>38518</v>
      </c>
      <c r="C139" s="12">
        <v>2005</v>
      </c>
      <c r="D139" s="11" t="s">
        <v>23</v>
      </c>
      <c r="E139" s="12">
        <v>6</v>
      </c>
      <c r="F139" s="17">
        <v>13.36988</v>
      </c>
      <c r="G139" s="17">
        <v>0.10979844355443795</v>
      </c>
      <c r="H139" s="17">
        <v>7.2304966870211498E-2</v>
      </c>
      <c r="I139" s="17">
        <v>3.2752573046300775</v>
      </c>
      <c r="J139" s="17">
        <v>1.301783497139914</v>
      </c>
      <c r="K139" s="17">
        <v>2.2588569022809479E-2</v>
      </c>
    </row>
    <row r="140" spans="1:11">
      <c r="A140" s="8">
        <v>4</v>
      </c>
      <c r="B140" s="22">
        <v>38518</v>
      </c>
      <c r="C140" s="12">
        <v>2005</v>
      </c>
      <c r="D140" s="11" t="s">
        <v>23</v>
      </c>
      <c r="E140" s="12">
        <v>6</v>
      </c>
      <c r="F140" s="17">
        <v>16.137519999999999</v>
      </c>
      <c r="G140" s="17">
        <v>0.14870503329761092</v>
      </c>
      <c r="H140" s="17">
        <v>0.13528502300466791</v>
      </c>
      <c r="I140" s="17">
        <v>2.50465349948953</v>
      </c>
      <c r="J140" s="17">
        <v>2.793553318231409</v>
      </c>
      <c r="K140" s="17">
        <v>3.3420735286238241E-2</v>
      </c>
    </row>
    <row r="141" spans="1:11">
      <c r="A141" s="8">
        <v>3</v>
      </c>
      <c r="B141" s="22">
        <v>38547</v>
      </c>
      <c r="C141" s="12">
        <v>2005</v>
      </c>
      <c r="D141" s="15" t="s">
        <v>24</v>
      </c>
      <c r="E141" s="12">
        <v>7</v>
      </c>
      <c r="F141" s="17">
        <v>21.922049999999999</v>
      </c>
      <c r="G141" s="17">
        <v>0.38765604132340864</v>
      </c>
      <c r="H141" s="17">
        <v>3.6026400815063891E-2</v>
      </c>
      <c r="I141" s="17">
        <v>1.8764156773865563</v>
      </c>
      <c r="J141" s="17">
        <v>1.8903261202070181</v>
      </c>
      <c r="K141" s="17">
        <v>3.3002913317631007E-2</v>
      </c>
    </row>
    <row r="142" spans="1:11">
      <c r="A142" s="8">
        <v>4</v>
      </c>
      <c r="B142" s="22">
        <v>38547</v>
      </c>
      <c r="C142" s="12">
        <v>2005</v>
      </c>
      <c r="D142" s="15" t="s">
        <v>24</v>
      </c>
      <c r="E142" s="12">
        <v>7</v>
      </c>
      <c r="F142" s="17">
        <v>23.777570000000001</v>
      </c>
      <c r="G142" s="17">
        <v>0.34114825985995367</v>
      </c>
      <c r="H142" s="17">
        <v>0.12093240197444738</v>
      </c>
      <c r="I142" s="17">
        <v>2.67984476525467</v>
      </c>
      <c r="J142" s="17">
        <v>1.9867539907154301</v>
      </c>
      <c r="K142" s="17">
        <v>5.7338588386035727E-2</v>
      </c>
    </row>
    <row r="143" spans="1:11">
      <c r="A143" s="8">
        <v>3</v>
      </c>
      <c r="B143" s="22">
        <v>38589</v>
      </c>
      <c r="C143" s="12">
        <v>2005</v>
      </c>
      <c r="D143" s="15" t="s">
        <v>25</v>
      </c>
      <c r="E143" s="12">
        <v>8</v>
      </c>
      <c r="F143" s="17">
        <v>22.433710000000001</v>
      </c>
      <c r="G143" s="17">
        <v>0.37035977914712909</v>
      </c>
      <c r="H143" s="17">
        <v>0</v>
      </c>
      <c r="I143" s="17">
        <v>3.5460154461443412</v>
      </c>
      <c r="J143" s="17">
        <v>1.6444007218854446</v>
      </c>
      <c r="K143" s="17">
        <v>3.1405475204981832E-2</v>
      </c>
    </row>
    <row r="144" spans="1:11">
      <c r="A144" s="8">
        <v>4</v>
      </c>
      <c r="B144" s="22">
        <v>38589</v>
      </c>
      <c r="C144" s="12">
        <v>2005</v>
      </c>
      <c r="D144" s="15" t="s">
        <v>25</v>
      </c>
      <c r="E144" s="12">
        <v>8</v>
      </c>
      <c r="F144" s="17">
        <v>33.627569999999999</v>
      </c>
      <c r="G144" s="17">
        <v>0.21545050244673453</v>
      </c>
      <c r="H144" s="17">
        <v>0</v>
      </c>
      <c r="I144" s="17">
        <v>4.0881671717073989</v>
      </c>
      <c r="J144" s="17">
        <v>1.9040856056105231</v>
      </c>
      <c r="K144" s="17">
        <v>0</v>
      </c>
    </row>
    <row r="145" spans="1:11">
      <c r="A145" s="8">
        <v>3</v>
      </c>
      <c r="B145" s="22">
        <v>38608</v>
      </c>
      <c r="C145" s="12">
        <v>2005</v>
      </c>
      <c r="D145" s="15" t="s">
        <v>26</v>
      </c>
      <c r="E145" s="12">
        <v>9</v>
      </c>
      <c r="F145" s="17">
        <v>21.672129999999999</v>
      </c>
      <c r="G145" s="17">
        <v>0.24170076802404938</v>
      </c>
      <c r="H145" s="17">
        <v>0.10893420091382496</v>
      </c>
      <c r="I145" s="17">
        <v>2.5599549804538144</v>
      </c>
      <c r="J145" s="17">
        <v>3.8467312191804166</v>
      </c>
      <c r="K145" s="17">
        <v>3.1996110141567571E-2</v>
      </c>
    </row>
    <row r="146" spans="1:11">
      <c r="A146" s="8">
        <v>4</v>
      </c>
      <c r="B146" s="22">
        <v>38608</v>
      </c>
      <c r="C146" s="12">
        <v>2005</v>
      </c>
      <c r="D146" s="15" t="s">
        <v>26</v>
      </c>
      <c r="E146" s="12">
        <v>9</v>
      </c>
      <c r="F146" s="17">
        <v>22.488399999999999</v>
      </c>
      <c r="G146" s="17">
        <v>0.1695730447738365</v>
      </c>
      <c r="H146" s="17">
        <v>8.5279172817126214E-2</v>
      </c>
      <c r="I146" s="17">
        <v>2.3096930342560467</v>
      </c>
      <c r="J146" s="17">
        <v>4.2412191866353597</v>
      </c>
      <c r="K146" s="17">
        <v>3.9938152946723031E-2</v>
      </c>
    </row>
    <row r="147" spans="1:11">
      <c r="A147" s="8">
        <v>3</v>
      </c>
      <c r="B147" s="22">
        <v>38636</v>
      </c>
      <c r="C147" s="12">
        <v>2005</v>
      </c>
      <c r="D147" s="15" t="s">
        <v>14</v>
      </c>
      <c r="E147" s="12">
        <v>10</v>
      </c>
      <c r="F147" s="17">
        <v>21.386600000000001</v>
      </c>
      <c r="G147" s="17">
        <v>2.8799999999999999E-2</v>
      </c>
      <c r="H147" s="17">
        <v>1E-4</v>
      </c>
      <c r="I147" s="17">
        <v>6.3696000000000002</v>
      </c>
      <c r="J147" s="17">
        <v>0.96650000000000003</v>
      </c>
      <c r="K147" s="17">
        <v>1E-4</v>
      </c>
    </row>
    <row r="148" spans="1:11">
      <c r="A148" s="8">
        <v>4</v>
      </c>
      <c r="B148" s="22">
        <v>38636</v>
      </c>
      <c r="C148" s="12">
        <v>2005</v>
      </c>
      <c r="D148" s="15" t="s">
        <v>14</v>
      </c>
      <c r="E148" s="12">
        <v>10</v>
      </c>
      <c r="F148" s="17">
        <v>27.834599999999998</v>
      </c>
      <c r="G148" s="17">
        <v>7.1599999999999997E-2</v>
      </c>
      <c r="H148" s="17">
        <v>1E-4</v>
      </c>
      <c r="I148" s="17">
        <v>5.1101999999999999</v>
      </c>
      <c r="J148" s="17">
        <v>1.9530000000000001</v>
      </c>
      <c r="K148" s="17">
        <v>1E-4</v>
      </c>
    </row>
    <row r="149" spans="1:11">
      <c r="A149" s="8">
        <v>3</v>
      </c>
      <c r="B149" s="22">
        <v>38671</v>
      </c>
      <c r="C149" s="12">
        <v>2005</v>
      </c>
      <c r="D149" s="15" t="s">
        <v>16</v>
      </c>
      <c r="E149" s="12">
        <v>11</v>
      </c>
      <c r="F149" s="17">
        <v>6.7521000000000004</v>
      </c>
      <c r="G149" s="17">
        <v>2.01E-2</v>
      </c>
      <c r="H149" s="17">
        <v>0.2135</v>
      </c>
      <c r="I149" s="17">
        <v>2.379</v>
      </c>
      <c r="J149" s="17">
        <v>0.11799999999999999</v>
      </c>
      <c r="K149" s="17">
        <v>1E-4</v>
      </c>
    </row>
    <row r="150" spans="1:11">
      <c r="A150" s="8">
        <v>4</v>
      </c>
      <c r="B150" s="22">
        <v>38671</v>
      </c>
      <c r="C150" s="12">
        <v>2005</v>
      </c>
      <c r="D150" s="15" t="s">
        <v>16</v>
      </c>
      <c r="E150" s="12">
        <v>11</v>
      </c>
      <c r="F150" s="17">
        <v>8.98</v>
      </c>
      <c r="G150" s="17">
        <v>3.6999999999999998E-2</v>
      </c>
      <c r="H150" s="17">
        <v>0.24610000000000001</v>
      </c>
      <c r="I150" s="17">
        <v>2.8847999999999998</v>
      </c>
      <c r="J150" s="17">
        <v>0.25130000000000002</v>
      </c>
      <c r="K150" s="17">
        <v>1E-4</v>
      </c>
    </row>
    <row r="151" spans="1:11">
      <c r="A151" s="8">
        <v>3</v>
      </c>
      <c r="B151" s="22">
        <v>38707</v>
      </c>
      <c r="C151" s="12">
        <v>2005</v>
      </c>
      <c r="D151" s="15" t="s">
        <v>17</v>
      </c>
      <c r="E151" s="12">
        <v>12</v>
      </c>
      <c r="F151" s="17">
        <v>5.8943000000000003</v>
      </c>
      <c r="G151" s="17">
        <v>6.1400000000000003E-2</v>
      </c>
      <c r="H151" s="17">
        <v>1E-4</v>
      </c>
      <c r="I151" s="17">
        <v>1.4137999999999999</v>
      </c>
      <c r="J151" s="17">
        <v>3.5200000000000002E-2</v>
      </c>
      <c r="K151" s="17">
        <v>1E-4</v>
      </c>
    </row>
    <row r="152" spans="1:11">
      <c r="A152" s="8">
        <v>4</v>
      </c>
      <c r="B152" s="22">
        <v>38707</v>
      </c>
      <c r="C152" s="12">
        <v>2005</v>
      </c>
      <c r="D152" s="15" t="s">
        <v>17</v>
      </c>
      <c r="E152" s="12">
        <v>12</v>
      </c>
      <c r="F152" s="17">
        <v>9.6709999999999994</v>
      </c>
      <c r="G152" s="17">
        <v>0.31390000000000001</v>
      </c>
      <c r="H152" s="17">
        <v>1E-4</v>
      </c>
      <c r="I152" s="17">
        <v>2.2955000000000001</v>
      </c>
      <c r="J152" s="17">
        <v>5.79E-2</v>
      </c>
      <c r="K152" s="17">
        <v>1E-4</v>
      </c>
    </row>
    <row r="153" spans="1:11">
      <c r="A153" s="12">
        <v>3</v>
      </c>
      <c r="B153" s="22">
        <v>38734</v>
      </c>
      <c r="C153" s="12">
        <v>2006</v>
      </c>
      <c r="D153" s="11" t="s">
        <v>18</v>
      </c>
      <c r="E153" s="12">
        <v>1</v>
      </c>
      <c r="F153" s="17">
        <v>4.3461999999999996</v>
      </c>
      <c r="G153" s="17">
        <v>0.30480000000000002</v>
      </c>
      <c r="H153" s="17">
        <v>4.7500000000000001E-2</v>
      </c>
      <c r="I153" s="17">
        <v>1.0976999999999999</v>
      </c>
      <c r="J153" s="17">
        <v>4.48E-2</v>
      </c>
      <c r="K153" s="17">
        <v>1E-4</v>
      </c>
    </row>
    <row r="154" spans="1:11">
      <c r="A154" s="12">
        <v>4</v>
      </c>
      <c r="B154" s="22">
        <v>38734</v>
      </c>
      <c r="C154" s="12">
        <v>2006</v>
      </c>
      <c r="D154" s="11" t="s">
        <v>18</v>
      </c>
      <c r="E154" s="12">
        <v>1</v>
      </c>
      <c r="F154" s="17">
        <v>9.3907000000000007</v>
      </c>
      <c r="G154" s="17">
        <v>0.46810000000000002</v>
      </c>
      <c r="H154" s="17">
        <v>1E-4</v>
      </c>
      <c r="I154" s="17">
        <v>1.978</v>
      </c>
      <c r="J154" s="17">
        <v>9.6699999999999994E-2</v>
      </c>
      <c r="K154" s="17">
        <v>1E-4</v>
      </c>
    </row>
    <row r="155" spans="1:11">
      <c r="A155" s="12">
        <v>3</v>
      </c>
      <c r="B155" s="22">
        <v>38762</v>
      </c>
      <c r="C155" s="15">
        <v>2006</v>
      </c>
      <c r="D155" s="11" t="s">
        <v>28</v>
      </c>
      <c r="E155" s="15">
        <v>2</v>
      </c>
      <c r="F155" s="17">
        <v>6.3464999999999998</v>
      </c>
      <c r="G155" s="17">
        <v>7.85E-2</v>
      </c>
      <c r="H155" s="17">
        <v>6.4399999999999999E-2</v>
      </c>
      <c r="I155" s="17">
        <v>1.4267000000000001</v>
      </c>
      <c r="J155" s="17">
        <v>9.0800000000000006E-2</v>
      </c>
      <c r="K155" s="17">
        <v>1E-4</v>
      </c>
    </row>
    <row r="156" spans="1:11">
      <c r="A156" s="12">
        <v>4</v>
      </c>
      <c r="B156" s="22">
        <v>38762</v>
      </c>
      <c r="C156" s="15">
        <v>2006</v>
      </c>
      <c r="D156" s="11" t="s">
        <v>28</v>
      </c>
      <c r="E156" s="15">
        <v>2</v>
      </c>
      <c r="F156" s="17">
        <v>3.6261999999999999</v>
      </c>
      <c r="G156" s="17">
        <v>2.7400000000000001E-2</v>
      </c>
      <c r="H156" s="17">
        <v>1E-4</v>
      </c>
      <c r="I156" s="17">
        <v>0.72609999999999997</v>
      </c>
      <c r="J156" s="17">
        <v>7.6300000000000007E-2</v>
      </c>
      <c r="K156" s="17">
        <v>1E-4</v>
      </c>
    </row>
    <row r="157" spans="1:11">
      <c r="A157" s="12">
        <v>3</v>
      </c>
      <c r="B157" s="22">
        <v>38789</v>
      </c>
      <c r="C157" s="12">
        <v>2006</v>
      </c>
      <c r="D157" s="11" t="s">
        <v>29</v>
      </c>
      <c r="E157" s="15">
        <v>3</v>
      </c>
      <c r="F157" s="17">
        <v>4.9821999999999997</v>
      </c>
      <c r="G157" s="17">
        <v>1.8700000000000001E-2</v>
      </c>
      <c r="H157" s="17">
        <v>7.9299999999999995E-2</v>
      </c>
      <c r="I157" s="17">
        <v>1.8001</v>
      </c>
      <c r="J157" s="17">
        <v>3.5900000000000001E-2</v>
      </c>
      <c r="K157" s="17">
        <v>1E-4</v>
      </c>
    </row>
    <row r="158" spans="1:11">
      <c r="A158" s="12">
        <v>4</v>
      </c>
      <c r="B158" s="22">
        <v>38789</v>
      </c>
      <c r="C158" s="12">
        <v>2006</v>
      </c>
      <c r="D158" s="11" t="s">
        <v>29</v>
      </c>
      <c r="E158" s="15">
        <v>3</v>
      </c>
      <c r="F158" s="17">
        <v>5.0571999999999999</v>
      </c>
      <c r="G158" s="17">
        <v>1.6400000000000001E-2</v>
      </c>
      <c r="H158" s="17">
        <v>7.3099999999999998E-2</v>
      </c>
      <c r="I158" s="17">
        <v>1.7265999999999999</v>
      </c>
      <c r="J158" s="17">
        <v>3.6799999999999999E-2</v>
      </c>
      <c r="K158" s="17">
        <v>1E-4</v>
      </c>
    </row>
    <row r="159" spans="1:11">
      <c r="A159" s="12">
        <v>3</v>
      </c>
      <c r="B159" s="9">
        <v>38825</v>
      </c>
      <c r="C159" s="12">
        <v>2006</v>
      </c>
      <c r="D159" s="11" t="s">
        <v>30</v>
      </c>
      <c r="E159" s="12">
        <v>4</v>
      </c>
      <c r="F159" s="17">
        <v>6.5778999999999996</v>
      </c>
      <c r="G159" s="17">
        <v>3.7499999999999999E-2</v>
      </c>
      <c r="H159" s="17">
        <v>0.1444</v>
      </c>
      <c r="I159" s="17">
        <v>2.4382999999999999</v>
      </c>
      <c r="J159" s="17">
        <v>0.22359999999999999</v>
      </c>
      <c r="K159" s="17">
        <v>1E-4</v>
      </c>
    </row>
    <row r="160" spans="1:11">
      <c r="A160" s="12">
        <v>4</v>
      </c>
      <c r="B160" s="9">
        <v>38825</v>
      </c>
      <c r="C160" s="12">
        <v>2006</v>
      </c>
      <c r="D160" s="11" t="s">
        <v>30</v>
      </c>
      <c r="E160" s="12">
        <v>4</v>
      </c>
      <c r="F160" s="17">
        <v>9.2342999999999993</v>
      </c>
      <c r="G160" s="17">
        <v>0.1123</v>
      </c>
      <c r="H160" s="17">
        <v>0.14319999999999999</v>
      </c>
      <c r="I160" s="17">
        <v>2.3047</v>
      </c>
      <c r="J160" s="17">
        <v>0.43540000000000001</v>
      </c>
      <c r="K160" s="17">
        <v>1E-4</v>
      </c>
    </row>
    <row r="161" spans="1:11">
      <c r="A161" s="12">
        <v>3</v>
      </c>
      <c r="B161" s="9">
        <v>38852</v>
      </c>
      <c r="C161" s="12">
        <v>2006</v>
      </c>
      <c r="D161" s="11" t="s">
        <v>31</v>
      </c>
      <c r="E161" s="12">
        <v>5</v>
      </c>
      <c r="F161" s="17">
        <v>4.8865999999999996</v>
      </c>
      <c r="G161" s="17">
        <v>0.114</v>
      </c>
      <c r="H161" s="17">
        <v>0.4793</v>
      </c>
      <c r="I161" s="17">
        <v>1.7487999999999999</v>
      </c>
      <c r="J161" s="17">
        <v>0.34839999999999999</v>
      </c>
      <c r="K161" s="17">
        <v>1E-4</v>
      </c>
    </row>
    <row r="162" spans="1:11">
      <c r="A162" s="12">
        <v>4</v>
      </c>
      <c r="B162" s="9">
        <v>38852</v>
      </c>
      <c r="C162" s="12">
        <v>2006</v>
      </c>
      <c r="D162" s="11" t="s">
        <v>31</v>
      </c>
      <c r="E162" s="12">
        <v>5</v>
      </c>
      <c r="F162" s="17">
        <v>8.3722999999999992</v>
      </c>
      <c r="G162" s="17">
        <v>9.2799999999999994E-2</v>
      </c>
      <c r="H162" s="17">
        <v>0.38400000000000001</v>
      </c>
      <c r="I162" s="17">
        <v>2.6331000000000002</v>
      </c>
      <c r="J162" s="17">
        <v>0.70399999999999996</v>
      </c>
      <c r="K162" s="17">
        <v>9.2999999999999992E-3</v>
      </c>
    </row>
    <row r="163" spans="1:11">
      <c r="A163" s="12">
        <v>3</v>
      </c>
      <c r="B163" s="9">
        <v>38883</v>
      </c>
      <c r="C163" s="12">
        <v>2006</v>
      </c>
      <c r="D163" s="11" t="s">
        <v>32</v>
      </c>
      <c r="E163" s="12">
        <v>6</v>
      </c>
      <c r="F163" s="17">
        <v>18.6966</v>
      </c>
      <c r="G163" s="17">
        <v>0.12479999999999999</v>
      </c>
      <c r="H163" s="17">
        <v>0.97909999999999997</v>
      </c>
      <c r="I163" s="17">
        <v>4.5848000000000004</v>
      </c>
      <c r="J163" s="17">
        <v>1.2749999999999999</v>
      </c>
      <c r="K163" s="17">
        <v>2.6800000000000001E-2</v>
      </c>
    </row>
    <row r="164" spans="1:11">
      <c r="A164" s="12">
        <v>4</v>
      </c>
      <c r="B164" s="9">
        <v>38883</v>
      </c>
      <c r="C164" s="12">
        <v>2006</v>
      </c>
      <c r="D164" s="11" t="s">
        <v>32</v>
      </c>
      <c r="E164" s="12">
        <v>6</v>
      </c>
      <c r="F164" s="17">
        <v>25.342700000000001</v>
      </c>
      <c r="G164" s="17">
        <v>0.18809999999999999</v>
      </c>
      <c r="H164" s="17">
        <v>0.58250000000000002</v>
      </c>
      <c r="I164" s="17">
        <v>4.9683999999999999</v>
      </c>
      <c r="J164" s="17">
        <v>1.9601</v>
      </c>
      <c r="K164" s="17">
        <v>3.9199999999999999E-2</v>
      </c>
    </row>
    <row r="165" spans="1:11">
      <c r="A165" s="12">
        <v>3</v>
      </c>
      <c r="B165" s="9">
        <v>38916</v>
      </c>
      <c r="C165" s="12">
        <v>2006</v>
      </c>
      <c r="D165" s="11" t="s">
        <v>33</v>
      </c>
      <c r="E165" s="12">
        <v>7</v>
      </c>
      <c r="F165" s="17">
        <v>17.1892</v>
      </c>
      <c r="G165" s="17">
        <v>0.2772</v>
      </c>
      <c r="H165" s="17">
        <v>1E-4</v>
      </c>
      <c r="I165" s="17">
        <v>1.8746</v>
      </c>
      <c r="J165" s="17">
        <v>2.2170000000000001</v>
      </c>
      <c r="K165" s="17">
        <v>1E-4</v>
      </c>
    </row>
    <row r="166" spans="1:11">
      <c r="A166" s="12">
        <v>4</v>
      </c>
      <c r="B166" s="9">
        <v>38916</v>
      </c>
      <c r="C166" s="12">
        <v>2006</v>
      </c>
      <c r="D166" s="11" t="s">
        <v>33</v>
      </c>
      <c r="E166" s="12">
        <v>7</v>
      </c>
      <c r="F166" s="17">
        <v>27.236799999999999</v>
      </c>
      <c r="G166" s="17">
        <v>0.37969999999999998</v>
      </c>
      <c r="H166" s="17">
        <v>1E-4</v>
      </c>
      <c r="I166" s="17">
        <v>3.5665</v>
      </c>
      <c r="J166" s="17">
        <v>2.9355000000000002</v>
      </c>
      <c r="K166" s="17">
        <v>1E-4</v>
      </c>
    </row>
    <row r="167" spans="1:11">
      <c r="A167" s="12">
        <v>3</v>
      </c>
      <c r="B167" s="9">
        <v>38953</v>
      </c>
      <c r="C167" s="12">
        <v>2006</v>
      </c>
      <c r="D167" s="11" t="s">
        <v>34</v>
      </c>
      <c r="E167" s="12">
        <v>8</v>
      </c>
      <c r="F167" s="17">
        <v>12.1</v>
      </c>
      <c r="G167" s="17">
        <v>0.14349999999999999</v>
      </c>
      <c r="H167" s="17">
        <v>1E-4</v>
      </c>
      <c r="I167" s="17">
        <v>3.1225000000000001</v>
      </c>
      <c r="J167" s="17">
        <v>1.2954000000000001</v>
      </c>
      <c r="K167" s="17">
        <v>1E-4</v>
      </c>
    </row>
    <row r="168" spans="1:11">
      <c r="A168" s="12">
        <v>4</v>
      </c>
      <c r="B168" s="9">
        <v>38953</v>
      </c>
      <c r="C168" s="12">
        <v>2006</v>
      </c>
      <c r="D168" s="11" t="s">
        <v>34</v>
      </c>
      <c r="E168" s="12">
        <v>8</v>
      </c>
      <c r="F168" s="17">
        <v>25.657399999999999</v>
      </c>
      <c r="G168" s="17">
        <v>0.15529999999999999</v>
      </c>
      <c r="H168" s="17">
        <v>1E-4</v>
      </c>
      <c r="I168" s="17">
        <v>2.6025</v>
      </c>
      <c r="J168" s="17">
        <v>2.6591999999999998</v>
      </c>
      <c r="K168" s="17">
        <v>1E-4</v>
      </c>
    </row>
    <row r="169" spans="1:11">
      <c r="A169" s="12">
        <v>3</v>
      </c>
      <c r="B169" s="9">
        <v>38972</v>
      </c>
      <c r="C169" s="12">
        <v>2006</v>
      </c>
      <c r="D169" s="11" t="s">
        <v>35</v>
      </c>
      <c r="E169" s="12">
        <v>9</v>
      </c>
      <c r="F169" s="17">
        <v>12.8247</v>
      </c>
      <c r="G169" s="17">
        <v>0.32240000000000002</v>
      </c>
      <c r="H169" s="17">
        <v>1E-4</v>
      </c>
      <c r="I169" s="17">
        <v>3.0175000000000001</v>
      </c>
      <c r="J169" s="17">
        <v>0.7419</v>
      </c>
      <c r="K169" s="17">
        <v>1E-4</v>
      </c>
    </row>
    <row r="170" spans="1:11">
      <c r="A170" s="12">
        <v>4</v>
      </c>
      <c r="B170" s="9">
        <v>38972</v>
      </c>
      <c r="C170" s="12">
        <v>2006</v>
      </c>
      <c r="D170" s="11" t="s">
        <v>35</v>
      </c>
      <c r="E170" s="12">
        <v>9</v>
      </c>
      <c r="F170" s="17">
        <v>21.657699999999998</v>
      </c>
      <c r="G170" s="17">
        <v>0.11799999999999999</v>
      </c>
      <c r="H170" s="17">
        <v>1E-4</v>
      </c>
      <c r="I170" s="17">
        <v>5.9207999999999998</v>
      </c>
      <c r="J170" s="17">
        <v>1.044</v>
      </c>
      <c r="K170" s="17">
        <v>1E-4</v>
      </c>
    </row>
    <row r="171" spans="1:11">
      <c r="A171" s="12">
        <v>3</v>
      </c>
      <c r="B171" s="9">
        <v>39008</v>
      </c>
      <c r="C171" s="12">
        <v>2006</v>
      </c>
      <c r="D171" s="11" t="s">
        <v>36</v>
      </c>
      <c r="E171" s="12">
        <v>10</v>
      </c>
      <c r="F171" s="17">
        <v>17.082000000000001</v>
      </c>
      <c r="G171" s="17">
        <v>4.1000000000000002E-2</v>
      </c>
      <c r="H171" s="17">
        <v>1.0049999999999999</v>
      </c>
      <c r="I171" s="17">
        <v>7.2649999999999997</v>
      </c>
      <c r="J171" s="17">
        <v>1.395</v>
      </c>
      <c r="K171" s="17">
        <v>9.9989999999999996E-4</v>
      </c>
    </row>
    <row r="172" spans="1:11">
      <c r="A172" s="12">
        <v>4</v>
      </c>
      <c r="B172" s="9">
        <v>39008</v>
      </c>
      <c r="C172" s="12">
        <v>2006</v>
      </c>
      <c r="D172" s="11" t="s">
        <v>36</v>
      </c>
      <c r="E172" s="12">
        <v>10</v>
      </c>
      <c r="F172" s="17">
        <v>17.042000000000002</v>
      </c>
      <c r="G172" s="17">
        <v>0.05</v>
      </c>
      <c r="H172" s="17">
        <v>0.84299999999999997</v>
      </c>
      <c r="I172" s="17">
        <v>6.7160000000000002</v>
      </c>
      <c r="J172" s="17">
        <v>1.655</v>
      </c>
      <c r="K172" s="17">
        <v>9.9989999999999996E-4</v>
      </c>
    </row>
    <row r="173" spans="1:11">
      <c r="A173" s="12">
        <v>3</v>
      </c>
      <c r="B173" s="9">
        <v>39035</v>
      </c>
      <c r="C173" s="12">
        <v>2006</v>
      </c>
      <c r="D173" s="11" t="s">
        <v>37</v>
      </c>
      <c r="E173" s="12">
        <v>11</v>
      </c>
      <c r="F173" s="17">
        <v>15.141999999999999</v>
      </c>
      <c r="G173" s="17">
        <v>0.123</v>
      </c>
      <c r="H173" s="17">
        <v>0.46600000000000003</v>
      </c>
      <c r="I173" s="17">
        <v>6.0430000000000001</v>
      </c>
      <c r="J173" s="17">
        <v>0.23300000000000001</v>
      </c>
      <c r="K173" s="17">
        <v>9.9989999999999996E-4</v>
      </c>
    </row>
    <row r="174" spans="1:11">
      <c r="A174" s="12">
        <v>4</v>
      </c>
      <c r="B174" s="9">
        <v>39035</v>
      </c>
      <c r="C174" s="12">
        <v>2006</v>
      </c>
      <c r="D174" s="11" t="s">
        <v>37</v>
      </c>
      <c r="E174" s="12">
        <v>11</v>
      </c>
      <c r="F174" s="17">
        <v>27.632000000000001</v>
      </c>
      <c r="G174" s="17">
        <v>0.129</v>
      </c>
      <c r="H174" s="17">
        <v>0.33600000000000002</v>
      </c>
      <c r="I174" s="17">
        <v>9.3800000000000008</v>
      </c>
      <c r="J174" s="17">
        <v>0.28499999999999998</v>
      </c>
      <c r="K174" s="17">
        <v>9.9989999999999996E-4</v>
      </c>
    </row>
    <row r="175" spans="1:11">
      <c r="A175" s="12">
        <v>3</v>
      </c>
      <c r="B175" s="22">
        <v>39063</v>
      </c>
      <c r="C175" s="15">
        <v>2006</v>
      </c>
      <c r="D175" s="11" t="s">
        <v>38</v>
      </c>
      <c r="E175" s="15">
        <v>12</v>
      </c>
      <c r="F175" s="17">
        <v>10.353</v>
      </c>
      <c r="G175" s="17">
        <v>0.112</v>
      </c>
      <c r="H175" s="17">
        <v>0.77800000000000002</v>
      </c>
      <c r="I175" s="17">
        <v>4.3529999999999998</v>
      </c>
      <c r="J175" s="17">
        <v>0.30599999999999999</v>
      </c>
      <c r="K175" s="17">
        <v>9.9989999999999996E-4</v>
      </c>
    </row>
    <row r="176" spans="1:11">
      <c r="A176" s="12">
        <v>4</v>
      </c>
      <c r="B176" s="22">
        <v>39063</v>
      </c>
      <c r="C176" s="15">
        <v>2006</v>
      </c>
      <c r="D176" s="11" t="s">
        <v>38</v>
      </c>
      <c r="E176" s="15">
        <v>12</v>
      </c>
      <c r="F176" s="17">
        <v>10.071999999999999</v>
      </c>
      <c r="G176" s="17">
        <v>0.18099999999999999</v>
      </c>
      <c r="H176" s="17">
        <v>0.33200000000000002</v>
      </c>
      <c r="I176" s="17">
        <v>3.2650000000000001</v>
      </c>
      <c r="J176" s="17">
        <v>0.313</v>
      </c>
      <c r="K176" s="17">
        <v>9.9989999999999996E-4</v>
      </c>
    </row>
    <row r="177" spans="1:11">
      <c r="A177" s="15">
        <v>3</v>
      </c>
      <c r="B177" s="22">
        <v>39101</v>
      </c>
      <c r="C177" s="15">
        <v>2007</v>
      </c>
      <c r="D177" s="11" t="s">
        <v>39</v>
      </c>
      <c r="E177" s="15">
        <v>1</v>
      </c>
      <c r="F177" s="17">
        <v>19.911000000000001</v>
      </c>
      <c r="G177" s="17">
        <v>0.63100000000000001</v>
      </c>
      <c r="H177" s="17">
        <v>0.151</v>
      </c>
      <c r="I177" s="17">
        <v>6.9530000000000003</v>
      </c>
      <c r="J177" s="17">
        <v>0.40899999999999997</v>
      </c>
      <c r="K177" s="17">
        <v>8.9999999999999993E-3</v>
      </c>
    </row>
    <row r="178" spans="1:11">
      <c r="A178" s="15">
        <v>4</v>
      </c>
      <c r="B178" s="22">
        <v>39101</v>
      </c>
      <c r="C178" s="15">
        <v>2007</v>
      </c>
      <c r="D178" s="11" t="s">
        <v>39</v>
      </c>
      <c r="E178" s="15">
        <v>1</v>
      </c>
      <c r="F178" s="17">
        <v>22.295000000000002</v>
      </c>
      <c r="G178" s="17">
        <v>0.47599999999999998</v>
      </c>
      <c r="H178" s="17">
        <v>0.17299999999999999</v>
      </c>
      <c r="I178" s="17">
        <v>7.7450000000000001</v>
      </c>
      <c r="J178" s="17">
        <v>0.47099999999999997</v>
      </c>
      <c r="K178" s="17">
        <v>9.9989999999999996E-4</v>
      </c>
    </row>
    <row r="179" spans="1:11">
      <c r="A179" s="15">
        <v>3</v>
      </c>
      <c r="B179" s="22">
        <v>39134</v>
      </c>
      <c r="C179" s="15">
        <v>2007</v>
      </c>
      <c r="D179" s="11" t="s">
        <v>28</v>
      </c>
      <c r="E179" s="15">
        <v>2</v>
      </c>
      <c r="F179" s="17">
        <v>3.71</v>
      </c>
      <c r="G179" s="17">
        <v>0.121</v>
      </c>
      <c r="H179" s="17">
        <v>9.9989999999999996E-4</v>
      </c>
      <c r="I179" s="17">
        <v>0.69099999999999995</v>
      </c>
      <c r="J179" s="17">
        <v>6.3E-2</v>
      </c>
      <c r="K179" s="17">
        <v>9.9989999999999996E-4</v>
      </c>
    </row>
    <row r="180" spans="1:11">
      <c r="A180" s="15">
        <v>4</v>
      </c>
      <c r="B180" s="22">
        <v>39134</v>
      </c>
      <c r="C180" s="15">
        <v>2007</v>
      </c>
      <c r="D180" s="11" t="s">
        <v>28</v>
      </c>
      <c r="E180" s="15">
        <v>2</v>
      </c>
      <c r="F180" s="17">
        <v>4.2380000000000004</v>
      </c>
      <c r="G180" s="17">
        <v>0.26400000000000001</v>
      </c>
      <c r="H180" s="17">
        <v>9.9989999999999996E-4</v>
      </c>
      <c r="I180" s="17">
        <v>0.80200000000000005</v>
      </c>
      <c r="J180" s="17">
        <v>6.2E-2</v>
      </c>
      <c r="K180" s="17">
        <v>9.9989999999999996E-4</v>
      </c>
    </row>
    <row r="181" spans="1:11">
      <c r="A181" s="15">
        <v>3</v>
      </c>
      <c r="B181" s="22">
        <v>39154</v>
      </c>
      <c r="C181" s="15">
        <v>2007</v>
      </c>
      <c r="D181" s="11" t="s">
        <v>29</v>
      </c>
      <c r="E181" s="15">
        <v>3</v>
      </c>
      <c r="F181" s="17">
        <v>4.9480000000000004</v>
      </c>
      <c r="G181" s="17">
        <v>0.36099999999999999</v>
      </c>
      <c r="H181" s="17">
        <v>9.9989999999999996E-4</v>
      </c>
      <c r="I181" s="17">
        <v>1.4510000000000001</v>
      </c>
      <c r="J181" s="17">
        <v>3.9E-2</v>
      </c>
      <c r="K181" s="17">
        <v>9.9989999999999996E-4</v>
      </c>
    </row>
    <row r="182" spans="1:11">
      <c r="A182" s="15">
        <v>4</v>
      </c>
      <c r="B182" s="22">
        <v>39154</v>
      </c>
      <c r="C182" s="15">
        <v>2007</v>
      </c>
      <c r="D182" s="11" t="s">
        <v>29</v>
      </c>
      <c r="E182" s="15">
        <v>3</v>
      </c>
      <c r="F182" s="17">
        <v>4.407</v>
      </c>
      <c r="G182" s="17">
        <v>0.252</v>
      </c>
      <c r="H182" s="17">
        <v>9.9989999999999996E-4</v>
      </c>
      <c r="I182" s="17">
        <v>0.97299999999999998</v>
      </c>
      <c r="J182" s="17">
        <v>7.5999999999999998E-2</v>
      </c>
      <c r="K182" s="17">
        <v>9.9989999999999996E-4</v>
      </c>
    </row>
    <row r="183" spans="1:11">
      <c r="A183" s="15">
        <v>3</v>
      </c>
      <c r="B183" s="22">
        <v>39190</v>
      </c>
      <c r="C183" s="15">
        <v>2007</v>
      </c>
      <c r="D183" s="11" t="s">
        <v>30</v>
      </c>
      <c r="E183" s="15">
        <v>4</v>
      </c>
      <c r="F183" s="17">
        <v>17.379000000000001</v>
      </c>
      <c r="G183" s="17">
        <v>0.183</v>
      </c>
      <c r="H183" s="17">
        <v>9.9989999999999996E-4</v>
      </c>
      <c r="I183" s="17">
        <v>6.9480000000000004</v>
      </c>
      <c r="J183" s="17">
        <v>8.4000000000000005E-2</v>
      </c>
      <c r="K183" s="17">
        <v>9.9989999999999996E-4</v>
      </c>
    </row>
    <row r="184" spans="1:11">
      <c r="A184" s="15">
        <v>4</v>
      </c>
      <c r="B184" s="22">
        <v>39190</v>
      </c>
      <c r="C184" s="15">
        <v>2007</v>
      </c>
      <c r="D184" s="11" t="s">
        <v>30</v>
      </c>
      <c r="E184" s="15">
        <v>4</v>
      </c>
      <c r="F184" s="17">
        <v>31.898</v>
      </c>
      <c r="G184" s="17">
        <v>0.14399999999999999</v>
      </c>
      <c r="H184" s="17">
        <v>9.9989999999999996E-4</v>
      </c>
      <c r="I184" s="17">
        <v>11.007</v>
      </c>
      <c r="J184" s="17">
        <v>0.217</v>
      </c>
      <c r="K184" s="17">
        <v>9.9989999999999996E-4</v>
      </c>
    </row>
    <row r="185" spans="1:11">
      <c r="A185" s="15">
        <v>3</v>
      </c>
      <c r="B185" s="22">
        <v>39217</v>
      </c>
      <c r="C185" s="15">
        <v>2007</v>
      </c>
      <c r="D185" s="11" t="s">
        <v>31</v>
      </c>
      <c r="E185" s="15">
        <v>5</v>
      </c>
      <c r="F185" s="17">
        <v>10.680999999999999</v>
      </c>
      <c r="G185" s="17">
        <v>5.5E-2</v>
      </c>
      <c r="H185" s="17">
        <v>1.7629999999999999</v>
      </c>
      <c r="I185" s="17">
        <v>4.7140000000000004</v>
      </c>
      <c r="J185" s="17">
        <v>0.151</v>
      </c>
      <c r="K185" s="17">
        <v>9.9989999999999996E-4</v>
      </c>
    </row>
    <row r="186" spans="1:11">
      <c r="A186" s="15">
        <v>4</v>
      </c>
      <c r="B186" s="22">
        <v>39217</v>
      </c>
      <c r="C186" s="15">
        <v>2007</v>
      </c>
      <c r="D186" s="11" t="s">
        <v>31</v>
      </c>
      <c r="E186" s="15">
        <v>5</v>
      </c>
      <c r="F186" s="17">
        <v>14.287000000000001</v>
      </c>
      <c r="G186" s="17">
        <v>5.8000000000000003E-2</v>
      </c>
      <c r="H186" s="17">
        <v>2.2109999999999999</v>
      </c>
      <c r="I186" s="17">
        <v>6.1929999999999996</v>
      </c>
      <c r="J186" s="17">
        <v>0.247</v>
      </c>
      <c r="K186" s="17">
        <v>1.0999999999999999E-2</v>
      </c>
    </row>
    <row r="187" spans="1:11">
      <c r="A187" s="15">
        <v>3</v>
      </c>
      <c r="B187" s="22">
        <v>39246</v>
      </c>
      <c r="C187" s="15">
        <v>2007</v>
      </c>
      <c r="D187" s="11" t="s">
        <v>32</v>
      </c>
      <c r="E187" s="15">
        <v>6</v>
      </c>
      <c r="F187" s="17">
        <v>28.22</v>
      </c>
      <c r="G187" s="17">
        <v>0.05</v>
      </c>
      <c r="H187" s="17">
        <v>6.8090000000000002</v>
      </c>
      <c r="I187" s="17">
        <v>8.85</v>
      </c>
      <c r="J187" s="17">
        <v>1.2350000000000001</v>
      </c>
      <c r="K187" s="17">
        <v>9.9989999999999996E-4</v>
      </c>
    </row>
    <row r="188" spans="1:11">
      <c r="A188" s="15">
        <v>4</v>
      </c>
      <c r="B188" s="22">
        <v>39246</v>
      </c>
      <c r="C188" s="15">
        <v>2007</v>
      </c>
      <c r="D188" s="11" t="s">
        <v>32</v>
      </c>
      <c r="E188" s="15">
        <v>6</v>
      </c>
      <c r="F188" s="17">
        <v>24.821999999999999</v>
      </c>
      <c r="G188" s="17">
        <v>0.13</v>
      </c>
      <c r="H188" s="17">
        <v>2.8039999999999998</v>
      </c>
      <c r="I188" s="17">
        <v>5.218</v>
      </c>
      <c r="J188" s="17">
        <v>3.3540000000000001</v>
      </c>
      <c r="K188" s="17">
        <v>4.8000000000000001E-2</v>
      </c>
    </row>
    <row r="189" spans="1:11">
      <c r="A189" s="15">
        <v>3</v>
      </c>
      <c r="B189" s="22">
        <v>39280</v>
      </c>
      <c r="C189" s="15">
        <v>2007</v>
      </c>
      <c r="D189" s="11" t="s">
        <v>33</v>
      </c>
      <c r="E189" s="15">
        <v>7</v>
      </c>
      <c r="F189" s="17">
        <v>18.838000000000001</v>
      </c>
      <c r="G189" s="17">
        <v>0.34599999999999997</v>
      </c>
      <c r="H189" s="17">
        <v>6.4000000000000001E-2</v>
      </c>
      <c r="I189" s="17">
        <v>2.1640000000000001</v>
      </c>
      <c r="J189" s="17">
        <v>2.5099999999999998</v>
      </c>
      <c r="K189" s="17">
        <v>1.4E-2</v>
      </c>
    </row>
    <row r="190" spans="1:11">
      <c r="A190" s="15">
        <v>4</v>
      </c>
      <c r="B190" s="22">
        <v>39280</v>
      </c>
      <c r="C190" s="15">
        <v>2007</v>
      </c>
      <c r="D190" s="11" t="s">
        <v>33</v>
      </c>
      <c r="E190" s="15">
        <v>7</v>
      </c>
      <c r="F190" s="17">
        <v>30.202999999999999</v>
      </c>
      <c r="G190" s="17">
        <v>0.245</v>
      </c>
      <c r="H190" s="17">
        <v>0.13200000000000001</v>
      </c>
      <c r="I190" s="17">
        <v>4.5650000000000004</v>
      </c>
      <c r="J190" s="17">
        <v>3.0920000000000001</v>
      </c>
      <c r="K190" s="17">
        <v>2.1999999999999999E-2</v>
      </c>
    </row>
    <row r="191" spans="1:11">
      <c r="A191" s="15">
        <v>3</v>
      </c>
      <c r="B191" s="22">
        <v>39308</v>
      </c>
      <c r="C191" s="15">
        <v>2007</v>
      </c>
      <c r="D191" s="11" t="s">
        <v>34</v>
      </c>
      <c r="E191" s="15">
        <v>8</v>
      </c>
      <c r="F191" s="17">
        <v>18.850999999999999</v>
      </c>
      <c r="G191" s="17">
        <v>0.151</v>
      </c>
      <c r="H191" s="17">
        <v>9.9989999999999996E-4</v>
      </c>
      <c r="I191" s="17">
        <v>1.6970000000000001</v>
      </c>
      <c r="J191" s="17">
        <v>2.6</v>
      </c>
      <c r="K191" s="17">
        <v>9.9989999999999996E-4</v>
      </c>
    </row>
    <row r="192" spans="1:11">
      <c r="A192" s="15">
        <v>4</v>
      </c>
      <c r="B192" s="22">
        <v>39308</v>
      </c>
      <c r="C192" s="15">
        <v>2007</v>
      </c>
      <c r="D192" s="11" t="s">
        <v>34</v>
      </c>
      <c r="E192" s="15">
        <v>8</v>
      </c>
      <c r="F192" s="17">
        <v>20.166</v>
      </c>
      <c r="G192" s="17">
        <v>0.183</v>
      </c>
      <c r="H192" s="17">
        <v>5.6000000000000001E-2</v>
      </c>
      <c r="I192" s="17">
        <v>1.6519999999999999</v>
      </c>
      <c r="J192" s="17">
        <v>3.2189999999999999</v>
      </c>
      <c r="K192" s="17">
        <v>9.9989999999999996E-4</v>
      </c>
    </row>
    <row r="193" spans="1:11">
      <c r="A193" s="15">
        <v>3</v>
      </c>
      <c r="B193" s="22">
        <v>39336</v>
      </c>
      <c r="C193" s="15">
        <v>2007</v>
      </c>
      <c r="D193" s="11" t="s">
        <v>40</v>
      </c>
      <c r="E193" s="15">
        <v>9</v>
      </c>
      <c r="F193" s="17">
        <v>20.366</v>
      </c>
      <c r="G193" s="17">
        <v>9.9989999999999996E-4</v>
      </c>
      <c r="H193" s="17">
        <v>9.9989999999999996E-4</v>
      </c>
      <c r="I193" s="17">
        <v>2.7389999999999999</v>
      </c>
      <c r="J193" s="17">
        <v>2.109</v>
      </c>
      <c r="K193" s="17">
        <v>9.9989999999999996E-4</v>
      </c>
    </row>
    <row r="194" spans="1:11">
      <c r="A194" s="15">
        <v>4</v>
      </c>
      <c r="B194" s="22">
        <v>39336</v>
      </c>
      <c r="C194" s="15">
        <v>2007</v>
      </c>
      <c r="D194" s="11" t="s">
        <v>40</v>
      </c>
      <c r="E194" s="15">
        <v>9</v>
      </c>
      <c r="F194" s="17">
        <v>21.111000000000001</v>
      </c>
      <c r="G194" s="17">
        <v>0.10199999999999999</v>
      </c>
      <c r="H194" s="17">
        <v>9.9989999999999996E-4</v>
      </c>
      <c r="I194" s="17">
        <v>2.5379999999999998</v>
      </c>
      <c r="J194" s="17">
        <v>2.6139999999999999</v>
      </c>
      <c r="K194" s="17">
        <v>9.9989999999999996E-4</v>
      </c>
    </row>
    <row r="195" spans="1:11">
      <c r="A195" s="15">
        <v>3</v>
      </c>
      <c r="B195" s="22">
        <v>39373</v>
      </c>
      <c r="C195" s="15">
        <v>2007</v>
      </c>
      <c r="D195" s="11" t="s">
        <v>36</v>
      </c>
      <c r="E195" s="15">
        <v>10</v>
      </c>
      <c r="F195" s="17">
        <v>8.282</v>
      </c>
      <c r="G195" s="17">
        <v>5.0999999999999997E-2</v>
      </c>
      <c r="H195" s="17">
        <v>9.9989999999999996E-4</v>
      </c>
      <c r="I195" s="17">
        <v>1.113</v>
      </c>
      <c r="J195" s="17">
        <v>1.2589999999999999</v>
      </c>
      <c r="K195" s="17">
        <v>9.9989999999999996E-4</v>
      </c>
    </row>
    <row r="196" spans="1:11">
      <c r="A196" s="15">
        <v>4</v>
      </c>
      <c r="B196" s="22">
        <v>39373</v>
      </c>
      <c r="C196" s="15">
        <v>2007</v>
      </c>
      <c r="D196" s="11" t="s">
        <v>36</v>
      </c>
      <c r="E196" s="15">
        <v>10</v>
      </c>
      <c r="F196" s="17">
        <v>14.773</v>
      </c>
      <c r="G196" s="17">
        <v>0.112</v>
      </c>
      <c r="H196" s="17">
        <v>9.9989999999999996E-4</v>
      </c>
      <c r="I196" s="17">
        <v>1.9770000000000001</v>
      </c>
      <c r="J196" s="17">
        <v>2.5760000000000001</v>
      </c>
      <c r="K196" s="17">
        <v>9.9989999999999996E-4</v>
      </c>
    </row>
    <row r="197" spans="1:11">
      <c r="A197" s="15">
        <v>3</v>
      </c>
      <c r="B197" s="22">
        <v>39399</v>
      </c>
      <c r="C197" s="15">
        <v>2007</v>
      </c>
      <c r="D197" s="11" t="s">
        <v>37</v>
      </c>
      <c r="E197" s="15">
        <v>11</v>
      </c>
      <c r="F197" s="17">
        <v>6.133</v>
      </c>
      <c r="G197" s="17">
        <v>1.7999999999999999E-2</v>
      </c>
      <c r="H197" s="17">
        <v>0.33400000000000002</v>
      </c>
      <c r="I197" s="17">
        <v>1.89</v>
      </c>
      <c r="J197" s="17">
        <v>0.14699999999999999</v>
      </c>
      <c r="K197" s="17">
        <v>9.9989999999999996E-4</v>
      </c>
    </row>
    <row r="198" spans="1:11">
      <c r="A198" s="15">
        <v>4</v>
      </c>
      <c r="B198" s="22">
        <v>39399</v>
      </c>
      <c r="C198" s="15">
        <v>2007</v>
      </c>
      <c r="D198" s="11" t="s">
        <v>37</v>
      </c>
      <c r="E198" s="15">
        <v>11</v>
      </c>
      <c r="F198" s="17">
        <v>7.9269999999999996</v>
      </c>
      <c r="G198" s="17">
        <v>2.8000000000000001E-2</v>
      </c>
      <c r="H198" s="17">
        <v>0.37</v>
      </c>
      <c r="I198" s="17">
        <v>2.0710000000000002</v>
      </c>
      <c r="J198" s="17">
        <v>0.27100000000000002</v>
      </c>
      <c r="K198" s="17">
        <v>9.9989999999999996E-4</v>
      </c>
    </row>
    <row r="199" spans="1:11">
      <c r="A199" s="15">
        <v>3</v>
      </c>
      <c r="B199" s="22">
        <v>39427</v>
      </c>
      <c r="C199" s="15">
        <v>2007</v>
      </c>
      <c r="D199" s="11" t="s">
        <v>38</v>
      </c>
      <c r="E199" s="15">
        <v>12</v>
      </c>
      <c r="F199" s="17">
        <v>5.8310000000000004</v>
      </c>
      <c r="G199" s="17">
        <v>0.14099999999999999</v>
      </c>
      <c r="H199" s="17">
        <v>9.9989999999999996E-4</v>
      </c>
      <c r="I199" s="17">
        <v>1.792</v>
      </c>
      <c r="J199" s="17">
        <v>3.5000000000000003E-2</v>
      </c>
      <c r="K199" s="17">
        <v>8.0000000000000002E-3</v>
      </c>
    </row>
    <row r="200" spans="1:11">
      <c r="A200" s="15">
        <v>4</v>
      </c>
      <c r="B200" s="22">
        <v>39427</v>
      </c>
      <c r="C200" s="15">
        <v>2007</v>
      </c>
      <c r="D200" s="11" t="s">
        <v>38</v>
      </c>
      <c r="E200" s="15">
        <v>12</v>
      </c>
      <c r="F200" s="17">
        <v>9.1120000000000001</v>
      </c>
      <c r="G200" s="17">
        <v>0.248</v>
      </c>
      <c r="H200" s="17">
        <v>0.08</v>
      </c>
      <c r="I200" s="17">
        <v>2.69</v>
      </c>
      <c r="J200" s="17">
        <v>4.2000000000000003E-2</v>
      </c>
      <c r="K200" s="17">
        <v>4.1000000000000002E-2</v>
      </c>
    </row>
    <row r="201" spans="1:11">
      <c r="A201" s="15">
        <v>3</v>
      </c>
      <c r="B201" s="22">
        <v>39462</v>
      </c>
      <c r="C201" s="15">
        <v>2008</v>
      </c>
      <c r="D201" s="11" t="s">
        <v>39</v>
      </c>
      <c r="E201" s="15">
        <v>1</v>
      </c>
      <c r="F201" s="23">
        <v>3.843</v>
      </c>
      <c r="G201" s="23">
        <v>0.112</v>
      </c>
      <c r="H201" s="23">
        <v>9.9989999999999996E-4</v>
      </c>
      <c r="I201" s="23">
        <v>0.78900000000000003</v>
      </c>
      <c r="J201" s="23">
        <v>8.4000000000000005E-2</v>
      </c>
      <c r="K201" s="23">
        <v>5.0000000000000001E-3</v>
      </c>
    </row>
    <row r="202" spans="1:11">
      <c r="A202" s="15">
        <v>4</v>
      </c>
      <c r="B202" s="22">
        <v>39462</v>
      </c>
      <c r="C202" s="15">
        <v>2008</v>
      </c>
      <c r="D202" s="11" t="s">
        <v>39</v>
      </c>
      <c r="E202" s="15">
        <v>1</v>
      </c>
      <c r="F202" s="23">
        <v>8.2759999999999998</v>
      </c>
      <c r="G202" s="23">
        <v>0.52</v>
      </c>
      <c r="H202" s="23">
        <v>0.19900000000000001</v>
      </c>
      <c r="I202" s="23">
        <v>1.679</v>
      </c>
      <c r="J202" s="23">
        <v>8.1000000000000003E-2</v>
      </c>
      <c r="K202" s="23">
        <v>0.13200000000000001</v>
      </c>
    </row>
    <row r="203" spans="1:11">
      <c r="A203" s="15">
        <v>3</v>
      </c>
      <c r="B203" s="22">
        <v>39490</v>
      </c>
      <c r="C203" s="15">
        <v>2008</v>
      </c>
      <c r="D203" s="11" t="s">
        <v>28</v>
      </c>
      <c r="E203" s="15">
        <v>2</v>
      </c>
      <c r="F203" s="23">
        <v>6.859</v>
      </c>
      <c r="G203" s="23">
        <v>0.185</v>
      </c>
      <c r="H203" s="23">
        <v>0.161</v>
      </c>
      <c r="I203" s="23">
        <v>1.427</v>
      </c>
      <c r="J203" s="23">
        <v>0.154</v>
      </c>
      <c r="K203" s="23">
        <v>6.9000000000000006E-2</v>
      </c>
    </row>
    <row r="204" spans="1:11">
      <c r="A204" s="15">
        <v>4</v>
      </c>
      <c r="B204" s="22">
        <v>39490</v>
      </c>
      <c r="C204" s="15">
        <v>2008</v>
      </c>
      <c r="D204" s="11" t="s">
        <v>28</v>
      </c>
      <c r="E204" s="15">
        <v>2</v>
      </c>
      <c r="F204" s="23">
        <v>16.058</v>
      </c>
      <c r="G204" s="23">
        <v>0.68400000000000005</v>
      </c>
      <c r="H204" s="23">
        <v>0.57099999999999995</v>
      </c>
      <c r="I204" s="23">
        <v>3.6389999999999998</v>
      </c>
      <c r="J204" s="23">
        <v>0.28799999999999998</v>
      </c>
      <c r="K204" s="23">
        <v>0.31</v>
      </c>
    </row>
    <row r="205" spans="1:11">
      <c r="A205" s="15">
        <v>3</v>
      </c>
      <c r="B205" s="22">
        <v>39520</v>
      </c>
      <c r="C205" s="15">
        <v>2008</v>
      </c>
      <c r="D205" s="11" t="s">
        <v>29</v>
      </c>
      <c r="E205" s="15">
        <v>3</v>
      </c>
      <c r="F205" s="24">
        <v>4.5410000000000004</v>
      </c>
      <c r="G205" s="23">
        <v>5.1999999999999998E-2</v>
      </c>
      <c r="H205" s="23">
        <v>0.09</v>
      </c>
      <c r="I205" s="23">
        <v>1.6160000000000001</v>
      </c>
      <c r="J205" s="23">
        <v>0.09</v>
      </c>
      <c r="K205" s="23">
        <v>2.1000000000000001E-2</v>
      </c>
    </row>
    <row r="206" spans="1:11">
      <c r="A206" s="15">
        <v>4</v>
      </c>
      <c r="B206" s="22">
        <v>39520</v>
      </c>
      <c r="C206" s="15">
        <v>2008</v>
      </c>
      <c r="D206" s="11" t="s">
        <v>29</v>
      </c>
      <c r="E206" s="15">
        <v>3</v>
      </c>
      <c r="F206" s="24">
        <v>9.7249999999999996</v>
      </c>
      <c r="G206" s="23">
        <v>0.44900000000000001</v>
      </c>
      <c r="H206" s="23">
        <v>0.29799999999999999</v>
      </c>
      <c r="I206" s="23">
        <v>2.52</v>
      </c>
      <c r="J206" s="23">
        <v>0.13900000000000001</v>
      </c>
      <c r="K206" s="23">
        <v>0.14499999999999999</v>
      </c>
    </row>
    <row r="207" spans="1:11">
      <c r="A207" s="15">
        <v>3</v>
      </c>
      <c r="B207" s="22">
        <v>39553</v>
      </c>
      <c r="C207" s="15">
        <v>2008</v>
      </c>
      <c r="D207" s="11" t="s">
        <v>30</v>
      </c>
      <c r="E207" s="15">
        <v>4</v>
      </c>
      <c r="F207" s="24">
        <v>6.3369999999999997</v>
      </c>
      <c r="G207" s="23">
        <v>2.5000000000000001E-2</v>
      </c>
      <c r="H207" s="23">
        <v>0.27</v>
      </c>
      <c r="I207" s="23">
        <v>2.504</v>
      </c>
      <c r="J207" s="23">
        <v>9.5000000000000001E-2</v>
      </c>
      <c r="K207" s="23">
        <v>9.9989999999999996E-4</v>
      </c>
    </row>
    <row r="208" spans="1:11">
      <c r="A208" s="15">
        <v>4</v>
      </c>
      <c r="B208" s="22">
        <v>39553</v>
      </c>
      <c r="C208" s="15">
        <v>2008</v>
      </c>
      <c r="D208" s="11" t="s">
        <v>30</v>
      </c>
      <c r="E208" s="15">
        <v>4</v>
      </c>
      <c r="F208" s="24">
        <v>14.29</v>
      </c>
      <c r="G208" s="23">
        <v>6.9000000000000006E-2</v>
      </c>
      <c r="H208" s="23">
        <v>0.33200000000000002</v>
      </c>
      <c r="I208" s="23">
        <v>4.7850000000000001</v>
      </c>
      <c r="J208" s="23">
        <v>0.14299999999999999</v>
      </c>
      <c r="K208" s="23">
        <v>6.0999999999999999E-2</v>
      </c>
    </row>
    <row r="209" spans="1:11">
      <c r="A209" s="15">
        <v>3</v>
      </c>
      <c r="B209" s="22">
        <v>39582</v>
      </c>
      <c r="C209" s="15">
        <v>2008</v>
      </c>
      <c r="D209" s="11" t="s">
        <v>31</v>
      </c>
      <c r="E209" s="15">
        <v>5</v>
      </c>
      <c r="F209" s="24">
        <v>15.234</v>
      </c>
      <c r="G209" s="23">
        <v>7.2999999999999995E-2</v>
      </c>
      <c r="H209" s="23">
        <v>0.64700000000000002</v>
      </c>
      <c r="I209" s="23">
        <v>5.734</v>
      </c>
      <c r="J209" s="23">
        <v>0.45600000000000002</v>
      </c>
      <c r="K209" s="23">
        <v>9.9989999999999996E-4</v>
      </c>
    </row>
    <row r="210" spans="1:11">
      <c r="A210" s="15">
        <v>4</v>
      </c>
      <c r="B210" s="22">
        <v>39582</v>
      </c>
      <c r="C210" s="15">
        <v>2008</v>
      </c>
      <c r="D210" s="11" t="s">
        <v>31</v>
      </c>
      <c r="E210" s="15">
        <v>5</v>
      </c>
      <c r="F210" s="24">
        <v>14.628</v>
      </c>
      <c r="G210" s="23">
        <v>0.432</v>
      </c>
      <c r="H210" s="23">
        <v>0.39900000000000002</v>
      </c>
      <c r="I210" s="23">
        <v>4.2279999999999998</v>
      </c>
      <c r="J210" s="23">
        <v>0.496</v>
      </c>
      <c r="K210" s="23">
        <v>9.9989999999999996E-4</v>
      </c>
    </row>
    <row r="211" spans="1:11">
      <c r="A211" s="15">
        <v>3</v>
      </c>
      <c r="B211" s="22">
        <v>39616</v>
      </c>
      <c r="C211" s="15">
        <v>2008</v>
      </c>
      <c r="D211" s="11" t="s">
        <v>32</v>
      </c>
      <c r="E211" s="15">
        <v>6</v>
      </c>
      <c r="F211" s="24">
        <v>16.321000000000002</v>
      </c>
      <c r="G211" s="23">
        <v>0.13800000000000001</v>
      </c>
      <c r="H211" s="23">
        <v>9.9989999999999996E-4</v>
      </c>
      <c r="I211" s="23">
        <v>2.2839999999999998</v>
      </c>
      <c r="J211" s="23">
        <v>1.857</v>
      </c>
      <c r="K211" s="23">
        <v>9.9989999999999996E-4</v>
      </c>
    </row>
    <row r="212" spans="1:11">
      <c r="A212" s="15">
        <v>4</v>
      </c>
      <c r="B212" s="22">
        <v>39616</v>
      </c>
      <c r="C212" s="15">
        <v>2008</v>
      </c>
      <c r="D212" s="11" t="s">
        <v>32</v>
      </c>
      <c r="E212" s="15">
        <v>6</v>
      </c>
      <c r="F212" s="24">
        <v>20.048999999999999</v>
      </c>
      <c r="G212" s="23">
        <v>6.0999999999999999E-2</v>
      </c>
      <c r="H212" s="23">
        <v>9.9989999999999996E-4</v>
      </c>
      <c r="I212" s="23">
        <v>1.7729999999999999</v>
      </c>
      <c r="J212" s="23">
        <v>3.9329999999999998</v>
      </c>
      <c r="K212" s="23">
        <v>9.9989999999999996E-4</v>
      </c>
    </row>
    <row r="213" spans="1:11">
      <c r="A213" s="15">
        <v>3</v>
      </c>
      <c r="B213" s="22">
        <v>39644</v>
      </c>
      <c r="C213" s="15">
        <v>2008</v>
      </c>
      <c r="D213" s="11" t="s">
        <v>33</v>
      </c>
      <c r="E213" s="15">
        <v>7</v>
      </c>
      <c r="F213" s="24">
        <v>40.933</v>
      </c>
      <c r="G213" s="23">
        <v>0.27800000000000002</v>
      </c>
      <c r="H213" s="23">
        <v>7.4999999999999997E-2</v>
      </c>
      <c r="I213" s="23">
        <v>4.9119999999999999</v>
      </c>
      <c r="J213" s="23">
        <v>1.744</v>
      </c>
      <c r="K213" s="23">
        <v>9.9989999999999996E-4</v>
      </c>
    </row>
    <row r="214" spans="1:11">
      <c r="A214" s="15">
        <v>4</v>
      </c>
      <c r="B214" s="22">
        <v>39644</v>
      </c>
      <c r="C214" s="15">
        <v>2008</v>
      </c>
      <c r="D214" s="11" t="s">
        <v>33</v>
      </c>
      <c r="E214" s="15">
        <v>7</v>
      </c>
      <c r="F214" s="24">
        <v>47.481999999999999</v>
      </c>
      <c r="G214" s="23">
        <v>0.28499999999999998</v>
      </c>
      <c r="H214" s="23">
        <v>7.0999999999999994E-2</v>
      </c>
      <c r="I214" s="23">
        <v>5.4450000000000003</v>
      </c>
      <c r="J214" s="23">
        <v>1.7909999999999999</v>
      </c>
      <c r="K214" s="23">
        <v>9.9989999999999996E-4</v>
      </c>
    </row>
    <row r="215" spans="1:11">
      <c r="A215" s="15">
        <v>3</v>
      </c>
      <c r="B215" s="22">
        <v>39673</v>
      </c>
      <c r="C215" s="15">
        <v>2008</v>
      </c>
      <c r="D215" s="11" t="s">
        <v>34</v>
      </c>
      <c r="E215" s="15">
        <v>8</v>
      </c>
      <c r="F215" s="24">
        <v>15.821</v>
      </c>
      <c r="G215" s="23">
        <v>0.38300000000000001</v>
      </c>
      <c r="H215" s="23">
        <v>0.125</v>
      </c>
      <c r="I215" s="23">
        <v>2.105</v>
      </c>
      <c r="J215" s="23">
        <v>1.323</v>
      </c>
      <c r="K215" s="23">
        <v>9.9989999999999996E-4</v>
      </c>
    </row>
    <row r="216" spans="1:11">
      <c r="A216" s="15">
        <v>4</v>
      </c>
      <c r="B216" s="22">
        <v>39673</v>
      </c>
      <c r="C216" s="15">
        <v>2008</v>
      </c>
      <c r="D216" s="11" t="s">
        <v>34</v>
      </c>
      <c r="E216" s="15">
        <v>8</v>
      </c>
      <c r="F216" s="24">
        <v>42.738</v>
      </c>
      <c r="G216" s="23">
        <v>0.51300000000000001</v>
      </c>
      <c r="H216" s="23">
        <v>0.55200000000000005</v>
      </c>
      <c r="I216" s="23">
        <v>5.07</v>
      </c>
      <c r="J216" s="23">
        <v>1.2290000000000001</v>
      </c>
      <c r="K216" s="23">
        <v>9.9989999999999996E-4</v>
      </c>
    </row>
    <row r="217" spans="1:11">
      <c r="A217" s="15">
        <v>3</v>
      </c>
      <c r="B217" s="22">
        <v>39707</v>
      </c>
      <c r="C217" s="15">
        <v>2008</v>
      </c>
      <c r="D217" s="11" t="s">
        <v>40</v>
      </c>
      <c r="E217" s="15">
        <v>9</v>
      </c>
      <c r="F217" s="23">
        <v>20.94</v>
      </c>
      <c r="G217" s="23">
        <v>0.14199999999999999</v>
      </c>
      <c r="H217" s="23">
        <v>1.2669999999999999</v>
      </c>
      <c r="I217" s="23">
        <v>5.0010000000000003</v>
      </c>
      <c r="J217" s="23">
        <v>2.161</v>
      </c>
      <c r="K217" s="23">
        <v>9.9989999999999996E-4</v>
      </c>
    </row>
    <row r="218" spans="1:11">
      <c r="A218" s="15">
        <v>4</v>
      </c>
      <c r="B218" s="22">
        <v>39707</v>
      </c>
      <c r="C218" s="15">
        <v>2008</v>
      </c>
      <c r="D218" s="11" t="s">
        <v>40</v>
      </c>
      <c r="E218" s="15">
        <v>9</v>
      </c>
      <c r="F218" s="23">
        <v>20.312000000000001</v>
      </c>
      <c r="G218" s="23">
        <v>0.16</v>
      </c>
      <c r="H218" s="23">
        <v>0.65100000000000002</v>
      </c>
      <c r="I218" s="23">
        <v>3.6</v>
      </c>
      <c r="J218" s="23">
        <v>2.5409999999999999</v>
      </c>
      <c r="K218" s="23">
        <v>9.9989999999999996E-4</v>
      </c>
    </row>
    <row r="219" spans="1:11">
      <c r="A219" s="15">
        <v>3</v>
      </c>
      <c r="B219" s="22">
        <v>39737</v>
      </c>
      <c r="C219" s="15">
        <v>2008</v>
      </c>
      <c r="D219" s="11" t="s">
        <v>36</v>
      </c>
      <c r="E219" s="15">
        <v>10</v>
      </c>
      <c r="F219" s="23">
        <v>12.946999999999999</v>
      </c>
      <c r="G219" s="23">
        <v>6.6000000000000003E-2</v>
      </c>
      <c r="H219" s="23">
        <v>1.1819999999999999</v>
      </c>
      <c r="I219" s="23">
        <v>4.16</v>
      </c>
      <c r="J219" s="23">
        <v>1.252</v>
      </c>
      <c r="K219" s="23">
        <v>9.9989999999999996E-4</v>
      </c>
    </row>
    <row r="220" spans="1:11">
      <c r="A220" s="15">
        <v>4</v>
      </c>
      <c r="B220" s="22">
        <v>39737</v>
      </c>
      <c r="C220" s="15">
        <v>2008</v>
      </c>
      <c r="D220" s="11" t="s">
        <v>36</v>
      </c>
      <c r="E220" s="15">
        <v>10</v>
      </c>
      <c r="F220" s="23">
        <v>21.135999999999999</v>
      </c>
      <c r="G220" s="23">
        <v>0.106</v>
      </c>
      <c r="H220" s="23">
        <v>1.7569999999999999</v>
      </c>
      <c r="I220" s="23">
        <v>5.5949999999999998</v>
      </c>
      <c r="J220" s="23">
        <v>2.9289999999999998</v>
      </c>
      <c r="K220" s="23">
        <v>9.9989999999999996E-4</v>
      </c>
    </row>
    <row r="221" spans="1:11">
      <c r="A221" s="15">
        <v>3</v>
      </c>
      <c r="B221" s="22">
        <v>39763</v>
      </c>
      <c r="C221" s="15">
        <v>2008</v>
      </c>
      <c r="D221" s="11" t="s">
        <v>37</v>
      </c>
      <c r="E221" s="15">
        <v>11</v>
      </c>
      <c r="F221" s="23">
        <v>11.272</v>
      </c>
      <c r="G221" s="23">
        <v>2.5000000000000001E-2</v>
      </c>
      <c r="H221" s="23">
        <v>0.625</v>
      </c>
      <c r="I221" s="23">
        <v>4.7249999999999996</v>
      </c>
      <c r="J221" s="23">
        <v>0.504</v>
      </c>
      <c r="K221" s="23">
        <v>9.9989999999999996E-4</v>
      </c>
    </row>
    <row r="222" spans="1:11">
      <c r="A222" s="15">
        <v>4</v>
      </c>
      <c r="B222" s="22">
        <v>39763</v>
      </c>
      <c r="C222" s="15">
        <v>2008</v>
      </c>
      <c r="D222" s="11" t="s">
        <v>37</v>
      </c>
      <c r="E222" s="15">
        <v>11</v>
      </c>
      <c r="F222" s="23">
        <v>14.859</v>
      </c>
      <c r="G222" s="23">
        <v>3.7999999999999999E-2</v>
      </c>
      <c r="H222" s="23">
        <v>0.81799999999999995</v>
      </c>
      <c r="I222" s="23">
        <v>6.343</v>
      </c>
      <c r="J222" s="23">
        <v>0.57799999999999996</v>
      </c>
      <c r="K222" s="23">
        <v>9.9989999999999996E-4</v>
      </c>
    </row>
    <row r="223" spans="1:11">
      <c r="A223" s="15">
        <v>3</v>
      </c>
      <c r="B223" s="22">
        <v>39434</v>
      </c>
      <c r="C223" s="15">
        <v>2008</v>
      </c>
      <c r="D223" s="11" t="s">
        <v>38</v>
      </c>
      <c r="E223" s="15">
        <v>12</v>
      </c>
      <c r="F223" s="23">
        <v>19.263000000000002</v>
      </c>
      <c r="G223" s="23">
        <v>1.7789999999999999</v>
      </c>
      <c r="H223" s="23">
        <v>0.29599999999999999</v>
      </c>
      <c r="I223" s="23">
        <v>5.1189999999999998</v>
      </c>
      <c r="J223" s="23">
        <v>9.4E-2</v>
      </c>
      <c r="K223" s="23">
        <v>9.9989999999999996E-4</v>
      </c>
    </row>
    <row r="224" spans="1:11">
      <c r="A224" s="15">
        <v>4</v>
      </c>
      <c r="B224" s="22">
        <v>39434</v>
      </c>
      <c r="C224" s="15">
        <v>2008</v>
      </c>
      <c r="D224" s="11" t="s">
        <v>38</v>
      </c>
      <c r="E224" s="15">
        <v>12</v>
      </c>
      <c r="F224" s="23">
        <v>23.683</v>
      </c>
      <c r="G224" s="23">
        <v>3.93</v>
      </c>
      <c r="H224" s="23">
        <v>0.23200000000000001</v>
      </c>
      <c r="I224" s="23">
        <v>4.5679999999999996</v>
      </c>
      <c r="J224" s="23">
        <v>0.112</v>
      </c>
      <c r="K224" s="23">
        <v>9.9989999999999996E-4</v>
      </c>
    </row>
    <row r="225" spans="1:11">
      <c r="A225" s="15">
        <v>3</v>
      </c>
      <c r="B225" s="22">
        <v>39825</v>
      </c>
      <c r="C225" s="15">
        <v>2009</v>
      </c>
      <c r="D225" s="11" t="s">
        <v>39</v>
      </c>
      <c r="E225" s="12">
        <v>1</v>
      </c>
      <c r="F225" s="23">
        <v>12.114000000000001</v>
      </c>
      <c r="G225" s="23">
        <v>0.82899999999999996</v>
      </c>
      <c r="H225" s="23">
        <v>9.9989999999999996E-4</v>
      </c>
      <c r="I225" s="23">
        <v>2.3559999999999999</v>
      </c>
      <c r="J225" s="23">
        <v>6.9000000000000006E-2</v>
      </c>
      <c r="K225" s="23">
        <v>9.9989999999999996E-4</v>
      </c>
    </row>
    <row r="226" spans="1:11">
      <c r="A226" s="15">
        <v>4</v>
      </c>
      <c r="B226" s="22">
        <v>39825</v>
      </c>
      <c r="C226" s="15">
        <v>2009</v>
      </c>
      <c r="D226" s="11" t="s">
        <v>39</v>
      </c>
      <c r="E226" s="12">
        <v>1</v>
      </c>
      <c r="F226" s="23">
        <v>12.62</v>
      </c>
      <c r="G226" s="23">
        <v>1.845</v>
      </c>
      <c r="H226" s="23">
        <v>4.3999999999999997E-2</v>
      </c>
      <c r="I226" s="23">
        <v>1.889</v>
      </c>
      <c r="J226" s="23">
        <v>9.8000000000000004E-2</v>
      </c>
      <c r="K226" s="23">
        <v>9.9989999999999996E-4</v>
      </c>
    </row>
    <row r="227" spans="1:11">
      <c r="A227" s="12">
        <v>3</v>
      </c>
      <c r="B227" s="22">
        <v>39854</v>
      </c>
      <c r="C227" s="15">
        <v>2009</v>
      </c>
      <c r="D227" s="11" t="s">
        <v>28</v>
      </c>
      <c r="E227" s="12">
        <v>2</v>
      </c>
      <c r="F227" s="23">
        <v>5.9710000000000001</v>
      </c>
      <c r="G227" s="25">
        <v>9.9000000000000005E-2</v>
      </c>
      <c r="H227" s="25">
        <v>1.7000000000000001E-2</v>
      </c>
      <c r="I227" s="25">
        <v>1.875</v>
      </c>
      <c r="J227" s="25">
        <v>2.7E-2</v>
      </c>
      <c r="K227" s="25">
        <v>9.9989999999999996E-4</v>
      </c>
    </row>
    <row r="228" spans="1:11">
      <c r="A228" s="12">
        <v>4</v>
      </c>
      <c r="B228" s="22">
        <v>39854</v>
      </c>
      <c r="C228" s="15">
        <v>2009</v>
      </c>
      <c r="D228" s="11" t="s">
        <v>28</v>
      </c>
      <c r="E228" s="12">
        <v>2</v>
      </c>
      <c r="F228" s="23">
        <v>5.5919999999999996</v>
      </c>
      <c r="G228" s="25">
        <v>0.17399999999999999</v>
      </c>
      <c r="H228" s="25">
        <v>9.9989999999999996E-4</v>
      </c>
      <c r="I228" s="25">
        <v>2.056</v>
      </c>
      <c r="J228" s="25">
        <v>3.3000000000000002E-2</v>
      </c>
      <c r="K228" s="25">
        <v>9.9989999999999996E-4</v>
      </c>
    </row>
    <row r="229" spans="1:11">
      <c r="A229" s="12">
        <v>3</v>
      </c>
      <c r="B229" s="22">
        <v>39890</v>
      </c>
      <c r="C229" s="15">
        <v>2009</v>
      </c>
      <c r="D229" s="11" t="s">
        <v>29</v>
      </c>
      <c r="E229" s="12">
        <v>3</v>
      </c>
      <c r="F229" s="23">
        <v>10.291</v>
      </c>
      <c r="G229" s="25">
        <v>3.4000000000000002E-2</v>
      </c>
      <c r="H229" s="25">
        <v>1E-3</v>
      </c>
      <c r="I229" s="25">
        <v>4.6260000000000003</v>
      </c>
      <c r="J229" s="25">
        <v>7.6999999999999999E-2</v>
      </c>
      <c r="K229" s="25">
        <v>9.9989999999999996E-4</v>
      </c>
    </row>
    <row r="230" spans="1:11">
      <c r="A230" s="12">
        <v>4</v>
      </c>
      <c r="B230" s="22">
        <v>39890</v>
      </c>
      <c r="C230" s="15">
        <v>2009</v>
      </c>
      <c r="D230" s="11" t="s">
        <v>29</v>
      </c>
      <c r="E230" s="12">
        <v>3</v>
      </c>
      <c r="F230" s="23">
        <v>8.1660000000000004</v>
      </c>
      <c r="G230" s="25">
        <v>3.7999999999999999E-2</v>
      </c>
      <c r="H230" s="25">
        <v>9.9989999999999996E-4</v>
      </c>
      <c r="I230" s="25">
        <v>3.383</v>
      </c>
      <c r="J230" s="25">
        <v>8.5999999999999993E-2</v>
      </c>
      <c r="K230" s="25">
        <v>9.9989999999999996E-4</v>
      </c>
    </row>
    <row r="231" spans="1:11">
      <c r="A231" s="12">
        <v>3</v>
      </c>
      <c r="B231" s="22">
        <v>39920</v>
      </c>
      <c r="C231" s="15">
        <v>2009</v>
      </c>
      <c r="D231" s="11" t="s">
        <v>30</v>
      </c>
      <c r="E231" s="12">
        <v>4</v>
      </c>
      <c r="F231" s="23">
        <v>3.7959999999999998</v>
      </c>
      <c r="G231" s="25">
        <v>2.4E-2</v>
      </c>
      <c r="H231" s="25">
        <v>1E-3</v>
      </c>
      <c r="I231" s="25">
        <v>0.90100000000000002</v>
      </c>
      <c r="J231" s="25">
        <v>0.04</v>
      </c>
      <c r="K231" s="25">
        <v>9.9989999999999996E-4</v>
      </c>
    </row>
    <row r="232" spans="1:11">
      <c r="A232" s="12">
        <v>4</v>
      </c>
      <c r="B232" s="22">
        <v>39920</v>
      </c>
      <c r="C232" s="15">
        <v>2009</v>
      </c>
      <c r="D232" s="11" t="s">
        <v>30</v>
      </c>
      <c r="E232" s="12">
        <v>4</v>
      </c>
      <c r="F232" s="23">
        <v>7.9089999999999998</v>
      </c>
      <c r="G232" s="25">
        <v>0.124</v>
      </c>
      <c r="H232" s="25">
        <v>1E-3</v>
      </c>
      <c r="I232" s="25">
        <v>1.948</v>
      </c>
      <c r="J232" s="25">
        <v>6.5000000000000002E-2</v>
      </c>
      <c r="K232" s="25">
        <v>9.9989999999999996E-4</v>
      </c>
    </row>
    <row r="233" spans="1:11">
      <c r="A233" s="12">
        <v>3</v>
      </c>
      <c r="B233" s="22">
        <v>39945</v>
      </c>
      <c r="C233" s="15">
        <v>2009</v>
      </c>
      <c r="D233" s="11" t="s">
        <v>31</v>
      </c>
      <c r="E233" s="12">
        <v>5</v>
      </c>
      <c r="F233" s="23">
        <v>7.6829999999999998</v>
      </c>
      <c r="G233" s="25">
        <v>0.874</v>
      </c>
      <c r="H233" s="25">
        <v>0.05</v>
      </c>
      <c r="I233" s="25">
        <v>1.397</v>
      </c>
      <c r="J233" s="25">
        <v>0.24199999999999999</v>
      </c>
      <c r="K233" s="25">
        <v>2.3E-2</v>
      </c>
    </row>
    <row r="234" spans="1:11">
      <c r="A234" s="12">
        <v>4</v>
      </c>
      <c r="B234" s="22">
        <v>39945</v>
      </c>
      <c r="C234" s="15">
        <v>2009</v>
      </c>
      <c r="D234" s="11" t="s">
        <v>31</v>
      </c>
      <c r="E234" s="12">
        <v>5</v>
      </c>
      <c r="F234" s="23">
        <v>18.114000000000001</v>
      </c>
      <c r="G234" s="25">
        <v>0.84499999999999997</v>
      </c>
      <c r="H234" s="25">
        <v>9.2999999999999999E-2</v>
      </c>
      <c r="I234" s="25">
        <v>3.5750000000000002</v>
      </c>
      <c r="J234" s="25">
        <v>0.64700000000000002</v>
      </c>
      <c r="K234" s="25">
        <v>4.7E-2</v>
      </c>
    </row>
    <row r="235" spans="1:11">
      <c r="A235" s="15">
        <v>3</v>
      </c>
      <c r="B235" s="22">
        <v>39980</v>
      </c>
      <c r="C235" s="15">
        <v>2009</v>
      </c>
      <c r="D235" s="11" t="s">
        <v>32</v>
      </c>
      <c r="E235" s="12">
        <v>6</v>
      </c>
      <c r="F235" s="23">
        <v>18.402000000000001</v>
      </c>
      <c r="G235" s="25">
        <v>0.111</v>
      </c>
      <c r="H235" s="25">
        <v>1.4039999999999999</v>
      </c>
      <c r="I235" s="25">
        <v>5.2619999999999996</v>
      </c>
      <c r="J235" s="25">
        <v>1.43</v>
      </c>
      <c r="K235" s="25">
        <v>1.7999999999999999E-2</v>
      </c>
    </row>
    <row r="236" spans="1:11">
      <c r="A236" s="15">
        <v>4</v>
      </c>
      <c r="B236" s="22">
        <v>39980</v>
      </c>
      <c r="C236" s="15">
        <v>2009</v>
      </c>
      <c r="D236" s="11" t="s">
        <v>32</v>
      </c>
      <c r="E236" s="12">
        <v>6</v>
      </c>
      <c r="F236" s="23">
        <v>21.108000000000001</v>
      </c>
      <c r="G236" s="25">
        <v>0.127</v>
      </c>
      <c r="H236" s="25">
        <v>0.44600000000000001</v>
      </c>
      <c r="I236" s="25">
        <v>4.58</v>
      </c>
      <c r="J236" s="25">
        <v>2.625</v>
      </c>
      <c r="K236" s="25">
        <v>0.02</v>
      </c>
    </row>
    <row r="237" spans="1:11">
      <c r="A237" s="15">
        <v>3</v>
      </c>
      <c r="B237" s="22">
        <v>40009</v>
      </c>
      <c r="C237" s="15">
        <v>2009</v>
      </c>
      <c r="D237" s="11" t="s">
        <v>33</v>
      </c>
      <c r="E237" s="12">
        <v>7</v>
      </c>
      <c r="F237" s="23">
        <v>11.356</v>
      </c>
      <c r="G237" s="25">
        <v>0.21299999999999999</v>
      </c>
      <c r="H237" s="25">
        <v>0.107</v>
      </c>
      <c r="I237" s="25">
        <v>1.2669999999999999</v>
      </c>
      <c r="J237" s="25">
        <v>2.59</v>
      </c>
      <c r="K237" s="25">
        <v>1E-3</v>
      </c>
    </row>
    <row r="238" spans="1:11">
      <c r="A238" s="15">
        <v>4</v>
      </c>
      <c r="B238" s="22">
        <v>40009</v>
      </c>
      <c r="C238" s="15">
        <v>2009</v>
      </c>
      <c r="D238" s="11" t="s">
        <v>33</v>
      </c>
      <c r="E238" s="12">
        <v>7</v>
      </c>
      <c r="F238" s="23">
        <v>16.303000000000001</v>
      </c>
      <c r="G238" s="25">
        <v>0.14099999999999999</v>
      </c>
      <c r="H238" s="25">
        <v>0.16300000000000001</v>
      </c>
      <c r="I238" s="25">
        <v>2.2250000000000001</v>
      </c>
      <c r="J238" s="25">
        <v>2.6080000000000001</v>
      </c>
      <c r="K238" s="25">
        <v>1E-3</v>
      </c>
    </row>
    <row r="239" spans="1:11">
      <c r="A239" s="15">
        <v>3</v>
      </c>
      <c r="B239" s="22">
        <v>40043</v>
      </c>
      <c r="C239" s="15">
        <v>2009</v>
      </c>
      <c r="D239" s="11" t="s">
        <v>34</v>
      </c>
      <c r="E239" s="12">
        <v>8</v>
      </c>
      <c r="F239" s="23">
        <v>21.183</v>
      </c>
      <c r="G239" s="25">
        <v>0.23400000000000001</v>
      </c>
      <c r="H239" s="25">
        <v>1E-3</v>
      </c>
      <c r="I239" s="25">
        <v>2.919</v>
      </c>
      <c r="J239" s="25">
        <v>1.5880000000000001</v>
      </c>
      <c r="K239" s="25">
        <v>1E-3</v>
      </c>
    </row>
    <row r="240" spans="1:11">
      <c r="A240" s="15">
        <v>4</v>
      </c>
      <c r="B240" s="22">
        <v>40043</v>
      </c>
      <c r="C240" s="15">
        <v>2009</v>
      </c>
      <c r="D240" s="11" t="s">
        <v>34</v>
      </c>
      <c r="E240" s="12">
        <v>8</v>
      </c>
      <c r="F240" s="23">
        <v>33.268000000000001</v>
      </c>
      <c r="G240" s="25">
        <v>0.23799999999999999</v>
      </c>
      <c r="H240" s="25">
        <v>1E-3</v>
      </c>
      <c r="I240" s="25">
        <v>4.2210000000000001</v>
      </c>
      <c r="J240" s="25">
        <v>1.6559999999999999</v>
      </c>
      <c r="K240" s="25">
        <v>1E-3</v>
      </c>
    </row>
    <row r="241" spans="1:11">
      <c r="A241" s="15">
        <v>3</v>
      </c>
      <c r="B241" s="22">
        <v>40070</v>
      </c>
      <c r="C241" s="15">
        <v>2009</v>
      </c>
      <c r="D241" s="11" t="s">
        <v>40</v>
      </c>
      <c r="E241" s="12">
        <v>9</v>
      </c>
      <c r="F241" s="23">
        <v>15.382999999999999</v>
      </c>
      <c r="G241" s="25">
        <v>5.1999999999999998E-2</v>
      </c>
      <c r="H241" s="25">
        <v>1E-3</v>
      </c>
      <c r="I241" s="25">
        <v>4.2370000000000001</v>
      </c>
      <c r="J241" s="25">
        <v>0.96199999999999997</v>
      </c>
      <c r="K241" s="25">
        <v>9.9989999999999996E-4</v>
      </c>
    </row>
    <row r="242" spans="1:11">
      <c r="A242" s="15">
        <v>4</v>
      </c>
      <c r="B242" s="22">
        <v>40070</v>
      </c>
      <c r="C242" s="15">
        <v>2009</v>
      </c>
      <c r="D242" s="11" t="s">
        <v>40</v>
      </c>
      <c r="E242" s="12">
        <v>9</v>
      </c>
      <c r="F242" s="23">
        <v>12.561</v>
      </c>
      <c r="G242" s="25">
        <v>9.0999999999999998E-2</v>
      </c>
      <c r="H242" s="25">
        <v>1E-3</v>
      </c>
      <c r="I242" s="25">
        <v>2.13</v>
      </c>
      <c r="J242" s="25">
        <v>1.0760000000000001</v>
      </c>
      <c r="K242" s="25">
        <v>9.9989999999999996E-4</v>
      </c>
    </row>
    <row r="243" spans="1:11">
      <c r="A243" s="15">
        <v>3</v>
      </c>
      <c r="B243" s="22">
        <v>40099</v>
      </c>
      <c r="C243" s="15">
        <v>2009</v>
      </c>
      <c r="D243" s="11" t="s">
        <v>36</v>
      </c>
      <c r="E243" s="12">
        <v>10</v>
      </c>
      <c r="F243" s="23">
        <v>8.7680000000000007</v>
      </c>
      <c r="G243" s="25">
        <v>5.5E-2</v>
      </c>
      <c r="H243" s="25">
        <v>4.4999999999999998E-2</v>
      </c>
      <c r="I243" s="25">
        <v>1.2849999999999999</v>
      </c>
      <c r="J243" s="25">
        <v>1.431</v>
      </c>
      <c r="K243" s="25">
        <v>9.9989999999999996E-4</v>
      </c>
    </row>
    <row r="244" spans="1:11">
      <c r="A244" s="15">
        <v>4</v>
      </c>
      <c r="B244" s="22">
        <v>40099</v>
      </c>
      <c r="C244" s="15">
        <v>2009</v>
      </c>
      <c r="D244" s="11" t="s">
        <v>36</v>
      </c>
      <c r="E244" s="12">
        <v>10</v>
      </c>
      <c r="F244" s="23">
        <v>11.911</v>
      </c>
      <c r="G244" s="25">
        <v>5.3999999999999999E-2</v>
      </c>
      <c r="H244" s="25">
        <v>3.4000000000000002E-2</v>
      </c>
      <c r="I244" s="25">
        <v>1.2230000000000001</v>
      </c>
      <c r="J244" s="25">
        <v>2.4049999999999998</v>
      </c>
      <c r="K244" s="25">
        <v>9.9989999999999996E-4</v>
      </c>
    </row>
    <row r="245" spans="1:11">
      <c r="A245" s="15">
        <v>3</v>
      </c>
      <c r="B245" s="22">
        <v>40134</v>
      </c>
      <c r="C245" s="15">
        <v>2009</v>
      </c>
      <c r="D245" s="11" t="s">
        <v>37</v>
      </c>
      <c r="E245" s="12">
        <v>11</v>
      </c>
      <c r="F245" s="23">
        <v>3.383</v>
      </c>
      <c r="G245" s="25">
        <v>0.27700000000000002</v>
      </c>
      <c r="H245" s="25">
        <v>9.9989999999999996E-4</v>
      </c>
      <c r="I245" s="25">
        <v>0.57499999999999996</v>
      </c>
      <c r="J245" s="25">
        <v>5.6000000000000001E-2</v>
      </c>
      <c r="K245" s="25">
        <v>9.9989999999999996E-4</v>
      </c>
    </row>
    <row r="246" spans="1:11">
      <c r="A246" s="15">
        <v>4</v>
      </c>
      <c r="B246" s="22">
        <v>40134</v>
      </c>
      <c r="C246" s="15">
        <v>2009</v>
      </c>
      <c r="D246" s="11" t="s">
        <v>37</v>
      </c>
      <c r="E246" s="12">
        <v>11</v>
      </c>
      <c r="F246" s="23">
        <v>2.6019999999999999</v>
      </c>
      <c r="G246" s="25">
        <v>0.109</v>
      </c>
      <c r="H246" s="25">
        <v>9.9989999999999996E-4</v>
      </c>
      <c r="I246" s="25">
        <v>0.47199999999999998</v>
      </c>
      <c r="J246" s="25">
        <v>6.5000000000000002E-2</v>
      </c>
      <c r="K246" s="25">
        <v>9.9989999999999996E-4</v>
      </c>
    </row>
    <row r="247" spans="1:11">
      <c r="A247" s="15">
        <v>3</v>
      </c>
      <c r="B247" s="22">
        <v>40161</v>
      </c>
      <c r="C247" s="15">
        <v>2009</v>
      </c>
      <c r="D247" s="11" t="s">
        <v>38</v>
      </c>
      <c r="E247" s="12">
        <v>12</v>
      </c>
      <c r="F247" s="23">
        <v>7.4050000000000002</v>
      </c>
      <c r="G247" s="25">
        <v>0.36299999999999999</v>
      </c>
      <c r="H247" s="25">
        <v>9.9989999999999996E-4</v>
      </c>
      <c r="I247" s="25">
        <v>1.637</v>
      </c>
      <c r="J247" s="25">
        <v>4.2999999999999997E-2</v>
      </c>
      <c r="K247" s="25">
        <v>9.9989999999999996E-4</v>
      </c>
    </row>
    <row r="248" spans="1:11">
      <c r="A248" s="15">
        <v>4</v>
      </c>
      <c r="B248" s="22">
        <v>40161</v>
      </c>
      <c r="C248" s="15">
        <v>2009</v>
      </c>
      <c r="D248" s="11" t="s">
        <v>38</v>
      </c>
      <c r="E248" s="12">
        <v>12</v>
      </c>
      <c r="F248" s="23">
        <v>6.6210000000000004</v>
      </c>
      <c r="G248" s="25">
        <v>0.188</v>
      </c>
      <c r="H248" s="25">
        <v>9.9989999999999996E-4</v>
      </c>
      <c r="I248" s="25">
        <v>1.294</v>
      </c>
      <c r="J248" s="25">
        <v>8.1000000000000003E-2</v>
      </c>
      <c r="K248" s="25">
        <v>9.9989999999999996E-4</v>
      </c>
    </row>
    <row r="249" spans="1:11">
      <c r="A249" s="15">
        <v>3</v>
      </c>
      <c r="B249" s="19">
        <v>40198</v>
      </c>
      <c r="C249" s="15">
        <v>2010</v>
      </c>
      <c r="D249" s="11" t="s">
        <v>39</v>
      </c>
      <c r="E249" s="15">
        <v>1</v>
      </c>
      <c r="F249" s="26">
        <v>7.4580000000000002</v>
      </c>
      <c r="G249" s="27">
        <v>1.5021698749999999</v>
      </c>
      <c r="H249" s="27">
        <v>0</v>
      </c>
      <c r="I249" s="27">
        <v>2.4775922500000003</v>
      </c>
      <c r="J249" s="27">
        <v>3.5856875000000003E-2</v>
      </c>
      <c r="K249" s="27">
        <v>0</v>
      </c>
    </row>
    <row r="250" spans="1:11">
      <c r="A250" s="15">
        <v>4</v>
      </c>
      <c r="B250" s="19">
        <v>40198</v>
      </c>
      <c r="C250" s="15">
        <v>2010</v>
      </c>
      <c r="D250" s="11" t="s">
        <v>39</v>
      </c>
      <c r="E250" s="15">
        <v>1</v>
      </c>
      <c r="F250" s="26">
        <v>9.9359999999999999</v>
      </c>
      <c r="G250" s="27">
        <v>3.4942473749999992</v>
      </c>
      <c r="H250" s="27">
        <v>0</v>
      </c>
      <c r="I250" s="27">
        <v>2.1787363749999997</v>
      </c>
      <c r="J250" s="27">
        <v>5.8066624999999983E-2</v>
      </c>
      <c r="K250" s="27">
        <v>0</v>
      </c>
    </row>
    <row r="251" spans="1:11">
      <c r="A251" s="15">
        <v>3</v>
      </c>
      <c r="B251" s="19">
        <v>40225</v>
      </c>
      <c r="C251" s="15">
        <v>2010</v>
      </c>
      <c r="D251" s="11" t="s">
        <v>28</v>
      </c>
      <c r="E251" s="15">
        <v>2</v>
      </c>
      <c r="F251" s="26">
        <v>7.367</v>
      </c>
      <c r="G251" s="27">
        <v>0.68639962499999996</v>
      </c>
      <c r="H251" s="27">
        <v>0</v>
      </c>
      <c r="I251" s="27">
        <v>2.8348466250000004</v>
      </c>
      <c r="J251" s="27">
        <v>2.4660624999999995E-2</v>
      </c>
      <c r="K251" s="27">
        <v>0</v>
      </c>
    </row>
    <row r="252" spans="1:11">
      <c r="A252" s="15">
        <v>4</v>
      </c>
      <c r="B252" s="19">
        <v>40225</v>
      </c>
      <c r="C252" s="15">
        <v>2010</v>
      </c>
      <c r="D252" s="11" t="s">
        <v>28</v>
      </c>
      <c r="E252" s="15">
        <v>2</v>
      </c>
      <c r="F252" s="26">
        <v>8.0229999999999997</v>
      </c>
      <c r="G252" s="27">
        <v>1.0478338750000002</v>
      </c>
      <c r="H252" s="27">
        <v>0</v>
      </c>
      <c r="I252" s="27">
        <v>2.6461416249999994</v>
      </c>
      <c r="J252" s="27">
        <v>5.8846624999999993E-2</v>
      </c>
      <c r="K252" s="27">
        <v>0</v>
      </c>
    </row>
    <row r="253" spans="1:11">
      <c r="A253" s="15">
        <v>3</v>
      </c>
      <c r="B253" s="19">
        <v>40254</v>
      </c>
      <c r="C253" s="15">
        <v>2010</v>
      </c>
      <c r="D253" s="11" t="s">
        <v>29</v>
      </c>
      <c r="E253" s="15">
        <v>3</v>
      </c>
      <c r="F253" s="26">
        <v>6.298</v>
      </c>
      <c r="G253" s="27">
        <v>0.409045875</v>
      </c>
      <c r="H253" s="27">
        <v>0</v>
      </c>
      <c r="I253" s="27">
        <v>1.7316848749999996</v>
      </c>
      <c r="J253" s="27">
        <v>0.114169625</v>
      </c>
      <c r="K253" s="27">
        <v>0</v>
      </c>
    </row>
    <row r="254" spans="1:11">
      <c r="A254" s="15">
        <v>4</v>
      </c>
      <c r="B254" s="19">
        <v>40254</v>
      </c>
      <c r="C254" s="15">
        <v>2010</v>
      </c>
      <c r="D254" s="11" t="s">
        <v>29</v>
      </c>
      <c r="E254" s="15">
        <v>3</v>
      </c>
      <c r="F254" s="26">
        <v>5.4240000000000004</v>
      </c>
      <c r="G254" s="27">
        <v>0.46961950000000002</v>
      </c>
      <c r="H254" s="27">
        <v>0</v>
      </c>
      <c r="I254" s="27">
        <v>1.6037768750000001</v>
      </c>
      <c r="J254" s="27">
        <v>5.7121125000000002E-2</v>
      </c>
      <c r="K254" s="27">
        <v>0</v>
      </c>
    </row>
    <row r="255" spans="1:11">
      <c r="A255" s="15">
        <v>3</v>
      </c>
      <c r="B255" s="19">
        <v>40280</v>
      </c>
      <c r="C255" s="15">
        <v>2010</v>
      </c>
      <c r="D255" s="11" t="s">
        <v>30</v>
      </c>
      <c r="E255" s="15">
        <v>4</v>
      </c>
      <c r="F255" s="26">
        <v>9.4649999999999999</v>
      </c>
      <c r="G255" s="27">
        <v>2.8041234999999998</v>
      </c>
      <c r="H255" s="27">
        <v>0</v>
      </c>
      <c r="I255" s="27">
        <v>2.1246241250000004</v>
      </c>
      <c r="J255" s="27">
        <v>0.22768437499999999</v>
      </c>
      <c r="K255" s="27">
        <v>0</v>
      </c>
    </row>
    <row r="256" spans="1:11">
      <c r="A256" s="15">
        <v>4</v>
      </c>
      <c r="B256" s="19">
        <v>40280</v>
      </c>
      <c r="C256" s="15">
        <v>2010</v>
      </c>
      <c r="D256" s="11" t="s">
        <v>30</v>
      </c>
      <c r="E256" s="15">
        <v>4</v>
      </c>
      <c r="F256" s="26">
        <v>15.436999999999999</v>
      </c>
      <c r="G256" s="27">
        <v>2.4303068749999999</v>
      </c>
      <c r="H256" s="27">
        <v>0</v>
      </c>
      <c r="I256" s="27">
        <v>3.9888555000000001</v>
      </c>
      <c r="J256" s="27">
        <v>0.79852987499999983</v>
      </c>
      <c r="K256" s="27">
        <v>2.7586249999999994E-3</v>
      </c>
    </row>
    <row r="257" spans="1:11">
      <c r="A257" s="15">
        <v>3</v>
      </c>
      <c r="B257" s="22">
        <v>40315</v>
      </c>
      <c r="C257" s="15">
        <v>2010</v>
      </c>
      <c r="D257" s="11" t="s">
        <v>31</v>
      </c>
      <c r="E257" s="15">
        <v>5</v>
      </c>
      <c r="F257" s="28">
        <v>5.5709999999999997</v>
      </c>
      <c r="G257" s="27">
        <v>0.13100675000000001</v>
      </c>
      <c r="H257" s="27">
        <v>8.8547249999999994E-2</v>
      </c>
      <c r="I257" s="27">
        <v>1.0584173750000001</v>
      </c>
      <c r="J257" s="27">
        <v>1.6918322500000003</v>
      </c>
      <c r="K257" s="27">
        <v>2.7686875E-2</v>
      </c>
    </row>
    <row r="258" spans="1:11">
      <c r="A258" s="15">
        <v>4</v>
      </c>
      <c r="B258" s="22">
        <v>40315</v>
      </c>
      <c r="C258" s="15">
        <v>2010</v>
      </c>
      <c r="D258" s="11" t="s">
        <v>31</v>
      </c>
      <c r="E258" s="15">
        <v>5</v>
      </c>
      <c r="F258" s="28">
        <v>7.5839999999999996</v>
      </c>
      <c r="G258" s="27">
        <v>0.11898262499999998</v>
      </c>
      <c r="H258" s="27">
        <v>0</v>
      </c>
      <c r="I258" s="27">
        <v>1.0817613749999999</v>
      </c>
      <c r="J258" s="27">
        <v>2.7844369999999996</v>
      </c>
      <c r="K258" s="27">
        <v>0</v>
      </c>
    </row>
    <row r="259" spans="1:11">
      <c r="A259" s="15">
        <v>3</v>
      </c>
      <c r="B259" s="22">
        <v>40344</v>
      </c>
      <c r="C259" s="15">
        <v>2010</v>
      </c>
      <c r="D259" s="11" t="s">
        <v>32</v>
      </c>
      <c r="E259" s="15">
        <v>6</v>
      </c>
      <c r="F259" s="28">
        <v>12.952</v>
      </c>
      <c r="G259" s="27">
        <v>0.1816565</v>
      </c>
      <c r="H259" s="27">
        <v>9.4122750000000019E-2</v>
      </c>
      <c r="I259" s="27">
        <v>2.3841303749999998</v>
      </c>
      <c r="J259" s="27">
        <v>3.4183308749999997</v>
      </c>
      <c r="K259" s="27">
        <v>2.6467250000000001E-2</v>
      </c>
    </row>
    <row r="260" spans="1:11">
      <c r="A260" s="15">
        <v>4</v>
      </c>
      <c r="B260" s="22">
        <v>40344</v>
      </c>
      <c r="C260" s="15">
        <v>2010</v>
      </c>
      <c r="D260" s="11" t="s">
        <v>32</v>
      </c>
      <c r="E260" s="15">
        <v>6</v>
      </c>
      <c r="F260" s="28">
        <v>11.233000000000001</v>
      </c>
      <c r="G260" s="27">
        <v>0.12646450000000001</v>
      </c>
      <c r="H260" s="27">
        <v>9.2700624999999981E-2</v>
      </c>
      <c r="I260" s="27">
        <v>2.0427359999999997</v>
      </c>
      <c r="J260" s="27">
        <v>2.9776998749999994</v>
      </c>
      <c r="K260" s="27">
        <v>0</v>
      </c>
    </row>
    <row r="261" spans="1:11">
      <c r="A261" s="15">
        <v>3</v>
      </c>
      <c r="B261" s="22">
        <v>40371</v>
      </c>
      <c r="C261" s="15">
        <v>2010</v>
      </c>
      <c r="D261" s="11" t="s">
        <v>33</v>
      </c>
      <c r="E261" s="15">
        <v>7</v>
      </c>
      <c r="F261" s="28">
        <v>17.329999999999998</v>
      </c>
      <c r="G261" s="27">
        <v>0.18149337500000001</v>
      </c>
      <c r="H261" s="27">
        <v>0</v>
      </c>
      <c r="I261" s="27">
        <v>2.4477976249999998</v>
      </c>
      <c r="J261" s="27">
        <v>2.6977083749999999</v>
      </c>
      <c r="K261" s="27">
        <v>0</v>
      </c>
    </row>
    <row r="262" spans="1:11">
      <c r="A262" s="15">
        <v>4</v>
      </c>
      <c r="B262" s="22">
        <v>40371</v>
      </c>
      <c r="C262" s="15">
        <v>2010</v>
      </c>
      <c r="D262" s="11" t="s">
        <v>33</v>
      </c>
      <c r="E262" s="15">
        <v>7</v>
      </c>
      <c r="F262" s="28">
        <v>42.161000000000001</v>
      </c>
      <c r="G262" s="27">
        <v>0.19254350000000001</v>
      </c>
      <c r="H262" s="27">
        <v>0</v>
      </c>
      <c r="I262" s="27">
        <v>5.9843509999999993</v>
      </c>
      <c r="J262" s="27">
        <v>2.7444999999999995</v>
      </c>
      <c r="K262" s="27">
        <v>0</v>
      </c>
    </row>
    <row r="263" spans="1:11">
      <c r="A263" s="15">
        <v>3</v>
      </c>
      <c r="B263" s="22">
        <v>40407</v>
      </c>
      <c r="C263" s="15">
        <v>2010</v>
      </c>
      <c r="D263" s="11" t="s">
        <v>34</v>
      </c>
      <c r="E263" s="15">
        <v>8</v>
      </c>
      <c r="F263" s="28">
        <v>36.511000000000003</v>
      </c>
      <c r="G263" s="27">
        <v>0.57918199999999986</v>
      </c>
      <c r="H263" s="27">
        <v>7.5988249999999993E-2</v>
      </c>
      <c r="I263" s="27">
        <v>5.3900476250000002</v>
      </c>
      <c r="J263" s="27">
        <v>2.4320003749999994</v>
      </c>
      <c r="K263" s="27">
        <v>0</v>
      </c>
    </row>
    <row r="264" spans="1:11">
      <c r="A264" s="15">
        <v>4</v>
      </c>
      <c r="B264" s="22">
        <v>40407</v>
      </c>
      <c r="C264" s="15">
        <v>2010</v>
      </c>
      <c r="D264" s="11" t="s">
        <v>34</v>
      </c>
      <c r="E264" s="15">
        <v>8</v>
      </c>
      <c r="F264" s="28">
        <v>39.277000000000001</v>
      </c>
      <c r="G264" s="27">
        <v>0.28050675000000003</v>
      </c>
      <c r="H264" s="27">
        <v>0</v>
      </c>
      <c r="I264" s="27">
        <v>6.1853699999999989</v>
      </c>
      <c r="J264" s="27">
        <v>2.0605877499999998</v>
      </c>
      <c r="K264" s="27">
        <v>0</v>
      </c>
    </row>
    <row r="265" spans="1:11">
      <c r="A265" s="15">
        <v>3</v>
      </c>
      <c r="B265" s="22">
        <v>40436</v>
      </c>
      <c r="C265" s="15">
        <v>2010</v>
      </c>
      <c r="D265" s="11" t="s">
        <v>40</v>
      </c>
      <c r="E265" s="15">
        <v>9</v>
      </c>
      <c r="F265" s="28">
        <v>12.305</v>
      </c>
      <c r="G265" s="27">
        <v>0.25908649999999994</v>
      </c>
      <c r="H265" s="27">
        <v>0</v>
      </c>
      <c r="I265" s="27">
        <v>2.6206521249999999</v>
      </c>
      <c r="J265" s="27">
        <v>2.3948494999999999</v>
      </c>
      <c r="K265" s="27">
        <v>0</v>
      </c>
    </row>
    <row r="266" spans="1:11">
      <c r="A266" s="15">
        <v>4</v>
      </c>
      <c r="B266" s="22">
        <v>40436</v>
      </c>
      <c r="C266" s="15">
        <v>2010</v>
      </c>
      <c r="D266" s="11" t="s">
        <v>40</v>
      </c>
      <c r="E266" s="15">
        <v>9</v>
      </c>
      <c r="F266" s="28">
        <v>11.909000000000001</v>
      </c>
      <c r="G266" s="27">
        <v>0.17254675</v>
      </c>
      <c r="H266" s="27">
        <v>0</v>
      </c>
      <c r="I266" s="27">
        <v>1.7870163749999999</v>
      </c>
      <c r="J266" s="27">
        <v>2.8628699999999996</v>
      </c>
      <c r="K266" s="27">
        <v>0</v>
      </c>
    </row>
    <row r="267" spans="1:11">
      <c r="A267" s="15">
        <v>3</v>
      </c>
      <c r="B267" s="22">
        <v>40464</v>
      </c>
      <c r="C267" s="15">
        <v>2010</v>
      </c>
      <c r="D267" s="11" t="s">
        <v>36</v>
      </c>
      <c r="E267" s="15">
        <v>10</v>
      </c>
      <c r="F267" s="26">
        <v>7.3470000000000004</v>
      </c>
      <c r="G267" s="27">
        <v>4.3133999999999992E-2</v>
      </c>
      <c r="H267" s="27">
        <v>5.7864499999999992E-2</v>
      </c>
      <c r="I267" s="27">
        <v>1.2905875</v>
      </c>
      <c r="J267" s="27">
        <v>1.1432502499999999</v>
      </c>
      <c r="K267" s="27">
        <v>8.4402499999999978E-2</v>
      </c>
    </row>
    <row r="268" spans="1:11">
      <c r="A268" s="15">
        <v>4</v>
      </c>
      <c r="B268" s="22">
        <v>40464</v>
      </c>
      <c r="C268" s="15">
        <v>2010</v>
      </c>
      <c r="D268" s="11" t="s">
        <v>36</v>
      </c>
      <c r="E268" s="15">
        <v>10</v>
      </c>
      <c r="F268" s="26">
        <v>6.298</v>
      </c>
      <c r="G268" s="27">
        <v>7.0012249999999998E-2</v>
      </c>
      <c r="H268" s="27">
        <v>0</v>
      </c>
      <c r="I268" s="27">
        <v>0.84060562500000002</v>
      </c>
      <c r="J268" s="27">
        <v>1.6957875000000001E-2</v>
      </c>
      <c r="K268" s="27">
        <v>7.4771874999999988E-2</v>
      </c>
    </row>
    <row r="269" spans="1:11">
      <c r="A269" s="15">
        <v>3</v>
      </c>
      <c r="B269" s="22">
        <v>40498</v>
      </c>
      <c r="C269" s="15">
        <v>2010</v>
      </c>
      <c r="D269" s="11" t="s">
        <v>37</v>
      </c>
      <c r="E269" s="15">
        <v>11</v>
      </c>
      <c r="F269" s="26">
        <v>2.4590000000000001</v>
      </c>
      <c r="G269" s="27">
        <v>0</v>
      </c>
      <c r="H269" s="27">
        <v>0.17634249999999999</v>
      </c>
      <c r="I269" s="27">
        <v>0.82151887499999987</v>
      </c>
      <c r="J269" s="27">
        <v>0.14744825</v>
      </c>
      <c r="K269" s="27">
        <v>0</v>
      </c>
    </row>
    <row r="270" spans="1:11">
      <c r="A270" s="15">
        <v>4</v>
      </c>
      <c r="B270" s="22">
        <v>40498</v>
      </c>
      <c r="C270" s="15">
        <v>2010</v>
      </c>
      <c r="D270" s="11" t="s">
        <v>37</v>
      </c>
      <c r="E270" s="15">
        <v>11</v>
      </c>
      <c r="F270" s="26">
        <v>3.3050000000000002</v>
      </c>
      <c r="G270" s="27">
        <v>2.7931625000000005E-2</v>
      </c>
      <c r="H270" s="27">
        <v>0.24185712500000001</v>
      </c>
      <c r="I270" s="27">
        <v>1.0994356249999999</v>
      </c>
      <c r="J270" s="27">
        <v>0.28950637499999993</v>
      </c>
      <c r="K270" s="27">
        <v>0</v>
      </c>
    </row>
    <row r="271" spans="1:11">
      <c r="A271" s="15">
        <v>3</v>
      </c>
      <c r="B271" s="22">
        <v>40520</v>
      </c>
      <c r="C271" s="15">
        <v>2010</v>
      </c>
      <c r="D271" s="11" t="s">
        <v>38</v>
      </c>
      <c r="E271" s="15">
        <v>12</v>
      </c>
      <c r="F271" s="26">
        <v>4.07</v>
      </c>
      <c r="G271" s="27">
        <v>3.0719624999999997E-2</v>
      </c>
      <c r="H271" s="27">
        <v>0</v>
      </c>
      <c r="I271" s="27">
        <v>1.24378875</v>
      </c>
      <c r="J271" s="27">
        <v>0.24769474999999999</v>
      </c>
      <c r="K271" s="27">
        <v>0</v>
      </c>
    </row>
    <row r="272" spans="1:11">
      <c r="A272" s="15">
        <v>4</v>
      </c>
      <c r="B272" s="22">
        <v>40520</v>
      </c>
      <c r="C272" s="15">
        <v>2010</v>
      </c>
      <c r="D272" s="11" t="s">
        <v>38</v>
      </c>
      <c r="E272" s="15">
        <v>12</v>
      </c>
      <c r="F272" s="26">
        <v>5.391</v>
      </c>
      <c r="G272" s="27">
        <v>2.9317249999999996E-2</v>
      </c>
      <c r="H272" s="27">
        <v>4.8617249999999994E-2</v>
      </c>
      <c r="I272" s="27">
        <v>1.044755375</v>
      </c>
      <c r="J272" s="27">
        <v>0.62976262500000002</v>
      </c>
      <c r="K272" s="27">
        <v>3.1206999999999995E-2</v>
      </c>
    </row>
    <row r="273" spans="1:11">
      <c r="A273" s="15">
        <v>3</v>
      </c>
      <c r="B273" s="22">
        <v>40562</v>
      </c>
      <c r="C273" s="15">
        <v>2011</v>
      </c>
      <c r="D273" s="11" t="s">
        <v>39</v>
      </c>
      <c r="E273" s="15">
        <v>1</v>
      </c>
      <c r="F273" s="26">
        <v>2.028</v>
      </c>
      <c r="G273" s="27">
        <v>5.8456124999999984E-2</v>
      </c>
      <c r="H273" s="27">
        <v>0</v>
      </c>
      <c r="I273" s="27">
        <v>0.54023474999999987</v>
      </c>
      <c r="J273" s="27">
        <v>1.6859499999999999E-2</v>
      </c>
      <c r="K273" s="27">
        <v>0</v>
      </c>
    </row>
    <row r="274" spans="1:11">
      <c r="A274" s="15">
        <v>4</v>
      </c>
      <c r="B274" s="22">
        <v>40562</v>
      </c>
      <c r="C274" s="15">
        <v>2011</v>
      </c>
      <c r="D274" s="11" t="s">
        <v>39</v>
      </c>
      <c r="E274" s="15">
        <v>1</v>
      </c>
      <c r="F274" s="26">
        <v>3.573</v>
      </c>
      <c r="G274" s="27">
        <v>0.472232125</v>
      </c>
      <c r="H274" s="27">
        <v>2.3751499999999995E-2</v>
      </c>
      <c r="I274" s="27">
        <v>0.98375387500000011</v>
      </c>
      <c r="J274" s="27">
        <v>5.9377499999999993E-2</v>
      </c>
      <c r="K274" s="27">
        <v>0</v>
      </c>
    </row>
    <row r="275" spans="1:11">
      <c r="A275" s="15">
        <v>3</v>
      </c>
      <c r="B275" s="22">
        <v>40591</v>
      </c>
      <c r="C275" s="15">
        <v>2011</v>
      </c>
      <c r="D275" s="11" t="s">
        <v>28</v>
      </c>
      <c r="E275" s="15">
        <v>2</v>
      </c>
      <c r="F275" s="26">
        <v>3.3340000000000001</v>
      </c>
      <c r="G275" s="27">
        <v>0.12355012499999998</v>
      </c>
      <c r="H275" s="27">
        <v>0</v>
      </c>
      <c r="I275" s="27">
        <v>1.2335417500000001</v>
      </c>
      <c r="J275" s="27">
        <v>3.2053125000000002E-2</v>
      </c>
      <c r="K275" s="27">
        <v>0</v>
      </c>
    </row>
    <row r="276" spans="1:11">
      <c r="A276" s="15">
        <v>4</v>
      </c>
      <c r="B276" s="22">
        <v>40591</v>
      </c>
      <c r="C276" s="15">
        <v>2011</v>
      </c>
      <c r="D276" s="11" t="s">
        <v>28</v>
      </c>
      <c r="E276" s="15">
        <v>2</v>
      </c>
      <c r="F276" s="26">
        <v>3.585</v>
      </c>
      <c r="G276" s="27">
        <v>6.6023625000000016E-2</v>
      </c>
      <c r="H276" s="27">
        <v>3.1180125E-2</v>
      </c>
      <c r="I276" s="27">
        <v>1.275792875</v>
      </c>
      <c r="J276" s="27">
        <v>4.1405749999999998E-2</v>
      </c>
      <c r="K276" s="27">
        <v>0</v>
      </c>
    </row>
    <row r="277" spans="1:11">
      <c r="A277" s="15">
        <v>3</v>
      </c>
      <c r="B277" s="22">
        <v>40619</v>
      </c>
      <c r="C277" s="15">
        <v>2011</v>
      </c>
      <c r="D277" s="11" t="s">
        <v>29</v>
      </c>
      <c r="E277" s="15">
        <v>3</v>
      </c>
      <c r="F277" s="26">
        <v>1.425</v>
      </c>
      <c r="G277" s="27">
        <v>1.3918124999999998E-2</v>
      </c>
      <c r="H277" s="27">
        <v>0</v>
      </c>
      <c r="I277" s="27">
        <v>0.52614974999999997</v>
      </c>
      <c r="J277" s="27">
        <v>1.5196124999999998E-2</v>
      </c>
      <c r="K277" s="27">
        <v>0</v>
      </c>
    </row>
    <row r="278" spans="1:11">
      <c r="A278" s="15">
        <v>4</v>
      </c>
      <c r="B278" s="22">
        <v>40619</v>
      </c>
      <c r="C278" s="15">
        <v>2011</v>
      </c>
      <c r="D278" s="11" t="s">
        <v>29</v>
      </c>
      <c r="E278" s="15">
        <v>3</v>
      </c>
      <c r="F278" s="26">
        <v>1.968</v>
      </c>
      <c r="G278" s="27">
        <v>0</v>
      </c>
      <c r="H278" s="27">
        <v>0</v>
      </c>
      <c r="I278" s="27">
        <v>0.63691637499999998</v>
      </c>
      <c r="J278" s="27">
        <v>2.5884624999999998E-2</v>
      </c>
      <c r="K278" s="27">
        <v>0</v>
      </c>
    </row>
    <row r="279" spans="1:11">
      <c r="A279" s="15">
        <v>3</v>
      </c>
      <c r="B279" s="22">
        <v>40646</v>
      </c>
      <c r="C279" s="15">
        <v>2011</v>
      </c>
      <c r="D279" s="11" t="s">
        <v>30</v>
      </c>
      <c r="E279" s="15">
        <v>4</v>
      </c>
      <c r="F279" s="26">
        <v>1.224</v>
      </c>
      <c r="G279" s="27">
        <v>1.9985375000000003E-2</v>
      </c>
      <c r="H279" s="27">
        <v>0</v>
      </c>
      <c r="I279" s="27">
        <v>0.19420499999999996</v>
      </c>
      <c r="J279" s="27">
        <v>1.4498375000000001E-2</v>
      </c>
      <c r="K279" s="27">
        <v>0</v>
      </c>
    </row>
    <row r="280" spans="1:11">
      <c r="A280" s="15">
        <v>4</v>
      </c>
      <c r="B280" s="22">
        <v>40646</v>
      </c>
      <c r="C280" s="15">
        <v>2011</v>
      </c>
      <c r="D280" s="11" t="s">
        <v>30</v>
      </c>
      <c r="E280" s="15">
        <v>4</v>
      </c>
      <c r="F280" s="26">
        <v>2.0760000000000001</v>
      </c>
      <c r="G280" s="27">
        <v>6.4057874999999986E-2</v>
      </c>
      <c r="H280" s="27">
        <v>0</v>
      </c>
      <c r="I280" s="27">
        <v>0.37993587499999992</v>
      </c>
      <c r="J280" s="27">
        <v>2.1060875000000003E-2</v>
      </c>
      <c r="K280" s="27">
        <v>0</v>
      </c>
    </row>
    <row r="281" spans="1:11">
      <c r="A281" s="15">
        <v>3</v>
      </c>
      <c r="B281" s="22">
        <v>40681</v>
      </c>
      <c r="C281" s="15">
        <v>2011</v>
      </c>
      <c r="D281" s="11" t="s">
        <v>31</v>
      </c>
      <c r="E281" s="15">
        <v>5</v>
      </c>
      <c r="F281" s="26">
        <v>8.2690000000000001</v>
      </c>
      <c r="G281" s="27">
        <v>0.14795587499999999</v>
      </c>
      <c r="H281" s="27">
        <v>0.41504824999999995</v>
      </c>
      <c r="I281" s="27">
        <v>3.0238186249999996</v>
      </c>
      <c r="J281" s="27">
        <v>0.85285975000000003</v>
      </c>
      <c r="K281" s="27">
        <v>0</v>
      </c>
    </row>
    <row r="282" spans="1:11">
      <c r="A282" s="15">
        <v>4</v>
      </c>
      <c r="B282" s="22">
        <v>40681</v>
      </c>
      <c r="C282" s="15">
        <v>2011</v>
      </c>
      <c r="D282" s="11" t="s">
        <v>31</v>
      </c>
      <c r="E282" s="15">
        <v>5</v>
      </c>
      <c r="F282" s="26">
        <v>9.657</v>
      </c>
      <c r="G282" s="27">
        <v>8.2091500000000012E-2</v>
      </c>
      <c r="H282" s="27">
        <v>0.24517337499999997</v>
      </c>
      <c r="I282" s="27">
        <v>2.1833507499999998</v>
      </c>
      <c r="J282" s="27">
        <v>1.1446304999999999</v>
      </c>
      <c r="K282" s="27">
        <v>0</v>
      </c>
    </row>
    <row r="283" spans="1:11">
      <c r="A283" s="15">
        <v>3</v>
      </c>
      <c r="B283" s="22">
        <v>40708</v>
      </c>
      <c r="C283" s="15">
        <v>2011</v>
      </c>
      <c r="D283" s="11" t="s">
        <v>32</v>
      </c>
      <c r="E283" s="15">
        <v>6</v>
      </c>
      <c r="F283" s="26">
        <v>13.473000000000001</v>
      </c>
      <c r="G283" s="27">
        <v>0.29514224999999999</v>
      </c>
      <c r="H283" s="27">
        <v>4.9976E-2</v>
      </c>
      <c r="I283" s="27">
        <v>1.248499</v>
      </c>
      <c r="J283" s="27">
        <v>3.2974202500000001</v>
      </c>
      <c r="K283" s="27">
        <v>6.5750624999999993E-2</v>
      </c>
    </row>
    <row r="284" spans="1:11">
      <c r="A284" s="15">
        <v>4</v>
      </c>
      <c r="B284" s="22">
        <v>40708</v>
      </c>
      <c r="C284" s="15">
        <v>2011</v>
      </c>
      <c r="D284" s="11" t="s">
        <v>32</v>
      </c>
      <c r="E284" s="15">
        <v>6</v>
      </c>
      <c r="F284" s="26">
        <v>23.321999999999999</v>
      </c>
      <c r="G284" s="27">
        <v>0.27519599999999994</v>
      </c>
      <c r="H284" s="27">
        <v>0</v>
      </c>
      <c r="I284" s="27">
        <v>2.31533575</v>
      </c>
      <c r="J284" s="27">
        <v>4.1623101249999994</v>
      </c>
      <c r="K284" s="27">
        <v>0.1953975</v>
      </c>
    </row>
    <row r="285" spans="1:11">
      <c r="A285" s="15">
        <v>3</v>
      </c>
      <c r="B285" s="22">
        <v>40735</v>
      </c>
      <c r="C285" s="15">
        <v>2011</v>
      </c>
      <c r="D285" s="11" t="s">
        <v>33</v>
      </c>
      <c r="E285" s="15">
        <v>7</v>
      </c>
      <c r="F285" s="26">
        <v>13.723000000000001</v>
      </c>
      <c r="G285" s="27">
        <v>0.23055674999999998</v>
      </c>
      <c r="H285" s="27">
        <v>0</v>
      </c>
      <c r="I285" s="27">
        <v>1.4072488750000001</v>
      </c>
      <c r="J285" s="27">
        <v>1.9768267500000001</v>
      </c>
      <c r="K285" s="27">
        <v>2.9056999999999996E-2</v>
      </c>
    </row>
    <row r="286" spans="1:11">
      <c r="A286" s="15">
        <v>4</v>
      </c>
      <c r="B286" s="22">
        <v>40735</v>
      </c>
      <c r="C286" s="15">
        <v>2011</v>
      </c>
      <c r="D286" s="11" t="s">
        <v>33</v>
      </c>
      <c r="E286" s="15">
        <v>7</v>
      </c>
      <c r="F286" s="26">
        <v>24.536000000000001</v>
      </c>
      <c r="G286" s="27">
        <v>0.17779362500000001</v>
      </c>
      <c r="H286" s="27">
        <v>0</v>
      </c>
      <c r="I286" s="27">
        <v>2.9786837500000001</v>
      </c>
      <c r="J286" s="27">
        <v>2.1302352500000001</v>
      </c>
      <c r="K286" s="27">
        <v>6.8544750000000002E-2</v>
      </c>
    </row>
    <row r="287" spans="1:11">
      <c r="A287" s="15">
        <v>3</v>
      </c>
      <c r="B287" s="22">
        <v>40771</v>
      </c>
      <c r="C287" s="15">
        <v>2011</v>
      </c>
      <c r="D287" s="11" t="s">
        <v>34</v>
      </c>
      <c r="E287" s="15">
        <v>8</v>
      </c>
      <c r="F287" s="26">
        <v>25.713000000000001</v>
      </c>
      <c r="G287" s="27">
        <v>0.55253062500000005</v>
      </c>
      <c r="H287" s="27">
        <v>0</v>
      </c>
      <c r="I287" s="27">
        <v>3.39935425</v>
      </c>
      <c r="J287" s="27">
        <v>2.7718526250000002</v>
      </c>
      <c r="K287" s="27">
        <v>0</v>
      </c>
    </row>
    <row r="288" spans="1:11">
      <c r="A288" s="15">
        <v>4</v>
      </c>
      <c r="B288" s="22">
        <v>40771</v>
      </c>
      <c r="C288" s="15">
        <v>2011</v>
      </c>
      <c r="D288" s="11" t="s">
        <v>34</v>
      </c>
      <c r="E288" s="15">
        <v>8</v>
      </c>
      <c r="F288" s="26">
        <v>36.332999999999998</v>
      </c>
      <c r="G288" s="27">
        <v>0.306757</v>
      </c>
      <c r="H288" s="27">
        <v>0</v>
      </c>
      <c r="I288" s="27">
        <v>4.4233015</v>
      </c>
      <c r="J288" s="27">
        <v>2.6231318749999999</v>
      </c>
      <c r="K288" s="27">
        <v>8.7321375000000007E-2</v>
      </c>
    </row>
    <row r="289" spans="1:11">
      <c r="A289" s="15">
        <v>3</v>
      </c>
      <c r="B289" s="22">
        <v>40799</v>
      </c>
      <c r="C289" s="15">
        <v>2011</v>
      </c>
      <c r="D289" s="11" t="s">
        <v>40</v>
      </c>
      <c r="E289" s="15">
        <v>9</v>
      </c>
      <c r="F289" s="26">
        <v>12.509</v>
      </c>
      <c r="G289" s="27">
        <v>0.28372262499999995</v>
      </c>
      <c r="H289" s="27">
        <v>0</v>
      </c>
      <c r="I289" s="27">
        <v>2.8640379999999999</v>
      </c>
      <c r="J289" s="27">
        <v>2.2940828750000004</v>
      </c>
      <c r="K289" s="27">
        <v>0</v>
      </c>
    </row>
    <row r="290" spans="1:11">
      <c r="A290" s="15">
        <v>4</v>
      </c>
      <c r="B290" s="22">
        <v>40799</v>
      </c>
      <c r="C290" s="15">
        <v>2011</v>
      </c>
      <c r="D290" s="11" t="s">
        <v>40</v>
      </c>
      <c r="E290" s="15">
        <v>9</v>
      </c>
      <c r="F290" s="26">
        <v>13.537000000000001</v>
      </c>
      <c r="G290" s="27">
        <v>0.33295412499999999</v>
      </c>
      <c r="H290" s="27">
        <v>0</v>
      </c>
      <c r="I290" s="27">
        <v>2.2538186250000001</v>
      </c>
      <c r="J290" s="27">
        <v>2.4102328750000002</v>
      </c>
      <c r="K290" s="27">
        <v>4.5336750000000002E-2</v>
      </c>
    </row>
    <row r="291" spans="1:11">
      <c r="A291" s="15">
        <v>3</v>
      </c>
      <c r="B291" s="22">
        <v>40827</v>
      </c>
      <c r="C291" s="15">
        <v>2011</v>
      </c>
      <c r="D291" s="11" t="s">
        <v>36</v>
      </c>
      <c r="E291" s="15">
        <v>10</v>
      </c>
      <c r="F291" s="28">
        <v>6.3570000000000002</v>
      </c>
      <c r="G291" s="27">
        <v>0.47409424999999999</v>
      </c>
      <c r="H291" s="27">
        <v>0</v>
      </c>
      <c r="I291" s="27">
        <v>0.87871737500000002</v>
      </c>
      <c r="J291" s="27">
        <v>0.80697200000000002</v>
      </c>
      <c r="K291" s="27">
        <v>0</v>
      </c>
    </row>
    <row r="292" spans="1:11">
      <c r="A292" s="15">
        <v>4</v>
      </c>
      <c r="B292" s="22">
        <v>40827</v>
      </c>
      <c r="C292" s="15">
        <v>2011</v>
      </c>
      <c r="D292" s="11" t="s">
        <v>36</v>
      </c>
      <c r="E292" s="15">
        <v>10</v>
      </c>
      <c r="F292" s="28">
        <v>7.4740000000000002</v>
      </c>
      <c r="G292" s="27">
        <v>1.1062578750000001</v>
      </c>
      <c r="H292" s="27">
        <v>0</v>
      </c>
      <c r="I292" s="27">
        <v>1.0528598750000002</v>
      </c>
      <c r="J292" s="27">
        <v>0.94507324999999975</v>
      </c>
      <c r="K292" s="27">
        <v>0</v>
      </c>
    </row>
    <row r="293" spans="1:11">
      <c r="A293" s="15">
        <v>3</v>
      </c>
      <c r="B293" s="29">
        <v>40862</v>
      </c>
      <c r="C293" s="15">
        <v>2011</v>
      </c>
      <c r="D293" s="11" t="s">
        <v>37</v>
      </c>
      <c r="E293" s="15">
        <v>11</v>
      </c>
      <c r="F293" s="28">
        <v>4.6079999999999997</v>
      </c>
      <c r="G293" s="27">
        <v>0.35183624999999996</v>
      </c>
      <c r="H293" s="27">
        <v>0</v>
      </c>
      <c r="I293" s="27">
        <v>1.0570295000000001</v>
      </c>
      <c r="J293" s="27">
        <v>0.10807537499999999</v>
      </c>
      <c r="K293" s="27">
        <v>0</v>
      </c>
    </row>
    <row r="294" spans="1:11">
      <c r="A294" s="15">
        <v>4</v>
      </c>
      <c r="B294" s="29">
        <v>40862</v>
      </c>
      <c r="C294" s="15">
        <v>2011</v>
      </c>
      <c r="D294" s="11" t="s">
        <v>37</v>
      </c>
      <c r="E294" s="15">
        <v>11</v>
      </c>
      <c r="F294" s="28">
        <v>6.5940000000000003</v>
      </c>
      <c r="G294" s="27">
        <v>0.17171025000000001</v>
      </c>
      <c r="H294" s="27">
        <v>0</v>
      </c>
      <c r="I294" s="27">
        <v>0.62483562500000001</v>
      </c>
      <c r="J294" s="27">
        <v>0.30730037500000001</v>
      </c>
      <c r="K294" s="27">
        <v>0</v>
      </c>
    </row>
    <row r="295" spans="1:11">
      <c r="A295" s="15">
        <v>3</v>
      </c>
      <c r="B295" s="29">
        <v>40890</v>
      </c>
      <c r="C295" s="15">
        <v>2011</v>
      </c>
      <c r="D295" s="11" t="s">
        <v>38</v>
      </c>
      <c r="E295" s="15">
        <v>12</v>
      </c>
      <c r="F295" s="28">
        <v>5.1929999999999996</v>
      </c>
      <c r="G295" s="27">
        <v>0.79110699999999989</v>
      </c>
      <c r="H295" s="27">
        <v>0</v>
      </c>
      <c r="I295" s="27">
        <v>1.2482498750000002</v>
      </c>
      <c r="J295" s="27">
        <v>2.9202875E-2</v>
      </c>
      <c r="K295" s="27">
        <v>0</v>
      </c>
    </row>
    <row r="296" spans="1:11">
      <c r="A296" s="15">
        <v>4</v>
      </c>
      <c r="B296" s="29">
        <v>40890</v>
      </c>
      <c r="C296" s="15">
        <v>2011</v>
      </c>
      <c r="D296" s="11" t="s">
        <v>38</v>
      </c>
      <c r="E296" s="15">
        <v>12</v>
      </c>
      <c r="F296" s="28">
        <v>10.423999999999999</v>
      </c>
      <c r="G296" s="27">
        <v>0.42844274999999993</v>
      </c>
      <c r="H296" s="27">
        <v>0</v>
      </c>
      <c r="I296" s="27">
        <v>3.7892349999999997</v>
      </c>
      <c r="J296" s="27">
        <v>7.1412374999999986E-2</v>
      </c>
      <c r="K296" s="27">
        <v>0</v>
      </c>
    </row>
    <row r="297" spans="1:11">
      <c r="A297" s="15">
        <v>3</v>
      </c>
      <c r="B297" s="22">
        <v>40917</v>
      </c>
      <c r="C297" s="15">
        <v>2012</v>
      </c>
      <c r="D297" s="11" t="s">
        <v>39</v>
      </c>
      <c r="E297" s="15">
        <v>1</v>
      </c>
      <c r="F297" s="30">
        <v>6.7110000000000003</v>
      </c>
      <c r="G297" s="27">
        <v>0.18830062500000003</v>
      </c>
      <c r="H297" s="27">
        <v>0</v>
      </c>
      <c r="I297" s="27">
        <v>2.5395184999999998</v>
      </c>
      <c r="J297" s="27">
        <v>3.0347875000000003E-2</v>
      </c>
      <c r="K297" s="27">
        <v>0</v>
      </c>
    </row>
    <row r="298" spans="1:11">
      <c r="A298" s="15">
        <v>4</v>
      </c>
      <c r="B298" s="22">
        <v>40917</v>
      </c>
      <c r="C298" s="15">
        <v>2012</v>
      </c>
      <c r="D298" s="11" t="s">
        <v>39</v>
      </c>
      <c r="E298" s="15">
        <v>1</v>
      </c>
      <c r="F298" s="30">
        <v>9.3879999999999999</v>
      </c>
      <c r="G298" s="27">
        <v>0.3634135</v>
      </c>
      <c r="H298" s="27">
        <v>0</v>
      </c>
      <c r="I298" s="27">
        <v>3.2562108749999998</v>
      </c>
      <c r="J298" s="27">
        <v>6.3706125000000002E-2</v>
      </c>
      <c r="K298" s="27">
        <v>0</v>
      </c>
    </row>
    <row r="299" spans="1:11">
      <c r="A299" s="15">
        <v>3</v>
      </c>
      <c r="B299" s="22">
        <v>40962</v>
      </c>
      <c r="C299" s="15">
        <v>2012</v>
      </c>
      <c r="D299" s="11" t="s">
        <v>28</v>
      </c>
      <c r="E299" s="15">
        <v>2</v>
      </c>
      <c r="F299" s="30">
        <v>2.6509999999999998</v>
      </c>
      <c r="G299" s="27">
        <v>0.22802949999999997</v>
      </c>
      <c r="H299" s="27">
        <v>0</v>
      </c>
      <c r="I299" s="27">
        <v>0.93506237499999989</v>
      </c>
      <c r="J299" s="27">
        <v>5.0204124999999995E-2</v>
      </c>
      <c r="K299" s="27">
        <v>0</v>
      </c>
    </row>
    <row r="300" spans="1:11">
      <c r="A300" s="15">
        <v>4</v>
      </c>
      <c r="B300" s="22">
        <v>40962</v>
      </c>
      <c r="C300" s="15">
        <v>2012</v>
      </c>
      <c r="D300" s="11" t="s">
        <v>28</v>
      </c>
      <c r="E300" s="15">
        <v>2</v>
      </c>
      <c r="F300" s="30">
        <v>6.0960000000000001</v>
      </c>
      <c r="G300" s="27">
        <v>0.29854362499999998</v>
      </c>
      <c r="H300" s="27">
        <v>6.2841250000000001E-2</v>
      </c>
      <c r="I300" s="27">
        <v>2.2948089999999999</v>
      </c>
      <c r="J300" s="27">
        <v>7.1795874999999981E-2</v>
      </c>
      <c r="K300" s="27">
        <v>0</v>
      </c>
    </row>
    <row r="301" spans="1:11">
      <c r="A301" s="15">
        <v>3</v>
      </c>
      <c r="B301" s="22">
        <v>40980</v>
      </c>
      <c r="C301" s="15">
        <v>2012</v>
      </c>
      <c r="D301" s="11" t="s">
        <v>29</v>
      </c>
      <c r="E301" s="15">
        <v>3</v>
      </c>
      <c r="F301" s="30">
        <v>6.5469999999999997</v>
      </c>
      <c r="G301" s="27">
        <v>0.42439512499999998</v>
      </c>
      <c r="H301" s="27">
        <v>5.1406999999999994E-2</v>
      </c>
      <c r="I301" s="27">
        <v>2.277466875</v>
      </c>
      <c r="J301" s="27">
        <v>0.12208924999999998</v>
      </c>
      <c r="K301" s="27">
        <v>2.1304375E-2</v>
      </c>
    </row>
    <row r="302" spans="1:11">
      <c r="A302" s="15">
        <v>4</v>
      </c>
      <c r="B302" s="22">
        <v>40980</v>
      </c>
      <c r="C302" s="15">
        <v>2012</v>
      </c>
      <c r="D302" s="11" t="s">
        <v>29</v>
      </c>
      <c r="E302" s="15">
        <v>3</v>
      </c>
      <c r="F302" s="30">
        <v>15.337</v>
      </c>
      <c r="G302" s="27">
        <v>0.56647712499999991</v>
      </c>
      <c r="H302" s="27">
        <v>0</v>
      </c>
      <c r="I302" s="27">
        <v>6.0420342499999995</v>
      </c>
      <c r="J302" s="27">
        <v>0.15693699999999997</v>
      </c>
      <c r="K302" s="27">
        <v>0</v>
      </c>
    </row>
    <row r="303" spans="1:11">
      <c r="A303" s="15">
        <v>3</v>
      </c>
      <c r="B303" s="22">
        <v>41015</v>
      </c>
      <c r="C303" s="15">
        <v>2012</v>
      </c>
      <c r="D303" s="11" t="s">
        <v>30</v>
      </c>
      <c r="E303" s="15">
        <v>4</v>
      </c>
      <c r="F303" s="26">
        <v>2.4620000000000002</v>
      </c>
      <c r="G303" s="27">
        <v>1.2205124999999999E-2</v>
      </c>
      <c r="H303" s="27">
        <v>2.7273749999999992E-2</v>
      </c>
      <c r="I303" s="27">
        <v>0.85935549999999983</v>
      </c>
      <c r="J303" s="27">
        <v>2.5421624999999996E-2</v>
      </c>
      <c r="K303" s="27">
        <v>6.9125000000000002E-3</v>
      </c>
    </row>
    <row r="304" spans="1:11">
      <c r="A304" s="15">
        <v>4</v>
      </c>
      <c r="B304" s="22">
        <v>41015</v>
      </c>
      <c r="C304" s="15">
        <v>2012</v>
      </c>
      <c r="D304" s="11" t="s">
        <v>30</v>
      </c>
      <c r="E304" s="15">
        <v>4</v>
      </c>
      <c r="F304" s="26">
        <v>5.9409999999999998</v>
      </c>
      <c r="G304" s="27">
        <v>0.12113249999999999</v>
      </c>
      <c r="H304" s="27">
        <v>9.8431000000000005E-2</v>
      </c>
      <c r="I304" s="27">
        <v>2.1616258749999999</v>
      </c>
      <c r="J304" s="27">
        <v>9.3197874999999999E-2</v>
      </c>
      <c r="K304" s="27">
        <v>4.4165000000000003E-2</v>
      </c>
    </row>
    <row r="305" spans="1:11">
      <c r="A305" s="15">
        <v>3</v>
      </c>
      <c r="B305" s="22">
        <v>41045</v>
      </c>
      <c r="C305" s="15">
        <v>2012</v>
      </c>
      <c r="D305" s="11" t="s">
        <v>31</v>
      </c>
      <c r="E305" s="15">
        <v>5</v>
      </c>
      <c r="F305" s="26">
        <v>12.733000000000001</v>
      </c>
      <c r="G305" s="27">
        <v>0.12536375</v>
      </c>
      <c r="H305" s="27">
        <v>0</v>
      </c>
      <c r="I305" s="27">
        <v>6.2965222499999998</v>
      </c>
      <c r="J305" s="27">
        <v>0.49118974999999998</v>
      </c>
      <c r="K305" s="27">
        <v>0</v>
      </c>
    </row>
    <row r="306" spans="1:11">
      <c r="A306" s="15">
        <v>4</v>
      </c>
      <c r="B306" s="22">
        <v>41045</v>
      </c>
      <c r="C306" s="15">
        <v>2012</v>
      </c>
      <c r="D306" s="11" t="s">
        <v>31</v>
      </c>
      <c r="E306" s="15">
        <v>5</v>
      </c>
      <c r="F306" s="26">
        <v>10.210000000000001</v>
      </c>
      <c r="G306" s="27">
        <v>0.38488112499999988</v>
      </c>
      <c r="H306" s="27">
        <v>0</v>
      </c>
      <c r="I306" s="27">
        <v>3.6210641249999997</v>
      </c>
      <c r="J306" s="27">
        <v>1.31709575</v>
      </c>
      <c r="K306" s="27">
        <v>0</v>
      </c>
    </row>
    <row r="307" spans="1:11">
      <c r="A307" s="15">
        <v>3</v>
      </c>
      <c r="B307" s="22">
        <v>41073</v>
      </c>
      <c r="C307" s="15">
        <v>2012</v>
      </c>
      <c r="D307" s="11" t="s">
        <v>32</v>
      </c>
      <c r="E307" s="15">
        <v>6</v>
      </c>
      <c r="F307" s="26">
        <v>22.74</v>
      </c>
      <c r="G307" s="27">
        <v>0.39296862499999996</v>
      </c>
      <c r="H307" s="27">
        <v>0.19140149999999997</v>
      </c>
      <c r="I307" s="27">
        <v>5.9639781249999997</v>
      </c>
      <c r="J307" s="27">
        <v>2.144333375</v>
      </c>
      <c r="K307" s="27">
        <v>0</v>
      </c>
    </row>
    <row r="308" spans="1:11">
      <c r="A308" s="15">
        <v>4</v>
      </c>
      <c r="B308" s="22">
        <v>41073</v>
      </c>
      <c r="C308" s="15">
        <v>2012</v>
      </c>
      <c r="D308" s="11" t="s">
        <v>32</v>
      </c>
      <c r="E308" s="15">
        <v>6</v>
      </c>
      <c r="F308" s="26">
        <v>24.302</v>
      </c>
      <c r="G308" s="27">
        <v>0.21859950000000003</v>
      </c>
      <c r="H308" s="27">
        <v>0.18716187500000001</v>
      </c>
      <c r="I308" s="27">
        <v>4.309809875</v>
      </c>
      <c r="J308" s="27">
        <v>2.7247129999999995</v>
      </c>
      <c r="K308" s="27">
        <v>0</v>
      </c>
    </row>
    <row r="309" spans="1:11">
      <c r="A309" s="15">
        <v>3</v>
      </c>
      <c r="B309" s="22">
        <v>41107</v>
      </c>
      <c r="C309" s="15">
        <v>2012</v>
      </c>
      <c r="D309" s="11" t="s">
        <v>33</v>
      </c>
      <c r="E309" s="15">
        <v>7</v>
      </c>
      <c r="F309" s="26">
        <v>27.895</v>
      </c>
      <c r="G309" s="27">
        <v>7.345587499999999E-2</v>
      </c>
      <c r="H309" s="27">
        <v>0</v>
      </c>
      <c r="I309" s="27">
        <v>4.0007642499999996</v>
      </c>
      <c r="J309" s="27">
        <v>2.0790606249999999</v>
      </c>
      <c r="K309" s="27">
        <v>5.9962124999999998E-2</v>
      </c>
    </row>
    <row r="310" spans="1:11">
      <c r="A310" s="15">
        <v>4</v>
      </c>
      <c r="B310" s="22">
        <v>41107</v>
      </c>
      <c r="C310" s="15">
        <v>2012</v>
      </c>
      <c r="D310" s="11" t="s">
        <v>33</v>
      </c>
      <c r="E310" s="15">
        <v>7</v>
      </c>
      <c r="F310" s="26">
        <v>43.258000000000003</v>
      </c>
      <c r="G310" s="27">
        <v>0.20906862499999998</v>
      </c>
      <c r="H310" s="27">
        <v>0</v>
      </c>
      <c r="I310" s="27">
        <v>6.2354525000000001</v>
      </c>
      <c r="J310" s="27">
        <v>2.118975625</v>
      </c>
      <c r="K310" s="27">
        <v>0</v>
      </c>
    </row>
    <row r="311" spans="1:11">
      <c r="A311" s="15">
        <v>3</v>
      </c>
      <c r="B311" s="22">
        <v>41135</v>
      </c>
      <c r="C311" s="15">
        <v>2012</v>
      </c>
      <c r="D311" s="11" t="s">
        <v>34</v>
      </c>
      <c r="E311" s="15">
        <v>8</v>
      </c>
      <c r="F311" s="26">
        <v>19.334</v>
      </c>
      <c r="G311" s="27">
        <v>0.50147724999999999</v>
      </c>
      <c r="H311" s="27">
        <v>0</v>
      </c>
      <c r="I311" s="27">
        <v>4.6460663749999993</v>
      </c>
      <c r="J311" s="27">
        <v>1.3013157499999999</v>
      </c>
      <c r="K311" s="27">
        <v>0</v>
      </c>
    </row>
    <row r="312" spans="1:11">
      <c r="A312" s="15">
        <v>4</v>
      </c>
      <c r="B312" s="22">
        <v>41135</v>
      </c>
      <c r="C312" s="15">
        <v>2012</v>
      </c>
      <c r="D312" s="11" t="s">
        <v>34</v>
      </c>
      <c r="E312" s="15">
        <v>8</v>
      </c>
      <c r="F312" s="26">
        <v>33.441000000000003</v>
      </c>
      <c r="G312" s="27">
        <v>0.73647099999999999</v>
      </c>
      <c r="H312" s="27">
        <v>0</v>
      </c>
      <c r="I312" s="27">
        <v>15.141437499999999</v>
      </c>
      <c r="J312" s="27">
        <v>2.83700675</v>
      </c>
      <c r="K312" s="27">
        <v>0</v>
      </c>
    </row>
    <row r="313" spans="1:11">
      <c r="A313" s="15">
        <v>3</v>
      </c>
      <c r="B313" s="22">
        <v>41164</v>
      </c>
      <c r="C313" s="15">
        <v>2012</v>
      </c>
      <c r="D313" s="11" t="s">
        <v>40</v>
      </c>
      <c r="E313" s="15">
        <v>9</v>
      </c>
      <c r="F313" s="26">
        <v>19.472000000000001</v>
      </c>
      <c r="G313" s="27">
        <v>0</v>
      </c>
      <c r="H313" s="27">
        <v>0</v>
      </c>
      <c r="I313" s="27">
        <v>12.676731999999999</v>
      </c>
      <c r="J313" s="27">
        <v>1.2862413749999997</v>
      </c>
      <c r="K313" s="27">
        <v>0</v>
      </c>
    </row>
    <row r="314" spans="1:11">
      <c r="A314" s="15">
        <v>4</v>
      </c>
      <c r="B314" s="22">
        <v>41164</v>
      </c>
      <c r="C314" s="15">
        <v>2012</v>
      </c>
      <c r="D314" s="11" t="s">
        <v>40</v>
      </c>
      <c r="E314" s="15">
        <v>9</v>
      </c>
      <c r="F314" s="26">
        <v>18.593</v>
      </c>
      <c r="G314" s="27">
        <v>0</v>
      </c>
      <c r="H314" s="27">
        <v>0</v>
      </c>
      <c r="I314" s="27">
        <v>9.5181242499999996</v>
      </c>
      <c r="J314" s="27">
        <v>1.9290476249999995</v>
      </c>
      <c r="K314" s="27">
        <v>0</v>
      </c>
    </row>
    <row r="315" spans="1:11">
      <c r="A315" s="15">
        <v>3</v>
      </c>
      <c r="B315" s="22">
        <v>41199</v>
      </c>
      <c r="C315" s="15">
        <v>2012</v>
      </c>
      <c r="D315" s="11" t="s">
        <v>36</v>
      </c>
      <c r="E315" s="15">
        <v>10</v>
      </c>
      <c r="F315" s="26">
        <v>6.8479999999999999</v>
      </c>
      <c r="G315" s="27">
        <v>0.23888724999999997</v>
      </c>
      <c r="H315" s="27">
        <v>2.6958375E-2</v>
      </c>
      <c r="I315" s="27">
        <v>1.4885418749999999</v>
      </c>
      <c r="J315" s="27">
        <v>0.29776825000000007</v>
      </c>
      <c r="K315" s="27">
        <v>0</v>
      </c>
    </row>
    <row r="316" spans="1:11">
      <c r="A316" s="15">
        <v>4</v>
      </c>
      <c r="B316" s="22">
        <v>41199</v>
      </c>
      <c r="C316" s="15">
        <v>2012</v>
      </c>
      <c r="D316" s="11" t="s">
        <v>36</v>
      </c>
      <c r="E316" s="15">
        <v>10</v>
      </c>
      <c r="F316" s="26">
        <v>7.2439999999999998</v>
      </c>
      <c r="G316" s="27">
        <v>0.13697099999999998</v>
      </c>
      <c r="H316" s="27">
        <v>0</v>
      </c>
      <c r="I316" s="27">
        <v>1.9203711249999997</v>
      </c>
      <c r="J316" s="27">
        <v>0.55303024999999995</v>
      </c>
      <c r="K316" s="27">
        <v>0</v>
      </c>
    </row>
    <row r="317" spans="1:11">
      <c r="A317" s="15">
        <v>3</v>
      </c>
      <c r="B317" s="22">
        <v>41225</v>
      </c>
      <c r="C317" s="15">
        <v>2012</v>
      </c>
      <c r="D317" s="11" t="s">
        <v>37</v>
      </c>
      <c r="E317" s="15">
        <v>11</v>
      </c>
      <c r="F317" s="26">
        <v>4.1420000000000003</v>
      </c>
      <c r="G317" s="27">
        <v>7.2264250000000002E-2</v>
      </c>
      <c r="H317" s="27">
        <v>0</v>
      </c>
      <c r="I317" s="27">
        <v>1.28875925</v>
      </c>
      <c r="J317" s="27">
        <v>3.3971500000000002E-2</v>
      </c>
      <c r="K317" s="27">
        <v>0</v>
      </c>
    </row>
    <row r="318" spans="1:11">
      <c r="A318" s="15">
        <v>4</v>
      </c>
      <c r="B318" s="22">
        <v>41225</v>
      </c>
      <c r="C318" s="15">
        <v>2012</v>
      </c>
      <c r="D318" s="11" t="s">
        <v>37</v>
      </c>
      <c r="E318" s="15">
        <v>11</v>
      </c>
      <c r="F318" s="26">
        <v>9.0389999999999997</v>
      </c>
      <c r="G318" s="27">
        <v>0.22180937499999998</v>
      </c>
      <c r="H318" s="27">
        <v>0</v>
      </c>
      <c r="I318" s="27">
        <v>1.40424675</v>
      </c>
      <c r="J318" s="27">
        <v>5.9882124999999994E-2</v>
      </c>
      <c r="K318" s="27">
        <v>0</v>
      </c>
    </row>
    <row r="319" spans="1:11">
      <c r="A319" s="15">
        <v>3</v>
      </c>
      <c r="B319" s="22">
        <v>41254</v>
      </c>
      <c r="C319" s="15">
        <v>2012</v>
      </c>
      <c r="D319" s="11" t="s">
        <v>38</v>
      </c>
      <c r="E319" s="15">
        <v>12</v>
      </c>
      <c r="F319" s="26">
        <v>3.298</v>
      </c>
      <c r="G319" s="27">
        <v>0.27782562499999996</v>
      </c>
      <c r="H319" s="27">
        <v>0</v>
      </c>
      <c r="I319" s="27">
        <v>0.89269899999999991</v>
      </c>
      <c r="J319" s="27">
        <v>1.8053625E-2</v>
      </c>
      <c r="K319" s="27">
        <v>0</v>
      </c>
    </row>
    <row r="320" spans="1:11">
      <c r="A320" s="15">
        <v>4</v>
      </c>
      <c r="B320" s="22">
        <v>41254</v>
      </c>
      <c r="C320" s="15">
        <v>2012</v>
      </c>
      <c r="D320" s="11" t="s">
        <v>38</v>
      </c>
      <c r="E320" s="15">
        <v>12</v>
      </c>
      <c r="F320" s="26">
        <v>3.2759999999999998</v>
      </c>
      <c r="G320" s="27">
        <v>0.39074774999999995</v>
      </c>
      <c r="H320" s="27">
        <v>0</v>
      </c>
      <c r="I320" s="27">
        <v>0.9113031250000001</v>
      </c>
      <c r="J320" s="27">
        <v>1.0066624999999997E-2</v>
      </c>
      <c r="K320" s="27">
        <v>0</v>
      </c>
    </row>
    <row r="321" spans="1:11">
      <c r="A321" s="15">
        <v>3</v>
      </c>
      <c r="B321" s="22">
        <v>41288</v>
      </c>
      <c r="C321" s="15">
        <v>2013</v>
      </c>
      <c r="D321" s="11" t="s">
        <v>39</v>
      </c>
      <c r="E321" s="15">
        <v>1</v>
      </c>
      <c r="F321" s="26">
        <v>6.7839999999999998</v>
      </c>
      <c r="G321" s="27">
        <v>0.16767687499999995</v>
      </c>
      <c r="H321" s="27">
        <v>0</v>
      </c>
      <c r="I321" s="27">
        <v>3.8867686250000006</v>
      </c>
      <c r="J321" s="27">
        <v>1.9724374999999999E-2</v>
      </c>
      <c r="K321" s="27">
        <v>0</v>
      </c>
    </row>
    <row r="322" spans="1:11">
      <c r="A322" s="15">
        <v>4</v>
      </c>
      <c r="B322" s="22">
        <v>41288</v>
      </c>
      <c r="C322" s="15">
        <v>2013</v>
      </c>
      <c r="D322" s="11" t="s">
        <v>39</v>
      </c>
      <c r="E322" s="15">
        <v>1</v>
      </c>
      <c r="F322" s="26">
        <v>9.7349999999999994</v>
      </c>
      <c r="G322" s="27">
        <v>0.8270377499999999</v>
      </c>
      <c r="H322" s="27">
        <v>0</v>
      </c>
      <c r="I322" s="27">
        <v>4.6814334999999998</v>
      </c>
      <c r="J322" s="27">
        <v>2.7271125E-2</v>
      </c>
      <c r="K322" s="27">
        <v>0</v>
      </c>
    </row>
    <row r="323" spans="1:11">
      <c r="A323" s="15">
        <v>3</v>
      </c>
      <c r="B323" s="22">
        <v>41318</v>
      </c>
      <c r="C323" s="15">
        <v>2013</v>
      </c>
      <c r="D323" s="11" t="s">
        <v>28</v>
      </c>
      <c r="E323" s="15">
        <v>2</v>
      </c>
      <c r="F323" s="31">
        <v>16.471</v>
      </c>
      <c r="G323" s="27">
        <v>0.47085987500000004</v>
      </c>
      <c r="H323" s="27">
        <v>0</v>
      </c>
      <c r="I323" s="27">
        <v>8.9382391250000026</v>
      </c>
      <c r="J323" s="27">
        <v>4.5777249999999998E-2</v>
      </c>
      <c r="K323" s="27">
        <v>0</v>
      </c>
    </row>
    <row r="324" spans="1:11">
      <c r="A324" s="15">
        <v>4</v>
      </c>
      <c r="B324" s="22">
        <v>41318</v>
      </c>
      <c r="C324" s="15">
        <v>2013</v>
      </c>
      <c r="D324" s="11" t="s">
        <v>28</v>
      </c>
      <c r="E324" s="15">
        <v>2</v>
      </c>
      <c r="F324" s="31">
        <v>18.884</v>
      </c>
      <c r="G324" s="27">
        <v>3.8428241249999995</v>
      </c>
      <c r="H324" s="27">
        <v>0</v>
      </c>
      <c r="I324" s="27">
        <v>5.8038043749999995</v>
      </c>
      <c r="J324" s="27">
        <v>7.9295500000000005E-2</v>
      </c>
      <c r="K324" s="27">
        <v>0</v>
      </c>
    </row>
    <row r="325" spans="1:11">
      <c r="A325" s="15">
        <v>3</v>
      </c>
      <c r="B325" s="22">
        <v>41344</v>
      </c>
      <c r="C325" s="15">
        <v>2013</v>
      </c>
      <c r="D325" s="11" t="s">
        <v>29</v>
      </c>
      <c r="E325" s="15">
        <v>3</v>
      </c>
      <c r="F325" s="31">
        <v>9.0809999999999995</v>
      </c>
      <c r="G325" s="27">
        <v>0</v>
      </c>
      <c r="H325" s="27">
        <v>0</v>
      </c>
      <c r="I325" s="27">
        <v>5.9458380000000002</v>
      </c>
      <c r="J325" s="27">
        <v>6.1405750000000009E-2</v>
      </c>
      <c r="K325" s="27">
        <v>0</v>
      </c>
    </row>
    <row r="326" spans="1:11">
      <c r="A326" s="15">
        <v>4</v>
      </c>
      <c r="B326" s="22">
        <v>41344</v>
      </c>
      <c r="C326" s="15">
        <v>2013</v>
      </c>
      <c r="D326" s="11" t="s">
        <v>29</v>
      </c>
      <c r="E326" s="15">
        <v>3</v>
      </c>
      <c r="F326" s="31">
        <v>11.224</v>
      </c>
      <c r="G326" s="27">
        <v>0.25331962499999999</v>
      </c>
      <c r="H326" s="27">
        <v>0</v>
      </c>
      <c r="I326" s="27">
        <v>6.7376446249999988</v>
      </c>
      <c r="J326" s="27">
        <v>0.10942724999999999</v>
      </c>
      <c r="K326" s="27">
        <v>0</v>
      </c>
    </row>
    <row r="327" spans="1:11">
      <c r="A327" s="15">
        <v>3</v>
      </c>
      <c r="B327" s="22">
        <v>41379</v>
      </c>
      <c r="C327" s="15">
        <v>2013</v>
      </c>
      <c r="D327" s="11" t="s">
        <v>30</v>
      </c>
      <c r="E327" s="15">
        <v>4</v>
      </c>
      <c r="F327" s="32">
        <v>2.968</v>
      </c>
      <c r="G327" s="27">
        <v>4.6834874999999991E-2</v>
      </c>
      <c r="H327" s="27">
        <v>0</v>
      </c>
      <c r="I327" s="27">
        <v>1.04962825</v>
      </c>
      <c r="J327" s="27">
        <v>2.5049374999999999E-2</v>
      </c>
      <c r="K327" s="27">
        <v>0</v>
      </c>
    </row>
    <row r="328" spans="1:11">
      <c r="A328" s="15">
        <v>4</v>
      </c>
      <c r="B328" s="22">
        <v>41379</v>
      </c>
      <c r="C328" s="15">
        <v>2013</v>
      </c>
      <c r="D328" s="11" t="s">
        <v>30</v>
      </c>
      <c r="E328" s="15">
        <v>4</v>
      </c>
      <c r="F328" s="32">
        <v>7.63</v>
      </c>
      <c r="G328" s="27">
        <v>7.3008500000000004E-2</v>
      </c>
      <c r="H328" s="27">
        <v>0</v>
      </c>
      <c r="I328" s="27">
        <v>2.8352088750000002</v>
      </c>
      <c r="J328" s="27">
        <v>0.10060612500000002</v>
      </c>
      <c r="K328" s="27">
        <v>0</v>
      </c>
    </row>
    <row r="329" spans="1:11">
      <c r="A329" s="15">
        <v>3</v>
      </c>
      <c r="B329" s="22">
        <v>41408</v>
      </c>
      <c r="C329" s="15">
        <v>2013</v>
      </c>
      <c r="D329" s="11" t="s">
        <v>31</v>
      </c>
      <c r="E329" s="15">
        <v>5</v>
      </c>
      <c r="F329" s="32">
        <v>3.6080000000000001</v>
      </c>
      <c r="G329" s="27">
        <v>9.8398374999999982E-2</v>
      </c>
      <c r="H329" s="27">
        <v>0</v>
      </c>
      <c r="I329" s="27">
        <v>1.2479074999999999</v>
      </c>
      <c r="J329" s="27">
        <v>0.60069612500000003</v>
      </c>
      <c r="K329" s="27">
        <v>0</v>
      </c>
    </row>
    <row r="330" spans="1:11">
      <c r="A330" s="15">
        <v>4</v>
      </c>
      <c r="B330" s="22">
        <v>41408</v>
      </c>
      <c r="C330" s="15">
        <v>2013</v>
      </c>
      <c r="D330" s="11" t="s">
        <v>31</v>
      </c>
      <c r="E330" s="15">
        <v>5</v>
      </c>
      <c r="F330" s="32">
        <v>8.8130000000000006</v>
      </c>
      <c r="G330" s="27">
        <v>0.17083512499999998</v>
      </c>
      <c r="H330" s="27">
        <v>5.8738624999999996E-2</v>
      </c>
      <c r="I330" s="27">
        <v>2.8237636249999998</v>
      </c>
      <c r="J330" s="27">
        <v>1.6468557499999996</v>
      </c>
      <c r="K330" s="27">
        <v>0</v>
      </c>
    </row>
    <row r="331" spans="1:11">
      <c r="A331" s="15">
        <v>3</v>
      </c>
      <c r="B331" s="22">
        <v>41436</v>
      </c>
      <c r="C331" s="15">
        <v>2013</v>
      </c>
      <c r="D331" s="11" t="s">
        <v>32</v>
      </c>
      <c r="E331" s="15">
        <v>6</v>
      </c>
      <c r="F331" s="32">
        <v>10.775</v>
      </c>
      <c r="G331" s="27">
        <v>4.8213333333333337E-2</v>
      </c>
      <c r="H331" s="27">
        <v>0</v>
      </c>
      <c r="I331" s="27">
        <v>4.5995159999999995</v>
      </c>
      <c r="J331" s="27">
        <v>1.2194706666666666</v>
      </c>
      <c r="K331" s="27">
        <v>0</v>
      </c>
    </row>
    <row r="332" spans="1:11">
      <c r="A332" s="15">
        <v>4</v>
      </c>
      <c r="B332" s="22">
        <v>41436</v>
      </c>
      <c r="C332" s="15">
        <v>2013</v>
      </c>
      <c r="D332" s="11" t="s">
        <v>32</v>
      </c>
      <c r="E332" s="15">
        <v>6</v>
      </c>
      <c r="F332" s="32">
        <v>14.151</v>
      </c>
      <c r="G332" s="27">
        <v>8.9405714285714297E-2</v>
      </c>
      <c r="H332" s="27">
        <v>0</v>
      </c>
      <c r="I332" s="27">
        <v>3.3983514285714285</v>
      </c>
      <c r="J332" s="27">
        <v>3.7351938571428569</v>
      </c>
      <c r="K332" s="27">
        <v>0</v>
      </c>
    </row>
    <row r="333" spans="1:11">
      <c r="A333" s="15">
        <v>3</v>
      </c>
      <c r="B333" s="22">
        <v>41471</v>
      </c>
      <c r="C333" s="15">
        <v>2013</v>
      </c>
      <c r="D333" s="11" t="s">
        <v>33</v>
      </c>
      <c r="E333" s="15">
        <v>7</v>
      </c>
      <c r="F333" s="32">
        <v>32.316000000000003</v>
      </c>
      <c r="G333" s="27">
        <v>0.871988125</v>
      </c>
      <c r="H333" s="27">
        <v>0</v>
      </c>
      <c r="I333" s="27">
        <v>4.6491423750000003</v>
      </c>
      <c r="J333" s="27">
        <v>1.6939932499999999</v>
      </c>
      <c r="K333" s="27">
        <v>0</v>
      </c>
    </row>
    <row r="334" spans="1:11">
      <c r="A334" s="15">
        <v>4</v>
      </c>
      <c r="B334" s="22">
        <v>41471</v>
      </c>
      <c r="C334" s="15">
        <v>2013</v>
      </c>
      <c r="D334" s="11" t="s">
        <v>33</v>
      </c>
      <c r="E334" s="15">
        <v>7</v>
      </c>
      <c r="F334" s="32">
        <v>52.093000000000004</v>
      </c>
      <c r="G334" s="27">
        <v>0.25027162499999994</v>
      </c>
      <c r="H334" s="27">
        <v>0</v>
      </c>
      <c r="I334" s="27">
        <v>9.3805577499999995</v>
      </c>
      <c r="J334" s="27">
        <v>2.4762148750000001</v>
      </c>
      <c r="K334" s="27">
        <v>0</v>
      </c>
    </row>
    <row r="335" spans="1:11">
      <c r="A335" s="15">
        <v>3</v>
      </c>
      <c r="B335" s="22">
        <v>41499</v>
      </c>
      <c r="C335" s="15">
        <v>2013</v>
      </c>
      <c r="D335" s="11" t="s">
        <v>34</v>
      </c>
      <c r="E335" s="15">
        <v>8</v>
      </c>
      <c r="F335" s="32">
        <v>12.627000000000001</v>
      </c>
      <c r="G335" s="27">
        <v>0.80050735294117636</v>
      </c>
      <c r="H335" s="27">
        <v>0</v>
      </c>
      <c r="I335" s="27">
        <v>2.350511911764706</v>
      </c>
      <c r="J335" s="27">
        <v>1.3103091176470589</v>
      </c>
      <c r="K335" s="27">
        <v>0</v>
      </c>
    </row>
    <row r="336" spans="1:11">
      <c r="A336" s="15">
        <v>4</v>
      </c>
      <c r="B336" s="22">
        <v>41499</v>
      </c>
      <c r="C336" s="15">
        <v>2013</v>
      </c>
      <c r="D336" s="11" t="s">
        <v>34</v>
      </c>
      <c r="E336" s="15">
        <v>8</v>
      </c>
      <c r="F336" s="32">
        <v>19.396000000000001</v>
      </c>
      <c r="G336" s="27">
        <v>0.61868649999999992</v>
      </c>
      <c r="H336" s="27">
        <v>0</v>
      </c>
      <c r="I336" s="27">
        <v>3.2683111666666669</v>
      </c>
      <c r="J336" s="27">
        <v>1.6730276666666668</v>
      </c>
      <c r="K336" s="27">
        <v>0</v>
      </c>
    </row>
    <row r="337" spans="1:11">
      <c r="A337" s="15">
        <v>3</v>
      </c>
      <c r="B337" s="22">
        <v>41533</v>
      </c>
      <c r="C337" s="15">
        <v>2013</v>
      </c>
      <c r="D337" s="11" t="s">
        <v>40</v>
      </c>
      <c r="E337" s="15">
        <v>9</v>
      </c>
      <c r="F337" s="32">
        <v>8.641</v>
      </c>
      <c r="G337" s="27">
        <v>0.23040674999999997</v>
      </c>
      <c r="H337" s="27">
        <v>0</v>
      </c>
      <c r="I337" s="27">
        <v>2.4066233750000001</v>
      </c>
      <c r="J337" s="27">
        <v>0.51827662500000005</v>
      </c>
      <c r="K337" s="27">
        <v>0</v>
      </c>
    </row>
    <row r="338" spans="1:11">
      <c r="A338" s="15">
        <v>4</v>
      </c>
      <c r="B338" s="22">
        <v>41533</v>
      </c>
      <c r="C338" s="15">
        <v>2013</v>
      </c>
      <c r="D338" s="11" t="s">
        <v>40</v>
      </c>
      <c r="E338" s="15">
        <v>9</v>
      </c>
      <c r="F338" s="32">
        <v>9.0589999999999993</v>
      </c>
      <c r="G338" s="27">
        <v>0.21874549999999998</v>
      </c>
      <c r="H338" s="27">
        <v>0</v>
      </c>
      <c r="I338" s="27">
        <v>1.8680883749999999</v>
      </c>
      <c r="J338" s="27">
        <v>1.1544353749999998</v>
      </c>
      <c r="K338" s="27">
        <v>0</v>
      </c>
    </row>
    <row r="339" spans="1:11">
      <c r="A339" s="15">
        <v>3</v>
      </c>
      <c r="B339" s="22">
        <v>41569</v>
      </c>
      <c r="C339" s="15">
        <v>2013</v>
      </c>
      <c r="D339" s="11" t="s">
        <v>36</v>
      </c>
      <c r="E339" s="15">
        <v>10</v>
      </c>
      <c r="F339" s="26">
        <v>4.3840000000000003</v>
      </c>
      <c r="G339" s="27">
        <v>0.6168158749999999</v>
      </c>
      <c r="H339" s="27">
        <v>0</v>
      </c>
      <c r="I339" s="27">
        <v>0.31529049999999997</v>
      </c>
      <c r="J339" s="27">
        <v>7.2570249999999989E-2</v>
      </c>
      <c r="K339" s="27">
        <v>0</v>
      </c>
    </row>
    <row r="340" spans="1:11">
      <c r="A340" s="15">
        <v>4</v>
      </c>
      <c r="B340" s="22">
        <v>41569</v>
      </c>
      <c r="C340" s="15">
        <v>2013</v>
      </c>
      <c r="D340" s="11" t="s">
        <v>36</v>
      </c>
      <c r="E340" s="15">
        <v>10</v>
      </c>
      <c r="F340" s="26">
        <v>7.3710000000000004</v>
      </c>
      <c r="G340" s="27">
        <v>0.27968612500000001</v>
      </c>
      <c r="H340" s="27">
        <v>0</v>
      </c>
      <c r="I340" s="27">
        <v>0.68512275</v>
      </c>
      <c r="J340" s="27">
        <v>0.29580262499999993</v>
      </c>
      <c r="K340" s="27">
        <v>0</v>
      </c>
    </row>
    <row r="341" spans="1:11">
      <c r="A341" s="15">
        <v>3</v>
      </c>
      <c r="B341" s="22">
        <v>41597</v>
      </c>
      <c r="C341" s="15">
        <v>2013</v>
      </c>
      <c r="D341" s="11" t="s">
        <v>37</v>
      </c>
      <c r="E341" s="15">
        <v>11</v>
      </c>
      <c r="F341" s="26">
        <v>2.2610000000000001</v>
      </c>
      <c r="G341" s="27">
        <v>0.13439524999999997</v>
      </c>
      <c r="H341" s="27">
        <v>0</v>
      </c>
      <c r="I341" s="27">
        <v>0.31730737499999995</v>
      </c>
      <c r="J341" s="27">
        <v>1.8883750000000001E-2</v>
      </c>
      <c r="K341" s="27">
        <v>0</v>
      </c>
    </row>
    <row r="342" spans="1:11">
      <c r="A342" s="15">
        <v>4</v>
      </c>
      <c r="B342" s="22">
        <v>41597</v>
      </c>
      <c r="C342" s="15">
        <v>2013</v>
      </c>
      <c r="D342" s="11" t="s">
        <v>37</v>
      </c>
      <c r="E342" s="15">
        <v>11</v>
      </c>
      <c r="F342" s="26">
        <v>2.4009999999999998</v>
      </c>
      <c r="G342" s="27">
        <v>0.12703024999999998</v>
      </c>
      <c r="H342" s="27">
        <v>0</v>
      </c>
      <c r="I342" s="27">
        <v>0.56046787499999995</v>
      </c>
      <c r="J342" s="27">
        <v>7.7184749999999996E-2</v>
      </c>
      <c r="K342" s="27">
        <v>0</v>
      </c>
    </row>
    <row r="343" spans="1:11">
      <c r="A343" s="15">
        <v>3</v>
      </c>
      <c r="B343" s="22">
        <v>41624</v>
      </c>
      <c r="C343" s="15">
        <v>2013</v>
      </c>
      <c r="D343" s="11" t="s">
        <v>38</v>
      </c>
      <c r="E343" s="15">
        <v>12</v>
      </c>
      <c r="F343" s="26">
        <v>3.7669999999999999</v>
      </c>
      <c r="G343" s="27">
        <v>0.117892</v>
      </c>
      <c r="H343" s="27">
        <v>0</v>
      </c>
      <c r="I343" s="27">
        <v>1.205529375</v>
      </c>
      <c r="J343" s="27">
        <v>2.4133499999999999E-2</v>
      </c>
      <c r="K343" s="27">
        <v>0</v>
      </c>
    </row>
    <row r="344" spans="1:11">
      <c r="A344" s="15">
        <v>4</v>
      </c>
      <c r="B344" s="22">
        <v>41624</v>
      </c>
      <c r="C344" s="15">
        <v>2013</v>
      </c>
      <c r="D344" s="11" t="s">
        <v>38</v>
      </c>
      <c r="E344" s="15">
        <v>12</v>
      </c>
      <c r="F344" s="26">
        <v>5.1369999999999996</v>
      </c>
      <c r="G344" s="27">
        <v>0.42147124999999996</v>
      </c>
      <c r="H344" s="27">
        <v>0</v>
      </c>
      <c r="I344" s="27">
        <v>1.5719788749999999</v>
      </c>
      <c r="J344" s="27">
        <v>2.9674874999999996E-2</v>
      </c>
      <c r="K344" s="27">
        <v>0</v>
      </c>
    </row>
    <row r="345" spans="1:11">
      <c r="A345" s="15">
        <v>3</v>
      </c>
      <c r="B345" s="22">
        <v>41654</v>
      </c>
      <c r="C345" s="15">
        <v>2014</v>
      </c>
      <c r="D345" s="11" t="s">
        <v>39</v>
      </c>
      <c r="E345" s="15">
        <v>1</v>
      </c>
      <c r="F345" s="26">
        <v>3.335</v>
      </c>
      <c r="G345" s="27">
        <v>0.5443508749999999</v>
      </c>
      <c r="H345" s="27">
        <v>0</v>
      </c>
      <c r="I345" s="27">
        <v>0.74987937500000013</v>
      </c>
      <c r="J345" s="27">
        <v>3.2306874999999999E-2</v>
      </c>
      <c r="K345" s="27">
        <v>0</v>
      </c>
    </row>
    <row r="346" spans="1:11">
      <c r="A346" s="15">
        <v>4</v>
      </c>
      <c r="B346" s="22">
        <v>41654</v>
      </c>
      <c r="C346" s="15">
        <v>2014</v>
      </c>
      <c r="D346" s="11" t="s">
        <v>39</v>
      </c>
      <c r="E346" s="15">
        <v>1</v>
      </c>
      <c r="F346" s="26">
        <v>1.752</v>
      </c>
      <c r="G346" s="27">
        <v>0.19559987499999998</v>
      </c>
      <c r="H346" s="27">
        <v>0</v>
      </c>
      <c r="I346" s="27">
        <v>0.55399725</v>
      </c>
      <c r="J346" s="27">
        <v>1.83515E-2</v>
      </c>
      <c r="K346" s="27">
        <v>0</v>
      </c>
    </row>
    <row r="347" spans="1:11">
      <c r="A347" s="15">
        <v>3</v>
      </c>
      <c r="B347" s="22">
        <v>41688</v>
      </c>
      <c r="C347" s="15">
        <v>2014</v>
      </c>
      <c r="D347" s="11" t="s">
        <v>28</v>
      </c>
      <c r="E347" s="15">
        <v>2</v>
      </c>
      <c r="F347" s="26">
        <v>4.5439999999999996</v>
      </c>
      <c r="G347" s="27">
        <v>0.31842837499999993</v>
      </c>
      <c r="H347" s="27">
        <v>0</v>
      </c>
      <c r="I347" s="27">
        <v>1.5313650000000001</v>
      </c>
      <c r="J347" s="27">
        <v>3.5767500000000001E-2</v>
      </c>
      <c r="K347" s="27">
        <v>0</v>
      </c>
    </row>
    <row r="348" spans="1:11">
      <c r="A348" s="15">
        <v>4</v>
      </c>
      <c r="B348" s="22">
        <v>41688</v>
      </c>
      <c r="C348" s="15">
        <v>2014</v>
      </c>
      <c r="D348" s="11" t="s">
        <v>28</v>
      </c>
      <c r="E348" s="15">
        <v>2</v>
      </c>
      <c r="F348" s="26">
        <v>5.3250000000000002</v>
      </c>
      <c r="G348" s="27">
        <v>0.9465849999999999</v>
      </c>
      <c r="H348" s="27">
        <v>0</v>
      </c>
      <c r="I348" s="27">
        <v>1.13505425</v>
      </c>
      <c r="J348" s="27">
        <v>6.8974624999999998E-2</v>
      </c>
      <c r="K348" s="27">
        <v>0</v>
      </c>
    </row>
    <row r="349" spans="1:11">
      <c r="A349" s="15">
        <v>3</v>
      </c>
      <c r="B349" s="22">
        <v>41719</v>
      </c>
      <c r="C349" s="15">
        <v>2014</v>
      </c>
      <c r="D349" s="11" t="s">
        <v>29</v>
      </c>
      <c r="E349" s="15">
        <v>3</v>
      </c>
      <c r="F349" s="26">
        <v>3.1259999999999999</v>
      </c>
      <c r="G349" s="27">
        <v>3.6870750000000001E-2</v>
      </c>
      <c r="H349" s="27">
        <v>0</v>
      </c>
      <c r="I349" s="27">
        <v>1.317851125</v>
      </c>
      <c r="J349" s="27">
        <v>4.4123124999999992E-2</v>
      </c>
      <c r="K349" s="27">
        <v>0</v>
      </c>
    </row>
    <row r="350" spans="1:11">
      <c r="A350" s="15">
        <v>4</v>
      </c>
      <c r="B350" s="22">
        <v>41719</v>
      </c>
      <c r="C350" s="15">
        <v>2014</v>
      </c>
      <c r="D350" s="11" t="s">
        <v>29</v>
      </c>
      <c r="E350" s="15">
        <v>3</v>
      </c>
      <c r="F350" s="26">
        <v>3.1909999999999998</v>
      </c>
      <c r="G350" s="27">
        <v>0.132049</v>
      </c>
      <c r="H350" s="27">
        <v>0</v>
      </c>
      <c r="I350" s="27">
        <v>1.0794044999999999</v>
      </c>
      <c r="J350" s="27">
        <v>5.5256124999999996E-2</v>
      </c>
      <c r="K350" s="27">
        <v>0</v>
      </c>
    </row>
    <row r="351" spans="1:11">
      <c r="A351" s="15">
        <v>3</v>
      </c>
      <c r="B351" s="22">
        <v>41747</v>
      </c>
      <c r="C351" s="15">
        <v>2014</v>
      </c>
      <c r="D351" s="11" t="s">
        <v>30</v>
      </c>
      <c r="E351" s="15">
        <v>4</v>
      </c>
      <c r="F351" s="33">
        <v>2.645</v>
      </c>
      <c r="G351" s="27">
        <v>1.6637374999999999E-2</v>
      </c>
      <c r="H351" s="27">
        <v>0</v>
      </c>
      <c r="I351" s="27">
        <v>0.87752649999999988</v>
      </c>
      <c r="J351" s="27">
        <v>2.3579624999999996E-2</v>
      </c>
      <c r="K351" s="27">
        <v>0</v>
      </c>
    </row>
    <row r="352" spans="1:11">
      <c r="A352" s="15">
        <v>4</v>
      </c>
      <c r="B352" s="22">
        <v>41747</v>
      </c>
      <c r="C352" s="15">
        <v>2014</v>
      </c>
      <c r="D352" s="11" t="s">
        <v>30</v>
      </c>
      <c r="E352" s="15">
        <v>4</v>
      </c>
      <c r="F352" s="33">
        <v>6.6870000000000003</v>
      </c>
      <c r="G352" s="27">
        <v>2.5090875000000002E-2</v>
      </c>
      <c r="H352" s="27">
        <v>0</v>
      </c>
      <c r="I352" s="27">
        <v>2.0179132499999994</v>
      </c>
      <c r="J352" s="27">
        <v>0.11551412500000001</v>
      </c>
      <c r="K352" s="27">
        <v>0</v>
      </c>
    </row>
    <row r="353" spans="1:11">
      <c r="A353" s="15">
        <v>3</v>
      </c>
      <c r="B353" s="22">
        <v>41772</v>
      </c>
      <c r="C353" s="15">
        <v>2014</v>
      </c>
      <c r="D353" s="11" t="s">
        <v>31</v>
      </c>
      <c r="E353" s="15">
        <v>5</v>
      </c>
      <c r="F353" s="33">
        <v>4.24</v>
      </c>
      <c r="G353" s="27">
        <v>1.9371362499999998</v>
      </c>
      <c r="H353" s="27">
        <v>0</v>
      </c>
      <c r="I353" s="27">
        <v>0.16081599999999999</v>
      </c>
      <c r="J353" s="27">
        <v>0.31169762499999992</v>
      </c>
      <c r="K353" s="27">
        <v>0</v>
      </c>
    </row>
    <row r="354" spans="1:11">
      <c r="A354" s="15">
        <v>4</v>
      </c>
      <c r="B354" s="22">
        <v>41772</v>
      </c>
      <c r="C354" s="15">
        <v>2014</v>
      </c>
      <c r="D354" s="11" t="s">
        <v>31</v>
      </c>
      <c r="E354" s="15">
        <v>5</v>
      </c>
      <c r="F354" s="33">
        <v>3.7629999999999999</v>
      </c>
      <c r="G354" s="27">
        <v>1.1869702499999997</v>
      </c>
      <c r="H354" s="27">
        <v>0</v>
      </c>
      <c r="I354" s="27">
        <v>0.27572012499999998</v>
      </c>
      <c r="J354" s="27">
        <v>0.61531037499999996</v>
      </c>
      <c r="K354" s="27">
        <v>0</v>
      </c>
    </row>
    <row r="355" spans="1:11">
      <c r="A355" s="15">
        <v>3</v>
      </c>
      <c r="B355" s="22">
        <v>41808</v>
      </c>
      <c r="C355" s="15">
        <v>2014</v>
      </c>
      <c r="D355" s="11" t="s">
        <v>32</v>
      </c>
      <c r="E355" s="15">
        <v>6</v>
      </c>
      <c r="F355" s="33">
        <v>8.3550000000000004</v>
      </c>
      <c r="G355" s="27">
        <v>0.25936262500000001</v>
      </c>
      <c r="H355" s="27">
        <v>0</v>
      </c>
      <c r="I355" s="27">
        <v>1.23038775</v>
      </c>
      <c r="J355" s="27">
        <v>2.8802321249999996</v>
      </c>
      <c r="K355" s="27">
        <v>0</v>
      </c>
    </row>
    <row r="356" spans="1:11">
      <c r="A356" s="15">
        <v>4</v>
      </c>
      <c r="B356" s="22">
        <v>41808</v>
      </c>
      <c r="C356" s="15">
        <v>2014</v>
      </c>
      <c r="D356" s="11" t="s">
        <v>32</v>
      </c>
      <c r="E356" s="15">
        <v>6</v>
      </c>
      <c r="F356" s="33">
        <v>10.061999999999999</v>
      </c>
      <c r="G356" s="27">
        <v>0.24391199999999999</v>
      </c>
      <c r="H356" s="27">
        <v>0</v>
      </c>
      <c r="I356" s="27">
        <v>1.2661182499999997</v>
      </c>
      <c r="J356" s="27">
        <v>3.4274501249999996</v>
      </c>
      <c r="K356" s="27">
        <v>0</v>
      </c>
    </row>
    <row r="357" spans="1:11">
      <c r="A357" s="15">
        <v>3</v>
      </c>
      <c r="B357" s="22">
        <v>41834</v>
      </c>
      <c r="C357" s="15">
        <v>2014</v>
      </c>
      <c r="D357" s="11" t="s">
        <v>33</v>
      </c>
      <c r="E357" s="15">
        <v>7</v>
      </c>
      <c r="F357" s="33">
        <v>14.663</v>
      </c>
      <c r="G357" s="27">
        <v>0.65710875000000002</v>
      </c>
      <c r="H357" s="27">
        <v>0</v>
      </c>
      <c r="I357" s="27">
        <v>2.4222667500000004</v>
      </c>
      <c r="J357" s="27">
        <v>1.655107125</v>
      </c>
      <c r="K357" s="27">
        <v>0</v>
      </c>
    </row>
    <row r="358" spans="1:11">
      <c r="A358" s="15">
        <v>4</v>
      </c>
      <c r="B358" s="22">
        <v>41834</v>
      </c>
      <c r="C358" s="15">
        <v>2014</v>
      </c>
      <c r="D358" s="11" t="s">
        <v>33</v>
      </c>
      <c r="E358" s="15">
        <v>7</v>
      </c>
      <c r="F358" s="33">
        <v>17.713999999999999</v>
      </c>
      <c r="G358" s="27">
        <v>0.31266062499999997</v>
      </c>
      <c r="H358" s="27">
        <v>0</v>
      </c>
      <c r="I358" s="27">
        <v>2.8836415</v>
      </c>
      <c r="J358" s="27">
        <v>3.066036875</v>
      </c>
      <c r="K358" s="27">
        <v>8.2586124999999996E-2</v>
      </c>
    </row>
    <row r="359" spans="1:11">
      <c r="A359" s="15">
        <v>3</v>
      </c>
      <c r="B359" s="22">
        <v>41864</v>
      </c>
      <c r="C359" s="15">
        <v>2014</v>
      </c>
      <c r="D359" s="11" t="s">
        <v>34</v>
      </c>
      <c r="E359" s="15">
        <v>8</v>
      </c>
      <c r="F359" s="33">
        <v>17.297999999999998</v>
      </c>
      <c r="G359" s="27">
        <v>1.2535890000000001</v>
      </c>
      <c r="H359" s="27">
        <v>0</v>
      </c>
      <c r="I359" s="27">
        <v>2.1025795000000005</v>
      </c>
      <c r="J359" s="27">
        <v>1.1974332499999998</v>
      </c>
      <c r="K359" s="27">
        <v>0</v>
      </c>
    </row>
    <row r="360" spans="1:11">
      <c r="A360" s="15">
        <v>4</v>
      </c>
      <c r="B360" s="22">
        <v>41864</v>
      </c>
      <c r="C360" s="15">
        <v>2014</v>
      </c>
      <c r="D360" s="11" t="s">
        <v>34</v>
      </c>
      <c r="E360" s="15">
        <v>8</v>
      </c>
      <c r="F360" s="33">
        <v>17.457999999999998</v>
      </c>
      <c r="G360" s="27">
        <v>0.49348312500000002</v>
      </c>
      <c r="H360" s="27">
        <v>0</v>
      </c>
      <c r="I360" s="27">
        <v>2.5212759999999994</v>
      </c>
      <c r="J360" s="27">
        <v>1.121007125</v>
      </c>
      <c r="K360" s="27">
        <v>0</v>
      </c>
    </row>
    <row r="361" spans="1:11">
      <c r="A361" s="15">
        <v>3</v>
      </c>
      <c r="B361" s="22">
        <v>41898</v>
      </c>
      <c r="C361" s="15">
        <v>2014</v>
      </c>
      <c r="D361" s="11" t="s">
        <v>40</v>
      </c>
      <c r="E361" s="15">
        <v>9</v>
      </c>
      <c r="F361" s="33">
        <v>10.042999999999999</v>
      </c>
      <c r="G361" s="27">
        <v>1.12362275</v>
      </c>
      <c r="H361" s="27">
        <v>0</v>
      </c>
      <c r="I361" s="27">
        <v>1.3672545</v>
      </c>
      <c r="J361" s="27">
        <v>0.35609924999999992</v>
      </c>
      <c r="K361" s="27">
        <v>0</v>
      </c>
    </row>
    <row r="362" spans="1:11">
      <c r="A362" s="15">
        <v>4</v>
      </c>
      <c r="B362" s="22">
        <v>41898</v>
      </c>
      <c r="C362" s="15">
        <v>2014</v>
      </c>
      <c r="D362" s="11" t="s">
        <v>40</v>
      </c>
      <c r="E362" s="15">
        <v>9</v>
      </c>
      <c r="F362" s="33">
        <v>12.87</v>
      </c>
      <c r="G362" s="27">
        <v>0.62478524999999996</v>
      </c>
      <c r="H362" s="27">
        <v>0</v>
      </c>
      <c r="I362" s="27">
        <v>2.105775</v>
      </c>
      <c r="J362" s="27">
        <v>1.113679125</v>
      </c>
      <c r="K362" s="27">
        <v>0</v>
      </c>
    </row>
    <row r="363" spans="1:11">
      <c r="A363" s="15">
        <v>3</v>
      </c>
      <c r="B363" s="22">
        <v>41929</v>
      </c>
      <c r="C363" s="15">
        <v>2014</v>
      </c>
      <c r="D363" s="11" t="s">
        <v>36</v>
      </c>
      <c r="E363" s="15">
        <v>10</v>
      </c>
      <c r="F363" s="26">
        <v>1.6759999999999999</v>
      </c>
      <c r="G363" s="27">
        <v>0.11012174999999999</v>
      </c>
      <c r="H363" s="27">
        <v>0</v>
      </c>
      <c r="I363" s="27">
        <v>0.16766887499999997</v>
      </c>
      <c r="J363" s="27">
        <v>5.7918125000000001E-2</v>
      </c>
      <c r="K363" s="27">
        <v>0</v>
      </c>
    </row>
    <row r="364" spans="1:11">
      <c r="A364" s="15">
        <v>4</v>
      </c>
      <c r="B364" s="22">
        <v>41929</v>
      </c>
      <c r="C364" s="15">
        <v>2014</v>
      </c>
      <c r="D364" s="11" t="s">
        <v>36</v>
      </c>
      <c r="E364" s="15">
        <v>10</v>
      </c>
      <c r="F364" s="26">
        <v>4.0270000000000001</v>
      </c>
      <c r="G364" s="27">
        <v>0.10629474999999999</v>
      </c>
      <c r="H364" s="27">
        <v>0</v>
      </c>
      <c r="I364" s="27">
        <v>0.32296549999999996</v>
      </c>
      <c r="J364" s="27">
        <v>0.39009924999999995</v>
      </c>
      <c r="K364" s="27">
        <v>0</v>
      </c>
    </row>
    <row r="365" spans="1:11">
      <c r="A365" s="15">
        <v>3</v>
      </c>
      <c r="B365" s="22">
        <v>41953</v>
      </c>
      <c r="C365" s="15">
        <v>2014</v>
      </c>
      <c r="D365" s="11" t="s">
        <v>37</v>
      </c>
      <c r="E365" s="15">
        <v>11</v>
      </c>
      <c r="F365" s="26">
        <v>1.635</v>
      </c>
      <c r="G365" s="27">
        <v>0.10145637499999999</v>
      </c>
      <c r="H365" s="27">
        <v>0</v>
      </c>
      <c r="I365" s="27">
        <v>0.12559637500000001</v>
      </c>
      <c r="J365" s="27">
        <v>2.0041E-2</v>
      </c>
      <c r="K365" s="27">
        <v>0</v>
      </c>
    </row>
    <row r="366" spans="1:11">
      <c r="A366" s="15">
        <v>4</v>
      </c>
      <c r="B366" s="22">
        <v>41953</v>
      </c>
      <c r="C366" s="15">
        <v>2014</v>
      </c>
      <c r="D366" s="11" t="s">
        <v>37</v>
      </c>
      <c r="E366" s="15">
        <v>11</v>
      </c>
      <c r="F366" s="26">
        <v>2.0110000000000001</v>
      </c>
      <c r="G366" s="27">
        <v>5.7618374999999993E-2</v>
      </c>
      <c r="H366" s="27">
        <v>0</v>
      </c>
      <c r="I366" s="27">
        <v>0.21138537499999996</v>
      </c>
      <c r="J366" s="27">
        <v>3.8820500000000001E-2</v>
      </c>
      <c r="K366" s="27">
        <v>0</v>
      </c>
    </row>
    <row r="367" spans="1:11">
      <c r="A367" s="15">
        <v>3</v>
      </c>
      <c r="B367" s="22">
        <v>41988</v>
      </c>
      <c r="C367" s="15">
        <v>2014</v>
      </c>
      <c r="D367" s="11" t="s">
        <v>38</v>
      </c>
      <c r="E367" s="15">
        <v>12</v>
      </c>
      <c r="F367" s="26">
        <v>5.5650000000000004</v>
      </c>
      <c r="G367" s="27">
        <v>1.1830502499999997</v>
      </c>
      <c r="H367" s="27">
        <v>0</v>
      </c>
      <c r="I367" s="27">
        <v>1.2356728749999999</v>
      </c>
      <c r="J367" s="27">
        <v>2.0511374999999998E-2</v>
      </c>
      <c r="K367" s="27">
        <v>0</v>
      </c>
    </row>
    <row r="368" spans="1:11">
      <c r="A368" s="15">
        <v>4</v>
      </c>
      <c r="B368" s="22">
        <v>41988</v>
      </c>
      <c r="C368" s="15">
        <v>2014</v>
      </c>
      <c r="D368" s="11" t="s">
        <v>38</v>
      </c>
      <c r="E368" s="15">
        <v>12</v>
      </c>
      <c r="F368" s="26">
        <v>3.9420000000000002</v>
      </c>
      <c r="G368" s="27">
        <v>0.52847924999999996</v>
      </c>
      <c r="H368" s="27">
        <v>0</v>
      </c>
      <c r="I368" s="27">
        <v>0.80063925000000002</v>
      </c>
      <c r="J368" s="27">
        <v>4.1400249999999993E-2</v>
      </c>
      <c r="K368" s="27">
        <v>0</v>
      </c>
    </row>
  </sheetData>
  <autoFilter ref="L1:L368" xr:uid="{00000000-0009-0000-0000-000001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4"/>
  <sheetViews>
    <sheetView topLeftCell="C207" workbookViewId="0">
      <selection activeCell="S368" sqref="S368:V384"/>
    </sheetView>
  </sheetViews>
  <sheetFormatPr defaultColWidth="8.85546875" defaultRowHeight="15"/>
  <cols>
    <col min="2" max="2" width="21.85546875" customWidth="1"/>
    <col min="12" max="12" width="9" style="34"/>
  </cols>
  <sheetData>
    <row r="1" spans="1:18" ht="25.5">
      <c r="A1" s="2" t="s">
        <v>2</v>
      </c>
      <c r="B1" s="3" t="s">
        <v>3</v>
      </c>
      <c r="C1" s="4" t="s">
        <v>4</v>
      </c>
      <c r="D1" s="5" t="s">
        <v>42</v>
      </c>
      <c r="E1" s="4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34" t="s">
        <v>43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</row>
    <row r="2" spans="1:18">
      <c r="A2" s="36">
        <v>3</v>
      </c>
      <c r="B2" s="41">
        <v>36445</v>
      </c>
      <c r="C2" s="38">
        <v>1999</v>
      </c>
      <c r="D2" s="42" t="s">
        <v>14</v>
      </c>
      <c r="E2" s="40">
        <v>10</v>
      </c>
      <c r="F2" s="44">
        <v>11.587624269536716</v>
      </c>
      <c r="G2" s="44">
        <v>0.54665740033333332</v>
      </c>
      <c r="H2" s="39">
        <v>5.5105851333333324E-2</v>
      </c>
      <c r="I2" s="44">
        <v>2.0426174305</v>
      </c>
      <c r="J2" s="39">
        <v>0.8778340773333333</v>
      </c>
      <c r="K2" s="39" t="s">
        <v>15</v>
      </c>
      <c r="L2" s="34" t="s">
        <v>44</v>
      </c>
      <c r="M2" s="35">
        <f>AVERAGE(F2:F7)</f>
        <v>7.6547283123292358</v>
      </c>
      <c r="N2" s="35">
        <f>AVERAGE(G2:G7)</f>
        <v>0.24054891241666668</v>
      </c>
      <c r="O2" s="35">
        <f>AVERAGE(H2:H7)</f>
        <v>2.9386241916666667E-2</v>
      </c>
      <c r="P2" s="35">
        <f>AVERAGE(I2:I7)</f>
        <v>1.3221891989722223</v>
      </c>
      <c r="Q2" s="35">
        <f>AVERAGE(J2:J7)</f>
        <v>0.4500974883333333</v>
      </c>
    </row>
    <row r="3" spans="1:18">
      <c r="A3" s="8">
        <v>4</v>
      </c>
      <c r="B3" s="9">
        <v>36444</v>
      </c>
      <c r="C3" s="10">
        <v>1999</v>
      </c>
      <c r="D3" s="11" t="s">
        <v>14</v>
      </c>
      <c r="E3" s="12">
        <v>10</v>
      </c>
      <c r="F3" s="43">
        <v>14.372718367248131</v>
      </c>
      <c r="G3" s="43">
        <v>0.39266792666666667</v>
      </c>
      <c r="H3" s="37">
        <v>8.7489916333333348E-2</v>
      </c>
      <c r="I3" s="43">
        <v>1.7032575683333331</v>
      </c>
      <c r="J3" s="43">
        <v>1.6285648666666668</v>
      </c>
      <c r="K3" s="43" t="s">
        <v>15</v>
      </c>
    </row>
    <row r="4" spans="1:18">
      <c r="A4" s="8">
        <v>3</v>
      </c>
      <c r="B4" s="9">
        <v>36472</v>
      </c>
      <c r="C4" s="10">
        <v>1999</v>
      </c>
      <c r="D4" s="11" t="s">
        <v>16</v>
      </c>
      <c r="E4" s="10">
        <v>11</v>
      </c>
      <c r="F4" s="43">
        <v>4.1068763245169384</v>
      </c>
      <c r="G4" s="43">
        <v>0.12169860549999999</v>
      </c>
      <c r="H4" s="37">
        <v>0</v>
      </c>
      <c r="I4" s="43">
        <v>0.50522192050000003</v>
      </c>
      <c r="J4" s="43">
        <v>6.3241861499999996E-2</v>
      </c>
      <c r="K4" s="43" t="s">
        <v>15</v>
      </c>
    </row>
    <row r="5" spans="1:18">
      <c r="A5" s="8">
        <v>4</v>
      </c>
      <c r="B5" s="9">
        <v>36472</v>
      </c>
      <c r="C5" s="10">
        <v>1999</v>
      </c>
      <c r="D5" s="11" t="s">
        <v>16</v>
      </c>
      <c r="E5" s="10">
        <v>11</v>
      </c>
      <c r="F5" s="43">
        <v>4.5627969464577083</v>
      </c>
      <c r="G5" s="43">
        <v>0.17035343283333332</v>
      </c>
      <c r="H5" s="37">
        <v>1.4422445833333335E-2</v>
      </c>
      <c r="I5" s="43">
        <v>0.69990685549999998</v>
      </c>
      <c r="J5" s="43">
        <v>6.3672411999999998E-2</v>
      </c>
      <c r="K5" s="43" t="s">
        <v>15</v>
      </c>
    </row>
    <row r="6" spans="1:18">
      <c r="A6" s="8">
        <v>3</v>
      </c>
      <c r="B6" s="9">
        <v>36501</v>
      </c>
      <c r="C6" s="10">
        <v>1999</v>
      </c>
      <c r="D6" s="11" t="s">
        <v>17</v>
      </c>
      <c r="E6" s="10">
        <v>12</v>
      </c>
      <c r="F6" s="43">
        <v>3.6119794887362189</v>
      </c>
      <c r="G6" s="43">
        <v>0.17813489666666668</v>
      </c>
      <c r="H6" s="37">
        <v>0</v>
      </c>
      <c r="I6" s="43">
        <v>0.40046543000000001</v>
      </c>
      <c r="J6" s="43">
        <v>2.1607093499999997E-2</v>
      </c>
      <c r="K6" s="43" t="s">
        <v>15</v>
      </c>
    </row>
    <row r="7" spans="1:18" ht="25.5">
      <c r="A7" s="8">
        <v>4</v>
      </c>
      <c r="B7" s="9">
        <v>36501</v>
      </c>
      <c r="C7" s="10">
        <v>1999</v>
      </c>
      <c r="D7" s="11" t="s">
        <v>17</v>
      </c>
      <c r="E7" s="10">
        <v>12</v>
      </c>
      <c r="F7" s="43">
        <v>7.6863744774797018</v>
      </c>
      <c r="G7" s="43">
        <v>3.3781212499999998E-2</v>
      </c>
      <c r="H7" s="37">
        <v>1.9299238E-2</v>
      </c>
      <c r="I7" s="43">
        <v>2.5816659889999998</v>
      </c>
      <c r="J7" s="43">
        <v>4.5664619000000004E-2</v>
      </c>
      <c r="K7" s="43" t="s">
        <v>15</v>
      </c>
      <c r="L7" s="34" t="s">
        <v>43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6" t="s">
        <v>12</v>
      </c>
    </row>
    <row r="8" spans="1:18">
      <c r="A8" s="36">
        <v>3</v>
      </c>
      <c r="B8" s="41">
        <v>36530</v>
      </c>
      <c r="C8" s="40">
        <v>2000</v>
      </c>
      <c r="D8" s="42" t="s">
        <v>18</v>
      </c>
      <c r="E8" s="38">
        <v>1</v>
      </c>
      <c r="F8" s="44">
        <v>5.2430358388163469</v>
      </c>
      <c r="G8" s="44">
        <v>9.7498459500000009E-2</v>
      </c>
      <c r="H8" s="39">
        <v>0</v>
      </c>
      <c r="I8" s="44">
        <v>1.6686553348333331</v>
      </c>
      <c r="J8" s="44">
        <v>1.8754892999999998E-2</v>
      </c>
      <c r="K8" s="44" t="s">
        <v>15</v>
      </c>
      <c r="L8" s="34" t="s">
        <v>45</v>
      </c>
      <c r="M8" s="35">
        <f>AVERAGE(F8:F31)</f>
        <v>13.777617987942918</v>
      </c>
      <c r="N8" s="35">
        <f>AVERAGE(G8:G31)</f>
        <v>0.7760390775277779</v>
      </c>
      <c r="O8" s="35">
        <f>AVERAGE(H8:H31)</f>
        <v>0.14538838670138887</v>
      </c>
      <c r="P8" s="35">
        <f>AVERAGE(I8:I31)</f>
        <v>2.2570898803402781</v>
      </c>
      <c r="Q8" s="35">
        <f>AVERAGE(J8:J31)</f>
        <v>1.0392288907361114</v>
      </c>
    </row>
    <row r="9" spans="1:18">
      <c r="A9" s="8">
        <v>4</v>
      </c>
      <c r="B9" s="9">
        <v>36530</v>
      </c>
      <c r="C9" s="12">
        <v>2000</v>
      </c>
      <c r="D9" s="11" t="s">
        <v>18</v>
      </c>
      <c r="E9" s="10">
        <v>1</v>
      </c>
      <c r="F9" s="43">
        <v>9.2030291353057638</v>
      </c>
      <c r="G9" s="43">
        <v>0.85552858416666666</v>
      </c>
      <c r="H9" s="37">
        <v>0</v>
      </c>
      <c r="I9" s="43">
        <v>2.7644156874999997</v>
      </c>
      <c r="J9" s="43">
        <v>4.1257053499999995E-2</v>
      </c>
      <c r="K9" s="43" t="s">
        <v>15</v>
      </c>
    </row>
    <row r="10" spans="1:18">
      <c r="A10" s="8">
        <v>3</v>
      </c>
      <c r="B10" s="9">
        <v>36579</v>
      </c>
      <c r="C10" s="12">
        <v>2000</v>
      </c>
      <c r="D10" s="11" t="s">
        <v>19</v>
      </c>
      <c r="E10" s="12">
        <v>2</v>
      </c>
      <c r="F10" s="43">
        <v>4.3640586854323722</v>
      </c>
      <c r="G10" s="43">
        <v>0.39487519249999997</v>
      </c>
      <c r="H10" s="37">
        <v>1.5732128666666668E-2</v>
      </c>
      <c r="I10" s="43">
        <v>1.6224429144999999</v>
      </c>
      <c r="J10" s="43">
        <v>6.4468516333333337E-2</v>
      </c>
      <c r="K10" s="43" t="s">
        <v>15</v>
      </c>
    </row>
    <row r="11" spans="1:18">
      <c r="A11" s="8">
        <v>4</v>
      </c>
      <c r="B11" s="9">
        <v>36579</v>
      </c>
      <c r="C11" s="12">
        <v>2000</v>
      </c>
      <c r="D11" s="11" t="s">
        <v>19</v>
      </c>
      <c r="E11" s="12">
        <v>2</v>
      </c>
      <c r="F11" s="43">
        <v>6.7678057546224348</v>
      </c>
      <c r="G11" s="43">
        <v>2.2646408021666669</v>
      </c>
      <c r="H11" s="37">
        <v>0</v>
      </c>
      <c r="I11" s="43">
        <v>1.8209400088333334</v>
      </c>
      <c r="J11" s="43">
        <v>9.1529144666666659E-2</v>
      </c>
      <c r="K11" s="43" t="s">
        <v>15</v>
      </c>
    </row>
    <row r="12" spans="1:18">
      <c r="A12" s="8">
        <v>3</v>
      </c>
      <c r="B12" s="9">
        <v>36598</v>
      </c>
      <c r="C12" s="12">
        <v>2000</v>
      </c>
      <c r="D12" s="11" t="s">
        <v>20</v>
      </c>
      <c r="E12" s="12">
        <v>3</v>
      </c>
      <c r="F12" s="43">
        <v>3.9525320086953584</v>
      </c>
      <c r="G12" s="43">
        <v>0.13990637333333333</v>
      </c>
      <c r="H12" s="37">
        <v>1.7598790999999999E-2</v>
      </c>
      <c r="I12" s="43">
        <v>0.98975917600000007</v>
      </c>
      <c r="J12" s="43">
        <v>3.8138052166666665E-2</v>
      </c>
      <c r="K12" s="43" t="s">
        <v>15</v>
      </c>
    </row>
    <row r="13" spans="1:18">
      <c r="A13" s="8">
        <v>4</v>
      </c>
      <c r="B13" s="9">
        <v>36598</v>
      </c>
      <c r="C13" s="12">
        <v>2000</v>
      </c>
      <c r="D13" s="11" t="s">
        <v>20</v>
      </c>
      <c r="E13" s="12">
        <v>3</v>
      </c>
      <c r="F13" s="43">
        <v>15.295362854459274</v>
      </c>
      <c r="G13" s="43">
        <v>0.82420218266666667</v>
      </c>
      <c r="H13" s="37">
        <v>0</v>
      </c>
      <c r="I13" s="43">
        <v>4.2922111898333331</v>
      </c>
      <c r="J13" s="43">
        <v>0.11098034066666665</v>
      </c>
      <c r="K13" s="43" t="s">
        <v>15</v>
      </c>
    </row>
    <row r="14" spans="1:18">
      <c r="A14" s="8">
        <v>3</v>
      </c>
      <c r="B14" s="9">
        <v>36627</v>
      </c>
      <c r="C14" s="12">
        <v>2000</v>
      </c>
      <c r="D14" s="15" t="s">
        <v>21</v>
      </c>
      <c r="E14" s="12">
        <v>4</v>
      </c>
      <c r="F14" s="43">
        <v>20.474116121754371</v>
      </c>
      <c r="G14" s="43">
        <v>4.0007887804999998</v>
      </c>
      <c r="H14" s="37">
        <v>0</v>
      </c>
      <c r="I14" s="43">
        <v>2.4918042569999996</v>
      </c>
      <c r="J14" s="43">
        <v>0.3009719921666667</v>
      </c>
      <c r="K14" s="43" t="s">
        <v>15</v>
      </c>
    </row>
    <row r="15" spans="1:18">
      <c r="A15" s="8">
        <v>4</v>
      </c>
      <c r="B15" s="9">
        <v>36627</v>
      </c>
      <c r="C15" s="12">
        <v>2000</v>
      </c>
      <c r="D15" s="15" t="s">
        <v>21</v>
      </c>
      <c r="E15" s="12">
        <v>4</v>
      </c>
      <c r="F15" s="43">
        <v>31.833490623441644</v>
      </c>
      <c r="G15" s="43">
        <v>5.3754380885000002</v>
      </c>
      <c r="H15" s="37">
        <v>0</v>
      </c>
      <c r="I15" s="43">
        <v>3.8490673759999998</v>
      </c>
      <c r="J15" s="43">
        <v>0.4903978581666667</v>
      </c>
      <c r="K15" s="43" t="s">
        <v>15</v>
      </c>
    </row>
    <row r="16" spans="1:18">
      <c r="A16" s="8">
        <v>3</v>
      </c>
      <c r="B16" s="9">
        <v>36662</v>
      </c>
      <c r="C16" s="12">
        <v>2000</v>
      </c>
      <c r="D16" s="15" t="s">
        <v>22</v>
      </c>
      <c r="E16" s="12">
        <v>5</v>
      </c>
      <c r="F16" s="43">
        <v>12.217087705074391</v>
      </c>
      <c r="G16" s="43">
        <v>9.9194977333333337E-2</v>
      </c>
      <c r="H16" s="37">
        <v>1.4927900798333333</v>
      </c>
      <c r="I16" s="43">
        <v>4.9139994951666663</v>
      </c>
      <c r="J16" s="43">
        <v>0.46249782933333333</v>
      </c>
      <c r="K16" s="43" t="s">
        <v>15</v>
      </c>
    </row>
    <row r="17" spans="1:18">
      <c r="A17" s="8">
        <v>4</v>
      </c>
      <c r="B17" s="9">
        <v>36662</v>
      </c>
      <c r="C17" s="12">
        <v>2000</v>
      </c>
      <c r="D17" s="15" t="s">
        <v>22</v>
      </c>
      <c r="E17" s="12">
        <v>5</v>
      </c>
      <c r="F17" s="43">
        <v>13.170256326163051</v>
      </c>
      <c r="G17" s="43">
        <v>0.10844316433333334</v>
      </c>
      <c r="H17" s="37">
        <v>0.47522082200000004</v>
      </c>
      <c r="I17" s="43">
        <v>3.8913566184999997</v>
      </c>
      <c r="J17" s="43">
        <v>0.688139838</v>
      </c>
      <c r="K17" s="43" t="s">
        <v>15</v>
      </c>
    </row>
    <row r="18" spans="1:18">
      <c r="A18" s="8">
        <v>3</v>
      </c>
      <c r="B18" s="9">
        <v>36690</v>
      </c>
      <c r="C18" s="12">
        <v>2000</v>
      </c>
      <c r="D18" s="15" t="s">
        <v>23</v>
      </c>
      <c r="E18" s="12">
        <v>6</v>
      </c>
      <c r="F18" s="43">
        <v>18.42501600604221</v>
      </c>
      <c r="G18" s="43">
        <v>0.14096361750000003</v>
      </c>
      <c r="H18" s="37">
        <v>0.94923522199999999</v>
      </c>
      <c r="I18" s="43">
        <v>4.427583626333333</v>
      </c>
      <c r="J18" s="43">
        <v>1.4544563038333334</v>
      </c>
      <c r="K18" s="43" t="s">
        <v>15</v>
      </c>
    </row>
    <row r="19" spans="1:18">
      <c r="A19" s="8">
        <v>4</v>
      </c>
      <c r="B19" s="9">
        <v>36690</v>
      </c>
      <c r="C19" s="12">
        <v>2000</v>
      </c>
      <c r="D19" s="15" t="s">
        <v>23</v>
      </c>
      <c r="E19" s="12">
        <v>6</v>
      </c>
      <c r="F19" s="43">
        <v>32.976907299549254</v>
      </c>
      <c r="G19" s="43">
        <v>0.16694569933333334</v>
      </c>
      <c r="H19" s="37">
        <v>8.2978763666666677E-2</v>
      </c>
      <c r="I19" s="43">
        <v>3.9440741166666662</v>
      </c>
      <c r="J19" s="43">
        <v>4.4695590880000005</v>
      </c>
      <c r="K19" s="43" t="s">
        <v>15</v>
      </c>
    </row>
    <row r="20" spans="1:18">
      <c r="A20" s="8">
        <v>3</v>
      </c>
      <c r="B20" s="9">
        <v>36718</v>
      </c>
      <c r="C20" s="12">
        <v>2000</v>
      </c>
      <c r="D20" s="15" t="s">
        <v>24</v>
      </c>
      <c r="E20" s="12">
        <v>7</v>
      </c>
      <c r="F20" s="43">
        <v>20.025245213728596</v>
      </c>
      <c r="G20" s="43">
        <v>0.34200533133333333</v>
      </c>
      <c r="H20" s="37">
        <v>0.11907997366666667</v>
      </c>
      <c r="I20" s="43">
        <v>2.8437402403333327</v>
      </c>
      <c r="J20" s="43">
        <v>2.3464952978333331</v>
      </c>
      <c r="K20" s="43" t="s">
        <v>15</v>
      </c>
    </row>
    <row r="21" spans="1:18">
      <c r="A21" s="8">
        <v>4</v>
      </c>
      <c r="B21" s="9">
        <v>36718</v>
      </c>
      <c r="C21" s="12">
        <v>2000</v>
      </c>
      <c r="D21" s="15" t="s">
        <v>24</v>
      </c>
      <c r="E21" s="12">
        <v>7</v>
      </c>
      <c r="F21" s="43">
        <v>31.953396116235044</v>
      </c>
      <c r="G21" s="43">
        <v>0.17887916433333331</v>
      </c>
      <c r="H21" s="37">
        <v>0.25835130766666664</v>
      </c>
      <c r="I21" s="43">
        <v>4.006450249666667</v>
      </c>
      <c r="J21" s="43">
        <v>2.90595172</v>
      </c>
      <c r="K21" s="43" t="s">
        <v>15</v>
      </c>
    </row>
    <row r="22" spans="1:18">
      <c r="A22" s="8">
        <v>3</v>
      </c>
      <c r="B22" s="9">
        <v>36753</v>
      </c>
      <c r="C22" s="12">
        <v>2000</v>
      </c>
      <c r="D22" s="15" t="s">
        <v>25</v>
      </c>
      <c r="E22" s="12">
        <v>8</v>
      </c>
      <c r="F22" s="43">
        <v>28.156610334451724</v>
      </c>
      <c r="G22" s="43">
        <v>0.40492566899999999</v>
      </c>
      <c r="H22" s="37">
        <v>0</v>
      </c>
      <c r="I22" s="43">
        <v>3.2528478158333338</v>
      </c>
      <c r="J22" s="43">
        <v>3.4888973633333329</v>
      </c>
      <c r="K22" s="43" t="s">
        <v>15</v>
      </c>
    </row>
    <row r="23" spans="1:18">
      <c r="A23" s="8">
        <v>4</v>
      </c>
      <c r="B23" s="9">
        <v>36753</v>
      </c>
      <c r="C23" s="12">
        <v>2000</v>
      </c>
      <c r="D23" s="15" t="s">
        <v>25</v>
      </c>
      <c r="E23" s="12">
        <v>8</v>
      </c>
      <c r="F23" s="43">
        <v>35.417949447438119</v>
      </c>
      <c r="G23" s="43">
        <v>0.31665663133333338</v>
      </c>
      <c r="H23" s="37">
        <v>0</v>
      </c>
      <c r="I23" s="43">
        <v>2.8447982183333327</v>
      </c>
      <c r="J23" s="43">
        <v>4.4387798263333336</v>
      </c>
      <c r="K23" s="43" t="s">
        <v>15</v>
      </c>
    </row>
    <row r="24" spans="1:18">
      <c r="A24" s="8">
        <v>3</v>
      </c>
      <c r="B24" s="9">
        <v>36781</v>
      </c>
      <c r="C24" s="12">
        <v>2000</v>
      </c>
      <c r="D24" s="15" t="s">
        <v>26</v>
      </c>
      <c r="E24" s="12">
        <v>9</v>
      </c>
      <c r="F24" s="43">
        <v>5.505185712210781</v>
      </c>
      <c r="G24" s="43">
        <v>0.11878633550000001</v>
      </c>
      <c r="H24" s="37">
        <v>3.6936871833333329E-2</v>
      </c>
      <c r="I24" s="43">
        <v>0.97710956666666671</v>
      </c>
      <c r="J24" s="43">
        <v>0.76140345166666679</v>
      </c>
      <c r="K24" s="43" t="s">
        <v>15</v>
      </c>
    </row>
    <row r="25" spans="1:18">
      <c r="A25" s="8">
        <v>4</v>
      </c>
      <c r="B25" s="9">
        <v>36781</v>
      </c>
      <c r="C25" s="12">
        <v>2000</v>
      </c>
      <c r="D25" s="15" t="s">
        <v>26</v>
      </c>
      <c r="E25" s="12">
        <v>9</v>
      </c>
      <c r="F25" s="43">
        <v>10.02760484010903</v>
      </c>
      <c r="G25" s="43">
        <v>0.19076920033333333</v>
      </c>
      <c r="H25" s="37">
        <v>4.1397320500000001E-2</v>
      </c>
      <c r="I25" s="43">
        <v>1.7485088766666665</v>
      </c>
      <c r="J25" s="43">
        <v>1.2120290108333334</v>
      </c>
      <c r="K25" s="43" t="s">
        <v>15</v>
      </c>
    </row>
    <row r="26" spans="1:18">
      <c r="A26" s="8">
        <v>3</v>
      </c>
      <c r="B26" s="9">
        <v>36817</v>
      </c>
      <c r="C26" s="12">
        <v>2000</v>
      </c>
      <c r="D26" s="15" t="s">
        <v>14</v>
      </c>
      <c r="E26" s="12">
        <v>10</v>
      </c>
      <c r="F26" s="45">
        <v>5.1552847540285232</v>
      </c>
      <c r="G26" s="45">
        <v>1.0395314218333334</v>
      </c>
      <c r="H26" s="45">
        <v>0</v>
      </c>
      <c r="I26" s="45">
        <v>0.16182010433333333</v>
      </c>
      <c r="J26" s="45">
        <v>4.9894481500000004E-2</v>
      </c>
      <c r="K26" s="45" t="s">
        <v>15</v>
      </c>
    </row>
    <row r="27" spans="1:18">
      <c r="A27" s="8">
        <v>4</v>
      </c>
      <c r="B27" s="9">
        <v>36817</v>
      </c>
      <c r="C27" s="12">
        <v>2000</v>
      </c>
      <c r="D27" s="15" t="s">
        <v>14</v>
      </c>
      <c r="E27" s="12">
        <v>10</v>
      </c>
      <c r="F27" s="45">
        <v>7.6204647894963671</v>
      </c>
      <c r="G27" s="45">
        <v>0.60635379850000004</v>
      </c>
      <c r="H27" s="45">
        <v>0</v>
      </c>
      <c r="I27" s="45">
        <v>0.29691672433333333</v>
      </c>
      <c r="J27" s="45">
        <v>0.51940670916666665</v>
      </c>
      <c r="K27" s="45" t="s">
        <v>15</v>
      </c>
    </row>
    <row r="28" spans="1:18">
      <c r="A28" s="8">
        <v>3</v>
      </c>
      <c r="B28" s="9">
        <v>36848</v>
      </c>
      <c r="C28" s="12">
        <v>2000</v>
      </c>
      <c r="D28" s="15" t="s">
        <v>16</v>
      </c>
      <c r="E28" s="12">
        <v>11</v>
      </c>
      <c r="F28" s="45">
        <v>2.1484922622143627</v>
      </c>
      <c r="G28" s="45">
        <v>0</v>
      </c>
      <c r="H28" s="45">
        <v>0</v>
      </c>
      <c r="I28" s="45">
        <v>0.27904777783333334</v>
      </c>
      <c r="J28" s="45">
        <v>0.24586865683333334</v>
      </c>
      <c r="K28" s="45" t="s">
        <v>15</v>
      </c>
    </row>
    <row r="29" spans="1:18">
      <c r="A29" s="8">
        <v>4</v>
      </c>
      <c r="B29" s="9">
        <v>36848</v>
      </c>
      <c r="C29" s="12">
        <v>2000</v>
      </c>
      <c r="D29" s="15" t="s">
        <v>16</v>
      </c>
      <c r="E29" s="12">
        <v>11</v>
      </c>
      <c r="F29" s="45">
        <v>5.0971790667895167</v>
      </c>
      <c r="G29" s="45">
        <v>2.0000417833333336E-2</v>
      </c>
      <c r="H29" s="45">
        <v>0</v>
      </c>
      <c r="I29" s="45">
        <v>0.57796765750000001</v>
      </c>
      <c r="J29" s="45">
        <v>0.65751298933333335</v>
      </c>
      <c r="K29" s="45" t="s">
        <v>15</v>
      </c>
    </row>
    <row r="30" spans="1:18">
      <c r="A30" s="8">
        <v>3</v>
      </c>
      <c r="B30" s="9">
        <v>36871</v>
      </c>
      <c r="C30" s="12">
        <v>2000</v>
      </c>
      <c r="D30" s="15" t="s">
        <v>17</v>
      </c>
      <c r="E30" s="12">
        <v>12</v>
      </c>
      <c r="F30" s="45">
        <v>1.8706891478801031</v>
      </c>
      <c r="G30" s="45">
        <v>0.25030593733333334</v>
      </c>
      <c r="H30" s="45">
        <v>0</v>
      </c>
      <c r="I30" s="45">
        <v>0.16593030483333332</v>
      </c>
      <c r="J30" s="45">
        <v>2.5977385499999998E-2</v>
      </c>
      <c r="K30" s="45" t="s">
        <v>15</v>
      </c>
    </row>
    <row r="31" spans="1:18" ht="25.5">
      <c r="A31" s="8">
        <v>4</v>
      </c>
      <c r="B31" s="9">
        <v>36871</v>
      </c>
      <c r="C31" s="12">
        <v>2000</v>
      </c>
      <c r="D31" s="15" t="s">
        <v>17</v>
      </c>
      <c r="E31" s="12">
        <v>12</v>
      </c>
      <c r="F31" s="45">
        <v>3.7620316666914344</v>
      </c>
      <c r="G31" s="45">
        <v>0.68829803150000002</v>
      </c>
      <c r="H31" s="45">
        <v>0</v>
      </c>
      <c r="I31" s="45">
        <v>0.33870979066666662</v>
      </c>
      <c r="J31" s="45">
        <v>5.8125575499999999E-2</v>
      </c>
      <c r="K31" s="45" t="s">
        <v>15</v>
      </c>
      <c r="L31" s="34" t="s">
        <v>43</v>
      </c>
      <c r="M31" s="6" t="s">
        <v>7</v>
      </c>
      <c r="N31" s="6" t="s">
        <v>8</v>
      </c>
      <c r="O31" s="6" t="s">
        <v>9</v>
      </c>
      <c r="P31" s="6" t="s">
        <v>10</v>
      </c>
      <c r="Q31" s="6" t="s">
        <v>11</v>
      </c>
      <c r="R31" s="6" t="s">
        <v>12</v>
      </c>
    </row>
    <row r="32" spans="1:18">
      <c r="A32" s="36">
        <v>3</v>
      </c>
      <c r="B32" s="41">
        <v>36901</v>
      </c>
      <c r="C32" s="40">
        <v>2001</v>
      </c>
      <c r="D32" s="46" t="s">
        <v>18</v>
      </c>
      <c r="E32" s="40">
        <v>1</v>
      </c>
      <c r="F32" s="47">
        <v>3.6603537246189437</v>
      </c>
      <c r="G32" s="47">
        <v>0.86006881099999999</v>
      </c>
      <c r="H32" s="47">
        <v>0</v>
      </c>
      <c r="I32" s="47">
        <v>0.27575674500000003</v>
      </c>
      <c r="J32" s="47">
        <v>6.2355076333333335E-2</v>
      </c>
      <c r="K32" s="47" t="s">
        <v>15</v>
      </c>
      <c r="L32" s="34" t="s">
        <v>46</v>
      </c>
      <c r="M32" s="35">
        <f>AVERAGE(F32:F55)</f>
        <v>11.635953012703224</v>
      </c>
      <c r="N32" s="35">
        <f>AVERAGE(G32:G55)</f>
        <v>0.23743494130765333</v>
      </c>
      <c r="O32" s="35">
        <f>AVERAGE(H32:H55)</f>
        <v>0.3757640784951653</v>
      </c>
      <c r="P32" s="35">
        <f>AVERAGE(I32:I55)</f>
        <v>2.2524526301174155</v>
      </c>
      <c r="Q32" s="35">
        <f>AVERAGE(J32:J55)</f>
        <v>0.76103824703032519</v>
      </c>
    </row>
    <row r="33" spans="1:12">
      <c r="A33" s="8">
        <v>4</v>
      </c>
      <c r="B33" s="9">
        <v>36901</v>
      </c>
      <c r="C33" s="12">
        <v>2001</v>
      </c>
      <c r="D33" s="15" t="s">
        <v>18</v>
      </c>
      <c r="E33" s="12">
        <v>1</v>
      </c>
      <c r="F33" s="45">
        <v>7.1778812047673535</v>
      </c>
      <c r="G33" s="45">
        <v>1.9558241316666667</v>
      </c>
      <c r="H33" s="45">
        <v>0</v>
      </c>
      <c r="I33" s="45">
        <v>0.40866622716666662</v>
      </c>
      <c r="J33" s="45">
        <v>0.10998306116666667</v>
      </c>
      <c r="K33" s="45" t="s">
        <v>15</v>
      </c>
      <c r="L33"/>
    </row>
    <row r="34" spans="1:12">
      <c r="A34" s="12">
        <v>3</v>
      </c>
      <c r="B34" s="9">
        <v>36928</v>
      </c>
      <c r="C34" s="12">
        <v>2001</v>
      </c>
      <c r="D34" s="11" t="s">
        <v>19</v>
      </c>
      <c r="E34" s="12">
        <v>2</v>
      </c>
      <c r="F34" s="45">
        <v>3.8381383827951239</v>
      </c>
      <c r="G34" s="45">
        <v>0</v>
      </c>
      <c r="H34" s="45">
        <v>0</v>
      </c>
      <c r="I34" s="45">
        <v>1.1100196778333333</v>
      </c>
      <c r="J34" s="45">
        <v>6.7767306833333332E-2</v>
      </c>
      <c r="K34" s="45" t="s">
        <v>15</v>
      </c>
      <c r="L34"/>
    </row>
    <row r="35" spans="1:12">
      <c r="A35" s="12">
        <v>4</v>
      </c>
      <c r="B35" s="9">
        <v>36928</v>
      </c>
      <c r="C35" s="12">
        <v>2001</v>
      </c>
      <c r="D35" s="11" t="s">
        <v>19</v>
      </c>
      <c r="E35" s="12">
        <v>2</v>
      </c>
      <c r="F35" s="45">
        <v>4.6473219110529893</v>
      </c>
      <c r="G35" s="45">
        <v>0</v>
      </c>
      <c r="H35" s="45">
        <v>0</v>
      </c>
      <c r="I35" s="45">
        <v>0.97963751766666662</v>
      </c>
      <c r="J35" s="45">
        <v>0.10498701899999999</v>
      </c>
      <c r="K35" s="45" t="s">
        <v>15</v>
      </c>
      <c r="L35"/>
    </row>
    <row r="36" spans="1:12">
      <c r="A36" s="8">
        <v>3</v>
      </c>
      <c r="B36" s="9">
        <v>36965</v>
      </c>
      <c r="C36" s="12">
        <v>2001</v>
      </c>
      <c r="D36" s="11" t="s">
        <v>20</v>
      </c>
      <c r="E36" s="12">
        <v>3</v>
      </c>
      <c r="F36" s="45">
        <v>3.0647509565419848</v>
      </c>
      <c r="G36" s="45">
        <v>0</v>
      </c>
      <c r="H36" s="45">
        <v>3.5679605666666669E-2</v>
      </c>
      <c r="I36" s="45">
        <v>0.84151561733333335</v>
      </c>
      <c r="J36" s="45">
        <v>2.2643161333333332E-2</v>
      </c>
      <c r="K36" s="45" t="s">
        <v>15</v>
      </c>
      <c r="L36"/>
    </row>
    <row r="37" spans="1:12">
      <c r="A37" s="8">
        <v>4</v>
      </c>
      <c r="B37" s="9">
        <v>36965</v>
      </c>
      <c r="C37" s="12">
        <v>2001</v>
      </c>
      <c r="D37" s="11" t="s">
        <v>20</v>
      </c>
      <c r="E37" s="12">
        <v>3</v>
      </c>
      <c r="F37" s="45">
        <v>15.923001191095393</v>
      </c>
      <c r="G37" s="45">
        <v>0</v>
      </c>
      <c r="H37" s="45">
        <v>0</v>
      </c>
      <c r="I37" s="45">
        <v>4.7861398346666668</v>
      </c>
      <c r="J37" s="45">
        <v>8.195712749999999E-2</v>
      </c>
      <c r="K37" s="45" t="s">
        <v>15</v>
      </c>
      <c r="L37"/>
    </row>
    <row r="38" spans="1:12">
      <c r="A38" s="8">
        <v>3</v>
      </c>
      <c r="B38" s="9">
        <v>37000</v>
      </c>
      <c r="C38" s="12">
        <v>2001</v>
      </c>
      <c r="D38" s="15" t="s">
        <v>21</v>
      </c>
      <c r="E38" s="12">
        <v>4</v>
      </c>
      <c r="F38" s="45">
        <v>1.787291100592947</v>
      </c>
      <c r="G38" s="45">
        <v>0</v>
      </c>
      <c r="H38" s="45">
        <v>0</v>
      </c>
      <c r="I38" s="45">
        <v>0.27965685950000002</v>
      </c>
      <c r="J38" s="45">
        <v>2.3421234333333332E-2</v>
      </c>
      <c r="K38" s="45" t="s">
        <v>15</v>
      </c>
      <c r="L38"/>
    </row>
    <row r="39" spans="1:12">
      <c r="A39" s="8">
        <v>4</v>
      </c>
      <c r="B39" s="9">
        <v>37000</v>
      </c>
      <c r="C39" s="12">
        <v>2001</v>
      </c>
      <c r="D39" s="15" t="s">
        <v>21</v>
      </c>
      <c r="E39" s="12">
        <v>4</v>
      </c>
      <c r="F39" s="45">
        <v>5.6942883340020707</v>
      </c>
      <c r="G39" s="45">
        <v>0</v>
      </c>
      <c r="H39" s="45">
        <v>0</v>
      </c>
      <c r="I39" s="45">
        <v>1.3340860415</v>
      </c>
      <c r="J39" s="45">
        <v>0.14311228149999999</v>
      </c>
      <c r="K39" s="45" t="s">
        <v>15</v>
      </c>
      <c r="L39"/>
    </row>
    <row r="40" spans="1:12">
      <c r="A40" s="8">
        <v>3</v>
      </c>
      <c r="B40" s="9">
        <v>37026</v>
      </c>
      <c r="C40" s="12">
        <v>2001</v>
      </c>
      <c r="D40" s="15" t="s">
        <v>22</v>
      </c>
      <c r="E40" s="12">
        <v>5</v>
      </c>
      <c r="F40" s="45">
        <v>6.2271437772758107</v>
      </c>
      <c r="G40" s="45">
        <v>0.24950773633333334</v>
      </c>
      <c r="H40" s="45">
        <v>0.68171575616666669</v>
      </c>
      <c r="I40" s="45">
        <v>2.5785345510000002</v>
      </c>
      <c r="J40" s="45">
        <v>0.25176333033333337</v>
      </c>
      <c r="K40" s="45" t="s">
        <v>15</v>
      </c>
      <c r="L40"/>
    </row>
    <row r="41" spans="1:12">
      <c r="A41" s="8">
        <v>4</v>
      </c>
      <c r="B41" s="9">
        <v>37026</v>
      </c>
      <c r="C41" s="12">
        <v>2001</v>
      </c>
      <c r="D41" s="15" t="s">
        <v>22</v>
      </c>
      <c r="E41" s="12">
        <v>5</v>
      </c>
      <c r="F41" s="45">
        <v>13.68592039227633</v>
      </c>
      <c r="G41" s="45">
        <v>0.29517418466666667</v>
      </c>
      <c r="H41" s="45">
        <v>0.88532536249999993</v>
      </c>
      <c r="I41" s="45">
        <v>4.7100608169999996</v>
      </c>
      <c r="J41" s="45">
        <v>0.86139547683333328</v>
      </c>
      <c r="K41" s="45" t="s">
        <v>15</v>
      </c>
      <c r="L41"/>
    </row>
    <row r="42" spans="1:12">
      <c r="A42" s="8">
        <v>3</v>
      </c>
      <c r="B42" s="9">
        <v>37055</v>
      </c>
      <c r="C42" s="12">
        <v>2001</v>
      </c>
      <c r="D42" s="15" t="s">
        <v>23</v>
      </c>
      <c r="E42" s="12">
        <v>6</v>
      </c>
      <c r="F42" s="45">
        <v>23.472226020072025</v>
      </c>
      <c r="G42" s="45">
        <v>0.15233352633333333</v>
      </c>
      <c r="H42" s="45">
        <v>5.3737819314999999</v>
      </c>
      <c r="I42" s="45">
        <v>9.6043826761666669</v>
      </c>
      <c r="J42" s="45">
        <v>1.2974531863333334</v>
      </c>
      <c r="K42" s="45" t="s">
        <v>15</v>
      </c>
      <c r="L42"/>
    </row>
    <row r="43" spans="1:12">
      <c r="A43" s="8">
        <v>4</v>
      </c>
      <c r="B43" s="9">
        <v>37055</v>
      </c>
      <c r="C43" s="12">
        <v>2001</v>
      </c>
      <c r="D43" s="15" t="s">
        <v>23</v>
      </c>
      <c r="E43" s="12">
        <v>6</v>
      </c>
      <c r="F43" s="45">
        <v>17.031057322425486</v>
      </c>
      <c r="G43" s="45">
        <v>0.17040176100000001</v>
      </c>
      <c r="H43" s="45">
        <v>0.9715931318333334</v>
      </c>
      <c r="I43" s="45">
        <v>4.5126676176666667</v>
      </c>
      <c r="J43" s="45">
        <v>2.4710011303333337</v>
      </c>
      <c r="K43" s="45" t="s">
        <v>15</v>
      </c>
      <c r="L43"/>
    </row>
    <row r="44" spans="1:12">
      <c r="A44" s="8">
        <v>3</v>
      </c>
      <c r="B44" s="9">
        <v>37092</v>
      </c>
      <c r="C44" s="12">
        <v>2001</v>
      </c>
      <c r="D44" s="15" t="s">
        <v>24</v>
      </c>
      <c r="E44" s="12">
        <v>7</v>
      </c>
      <c r="F44" s="45">
        <v>25.751491910508093</v>
      </c>
      <c r="G44" s="45">
        <v>0.25293410899999996</v>
      </c>
      <c r="H44" s="45">
        <v>8.3238819833333325E-2</v>
      </c>
      <c r="I44" s="45">
        <v>2.7396955681666668</v>
      </c>
      <c r="J44" s="45">
        <v>1.6664413596666667</v>
      </c>
      <c r="K44" s="45" t="s">
        <v>15</v>
      </c>
      <c r="L44"/>
    </row>
    <row r="45" spans="1:12">
      <c r="A45" s="8">
        <v>4</v>
      </c>
      <c r="B45" s="9">
        <v>37092</v>
      </c>
      <c r="C45" s="12">
        <v>2001</v>
      </c>
      <c r="D45" s="15" t="s">
        <v>24</v>
      </c>
      <c r="E45" s="12">
        <v>7</v>
      </c>
      <c r="F45" s="45">
        <v>42.768034028077061</v>
      </c>
      <c r="G45" s="45">
        <v>0.46116235749999995</v>
      </c>
      <c r="H45" s="45">
        <v>0.12094747466666667</v>
      </c>
      <c r="I45" s="45">
        <v>4.4095446401666667</v>
      </c>
      <c r="J45" s="45">
        <v>2.8882748031666665</v>
      </c>
      <c r="K45" s="45" t="s">
        <v>15</v>
      </c>
      <c r="L45"/>
    </row>
    <row r="46" spans="1:12">
      <c r="A46" s="8">
        <v>3</v>
      </c>
      <c r="B46" s="9">
        <v>37118</v>
      </c>
      <c r="C46" s="12">
        <v>2001</v>
      </c>
      <c r="D46" s="15" t="s">
        <v>25</v>
      </c>
      <c r="E46" s="12">
        <v>8</v>
      </c>
      <c r="F46" s="45">
        <v>23.00358451823671</v>
      </c>
      <c r="G46" s="45">
        <v>0.13544812616666665</v>
      </c>
      <c r="H46" s="45">
        <v>4.8727162333333324E-2</v>
      </c>
      <c r="I46" s="45">
        <v>2.6864299611666667</v>
      </c>
      <c r="J46" s="45">
        <v>2.0210099176666669</v>
      </c>
      <c r="K46" s="45" t="s">
        <v>15</v>
      </c>
      <c r="L46"/>
    </row>
    <row r="47" spans="1:12">
      <c r="A47" s="8">
        <v>4</v>
      </c>
      <c r="B47" s="9">
        <v>37118</v>
      </c>
      <c r="C47" s="12">
        <v>2001</v>
      </c>
      <c r="D47" s="15" t="s">
        <v>25</v>
      </c>
      <c r="E47" s="12">
        <v>8</v>
      </c>
      <c r="F47" s="45">
        <v>36.365381232012211</v>
      </c>
      <c r="G47" s="45">
        <v>0.33279090066666667</v>
      </c>
      <c r="H47" s="45">
        <v>6.9371466499999992E-2</v>
      </c>
      <c r="I47" s="45">
        <v>3.2119058913333332</v>
      </c>
      <c r="J47" s="45">
        <v>3.5841533329999997</v>
      </c>
      <c r="K47" s="45" t="s">
        <v>15</v>
      </c>
      <c r="L47"/>
    </row>
    <row r="48" spans="1:12">
      <c r="A48" s="8">
        <v>3</v>
      </c>
      <c r="B48" s="9">
        <v>37152</v>
      </c>
      <c r="C48" s="12">
        <v>2001</v>
      </c>
      <c r="D48" s="15" t="s">
        <v>26</v>
      </c>
      <c r="E48" s="12">
        <v>9</v>
      </c>
      <c r="F48" s="45">
        <v>8.8993261414354574</v>
      </c>
      <c r="G48" s="45">
        <v>0.20519866999999997</v>
      </c>
      <c r="H48" s="45">
        <v>4.6520944833333341E-2</v>
      </c>
      <c r="I48" s="45">
        <v>1.8689569253333334</v>
      </c>
      <c r="J48" s="45">
        <v>0.49798013866666674</v>
      </c>
      <c r="K48" s="45" t="s">
        <v>15</v>
      </c>
      <c r="L48"/>
    </row>
    <row r="49" spans="1:18">
      <c r="A49" s="8">
        <v>4</v>
      </c>
      <c r="B49" s="9">
        <v>37152</v>
      </c>
      <c r="C49" s="12">
        <v>2001</v>
      </c>
      <c r="D49" s="15" t="s">
        <v>26</v>
      </c>
      <c r="E49" s="12">
        <v>9</v>
      </c>
      <c r="F49" s="45">
        <v>12.060995468685757</v>
      </c>
      <c r="G49" s="45">
        <v>0.21557444433333331</v>
      </c>
      <c r="H49" s="45">
        <v>0.13262349683333333</v>
      </c>
      <c r="I49" s="45">
        <v>1.8995613396666664</v>
      </c>
      <c r="J49" s="45">
        <v>1.5680431156666668</v>
      </c>
      <c r="K49" s="45" t="s">
        <v>15</v>
      </c>
    </row>
    <row r="50" spans="1:18">
      <c r="A50" s="8">
        <v>3</v>
      </c>
      <c r="B50" s="9">
        <v>37180</v>
      </c>
      <c r="C50" s="12">
        <v>2001</v>
      </c>
      <c r="D50" s="15" t="s">
        <v>14</v>
      </c>
      <c r="E50" s="12">
        <v>10</v>
      </c>
      <c r="F50" s="27">
        <v>3.2493851022036586</v>
      </c>
      <c r="G50" s="27">
        <v>0.16936741693647472</v>
      </c>
      <c r="H50" s="27">
        <v>1.0737968105455777E-2</v>
      </c>
      <c r="I50" s="27">
        <v>0.3169387733011455</v>
      </c>
      <c r="J50" s="27">
        <v>6.3194794242695043E-2</v>
      </c>
      <c r="K50" s="27" t="s">
        <v>27</v>
      </c>
    </row>
    <row r="51" spans="1:18">
      <c r="A51" s="8">
        <v>4</v>
      </c>
      <c r="B51" s="9">
        <v>37180</v>
      </c>
      <c r="C51" s="12">
        <v>2001</v>
      </c>
      <c r="D51" s="15" t="s">
        <v>14</v>
      </c>
      <c r="E51" s="12">
        <v>10</v>
      </c>
      <c r="F51" s="27">
        <v>4.2841916128331681</v>
      </c>
      <c r="G51" s="27">
        <v>7.6320444632261703E-2</v>
      </c>
      <c r="H51" s="27">
        <v>9.0311976206869753E-3</v>
      </c>
      <c r="I51" s="27">
        <v>0.21700994793818773</v>
      </c>
      <c r="J51" s="27">
        <v>0.11733650190608014</v>
      </c>
      <c r="K51" s="27" t="s">
        <v>27</v>
      </c>
    </row>
    <row r="52" spans="1:18">
      <c r="A52" s="8">
        <v>3</v>
      </c>
      <c r="B52" s="9">
        <v>37203</v>
      </c>
      <c r="C52" s="12">
        <v>2001</v>
      </c>
      <c r="D52" s="15" t="s">
        <v>16</v>
      </c>
      <c r="E52" s="12">
        <v>11</v>
      </c>
      <c r="F52" s="27">
        <v>1.3616965947949478</v>
      </c>
      <c r="G52" s="27">
        <v>0</v>
      </c>
      <c r="H52" s="27">
        <v>0</v>
      </c>
      <c r="I52" s="27">
        <v>0.11215932781247862</v>
      </c>
      <c r="J52" s="27">
        <v>5.6675309032092197E-2</v>
      </c>
      <c r="K52" s="27" t="s">
        <v>27</v>
      </c>
    </row>
    <row r="53" spans="1:18">
      <c r="A53" s="8">
        <v>4</v>
      </c>
      <c r="B53" s="9">
        <v>37203</v>
      </c>
      <c r="C53" s="12">
        <v>2001</v>
      </c>
      <c r="D53" s="15" t="s">
        <v>16</v>
      </c>
      <c r="E53" s="12">
        <v>11</v>
      </c>
      <c r="F53" s="27">
        <v>4.0950642991562116</v>
      </c>
      <c r="G53" s="27">
        <v>0</v>
      </c>
      <c r="H53" s="27">
        <v>2.5631747594340587E-2</v>
      </c>
      <c r="I53" s="27">
        <v>0.33752291368713699</v>
      </c>
      <c r="J53" s="27">
        <v>0.11297427945681228</v>
      </c>
      <c r="K53" s="27" t="s">
        <v>27</v>
      </c>
    </row>
    <row r="54" spans="1:18">
      <c r="A54" s="8">
        <v>3</v>
      </c>
      <c r="B54" s="9">
        <v>37228</v>
      </c>
      <c r="C54" s="12">
        <v>2001</v>
      </c>
      <c r="D54" s="15" t="s">
        <v>17</v>
      </c>
      <c r="E54" s="12">
        <v>12</v>
      </c>
      <c r="F54" s="27">
        <v>4.0507025288412777</v>
      </c>
      <c r="G54" s="27">
        <v>6.4606492570054477E-2</v>
      </c>
      <c r="H54" s="27">
        <v>0.204209317006117</v>
      </c>
      <c r="I54" s="27">
        <v>1.6535871579611139</v>
      </c>
      <c r="J54" s="27">
        <v>8.2978962928461825E-2</v>
      </c>
      <c r="K54" s="27" t="s">
        <v>27</v>
      </c>
    </row>
    <row r="55" spans="1:18" ht="25.5">
      <c r="A55" s="8">
        <v>4</v>
      </c>
      <c r="B55" s="9">
        <v>37228</v>
      </c>
      <c r="C55" s="12">
        <v>2001</v>
      </c>
      <c r="D55" s="15" t="s">
        <v>17</v>
      </c>
      <c r="E55" s="12">
        <v>12</v>
      </c>
      <c r="F55" s="27">
        <v>7.1636445505763398</v>
      </c>
      <c r="G55" s="27">
        <v>0.10172547857822313</v>
      </c>
      <c r="H55" s="27">
        <v>0.31920250089070273</v>
      </c>
      <c r="I55" s="27">
        <v>3.1844264937845796</v>
      </c>
      <c r="J55" s="27">
        <v>0.10801602149499696</v>
      </c>
      <c r="K55" s="27" t="s">
        <v>27</v>
      </c>
      <c r="L55" s="34" t="s">
        <v>43</v>
      </c>
      <c r="M55" s="6" t="s">
        <v>7</v>
      </c>
      <c r="N55" s="6" t="s">
        <v>8</v>
      </c>
      <c r="O55" s="6" t="s">
        <v>9</v>
      </c>
      <c r="P55" s="6" t="s">
        <v>10</v>
      </c>
      <c r="Q55" s="6" t="s">
        <v>11</v>
      </c>
      <c r="R55" s="6" t="s">
        <v>12</v>
      </c>
    </row>
    <row r="56" spans="1:18">
      <c r="A56" s="36">
        <v>3</v>
      </c>
      <c r="B56" s="41">
        <v>37270</v>
      </c>
      <c r="C56" s="40">
        <v>2002</v>
      </c>
      <c r="D56" s="46" t="s">
        <v>18</v>
      </c>
      <c r="E56" s="40">
        <v>1</v>
      </c>
      <c r="F56" s="48">
        <v>4.2514887305959439</v>
      </c>
      <c r="G56" s="48">
        <v>1.1476408557160802</v>
      </c>
      <c r="H56" s="48">
        <v>1.8873072477509995E-2</v>
      </c>
      <c r="I56" s="48">
        <v>0.21528763760210951</v>
      </c>
      <c r="J56" s="48">
        <v>4.5313730040364292E-2</v>
      </c>
      <c r="K56" s="48" t="s">
        <v>27</v>
      </c>
      <c r="L56" s="34" t="s">
        <v>47</v>
      </c>
      <c r="M56" s="35">
        <f>AVERAGE(F56:F79)</f>
        <v>12.082721574515462</v>
      </c>
      <c r="N56" s="35">
        <f>AVERAGE(G56:G79)</f>
        <v>0.46017603485177083</v>
      </c>
      <c r="O56" s="35">
        <f>AVERAGE(H56:H79)</f>
        <v>0.47901650554803304</v>
      </c>
      <c r="P56" s="35">
        <f>AVERAGE(I56:I79)</f>
        <v>0.84468955773936227</v>
      </c>
      <c r="Q56" s="35">
        <f>AVERAGE(J56:J79)</f>
        <v>0.2108701917946115</v>
      </c>
    </row>
    <row r="57" spans="1:18">
      <c r="A57" s="8">
        <v>4</v>
      </c>
      <c r="B57" s="9">
        <v>37270</v>
      </c>
      <c r="C57" s="12">
        <v>2002</v>
      </c>
      <c r="D57" s="15" t="s">
        <v>18</v>
      </c>
      <c r="E57" s="12">
        <v>1</v>
      </c>
      <c r="F57" s="27">
        <v>5.2303111731291096</v>
      </c>
      <c r="G57" s="27">
        <v>1.3231139893583077</v>
      </c>
      <c r="H57" s="27">
        <v>1.59074307092444E-2</v>
      </c>
      <c r="I57" s="27">
        <v>0.32932961240137032</v>
      </c>
      <c r="J57" s="27">
        <v>3.4202951447983444E-2</v>
      </c>
      <c r="K57" s="27" t="s">
        <v>27</v>
      </c>
    </row>
    <row r="58" spans="1:18">
      <c r="A58" s="8">
        <v>3</v>
      </c>
      <c r="B58" s="9">
        <v>37300</v>
      </c>
      <c r="C58" s="12">
        <v>2002</v>
      </c>
      <c r="D58" s="11" t="s">
        <v>19</v>
      </c>
      <c r="E58" s="12">
        <v>2</v>
      </c>
      <c r="F58" s="27">
        <v>2.5319323297664096</v>
      </c>
      <c r="G58" s="27">
        <v>6.594379439098684E-2</v>
      </c>
      <c r="H58" s="27">
        <v>0.1204803409590825</v>
      </c>
      <c r="I58" s="27">
        <v>0.95350270182919128</v>
      </c>
      <c r="J58" s="27">
        <v>4.4538188278440326E-2</v>
      </c>
      <c r="K58" s="27" t="s">
        <v>27</v>
      </c>
    </row>
    <row r="59" spans="1:18">
      <c r="A59" s="8">
        <v>4</v>
      </c>
      <c r="B59" s="9">
        <v>37300</v>
      </c>
      <c r="C59" s="12">
        <v>2002</v>
      </c>
      <c r="D59" s="11" t="s">
        <v>19</v>
      </c>
      <c r="E59" s="12">
        <v>2</v>
      </c>
      <c r="F59" s="27">
        <v>1.7412773154705985</v>
      </c>
      <c r="G59" s="27">
        <v>2.9197568923735248E-2</v>
      </c>
      <c r="H59" s="27">
        <v>6.5638541033855913E-2</v>
      </c>
      <c r="I59" s="27">
        <v>0.56422682774764121</v>
      </c>
      <c r="J59" s="27">
        <v>4.8494613557900947E-2</v>
      </c>
      <c r="K59" s="27" t="s">
        <v>27</v>
      </c>
    </row>
    <row r="60" spans="1:18">
      <c r="A60" s="8">
        <v>3</v>
      </c>
      <c r="B60" s="19">
        <v>37334</v>
      </c>
      <c r="C60" s="12">
        <v>2002</v>
      </c>
      <c r="D60" s="11" t="s">
        <v>20</v>
      </c>
      <c r="E60" s="12">
        <v>3</v>
      </c>
      <c r="F60" s="45">
        <v>3.0997542691102855</v>
      </c>
      <c r="G60" s="45">
        <v>5.5720508239434585E-2</v>
      </c>
      <c r="H60" s="45">
        <v>3.5461343693839971E-2</v>
      </c>
      <c r="I60" s="45">
        <v>0.94812113106089957</v>
      </c>
      <c r="J60" s="45">
        <v>3.3957180355172471E-2</v>
      </c>
      <c r="K60" s="45" t="s">
        <v>27</v>
      </c>
    </row>
    <row r="61" spans="1:18">
      <c r="A61" s="8">
        <v>4</v>
      </c>
      <c r="B61" s="19">
        <v>37334</v>
      </c>
      <c r="C61" s="12">
        <v>2002</v>
      </c>
      <c r="D61" s="11" t="s">
        <v>20</v>
      </c>
      <c r="E61" s="12">
        <v>3</v>
      </c>
      <c r="F61" s="45">
        <v>5.2293756812203727</v>
      </c>
      <c r="G61" s="45">
        <v>0.10676303493019787</v>
      </c>
      <c r="H61" s="45">
        <v>5.0612283587839944E-2</v>
      </c>
      <c r="I61" s="45">
        <v>1.0099404860580177</v>
      </c>
      <c r="J61" s="45">
        <v>9.5613383860199797E-2</v>
      </c>
      <c r="K61" s="45" t="s">
        <v>27</v>
      </c>
    </row>
    <row r="62" spans="1:18">
      <c r="A62" s="8">
        <v>3</v>
      </c>
      <c r="B62" s="19">
        <v>37361</v>
      </c>
      <c r="C62" s="12">
        <v>2002</v>
      </c>
      <c r="D62" s="15" t="s">
        <v>21</v>
      </c>
      <c r="E62" s="12">
        <v>4</v>
      </c>
      <c r="F62" s="45">
        <v>4.0387561020184775</v>
      </c>
      <c r="G62" s="45">
        <v>0.29889856972567713</v>
      </c>
      <c r="H62" s="45">
        <v>1.5563797893968915E-2</v>
      </c>
      <c r="I62" s="45">
        <v>0.57794405185674025</v>
      </c>
      <c r="J62" s="45">
        <v>6.5300542532303427E-2</v>
      </c>
      <c r="K62" s="45" t="s">
        <v>27</v>
      </c>
    </row>
    <row r="63" spans="1:18">
      <c r="A63" s="8">
        <v>4</v>
      </c>
      <c r="B63" s="19">
        <v>37361</v>
      </c>
      <c r="C63" s="12">
        <v>2002</v>
      </c>
      <c r="D63" s="15" t="s">
        <v>21</v>
      </c>
      <c r="E63" s="12">
        <v>4</v>
      </c>
      <c r="F63" s="45">
        <v>11.333801590233278</v>
      </c>
      <c r="G63" s="45">
        <v>1.3359850342068009</v>
      </c>
      <c r="H63" s="45">
        <v>4.0241522331325205E-2</v>
      </c>
      <c r="I63" s="45">
        <v>1.2763744013350913</v>
      </c>
      <c r="J63" s="45">
        <v>0.19335397781586039</v>
      </c>
      <c r="K63" s="45" t="s">
        <v>27</v>
      </c>
    </row>
    <row r="64" spans="1:18">
      <c r="A64" s="8">
        <v>3</v>
      </c>
      <c r="B64" s="19">
        <v>37389</v>
      </c>
      <c r="C64" s="12">
        <v>2002</v>
      </c>
      <c r="D64" s="15" t="s">
        <v>22</v>
      </c>
      <c r="E64" s="12">
        <v>5</v>
      </c>
      <c r="F64" s="45">
        <v>16.987336423440826</v>
      </c>
      <c r="G64" s="45"/>
      <c r="H64" s="45">
        <v>1.2942995803762276</v>
      </c>
      <c r="I64" s="45"/>
      <c r="J64" s="45"/>
      <c r="K64" s="45" t="s">
        <v>27</v>
      </c>
    </row>
    <row r="65" spans="1:18">
      <c r="A65" s="8">
        <v>4</v>
      </c>
      <c r="B65" s="19">
        <v>37389</v>
      </c>
      <c r="C65" s="12">
        <v>2002</v>
      </c>
      <c r="D65" s="15" t="s">
        <v>22</v>
      </c>
      <c r="E65" s="12">
        <v>5</v>
      </c>
      <c r="F65" s="45">
        <v>14.556047501768324</v>
      </c>
      <c r="G65" s="45"/>
      <c r="H65" s="45">
        <v>0.84865497510745447</v>
      </c>
      <c r="I65" s="45"/>
      <c r="J65" s="45"/>
      <c r="K65" s="45" t="s">
        <v>27</v>
      </c>
    </row>
    <row r="66" spans="1:18">
      <c r="A66" s="8">
        <v>3</v>
      </c>
      <c r="B66" s="19">
        <v>37418</v>
      </c>
      <c r="C66" s="12">
        <v>2002</v>
      </c>
      <c r="D66" s="15" t="s">
        <v>23</v>
      </c>
      <c r="E66" s="12">
        <v>6</v>
      </c>
      <c r="F66" s="45">
        <v>27.635613950571745</v>
      </c>
      <c r="G66" s="45"/>
      <c r="H66" s="45">
        <v>5.8898894913384536</v>
      </c>
      <c r="I66" s="45"/>
      <c r="J66" s="45"/>
      <c r="K66" s="45" t="s">
        <v>27</v>
      </c>
    </row>
    <row r="67" spans="1:18">
      <c r="A67" s="8">
        <v>4</v>
      </c>
      <c r="B67" s="19">
        <v>37418</v>
      </c>
      <c r="C67" s="12">
        <v>2002</v>
      </c>
      <c r="D67" s="15" t="s">
        <v>23</v>
      </c>
      <c r="E67" s="12">
        <v>6</v>
      </c>
      <c r="F67" s="45">
        <v>25.568401315342154</v>
      </c>
      <c r="G67" s="45"/>
      <c r="H67" s="45">
        <v>2.9983528612644501</v>
      </c>
      <c r="I67" s="45"/>
      <c r="J67" s="45"/>
      <c r="K67" s="45" t="s">
        <v>27</v>
      </c>
    </row>
    <row r="68" spans="1:18">
      <c r="A68" s="8">
        <v>3</v>
      </c>
      <c r="B68" s="19">
        <v>37455</v>
      </c>
      <c r="C68" s="12">
        <v>2002</v>
      </c>
      <c r="D68" s="15" t="s">
        <v>24</v>
      </c>
      <c r="E68" s="12">
        <v>7</v>
      </c>
      <c r="F68" s="45">
        <v>11.141478683415984</v>
      </c>
      <c r="G68" s="45"/>
      <c r="H68" s="45">
        <v>0</v>
      </c>
      <c r="I68" s="45"/>
      <c r="J68" s="45"/>
      <c r="K68" s="45" t="s">
        <v>27</v>
      </c>
    </row>
    <row r="69" spans="1:18">
      <c r="A69" s="8">
        <v>4</v>
      </c>
      <c r="B69" s="19">
        <v>37455</v>
      </c>
      <c r="C69" s="12">
        <v>2002</v>
      </c>
      <c r="D69" s="15" t="s">
        <v>24</v>
      </c>
      <c r="E69" s="12">
        <v>7</v>
      </c>
      <c r="F69" s="45">
        <v>15.213384618270862</v>
      </c>
      <c r="G69" s="45"/>
      <c r="H69" s="45">
        <v>5.6415868699843823E-2</v>
      </c>
      <c r="I69" s="45"/>
      <c r="J69" s="45"/>
      <c r="K69" s="45" t="s">
        <v>27</v>
      </c>
    </row>
    <row r="70" spans="1:18">
      <c r="A70" s="8">
        <v>3</v>
      </c>
      <c r="B70" s="19">
        <v>37483</v>
      </c>
      <c r="C70" s="12">
        <v>2002</v>
      </c>
      <c r="D70" s="15" t="s">
        <v>25</v>
      </c>
      <c r="E70" s="12">
        <v>8</v>
      </c>
      <c r="F70" s="45">
        <v>16.190633624498993</v>
      </c>
      <c r="G70" s="45"/>
      <c r="H70" s="45">
        <v>0</v>
      </c>
      <c r="I70" s="45"/>
      <c r="J70" s="45"/>
      <c r="K70" s="45" t="s">
        <v>27</v>
      </c>
    </row>
    <row r="71" spans="1:18">
      <c r="A71" s="8">
        <v>4</v>
      </c>
      <c r="B71" s="19">
        <v>37483</v>
      </c>
      <c r="C71" s="12">
        <v>2002</v>
      </c>
      <c r="D71" s="15" t="s">
        <v>25</v>
      </c>
      <c r="E71" s="12">
        <v>8</v>
      </c>
      <c r="F71" s="45">
        <v>25.601505200357359</v>
      </c>
      <c r="G71" s="45"/>
      <c r="H71" s="45">
        <v>0</v>
      </c>
      <c r="I71" s="45"/>
      <c r="J71" s="45"/>
      <c r="K71" s="45" t="s">
        <v>27</v>
      </c>
    </row>
    <row r="72" spans="1:18">
      <c r="A72" s="8">
        <v>3</v>
      </c>
      <c r="B72" s="19">
        <v>37516</v>
      </c>
      <c r="C72" s="12">
        <v>2002</v>
      </c>
      <c r="D72" s="15" t="s">
        <v>26</v>
      </c>
      <c r="E72" s="12">
        <v>9</v>
      </c>
      <c r="F72" s="45">
        <v>18.390989346517241</v>
      </c>
      <c r="G72" s="45"/>
      <c r="H72" s="45">
        <v>1.734323159100095E-2</v>
      </c>
      <c r="I72" s="45"/>
      <c r="J72" s="45"/>
      <c r="K72" s="45" t="s">
        <v>27</v>
      </c>
    </row>
    <row r="73" spans="1:18">
      <c r="A73" s="8">
        <v>4</v>
      </c>
      <c r="B73" s="19">
        <v>37516</v>
      </c>
      <c r="C73" s="12">
        <v>2002</v>
      </c>
      <c r="D73" s="15" t="s">
        <v>26</v>
      </c>
      <c r="E73" s="12">
        <v>9</v>
      </c>
      <c r="F73" s="45">
        <v>14.536812608725272</v>
      </c>
      <c r="G73" s="45"/>
      <c r="H73" s="45">
        <v>2.8661792088695511E-2</v>
      </c>
      <c r="I73" s="45"/>
      <c r="J73" s="45"/>
      <c r="K73" s="45" t="s">
        <v>27</v>
      </c>
    </row>
    <row r="74" spans="1:18">
      <c r="A74" s="8">
        <v>3</v>
      </c>
      <c r="B74" s="19">
        <v>37544</v>
      </c>
      <c r="C74" s="12">
        <v>2002</v>
      </c>
      <c r="D74" s="15" t="s">
        <v>14</v>
      </c>
      <c r="E74" s="12">
        <v>10</v>
      </c>
      <c r="F74" s="49">
        <v>8.3616599397475788</v>
      </c>
      <c r="G74" s="49">
        <v>0.22254301488661155</v>
      </c>
      <c r="H74" s="49">
        <v>0</v>
      </c>
      <c r="I74" s="49">
        <v>1.3378681695660879</v>
      </c>
      <c r="J74" s="49">
        <v>0.81460992828562784</v>
      </c>
      <c r="K74" s="49">
        <v>0</v>
      </c>
    </row>
    <row r="75" spans="1:18">
      <c r="A75" s="8">
        <v>4</v>
      </c>
      <c r="B75" s="19">
        <v>37544</v>
      </c>
      <c r="C75" s="12">
        <v>2002</v>
      </c>
      <c r="D75" s="15" t="s">
        <v>14</v>
      </c>
      <c r="E75" s="12">
        <v>10</v>
      </c>
      <c r="F75" s="49">
        <v>13.581539322283454</v>
      </c>
      <c r="G75" s="49">
        <v>0.10512439045170656</v>
      </c>
      <c r="H75" s="49">
        <v>0</v>
      </c>
      <c r="I75" s="49">
        <v>1.9765411508432107</v>
      </c>
      <c r="J75" s="49">
        <v>1.4194458199616122</v>
      </c>
      <c r="K75" s="49">
        <v>0</v>
      </c>
    </row>
    <row r="76" spans="1:18">
      <c r="A76" s="8">
        <v>3</v>
      </c>
      <c r="B76" s="19">
        <v>37575</v>
      </c>
      <c r="C76" s="12">
        <v>2002</v>
      </c>
      <c r="D76" s="15" t="s">
        <v>16</v>
      </c>
      <c r="E76" s="12">
        <v>11</v>
      </c>
      <c r="F76" s="49">
        <v>2.7732568032777918</v>
      </c>
      <c r="G76" s="49">
        <v>0.12968687286201119</v>
      </c>
      <c r="H76" s="49">
        <v>0</v>
      </c>
      <c r="I76" s="49">
        <v>0.88410645762654727</v>
      </c>
      <c r="J76" s="49">
        <v>2.7715387081645147E-2</v>
      </c>
      <c r="K76" s="49">
        <v>0</v>
      </c>
    </row>
    <row r="77" spans="1:18">
      <c r="A77" s="8">
        <v>4</v>
      </c>
      <c r="B77" s="19">
        <v>37575</v>
      </c>
      <c r="C77" s="12">
        <v>2002</v>
      </c>
      <c r="D77" s="15" t="s">
        <v>16</v>
      </c>
      <c r="E77" s="12">
        <v>11</v>
      </c>
      <c r="F77" s="49">
        <v>5.0568564250837627</v>
      </c>
      <c r="G77" s="49">
        <v>0.19188252895360416</v>
      </c>
      <c r="H77" s="49">
        <v>0</v>
      </c>
      <c r="I77" s="49">
        <v>0.63150956110467937</v>
      </c>
      <c r="J77" s="49">
        <v>5.1727426375380005E-2</v>
      </c>
      <c r="K77" s="49">
        <v>0</v>
      </c>
    </row>
    <row r="78" spans="1:18">
      <c r="A78" s="8">
        <v>3</v>
      </c>
      <c r="B78" s="19">
        <v>37609</v>
      </c>
      <c r="C78" s="12">
        <v>2002</v>
      </c>
      <c r="D78" s="15" t="s">
        <v>17</v>
      </c>
      <c r="E78" s="12">
        <v>12</v>
      </c>
      <c r="F78" s="49">
        <v>13.67730923414349</v>
      </c>
      <c r="G78" s="49">
        <v>0.31051916948432629</v>
      </c>
      <c r="H78" s="49">
        <v>0</v>
      </c>
      <c r="I78" s="49">
        <v>0.5979298391792548</v>
      </c>
      <c r="J78" s="49">
        <v>3.7524761154459012E-2</v>
      </c>
      <c r="K78" s="49">
        <v>0</v>
      </c>
    </row>
    <row r="79" spans="1:18" ht="25.5">
      <c r="A79" s="8">
        <v>4</v>
      </c>
      <c r="B79" s="19">
        <v>37609</v>
      </c>
      <c r="C79" s="12">
        <v>2002</v>
      </c>
      <c r="D79" s="15" t="s">
        <v>17</v>
      </c>
      <c r="E79" s="12">
        <v>12</v>
      </c>
      <c r="F79" s="49">
        <v>23.255795599381781</v>
      </c>
      <c r="G79" s="49">
        <v>1.1194451557953109</v>
      </c>
      <c r="H79" s="49">
        <v>0</v>
      </c>
      <c r="I79" s="49">
        <v>0.52297178014023304</v>
      </c>
      <c r="J79" s="49">
        <v>4.0384794377611527E-2</v>
      </c>
      <c r="K79" s="49">
        <v>0</v>
      </c>
      <c r="L79" s="34" t="s">
        <v>43</v>
      </c>
      <c r="M79" s="6" t="s">
        <v>7</v>
      </c>
      <c r="N79" s="6" t="s">
        <v>8</v>
      </c>
      <c r="O79" s="6" t="s">
        <v>9</v>
      </c>
      <c r="P79" s="6" t="s">
        <v>10</v>
      </c>
      <c r="Q79" s="6" t="s">
        <v>11</v>
      </c>
      <c r="R79" s="6" t="s">
        <v>12</v>
      </c>
    </row>
    <row r="80" spans="1:18">
      <c r="A80" s="36">
        <v>3</v>
      </c>
      <c r="B80" s="50">
        <v>37635</v>
      </c>
      <c r="C80" s="40">
        <v>2003</v>
      </c>
      <c r="D80" s="46" t="s">
        <v>18</v>
      </c>
      <c r="E80" s="40">
        <v>1</v>
      </c>
      <c r="F80" s="51">
        <v>28.241100767398116</v>
      </c>
      <c r="G80" s="51">
        <v>1.3663633530366377</v>
      </c>
      <c r="H80" s="51">
        <v>0</v>
      </c>
      <c r="I80" s="51">
        <v>1.2652498220194648</v>
      </c>
      <c r="J80" s="51">
        <v>0.13474935828465748</v>
      </c>
      <c r="K80" s="51">
        <v>0</v>
      </c>
      <c r="L80" s="34" t="s">
        <v>48</v>
      </c>
      <c r="M80" s="35">
        <f t="shared" ref="M80:R80" si="0">AVERAGE(F80:F103)</f>
        <v>18.743412918250964</v>
      </c>
      <c r="N80" s="35">
        <f t="shared" si="0"/>
        <v>0.60205183665069228</v>
      </c>
      <c r="O80" s="35">
        <f t="shared" si="0"/>
        <v>0.27793965289641193</v>
      </c>
      <c r="P80" s="35">
        <f t="shared" si="0"/>
        <v>2.9527796281308376</v>
      </c>
      <c r="Q80" s="35">
        <f t="shared" si="0"/>
        <v>1.1502984121155542</v>
      </c>
      <c r="R80" s="35">
        <f t="shared" si="0"/>
        <v>3.095557118426677E-3</v>
      </c>
    </row>
    <row r="81" spans="1:12">
      <c r="A81" s="8">
        <v>4</v>
      </c>
      <c r="B81" s="19">
        <v>37635</v>
      </c>
      <c r="C81" s="12">
        <v>2003</v>
      </c>
      <c r="D81" s="15" t="s">
        <v>18</v>
      </c>
      <c r="E81" s="12">
        <v>1</v>
      </c>
      <c r="F81" s="49">
        <v>22.579198630515862</v>
      </c>
      <c r="G81" s="49">
        <v>1.2191153050992427</v>
      </c>
      <c r="H81" s="49">
        <v>0</v>
      </c>
      <c r="I81" s="49">
        <v>0.91541644750245554</v>
      </c>
      <c r="J81" s="49">
        <v>0.12384127708472112</v>
      </c>
      <c r="K81" s="49">
        <v>0</v>
      </c>
      <c r="L81"/>
    </row>
    <row r="82" spans="1:12">
      <c r="A82" s="8">
        <v>3</v>
      </c>
      <c r="B82" s="19">
        <v>37665</v>
      </c>
      <c r="C82" s="12">
        <v>2003</v>
      </c>
      <c r="D82" s="11" t="s">
        <v>19</v>
      </c>
      <c r="E82" s="12">
        <v>2</v>
      </c>
      <c r="F82" s="49">
        <v>11.599366221982605</v>
      </c>
      <c r="G82" s="49">
        <v>0.40371782262039718</v>
      </c>
      <c r="H82" s="49">
        <v>1.463667448570961E-2</v>
      </c>
      <c r="I82" s="49">
        <v>2.8492299458795673</v>
      </c>
      <c r="J82" s="49">
        <v>0.11849878120851445</v>
      </c>
      <c r="K82" s="49">
        <v>0</v>
      </c>
      <c r="L82"/>
    </row>
    <row r="83" spans="1:12">
      <c r="A83" s="8">
        <v>4</v>
      </c>
      <c r="B83" s="19">
        <v>37665</v>
      </c>
      <c r="C83" s="12">
        <v>2003</v>
      </c>
      <c r="D83" s="11" t="s">
        <v>19</v>
      </c>
      <c r="E83" s="12">
        <v>2</v>
      </c>
      <c r="F83" s="49">
        <v>6.5677932354348592</v>
      </c>
      <c r="G83" s="49">
        <v>0.13565475568751617</v>
      </c>
      <c r="H83" s="49">
        <v>0</v>
      </c>
      <c r="I83" s="49">
        <v>0.93977525485276925</v>
      </c>
      <c r="J83" s="49">
        <v>6.7856307367036794E-2</v>
      </c>
      <c r="K83" s="49">
        <v>0</v>
      </c>
      <c r="L83"/>
    </row>
    <row r="84" spans="1:12">
      <c r="A84" s="8">
        <v>3</v>
      </c>
      <c r="B84" s="19">
        <v>37692</v>
      </c>
      <c r="C84" s="12">
        <v>2003</v>
      </c>
      <c r="D84" s="11" t="s">
        <v>20</v>
      </c>
      <c r="E84" s="12">
        <v>3</v>
      </c>
      <c r="F84" s="49">
        <v>13.908485665099207</v>
      </c>
      <c r="G84" s="49">
        <v>1.4931575096814507</v>
      </c>
      <c r="H84" s="49">
        <v>0</v>
      </c>
      <c r="I84" s="49">
        <v>3.6917216057719613</v>
      </c>
      <c r="J84" s="49">
        <v>7.6411407490435318E-2</v>
      </c>
      <c r="K84" s="49">
        <v>0</v>
      </c>
      <c r="L84"/>
    </row>
    <row r="85" spans="1:12">
      <c r="A85" s="8">
        <v>4</v>
      </c>
      <c r="B85" s="19">
        <v>37692</v>
      </c>
      <c r="C85" s="12">
        <v>2003</v>
      </c>
      <c r="D85" s="11" t="s">
        <v>20</v>
      </c>
      <c r="E85" s="12">
        <v>3</v>
      </c>
      <c r="F85" s="49">
        <v>23.075017988777937</v>
      </c>
      <c r="G85" s="49">
        <v>3.9982466760739408</v>
      </c>
      <c r="H85" s="49">
        <v>0</v>
      </c>
      <c r="I85" s="49">
        <v>3.2477772642646592</v>
      </c>
      <c r="J85" s="49">
        <v>0.11618088709861897</v>
      </c>
      <c r="K85" s="49">
        <v>0</v>
      </c>
      <c r="L85"/>
    </row>
    <row r="86" spans="1:12">
      <c r="A86" s="8">
        <v>3</v>
      </c>
      <c r="B86" s="19">
        <v>37725</v>
      </c>
      <c r="C86" s="12">
        <v>2003</v>
      </c>
      <c r="D86" s="11" t="s">
        <v>21</v>
      </c>
      <c r="E86" s="12">
        <v>4</v>
      </c>
      <c r="F86" s="49">
        <v>7.8579158920229677</v>
      </c>
      <c r="G86" s="49">
        <v>0.12862334935763148</v>
      </c>
      <c r="H86" s="49">
        <v>0</v>
      </c>
      <c r="I86" s="49">
        <v>2.2393015085738774</v>
      </c>
      <c r="J86" s="49">
        <v>8.6212233278918082E-2</v>
      </c>
      <c r="K86" s="49">
        <v>0</v>
      </c>
      <c r="L86"/>
    </row>
    <row r="87" spans="1:12">
      <c r="A87" s="8">
        <v>4</v>
      </c>
      <c r="B87" s="19">
        <v>37725</v>
      </c>
      <c r="C87" s="12">
        <v>2003</v>
      </c>
      <c r="D87" s="11" t="s">
        <v>21</v>
      </c>
      <c r="E87" s="12">
        <v>4</v>
      </c>
      <c r="F87" s="49">
        <v>6.4005604422385955</v>
      </c>
      <c r="G87" s="49">
        <v>0</v>
      </c>
      <c r="H87" s="49">
        <v>0</v>
      </c>
      <c r="I87" s="49">
        <v>1.4024958511353776</v>
      </c>
      <c r="J87" s="49">
        <v>8.620263791525018E-2</v>
      </c>
      <c r="K87" s="49">
        <v>0</v>
      </c>
      <c r="L87"/>
    </row>
    <row r="88" spans="1:12">
      <c r="A88" s="8">
        <v>3</v>
      </c>
      <c r="B88" s="19">
        <v>37753</v>
      </c>
      <c r="C88" s="12">
        <v>2003</v>
      </c>
      <c r="D88" s="11" t="s">
        <v>22</v>
      </c>
      <c r="E88" s="12">
        <v>5</v>
      </c>
      <c r="F88" s="49">
        <v>10.79591590739744</v>
      </c>
      <c r="G88" s="49">
        <v>0.39075706669566174</v>
      </c>
      <c r="H88" s="49">
        <v>0.77879418674951106</v>
      </c>
      <c r="I88" s="49">
        <v>4.6208577184266435</v>
      </c>
      <c r="J88" s="49">
        <v>0.43182370324431757</v>
      </c>
      <c r="K88" s="49">
        <v>2.6050407664189673E-2</v>
      </c>
      <c r="L88"/>
    </row>
    <row r="89" spans="1:12">
      <c r="A89" s="8">
        <v>4</v>
      </c>
      <c r="B89" s="19">
        <v>37753</v>
      </c>
      <c r="C89" s="12">
        <v>2003</v>
      </c>
      <c r="D89" s="11" t="s">
        <v>22</v>
      </c>
      <c r="E89" s="12">
        <v>5</v>
      </c>
      <c r="F89" s="49">
        <v>10.655932434325212</v>
      </c>
      <c r="G89" s="49">
        <v>0.71137653784559407</v>
      </c>
      <c r="H89" s="49">
        <v>0.57808490103182453</v>
      </c>
      <c r="I89" s="49">
        <v>3.5044918621614358</v>
      </c>
      <c r="J89" s="49">
        <v>0.87571892337325619</v>
      </c>
      <c r="K89" s="49">
        <v>4.8242963178050567E-2</v>
      </c>
      <c r="L89"/>
    </row>
    <row r="90" spans="1:12">
      <c r="A90" s="8">
        <v>3</v>
      </c>
      <c r="B90" s="19">
        <v>37792</v>
      </c>
      <c r="C90" s="12">
        <v>2003</v>
      </c>
      <c r="D90" s="11" t="s">
        <v>23</v>
      </c>
      <c r="E90" s="12">
        <v>6</v>
      </c>
      <c r="F90" s="49">
        <v>28.830816302160009</v>
      </c>
      <c r="G90" s="49">
        <v>0.15512071821331827</v>
      </c>
      <c r="H90" s="49">
        <v>3.7197125970913678</v>
      </c>
      <c r="I90" s="49">
        <v>9.2484820254243409</v>
      </c>
      <c r="J90" s="49">
        <v>2.624699768341257</v>
      </c>
      <c r="K90" s="49">
        <v>0</v>
      </c>
      <c r="L90"/>
    </row>
    <row r="91" spans="1:12">
      <c r="A91" s="8">
        <v>4</v>
      </c>
      <c r="B91" s="19">
        <v>37792</v>
      </c>
      <c r="C91" s="12">
        <v>2003</v>
      </c>
      <c r="D91" s="11" t="s">
        <v>23</v>
      </c>
      <c r="E91" s="12">
        <v>6</v>
      </c>
      <c r="F91" s="49">
        <v>31.750755213618987</v>
      </c>
      <c r="G91" s="49">
        <v>0</v>
      </c>
      <c r="H91" s="49">
        <v>1.4199742043433543</v>
      </c>
      <c r="I91" s="49">
        <v>6.1964549168050009</v>
      </c>
      <c r="J91" s="49">
        <v>4.7324761306000473</v>
      </c>
      <c r="K91" s="49">
        <v>0</v>
      </c>
      <c r="L91"/>
    </row>
    <row r="92" spans="1:12">
      <c r="A92" s="8">
        <v>3</v>
      </c>
      <c r="B92" s="19">
        <v>37819</v>
      </c>
      <c r="C92" s="12">
        <v>2003</v>
      </c>
      <c r="D92" s="15" t="s">
        <v>24</v>
      </c>
      <c r="E92" s="12">
        <v>7</v>
      </c>
      <c r="F92" s="49">
        <v>22.777820949333798</v>
      </c>
      <c r="G92" s="49">
        <v>2.8970732136644032E-2</v>
      </c>
      <c r="H92" s="49">
        <v>0</v>
      </c>
      <c r="I92" s="49">
        <v>1.6389555024155535</v>
      </c>
      <c r="J92" s="49">
        <v>3.1845274111007167</v>
      </c>
      <c r="K92" s="49">
        <v>0</v>
      </c>
      <c r="L92"/>
    </row>
    <row r="93" spans="1:12">
      <c r="A93" s="8">
        <v>4</v>
      </c>
      <c r="B93" s="19">
        <v>37819</v>
      </c>
      <c r="C93" s="12">
        <v>2003</v>
      </c>
      <c r="D93" s="15" t="s">
        <v>24</v>
      </c>
      <c r="E93" s="12">
        <v>7</v>
      </c>
      <c r="F93" s="49">
        <v>23.060198686609905</v>
      </c>
      <c r="G93" s="49">
        <v>0</v>
      </c>
      <c r="H93" s="49">
        <v>0</v>
      </c>
      <c r="I93" s="49">
        <v>2.0963769829407979</v>
      </c>
      <c r="J93" s="49">
        <v>3.7417390353589441</v>
      </c>
      <c r="K93" s="49">
        <v>0</v>
      </c>
      <c r="L93"/>
    </row>
    <row r="94" spans="1:12">
      <c r="A94" s="8">
        <v>3</v>
      </c>
      <c r="B94" s="19">
        <v>37845</v>
      </c>
      <c r="C94" s="12">
        <v>2003</v>
      </c>
      <c r="D94" s="15" t="s">
        <v>25</v>
      </c>
      <c r="E94" s="12">
        <v>8</v>
      </c>
      <c r="F94" s="49">
        <v>41.826009294739215</v>
      </c>
      <c r="G94" s="49">
        <v>8.0955416724351428E-2</v>
      </c>
      <c r="H94" s="49">
        <v>5.6522622277469917E-2</v>
      </c>
      <c r="I94" s="49">
        <v>4.7867160956671446</v>
      </c>
      <c r="J94" s="49">
        <v>2.5746966183793627</v>
      </c>
      <c r="K94" s="49">
        <v>0</v>
      </c>
      <c r="L94"/>
    </row>
    <row r="95" spans="1:12">
      <c r="A95" s="8">
        <v>4</v>
      </c>
      <c r="B95" s="19">
        <v>37845</v>
      </c>
      <c r="C95" s="12">
        <v>2003</v>
      </c>
      <c r="D95" s="15" t="s">
        <v>25</v>
      </c>
      <c r="E95" s="12">
        <v>8</v>
      </c>
      <c r="F95" s="49">
        <v>78.047371432756734</v>
      </c>
      <c r="G95" s="49">
        <v>0.2515363196283924</v>
      </c>
      <c r="H95" s="49">
        <v>0</v>
      </c>
      <c r="I95" s="49">
        <v>11.628614277169929</v>
      </c>
      <c r="J95" s="49">
        <v>2.7590255490800528</v>
      </c>
      <c r="K95" s="49">
        <v>0</v>
      </c>
      <c r="L95"/>
    </row>
    <row r="96" spans="1:12">
      <c r="A96" s="8">
        <v>3</v>
      </c>
      <c r="B96" s="19">
        <v>37888</v>
      </c>
      <c r="C96" s="12">
        <v>2003</v>
      </c>
      <c r="D96" s="15" t="s">
        <v>26</v>
      </c>
      <c r="E96" s="12">
        <v>9</v>
      </c>
      <c r="F96" s="49">
        <v>11.322446784959084</v>
      </c>
      <c r="G96" s="49">
        <v>7.40522405963768E-2</v>
      </c>
      <c r="H96" s="49">
        <v>0</v>
      </c>
      <c r="I96" s="49">
        <v>1.7795026662614706</v>
      </c>
      <c r="J96" s="49">
        <v>1.1190005256627755</v>
      </c>
      <c r="K96" s="49">
        <v>0</v>
      </c>
      <c r="L96"/>
    </row>
    <row r="97" spans="1:18">
      <c r="A97" s="8">
        <v>4</v>
      </c>
      <c r="B97" s="19">
        <v>37888</v>
      </c>
      <c r="C97" s="12">
        <v>2003</v>
      </c>
      <c r="D97" s="15" t="s">
        <v>26</v>
      </c>
      <c r="E97" s="12">
        <v>9</v>
      </c>
      <c r="F97" s="49">
        <v>19.523304188652542</v>
      </c>
      <c r="G97" s="49">
        <v>7.0674641741149749E-2</v>
      </c>
      <c r="H97" s="49">
        <v>0</v>
      </c>
      <c r="I97" s="49">
        <v>2.6758212442921878</v>
      </c>
      <c r="J97" s="49">
        <v>1.9597546210092796</v>
      </c>
      <c r="K97" s="49">
        <v>0</v>
      </c>
    </row>
    <row r="98" spans="1:18">
      <c r="A98" s="8">
        <v>3</v>
      </c>
      <c r="B98" s="19">
        <v>37910</v>
      </c>
      <c r="C98" s="12">
        <v>2003</v>
      </c>
      <c r="D98" s="15" t="s">
        <v>14</v>
      </c>
      <c r="E98" s="12">
        <v>10</v>
      </c>
      <c r="F98" s="16">
        <v>9.7642000000000007</v>
      </c>
      <c r="G98" s="16">
        <v>0.41868209898560876</v>
      </c>
      <c r="H98" s="16">
        <v>4.5453975478011326E-2</v>
      </c>
      <c r="I98" s="16">
        <v>1.3839139385783499</v>
      </c>
      <c r="J98" s="16">
        <v>0.59963481127173457</v>
      </c>
      <c r="K98" s="16">
        <v>0</v>
      </c>
    </row>
    <row r="99" spans="1:18">
      <c r="A99" s="8">
        <v>4</v>
      </c>
      <c r="B99" s="19">
        <v>37910</v>
      </c>
      <c r="C99" s="12">
        <v>2003</v>
      </c>
      <c r="D99" s="15" t="s">
        <v>14</v>
      </c>
      <c r="E99" s="12">
        <v>10</v>
      </c>
      <c r="F99" s="16">
        <v>9.9925999999999995</v>
      </c>
      <c r="G99" s="16">
        <v>4.7576818138613641E-2</v>
      </c>
      <c r="H99" s="16">
        <v>4.4151045075440473E-2</v>
      </c>
      <c r="I99" s="16">
        <v>0.81962443561549292</v>
      </c>
      <c r="J99" s="16">
        <v>1.7748589982930474</v>
      </c>
      <c r="K99" s="16">
        <v>0</v>
      </c>
    </row>
    <row r="100" spans="1:18">
      <c r="A100" s="8">
        <v>3</v>
      </c>
      <c r="B100" s="19">
        <v>37943</v>
      </c>
      <c r="C100" s="12">
        <v>2003</v>
      </c>
      <c r="D100" s="15" t="s">
        <v>16</v>
      </c>
      <c r="E100" s="12">
        <v>11</v>
      </c>
      <c r="F100" s="16">
        <v>3.2075999999999998</v>
      </c>
      <c r="G100" s="16">
        <v>0.23019294287519221</v>
      </c>
      <c r="H100" s="16">
        <v>1.3221462981197167E-2</v>
      </c>
      <c r="I100" s="16">
        <v>0.61031253052305934</v>
      </c>
      <c r="J100" s="16">
        <v>6.4714424751670677E-2</v>
      </c>
      <c r="K100" s="16">
        <v>0</v>
      </c>
    </row>
    <row r="101" spans="1:18">
      <c r="A101" s="8">
        <v>4</v>
      </c>
      <c r="B101" s="19">
        <v>37943</v>
      </c>
      <c r="C101" s="12">
        <v>2003</v>
      </c>
      <c r="D101" s="15" t="s">
        <v>16</v>
      </c>
      <c r="E101" s="12">
        <v>11</v>
      </c>
      <c r="F101" s="16">
        <v>5.4176000000000002</v>
      </c>
      <c r="G101" s="16">
        <v>0.16609746229817327</v>
      </c>
      <c r="H101" s="16">
        <v>0</v>
      </c>
      <c r="I101" s="16">
        <v>0.96361560674696445</v>
      </c>
      <c r="J101" s="16">
        <v>0.19515025796215507</v>
      </c>
      <c r="K101" s="16">
        <v>0</v>
      </c>
    </row>
    <row r="102" spans="1:18">
      <c r="A102" s="8">
        <v>3</v>
      </c>
      <c r="B102" s="19">
        <v>37973</v>
      </c>
      <c r="C102" s="12">
        <v>2003</v>
      </c>
      <c r="D102" s="15" t="s">
        <v>17</v>
      </c>
      <c r="E102" s="12">
        <v>12</v>
      </c>
      <c r="F102" s="16">
        <v>11.6934</v>
      </c>
      <c r="G102" s="16">
        <v>1.3011526277468934</v>
      </c>
      <c r="H102" s="16">
        <v>0</v>
      </c>
      <c r="I102" s="16">
        <v>1.3370946416200373</v>
      </c>
      <c r="J102" s="16">
        <v>6.0767688421533454E-2</v>
      </c>
      <c r="K102" s="16">
        <v>0</v>
      </c>
    </row>
    <row r="103" spans="1:18" ht="25.5">
      <c r="A103" s="8">
        <v>4</v>
      </c>
      <c r="B103" s="19">
        <v>37973</v>
      </c>
      <c r="C103" s="12">
        <v>2003</v>
      </c>
      <c r="D103" s="15" t="s">
        <v>17</v>
      </c>
      <c r="E103" s="12">
        <v>12</v>
      </c>
      <c r="F103" s="16">
        <v>10.9465</v>
      </c>
      <c r="G103" s="16">
        <v>1.7772196844338268</v>
      </c>
      <c r="H103" s="16">
        <v>0</v>
      </c>
      <c r="I103" s="16">
        <v>1.0249089304915338</v>
      </c>
      <c r="J103" s="16">
        <v>9.8620534194994156E-2</v>
      </c>
      <c r="K103" s="16">
        <v>0</v>
      </c>
      <c r="L103" s="34" t="s">
        <v>43</v>
      </c>
      <c r="M103" s="6" t="s">
        <v>7</v>
      </c>
      <c r="N103" s="6" t="s">
        <v>8</v>
      </c>
      <c r="O103" s="6" t="s">
        <v>9</v>
      </c>
      <c r="P103" s="6" t="s">
        <v>10</v>
      </c>
      <c r="Q103" s="6" t="s">
        <v>11</v>
      </c>
      <c r="R103" s="6" t="s">
        <v>12</v>
      </c>
    </row>
    <row r="104" spans="1:18">
      <c r="A104" s="36">
        <v>3</v>
      </c>
      <c r="B104" s="50">
        <v>37999</v>
      </c>
      <c r="C104" s="40">
        <v>2004</v>
      </c>
      <c r="D104" s="46" t="s">
        <v>18</v>
      </c>
      <c r="E104" s="40">
        <v>1</v>
      </c>
      <c r="F104" s="52">
        <v>5.3851000000000004</v>
      </c>
      <c r="G104" s="52">
        <v>0.10528440263887573</v>
      </c>
      <c r="H104" s="52">
        <v>0</v>
      </c>
      <c r="I104" s="52">
        <v>1.7809284283774076</v>
      </c>
      <c r="J104" s="52">
        <v>4.5632552843316042E-2</v>
      </c>
      <c r="K104" s="52">
        <v>0</v>
      </c>
      <c r="L104" s="34" t="s">
        <v>49</v>
      </c>
      <c r="M104" s="35">
        <f t="shared" ref="M104:R104" si="1">AVERAGE(F104:F127)</f>
        <v>11.028990000000002</v>
      </c>
      <c r="N104" s="35">
        <f t="shared" si="1"/>
        <v>0.18417907312111476</v>
      </c>
      <c r="O104" s="35">
        <f t="shared" si="1"/>
        <v>6.0544399205960872E-2</v>
      </c>
      <c r="P104" s="35">
        <f t="shared" si="1"/>
        <v>1.7886411661947834</v>
      </c>
      <c r="Q104" s="35">
        <f t="shared" si="1"/>
        <v>0.84301669484663955</v>
      </c>
      <c r="R104" s="35">
        <f t="shared" si="1"/>
        <v>3.881569418220098E-3</v>
      </c>
    </row>
    <row r="105" spans="1:18">
      <c r="A105" s="8">
        <v>4</v>
      </c>
      <c r="C105" s="12">
        <v>2004</v>
      </c>
      <c r="D105" s="15" t="s">
        <v>18</v>
      </c>
      <c r="E105" s="12">
        <v>1</v>
      </c>
      <c r="F105" s="16"/>
      <c r="G105" s="16"/>
      <c r="H105" s="16"/>
      <c r="I105" s="16"/>
      <c r="J105" s="16"/>
      <c r="K105" s="16"/>
    </row>
    <row r="106" spans="1:18">
      <c r="A106" s="8">
        <v>3</v>
      </c>
      <c r="B106" s="19">
        <v>38027</v>
      </c>
      <c r="C106" s="12">
        <v>2004</v>
      </c>
      <c r="D106" s="11" t="s">
        <v>19</v>
      </c>
      <c r="E106" s="12">
        <v>2</v>
      </c>
      <c r="F106" s="16">
        <v>5.3371000000000004</v>
      </c>
      <c r="G106" s="16">
        <v>0.24309006200414726</v>
      </c>
      <c r="H106" s="16">
        <v>0</v>
      </c>
      <c r="I106" s="16">
        <v>1.1945989625959736</v>
      </c>
      <c r="J106" s="16">
        <v>8.6273192903857099E-2</v>
      </c>
      <c r="K106" s="16">
        <v>0</v>
      </c>
    </row>
    <row r="107" spans="1:18">
      <c r="A107" s="8">
        <v>4</v>
      </c>
      <c r="B107" s="19">
        <v>38027</v>
      </c>
      <c r="C107" s="12">
        <v>2004</v>
      </c>
      <c r="D107" s="11" t="s">
        <v>19</v>
      </c>
      <c r="E107" s="12">
        <v>2</v>
      </c>
      <c r="F107" s="16">
        <v>2.6084999999999998</v>
      </c>
      <c r="G107" s="16">
        <v>2.4402985768134076E-2</v>
      </c>
      <c r="H107" s="16">
        <v>0</v>
      </c>
      <c r="I107" s="16">
        <v>0.27933945429466439</v>
      </c>
      <c r="J107" s="16">
        <v>0.11624733969784859</v>
      </c>
      <c r="K107" s="16">
        <v>0</v>
      </c>
    </row>
    <row r="108" spans="1:18">
      <c r="A108" s="8">
        <v>3</v>
      </c>
      <c r="B108" s="19">
        <v>38063</v>
      </c>
      <c r="C108" s="12">
        <v>2004</v>
      </c>
      <c r="D108" s="11" t="s">
        <v>20</v>
      </c>
      <c r="E108" s="12">
        <v>3</v>
      </c>
      <c r="F108" s="16">
        <v>13.4383</v>
      </c>
      <c r="G108" s="16">
        <v>2.6234830759778328E-2</v>
      </c>
      <c r="H108" s="16">
        <v>0</v>
      </c>
      <c r="I108" s="16">
        <v>6.1225678193617679</v>
      </c>
      <c r="J108" s="16">
        <v>4.7206611592298914E-2</v>
      </c>
      <c r="K108" s="16">
        <v>0</v>
      </c>
    </row>
    <row r="109" spans="1:18">
      <c r="A109" s="8">
        <v>4</v>
      </c>
      <c r="B109" s="19">
        <v>38063</v>
      </c>
      <c r="C109" s="12">
        <v>2004</v>
      </c>
      <c r="D109" s="11" t="s">
        <v>20</v>
      </c>
      <c r="E109" s="12">
        <v>3</v>
      </c>
      <c r="F109" s="16">
        <v>12.3042</v>
      </c>
      <c r="G109" s="16">
        <v>2.9550395373102101E-2</v>
      </c>
      <c r="H109" s="16">
        <v>0</v>
      </c>
      <c r="I109" s="16">
        <v>5.5160264115233657</v>
      </c>
      <c r="J109" s="16">
        <v>7.1743789554736231E-2</v>
      </c>
      <c r="K109" s="16">
        <v>0</v>
      </c>
    </row>
    <row r="110" spans="1:18">
      <c r="A110" s="8">
        <v>3</v>
      </c>
      <c r="B110" s="19">
        <v>38094</v>
      </c>
      <c r="C110" s="12">
        <v>2004</v>
      </c>
      <c r="D110" s="11" t="s">
        <v>21</v>
      </c>
      <c r="E110" s="12">
        <v>4</v>
      </c>
      <c r="F110" s="16">
        <v>5.4115000000000002</v>
      </c>
      <c r="G110" s="16">
        <v>0.15784524287259907</v>
      </c>
      <c r="H110" s="16">
        <v>0</v>
      </c>
      <c r="I110" s="16">
        <v>1.0041601822292627</v>
      </c>
      <c r="J110" s="16">
        <v>7.0277115039891938E-2</v>
      </c>
      <c r="K110" s="16">
        <v>0</v>
      </c>
    </row>
    <row r="111" spans="1:18">
      <c r="A111" s="8">
        <v>4</v>
      </c>
      <c r="B111" s="19">
        <v>38094</v>
      </c>
      <c r="C111" s="12">
        <v>2004</v>
      </c>
      <c r="D111" s="11" t="s">
        <v>21</v>
      </c>
      <c r="E111" s="12">
        <v>4</v>
      </c>
      <c r="F111" s="16">
        <v>5.7423999999999999</v>
      </c>
      <c r="G111" s="16">
        <v>0.12250571451892452</v>
      </c>
      <c r="H111" s="16">
        <v>0</v>
      </c>
      <c r="I111" s="16">
        <v>0.86191598063387942</v>
      </c>
      <c r="J111" s="16">
        <v>7.4200041663514404E-2</v>
      </c>
      <c r="K111" s="16">
        <v>0</v>
      </c>
    </row>
    <row r="112" spans="1:18">
      <c r="A112" s="8">
        <v>3</v>
      </c>
      <c r="B112" s="19">
        <v>38118</v>
      </c>
      <c r="C112" s="12">
        <v>2004</v>
      </c>
      <c r="D112" s="11" t="s">
        <v>22</v>
      </c>
      <c r="E112" s="12">
        <v>5</v>
      </c>
      <c r="F112" s="16">
        <v>3.6282999999999999</v>
      </c>
      <c r="G112" s="16">
        <v>2.1429458653200766E-2</v>
      </c>
      <c r="H112" s="16">
        <v>0</v>
      </c>
      <c r="I112" s="16">
        <v>0.61489421037302716</v>
      </c>
      <c r="J112" s="16">
        <v>0.38247653781114183</v>
      </c>
      <c r="K112" s="16">
        <v>0</v>
      </c>
    </row>
    <row r="113" spans="1:18">
      <c r="A113" s="8">
        <v>4</v>
      </c>
      <c r="B113" s="19">
        <v>38118</v>
      </c>
      <c r="C113" s="12">
        <v>2004</v>
      </c>
      <c r="D113" s="11" t="s">
        <v>22</v>
      </c>
      <c r="E113" s="12">
        <v>5</v>
      </c>
      <c r="F113" s="16">
        <v>4.9854000000000003</v>
      </c>
      <c r="G113" s="16">
        <v>2.1426401955018132E-2</v>
      </c>
      <c r="H113" s="16">
        <v>0</v>
      </c>
      <c r="I113" s="16">
        <v>0.4525592456868377</v>
      </c>
      <c r="J113" s="16">
        <v>0.94308726872628312</v>
      </c>
      <c r="K113" s="16">
        <v>0</v>
      </c>
    </row>
    <row r="114" spans="1:18">
      <c r="A114" s="8">
        <v>3</v>
      </c>
      <c r="B114" s="19">
        <v>38153</v>
      </c>
      <c r="C114" s="12">
        <v>2004</v>
      </c>
      <c r="D114" s="11" t="s">
        <v>23</v>
      </c>
      <c r="E114" s="12">
        <v>6</v>
      </c>
      <c r="F114" s="16">
        <v>18.753</v>
      </c>
      <c r="G114" s="16">
        <v>0.12806177754013826</v>
      </c>
      <c r="H114" s="16">
        <v>0.91760947473392074</v>
      </c>
      <c r="I114" s="16">
        <v>3.7806646896903122</v>
      </c>
      <c r="J114" s="16">
        <v>2.3008646817213165</v>
      </c>
      <c r="K114" s="16">
        <v>4.1240629709144078E-2</v>
      </c>
    </row>
    <row r="115" spans="1:18">
      <c r="A115" s="8">
        <v>4</v>
      </c>
      <c r="B115" s="19">
        <v>38153</v>
      </c>
      <c r="C115" s="12">
        <v>2004</v>
      </c>
      <c r="D115" s="11" t="s">
        <v>23</v>
      </c>
      <c r="E115" s="12">
        <v>6</v>
      </c>
      <c r="F115" s="16">
        <v>13.9351</v>
      </c>
      <c r="G115" s="16">
        <v>0.13768437453861643</v>
      </c>
      <c r="H115" s="16">
        <v>0.2832702780754639</v>
      </c>
      <c r="I115" s="16">
        <v>1.9564965490913808</v>
      </c>
      <c r="J115" s="16">
        <v>3.0454821386171358</v>
      </c>
      <c r="K115" s="16">
        <v>4.0272328073477984E-2</v>
      </c>
    </row>
    <row r="116" spans="1:18">
      <c r="A116" s="8">
        <v>3</v>
      </c>
      <c r="B116" s="19">
        <v>38181</v>
      </c>
      <c r="C116" s="12">
        <v>2004</v>
      </c>
      <c r="D116" s="15" t="s">
        <v>24</v>
      </c>
      <c r="E116" s="12">
        <v>7</v>
      </c>
      <c r="F116" s="16">
        <v>20.0915</v>
      </c>
      <c r="G116" s="16">
        <v>0.16713010348067212</v>
      </c>
      <c r="H116" s="16">
        <v>7.0552630515793802E-2</v>
      </c>
      <c r="I116" s="16">
        <v>2.2629564231703188</v>
      </c>
      <c r="J116" s="16">
        <v>2.3369501123278074</v>
      </c>
      <c r="K116" s="16">
        <v>0</v>
      </c>
    </row>
    <row r="117" spans="1:18">
      <c r="A117" s="8">
        <v>4</v>
      </c>
      <c r="B117" s="19">
        <v>38181</v>
      </c>
      <c r="C117" s="12">
        <v>2004</v>
      </c>
      <c r="D117" s="15" t="s">
        <v>24</v>
      </c>
      <c r="E117" s="12">
        <v>7</v>
      </c>
      <c r="F117" s="16">
        <v>15.782</v>
      </c>
      <c r="G117" s="16">
        <v>0.16361971245402571</v>
      </c>
      <c r="H117" s="16">
        <v>0</v>
      </c>
      <c r="I117" s="16">
        <v>1.50302472509605</v>
      </c>
      <c r="J117" s="16">
        <v>2.3074698043944819</v>
      </c>
      <c r="K117" s="16">
        <v>0</v>
      </c>
    </row>
    <row r="118" spans="1:18">
      <c r="A118" s="8">
        <v>3</v>
      </c>
      <c r="B118" s="19">
        <v>38217</v>
      </c>
      <c r="C118" s="12">
        <v>2004</v>
      </c>
      <c r="D118" s="15" t="s">
        <v>25</v>
      </c>
      <c r="E118" s="12">
        <v>8</v>
      </c>
      <c r="F118" s="16">
        <v>10.997999999999999</v>
      </c>
      <c r="G118" s="16"/>
      <c r="H118" s="16"/>
      <c r="I118" s="16"/>
      <c r="J118" s="16"/>
      <c r="K118" s="16"/>
    </row>
    <row r="119" spans="1:18">
      <c r="A119" s="8">
        <v>4</v>
      </c>
      <c r="B119" s="19">
        <v>38217</v>
      </c>
      <c r="C119" s="12">
        <v>2004</v>
      </c>
      <c r="D119" s="15" t="s">
        <v>25</v>
      </c>
      <c r="E119" s="12">
        <v>8</v>
      </c>
      <c r="F119" s="16">
        <v>45.216900000000003</v>
      </c>
      <c r="G119" s="16"/>
      <c r="H119" s="16"/>
      <c r="I119" s="16"/>
      <c r="J119" s="16"/>
      <c r="K119" s="16"/>
    </row>
    <row r="120" spans="1:18">
      <c r="A120" s="8">
        <v>3</v>
      </c>
      <c r="B120" s="19">
        <v>38244</v>
      </c>
      <c r="C120" s="12">
        <v>2004</v>
      </c>
      <c r="D120" s="15" t="s">
        <v>26</v>
      </c>
      <c r="E120" s="12">
        <v>9</v>
      </c>
      <c r="F120" s="16">
        <v>12.7507</v>
      </c>
      <c r="G120" s="16">
        <v>0.24309555511422545</v>
      </c>
      <c r="H120" s="16">
        <v>0</v>
      </c>
      <c r="I120" s="16">
        <v>2.510084595556175</v>
      </c>
      <c r="J120" s="16">
        <v>1.5251476549326533</v>
      </c>
      <c r="K120" s="16">
        <v>0</v>
      </c>
    </row>
    <row r="121" spans="1:18">
      <c r="A121" s="8">
        <v>4</v>
      </c>
      <c r="B121" s="19">
        <v>38244</v>
      </c>
      <c r="C121" s="12">
        <v>2004</v>
      </c>
      <c r="D121" s="15" t="s">
        <v>26</v>
      </c>
      <c r="E121" s="12">
        <v>9</v>
      </c>
      <c r="F121" s="16">
        <v>14.0365</v>
      </c>
      <c r="G121" s="16">
        <v>0.21667326180209007</v>
      </c>
      <c r="H121" s="16">
        <v>0</v>
      </c>
      <c r="I121" s="16">
        <v>2.2179829097957726</v>
      </c>
      <c r="J121" s="16">
        <v>1.6940551311670464</v>
      </c>
      <c r="K121" s="16">
        <v>0</v>
      </c>
    </row>
    <row r="122" spans="1:18">
      <c r="A122" s="8">
        <v>3</v>
      </c>
      <c r="B122" s="19">
        <v>38272</v>
      </c>
      <c r="C122" s="12">
        <v>2004</v>
      </c>
      <c r="D122" s="15" t="s">
        <v>14</v>
      </c>
      <c r="E122" s="12">
        <v>10</v>
      </c>
      <c r="F122" s="25">
        <v>7.8767199999999997</v>
      </c>
      <c r="G122" s="15">
        <v>0.75300452005566632</v>
      </c>
      <c r="H122" s="15">
        <v>0</v>
      </c>
      <c r="I122" s="15">
        <v>0.43251658240007279</v>
      </c>
      <c r="J122" s="15">
        <v>0.96561455546181008</v>
      </c>
      <c r="K122" s="15">
        <v>0</v>
      </c>
    </row>
    <row r="123" spans="1:18">
      <c r="A123" s="8">
        <v>4</v>
      </c>
      <c r="B123" s="19">
        <v>38272</v>
      </c>
      <c r="C123" s="12">
        <v>2004</v>
      </c>
      <c r="D123" s="15" t="s">
        <v>14</v>
      </c>
      <c r="E123" s="12">
        <v>10</v>
      </c>
      <c r="F123" s="25">
        <v>6.2694200000000002</v>
      </c>
      <c r="G123" s="15">
        <v>0.10918285997967254</v>
      </c>
      <c r="H123" s="15">
        <v>0</v>
      </c>
      <c r="I123" s="15">
        <v>0.30589665485975986</v>
      </c>
      <c r="J123" s="15">
        <v>1.3525203208672503</v>
      </c>
      <c r="K123" s="15">
        <v>0</v>
      </c>
    </row>
    <row r="124" spans="1:18">
      <c r="A124" s="8">
        <v>3</v>
      </c>
      <c r="B124" s="19">
        <v>38306</v>
      </c>
      <c r="C124" s="12">
        <v>2004</v>
      </c>
      <c r="D124" s="15" t="s">
        <v>16</v>
      </c>
      <c r="E124" s="12">
        <v>11</v>
      </c>
      <c r="F124" s="25">
        <v>6.0825500000000003</v>
      </c>
      <c r="G124" s="15">
        <v>5.2664593826123964E-2</v>
      </c>
      <c r="H124" s="15">
        <v>0</v>
      </c>
      <c r="I124" s="15">
        <v>1.6880263310354644</v>
      </c>
      <c r="J124" s="15">
        <v>7.4091233090591221E-2</v>
      </c>
      <c r="K124" s="15">
        <v>0</v>
      </c>
    </row>
    <row r="125" spans="1:18">
      <c r="A125" s="8">
        <v>4</v>
      </c>
      <c r="B125" s="19">
        <v>38306</v>
      </c>
      <c r="C125" s="12">
        <v>2004</v>
      </c>
      <c r="D125" s="15" t="s">
        <v>16</v>
      </c>
      <c r="E125" s="12">
        <v>11</v>
      </c>
      <c r="F125" s="25">
        <v>6.7589899999999998</v>
      </c>
      <c r="G125" s="15">
        <v>2.3952273369104125E-2</v>
      </c>
      <c r="H125" s="15">
        <v>0</v>
      </c>
      <c r="I125" s="15">
        <v>1.6361387052122456</v>
      </c>
      <c r="J125" s="15">
        <v>0.11067275267299027</v>
      </c>
      <c r="K125" s="15">
        <v>0</v>
      </c>
    </row>
    <row r="126" spans="1:18">
      <c r="A126" s="8">
        <v>3</v>
      </c>
      <c r="B126" s="19">
        <v>38336</v>
      </c>
      <c r="C126" s="12">
        <v>2004</v>
      </c>
      <c r="D126" s="15" t="s">
        <v>17</v>
      </c>
      <c r="E126" s="12">
        <v>12</v>
      </c>
      <c r="F126" s="25">
        <v>4.2297099999999999</v>
      </c>
      <c r="G126" s="15">
        <v>0.30738961384633001</v>
      </c>
      <c r="H126" s="15">
        <v>0</v>
      </c>
      <c r="I126" s="15">
        <v>0.38986576642301346</v>
      </c>
      <c r="J126" s="15">
        <v>4.1446856512349708E-2</v>
      </c>
      <c r="K126" s="15">
        <v>0</v>
      </c>
    </row>
    <row r="127" spans="1:18" ht="25.5">
      <c r="A127" s="8">
        <v>4</v>
      </c>
      <c r="B127" s="19">
        <v>38336</v>
      </c>
      <c r="C127" s="12">
        <v>2004</v>
      </c>
      <c r="D127" s="15" t="s">
        <v>17</v>
      </c>
      <c r="E127" s="12">
        <v>12</v>
      </c>
      <c r="F127" s="25">
        <v>12.044879999999999</v>
      </c>
      <c r="G127" s="15">
        <v>0.81353239499296481</v>
      </c>
      <c r="H127" s="15">
        <v>0</v>
      </c>
      <c r="I127" s="15">
        <v>1.0508198626836853</v>
      </c>
      <c r="J127" s="15">
        <v>0.11189090018110737</v>
      </c>
      <c r="K127" s="15">
        <v>0</v>
      </c>
      <c r="L127" s="34" t="s">
        <v>43</v>
      </c>
      <c r="M127" s="6" t="s">
        <v>7</v>
      </c>
      <c r="N127" s="6" t="s">
        <v>8</v>
      </c>
      <c r="O127" s="6" t="s">
        <v>9</v>
      </c>
      <c r="P127" s="6" t="s">
        <v>10</v>
      </c>
      <c r="Q127" s="6" t="s">
        <v>11</v>
      </c>
      <c r="R127" s="6" t="s">
        <v>12</v>
      </c>
    </row>
    <row r="128" spans="1:18">
      <c r="A128" s="36">
        <v>3</v>
      </c>
      <c r="B128" s="53">
        <v>38362</v>
      </c>
      <c r="C128" s="40">
        <v>2005</v>
      </c>
      <c r="D128" s="46" t="s">
        <v>18</v>
      </c>
      <c r="E128" s="40">
        <v>1</v>
      </c>
      <c r="F128" s="54">
        <v>6.4647300000000003</v>
      </c>
      <c r="G128" s="46">
        <v>0.79039295472254112</v>
      </c>
      <c r="H128" s="46">
        <v>3.153905419461283E-2</v>
      </c>
      <c r="I128" s="46">
        <v>1.0229536860427006</v>
      </c>
      <c r="J128" s="46">
        <v>2.4594402325787579E-2</v>
      </c>
      <c r="K128" s="46">
        <v>0</v>
      </c>
      <c r="L128" s="34" t="s">
        <v>50</v>
      </c>
      <c r="M128" s="35">
        <f t="shared" ref="M128:R128" si="2">AVERAGE(F128:F151)</f>
        <v>12.947370416666665</v>
      </c>
      <c r="N128" s="35">
        <f t="shared" si="2"/>
        <v>0.21146950557879182</v>
      </c>
      <c r="O128" s="35">
        <f t="shared" si="2"/>
        <v>0.13765027296042542</v>
      </c>
      <c r="P128" s="35">
        <f t="shared" si="2"/>
        <v>2.4513893466110495</v>
      </c>
      <c r="Q128" s="35">
        <f t="shared" si="2"/>
        <v>1.0081544019587856</v>
      </c>
      <c r="R128" s="35">
        <f t="shared" si="2"/>
        <v>1.2498162834260503E-2</v>
      </c>
    </row>
    <row r="129" spans="1:12">
      <c r="A129" s="8">
        <v>4</v>
      </c>
      <c r="B129" s="22">
        <v>38362</v>
      </c>
      <c r="C129" s="12">
        <v>2005</v>
      </c>
      <c r="D129" s="15" t="s">
        <v>18</v>
      </c>
      <c r="E129" s="12">
        <v>1</v>
      </c>
      <c r="F129" s="25">
        <v>7.8801500000000004</v>
      </c>
      <c r="G129" s="15">
        <v>1.0814387716043101</v>
      </c>
      <c r="H129" s="15">
        <v>0</v>
      </c>
      <c r="I129" s="15">
        <v>1.1464602924940137</v>
      </c>
      <c r="J129" s="15">
        <v>2.3835237777805787E-2</v>
      </c>
      <c r="K129" s="15">
        <v>0</v>
      </c>
      <c r="L129"/>
    </row>
    <row r="130" spans="1:12">
      <c r="A130" s="8">
        <v>3</v>
      </c>
      <c r="B130" s="22">
        <v>38399</v>
      </c>
      <c r="C130" s="12">
        <v>2005</v>
      </c>
      <c r="D130" s="11" t="s">
        <v>19</v>
      </c>
      <c r="E130" s="12">
        <v>2</v>
      </c>
      <c r="F130" s="25">
        <v>3.33995</v>
      </c>
      <c r="G130" s="15">
        <v>0.1486957008830169</v>
      </c>
      <c r="H130" s="15">
        <v>0</v>
      </c>
      <c r="I130" s="15">
        <v>0.71400904643100782</v>
      </c>
      <c r="J130" s="15">
        <v>3.1026385013023614E-2</v>
      </c>
      <c r="K130" s="15">
        <v>0</v>
      </c>
      <c r="L130"/>
    </row>
    <row r="131" spans="1:12">
      <c r="A131" s="8">
        <v>4</v>
      </c>
      <c r="B131" s="22">
        <v>38399</v>
      </c>
      <c r="C131" s="12">
        <v>2005</v>
      </c>
      <c r="D131" s="11" t="s">
        <v>19</v>
      </c>
      <c r="E131" s="12">
        <v>2</v>
      </c>
      <c r="F131" s="25">
        <v>3.9554900000000002</v>
      </c>
      <c r="G131" s="15">
        <v>0.11561089965104886</v>
      </c>
      <c r="H131" s="15">
        <v>0</v>
      </c>
      <c r="I131" s="15">
        <v>0.4306963603617866</v>
      </c>
      <c r="J131" s="15">
        <v>4.4375618989859575E-2</v>
      </c>
      <c r="K131" s="15">
        <v>0</v>
      </c>
      <c r="L131"/>
    </row>
    <row r="132" spans="1:12">
      <c r="A132" s="8">
        <v>3</v>
      </c>
      <c r="B132" s="22">
        <v>38428</v>
      </c>
      <c r="C132" s="12">
        <v>2005</v>
      </c>
      <c r="D132" s="11" t="s">
        <v>20</v>
      </c>
      <c r="E132" s="12">
        <v>3</v>
      </c>
      <c r="F132" s="25">
        <v>1.1633800000000001</v>
      </c>
      <c r="G132" s="15">
        <v>3.900880519323157E-2</v>
      </c>
      <c r="H132" s="15">
        <v>0</v>
      </c>
      <c r="I132" s="15">
        <v>0.12735903283828598</v>
      </c>
      <c r="J132" s="15">
        <v>8.4816007377382895E-3</v>
      </c>
      <c r="K132" s="15">
        <v>0</v>
      </c>
      <c r="L132"/>
    </row>
    <row r="133" spans="1:12">
      <c r="A133" s="8">
        <v>4</v>
      </c>
      <c r="B133" s="22">
        <v>38428</v>
      </c>
      <c r="C133" s="12">
        <v>2005</v>
      </c>
      <c r="D133" s="11" t="s">
        <v>20</v>
      </c>
      <c r="E133" s="12">
        <v>3</v>
      </c>
      <c r="F133" s="25">
        <v>2.8252999999999999</v>
      </c>
      <c r="G133" s="15">
        <v>4.1975760694782364E-2</v>
      </c>
      <c r="H133" s="15">
        <v>0</v>
      </c>
      <c r="I133" s="15">
        <v>0.192247010677357</v>
      </c>
      <c r="J133" s="15">
        <v>2.7404164700148927E-2</v>
      </c>
      <c r="K133" s="15">
        <v>0</v>
      </c>
      <c r="L133"/>
    </row>
    <row r="134" spans="1:12">
      <c r="A134" s="8">
        <v>3</v>
      </c>
      <c r="B134" s="22">
        <v>38469</v>
      </c>
      <c r="C134" s="12">
        <v>2005</v>
      </c>
      <c r="D134" s="11" t="s">
        <v>21</v>
      </c>
      <c r="E134" s="12">
        <v>4</v>
      </c>
      <c r="F134" s="25">
        <v>3.2155200000000002</v>
      </c>
      <c r="G134" s="15">
        <v>2.8037435902403981E-2</v>
      </c>
      <c r="H134" s="15">
        <v>7.0755575757826789E-2</v>
      </c>
      <c r="I134" s="15">
        <v>1.1625004827323295</v>
      </c>
      <c r="J134" s="15">
        <v>6.9128398466088245E-2</v>
      </c>
      <c r="K134" s="15">
        <v>0</v>
      </c>
      <c r="L134"/>
    </row>
    <row r="135" spans="1:12">
      <c r="A135" s="8">
        <v>4</v>
      </c>
      <c r="B135" s="22">
        <v>38469</v>
      </c>
      <c r="C135" s="12">
        <v>2005</v>
      </c>
      <c r="D135" s="11" t="s">
        <v>21</v>
      </c>
      <c r="E135" s="12">
        <v>4</v>
      </c>
      <c r="F135" s="25">
        <v>5.28355</v>
      </c>
      <c r="G135" s="15">
        <v>5.4061668503020639E-2</v>
      </c>
      <c r="H135" s="15">
        <v>3.072385204826706E-2</v>
      </c>
      <c r="I135" s="15">
        <v>1.2608107263439805</v>
      </c>
      <c r="J135" s="15">
        <v>0.14760352285800149</v>
      </c>
      <c r="K135" s="15">
        <v>0</v>
      </c>
      <c r="L135"/>
    </row>
    <row r="136" spans="1:12">
      <c r="A136" s="8">
        <v>3</v>
      </c>
      <c r="B136" s="22">
        <v>38490</v>
      </c>
      <c r="C136" s="12">
        <v>2005</v>
      </c>
      <c r="D136" s="11" t="s">
        <v>22</v>
      </c>
      <c r="E136" s="12">
        <v>5</v>
      </c>
      <c r="F136" s="25">
        <v>10.451129999999999</v>
      </c>
      <c r="G136" s="15">
        <v>0.10902042975333515</v>
      </c>
      <c r="H136" s="15">
        <v>1.2375259026541607</v>
      </c>
      <c r="I136" s="15">
        <v>4.9755142502901464</v>
      </c>
      <c r="J136" s="15">
        <v>0.31513152104532005</v>
      </c>
      <c r="K136" s="15">
        <v>1.5847942843687918E-2</v>
      </c>
      <c r="L136"/>
    </row>
    <row r="137" spans="1:12">
      <c r="A137" s="8">
        <v>4</v>
      </c>
      <c r="B137" s="22">
        <v>38490</v>
      </c>
      <c r="C137" s="12">
        <v>2005</v>
      </c>
      <c r="D137" s="11" t="s">
        <v>22</v>
      </c>
      <c r="E137" s="12">
        <v>5</v>
      </c>
      <c r="F137" s="25">
        <v>10.21026</v>
      </c>
      <c r="G137" s="15">
        <v>0.14983383455615065</v>
      </c>
      <c r="H137" s="15">
        <v>0.9143</v>
      </c>
      <c r="I137" s="15">
        <v>4.507891551131145</v>
      </c>
      <c r="J137" s="15">
        <v>0.51337113549156588</v>
      </c>
      <c r="K137" s="15">
        <v>3.3817420872577351E-2</v>
      </c>
      <c r="L137"/>
    </row>
    <row r="138" spans="1:12">
      <c r="A138" s="8">
        <v>3</v>
      </c>
      <c r="B138" s="22">
        <v>38518</v>
      </c>
      <c r="C138" s="12">
        <v>2005</v>
      </c>
      <c r="D138" s="11" t="s">
        <v>23</v>
      </c>
      <c r="E138" s="12">
        <v>6</v>
      </c>
      <c r="F138" s="25">
        <v>13.36988</v>
      </c>
      <c r="G138" s="15">
        <v>0.10979844355443795</v>
      </c>
      <c r="H138" s="15">
        <v>7.2304966870211498E-2</v>
      </c>
      <c r="I138" s="15">
        <v>3.2752573046300775</v>
      </c>
      <c r="J138" s="15">
        <v>1.301783497139914</v>
      </c>
      <c r="K138" s="15">
        <v>2.2588569022809479E-2</v>
      </c>
      <c r="L138"/>
    </row>
    <row r="139" spans="1:12">
      <c r="A139" s="8">
        <v>4</v>
      </c>
      <c r="B139" s="22">
        <v>38518</v>
      </c>
      <c r="C139" s="12">
        <v>2005</v>
      </c>
      <c r="D139" s="11" t="s">
        <v>23</v>
      </c>
      <c r="E139" s="12">
        <v>6</v>
      </c>
      <c r="F139" s="25">
        <v>16.137519999999999</v>
      </c>
      <c r="G139" s="15">
        <v>0.14870503329761092</v>
      </c>
      <c r="H139" s="15">
        <v>0.13528502300466791</v>
      </c>
      <c r="I139" s="15">
        <v>2.50465349948953</v>
      </c>
      <c r="J139" s="15">
        <v>2.793553318231409</v>
      </c>
      <c r="K139" s="15">
        <v>3.3420735286238241E-2</v>
      </c>
      <c r="L139"/>
    </row>
    <row r="140" spans="1:12">
      <c r="A140" s="8">
        <v>3</v>
      </c>
      <c r="B140" s="22">
        <v>38547</v>
      </c>
      <c r="C140" s="12">
        <v>2005</v>
      </c>
      <c r="D140" s="15" t="s">
        <v>24</v>
      </c>
      <c r="E140" s="12">
        <v>7</v>
      </c>
      <c r="F140" s="25">
        <v>21.922049999999999</v>
      </c>
      <c r="G140" s="15">
        <v>0.38765604132340864</v>
      </c>
      <c r="H140" s="15">
        <v>3.6026400815063891E-2</v>
      </c>
      <c r="I140" s="15">
        <v>1.8764156773865563</v>
      </c>
      <c r="J140" s="15">
        <v>1.8903261202070181</v>
      </c>
      <c r="K140" s="15">
        <v>3.3002913317631007E-2</v>
      </c>
      <c r="L140"/>
    </row>
    <row r="141" spans="1:12">
      <c r="A141" s="8">
        <v>4</v>
      </c>
      <c r="B141" s="22">
        <v>38547</v>
      </c>
      <c r="C141" s="12">
        <v>2005</v>
      </c>
      <c r="D141" s="15" t="s">
        <v>24</v>
      </c>
      <c r="E141" s="12">
        <v>7</v>
      </c>
      <c r="F141" s="25">
        <v>23.777570000000001</v>
      </c>
      <c r="G141" s="15">
        <v>0.34114825985995367</v>
      </c>
      <c r="H141" s="15">
        <v>0.12093240197444738</v>
      </c>
      <c r="I141" s="15">
        <v>2.67984476525467</v>
      </c>
      <c r="J141" s="15">
        <v>1.9867539907154301</v>
      </c>
      <c r="K141" s="15">
        <v>5.7338588386035727E-2</v>
      </c>
      <c r="L141"/>
    </row>
    <row r="142" spans="1:12">
      <c r="A142" s="8">
        <v>3</v>
      </c>
      <c r="B142" s="22">
        <v>38589</v>
      </c>
      <c r="C142" s="12">
        <v>2005</v>
      </c>
      <c r="D142" s="15" t="s">
        <v>25</v>
      </c>
      <c r="E142" s="12">
        <v>8</v>
      </c>
      <c r="F142" s="25">
        <v>22.433710000000001</v>
      </c>
      <c r="G142" s="15">
        <v>0.37035977914712909</v>
      </c>
      <c r="H142" s="15">
        <v>0</v>
      </c>
      <c r="I142" s="15">
        <v>3.5460154461443412</v>
      </c>
      <c r="J142" s="15">
        <v>1.6444007218854446</v>
      </c>
      <c r="K142" s="15">
        <v>3.1405475204981832E-2</v>
      </c>
      <c r="L142"/>
    </row>
    <row r="143" spans="1:12">
      <c r="A143" s="8">
        <v>4</v>
      </c>
      <c r="B143" s="22">
        <v>38589</v>
      </c>
      <c r="C143" s="12">
        <v>2005</v>
      </c>
      <c r="D143" s="15" t="s">
        <v>25</v>
      </c>
      <c r="E143" s="12">
        <v>8</v>
      </c>
      <c r="F143" s="25">
        <v>33.627569999999999</v>
      </c>
      <c r="G143" s="15">
        <v>0.21545050244673453</v>
      </c>
      <c r="H143" s="15">
        <v>0</v>
      </c>
      <c r="I143" s="15">
        <v>4.0881671717073989</v>
      </c>
      <c r="J143" s="15">
        <v>1.9040856056105231</v>
      </c>
      <c r="K143" s="15">
        <v>0</v>
      </c>
      <c r="L143"/>
    </row>
    <row r="144" spans="1:12">
      <c r="A144" s="8">
        <v>3</v>
      </c>
      <c r="B144" s="22">
        <v>38608</v>
      </c>
      <c r="C144" s="12">
        <v>2005</v>
      </c>
      <c r="D144" s="15" t="s">
        <v>26</v>
      </c>
      <c r="E144" s="12">
        <v>9</v>
      </c>
      <c r="F144" s="25">
        <v>21.672129999999999</v>
      </c>
      <c r="G144" s="15">
        <v>0.24170076802404938</v>
      </c>
      <c r="H144" s="15">
        <v>0.10893420091382496</v>
      </c>
      <c r="I144" s="15">
        <v>2.5599549804538144</v>
      </c>
      <c r="J144" s="15">
        <v>3.8467312191804166</v>
      </c>
      <c r="K144" s="15">
        <v>3.1996110141567571E-2</v>
      </c>
      <c r="L144"/>
    </row>
    <row r="145" spans="1:18">
      <c r="A145" s="8">
        <v>4</v>
      </c>
      <c r="B145" s="22">
        <v>38608</v>
      </c>
      <c r="C145" s="12">
        <v>2005</v>
      </c>
      <c r="D145" s="15" t="s">
        <v>26</v>
      </c>
      <c r="E145" s="12">
        <v>9</v>
      </c>
      <c r="F145" s="25">
        <v>22.488399999999999</v>
      </c>
      <c r="G145" s="15">
        <v>0.1695730447738365</v>
      </c>
      <c r="H145" s="15">
        <v>8.5279172817126214E-2</v>
      </c>
      <c r="I145" s="15">
        <v>2.3096930342560467</v>
      </c>
      <c r="J145" s="15">
        <v>4.2412191866353597</v>
      </c>
      <c r="K145" s="15">
        <v>3.9938152946723031E-2</v>
      </c>
      <c r="N145" s="55"/>
    </row>
    <row r="146" spans="1:18">
      <c r="A146" s="8">
        <v>3</v>
      </c>
      <c r="B146" s="22">
        <v>38636</v>
      </c>
      <c r="C146" s="12">
        <v>2005</v>
      </c>
      <c r="D146" s="15" t="s">
        <v>14</v>
      </c>
      <c r="E146" s="12">
        <v>10</v>
      </c>
      <c r="F146" s="56">
        <v>21.386600000000001</v>
      </c>
      <c r="G146" s="56">
        <v>2.8799999999999999E-2</v>
      </c>
      <c r="H146" s="56">
        <v>1E-4</v>
      </c>
      <c r="I146" s="56">
        <v>6.3696000000000002</v>
      </c>
      <c r="J146" s="56">
        <v>0.96650000000000003</v>
      </c>
      <c r="K146" s="56">
        <v>1E-4</v>
      </c>
    </row>
    <row r="147" spans="1:18">
      <c r="A147" s="8">
        <v>4</v>
      </c>
      <c r="B147" s="22">
        <v>38636</v>
      </c>
      <c r="C147" s="12">
        <v>2005</v>
      </c>
      <c r="D147" s="15" t="s">
        <v>14</v>
      </c>
      <c r="E147" s="12">
        <v>10</v>
      </c>
      <c r="F147" s="56">
        <v>27.834599999999998</v>
      </c>
      <c r="G147" s="56">
        <v>7.1599999999999997E-2</v>
      </c>
      <c r="H147" s="56">
        <v>1E-4</v>
      </c>
      <c r="I147" s="56">
        <v>5.1101999999999999</v>
      </c>
      <c r="J147" s="56">
        <v>1.9530000000000001</v>
      </c>
      <c r="K147" s="56">
        <v>1E-4</v>
      </c>
    </row>
    <row r="148" spans="1:18">
      <c r="A148" s="8">
        <v>3</v>
      </c>
      <c r="B148" s="22">
        <v>38671</v>
      </c>
      <c r="C148" s="12">
        <v>2005</v>
      </c>
      <c r="D148" s="15" t="s">
        <v>16</v>
      </c>
      <c r="E148" s="12">
        <v>11</v>
      </c>
      <c r="F148" s="56">
        <v>6.7521000000000004</v>
      </c>
      <c r="G148" s="56">
        <v>2.01E-2</v>
      </c>
      <c r="H148" s="56">
        <v>0.2135</v>
      </c>
      <c r="I148" s="56">
        <v>2.379</v>
      </c>
      <c r="J148" s="56">
        <v>0.11799999999999999</v>
      </c>
      <c r="K148" s="56">
        <v>1E-4</v>
      </c>
    </row>
    <row r="149" spans="1:18">
      <c r="A149" s="8">
        <v>4</v>
      </c>
      <c r="B149" s="22">
        <v>38671</v>
      </c>
      <c r="C149" s="12">
        <v>2005</v>
      </c>
      <c r="D149" s="15" t="s">
        <v>16</v>
      </c>
      <c r="E149" s="12">
        <v>11</v>
      </c>
      <c r="F149" s="56">
        <v>8.98</v>
      </c>
      <c r="G149" s="56">
        <v>3.6999999999999998E-2</v>
      </c>
      <c r="H149" s="56">
        <v>0.24610000000000001</v>
      </c>
      <c r="I149" s="56">
        <v>2.8847999999999998</v>
      </c>
      <c r="J149" s="56">
        <v>0.25130000000000002</v>
      </c>
      <c r="K149" s="56">
        <v>1E-4</v>
      </c>
    </row>
    <row r="150" spans="1:18">
      <c r="A150" s="8">
        <v>3</v>
      </c>
      <c r="B150" s="22">
        <v>38707</v>
      </c>
      <c r="C150" s="12">
        <v>2005</v>
      </c>
      <c r="D150" s="15" t="s">
        <v>17</v>
      </c>
      <c r="E150" s="12">
        <v>12</v>
      </c>
      <c r="F150" s="56">
        <v>5.8943000000000003</v>
      </c>
      <c r="G150" s="56">
        <v>6.1400000000000003E-2</v>
      </c>
      <c r="H150" s="56">
        <v>1E-4</v>
      </c>
      <c r="I150" s="56">
        <v>1.4137999999999999</v>
      </c>
      <c r="J150" s="56">
        <v>3.5200000000000002E-2</v>
      </c>
      <c r="K150" s="56">
        <v>1E-4</v>
      </c>
    </row>
    <row r="151" spans="1:18" ht="25.5">
      <c r="A151" s="8">
        <v>4</v>
      </c>
      <c r="B151" s="22">
        <v>38707</v>
      </c>
      <c r="C151" s="12">
        <v>2005</v>
      </c>
      <c r="D151" s="15" t="s">
        <v>17</v>
      </c>
      <c r="E151" s="12">
        <v>12</v>
      </c>
      <c r="F151" s="56">
        <v>9.6709999999999994</v>
      </c>
      <c r="G151" s="56">
        <v>0.31390000000000001</v>
      </c>
      <c r="H151" s="56">
        <v>1E-4</v>
      </c>
      <c r="I151" s="56">
        <v>2.2955000000000001</v>
      </c>
      <c r="J151" s="56">
        <v>5.79E-2</v>
      </c>
      <c r="K151" s="56">
        <v>1E-4</v>
      </c>
      <c r="L151" s="34" t="s">
        <v>51</v>
      </c>
      <c r="M151" s="6" t="s">
        <v>7</v>
      </c>
      <c r="N151" s="6" t="s">
        <v>8</v>
      </c>
      <c r="O151" s="6" t="s">
        <v>9</v>
      </c>
      <c r="P151" s="6" t="s">
        <v>10</v>
      </c>
      <c r="Q151" s="6" t="s">
        <v>11</v>
      </c>
      <c r="R151" s="6" t="s">
        <v>12</v>
      </c>
    </row>
    <row r="152" spans="1:18">
      <c r="A152" s="40">
        <v>3</v>
      </c>
      <c r="B152" s="53">
        <v>38734</v>
      </c>
      <c r="C152" s="40">
        <v>2006</v>
      </c>
      <c r="D152" s="42" t="s">
        <v>18</v>
      </c>
      <c r="E152" s="40">
        <v>1</v>
      </c>
      <c r="F152" s="57">
        <v>4.3461999999999996</v>
      </c>
      <c r="G152" s="57">
        <v>0.30480000000000002</v>
      </c>
      <c r="H152" s="57">
        <v>4.7500000000000001E-2</v>
      </c>
      <c r="I152" s="57">
        <v>1.0976999999999999</v>
      </c>
      <c r="J152" s="57">
        <v>4.48E-2</v>
      </c>
      <c r="K152" s="57">
        <v>1E-4</v>
      </c>
      <c r="L152" s="34" t="s">
        <v>52</v>
      </c>
      <c r="M152" s="35">
        <f t="shared" ref="M152:R152" si="3">AVERAGE(F152:F175)</f>
        <v>13.368674999999998</v>
      </c>
      <c r="N152" s="35">
        <f t="shared" si="3"/>
        <v>0.15064583333333334</v>
      </c>
      <c r="O152" s="35">
        <f t="shared" si="3"/>
        <v>0.28073333333333339</v>
      </c>
      <c r="P152" s="35">
        <f t="shared" si="3"/>
        <v>3.523320833333333</v>
      </c>
      <c r="Q152" s="35">
        <f t="shared" si="3"/>
        <v>0.85032500000000011</v>
      </c>
      <c r="R152" s="35">
        <f t="shared" si="3"/>
        <v>3.4499749999999997E-3</v>
      </c>
    </row>
    <row r="153" spans="1:18">
      <c r="A153" s="12">
        <v>4</v>
      </c>
      <c r="B153" s="22">
        <v>38734</v>
      </c>
      <c r="C153" s="12">
        <v>2006</v>
      </c>
      <c r="D153" s="11" t="s">
        <v>18</v>
      </c>
      <c r="E153" s="12">
        <v>1</v>
      </c>
      <c r="F153" s="56">
        <v>9.3907000000000007</v>
      </c>
      <c r="G153" s="56">
        <v>0.46810000000000002</v>
      </c>
      <c r="H153" s="56">
        <v>1E-4</v>
      </c>
      <c r="I153" s="56">
        <v>1.978</v>
      </c>
      <c r="J153" s="56">
        <v>9.6699999999999994E-2</v>
      </c>
      <c r="K153" s="56">
        <v>1E-4</v>
      </c>
    </row>
    <row r="154" spans="1:18">
      <c r="A154" s="12">
        <v>3</v>
      </c>
      <c r="B154" s="22">
        <v>38762</v>
      </c>
      <c r="C154" s="15">
        <v>2006</v>
      </c>
      <c r="D154" s="11" t="s">
        <v>28</v>
      </c>
      <c r="E154" s="15">
        <v>2</v>
      </c>
      <c r="F154" s="56">
        <v>6.3464999999999998</v>
      </c>
      <c r="G154" s="56">
        <v>7.85E-2</v>
      </c>
      <c r="H154" s="56">
        <v>6.4399999999999999E-2</v>
      </c>
      <c r="I154" s="56">
        <v>1.4267000000000001</v>
      </c>
      <c r="J154" s="56">
        <v>9.0800000000000006E-2</v>
      </c>
      <c r="K154" s="56">
        <v>1E-4</v>
      </c>
    </row>
    <row r="155" spans="1:18">
      <c r="A155" s="12">
        <v>4</v>
      </c>
      <c r="B155" s="22">
        <v>38762</v>
      </c>
      <c r="C155" s="15">
        <v>2006</v>
      </c>
      <c r="D155" s="11" t="s">
        <v>28</v>
      </c>
      <c r="E155" s="15">
        <v>2</v>
      </c>
      <c r="F155" s="56">
        <v>3.6261999999999999</v>
      </c>
      <c r="G155" s="56">
        <v>2.7400000000000001E-2</v>
      </c>
      <c r="H155" s="56">
        <v>1E-4</v>
      </c>
      <c r="I155" s="56">
        <v>0.72609999999999997</v>
      </c>
      <c r="J155" s="56">
        <v>7.6300000000000007E-2</v>
      </c>
      <c r="K155" s="56">
        <v>1E-4</v>
      </c>
    </row>
    <row r="156" spans="1:18">
      <c r="A156" s="12">
        <v>3</v>
      </c>
      <c r="B156" s="22">
        <v>38789</v>
      </c>
      <c r="C156" s="12">
        <v>2006</v>
      </c>
      <c r="D156" s="11" t="s">
        <v>29</v>
      </c>
      <c r="E156" s="15">
        <v>3</v>
      </c>
      <c r="F156" s="56">
        <v>4.9821999999999997</v>
      </c>
      <c r="G156" s="56">
        <v>1.8700000000000001E-2</v>
      </c>
      <c r="H156" s="56">
        <v>7.9299999999999995E-2</v>
      </c>
      <c r="I156" s="56">
        <v>1.8001</v>
      </c>
      <c r="J156" s="56">
        <v>3.5900000000000001E-2</v>
      </c>
      <c r="K156" s="56">
        <v>1E-4</v>
      </c>
    </row>
    <row r="157" spans="1:18">
      <c r="A157" s="12">
        <v>4</v>
      </c>
      <c r="B157" s="22">
        <v>38789</v>
      </c>
      <c r="C157" s="12">
        <v>2006</v>
      </c>
      <c r="D157" s="11" t="s">
        <v>29</v>
      </c>
      <c r="E157" s="15">
        <v>3</v>
      </c>
      <c r="F157" s="56">
        <v>5.0571999999999999</v>
      </c>
      <c r="G157" s="56">
        <v>1.6400000000000001E-2</v>
      </c>
      <c r="H157" s="56">
        <v>7.3099999999999998E-2</v>
      </c>
      <c r="I157" s="56">
        <v>1.7265999999999999</v>
      </c>
      <c r="J157" s="56">
        <v>3.6799999999999999E-2</v>
      </c>
      <c r="K157" s="56">
        <v>1E-4</v>
      </c>
    </row>
    <row r="158" spans="1:18">
      <c r="A158" s="12">
        <v>3</v>
      </c>
      <c r="B158" s="9">
        <v>38825</v>
      </c>
      <c r="C158" s="12">
        <v>2006</v>
      </c>
      <c r="D158" s="11" t="s">
        <v>30</v>
      </c>
      <c r="E158" s="12">
        <v>4</v>
      </c>
      <c r="F158" s="56">
        <v>6.5778999999999996</v>
      </c>
      <c r="G158" s="56">
        <v>3.7499999999999999E-2</v>
      </c>
      <c r="H158" s="56">
        <v>0.1444</v>
      </c>
      <c r="I158" s="56">
        <v>2.4382999999999999</v>
      </c>
      <c r="J158" s="56">
        <v>0.22359999999999999</v>
      </c>
      <c r="K158" s="56">
        <v>1E-4</v>
      </c>
    </row>
    <row r="159" spans="1:18">
      <c r="A159" s="12">
        <v>4</v>
      </c>
      <c r="B159" s="9">
        <v>38825</v>
      </c>
      <c r="C159" s="12">
        <v>2006</v>
      </c>
      <c r="D159" s="11" t="s">
        <v>30</v>
      </c>
      <c r="E159" s="12">
        <v>4</v>
      </c>
      <c r="F159" s="56">
        <v>9.2342999999999993</v>
      </c>
      <c r="G159" s="56">
        <v>0.1123</v>
      </c>
      <c r="H159" s="56">
        <v>0.14319999999999999</v>
      </c>
      <c r="I159" s="56">
        <v>2.3047</v>
      </c>
      <c r="J159" s="56">
        <v>0.43540000000000001</v>
      </c>
      <c r="K159" s="56">
        <v>1E-4</v>
      </c>
    </row>
    <row r="160" spans="1:18">
      <c r="A160" s="12">
        <v>3</v>
      </c>
      <c r="B160" s="9">
        <v>38852</v>
      </c>
      <c r="C160" s="12">
        <v>2006</v>
      </c>
      <c r="D160" s="11" t="s">
        <v>31</v>
      </c>
      <c r="E160" s="12">
        <v>5</v>
      </c>
      <c r="F160" s="56">
        <v>4.8865999999999996</v>
      </c>
      <c r="G160" s="56">
        <v>0.114</v>
      </c>
      <c r="H160" s="56">
        <v>0.4793</v>
      </c>
      <c r="I160" s="56">
        <v>1.7487999999999999</v>
      </c>
      <c r="J160" s="56">
        <v>0.34839999999999999</v>
      </c>
      <c r="K160" s="56">
        <v>1E-4</v>
      </c>
    </row>
    <row r="161" spans="1:18">
      <c r="A161" s="12">
        <v>4</v>
      </c>
      <c r="B161" s="9">
        <v>38852</v>
      </c>
      <c r="C161" s="12">
        <v>2006</v>
      </c>
      <c r="D161" s="11" t="s">
        <v>31</v>
      </c>
      <c r="E161" s="12">
        <v>5</v>
      </c>
      <c r="F161" s="56">
        <v>8.3722999999999992</v>
      </c>
      <c r="G161" s="56">
        <v>9.2799999999999994E-2</v>
      </c>
      <c r="H161" s="56">
        <v>0.38400000000000001</v>
      </c>
      <c r="I161" s="56">
        <v>2.6331000000000002</v>
      </c>
      <c r="J161" s="56">
        <v>0.70399999999999996</v>
      </c>
      <c r="K161" s="56">
        <v>9.2999999999999992E-3</v>
      </c>
    </row>
    <row r="162" spans="1:18">
      <c r="A162" s="12">
        <v>3</v>
      </c>
      <c r="B162" s="9">
        <v>38883</v>
      </c>
      <c r="C162" s="12">
        <v>2006</v>
      </c>
      <c r="D162" s="11" t="s">
        <v>32</v>
      </c>
      <c r="E162" s="12">
        <v>6</v>
      </c>
      <c r="F162" s="56">
        <v>18.6966</v>
      </c>
      <c r="G162" s="56">
        <v>0.12479999999999999</v>
      </c>
      <c r="H162" s="56">
        <v>0.97909999999999997</v>
      </c>
      <c r="I162" s="56">
        <v>4.5848000000000004</v>
      </c>
      <c r="J162" s="56">
        <v>1.2749999999999999</v>
      </c>
      <c r="K162" s="56">
        <v>2.6800000000000001E-2</v>
      </c>
    </row>
    <row r="163" spans="1:18">
      <c r="A163" s="12">
        <v>4</v>
      </c>
      <c r="B163" s="9">
        <v>38883</v>
      </c>
      <c r="C163" s="12">
        <v>2006</v>
      </c>
      <c r="D163" s="11" t="s">
        <v>32</v>
      </c>
      <c r="E163" s="12">
        <v>6</v>
      </c>
      <c r="F163" s="56">
        <v>25.342700000000001</v>
      </c>
      <c r="G163" s="56">
        <v>0.18809999999999999</v>
      </c>
      <c r="H163" s="56">
        <v>0.58250000000000002</v>
      </c>
      <c r="I163" s="56">
        <v>4.9683999999999999</v>
      </c>
      <c r="J163" s="56">
        <v>1.9601</v>
      </c>
      <c r="K163" s="56">
        <v>3.9199999999999999E-2</v>
      </c>
    </row>
    <row r="164" spans="1:18">
      <c r="A164" s="12">
        <v>3</v>
      </c>
      <c r="B164" s="9">
        <v>38916</v>
      </c>
      <c r="C164" s="12">
        <v>2006</v>
      </c>
      <c r="D164" s="11" t="s">
        <v>33</v>
      </c>
      <c r="E164" s="12">
        <v>7</v>
      </c>
      <c r="F164" s="56">
        <v>17.1892</v>
      </c>
      <c r="G164" s="56">
        <v>0.2772</v>
      </c>
      <c r="H164" s="56">
        <v>1E-4</v>
      </c>
      <c r="I164" s="56">
        <v>1.8746</v>
      </c>
      <c r="J164" s="56">
        <v>2.2170000000000001</v>
      </c>
      <c r="K164" s="56">
        <v>1E-4</v>
      </c>
    </row>
    <row r="165" spans="1:18">
      <c r="A165" s="12">
        <v>4</v>
      </c>
      <c r="B165" s="9">
        <v>38916</v>
      </c>
      <c r="C165" s="12">
        <v>2006</v>
      </c>
      <c r="D165" s="11" t="s">
        <v>33</v>
      </c>
      <c r="E165" s="12">
        <v>7</v>
      </c>
      <c r="F165" s="56">
        <v>27.236799999999999</v>
      </c>
      <c r="G165" s="56">
        <v>0.37969999999999998</v>
      </c>
      <c r="H165" s="56">
        <v>1E-4</v>
      </c>
      <c r="I165" s="56">
        <v>3.5665</v>
      </c>
      <c r="J165" s="56">
        <v>2.9355000000000002</v>
      </c>
      <c r="K165" s="56">
        <v>1E-4</v>
      </c>
    </row>
    <row r="166" spans="1:18">
      <c r="A166" s="12">
        <v>3</v>
      </c>
      <c r="B166" s="9">
        <v>38953</v>
      </c>
      <c r="C166" s="12">
        <v>2006</v>
      </c>
      <c r="D166" s="11" t="s">
        <v>34</v>
      </c>
      <c r="E166" s="12">
        <v>8</v>
      </c>
      <c r="F166" s="56">
        <v>12.1</v>
      </c>
      <c r="G166" s="56">
        <v>0.14349999999999999</v>
      </c>
      <c r="H166" s="56">
        <v>1E-4</v>
      </c>
      <c r="I166" s="56">
        <v>3.1225000000000001</v>
      </c>
      <c r="J166" s="56">
        <v>1.2954000000000001</v>
      </c>
      <c r="K166" s="56">
        <v>1E-4</v>
      </c>
    </row>
    <row r="167" spans="1:18">
      <c r="A167" s="12">
        <v>4</v>
      </c>
      <c r="B167" s="9">
        <v>38953</v>
      </c>
      <c r="C167" s="12">
        <v>2006</v>
      </c>
      <c r="D167" s="11" t="s">
        <v>34</v>
      </c>
      <c r="E167" s="12">
        <v>8</v>
      </c>
      <c r="F167" s="56">
        <v>25.657399999999999</v>
      </c>
      <c r="G167" s="56">
        <v>0.15529999999999999</v>
      </c>
      <c r="H167" s="56">
        <v>1E-4</v>
      </c>
      <c r="I167" s="56">
        <v>2.6025</v>
      </c>
      <c r="J167" s="56">
        <v>2.6591999999999998</v>
      </c>
      <c r="K167" s="56">
        <v>1E-4</v>
      </c>
    </row>
    <row r="168" spans="1:18">
      <c r="A168" s="12">
        <v>3</v>
      </c>
      <c r="B168" s="9">
        <v>38972</v>
      </c>
      <c r="C168" s="12">
        <v>2006</v>
      </c>
      <c r="D168" s="11" t="s">
        <v>35</v>
      </c>
      <c r="E168" s="12">
        <v>9</v>
      </c>
      <c r="F168" s="56">
        <v>12.8247</v>
      </c>
      <c r="G168" s="56">
        <v>0.32240000000000002</v>
      </c>
      <c r="H168" s="56">
        <v>1E-4</v>
      </c>
      <c r="I168" s="56">
        <v>3.0175000000000001</v>
      </c>
      <c r="J168" s="56">
        <v>0.7419</v>
      </c>
      <c r="K168" s="56">
        <v>1E-4</v>
      </c>
    </row>
    <row r="169" spans="1:18">
      <c r="A169" s="12">
        <v>4</v>
      </c>
      <c r="B169" s="9">
        <v>38972</v>
      </c>
      <c r="C169" s="12">
        <v>2006</v>
      </c>
      <c r="D169" s="11" t="s">
        <v>35</v>
      </c>
      <c r="E169" s="12">
        <v>9</v>
      </c>
      <c r="F169" s="56">
        <v>21.657699999999998</v>
      </c>
      <c r="G169" s="56">
        <v>0.11799999999999999</v>
      </c>
      <c r="H169" s="56">
        <v>1E-4</v>
      </c>
      <c r="I169" s="56">
        <v>5.9207999999999998</v>
      </c>
      <c r="J169" s="56">
        <v>1.044</v>
      </c>
      <c r="K169" s="56">
        <v>1E-4</v>
      </c>
    </row>
    <row r="170" spans="1:18">
      <c r="A170" s="12">
        <v>3</v>
      </c>
      <c r="B170" s="9">
        <v>39008</v>
      </c>
      <c r="C170" s="12">
        <v>2006</v>
      </c>
      <c r="D170" s="11" t="s">
        <v>36</v>
      </c>
      <c r="E170" s="12">
        <v>10</v>
      </c>
      <c r="F170" s="31">
        <v>17.082000000000001</v>
      </c>
      <c r="G170" s="31">
        <v>4.1000000000000002E-2</v>
      </c>
      <c r="H170" s="31">
        <v>1.0049999999999999</v>
      </c>
      <c r="I170" s="31">
        <v>7.2649999999999997</v>
      </c>
      <c r="J170" s="31">
        <v>1.395</v>
      </c>
      <c r="K170" s="31">
        <v>9.9989999999999996E-4</v>
      </c>
    </row>
    <row r="171" spans="1:18">
      <c r="A171" s="12">
        <v>4</v>
      </c>
      <c r="B171" s="9">
        <v>39008</v>
      </c>
      <c r="C171" s="12">
        <v>2006</v>
      </c>
      <c r="D171" s="11" t="s">
        <v>36</v>
      </c>
      <c r="E171" s="12">
        <v>10</v>
      </c>
      <c r="F171" s="31">
        <v>17.042000000000002</v>
      </c>
      <c r="G171" s="31">
        <v>0.05</v>
      </c>
      <c r="H171" s="31">
        <v>0.84299999999999997</v>
      </c>
      <c r="I171" s="31">
        <v>6.7160000000000002</v>
      </c>
      <c r="J171" s="31">
        <v>1.655</v>
      </c>
      <c r="K171" s="31">
        <v>9.9989999999999996E-4</v>
      </c>
    </row>
    <row r="172" spans="1:18">
      <c r="A172" s="12">
        <v>3</v>
      </c>
      <c r="B172" s="9">
        <v>39035</v>
      </c>
      <c r="C172" s="12">
        <v>2006</v>
      </c>
      <c r="D172" s="11" t="s">
        <v>37</v>
      </c>
      <c r="E172" s="12">
        <v>11</v>
      </c>
      <c r="F172" s="31">
        <v>15.141999999999999</v>
      </c>
      <c r="G172" s="31">
        <v>0.123</v>
      </c>
      <c r="H172" s="31">
        <v>0.46600000000000003</v>
      </c>
      <c r="I172" s="31">
        <v>6.0430000000000001</v>
      </c>
      <c r="J172" s="31">
        <v>0.23300000000000001</v>
      </c>
      <c r="K172" s="31">
        <v>9.9989999999999996E-4</v>
      </c>
    </row>
    <row r="173" spans="1:18">
      <c r="A173" s="12">
        <v>4</v>
      </c>
      <c r="B173" s="9">
        <v>39035</v>
      </c>
      <c r="C173" s="12">
        <v>2006</v>
      </c>
      <c r="D173" s="11" t="s">
        <v>37</v>
      </c>
      <c r="E173" s="12">
        <v>11</v>
      </c>
      <c r="F173" s="31">
        <v>27.632000000000001</v>
      </c>
      <c r="G173" s="31">
        <v>0.129</v>
      </c>
      <c r="H173" s="31">
        <v>0.33600000000000002</v>
      </c>
      <c r="I173" s="31">
        <v>9.3800000000000008</v>
      </c>
      <c r="J173" s="31">
        <v>0.28499999999999998</v>
      </c>
      <c r="K173" s="31">
        <v>9.9989999999999996E-4</v>
      </c>
    </row>
    <row r="174" spans="1:18">
      <c r="A174" s="12">
        <v>3</v>
      </c>
      <c r="B174" s="22">
        <v>39063</v>
      </c>
      <c r="C174" s="15">
        <v>2006</v>
      </c>
      <c r="D174" s="11" t="s">
        <v>38</v>
      </c>
      <c r="E174" s="15">
        <v>12</v>
      </c>
      <c r="F174" s="31">
        <v>10.353</v>
      </c>
      <c r="G174" s="31">
        <v>0.112</v>
      </c>
      <c r="H174" s="31">
        <v>0.77800000000000002</v>
      </c>
      <c r="I174" s="31">
        <v>4.3529999999999998</v>
      </c>
      <c r="J174" s="31">
        <v>0.30599999999999999</v>
      </c>
      <c r="K174" s="31">
        <v>9.9989999999999996E-4</v>
      </c>
    </row>
    <row r="175" spans="1:18" ht="25.5">
      <c r="A175" s="12">
        <v>4</v>
      </c>
      <c r="B175" s="22">
        <v>39063</v>
      </c>
      <c r="C175" s="15">
        <v>2006</v>
      </c>
      <c r="D175" s="11" t="s">
        <v>38</v>
      </c>
      <c r="E175" s="15">
        <v>12</v>
      </c>
      <c r="F175" s="31">
        <v>10.071999999999999</v>
      </c>
      <c r="G175" s="31">
        <v>0.18099999999999999</v>
      </c>
      <c r="H175" s="31">
        <v>0.33200000000000002</v>
      </c>
      <c r="I175" s="31">
        <v>3.2650000000000001</v>
      </c>
      <c r="J175" s="31">
        <v>0.313</v>
      </c>
      <c r="K175" s="31">
        <v>9.9989999999999996E-4</v>
      </c>
      <c r="L175" s="34" t="s">
        <v>51</v>
      </c>
      <c r="M175" s="6" t="s">
        <v>7</v>
      </c>
      <c r="N175" s="6" t="s">
        <v>8</v>
      </c>
      <c r="O175" s="6" t="s">
        <v>9</v>
      </c>
      <c r="P175" s="6" t="s">
        <v>10</v>
      </c>
      <c r="Q175" s="6" t="s">
        <v>11</v>
      </c>
      <c r="R175" s="6" t="s">
        <v>12</v>
      </c>
    </row>
    <row r="176" spans="1:18">
      <c r="A176" s="46">
        <v>3</v>
      </c>
      <c r="B176" s="53">
        <v>39101</v>
      </c>
      <c r="C176" s="46">
        <v>2007</v>
      </c>
      <c r="D176" s="42" t="s">
        <v>39</v>
      </c>
      <c r="E176" s="46">
        <v>1</v>
      </c>
      <c r="F176" s="58">
        <v>19.911000000000001</v>
      </c>
      <c r="G176" s="58">
        <v>0.63100000000000001</v>
      </c>
      <c r="H176" s="58">
        <v>0.151</v>
      </c>
      <c r="I176" s="58">
        <v>6.9530000000000003</v>
      </c>
      <c r="J176" s="58">
        <v>0.40899999999999997</v>
      </c>
      <c r="K176" s="58">
        <v>8.9999999999999993E-3</v>
      </c>
      <c r="L176" s="34" t="s">
        <v>53</v>
      </c>
      <c r="M176" s="35">
        <f t="shared" ref="M176:R176" si="4">AVERAGE(F176:F199)</f>
        <v>15.349541666666667</v>
      </c>
      <c r="N176" s="35">
        <f t="shared" si="4"/>
        <v>0.18129166249999998</v>
      </c>
      <c r="O176" s="35">
        <f t="shared" si="4"/>
        <v>0.62329161666666655</v>
      </c>
      <c r="P176" s="35">
        <f t="shared" si="4"/>
        <v>3.6847083333333335</v>
      </c>
      <c r="Q176" s="35">
        <f t="shared" si="4"/>
        <v>1.1200833333333335</v>
      </c>
      <c r="R176" s="35">
        <f t="shared" si="4"/>
        <v>7.0832624999999996E-3</v>
      </c>
    </row>
    <row r="177" spans="1:12">
      <c r="A177" s="15">
        <v>4</v>
      </c>
      <c r="B177" s="22">
        <v>39101</v>
      </c>
      <c r="C177" s="15">
        <v>2007</v>
      </c>
      <c r="D177" s="11" t="s">
        <v>39</v>
      </c>
      <c r="E177" s="15">
        <v>1</v>
      </c>
      <c r="F177" s="31">
        <v>22.295000000000002</v>
      </c>
      <c r="G177" s="31">
        <v>0.47599999999999998</v>
      </c>
      <c r="H177" s="31">
        <v>0.17299999999999999</v>
      </c>
      <c r="I177" s="31">
        <v>7.7450000000000001</v>
      </c>
      <c r="J177" s="31">
        <v>0.47099999999999997</v>
      </c>
      <c r="K177" s="31">
        <v>9.9989999999999996E-4</v>
      </c>
      <c r="L177"/>
    </row>
    <row r="178" spans="1:12">
      <c r="A178" s="15">
        <v>3</v>
      </c>
      <c r="B178" s="22">
        <v>39134</v>
      </c>
      <c r="C178" s="15">
        <v>2007</v>
      </c>
      <c r="D178" s="11" t="s">
        <v>28</v>
      </c>
      <c r="E178" s="15">
        <v>2</v>
      </c>
      <c r="F178" s="31">
        <v>3.71</v>
      </c>
      <c r="G178" s="31">
        <v>0.121</v>
      </c>
      <c r="H178" s="31">
        <v>9.9989999999999996E-4</v>
      </c>
      <c r="I178" s="31">
        <v>0.69099999999999995</v>
      </c>
      <c r="J178" s="31">
        <v>6.3E-2</v>
      </c>
      <c r="K178" s="31">
        <v>9.9989999999999996E-4</v>
      </c>
      <c r="L178"/>
    </row>
    <row r="179" spans="1:12">
      <c r="A179" s="15">
        <v>4</v>
      </c>
      <c r="B179" s="22">
        <v>39134</v>
      </c>
      <c r="C179" s="15">
        <v>2007</v>
      </c>
      <c r="D179" s="11" t="s">
        <v>28</v>
      </c>
      <c r="E179" s="15">
        <v>2</v>
      </c>
      <c r="F179" s="31">
        <v>4.2380000000000004</v>
      </c>
      <c r="G179" s="31">
        <v>0.26400000000000001</v>
      </c>
      <c r="H179" s="31">
        <v>9.9989999999999996E-4</v>
      </c>
      <c r="I179" s="31">
        <v>0.80200000000000005</v>
      </c>
      <c r="J179" s="31">
        <v>6.2E-2</v>
      </c>
      <c r="K179" s="31">
        <v>9.9989999999999996E-4</v>
      </c>
      <c r="L179"/>
    </row>
    <row r="180" spans="1:12">
      <c r="A180" s="15">
        <v>3</v>
      </c>
      <c r="B180" s="22">
        <v>39154</v>
      </c>
      <c r="C180" s="15">
        <v>2007</v>
      </c>
      <c r="D180" s="11" t="s">
        <v>29</v>
      </c>
      <c r="E180" s="15">
        <v>3</v>
      </c>
      <c r="F180" s="31">
        <v>4.9480000000000004</v>
      </c>
      <c r="G180" s="31">
        <v>0.36099999999999999</v>
      </c>
      <c r="H180" s="31">
        <v>9.9989999999999996E-4</v>
      </c>
      <c r="I180" s="31">
        <v>1.4510000000000001</v>
      </c>
      <c r="J180" s="31">
        <v>3.9E-2</v>
      </c>
      <c r="K180" s="31">
        <v>9.9989999999999996E-4</v>
      </c>
      <c r="L180"/>
    </row>
    <row r="181" spans="1:12">
      <c r="A181" s="15">
        <v>4</v>
      </c>
      <c r="B181" s="22">
        <v>39154</v>
      </c>
      <c r="C181" s="15">
        <v>2007</v>
      </c>
      <c r="D181" s="11" t="s">
        <v>29</v>
      </c>
      <c r="E181" s="15">
        <v>3</v>
      </c>
      <c r="F181" s="31">
        <v>4.407</v>
      </c>
      <c r="G181" s="31">
        <v>0.252</v>
      </c>
      <c r="H181" s="31">
        <v>9.9989999999999996E-4</v>
      </c>
      <c r="I181" s="31">
        <v>0.97299999999999998</v>
      </c>
      <c r="J181" s="31">
        <v>7.5999999999999998E-2</v>
      </c>
      <c r="K181" s="31">
        <v>9.9989999999999996E-4</v>
      </c>
      <c r="L181"/>
    </row>
    <row r="182" spans="1:12">
      <c r="A182" s="15">
        <v>3</v>
      </c>
      <c r="B182" s="22">
        <v>39190</v>
      </c>
      <c r="C182" s="15">
        <v>2007</v>
      </c>
      <c r="D182" s="11" t="s">
        <v>30</v>
      </c>
      <c r="E182" s="15">
        <v>4</v>
      </c>
      <c r="F182" s="31">
        <v>17.379000000000001</v>
      </c>
      <c r="G182" s="15">
        <v>0.183</v>
      </c>
      <c r="H182" s="15">
        <v>9.9989999999999996E-4</v>
      </c>
      <c r="I182" s="31">
        <v>6.9480000000000004</v>
      </c>
      <c r="J182" s="31">
        <v>8.4000000000000005E-2</v>
      </c>
      <c r="K182" s="31">
        <v>9.9989999999999996E-4</v>
      </c>
      <c r="L182"/>
    </row>
    <row r="183" spans="1:12">
      <c r="A183" s="15">
        <v>4</v>
      </c>
      <c r="B183" s="22">
        <v>39190</v>
      </c>
      <c r="C183" s="15">
        <v>2007</v>
      </c>
      <c r="D183" s="11" t="s">
        <v>30</v>
      </c>
      <c r="E183" s="15">
        <v>4</v>
      </c>
      <c r="F183" s="31">
        <v>31.898</v>
      </c>
      <c r="G183" s="15">
        <v>0.14399999999999999</v>
      </c>
      <c r="H183" s="15">
        <v>9.9989999999999996E-4</v>
      </c>
      <c r="I183" s="31">
        <v>11.007</v>
      </c>
      <c r="J183" s="31">
        <v>0.217</v>
      </c>
      <c r="K183" s="31">
        <v>9.9989999999999996E-4</v>
      </c>
      <c r="L183"/>
    </row>
    <row r="184" spans="1:12">
      <c r="A184" s="15">
        <v>3</v>
      </c>
      <c r="B184" s="22">
        <v>39217</v>
      </c>
      <c r="C184" s="15">
        <v>2007</v>
      </c>
      <c r="D184" s="11" t="s">
        <v>31</v>
      </c>
      <c r="E184" s="15">
        <v>5</v>
      </c>
      <c r="F184" s="31">
        <v>10.680999999999999</v>
      </c>
      <c r="G184" s="15">
        <v>5.5E-2</v>
      </c>
      <c r="H184" s="15">
        <v>1.7629999999999999</v>
      </c>
      <c r="I184" s="31">
        <v>4.7140000000000004</v>
      </c>
      <c r="J184" s="31">
        <v>0.151</v>
      </c>
      <c r="K184" s="31">
        <v>9.9989999999999996E-4</v>
      </c>
      <c r="L184"/>
    </row>
    <row r="185" spans="1:12">
      <c r="A185" s="15">
        <v>4</v>
      </c>
      <c r="B185" s="22">
        <v>39217</v>
      </c>
      <c r="C185" s="15">
        <v>2007</v>
      </c>
      <c r="D185" s="11" t="s">
        <v>31</v>
      </c>
      <c r="E185" s="15">
        <v>5</v>
      </c>
      <c r="F185" s="31">
        <v>14.287000000000001</v>
      </c>
      <c r="G185" s="15">
        <v>5.8000000000000003E-2</v>
      </c>
      <c r="H185" s="15">
        <v>2.2109999999999999</v>
      </c>
      <c r="I185" s="31">
        <v>6.1929999999999996</v>
      </c>
      <c r="J185" s="31">
        <v>0.247</v>
      </c>
      <c r="K185" s="31">
        <v>1.0999999999999999E-2</v>
      </c>
      <c r="L185"/>
    </row>
    <row r="186" spans="1:12">
      <c r="A186" s="15">
        <v>3</v>
      </c>
      <c r="B186" s="22">
        <v>39246</v>
      </c>
      <c r="C186" s="15">
        <v>2007</v>
      </c>
      <c r="D186" s="11" t="s">
        <v>32</v>
      </c>
      <c r="E186" s="15">
        <v>6</v>
      </c>
      <c r="F186" s="31">
        <v>28.22</v>
      </c>
      <c r="G186">
        <v>0.05</v>
      </c>
      <c r="H186">
        <v>6.8090000000000002</v>
      </c>
      <c r="I186" s="31">
        <v>8.85</v>
      </c>
      <c r="J186" s="31">
        <v>1.2350000000000001</v>
      </c>
      <c r="K186" s="31">
        <v>9.9989999999999996E-4</v>
      </c>
      <c r="L186"/>
    </row>
    <row r="187" spans="1:12">
      <c r="A187" s="15">
        <v>4</v>
      </c>
      <c r="B187" s="22">
        <v>39246</v>
      </c>
      <c r="C187" s="15">
        <v>2007</v>
      </c>
      <c r="D187" s="11" t="s">
        <v>32</v>
      </c>
      <c r="E187" s="15">
        <v>6</v>
      </c>
      <c r="F187" s="31">
        <v>24.821999999999999</v>
      </c>
      <c r="G187">
        <v>0.13</v>
      </c>
      <c r="H187">
        <v>2.8039999999999998</v>
      </c>
      <c r="I187" s="31">
        <v>5.218</v>
      </c>
      <c r="J187" s="31">
        <v>3.3540000000000001</v>
      </c>
      <c r="K187" s="31">
        <v>4.8000000000000001E-2</v>
      </c>
      <c r="L187"/>
    </row>
    <row r="188" spans="1:12">
      <c r="A188" s="15">
        <v>3</v>
      </c>
      <c r="B188" s="22">
        <v>39280</v>
      </c>
      <c r="C188" s="15">
        <v>2007</v>
      </c>
      <c r="D188" s="11" t="s">
        <v>33</v>
      </c>
      <c r="E188" s="15">
        <v>7</v>
      </c>
      <c r="F188" s="31">
        <v>18.838000000000001</v>
      </c>
      <c r="G188">
        <v>0.34599999999999997</v>
      </c>
      <c r="H188">
        <v>6.4000000000000001E-2</v>
      </c>
      <c r="I188" s="31">
        <v>2.1640000000000001</v>
      </c>
      <c r="J188" s="31">
        <v>2.5099999999999998</v>
      </c>
      <c r="K188" s="31">
        <v>1.4E-2</v>
      </c>
      <c r="L188"/>
    </row>
    <row r="189" spans="1:12">
      <c r="A189" s="15">
        <v>4</v>
      </c>
      <c r="B189" s="22">
        <v>39280</v>
      </c>
      <c r="C189" s="15">
        <v>2007</v>
      </c>
      <c r="D189" s="11" t="s">
        <v>33</v>
      </c>
      <c r="E189" s="15">
        <v>7</v>
      </c>
      <c r="F189" s="31">
        <v>30.202999999999999</v>
      </c>
      <c r="G189">
        <v>0.245</v>
      </c>
      <c r="H189">
        <v>0.13200000000000001</v>
      </c>
      <c r="I189" s="31">
        <v>4.5650000000000004</v>
      </c>
      <c r="J189" s="31">
        <v>3.0920000000000001</v>
      </c>
      <c r="K189" s="31">
        <v>2.1999999999999999E-2</v>
      </c>
      <c r="L189"/>
    </row>
    <row r="190" spans="1:12">
      <c r="A190" s="15">
        <v>3</v>
      </c>
      <c r="B190" s="22">
        <v>39308</v>
      </c>
      <c r="C190" s="15">
        <v>2007</v>
      </c>
      <c r="D190" s="11" t="s">
        <v>34</v>
      </c>
      <c r="E190" s="15">
        <v>8</v>
      </c>
      <c r="F190" s="31">
        <v>18.850999999999999</v>
      </c>
      <c r="G190">
        <v>0.151</v>
      </c>
      <c r="H190">
        <v>9.9989999999999996E-4</v>
      </c>
      <c r="I190" s="31">
        <v>1.6970000000000001</v>
      </c>
      <c r="J190" s="31">
        <v>2.6</v>
      </c>
      <c r="K190" s="31">
        <v>9.9989999999999996E-4</v>
      </c>
      <c r="L190"/>
    </row>
    <row r="191" spans="1:12">
      <c r="A191" s="15">
        <v>4</v>
      </c>
      <c r="B191" s="22">
        <v>39308</v>
      </c>
      <c r="C191" s="15">
        <v>2007</v>
      </c>
      <c r="D191" s="11" t="s">
        <v>34</v>
      </c>
      <c r="E191" s="15">
        <v>8</v>
      </c>
      <c r="F191" s="31">
        <v>20.166</v>
      </c>
      <c r="G191">
        <v>0.183</v>
      </c>
      <c r="H191">
        <v>5.6000000000000001E-2</v>
      </c>
      <c r="I191" s="31">
        <v>1.6519999999999999</v>
      </c>
      <c r="J191" s="31">
        <v>3.2189999999999999</v>
      </c>
      <c r="K191" s="31">
        <v>9.9989999999999996E-4</v>
      </c>
      <c r="L191"/>
    </row>
    <row r="192" spans="1:12">
      <c r="A192" s="15">
        <v>3</v>
      </c>
      <c r="B192" s="22">
        <v>39336</v>
      </c>
      <c r="C192" s="15">
        <v>2007</v>
      </c>
      <c r="D192" s="11" t="s">
        <v>40</v>
      </c>
      <c r="E192" s="15">
        <v>9</v>
      </c>
      <c r="F192" s="31">
        <v>20.366</v>
      </c>
      <c r="G192">
        <v>9.9989999999999996E-4</v>
      </c>
      <c r="H192">
        <v>9.9989999999999996E-4</v>
      </c>
      <c r="I192" s="31">
        <v>2.7389999999999999</v>
      </c>
      <c r="J192" s="31">
        <v>2.109</v>
      </c>
      <c r="K192" s="31">
        <v>9.9989999999999996E-4</v>
      </c>
      <c r="L192"/>
    </row>
    <row r="193" spans="1:18">
      <c r="A193" s="15">
        <v>4</v>
      </c>
      <c r="B193" s="22">
        <v>39336</v>
      </c>
      <c r="C193" s="15">
        <v>2007</v>
      </c>
      <c r="D193" s="11" t="s">
        <v>40</v>
      </c>
      <c r="E193" s="15">
        <v>9</v>
      </c>
      <c r="F193" s="31">
        <v>21.111000000000001</v>
      </c>
      <c r="G193">
        <v>0.10199999999999999</v>
      </c>
      <c r="H193">
        <v>9.9989999999999996E-4</v>
      </c>
      <c r="I193" s="31">
        <v>2.5379999999999998</v>
      </c>
      <c r="J193" s="31">
        <v>2.6139999999999999</v>
      </c>
      <c r="K193" s="31">
        <v>9.9989999999999996E-4</v>
      </c>
    </row>
    <row r="194" spans="1:18">
      <c r="A194" s="15">
        <v>3</v>
      </c>
      <c r="B194" s="22">
        <v>39373</v>
      </c>
      <c r="C194" s="15">
        <v>2007</v>
      </c>
      <c r="D194" s="11" t="s">
        <v>36</v>
      </c>
      <c r="E194" s="15">
        <v>10</v>
      </c>
      <c r="F194" s="31">
        <v>8.282</v>
      </c>
      <c r="G194" s="31">
        <v>5.0999999999999997E-2</v>
      </c>
      <c r="H194" s="31">
        <v>9.9989999999999996E-4</v>
      </c>
      <c r="I194" s="31">
        <v>1.113</v>
      </c>
      <c r="J194" s="31">
        <v>1.2589999999999999</v>
      </c>
      <c r="K194" s="31">
        <v>9.9989999999999996E-4</v>
      </c>
    </row>
    <row r="195" spans="1:18">
      <c r="A195" s="15">
        <v>4</v>
      </c>
      <c r="B195" s="22">
        <v>39373</v>
      </c>
      <c r="C195" s="15">
        <v>2007</v>
      </c>
      <c r="D195" s="11" t="s">
        <v>36</v>
      </c>
      <c r="E195" s="15">
        <v>10</v>
      </c>
      <c r="F195" s="31">
        <v>14.773</v>
      </c>
      <c r="G195" s="31">
        <v>0.112</v>
      </c>
      <c r="H195" s="31">
        <v>9.9989999999999996E-4</v>
      </c>
      <c r="I195" s="31">
        <v>1.9770000000000001</v>
      </c>
      <c r="J195" s="31">
        <v>2.5760000000000001</v>
      </c>
      <c r="K195" s="31">
        <v>9.9989999999999996E-4</v>
      </c>
    </row>
    <row r="196" spans="1:18">
      <c r="A196" s="15">
        <v>3</v>
      </c>
      <c r="B196" s="22">
        <v>39399</v>
      </c>
      <c r="C196" s="15">
        <v>2007</v>
      </c>
      <c r="D196" s="11" t="s">
        <v>37</v>
      </c>
      <c r="E196" s="15">
        <v>11</v>
      </c>
      <c r="F196" s="31">
        <v>6.133</v>
      </c>
      <c r="G196" s="31">
        <v>1.7999999999999999E-2</v>
      </c>
      <c r="H196" s="31">
        <v>0.33400000000000002</v>
      </c>
      <c r="I196" s="31">
        <v>1.89</v>
      </c>
      <c r="J196" s="31">
        <v>0.14699999999999999</v>
      </c>
      <c r="K196" s="31">
        <v>9.9989999999999996E-4</v>
      </c>
    </row>
    <row r="197" spans="1:18">
      <c r="A197" s="15">
        <v>4</v>
      </c>
      <c r="B197" s="22">
        <v>39399</v>
      </c>
      <c r="C197" s="15">
        <v>2007</v>
      </c>
      <c r="D197" s="11" t="s">
        <v>37</v>
      </c>
      <c r="E197" s="15">
        <v>11</v>
      </c>
      <c r="F197" s="31">
        <v>7.9269999999999996</v>
      </c>
      <c r="G197" s="31">
        <v>2.8000000000000001E-2</v>
      </c>
      <c r="H197" s="31">
        <v>0.37</v>
      </c>
      <c r="I197" s="31">
        <v>2.0710000000000002</v>
      </c>
      <c r="J197" s="31">
        <v>0.27100000000000002</v>
      </c>
      <c r="K197" s="31">
        <v>9.9989999999999996E-4</v>
      </c>
    </row>
    <row r="198" spans="1:18">
      <c r="A198" s="15">
        <v>3</v>
      </c>
      <c r="B198" s="22">
        <v>39427</v>
      </c>
      <c r="C198" s="15">
        <v>2007</v>
      </c>
      <c r="D198" s="11" t="s">
        <v>38</v>
      </c>
      <c r="E198" s="15">
        <v>12</v>
      </c>
      <c r="F198" s="31">
        <v>5.8310000000000004</v>
      </c>
      <c r="G198" s="31">
        <v>0.14099999999999999</v>
      </c>
      <c r="H198" s="31">
        <v>9.9989999999999996E-4</v>
      </c>
      <c r="I198" s="31">
        <v>1.792</v>
      </c>
      <c r="J198" s="31">
        <v>3.5000000000000003E-2</v>
      </c>
      <c r="K198" s="31">
        <v>8.0000000000000002E-3</v>
      </c>
    </row>
    <row r="199" spans="1:18" ht="25.5">
      <c r="A199" s="15">
        <v>4</v>
      </c>
      <c r="B199" s="22">
        <v>39427</v>
      </c>
      <c r="C199" s="15">
        <v>2007</v>
      </c>
      <c r="D199" s="11" t="s">
        <v>38</v>
      </c>
      <c r="E199" s="15">
        <v>12</v>
      </c>
      <c r="F199" s="31">
        <v>9.1120000000000001</v>
      </c>
      <c r="G199" s="31">
        <v>0.248</v>
      </c>
      <c r="H199" s="31">
        <v>0.08</v>
      </c>
      <c r="I199" s="31">
        <v>2.69</v>
      </c>
      <c r="J199" s="31">
        <v>4.2000000000000003E-2</v>
      </c>
      <c r="K199" s="31">
        <v>4.1000000000000002E-2</v>
      </c>
      <c r="L199" s="34" t="s">
        <v>51</v>
      </c>
      <c r="M199" s="6" t="s">
        <v>7</v>
      </c>
      <c r="N199" s="6" t="s">
        <v>8</v>
      </c>
      <c r="O199" s="6" t="s">
        <v>9</v>
      </c>
      <c r="P199" s="6" t="s">
        <v>10</v>
      </c>
      <c r="Q199" s="6" t="s">
        <v>11</v>
      </c>
      <c r="R199" s="6" t="s">
        <v>12</v>
      </c>
    </row>
    <row r="200" spans="1:18">
      <c r="A200" s="46">
        <v>3</v>
      </c>
      <c r="B200" s="53">
        <v>39462</v>
      </c>
      <c r="C200" s="46">
        <v>2008</v>
      </c>
      <c r="D200" s="42" t="s">
        <v>39</v>
      </c>
      <c r="E200" s="46">
        <v>1</v>
      </c>
      <c r="F200" s="58">
        <v>3.843</v>
      </c>
      <c r="G200" s="58">
        <v>0.112</v>
      </c>
      <c r="H200" s="58">
        <v>9.9989999999999996E-4</v>
      </c>
      <c r="I200" s="58">
        <v>0.78900000000000003</v>
      </c>
      <c r="J200" s="58">
        <v>8.4000000000000005E-2</v>
      </c>
      <c r="K200" s="58">
        <v>5.0000000000000001E-3</v>
      </c>
      <c r="L200" s="34" t="s">
        <v>54</v>
      </c>
      <c r="M200" s="35">
        <f t="shared" ref="M200:R200" si="5">AVERAGE(F200:F223)</f>
        <v>17.814458333333331</v>
      </c>
      <c r="N200" s="35">
        <f t="shared" si="5"/>
        <v>0.43770833333333337</v>
      </c>
      <c r="O200" s="35">
        <f t="shared" si="5"/>
        <v>0.44254165416666663</v>
      </c>
      <c r="P200" s="35">
        <f t="shared" si="5"/>
        <v>3.7342083333333331</v>
      </c>
      <c r="Q200" s="35">
        <f t="shared" si="5"/>
        <v>1.0030833333333333</v>
      </c>
      <c r="R200" s="35">
        <f t="shared" si="5"/>
        <v>3.1666595833333373E-2</v>
      </c>
    </row>
    <row r="201" spans="1:18">
      <c r="A201" s="15">
        <v>4</v>
      </c>
      <c r="B201" s="22">
        <v>39462</v>
      </c>
      <c r="C201" s="15">
        <v>2008</v>
      </c>
      <c r="D201" s="11" t="s">
        <v>39</v>
      </c>
      <c r="E201" s="15">
        <v>1</v>
      </c>
      <c r="F201" s="31">
        <v>8.2759999999999998</v>
      </c>
      <c r="G201" s="31">
        <v>0.52</v>
      </c>
      <c r="H201" s="31">
        <v>0.19900000000000001</v>
      </c>
      <c r="I201" s="31">
        <v>1.679</v>
      </c>
      <c r="J201" s="31">
        <v>8.1000000000000003E-2</v>
      </c>
      <c r="K201" s="31">
        <v>0.13200000000000001</v>
      </c>
    </row>
    <row r="202" spans="1:18">
      <c r="A202" s="15">
        <v>3</v>
      </c>
      <c r="B202" s="22">
        <v>39490</v>
      </c>
      <c r="C202" s="15">
        <v>2008</v>
      </c>
      <c r="D202" s="11" t="s">
        <v>28</v>
      </c>
      <c r="E202" s="15">
        <v>2</v>
      </c>
      <c r="F202" s="31">
        <v>6.859</v>
      </c>
      <c r="G202" s="31">
        <v>0.185</v>
      </c>
      <c r="H202" s="31">
        <v>0.161</v>
      </c>
      <c r="I202" s="31">
        <v>1.427</v>
      </c>
      <c r="J202" s="31">
        <v>0.154</v>
      </c>
      <c r="K202" s="31">
        <v>6.9000000000000006E-2</v>
      </c>
    </row>
    <row r="203" spans="1:18">
      <c r="A203" s="15">
        <v>4</v>
      </c>
      <c r="B203" s="22">
        <v>39490</v>
      </c>
      <c r="C203" s="15">
        <v>2008</v>
      </c>
      <c r="D203" s="11" t="s">
        <v>28</v>
      </c>
      <c r="E203" s="15">
        <v>2</v>
      </c>
      <c r="F203" s="31">
        <v>16.058</v>
      </c>
      <c r="G203" s="31">
        <v>0.68400000000000005</v>
      </c>
      <c r="H203" s="31">
        <v>0.57099999999999995</v>
      </c>
      <c r="I203" s="31">
        <v>3.6389999999999998</v>
      </c>
      <c r="J203" s="31">
        <v>0.28799999999999998</v>
      </c>
      <c r="K203" s="31">
        <v>0.31</v>
      </c>
    </row>
    <row r="204" spans="1:18">
      <c r="A204" s="15">
        <v>3</v>
      </c>
      <c r="B204" s="22">
        <v>39520</v>
      </c>
      <c r="C204" s="15">
        <v>2008</v>
      </c>
      <c r="D204" s="11" t="s">
        <v>29</v>
      </c>
      <c r="E204" s="15">
        <v>3</v>
      </c>
      <c r="F204" s="59">
        <v>4.5410000000000004</v>
      </c>
      <c r="G204" s="59">
        <v>5.1999999999999998E-2</v>
      </c>
      <c r="H204" s="59">
        <v>0.09</v>
      </c>
      <c r="I204" s="59">
        <v>1.6160000000000001</v>
      </c>
      <c r="J204" s="59">
        <v>0.09</v>
      </c>
      <c r="K204" s="59">
        <v>2.1000000000000001E-2</v>
      </c>
    </row>
    <row r="205" spans="1:18">
      <c r="A205" s="15">
        <v>4</v>
      </c>
      <c r="B205" s="22">
        <v>39520</v>
      </c>
      <c r="C205" s="15">
        <v>2008</v>
      </c>
      <c r="D205" s="11" t="s">
        <v>29</v>
      </c>
      <c r="E205" s="15">
        <v>3</v>
      </c>
      <c r="F205" s="59">
        <v>9.7249999999999996</v>
      </c>
      <c r="G205" s="59">
        <v>0.44900000000000001</v>
      </c>
      <c r="H205" s="59">
        <v>0.29799999999999999</v>
      </c>
      <c r="I205" s="59">
        <v>2.52</v>
      </c>
      <c r="J205" s="59">
        <v>0.13900000000000001</v>
      </c>
      <c r="K205" s="59">
        <v>0.14499999999999999</v>
      </c>
    </row>
    <row r="206" spans="1:18">
      <c r="A206" s="15">
        <v>3</v>
      </c>
      <c r="B206" s="22">
        <v>39553</v>
      </c>
      <c r="C206" s="15">
        <v>2008</v>
      </c>
      <c r="D206" s="11" t="s">
        <v>30</v>
      </c>
      <c r="E206" s="15">
        <v>4</v>
      </c>
      <c r="F206" s="59">
        <v>6.3369999999999997</v>
      </c>
      <c r="G206" s="59">
        <v>2.5000000000000001E-2</v>
      </c>
      <c r="H206" s="59">
        <v>0.27</v>
      </c>
      <c r="I206" s="59">
        <v>2.504</v>
      </c>
      <c r="J206" s="59">
        <v>9.5000000000000001E-2</v>
      </c>
      <c r="K206" s="59">
        <v>9.9989999999999996E-4</v>
      </c>
    </row>
    <row r="207" spans="1:18">
      <c r="A207" s="15">
        <v>4</v>
      </c>
      <c r="B207" s="22">
        <v>39553</v>
      </c>
      <c r="C207" s="15">
        <v>2008</v>
      </c>
      <c r="D207" s="11" t="s">
        <v>30</v>
      </c>
      <c r="E207" s="15">
        <v>4</v>
      </c>
      <c r="F207" s="59">
        <v>14.29</v>
      </c>
      <c r="G207" s="59">
        <v>6.9000000000000006E-2</v>
      </c>
      <c r="H207" s="59">
        <v>0.33200000000000002</v>
      </c>
      <c r="I207" s="59">
        <v>4.7850000000000001</v>
      </c>
      <c r="J207" s="59">
        <v>0.14299999999999999</v>
      </c>
      <c r="K207" s="59">
        <v>6.0999999999999999E-2</v>
      </c>
    </row>
    <row r="208" spans="1:18">
      <c r="A208" s="15">
        <v>3</v>
      </c>
      <c r="B208" s="22">
        <v>39582</v>
      </c>
      <c r="C208" s="15">
        <v>2008</v>
      </c>
      <c r="D208" s="11" t="s">
        <v>31</v>
      </c>
      <c r="E208" s="15">
        <v>5</v>
      </c>
      <c r="F208" s="59">
        <v>15.234</v>
      </c>
      <c r="G208" s="59">
        <v>7.2999999999999995E-2</v>
      </c>
      <c r="H208" s="59">
        <v>0.64700000000000002</v>
      </c>
      <c r="I208" s="59">
        <v>5.734</v>
      </c>
      <c r="J208" s="59">
        <v>0.45600000000000002</v>
      </c>
      <c r="K208" s="59">
        <v>9.9989999999999996E-4</v>
      </c>
    </row>
    <row r="209" spans="1:18">
      <c r="A209" s="15">
        <v>4</v>
      </c>
      <c r="B209" s="22">
        <v>39582</v>
      </c>
      <c r="C209" s="15">
        <v>2008</v>
      </c>
      <c r="D209" s="11" t="s">
        <v>31</v>
      </c>
      <c r="E209" s="15">
        <v>5</v>
      </c>
      <c r="F209" s="59">
        <v>14.628</v>
      </c>
      <c r="G209" s="59">
        <v>0.432</v>
      </c>
      <c r="H209" s="59">
        <v>0.39900000000000002</v>
      </c>
      <c r="I209" s="59">
        <v>4.2279999999999998</v>
      </c>
      <c r="J209" s="59">
        <v>0.496</v>
      </c>
      <c r="K209" s="59">
        <v>9.9989999999999996E-4</v>
      </c>
    </row>
    <row r="210" spans="1:18">
      <c r="A210" s="15">
        <v>3</v>
      </c>
      <c r="B210" s="22">
        <v>39616</v>
      </c>
      <c r="C210" s="15">
        <v>2008</v>
      </c>
      <c r="D210" s="11" t="s">
        <v>32</v>
      </c>
      <c r="E210" s="15">
        <v>6</v>
      </c>
      <c r="F210" s="59">
        <v>16.321000000000002</v>
      </c>
      <c r="G210" s="59">
        <v>0.13800000000000001</v>
      </c>
      <c r="H210" s="59">
        <v>9.9989999999999996E-4</v>
      </c>
      <c r="I210" s="59">
        <v>2.2839999999999998</v>
      </c>
      <c r="J210" s="59">
        <v>1.857</v>
      </c>
      <c r="K210" s="59">
        <v>9.9989999999999996E-4</v>
      </c>
    </row>
    <row r="211" spans="1:18">
      <c r="A211" s="15">
        <v>4</v>
      </c>
      <c r="B211" s="22">
        <v>39616</v>
      </c>
      <c r="C211" s="15">
        <v>2008</v>
      </c>
      <c r="D211" s="11" t="s">
        <v>32</v>
      </c>
      <c r="E211" s="15">
        <v>6</v>
      </c>
      <c r="F211" s="59">
        <v>20.048999999999999</v>
      </c>
      <c r="G211" s="59">
        <v>6.0999999999999999E-2</v>
      </c>
      <c r="H211" s="59">
        <v>9.9989999999999996E-4</v>
      </c>
      <c r="I211" s="59">
        <v>1.7729999999999999</v>
      </c>
      <c r="J211" s="59">
        <v>3.9329999999999998</v>
      </c>
      <c r="K211" s="59">
        <v>9.9989999999999996E-4</v>
      </c>
    </row>
    <row r="212" spans="1:18">
      <c r="A212" s="15">
        <v>3</v>
      </c>
      <c r="B212" s="22">
        <v>39644</v>
      </c>
      <c r="C212" s="15">
        <v>2008</v>
      </c>
      <c r="D212" s="11" t="s">
        <v>33</v>
      </c>
      <c r="E212" s="15">
        <v>7</v>
      </c>
      <c r="F212" s="59">
        <v>40.933</v>
      </c>
      <c r="G212" s="59">
        <v>0.27800000000000002</v>
      </c>
      <c r="H212" s="59">
        <v>7.4999999999999997E-2</v>
      </c>
      <c r="I212" s="59">
        <v>4.9119999999999999</v>
      </c>
      <c r="J212" s="59">
        <v>1.744</v>
      </c>
      <c r="K212" s="59">
        <v>9.9989999999999996E-4</v>
      </c>
    </row>
    <row r="213" spans="1:18">
      <c r="A213" s="15">
        <v>4</v>
      </c>
      <c r="B213" s="22">
        <v>39644</v>
      </c>
      <c r="C213" s="15">
        <v>2008</v>
      </c>
      <c r="D213" s="11" t="s">
        <v>33</v>
      </c>
      <c r="E213" s="15">
        <v>7</v>
      </c>
      <c r="F213" s="59">
        <v>47.481999999999999</v>
      </c>
      <c r="G213" s="59">
        <v>0.28499999999999998</v>
      </c>
      <c r="H213" s="59">
        <v>7.0999999999999994E-2</v>
      </c>
      <c r="I213" s="59">
        <v>5.4450000000000003</v>
      </c>
      <c r="J213" s="59">
        <v>1.7909999999999999</v>
      </c>
      <c r="K213" s="59">
        <v>9.9989999999999996E-4</v>
      </c>
    </row>
    <row r="214" spans="1:18">
      <c r="A214" s="15">
        <v>3</v>
      </c>
      <c r="B214" s="22">
        <v>39673</v>
      </c>
      <c r="C214" s="15">
        <v>2008</v>
      </c>
      <c r="D214" s="11" t="s">
        <v>34</v>
      </c>
      <c r="E214" s="15">
        <v>8</v>
      </c>
      <c r="F214" s="59">
        <v>15.821</v>
      </c>
      <c r="G214" s="59">
        <v>0.38300000000000001</v>
      </c>
      <c r="H214" s="59">
        <v>0.125</v>
      </c>
      <c r="I214" s="59">
        <v>2.105</v>
      </c>
      <c r="J214" s="59">
        <v>1.323</v>
      </c>
      <c r="K214" s="59">
        <v>9.9989999999999996E-4</v>
      </c>
    </row>
    <row r="215" spans="1:18">
      <c r="A215" s="15">
        <v>4</v>
      </c>
      <c r="B215" s="22">
        <v>39673</v>
      </c>
      <c r="C215" s="15">
        <v>2008</v>
      </c>
      <c r="D215" s="11" t="s">
        <v>34</v>
      </c>
      <c r="E215" s="15">
        <v>8</v>
      </c>
      <c r="F215" s="59">
        <v>42.738</v>
      </c>
      <c r="G215" s="59">
        <v>0.51300000000000001</v>
      </c>
      <c r="H215" s="59">
        <v>0.55200000000000005</v>
      </c>
      <c r="I215" s="59">
        <v>5.07</v>
      </c>
      <c r="J215" s="59">
        <v>1.2290000000000001</v>
      </c>
      <c r="K215" s="59">
        <v>9.9989999999999996E-4</v>
      </c>
    </row>
    <row r="216" spans="1:18">
      <c r="A216" s="15">
        <v>3</v>
      </c>
      <c r="B216" s="22">
        <v>39707</v>
      </c>
      <c r="C216" s="15">
        <v>2008</v>
      </c>
      <c r="D216" s="11" t="s">
        <v>40</v>
      </c>
      <c r="E216" s="15">
        <v>9</v>
      </c>
      <c r="F216" s="31">
        <v>20.94</v>
      </c>
      <c r="G216" s="31">
        <v>0.14199999999999999</v>
      </c>
      <c r="H216" s="31">
        <v>1.2669999999999999</v>
      </c>
      <c r="I216" s="31">
        <v>5.0010000000000003</v>
      </c>
      <c r="J216" s="31">
        <v>2.161</v>
      </c>
      <c r="K216" s="31">
        <v>9.9989999999999996E-4</v>
      </c>
    </row>
    <row r="217" spans="1:18">
      <c r="A217" s="15">
        <v>4</v>
      </c>
      <c r="B217" s="22">
        <v>39707</v>
      </c>
      <c r="C217" s="15">
        <v>2008</v>
      </c>
      <c r="D217" s="11" t="s">
        <v>40</v>
      </c>
      <c r="E217" s="15">
        <v>9</v>
      </c>
      <c r="F217" s="31">
        <v>20.312000000000001</v>
      </c>
      <c r="G217" s="31">
        <v>0.16</v>
      </c>
      <c r="H217" s="31">
        <v>0.65100000000000002</v>
      </c>
      <c r="I217" s="31">
        <v>3.6</v>
      </c>
      <c r="J217" s="31">
        <v>2.5409999999999999</v>
      </c>
      <c r="K217" s="31">
        <v>9.9989999999999996E-4</v>
      </c>
    </row>
    <row r="218" spans="1:18">
      <c r="A218" s="15">
        <v>3</v>
      </c>
      <c r="B218" s="22">
        <v>39737</v>
      </c>
      <c r="C218" s="15">
        <v>2008</v>
      </c>
      <c r="D218" s="11" t="s">
        <v>36</v>
      </c>
      <c r="E218" s="15">
        <v>10</v>
      </c>
      <c r="F218" s="26">
        <v>12.946999999999999</v>
      </c>
      <c r="G218" s="26">
        <v>6.6000000000000003E-2</v>
      </c>
      <c r="H218" s="26">
        <v>1.1819999999999999</v>
      </c>
      <c r="I218" s="26">
        <v>4.16</v>
      </c>
      <c r="J218" s="31">
        <v>1.252</v>
      </c>
      <c r="K218" s="31">
        <v>9.9989999999999996E-4</v>
      </c>
    </row>
    <row r="219" spans="1:18">
      <c r="A219" s="15">
        <v>4</v>
      </c>
      <c r="B219" s="22">
        <v>39737</v>
      </c>
      <c r="C219" s="15">
        <v>2008</v>
      </c>
      <c r="D219" s="11" t="s">
        <v>36</v>
      </c>
      <c r="E219" s="15">
        <v>10</v>
      </c>
      <c r="F219" s="26">
        <v>21.135999999999999</v>
      </c>
      <c r="G219" s="26">
        <v>0.106</v>
      </c>
      <c r="H219" s="26">
        <v>1.7569999999999999</v>
      </c>
      <c r="I219" s="26">
        <v>5.5949999999999998</v>
      </c>
      <c r="J219" s="31">
        <v>2.9289999999999998</v>
      </c>
      <c r="K219" s="31">
        <v>9.9989999999999996E-4</v>
      </c>
    </row>
    <row r="220" spans="1:18">
      <c r="A220" s="15">
        <v>3</v>
      </c>
      <c r="B220" s="22">
        <v>39763</v>
      </c>
      <c r="C220" s="15">
        <v>2008</v>
      </c>
      <c r="D220" s="11" t="s">
        <v>37</v>
      </c>
      <c r="E220" s="15">
        <v>11</v>
      </c>
      <c r="F220" s="26">
        <v>11.272</v>
      </c>
      <c r="G220" s="26">
        <v>2.5000000000000001E-2</v>
      </c>
      <c r="H220" s="26">
        <v>0.625</v>
      </c>
      <c r="I220" s="26">
        <v>4.7249999999999996</v>
      </c>
      <c r="J220" s="31">
        <v>0.504</v>
      </c>
      <c r="K220" s="31">
        <v>9.9989999999999996E-4</v>
      </c>
    </row>
    <row r="221" spans="1:18">
      <c r="A221" s="15">
        <v>4</v>
      </c>
      <c r="B221" s="22">
        <v>39763</v>
      </c>
      <c r="C221" s="15">
        <v>2008</v>
      </c>
      <c r="D221" s="11" t="s">
        <v>37</v>
      </c>
      <c r="E221" s="15">
        <v>11</v>
      </c>
      <c r="F221" s="26">
        <v>14.859</v>
      </c>
      <c r="G221" s="26">
        <v>3.7999999999999999E-2</v>
      </c>
      <c r="H221" s="26">
        <v>0.81799999999999995</v>
      </c>
      <c r="I221" s="26">
        <v>6.343</v>
      </c>
      <c r="J221" s="31">
        <v>0.57799999999999996</v>
      </c>
      <c r="K221" s="31">
        <v>9.9989999999999996E-4</v>
      </c>
    </row>
    <row r="222" spans="1:18">
      <c r="A222" s="15">
        <v>3</v>
      </c>
      <c r="B222" s="22">
        <v>39434</v>
      </c>
      <c r="C222" s="15">
        <v>2008</v>
      </c>
      <c r="D222" s="11" t="s">
        <v>38</v>
      </c>
      <c r="E222" s="15">
        <v>12</v>
      </c>
      <c r="F222" s="26">
        <v>19.263000000000002</v>
      </c>
      <c r="G222" s="26">
        <v>1.7789999999999999</v>
      </c>
      <c r="H222" s="26">
        <v>0.29599999999999999</v>
      </c>
      <c r="I222" s="26">
        <v>5.1189999999999998</v>
      </c>
      <c r="J222" s="31">
        <v>9.4E-2</v>
      </c>
      <c r="K222" s="31">
        <v>9.9989999999999996E-4</v>
      </c>
    </row>
    <row r="223" spans="1:18" ht="25.5">
      <c r="A223" s="15">
        <v>4</v>
      </c>
      <c r="B223" s="22">
        <v>39434</v>
      </c>
      <c r="C223" s="15">
        <v>2008</v>
      </c>
      <c r="D223" s="11" t="s">
        <v>38</v>
      </c>
      <c r="E223" s="15">
        <v>12</v>
      </c>
      <c r="F223" s="26">
        <v>23.683</v>
      </c>
      <c r="G223" s="26">
        <v>3.93</v>
      </c>
      <c r="H223" s="26">
        <v>0.23200000000000001</v>
      </c>
      <c r="I223" s="26">
        <v>4.5679999999999996</v>
      </c>
      <c r="J223" s="31">
        <v>0.112</v>
      </c>
      <c r="K223" s="31">
        <v>9.9989999999999996E-4</v>
      </c>
      <c r="L223" s="34" t="s">
        <v>51</v>
      </c>
      <c r="M223" s="6" t="s">
        <v>7</v>
      </c>
      <c r="N223" s="6" t="s">
        <v>8</v>
      </c>
      <c r="O223" s="6" t="s">
        <v>9</v>
      </c>
      <c r="P223" s="6" t="s">
        <v>10</v>
      </c>
      <c r="Q223" s="6" t="s">
        <v>11</v>
      </c>
      <c r="R223" s="6" t="s">
        <v>12</v>
      </c>
    </row>
    <row r="224" spans="1:18">
      <c r="A224" s="46">
        <v>3</v>
      </c>
      <c r="B224" s="53">
        <v>39825</v>
      </c>
      <c r="C224" s="46">
        <v>2009</v>
      </c>
      <c r="D224" s="42" t="s">
        <v>39</v>
      </c>
      <c r="E224" s="40">
        <v>1</v>
      </c>
      <c r="F224" s="60">
        <v>12.114000000000001</v>
      </c>
      <c r="G224" s="60">
        <v>0.82899999999999996</v>
      </c>
      <c r="H224" s="60">
        <v>9.9989999999999996E-4</v>
      </c>
      <c r="I224" s="60">
        <v>2.3559999999999999</v>
      </c>
      <c r="J224" s="58">
        <v>6.9000000000000006E-2</v>
      </c>
      <c r="K224" s="58">
        <v>9.9989999999999996E-4</v>
      </c>
      <c r="L224" s="34" t="s">
        <v>55</v>
      </c>
      <c r="M224" s="35">
        <f t="shared" ref="M224:R224" si="6">AVERAGE(F224:F247)</f>
        <v>11.771249999999995</v>
      </c>
      <c r="N224" s="35">
        <f t="shared" si="6"/>
        <v>0.29745833333333327</v>
      </c>
      <c r="O224" s="35">
        <f t="shared" si="6"/>
        <v>0.10070830416666665</v>
      </c>
      <c r="P224" s="35">
        <f t="shared" si="6"/>
        <v>2.3888750000000001</v>
      </c>
      <c r="Q224" s="35">
        <f t="shared" si="6"/>
        <v>0.83333333333333348</v>
      </c>
      <c r="R224" s="35">
        <f t="shared" si="6"/>
        <v>5.333266666666666E-3</v>
      </c>
    </row>
    <row r="225" spans="1:12">
      <c r="A225" s="15">
        <v>4</v>
      </c>
      <c r="B225" s="22">
        <v>39825</v>
      </c>
      <c r="C225" s="15">
        <v>2009</v>
      </c>
      <c r="D225" s="11" t="s">
        <v>39</v>
      </c>
      <c r="E225" s="12">
        <v>1</v>
      </c>
      <c r="F225" s="26">
        <v>12.62</v>
      </c>
      <c r="G225" s="26">
        <v>1.845</v>
      </c>
      <c r="H225" s="26">
        <v>4.3999999999999997E-2</v>
      </c>
      <c r="I225" s="26">
        <v>1.889</v>
      </c>
      <c r="J225" s="31">
        <v>9.8000000000000004E-2</v>
      </c>
      <c r="K225" s="31">
        <v>9.9989999999999996E-4</v>
      </c>
      <c r="L225"/>
    </row>
    <row r="226" spans="1:12">
      <c r="A226" s="12">
        <v>3</v>
      </c>
      <c r="B226" s="22">
        <v>39854</v>
      </c>
      <c r="C226" s="15">
        <v>2009</v>
      </c>
      <c r="D226" s="11" t="s">
        <v>28</v>
      </c>
      <c r="E226" s="12">
        <v>2</v>
      </c>
      <c r="F226" s="26">
        <v>5.9710000000000001</v>
      </c>
      <c r="G226" s="26">
        <v>9.9000000000000005E-2</v>
      </c>
      <c r="H226" s="26">
        <v>1.7000000000000001E-2</v>
      </c>
      <c r="I226" s="26">
        <v>1.875</v>
      </c>
      <c r="J226" s="31">
        <v>2.7E-2</v>
      </c>
      <c r="K226" s="31">
        <v>9.9989999999999996E-4</v>
      </c>
      <c r="L226"/>
    </row>
    <row r="227" spans="1:12">
      <c r="A227" s="12">
        <v>4</v>
      </c>
      <c r="B227" s="22">
        <v>39854</v>
      </c>
      <c r="C227" s="15">
        <v>2009</v>
      </c>
      <c r="D227" s="11" t="s">
        <v>28</v>
      </c>
      <c r="E227" s="12">
        <v>2</v>
      </c>
      <c r="F227" s="26">
        <v>5.5919999999999996</v>
      </c>
      <c r="G227" s="26">
        <v>0.17399999999999999</v>
      </c>
      <c r="H227" s="26">
        <v>9.9989999999999996E-4</v>
      </c>
      <c r="I227" s="26">
        <v>2.056</v>
      </c>
      <c r="J227" s="31">
        <v>3.3000000000000002E-2</v>
      </c>
      <c r="K227" s="31">
        <v>9.9989999999999996E-4</v>
      </c>
      <c r="L227"/>
    </row>
    <row r="228" spans="1:12">
      <c r="A228" s="12">
        <v>3</v>
      </c>
      <c r="B228" s="22">
        <v>39890</v>
      </c>
      <c r="C228" s="15">
        <v>2009</v>
      </c>
      <c r="D228" s="11" t="s">
        <v>29</v>
      </c>
      <c r="E228" s="12">
        <v>3</v>
      </c>
      <c r="F228" s="26">
        <v>10.291</v>
      </c>
      <c r="G228" s="26">
        <v>3.4000000000000002E-2</v>
      </c>
      <c r="H228" s="26">
        <v>1E-3</v>
      </c>
      <c r="I228" s="26">
        <v>4.6260000000000003</v>
      </c>
      <c r="J228" s="31">
        <v>7.6999999999999999E-2</v>
      </c>
      <c r="K228" s="31">
        <v>9.9989999999999996E-4</v>
      </c>
      <c r="L228"/>
    </row>
    <row r="229" spans="1:12">
      <c r="A229" s="12">
        <v>4</v>
      </c>
      <c r="B229" s="22">
        <v>39890</v>
      </c>
      <c r="C229" s="15">
        <v>2009</v>
      </c>
      <c r="D229" s="11" t="s">
        <v>29</v>
      </c>
      <c r="E229" s="12">
        <v>3</v>
      </c>
      <c r="F229" s="26">
        <v>8.1660000000000004</v>
      </c>
      <c r="G229" s="26">
        <v>3.7999999999999999E-2</v>
      </c>
      <c r="H229" s="26">
        <v>9.9989999999999996E-4</v>
      </c>
      <c r="I229" s="26">
        <v>3.383</v>
      </c>
      <c r="J229" s="31">
        <v>8.5999999999999993E-2</v>
      </c>
      <c r="K229" s="31">
        <v>9.9989999999999996E-4</v>
      </c>
      <c r="L229"/>
    </row>
    <row r="230" spans="1:12">
      <c r="A230" s="12">
        <v>3</v>
      </c>
      <c r="B230" s="22">
        <v>39920</v>
      </c>
      <c r="C230" s="15">
        <v>2009</v>
      </c>
      <c r="D230" s="11" t="s">
        <v>30</v>
      </c>
      <c r="E230" s="12">
        <v>4</v>
      </c>
      <c r="F230" s="26">
        <v>3.7959999999999998</v>
      </c>
      <c r="G230" s="26">
        <v>2.4E-2</v>
      </c>
      <c r="H230" s="26">
        <v>1E-3</v>
      </c>
      <c r="I230" s="26">
        <v>0.90100000000000002</v>
      </c>
      <c r="J230" s="31">
        <v>0.04</v>
      </c>
      <c r="K230" s="31">
        <v>9.9989999999999996E-4</v>
      </c>
      <c r="L230"/>
    </row>
    <row r="231" spans="1:12">
      <c r="A231" s="12">
        <v>4</v>
      </c>
      <c r="B231" s="22">
        <v>39920</v>
      </c>
      <c r="C231" s="15">
        <v>2009</v>
      </c>
      <c r="D231" s="11" t="s">
        <v>30</v>
      </c>
      <c r="E231" s="12">
        <v>4</v>
      </c>
      <c r="F231" s="26">
        <v>7.9089999999999998</v>
      </c>
      <c r="G231" s="26">
        <v>0.124</v>
      </c>
      <c r="H231" s="26">
        <v>1E-3</v>
      </c>
      <c r="I231" s="26">
        <v>1.948</v>
      </c>
      <c r="J231" s="31">
        <v>6.5000000000000002E-2</v>
      </c>
      <c r="K231" s="31">
        <v>9.9989999999999996E-4</v>
      </c>
      <c r="L231"/>
    </row>
    <row r="232" spans="1:12">
      <c r="A232" s="12">
        <v>3</v>
      </c>
      <c r="B232" s="22">
        <v>39945</v>
      </c>
      <c r="C232" s="15">
        <v>2009</v>
      </c>
      <c r="D232" s="11" t="s">
        <v>31</v>
      </c>
      <c r="E232" s="12">
        <v>5</v>
      </c>
      <c r="F232" s="26">
        <v>7.6829999999999998</v>
      </c>
      <c r="G232" s="26">
        <v>0.874</v>
      </c>
      <c r="H232" s="26">
        <v>0.05</v>
      </c>
      <c r="I232" s="26">
        <v>1.397</v>
      </c>
      <c r="J232" s="31">
        <v>0.24199999999999999</v>
      </c>
      <c r="K232" s="31">
        <v>2.3E-2</v>
      </c>
      <c r="L232"/>
    </row>
    <row r="233" spans="1:12">
      <c r="A233" s="12">
        <v>4</v>
      </c>
      <c r="B233" s="22">
        <v>39945</v>
      </c>
      <c r="C233" s="15">
        <v>2009</v>
      </c>
      <c r="D233" s="11" t="s">
        <v>31</v>
      </c>
      <c r="E233" s="12">
        <v>5</v>
      </c>
      <c r="F233" s="26">
        <v>18.114000000000001</v>
      </c>
      <c r="G233" s="26">
        <v>0.84499999999999997</v>
      </c>
      <c r="H233" s="26">
        <v>9.2999999999999999E-2</v>
      </c>
      <c r="I233" s="26">
        <v>3.5750000000000002</v>
      </c>
      <c r="J233" s="31">
        <v>0.64700000000000002</v>
      </c>
      <c r="K233" s="31">
        <v>4.7E-2</v>
      </c>
      <c r="L233"/>
    </row>
    <row r="234" spans="1:12">
      <c r="A234" s="15">
        <v>3</v>
      </c>
      <c r="B234" s="22">
        <v>39980</v>
      </c>
      <c r="C234" s="15">
        <v>2009</v>
      </c>
      <c r="D234" s="11" t="s">
        <v>32</v>
      </c>
      <c r="E234" s="12">
        <v>6</v>
      </c>
      <c r="F234" s="26">
        <v>18.402000000000001</v>
      </c>
      <c r="G234" s="26">
        <v>0.111</v>
      </c>
      <c r="H234" s="26">
        <v>1.4039999999999999</v>
      </c>
      <c r="I234" s="26">
        <v>5.2619999999999996</v>
      </c>
      <c r="J234" s="31">
        <v>1.43</v>
      </c>
      <c r="K234" s="31">
        <v>1.7999999999999999E-2</v>
      </c>
      <c r="L234"/>
    </row>
    <row r="235" spans="1:12">
      <c r="A235" s="15">
        <v>4</v>
      </c>
      <c r="B235" s="22">
        <v>39980</v>
      </c>
      <c r="C235" s="15">
        <v>2009</v>
      </c>
      <c r="D235" s="11" t="s">
        <v>32</v>
      </c>
      <c r="E235" s="12">
        <v>6</v>
      </c>
      <c r="F235" s="26">
        <v>21.108000000000001</v>
      </c>
      <c r="G235" s="26">
        <v>0.127</v>
      </c>
      <c r="H235" s="26">
        <v>0.44600000000000001</v>
      </c>
      <c r="I235" s="26">
        <v>4.58</v>
      </c>
      <c r="J235" s="31">
        <v>2.625</v>
      </c>
      <c r="K235" s="31">
        <v>0.02</v>
      </c>
      <c r="L235"/>
    </row>
    <row r="236" spans="1:12">
      <c r="A236" s="15">
        <v>3</v>
      </c>
      <c r="B236" s="22">
        <v>40009</v>
      </c>
      <c r="C236" s="15">
        <v>2009</v>
      </c>
      <c r="D236" s="11" t="s">
        <v>33</v>
      </c>
      <c r="E236" s="12">
        <v>7</v>
      </c>
      <c r="F236" s="26">
        <v>11.356</v>
      </c>
      <c r="G236" s="26">
        <v>0.21299999999999999</v>
      </c>
      <c r="H236" s="26">
        <v>0.107</v>
      </c>
      <c r="I236" s="26">
        <v>1.2669999999999999</v>
      </c>
      <c r="J236" s="31">
        <v>2.59</v>
      </c>
      <c r="K236" s="31">
        <v>1E-3</v>
      </c>
      <c r="L236"/>
    </row>
    <row r="237" spans="1:12">
      <c r="A237" s="15">
        <v>4</v>
      </c>
      <c r="B237" s="22">
        <v>40009</v>
      </c>
      <c r="C237" s="15">
        <v>2009</v>
      </c>
      <c r="D237" s="11" t="s">
        <v>33</v>
      </c>
      <c r="E237" s="12">
        <v>7</v>
      </c>
      <c r="F237" s="26">
        <v>16.303000000000001</v>
      </c>
      <c r="G237" s="26">
        <v>0.14099999999999999</v>
      </c>
      <c r="H237" s="26">
        <v>0.16300000000000001</v>
      </c>
      <c r="I237" s="26">
        <v>2.2250000000000001</v>
      </c>
      <c r="J237" s="31">
        <v>2.6080000000000001</v>
      </c>
      <c r="K237" s="31">
        <v>1E-3</v>
      </c>
      <c r="L237"/>
    </row>
    <row r="238" spans="1:12">
      <c r="A238" s="15">
        <v>3</v>
      </c>
      <c r="B238" s="22">
        <v>40043</v>
      </c>
      <c r="C238" s="15">
        <v>2009</v>
      </c>
      <c r="D238" s="11" t="s">
        <v>34</v>
      </c>
      <c r="E238" s="12">
        <v>8</v>
      </c>
      <c r="F238" s="26">
        <v>21.183</v>
      </c>
      <c r="G238" s="26">
        <v>0.23400000000000001</v>
      </c>
      <c r="H238" s="26">
        <v>1E-3</v>
      </c>
      <c r="I238" s="26">
        <v>2.919</v>
      </c>
      <c r="J238" s="31">
        <v>1.5880000000000001</v>
      </c>
      <c r="K238" s="31">
        <v>1E-3</v>
      </c>
      <c r="L238"/>
    </row>
    <row r="239" spans="1:12">
      <c r="A239" s="15">
        <v>4</v>
      </c>
      <c r="B239" s="22">
        <v>40043</v>
      </c>
      <c r="C239" s="15">
        <v>2009</v>
      </c>
      <c r="D239" s="11" t="s">
        <v>34</v>
      </c>
      <c r="E239" s="12">
        <v>8</v>
      </c>
      <c r="F239" s="26">
        <v>33.268000000000001</v>
      </c>
      <c r="G239" s="26">
        <v>0.23799999999999999</v>
      </c>
      <c r="H239" s="26">
        <v>1E-3</v>
      </c>
      <c r="I239" s="26">
        <v>4.2210000000000001</v>
      </c>
      <c r="J239" s="31">
        <v>1.6559999999999999</v>
      </c>
      <c r="K239" s="31">
        <v>1E-3</v>
      </c>
      <c r="L239"/>
    </row>
    <row r="240" spans="1:12">
      <c r="A240" s="15">
        <v>3</v>
      </c>
      <c r="B240" s="22">
        <v>40070</v>
      </c>
      <c r="C240" s="15">
        <v>2009</v>
      </c>
      <c r="D240" s="11" t="s">
        <v>40</v>
      </c>
      <c r="E240" s="12">
        <v>9</v>
      </c>
      <c r="F240" s="26">
        <v>15.382999999999999</v>
      </c>
      <c r="G240" s="26">
        <v>5.1999999999999998E-2</v>
      </c>
      <c r="H240" s="26">
        <v>1E-3</v>
      </c>
      <c r="I240" s="26">
        <v>4.2370000000000001</v>
      </c>
      <c r="J240" s="31">
        <v>0.96199999999999997</v>
      </c>
      <c r="K240" s="31">
        <v>9.9989999999999996E-4</v>
      </c>
      <c r="L240"/>
    </row>
    <row r="241" spans="1:18">
      <c r="A241" s="15">
        <v>4</v>
      </c>
      <c r="B241" s="22">
        <v>40070</v>
      </c>
      <c r="C241" s="15">
        <v>2009</v>
      </c>
      <c r="D241" s="11" t="s">
        <v>40</v>
      </c>
      <c r="E241" s="12">
        <v>9</v>
      </c>
      <c r="F241" s="26">
        <v>12.561</v>
      </c>
      <c r="G241" s="26">
        <v>9.0999999999999998E-2</v>
      </c>
      <c r="H241" s="26">
        <v>1E-3</v>
      </c>
      <c r="I241" s="26">
        <v>2.13</v>
      </c>
      <c r="J241" s="31">
        <v>1.0760000000000001</v>
      </c>
      <c r="K241" s="31">
        <v>9.9989999999999996E-4</v>
      </c>
    </row>
    <row r="242" spans="1:18">
      <c r="A242" s="15">
        <v>3</v>
      </c>
      <c r="B242" s="22">
        <v>40099</v>
      </c>
      <c r="C242" s="15">
        <v>2009</v>
      </c>
      <c r="D242" s="11" t="s">
        <v>36</v>
      </c>
      <c r="E242" s="12">
        <v>10</v>
      </c>
      <c r="F242" s="26">
        <v>8.7680000000000007</v>
      </c>
      <c r="G242" s="26">
        <v>5.5E-2</v>
      </c>
      <c r="H242" s="26">
        <v>4.4999999999999998E-2</v>
      </c>
      <c r="I242" s="26">
        <v>1.2849999999999999</v>
      </c>
      <c r="J242" s="31">
        <v>1.431</v>
      </c>
      <c r="K242" s="31">
        <v>9.9989999999999996E-4</v>
      </c>
    </row>
    <row r="243" spans="1:18">
      <c r="A243" s="15">
        <v>4</v>
      </c>
      <c r="B243" s="22">
        <v>40099</v>
      </c>
      <c r="C243" s="15">
        <v>2009</v>
      </c>
      <c r="D243" s="11" t="s">
        <v>36</v>
      </c>
      <c r="E243" s="12">
        <v>10</v>
      </c>
      <c r="F243" s="26">
        <v>11.911</v>
      </c>
      <c r="G243" s="26">
        <v>5.3999999999999999E-2</v>
      </c>
      <c r="H243" s="26">
        <v>3.4000000000000002E-2</v>
      </c>
      <c r="I243" s="26">
        <v>1.2230000000000001</v>
      </c>
      <c r="J243" s="31">
        <v>2.4049999999999998</v>
      </c>
      <c r="K243" s="31">
        <v>9.9989999999999996E-4</v>
      </c>
    </row>
    <row r="244" spans="1:18">
      <c r="A244" s="15">
        <v>3</v>
      </c>
      <c r="B244" s="22">
        <v>40134</v>
      </c>
      <c r="C244" s="15">
        <v>2009</v>
      </c>
      <c r="D244" s="11" t="s">
        <v>37</v>
      </c>
      <c r="E244" s="12">
        <v>11</v>
      </c>
      <c r="F244" s="26">
        <v>3.383</v>
      </c>
      <c r="G244" s="26">
        <v>0.27700000000000002</v>
      </c>
      <c r="H244" s="26">
        <v>9.9989999999999996E-4</v>
      </c>
      <c r="I244" s="26">
        <v>0.57499999999999996</v>
      </c>
      <c r="J244" s="31">
        <v>5.6000000000000001E-2</v>
      </c>
      <c r="K244" s="31">
        <v>9.9989999999999996E-4</v>
      </c>
    </row>
    <row r="245" spans="1:18">
      <c r="A245" s="15">
        <v>4</v>
      </c>
      <c r="B245" s="22">
        <v>40134</v>
      </c>
      <c r="C245" s="15">
        <v>2009</v>
      </c>
      <c r="D245" s="11" t="s">
        <v>37</v>
      </c>
      <c r="E245" s="12">
        <v>11</v>
      </c>
      <c r="F245" s="26">
        <v>2.6019999999999999</v>
      </c>
      <c r="G245" s="26">
        <v>0.109</v>
      </c>
      <c r="H245" s="26">
        <v>9.9989999999999996E-4</v>
      </c>
      <c r="I245" s="26">
        <v>0.47199999999999998</v>
      </c>
      <c r="J245" s="31">
        <v>6.5000000000000002E-2</v>
      </c>
      <c r="K245" s="31">
        <v>9.9989999999999996E-4</v>
      </c>
    </row>
    <row r="246" spans="1:18">
      <c r="A246" s="15">
        <v>3</v>
      </c>
      <c r="B246" s="22">
        <v>40161</v>
      </c>
      <c r="C246" s="15">
        <v>2009</v>
      </c>
      <c r="D246" s="11" t="s">
        <v>38</v>
      </c>
      <c r="E246" s="12">
        <v>12</v>
      </c>
      <c r="F246" s="26">
        <v>7.4050000000000002</v>
      </c>
      <c r="G246" s="26">
        <v>0.36299999999999999</v>
      </c>
      <c r="H246" s="26">
        <v>9.9989999999999996E-4</v>
      </c>
      <c r="I246" s="61">
        <v>1.637</v>
      </c>
      <c r="J246" s="31">
        <v>4.2999999999999997E-2</v>
      </c>
      <c r="K246" s="31">
        <v>9.9989999999999996E-4</v>
      </c>
    </row>
    <row r="247" spans="1:18" ht="25.5">
      <c r="A247" s="15">
        <v>4</v>
      </c>
      <c r="B247" s="22">
        <v>40161</v>
      </c>
      <c r="C247" s="15">
        <v>2009</v>
      </c>
      <c r="D247" s="11" t="s">
        <v>38</v>
      </c>
      <c r="E247" s="12">
        <v>12</v>
      </c>
      <c r="F247" s="26">
        <v>6.6210000000000004</v>
      </c>
      <c r="G247" s="26">
        <v>0.188</v>
      </c>
      <c r="H247" s="26">
        <v>9.9989999999999996E-4</v>
      </c>
      <c r="I247" s="61">
        <v>1.294</v>
      </c>
      <c r="J247" s="31">
        <v>8.1000000000000003E-2</v>
      </c>
      <c r="K247" s="31">
        <v>9.9989999999999996E-4</v>
      </c>
      <c r="L247" s="34" t="s">
        <v>43</v>
      </c>
      <c r="M247" s="6" t="s">
        <v>7</v>
      </c>
      <c r="N247" s="6" t="s">
        <v>8</v>
      </c>
      <c r="O247" s="6" t="s">
        <v>9</v>
      </c>
      <c r="P247" s="6" t="s">
        <v>10</v>
      </c>
      <c r="Q247" s="6" t="s">
        <v>11</v>
      </c>
      <c r="R247" s="6" t="s">
        <v>12</v>
      </c>
    </row>
    <row r="248" spans="1:18">
      <c r="A248" s="46">
        <v>3</v>
      </c>
      <c r="B248" s="50">
        <v>40198</v>
      </c>
      <c r="C248" s="46">
        <v>2010</v>
      </c>
      <c r="D248" s="42" t="s">
        <v>39</v>
      </c>
      <c r="E248" s="40">
        <v>1</v>
      </c>
      <c r="F248" s="60">
        <v>7.4580000000000002</v>
      </c>
      <c r="G248" s="60">
        <v>1.5021698749999999</v>
      </c>
      <c r="H248" s="60">
        <v>0</v>
      </c>
      <c r="I248" s="62">
        <v>2.4775922500000003</v>
      </c>
      <c r="J248" s="58">
        <v>3.5856875000000003E-2</v>
      </c>
      <c r="K248" s="58">
        <v>0</v>
      </c>
      <c r="L248" s="34" t="s">
        <v>56</v>
      </c>
      <c r="M248" s="35">
        <f t="shared" ref="M248:R248" si="7">AVERAGE(F248:F271)</f>
        <v>12.296291666666667</v>
      </c>
      <c r="N248" s="35">
        <f t="shared" si="7"/>
        <v>0.63618043749999997</v>
      </c>
      <c r="O248" s="35">
        <f t="shared" si="7"/>
        <v>3.650167708333333E-2</v>
      </c>
      <c r="P248" s="35">
        <f t="shared" si="7"/>
        <v>2.3712179114583334</v>
      </c>
      <c r="Q248" s="35">
        <f t="shared" si="7"/>
        <v>1.2464321614583331</v>
      </c>
      <c r="R248" s="35">
        <f t="shared" si="7"/>
        <v>1.0303921874999998E-2</v>
      </c>
    </row>
    <row r="249" spans="1:18">
      <c r="A249" s="15">
        <v>4</v>
      </c>
      <c r="B249" s="19">
        <v>40198</v>
      </c>
      <c r="C249" s="15">
        <v>2010</v>
      </c>
      <c r="D249" s="11" t="s">
        <v>39</v>
      </c>
      <c r="E249" s="12">
        <v>1</v>
      </c>
      <c r="F249" s="26">
        <v>9.9359999999999999</v>
      </c>
      <c r="G249" s="26">
        <v>3.4942473749999992</v>
      </c>
      <c r="H249" s="26">
        <v>0</v>
      </c>
      <c r="I249" s="61">
        <v>2.1787363749999997</v>
      </c>
      <c r="J249" s="31">
        <v>5.8066624999999983E-2</v>
      </c>
      <c r="K249" s="31">
        <v>0</v>
      </c>
    </row>
    <row r="250" spans="1:18">
      <c r="A250" s="15">
        <v>3</v>
      </c>
      <c r="B250" s="19">
        <v>40225</v>
      </c>
      <c r="C250" s="15">
        <v>2010</v>
      </c>
      <c r="D250" s="11" t="s">
        <v>28</v>
      </c>
      <c r="E250" s="12">
        <v>2</v>
      </c>
      <c r="F250" s="26">
        <v>7.367</v>
      </c>
      <c r="G250" s="26">
        <v>0.68639962499999996</v>
      </c>
      <c r="H250" s="26">
        <v>0</v>
      </c>
      <c r="I250" s="61">
        <v>2.8348466250000004</v>
      </c>
      <c r="J250" s="31">
        <v>2.4660624999999995E-2</v>
      </c>
      <c r="K250" s="31">
        <v>0</v>
      </c>
    </row>
    <row r="251" spans="1:18">
      <c r="A251" s="15">
        <v>4</v>
      </c>
      <c r="B251" s="19">
        <v>40225</v>
      </c>
      <c r="C251" s="15">
        <v>2010</v>
      </c>
      <c r="D251" s="11" t="s">
        <v>28</v>
      </c>
      <c r="E251" s="12">
        <v>2</v>
      </c>
      <c r="F251" s="26">
        <v>8.0229999999999997</v>
      </c>
      <c r="G251" s="26">
        <v>1.0478338750000002</v>
      </c>
      <c r="H251" s="26">
        <v>0</v>
      </c>
      <c r="I251" s="61">
        <v>2.6461416249999994</v>
      </c>
      <c r="J251" s="31">
        <v>5.8846624999999993E-2</v>
      </c>
      <c r="K251" s="31">
        <v>0</v>
      </c>
    </row>
    <row r="252" spans="1:18">
      <c r="A252" s="15">
        <v>3</v>
      </c>
      <c r="B252" s="19">
        <v>40254</v>
      </c>
      <c r="C252" s="15">
        <v>2010</v>
      </c>
      <c r="D252" s="11" t="s">
        <v>29</v>
      </c>
      <c r="E252" s="12">
        <v>3</v>
      </c>
      <c r="F252" s="26">
        <v>6.298</v>
      </c>
      <c r="G252" s="26">
        <v>0.409045875</v>
      </c>
      <c r="H252" s="26">
        <v>0</v>
      </c>
      <c r="I252" s="61">
        <v>1.7316848749999996</v>
      </c>
      <c r="J252" s="31">
        <v>0.114169625</v>
      </c>
      <c r="K252" s="31">
        <v>0</v>
      </c>
    </row>
    <row r="253" spans="1:18">
      <c r="A253" s="15">
        <v>4</v>
      </c>
      <c r="B253" s="19">
        <v>40254</v>
      </c>
      <c r="C253" s="15">
        <v>2010</v>
      </c>
      <c r="D253" s="11" t="s">
        <v>29</v>
      </c>
      <c r="E253" s="12">
        <v>3</v>
      </c>
      <c r="F253" s="26">
        <v>5.4240000000000004</v>
      </c>
      <c r="G253" s="26">
        <v>0.46961950000000002</v>
      </c>
      <c r="H253" s="26">
        <v>0</v>
      </c>
      <c r="I253" s="61">
        <v>1.6037768750000001</v>
      </c>
      <c r="J253" s="31">
        <v>5.7121125000000002E-2</v>
      </c>
      <c r="K253" s="31">
        <v>0</v>
      </c>
    </row>
    <row r="254" spans="1:18">
      <c r="A254" s="15">
        <v>3</v>
      </c>
      <c r="B254" s="19">
        <v>40280</v>
      </c>
      <c r="C254" s="15">
        <v>2010</v>
      </c>
      <c r="D254" s="11" t="s">
        <v>30</v>
      </c>
      <c r="E254" s="12">
        <v>4</v>
      </c>
      <c r="F254" s="26">
        <v>9.4649999999999999</v>
      </c>
      <c r="G254" s="26">
        <v>2.8041234999999998</v>
      </c>
      <c r="H254" s="26">
        <v>0</v>
      </c>
      <c r="I254" s="61">
        <v>2.1246241250000004</v>
      </c>
      <c r="J254" s="31">
        <v>0.22768437499999999</v>
      </c>
      <c r="K254" s="31">
        <v>0</v>
      </c>
    </row>
    <row r="255" spans="1:18">
      <c r="A255" s="15">
        <v>4</v>
      </c>
      <c r="B255" s="19">
        <v>40280</v>
      </c>
      <c r="C255" s="15">
        <v>2010</v>
      </c>
      <c r="D255" s="11" t="s">
        <v>30</v>
      </c>
      <c r="E255" s="12">
        <v>4</v>
      </c>
      <c r="F255" s="26">
        <v>15.436999999999999</v>
      </c>
      <c r="G255" s="26">
        <v>2.4303068749999999</v>
      </c>
      <c r="H255" s="26">
        <v>0</v>
      </c>
      <c r="I255" s="61">
        <v>3.9888555000000001</v>
      </c>
      <c r="J255" s="31">
        <v>0.79852987499999983</v>
      </c>
      <c r="K255" s="31">
        <v>2.7586249999999994E-3</v>
      </c>
    </row>
    <row r="256" spans="1:18">
      <c r="A256" s="15">
        <v>3</v>
      </c>
      <c r="B256" s="22">
        <v>40315</v>
      </c>
      <c r="C256" s="15">
        <v>2010</v>
      </c>
      <c r="D256" s="11" t="s">
        <v>31</v>
      </c>
      <c r="E256" s="12">
        <v>5</v>
      </c>
      <c r="F256" s="28">
        <v>5.5709999999999997</v>
      </c>
      <c r="G256" s="28">
        <v>0.13100675000000001</v>
      </c>
      <c r="H256" s="28">
        <v>8.8547249999999994E-2</v>
      </c>
      <c r="I256" s="28">
        <v>1.0584173750000001</v>
      </c>
      <c r="J256" s="28">
        <v>1.6918322500000003</v>
      </c>
      <c r="K256" s="28">
        <v>2.7686875E-2</v>
      </c>
    </row>
    <row r="257" spans="1:18">
      <c r="A257" s="15">
        <v>4</v>
      </c>
      <c r="B257" s="22">
        <v>40315</v>
      </c>
      <c r="C257" s="15">
        <v>2010</v>
      </c>
      <c r="D257" s="11" t="s">
        <v>31</v>
      </c>
      <c r="E257" s="12">
        <v>5</v>
      </c>
      <c r="F257" s="28">
        <v>7.5839999999999996</v>
      </c>
      <c r="G257" s="28">
        <v>0.11898262499999998</v>
      </c>
      <c r="H257" s="28">
        <v>0</v>
      </c>
      <c r="I257" s="28">
        <v>1.0817613749999999</v>
      </c>
      <c r="J257" s="28">
        <v>2.7844369999999996</v>
      </c>
      <c r="K257" s="28">
        <v>0</v>
      </c>
    </row>
    <row r="258" spans="1:18">
      <c r="A258" s="15">
        <v>3</v>
      </c>
      <c r="B258" s="22">
        <v>40344</v>
      </c>
      <c r="C258" s="15">
        <v>2010</v>
      </c>
      <c r="D258" s="11" t="s">
        <v>32</v>
      </c>
      <c r="E258" s="12">
        <v>6</v>
      </c>
      <c r="F258" s="28">
        <v>12.952</v>
      </c>
      <c r="G258" s="28">
        <v>0.1816565</v>
      </c>
      <c r="H258" s="28">
        <v>9.4122750000000019E-2</v>
      </c>
      <c r="I258" s="28">
        <v>2.3841303749999998</v>
      </c>
      <c r="J258" s="28">
        <v>3.4183308749999997</v>
      </c>
      <c r="K258" s="28">
        <v>2.6467250000000001E-2</v>
      </c>
    </row>
    <row r="259" spans="1:18">
      <c r="A259" s="15">
        <v>4</v>
      </c>
      <c r="B259" s="22">
        <v>40344</v>
      </c>
      <c r="C259" s="15">
        <v>2010</v>
      </c>
      <c r="D259" s="11" t="s">
        <v>32</v>
      </c>
      <c r="E259" s="12">
        <v>6</v>
      </c>
      <c r="F259" s="28">
        <v>11.233000000000001</v>
      </c>
      <c r="G259" s="28">
        <v>0.12646450000000001</v>
      </c>
      <c r="H259" s="28">
        <v>9.2700624999999981E-2</v>
      </c>
      <c r="I259" s="28">
        <v>2.0427359999999997</v>
      </c>
      <c r="J259" s="28">
        <v>2.9776998749999994</v>
      </c>
      <c r="K259" s="28">
        <v>0</v>
      </c>
    </row>
    <row r="260" spans="1:18">
      <c r="A260" s="15">
        <v>3</v>
      </c>
      <c r="B260" s="22">
        <v>40371</v>
      </c>
      <c r="C260" s="15">
        <v>2010</v>
      </c>
      <c r="D260" s="11" t="s">
        <v>33</v>
      </c>
      <c r="E260" s="12">
        <v>7</v>
      </c>
      <c r="F260" s="28">
        <v>17.329999999999998</v>
      </c>
      <c r="G260" s="28">
        <v>0.18149337500000001</v>
      </c>
      <c r="H260" s="28">
        <v>0</v>
      </c>
      <c r="I260" s="28">
        <v>2.4477976249999998</v>
      </c>
      <c r="J260" s="28">
        <v>2.6977083749999999</v>
      </c>
      <c r="K260" s="28">
        <v>0</v>
      </c>
    </row>
    <row r="261" spans="1:18">
      <c r="A261" s="15">
        <v>4</v>
      </c>
      <c r="B261" s="22">
        <v>40371</v>
      </c>
      <c r="C261" s="15">
        <v>2010</v>
      </c>
      <c r="D261" s="11" t="s">
        <v>33</v>
      </c>
      <c r="E261" s="12">
        <v>7</v>
      </c>
      <c r="F261" s="28">
        <v>42.161000000000001</v>
      </c>
      <c r="G261" s="28">
        <v>0.19254350000000001</v>
      </c>
      <c r="H261" s="28">
        <v>0</v>
      </c>
      <c r="I261" s="28">
        <v>5.9843509999999993</v>
      </c>
      <c r="J261" s="28">
        <v>2.7444999999999995</v>
      </c>
      <c r="K261" s="28">
        <v>0</v>
      </c>
    </row>
    <row r="262" spans="1:18">
      <c r="A262" s="15">
        <v>3</v>
      </c>
      <c r="B262" s="22">
        <v>40407</v>
      </c>
      <c r="C262" s="15">
        <v>2010</v>
      </c>
      <c r="D262" s="11" t="s">
        <v>34</v>
      </c>
      <c r="E262" s="12">
        <v>8</v>
      </c>
      <c r="F262" s="28">
        <v>36.511000000000003</v>
      </c>
      <c r="G262" s="28">
        <v>0.57918199999999986</v>
      </c>
      <c r="H262" s="28">
        <v>7.5988249999999993E-2</v>
      </c>
      <c r="I262" s="28">
        <v>5.3900476250000002</v>
      </c>
      <c r="J262" s="28">
        <v>2.4320003749999994</v>
      </c>
      <c r="K262" s="28">
        <v>0</v>
      </c>
    </row>
    <row r="263" spans="1:18">
      <c r="A263" s="15">
        <v>4</v>
      </c>
      <c r="B263" s="22">
        <v>40407</v>
      </c>
      <c r="C263" s="15">
        <v>2010</v>
      </c>
      <c r="D263" s="11" t="s">
        <v>34</v>
      </c>
      <c r="E263" s="12">
        <v>8</v>
      </c>
      <c r="F263" s="28">
        <v>39.277000000000001</v>
      </c>
      <c r="G263" s="28">
        <v>0.28050675000000003</v>
      </c>
      <c r="H263" s="28">
        <v>0</v>
      </c>
      <c r="I263" s="28">
        <v>6.1853699999999989</v>
      </c>
      <c r="J263" s="28">
        <v>2.0605877499999998</v>
      </c>
      <c r="K263" s="28">
        <v>0</v>
      </c>
    </row>
    <row r="264" spans="1:18">
      <c r="A264" s="15">
        <v>3</v>
      </c>
      <c r="B264" s="22">
        <v>40436</v>
      </c>
      <c r="C264" s="15">
        <v>2010</v>
      </c>
      <c r="D264" s="11" t="s">
        <v>40</v>
      </c>
      <c r="E264" s="12">
        <v>9</v>
      </c>
      <c r="F264" s="28">
        <v>12.305</v>
      </c>
      <c r="G264" s="28">
        <v>0.25908649999999994</v>
      </c>
      <c r="H264" s="28">
        <v>0</v>
      </c>
      <c r="I264" s="28">
        <v>2.6206521249999999</v>
      </c>
      <c r="J264" s="28">
        <v>2.3948494999999999</v>
      </c>
      <c r="K264" s="28">
        <v>0</v>
      </c>
    </row>
    <row r="265" spans="1:18">
      <c r="A265" s="15">
        <v>4</v>
      </c>
      <c r="B265" s="22">
        <v>40436</v>
      </c>
      <c r="C265" s="15">
        <v>2010</v>
      </c>
      <c r="D265" s="11" t="s">
        <v>40</v>
      </c>
      <c r="E265" s="12">
        <v>9</v>
      </c>
      <c r="F265" s="28">
        <v>11.909000000000001</v>
      </c>
      <c r="G265" s="28">
        <v>0.17254675</v>
      </c>
      <c r="H265" s="28">
        <v>0</v>
      </c>
      <c r="I265" s="28">
        <v>1.7870163749999999</v>
      </c>
      <c r="J265" s="28">
        <v>2.8628699999999996</v>
      </c>
      <c r="K265" s="28">
        <v>0</v>
      </c>
    </row>
    <row r="266" spans="1:18">
      <c r="A266" s="15">
        <v>3</v>
      </c>
      <c r="B266" s="22">
        <v>40464</v>
      </c>
      <c r="C266" s="15">
        <v>2010</v>
      </c>
      <c r="D266" s="11" t="s">
        <v>36</v>
      </c>
      <c r="E266" s="12">
        <v>10</v>
      </c>
      <c r="F266" s="26">
        <v>7.3470000000000004</v>
      </c>
      <c r="G266" s="26">
        <v>4.3133999999999992E-2</v>
      </c>
      <c r="H266" s="26">
        <v>5.7864499999999992E-2</v>
      </c>
      <c r="I266" s="26">
        <v>1.2905875</v>
      </c>
      <c r="J266" s="31">
        <v>1.1432502499999999</v>
      </c>
      <c r="K266" s="31">
        <v>8.4402499999999978E-2</v>
      </c>
    </row>
    <row r="267" spans="1:18">
      <c r="A267" s="15">
        <v>4</v>
      </c>
      <c r="B267" s="22">
        <v>40464</v>
      </c>
      <c r="C267" s="15">
        <v>2010</v>
      </c>
      <c r="D267" s="11" t="s">
        <v>36</v>
      </c>
      <c r="E267" s="12">
        <v>10</v>
      </c>
      <c r="F267" s="26">
        <v>6.298</v>
      </c>
      <c r="G267" s="26">
        <v>7.0012249999999998E-2</v>
      </c>
      <c r="H267" s="26">
        <v>0</v>
      </c>
      <c r="I267" s="26">
        <v>0.84060562500000002</v>
      </c>
      <c r="J267" s="31">
        <v>1.6957875000000001E-2</v>
      </c>
      <c r="K267" s="31">
        <v>7.4771874999999988E-2</v>
      </c>
    </row>
    <row r="268" spans="1:18">
      <c r="A268" s="15">
        <v>3</v>
      </c>
      <c r="B268" s="22">
        <v>40498</v>
      </c>
      <c r="C268" s="15">
        <v>2010</v>
      </c>
      <c r="D268" s="11" t="s">
        <v>37</v>
      </c>
      <c r="E268" s="12">
        <v>11</v>
      </c>
      <c r="F268" s="26">
        <v>2.4590000000000001</v>
      </c>
      <c r="G268" s="26">
        <v>0</v>
      </c>
      <c r="H268" s="26">
        <v>0.17634249999999999</v>
      </c>
      <c r="I268" s="26">
        <v>0.82151887499999987</v>
      </c>
      <c r="J268" s="31">
        <v>0.14744825</v>
      </c>
      <c r="K268" s="31">
        <v>0</v>
      </c>
    </row>
    <row r="269" spans="1:18">
      <c r="A269" s="15">
        <v>4</v>
      </c>
      <c r="B269" s="22">
        <v>40498</v>
      </c>
      <c r="C269" s="15">
        <v>2010</v>
      </c>
      <c r="D269" s="11" t="s">
        <v>37</v>
      </c>
      <c r="E269" s="12">
        <v>11</v>
      </c>
      <c r="F269" s="26">
        <v>3.3050000000000002</v>
      </c>
      <c r="G269" s="26">
        <v>2.7931625000000005E-2</v>
      </c>
      <c r="H269" s="26">
        <v>0.24185712500000001</v>
      </c>
      <c r="I269" s="26">
        <v>1.0994356249999999</v>
      </c>
      <c r="J269" s="31">
        <v>0.28950637499999993</v>
      </c>
      <c r="K269" s="31">
        <v>0</v>
      </c>
    </row>
    <row r="270" spans="1:18">
      <c r="A270" s="15">
        <v>3</v>
      </c>
      <c r="B270" s="22">
        <v>40520</v>
      </c>
      <c r="C270" s="15">
        <v>2010</v>
      </c>
      <c r="D270" s="11" t="s">
        <v>38</v>
      </c>
      <c r="E270" s="12">
        <v>12</v>
      </c>
      <c r="F270" s="26">
        <v>4.07</v>
      </c>
      <c r="G270" s="26">
        <v>3.0719624999999997E-2</v>
      </c>
      <c r="H270" s="26">
        <v>0</v>
      </c>
      <c r="I270" s="26">
        <v>1.24378875</v>
      </c>
      <c r="J270" s="31">
        <v>0.24769474999999999</v>
      </c>
      <c r="K270" s="31">
        <v>0</v>
      </c>
    </row>
    <row r="271" spans="1:18" ht="25.5">
      <c r="A271" s="15">
        <v>4</v>
      </c>
      <c r="B271" s="22">
        <v>40520</v>
      </c>
      <c r="C271" s="15">
        <v>2010</v>
      </c>
      <c r="D271" s="11" t="s">
        <v>38</v>
      </c>
      <c r="E271" s="12">
        <v>12</v>
      </c>
      <c r="F271" s="26">
        <v>5.391</v>
      </c>
      <c r="G271" s="26">
        <v>2.9317249999999996E-2</v>
      </c>
      <c r="H271" s="26">
        <v>4.8617249999999994E-2</v>
      </c>
      <c r="I271" s="26">
        <v>1.044755375</v>
      </c>
      <c r="J271" s="31">
        <v>0.62976262500000002</v>
      </c>
      <c r="K271" s="31">
        <v>3.1206999999999995E-2</v>
      </c>
      <c r="L271" s="34" t="s">
        <v>43</v>
      </c>
      <c r="M271" s="6" t="s">
        <v>7</v>
      </c>
      <c r="N271" s="6" t="s">
        <v>8</v>
      </c>
      <c r="O271" s="6" t="s">
        <v>9</v>
      </c>
      <c r="P271" s="6" t="s">
        <v>10</v>
      </c>
      <c r="Q271" s="6" t="s">
        <v>11</v>
      </c>
      <c r="R271" s="6" t="s">
        <v>12</v>
      </c>
    </row>
    <row r="272" spans="1:18">
      <c r="A272" s="46">
        <v>3</v>
      </c>
      <c r="B272" s="53">
        <v>40562</v>
      </c>
      <c r="C272" s="46">
        <v>2011</v>
      </c>
      <c r="D272" s="42" t="s">
        <v>39</v>
      </c>
      <c r="E272" s="40">
        <v>1</v>
      </c>
      <c r="F272" s="60">
        <v>2.028</v>
      </c>
      <c r="G272" s="60">
        <v>5.8456124999999984E-2</v>
      </c>
      <c r="H272" s="60">
        <v>0</v>
      </c>
      <c r="I272" s="60">
        <v>0.54023474999999987</v>
      </c>
      <c r="J272" s="58">
        <v>1.6859499999999999E-2</v>
      </c>
      <c r="K272" s="58">
        <v>0</v>
      </c>
      <c r="L272" s="34" t="s">
        <v>57</v>
      </c>
      <c r="M272" s="35">
        <f t="shared" ref="M272:R272" si="8">AVERAGE(F272:F295)</f>
        <v>10.038958333333333</v>
      </c>
      <c r="N272" s="35">
        <f t="shared" si="8"/>
        <v>0.28443217187500003</v>
      </c>
      <c r="O272" s="35">
        <f t="shared" si="8"/>
        <v>3.1880385416666664E-2</v>
      </c>
      <c r="P272" s="35">
        <f t="shared" si="8"/>
        <v>1.688287776041667</v>
      </c>
      <c r="Q272" s="35">
        <f t="shared" si="8"/>
        <v>1.0899147916666667</v>
      </c>
      <c r="R272" s="35">
        <f t="shared" si="8"/>
        <v>2.0475333333333335E-2</v>
      </c>
    </row>
    <row r="273" spans="1:12">
      <c r="A273" s="15">
        <v>4</v>
      </c>
      <c r="B273" s="22">
        <v>40562</v>
      </c>
      <c r="C273" s="15">
        <v>2011</v>
      </c>
      <c r="D273" s="11" t="s">
        <v>39</v>
      </c>
      <c r="E273" s="12">
        <v>1</v>
      </c>
      <c r="F273" s="26">
        <v>3.573</v>
      </c>
      <c r="G273" s="26">
        <v>0.472232125</v>
      </c>
      <c r="H273" s="26">
        <v>2.3751499999999995E-2</v>
      </c>
      <c r="I273" s="26">
        <v>0.98375387500000011</v>
      </c>
      <c r="J273" s="31">
        <v>5.9377499999999993E-2</v>
      </c>
      <c r="K273" s="31">
        <v>0</v>
      </c>
      <c r="L273"/>
    </row>
    <row r="274" spans="1:12">
      <c r="A274" s="15">
        <v>3</v>
      </c>
      <c r="B274" s="22">
        <v>40591</v>
      </c>
      <c r="C274" s="15">
        <v>2011</v>
      </c>
      <c r="D274" s="11" t="s">
        <v>28</v>
      </c>
      <c r="E274" s="15">
        <v>2</v>
      </c>
      <c r="F274" s="26">
        <v>3.3340000000000001</v>
      </c>
      <c r="G274" s="26">
        <v>0.12355012499999998</v>
      </c>
      <c r="H274" s="26">
        <v>0</v>
      </c>
      <c r="I274" s="26">
        <v>1.2335417500000001</v>
      </c>
      <c r="J274" s="31">
        <v>3.2053125000000002E-2</v>
      </c>
      <c r="K274" s="31">
        <v>0</v>
      </c>
      <c r="L274"/>
    </row>
    <row r="275" spans="1:12">
      <c r="A275" s="15">
        <v>4</v>
      </c>
      <c r="B275" s="22">
        <v>40591</v>
      </c>
      <c r="C275" s="15">
        <v>2011</v>
      </c>
      <c r="D275" s="11" t="s">
        <v>28</v>
      </c>
      <c r="E275" s="15">
        <v>2</v>
      </c>
      <c r="F275" s="26">
        <v>3.585</v>
      </c>
      <c r="G275" s="26">
        <v>6.6023625000000016E-2</v>
      </c>
      <c r="H275" s="26">
        <v>3.1180125E-2</v>
      </c>
      <c r="I275" s="26">
        <v>1.275792875</v>
      </c>
      <c r="J275" s="31">
        <v>4.1405749999999998E-2</v>
      </c>
      <c r="K275" s="31">
        <v>0</v>
      </c>
      <c r="L275"/>
    </row>
    <row r="276" spans="1:12">
      <c r="A276" s="15">
        <v>3</v>
      </c>
      <c r="B276" s="22">
        <v>40619</v>
      </c>
      <c r="C276" s="15">
        <v>2011</v>
      </c>
      <c r="D276" s="11" t="s">
        <v>29</v>
      </c>
      <c r="E276" s="15">
        <v>3</v>
      </c>
      <c r="F276" s="26">
        <v>1.425</v>
      </c>
      <c r="G276" s="26">
        <v>1.3918124999999998E-2</v>
      </c>
      <c r="H276" s="26">
        <v>0</v>
      </c>
      <c r="I276" s="26">
        <v>0.52614974999999997</v>
      </c>
      <c r="J276" s="31">
        <v>1.5196124999999998E-2</v>
      </c>
      <c r="K276" s="31">
        <v>0</v>
      </c>
      <c r="L276"/>
    </row>
    <row r="277" spans="1:12">
      <c r="A277" s="15">
        <v>4</v>
      </c>
      <c r="B277" s="22">
        <v>40619</v>
      </c>
      <c r="C277" s="15">
        <v>2011</v>
      </c>
      <c r="D277" s="11" t="s">
        <v>29</v>
      </c>
      <c r="E277" s="15">
        <v>3</v>
      </c>
      <c r="F277" s="26">
        <v>1.968</v>
      </c>
      <c r="G277" s="26">
        <v>0</v>
      </c>
      <c r="H277" s="26">
        <v>0</v>
      </c>
      <c r="I277" s="26">
        <v>0.63691637499999998</v>
      </c>
      <c r="J277" s="31">
        <v>2.5884624999999998E-2</v>
      </c>
      <c r="K277" s="31">
        <v>0</v>
      </c>
      <c r="L277"/>
    </row>
    <row r="278" spans="1:12">
      <c r="A278" s="15">
        <v>3</v>
      </c>
      <c r="B278" s="22">
        <v>40646</v>
      </c>
      <c r="C278" s="15">
        <v>2011</v>
      </c>
      <c r="D278" s="11" t="s">
        <v>30</v>
      </c>
      <c r="E278" s="15">
        <v>4</v>
      </c>
      <c r="F278" s="26">
        <v>1.224</v>
      </c>
      <c r="G278" s="26">
        <v>1.9985375000000003E-2</v>
      </c>
      <c r="H278" s="26">
        <v>0</v>
      </c>
      <c r="I278" s="26">
        <v>0.19420499999999996</v>
      </c>
      <c r="J278" s="31">
        <v>1.4498375000000001E-2</v>
      </c>
      <c r="K278" s="31">
        <v>0</v>
      </c>
      <c r="L278"/>
    </row>
    <row r="279" spans="1:12">
      <c r="A279" s="15">
        <v>4</v>
      </c>
      <c r="B279" s="22">
        <v>40646</v>
      </c>
      <c r="C279" s="15">
        <v>2011</v>
      </c>
      <c r="D279" s="11" t="s">
        <v>30</v>
      </c>
      <c r="E279" s="15">
        <v>4</v>
      </c>
      <c r="F279" s="26">
        <v>2.0760000000000001</v>
      </c>
      <c r="G279" s="26">
        <v>6.4057874999999986E-2</v>
      </c>
      <c r="H279" s="26">
        <v>0</v>
      </c>
      <c r="I279" s="26">
        <v>0.37993587499999992</v>
      </c>
      <c r="J279" s="31">
        <v>2.1060875000000003E-2</v>
      </c>
      <c r="K279" s="31">
        <v>0</v>
      </c>
      <c r="L279"/>
    </row>
    <row r="280" spans="1:12">
      <c r="A280" s="15">
        <v>3</v>
      </c>
      <c r="B280" s="22">
        <v>40681</v>
      </c>
      <c r="C280" s="15">
        <v>2011</v>
      </c>
      <c r="D280" s="11" t="s">
        <v>31</v>
      </c>
      <c r="E280" s="15">
        <v>5</v>
      </c>
      <c r="F280" s="26">
        <v>8.2690000000000001</v>
      </c>
      <c r="G280" s="26">
        <v>0.14795587499999999</v>
      </c>
      <c r="H280" s="26">
        <v>0.41504824999999995</v>
      </c>
      <c r="I280" s="26">
        <v>3.0238186249999996</v>
      </c>
      <c r="J280" s="31">
        <v>0.85285975000000003</v>
      </c>
      <c r="K280" s="31">
        <v>0</v>
      </c>
      <c r="L280"/>
    </row>
    <row r="281" spans="1:12">
      <c r="A281" s="15">
        <v>4</v>
      </c>
      <c r="B281" s="22">
        <v>40681</v>
      </c>
      <c r="C281" s="15">
        <v>2011</v>
      </c>
      <c r="D281" s="11" t="s">
        <v>31</v>
      </c>
      <c r="E281" s="15">
        <v>5</v>
      </c>
      <c r="F281" s="26">
        <v>9.657</v>
      </c>
      <c r="G281" s="26">
        <v>8.2091500000000012E-2</v>
      </c>
      <c r="H281" s="26">
        <v>0.24517337499999997</v>
      </c>
      <c r="I281" s="26">
        <v>2.1833507499999998</v>
      </c>
      <c r="J281" s="31">
        <v>1.1446304999999999</v>
      </c>
      <c r="K281" s="31">
        <v>0</v>
      </c>
      <c r="L281"/>
    </row>
    <row r="282" spans="1:12">
      <c r="A282" s="15">
        <v>3</v>
      </c>
      <c r="B282" s="22">
        <v>40708</v>
      </c>
      <c r="C282" s="15">
        <v>2011</v>
      </c>
      <c r="D282" s="11" t="s">
        <v>32</v>
      </c>
      <c r="E282" s="15">
        <v>6</v>
      </c>
      <c r="F282" s="26">
        <v>13.473000000000001</v>
      </c>
      <c r="G282" s="26">
        <v>0.29514224999999999</v>
      </c>
      <c r="H282" s="26">
        <v>4.9976E-2</v>
      </c>
      <c r="I282" s="26">
        <v>1.248499</v>
      </c>
      <c r="J282" s="31">
        <v>3.2974202500000001</v>
      </c>
      <c r="K282" s="31">
        <v>6.5750624999999993E-2</v>
      </c>
      <c r="L282"/>
    </row>
    <row r="283" spans="1:12">
      <c r="A283" s="15">
        <v>4</v>
      </c>
      <c r="B283" s="22">
        <v>40708</v>
      </c>
      <c r="C283" s="15">
        <v>2011</v>
      </c>
      <c r="D283" s="11" t="s">
        <v>32</v>
      </c>
      <c r="E283" s="15">
        <v>6</v>
      </c>
      <c r="F283" s="26">
        <v>23.321999999999999</v>
      </c>
      <c r="G283" s="26">
        <v>0.27519599999999994</v>
      </c>
      <c r="H283" s="26">
        <v>0</v>
      </c>
      <c r="I283" s="26">
        <v>2.31533575</v>
      </c>
      <c r="J283" s="31">
        <v>4.1623101249999994</v>
      </c>
      <c r="K283" s="31">
        <v>0.1953975</v>
      </c>
      <c r="L283"/>
    </row>
    <row r="284" spans="1:12">
      <c r="A284" s="15">
        <v>3</v>
      </c>
      <c r="B284" s="22">
        <v>40735</v>
      </c>
      <c r="C284" s="15">
        <v>2011</v>
      </c>
      <c r="D284" s="11" t="s">
        <v>33</v>
      </c>
      <c r="E284" s="15">
        <v>7</v>
      </c>
      <c r="F284" s="26">
        <v>13.723000000000001</v>
      </c>
      <c r="G284" s="26">
        <v>0.23055674999999998</v>
      </c>
      <c r="H284" s="26">
        <v>0</v>
      </c>
      <c r="I284" s="26">
        <v>1.4072488750000001</v>
      </c>
      <c r="J284" s="31">
        <v>1.9768267500000001</v>
      </c>
      <c r="K284" s="31">
        <v>2.9056999999999996E-2</v>
      </c>
      <c r="L284"/>
    </row>
    <row r="285" spans="1:12">
      <c r="A285" s="15">
        <v>4</v>
      </c>
      <c r="B285" s="22">
        <v>40735</v>
      </c>
      <c r="C285" s="15">
        <v>2011</v>
      </c>
      <c r="D285" s="11" t="s">
        <v>33</v>
      </c>
      <c r="E285" s="15">
        <v>7</v>
      </c>
      <c r="F285" s="26">
        <v>24.536000000000001</v>
      </c>
      <c r="G285" s="26">
        <v>0.17779362500000001</v>
      </c>
      <c r="H285" s="26">
        <v>0</v>
      </c>
      <c r="I285" s="26">
        <v>2.9786837500000001</v>
      </c>
      <c r="J285" s="31">
        <v>2.1302352500000001</v>
      </c>
      <c r="K285" s="31">
        <v>6.8544750000000002E-2</v>
      </c>
      <c r="L285"/>
    </row>
    <row r="286" spans="1:12">
      <c r="A286" s="15">
        <v>3</v>
      </c>
      <c r="B286" s="22">
        <v>40771</v>
      </c>
      <c r="C286" s="15">
        <v>2011</v>
      </c>
      <c r="D286" s="11" t="s">
        <v>34</v>
      </c>
      <c r="E286" s="15">
        <v>8</v>
      </c>
      <c r="F286" s="26">
        <v>25.713000000000001</v>
      </c>
      <c r="G286" s="26">
        <v>0.55253062500000005</v>
      </c>
      <c r="H286" s="26">
        <v>0</v>
      </c>
      <c r="I286" s="26">
        <v>3.39935425</v>
      </c>
      <c r="J286" s="31">
        <v>2.7718526250000002</v>
      </c>
      <c r="K286" s="31">
        <v>0</v>
      </c>
      <c r="L286"/>
    </row>
    <row r="287" spans="1:12">
      <c r="A287" s="15">
        <v>4</v>
      </c>
      <c r="B287" s="22">
        <v>40771</v>
      </c>
      <c r="C287" s="15">
        <v>2011</v>
      </c>
      <c r="D287" s="11" t="s">
        <v>34</v>
      </c>
      <c r="E287" s="15">
        <v>8</v>
      </c>
      <c r="F287" s="26">
        <v>36.332999999999998</v>
      </c>
      <c r="G287" s="26">
        <v>0.306757</v>
      </c>
      <c r="H287" s="26">
        <v>0</v>
      </c>
      <c r="I287" s="26">
        <v>4.4233015</v>
      </c>
      <c r="J287" s="31">
        <v>2.6231318749999999</v>
      </c>
      <c r="K287" s="31">
        <v>8.7321375000000007E-2</v>
      </c>
      <c r="L287"/>
    </row>
    <row r="288" spans="1:12">
      <c r="A288" s="15">
        <v>3</v>
      </c>
      <c r="B288" s="22">
        <v>40799</v>
      </c>
      <c r="C288" s="15">
        <v>2011</v>
      </c>
      <c r="D288" s="11" t="s">
        <v>40</v>
      </c>
      <c r="E288" s="15">
        <v>9</v>
      </c>
      <c r="F288" s="26">
        <v>12.509</v>
      </c>
      <c r="G288" s="26">
        <v>0.28372262499999995</v>
      </c>
      <c r="H288" s="26">
        <v>0</v>
      </c>
      <c r="I288" s="26">
        <v>2.8640379999999999</v>
      </c>
      <c r="J288" s="31">
        <v>2.2940828750000004</v>
      </c>
      <c r="K288" s="31">
        <v>0</v>
      </c>
      <c r="L288"/>
    </row>
    <row r="289" spans="1:18">
      <c r="A289" s="15">
        <v>4</v>
      </c>
      <c r="B289" s="22">
        <v>40799</v>
      </c>
      <c r="C289" s="15">
        <v>2011</v>
      </c>
      <c r="D289" s="11" t="s">
        <v>40</v>
      </c>
      <c r="E289" s="15">
        <v>9</v>
      </c>
      <c r="F289" s="26">
        <v>13.537000000000001</v>
      </c>
      <c r="G289" s="26">
        <v>0.33295412499999999</v>
      </c>
      <c r="H289" s="26">
        <v>0</v>
      </c>
      <c r="I289" s="26">
        <v>2.2538186250000001</v>
      </c>
      <c r="J289" s="31">
        <v>2.4102328750000002</v>
      </c>
      <c r="K289" s="31">
        <v>4.5336750000000002E-2</v>
      </c>
    </row>
    <row r="290" spans="1:18">
      <c r="A290" s="15">
        <v>3</v>
      </c>
      <c r="B290" s="22">
        <v>40827</v>
      </c>
      <c r="C290" s="15">
        <v>2011</v>
      </c>
      <c r="D290" s="11" t="s">
        <v>36</v>
      </c>
      <c r="E290" s="15">
        <v>10</v>
      </c>
      <c r="F290" s="28">
        <v>6.3570000000000002</v>
      </c>
      <c r="G290" s="28">
        <v>0.47409424999999999</v>
      </c>
      <c r="H290" s="28">
        <v>0</v>
      </c>
      <c r="I290" s="28">
        <v>0.87871737500000002</v>
      </c>
      <c r="J290" s="28">
        <v>0.80697200000000002</v>
      </c>
      <c r="K290" s="28">
        <v>0</v>
      </c>
    </row>
    <row r="291" spans="1:18">
      <c r="A291" s="15">
        <v>4</v>
      </c>
      <c r="B291" s="22">
        <v>40827</v>
      </c>
      <c r="C291" s="15">
        <v>2011</v>
      </c>
      <c r="D291" s="11" t="s">
        <v>36</v>
      </c>
      <c r="E291" s="15">
        <v>10</v>
      </c>
      <c r="F291" s="28">
        <v>7.4740000000000002</v>
      </c>
      <c r="G291" s="28">
        <v>1.1062578750000001</v>
      </c>
      <c r="H291" s="28">
        <v>0</v>
      </c>
      <c r="I291" s="28">
        <v>1.0528598750000002</v>
      </c>
      <c r="J291" s="28">
        <v>0.94507324999999975</v>
      </c>
      <c r="K291" s="28">
        <v>0</v>
      </c>
    </row>
    <row r="292" spans="1:18">
      <c r="A292" s="15">
        <v>3</v>
      </c>
      <c r="B292" s="29">
        <v>40862</v>
      </c>
      <c r="C292" s="15">
        <v>2011</v>
      </c>
      <c r="D292" s="11" t="s">
        <v>37</v>
      </c>
      <c r="E292" s="15">
        <v>11</v>
      </c>
      <c r="F292" s="28">
        <v>4.6079999999999997</v>
      </c>
      <c r="G292" s="28">
        <v>0.35183624999999996</v>
      </c>
      <c r="H292" s="28">
        <v>0</v>
      </c>
      <c r="I292" s="28">
        <v>1.0570295000000001</v>
      </c>
      <c r="J292" s="28">
        <v>0.10807537499999999</v>
      </c>
      <c r="K292" s="28">
        <v>0</v>
      </c>
    </row>
    <row r="293" spans="1:18">
      <c r="A293" s="15">
        <v>4</v>
      </c>
      <c r="B293" s="29">
        <v>40862</v>
      </c>
      <c r="C293" s="15">
        <v>2011</v>
      </c>
      <c r="D293" s="11" t="s">
        <v>37</v>
      </c>
      <c r="E293" s="15">
        <v>11</v>
      </c>
      <c r="F293" s="28">
        <v>6.5940000000000003</v>
      </c>
      <c r="G293" s="28">
        <v>0.17171025000000001</v>
      </c>
      <c r="H293" s="28">
        <v>0</v>
      </c>
      <c r="I293" s="28">
        <v>0.62483562500000001</v>
      </c>
      <c r="J293" s="28">
        <v>0.30730037500000001</v>
      </c>
      <c r="K293" s="28">
        <v>0</v>
      </c>
    </row>
    <row r="294" spans="1:18">
      <c r="A294" s="15">
        <v>3</v>
      </c>
      <c r="B294" s="29">
        <v>40890</v>
      </c>
      <c r="C294" s="15">
        <v>2011</v>
      </c>
      <c r="D294" s="11" t="s">
        <v>38</v>
      </c>
      <c r="E294" s="15">
        <v>12</v>
      </c>
      <c r="F294" s="28">
        <v>5.1929999999999996</v>
      </c>
      <c r="G294" s="28">
        <v>0.79110699999999989</v>
      </c>
      <c r="H294" s="28">
        <v>0</v>
      </c>
      <c r="I294" s="28">
        <v>1.2482498750000002</v>
      </c>
      <c r="J294" s="28">
        <v>2.9202875E-2</v>
      </c>
      <c r="K294" s="28">
        <v>0</v>
      </c>
    </row>
    <row r="295" spans="1:18" ht="25.5">
      <c r="A295" s="15">
        <v>4</v>
      </c>
      <c r="B295" s="29">
        <v>40890</v>
      </c>
      <c r="C295" s="15">
        <v>2011</v>
      </c>
      <c r="D295" s="11" t="s">
        <v>38</v>
      </c>
      <c r="E295" s="15">
        <v>12</v>
      </c>
      <c r="F295" s="28">
        <v>10.423999999999999</v>
      </c>
      <c r="G295" s="28">
        <v>0.42844274999999993</v>
      </c>
      <c r="H295" s="28">
        <v>0</v>
      </c>
      <c r="I295" s="28">
        <v>3.7892349999999997</v>
      </c>
      <c r="J295" s="28">
        <v>7.1412374999999986E-2</v>
      </c>
      <c r="K295" s="28">
        <v>0</v>
      </c>
      <c r="L295" s="34" t="s">
        <v>43</v>
      </c>
      <c r="M295" s="6" t="s">
        <v>7</v>
      </c>
      <c r="N295" s="6" t="s">
        <v>8</v>
      </c>
      <c r="O295" s="6" t="s">
        <v>9</v>
      </c>
      <c r="P295" s="6" t="s">
        <v>10</v>
      </c>
      <c r="Q295" s="6" t="s">
        <v>11</v>
      </c>
      <c r="R295" s="6" t="s">
        <v>12</v>
      </c>
    </row>
    <row r="296" spans="1:18">
      <c r="A296" s="46">
        <v>3</v>
      </c>
      <c r="B296" s="53">
        <v>40917</v>
      </c>
      <c r="C296" s="46">
        <v>2012</v>
      </c>
      <c r="D296" s="42" t="s">
        <v>39</v>
      </c>
      <c r="E296" s="46">
        <v>1</v>
      </c>
      <c r="F296" s="63">
        <v>6.7110000000000003</v>
      </c>
      <c r="G296" s="63">
        <v>0.18830062500000003</v>
      </c>
      <c r="H296" s="63">
        <v>0</v>
      </c>
      <c r="I296" s="63">
        <v>2.5395184999999998</v>
      </c>
      <c r="J296" s="65">
        <v>3.0347875000000003E-2</v>
      </c>
      <c r="K296" s="65">
        <v>0</v>
      </c>
      <c r="L296" s="34" t="s">
        <v>58</v>
      </c>
      <c r="M296" s="35">
        <f t="shared" ref="M296:R296" si="9">AVERAGE(F296:F319)</f>
        <v>13.373250000000004</v>
      </c>
      <c r="N296" s="35">
        <f t="shared" si="9"/>
        <v>0.25763700520833333</v>
      </c>
      <c r="O296" s="35">
        <f t="shared" si="9"/>
        <v>2.6894781249999999E-2</v>
      </c>
      <c r="P296" s="35">
        <f t="shared" si="9"/>
        <v>4.1950814843749988</v>
      </c>
      <c r="Q296" s="35">
        <f t="shared" si="9"/>
        <v>0.82564382291666671</v>
      </c>
      <c r="R296" s="35">
        <f t="shared" si="9"/>
        <v>5.5143333333333338E-3</v>
      </c>
    </row>
    <row r="297" spans="1:18">
      <c r="A297" s="15">
        <v>4</v>
      </c>
      <c r="B297" s="22">
        <v>40917</v>
      </c>
      <c r="C297" s="15">
        <v>2012</v>
      </c>
      <c r="D297" s="11" t="s">
        <v>39</v>
      </c>
      <c r="E297" s="15">
        <v>1</v>
      </c>
      <c r="F297" s="30">
        <v>9.3879999999999999</v>
      </c>
      <c r="G297" s="30">
        <v>0.3634135</v>
      </c>
      <c r="H297" s="30">
        <v>0</v>
      </c>
      <c r="I297" s="30">
        <v>3.2562108749999998</v>
      </c>
      <c r="J297" s="28">
        <v>6.3706125000000002E-2</v>
      </c>
      <c r="K297" s="28">
        <v>0</v>
      </c>
    </row>
    <row r="298" spans="1:18">
      <c r="A298" s="15">
        <v>3</v>
      </c>
      <c r="B298" s="22">
        <v>40962</v>
      </c>
      <c r="C298" s="15">
        <v>2012</v>
      </c>
      <c r="D298" s="11" t="s">
        <v>28</v>
      </c>
      <c r="E298" s="15">
        <v>2</v>
      </c>
      <c r="F298" s="30">
        <v>2.6509999999999998</v>
      </c>
      <c r="G298" s="30">
        <v>0.22802949999999997</v>
      </c>
      <c r="H298" s="30">
        <v>0</v>
      </c>
      <c r="I298" s="30">
        <v>0.93506237499999989</v>
      </c>
      <c r="J298" s="28">
        <v>5.0204124999999995E-2</v>
      </c>
      <c r="K298" s="28">
        <v>0</v>
      </c>
    </row>
    <row r="299" spans="1:18">
      <c r="A299" s="15">
        <v>4</v>
      </c>
      <c r="B299" s="22">
        <v>40962</v>
      </c>
      <c r="C299" s="15">
        <v>2012</v>
      </c>
      <c r="D299" s="11" t="s">
        <v>28</v>
      </c>
      <c r="E299" s="15">
        <v>2</v>
      </c>
      <c r="F299" s="30">
        <v>6.0960000000000001</v>
      </c>
      <c r="G299" s="30">
        <v>0.29854362499999998</v>
      </c>
      <c r="H299" s="30">
        <v>6.2841250000000001E-2</v>
      </c>
      <c r="I299" s="30">
        <v>2.2948089999999999</v>
      </c>
      <c r="J299" s="28">
        <v>7.1795874999999981E-2</v>
      </c>
      <c r="K299" s="28">
        <v>0</v>
      </c>
    </row>
    <row r="300" spans="1:18">
      <c r="A300" s="15">
        <v>3</v>
      </c>
      <c r="B300" s="22">
        <v>40980</v>
      </c>
      <c r="C300" s="15">
        <v>2012</v>
      </c>
      <c r="D300" s="11" t="s">
        <v>29</v>
      </c>
      <c r="E300" s="15">
        <v>3</v>
      </c>
      <c r="F300" s="30">
        <v>6.5469999999999997</v>
      </c>
      <c r="G300" s="30">
        <v>0.42439512499999998</v>
      </c>
      <c r="H300" s="30">
        <v>5.1406999999999994E-2</v>
      </c>
      <c r="I300" s="30">
        <v>2.277466875</v>
      </c>
      <c r="J300" s="28">
        <v>0.12208924999999998</v>
      </c>
      <c r="K300" s="28">
        <v>2.1304375E-2</v>
      </c>
    </row>
    <row r="301" spans="1:18">
      <c r="A301" s="15">
        <v>4</v>
      </c>
      <c r="B301" s="22">
        <v>40980</v>
      </c>
      <c r="C301" s="15">
        <v>2012</v>
      </c>
      <c r="D301" s="11" t="s">
        <v>29</v>
      </c>
      <c r="E301" s="15">
        <v>3</v>
      </c>
      <c r="F301" s="30">
        <v>15.337</v>
      </c>
      <c r="G301" s="30">
        <v>0.56647712499999991</v>
      </c>
      <c r="H301" s="30">
        <v>0</v>
      </c>
      <c r="I301" s="30">
        <v>6.0420342499999995</v>
      </c>
      <c r="J301" s="28">
        <v>0.15693699999999997</v>
      </c>
      <c r="K301" s="28">
        <v>0</v>
      </c>
    </row>
    <row r="302" spans="1:18">
      <c r="A302" s="15">
        <v>3</v>
      </c>
      <c r="B302" s="22">
        <v>41015</v>
      </c>
      <c r="C302" s="15">
        <v>2012</v>
      </c>
      <c r="D302" s="11" t="s">
        <v>30</v>
      </c>
      <c r="E302" s="15">
        <v>4</v>
      </c>
      <c r="F302" s="26">
        <v>2.4620000000000002</v>
      </c>
      <c r="G302" s="26">
        <v>1.2205124999999999E-2</v>
      </c>
      <c r="H302" s="26">
        <v>2.7273749999999992E-2</v>
      </c>
      <c r="I302" s="26">
        <v>0.85935549999999983</v>
      </c>
      <c r="J302" s="31">
        <v>2.5421624999999996E-2</v>
      </c>
      <c r="K302" s="31">
        <v>6.9125000000000002E-3</v>
      </c>
    </row>
    <row r="303" spans="1:18">
      <c r="A303" s="15">
        <v>4</v>
      </c>
      <c r="B303" s="22">
        <v>41015</v>
      </c>
      <c r="C303" s="15">
        <v>2012</v>
      </c>
      <c r="D303" s="11" t="s">
        <v>30</v>
      </c>
      <c r="E303" s="15">
        <v>4</v>
      </c>
      <c r="F303" s="26">
        <v>5.9409999999999998</v>
      </c>
      <c r="G303" s="26">
        <v>0.12113249999999999</v>
      </c>
      <c r="H303" s="26">
        <v>9.8431000000000005E-2</v>
      </c>
      <c r="I303" s="26">
        <v>2.1616258749999999</v>
      </c>
      <c r="J303" s="31">
        <v>9.3197874999999999E-2</v>
      </c>
      <c r="K303" s="31">
        <v>4.4165000000000003E-2</v>
      </c>
    </row>
    <row r="304" spans="1:18">
      <c r="A304" s="15">
        <v>3</v>
      </c>
      <c r="B304" s="22">
        <v>41045</v>
      </c>
      <c r="C304" s="15">
        <v>2012</v>
      </c>
      <c r="D304" s="11" t="s">
        <v>31</v>
      </c>
      <c r="E304" s="15">
        <v>5</v>
      </c>
      <c r="F304" s="26">
        <v>12.733000000000001</v>
      </c>
      <c r="G304" s="26">
        <v>0.12536375</v>
      </c>
      <c r="H304" s="26">
        <v>0</v>
      </c>
      <c r="I304" s="26">
        <v>6.2965222499999998</v>
      </c>
      <c r="J304" s="31">
        <v>0.49118974999999998</v>
      </c>
      <c r="K304" s="31">
        <v>0</v>
      </c>
    </row>
    <row r="305" spans="1:18">
      <c r="A305" s="15">
        <v>4</v>
      </c>
      <c r="B305" s="22">
        <v>41045</v>
      </c>
      <c r="C305" s="15">
        <v>2012</v>
      </c>
      <c r="D305" s="11" t="s">
        <v>31</v>
      </c>
      <c r="E305" s="15">
        <v>5</v>
      </c>
      <c r="F305" s="26">
        <v>10.210000000000001</v>
      </c>
      <c r="G305" s="26">
        <v>0.38488112499999988</v>
      </c>
      <c r="H305" s="26">
        <v>0</v>
      </c>
      <c r="I305" s="26">
        <v>3.6210641249999997</v>
      </c>
      <c r="J305" s="31">
        <v>1.31709575</v>
      </c>
      <c r="K305" s="31">
        <v>0</v>
      </c>
    </row>
    <row r="306" spans="1:18">
      <c r="A306" s="15">
        <v>3</v>
      </c>
      <c r="B306" s="22">
        <v>41073</v>
      </c>
      <c r="C306" s="15">
        <v>2012</v>
      </c>
      <c r="D306" s="11" t="s">
        <v>32</v>
      </c>
      <c r="E306" s="15">
        <v>6</v>
      </c>
      <c r="F306" s="26">
        <v>22.74</v>
      </c>
      <c r="G306" s="26">
        <v>0.39296862499999996</v>
      </c>
      <c r="H306" s="26">
        <v>0.19140149999999997</v>
      </c>
      <c r="I306" s="26">
        <v>5.9639781249999997</v>
      </c>
      <c r="J306" s="31">
        <v>2.144333375</v>
      </c>
      <c r="K306" s="31">
        <v>0</v>
      </c>
    </row>
    <row r="307" spans="1:18">
      <c r="A307" s="15">
        <v>4</v>
      </c>
      <c r="B307" s="22">
        <v>41073</v>
      </c>
      <c r="C307" s="15">
        <v>2012</v>
      </c>
      <c r="D307" s="11" t="s">
        <v>32</v>
      </c>
      <c r="E307" s="15">
        <v>6</v>
      </c>
      <c r="F307" s="26">
        <v>24.302</v>
      </c>
      <c r="G307" s="26">
        <v>0.21859950000000003</v>
      </c>
      <c r="H307" s="26">
        <v>0.18716187500000001</v>
      </c>
      <c r="I307" s="26">
        <v>4.309809875</v>
      </c>
      <c r="J307" s="31">
        <v>2.7247129999999995</v>
      </c>
      <c r="K307" s="31">
        <v>0</v>
      </c>
    </row>
    <row r="308" spans="1:18">
      <c r="A308" s="15">
        <v>3</v>
      </c>
      <c r="B308" s="22">
        <v>41107</v>
      </c>
      <c r="C308" s="15">
        <v>2012</v>
      </c>
      <c r="D308" s="11" t="s">
        <v>33</v>
      </c>
      <c r="E308" s="15">
        <v>7</v>
      </c>
      <c r="F308" s="26">
        <v>27.895</v>
      </c>
      <c r="G308" s="26">
        <v>7.345587499999999E-2</v>
      </c>
      <c r="H308" s="26">
        <v>0</v>
      </c>
      <c r="I308" s="26">
        <v>4.0007642499999996</v>
      </c>
      <c r="J308" s="31">
        <v>2.0790606249999999</v>
      </c>
      <c r="K308" s="31">
        <v>5.9962124999999998E-2</v>
      </c>
    </row>
    <row r="309" spans="1:18">
      <c r="A309" s="15">
        <v>4</v>
      </c>
      <c r="B309" s="22">
        <v>41107</v>
      </c>
      <c r="C309" s="15">
        <v>2012</v>
      </c>
      <c r="D309" s="11" t="s">
        <v>33</v>
      </c>
      <c r="E309" s="15">
        <v>7</v>
      </c>
      <c r="F309" s="26">
        <v>43.258000000000003</v>
      </c>
      <c r="G309" s="26">
        <v>0.20906862499999998</v>
      </c>
      <c r="H309" s="26">
        <v>0</v>
      </c>
      <c r="I309" s="26">
        <v>6.2354525000000001</v>
      </c>
      <c r="J309" s="31">
        <v>2.118975625</v>
      </c>
      <c r="K309" s="31">
        <v>0</v>
      </c>
    </row>
    <row r="310" spans="1:18">
      <c r="A310" s="15">
        <v>3</v>
      </c>
      <c r="B310" s="22">
        <v>41135</v>
      </c>
      <c r="C310" s="15">
        <v>2012</v>
      </c>
      <c r="D310" s="11" t="s">
        <v>34</v>
      </c>
      <c r="E310" s="15">
        <v>8</v>
      </c>
      <c r="F310" s="26">
        <v>19.334</v>
      </c>
      <c r="G310" s="26">
        <v>0.50147724999999999</v>
      </c>
      <c r="H310" s="26">
        <v>0</v>
      </c>
      <c r="I310" s="26">
        <v>4.6460663749999993</v>
      </c>
      <c r="J310" s="31">
        <v>1.3013157499999999</v>
      </c>
      <c r="K310" s="31">
        <v>0</v>
      </c>
    </row>
    <row r="311" spans="1:18">
      <c r="A311" s="15">
        <v>4</v>
      </c>
      <c r="B311" s="22">
        <v>41135</v>
      </c>
      <c r="C311" s="15">
        <v>2012</v>
      </c>
      <c r="D311" s="11" t="s">
        <v>34</v>
      </c>
      <c r="E311" s="15">
        <v>8</v>
      </c>
      <c r="F311" s="26">
        <v>33.441000000000003</v>
      </c>
      <c r="G311" s="26">
        <v>0.73647099999999999</v>
      </c>
      <c r="H311" s="26">
        <v>0</v>
      </c>
      <c r="I311" s="26">
        <v>15.141437499999999</v>
      </c>
      <c r="J311" s="31">
        <v>2.83700675</v>
      </c>
      <c r="K311" s="31">
        <v>0</v>
      </c>
    </row>
    <row r="312" spans="1:18">
      <c r="A312" s="15">
        <v>3</v>
      </c>
      <c r="B312" s="22">
        <v>41164</v>
      </c>
      <c r="C312" s="15">
        <v>2012</v>
      </c>
      <c r="D312" s="11" t="s">
        <v>40</v>
      </c>
      <c r="E312" s="15">
        <v>9</v>
      </c>
      <c r="F312" s="26">
        <v>19.472000000000001</v>
      </c>
      <c r="G312" s="26">
        <v>0</v>
      </c>
      <c r="H312" s="26">
        <v>0</v>
      </c>
      <c r="I312" s="26">
        <v>12.676731999999999</v>
      </c>
      <c r="J312" s="31">
        <v>1.2862413749999997</v>
      </c>
      <c r="K312" s="31">
        <v>0</v>
      </c>
    </row>
    <row r="313" spans="1:18">
      <c r="A313" s="15">
        <v>4</v>
      </c>
      <c r="B313" s="22">
        <v>41164</v>
      </c>
      <c r="C313" s="15">
        <v>2012</v>
      </c>
      <c r="D313" s="11" t="s">
        <v>40</v>
      </c>
      <c r="E313" s="15">
        <v>9</v>
      </c>
      <c r="F313" s="26">
        <v>18.593</v>
      </c>
      <c r="G313" s="26">
        <v>0</v>
      </c>
      <c r="H313" s="26">
        <v>0</v>
      </c>
      <c r="I313" s="26">
        <v>9.5181242499999996</v>
      </c>
      <c r="J313" s="31">
        <v>1.9290476249999995</v>
      </c>
      <c r="K313" s="31">
        <v>0</v>
      </c>
    </row>
    <row r="314" spans="1:18">
      <c r="A314" s="15">
        <v>3</v>
      </c>
      <c r="B314" s="22">
        <v>41199</v>
      </c>
      <c r="C314" s="15">
        <v>2012</v>
      </c>
      <c r="D314" s="11" t="s">
        <v>36</v>
      </c>
      <c r="E314" s="15">
        <v>10</v>
      </c>
      <c r="F314" s="26">
        <v>6.8479999999999999</v>
      </c>
      <c r="G314" s="26">
        <v>0.23888724999999997</v>
      </c>
      <c r="H314" s="26">
        <v>2.6958375E-2</v>
      </c>
      <c r="I314" s="26">
        <v>1.4885418749999999</v>
      </c>
      <c r="J314" s="31">
        <v>0.29776825000000007</v>
      </c>
      <c r="K314" s="31">
        <v>0</v>
      </c>
    </row>
    <row r="315" spans="1:18">
      <c r="A315" s="15">
        <v>4</v>
      </c>
      <c r="B315" s="22">
        <v>41199</v>
      </c>
      <c r="C315" s="15">
        <v>2012</v>
      </c>
      <c r="D315" s="11" t="s">
        <v>36</v>
      </c>
      <c r="E315" s="15">
        <v>10</v>
      </c>
      <c r="F315" s="26">
        <v>7.2439999999999998</v>
      </c>
      <c r="G315" s="26">
        <v>0.13697099999999998</v>
      </c>
      <c r="H315" s="26">
        <v>0</v>
      </c>
      <c r="I315" s="26">
        <v>1.9203711249999997</v>
      </c>
      <c r="J315" s="31">
        <v>0.55303024999999995</v>
      </c>
      <c r="K315" s="31">
        <v>0</v>
      </c>
    </row>
    <row r="316" spans="1:18">
      <c r="A316" s="15">
        <v>3</v>
      </c>
      <c r="B316" s="22">
        <v>41225</v>
      </c>
      <c r="C316" s="15">
        <v>2012</v>
      </c>
      <c r="D316" s="11" t="s">
        <v>37</v>
      </c>
      <c r="E316" s="15">
        <v>11</v>
      </c>
      <c r="F316" s="26">
        <v>4.1420000000000003</v>
      </c>
      <c r="G316" s="26">
        <v>7.2264250000000002E-2</v>
      </c>
      <c r="H316" s="26">
        <v>0</v>
      </c>
      <c r="I316" s="26">
        <v>1.28875925</v>
      </c>
      <c r="J316" s="31">
        <v>3.3971500000000002E-2</v>
      </c>
      <c r="K316" s="31">
        <v>0</v>
      </c>
    </row>
    <row r="317" spans="1:18">
      <c r="A317" s="15">
        <v>4</v>
      </c>
      <c r="B317" s="22">
        <v>41225</v>
      </c>
      <c r="C317" s="15">
        <v>2012</v>
      </c>
      <c r="D317" s="11" t="s">
        <v>37</v>
      </c>
      <c r="E317" s="15">
        <v>11</v>
      </c>
      <c r="F317" s="26">
        <v>9.0389999999999997</v>
      </c>
      <c r="G317" s="26">
        <v>0.22180937499999998</v>
      </c>
      <c r="H317" s="26">
        <v>0</v>
      </c>
      <c r="I317" s="26">
        <v>1.40424675</v>
      </c>
      <c r="J317" s="31">
        <v>5.9882124999999994E-2</v>
      </c>
      <c r="K317" s="31">
        <v>0</v>
      </c>
    </row>
    <row r="318" spans="1:18">
      <c r="A318" s="15">
        <v>3</v>
      </c>
      <c r="B318" s="22">
        <v>41254</v>
      </c>
      <c r="C318" s="15">
        <v>2012</v>
      </c>
      <c r="D318" s="11" t="s">
        <v>38</v>
      </c>
      <c r="E318" s="15">
        <v>12</v>
      </c>
      <c r="F318" s="26">
        <v>3.298</v>
      </c>
      <c r="G318" s="26">
        <v>0.27782562499999996</v>
      </c>
      <c r="H318" s="26">
        <v>0</v>
      </c>
      <c r="I318" s="26">
        <v>0.89269899999999991</v>
      </c>
      <c r="J318" s="31">
        <v>1.8053625E-2</v>
      </c>
      <c r="K318" s="31">
        <v>0</v>
      </c>
    </row>
    <row r="319" spans="1:18" ht="25.5">
      <c r="A319" s="15">
        <v>4</v>
      </c>
      <c r="B319" s="22">
        <v>41254</v>
      </c>
      <c r="C319" s="15">
        <v>2012</v>
      </c>
      <c r="D319" s="11" t="s">
        <v>38</v>
      </c>
      <c r="E319" s="15">
        <v>12</v>
      </c>
      <c r="F319" s="26">
        <v>3.2759999999999998</v>
      </c>
      <c r="G319" s="26">
        <v>0.39074774999999995</v>
      </c>
      <c r="H319" s="26">
        <v>0</v>
      </c>
      <c r="I319" s="26">
        <v>0.9113031250000001</v>
      </c>
      <c r="J319" s="31">
        <v>1.0066624999999997E-2</v>
      </c>
      <c r="K319" s="31">
        <v>0</v>
      </c>
      <c r="L319" s="34" t="s">
        <v>43</v>
      </c>
      <c r="M319" s="6" t="s">
        <v>7</v>
      </c>
      <c r="N319" s="6" t="s">
        <v>8</v>
      </c>
      <c r="O319" s="6" t="s">
        <v>9</v>
      </c>
      <c r="P319" s="6" t="s">
        <v>10</v>
      </c>
      <c r="Q319" s="6" t="s">
        <v>11</v>
      </c>
      <c r="R319" s="6" t="s">
        <v>12</v>
      </c>
    </row>
    <row r="320" spans="1:18">
      <c r="A320" s="46">
        <v>3</v>
      </c>
      <c r="B320" s="53">
        <v>41288</v>
      </c>
      <c r="C320" s="46">
        <v>2013</v>
      </c>
      <c r="D320" s="42" t="s">
        <v>39</v>
      </c>
      <c r="E320" s="40">
        <v>1</v>
      </c>
      <c r="F320" s="60">
        <v>6.7839999999999998</v>
      </c>
      <c r="G320" s="60">
        <v>0.16767687499999995</v>
      </c>
      <c r="H320" s="60">
        <v>0</v>
      </c>
      <c r="I320" s="60">
        <v>3.8867686250000006</v>
      </c>
      <c r="J320" s="58">
        <v>1.9724374999999999E-2</v>
      </c>
      <c r="K320" s="58">
        <v>0</v>
      </c>
      <c r="L320" s="34" t="s">
        <v>59</v>
      </c>
      <c r="M320" s="35">
        <f t="shared" ref="M320:R320" si="10">AVERAGE(F320:F343)</f>
        <v>11.649041666666669</v>
      </c>
      <c r="N320" s="35">
        <f t="shared" si="10"/>
        <v>0.44901294898167593</v>
      </c>
      <c r="O320" s="35">
        <f t="shared" si="10"/>
        <v>2.4474427083333332E-3</v>
      </c>
      <c r="P320" s="35">
        <f t="shared" si="10"/>
        <v>3.3552931513334499</v>
      </c>
      <c r="Q320" s="35">
        <f t="shared" si="10"/>
        <v>0.70896999200513544</v>
      </c>
      <c r="R320" s="35">
        <f t="shared" si="10"/>
        <v>0</v>
      </c>
    </row>
    <row r="321" spans="1:12">
      <c r="A321" s="15">
        <v>4</v>
      </c>
      <c r="B321" s="22">
        <v>41288</v>
      </c>
      <c r="C321" s="15">
        <v>2013</v>
      </c>
      <c r="D321" s="11" t="s">
        <v>39</v>
      </c>
      <c r="E321" s="12">
        <v>1</v>
      </c>
      <c r="F321" s="26">
        <v>9.7349999999999994</v>
      </c>
      <c r="G321" s="26">
        <v>0.8270377499999999</v>
      </c>
      <c r="H321" s="26">
        <v>0</v>
      </c>
      <c r="I321" s="26">
        <v>4.6814334999999998</v>
      </c>
      <c r="J321" s="31">
        <v>2.7271125E-2</v>
      </c>
      <c r="K321" s="31">
        <v>0</v>
      </c>
      <c r="L321"/>
    </row>
    <row r="322" spans="1:12">
      <c r="A322" s="15">
        <v>3</v>
      </c>
      <c r="B322" s="22">
        <v>41318</v>
      </c>
      <c r="C322" s="15">
        <v>2013</v>
      </c>
      <c r="D322" s="11" t="s">
        <v>28</v>
      </c>
      <c r="E322" s="12">
        <v>2</v>
      </c>
      <c r="F322" s="31">
        <v>16.471</v>
      </c>
      <c r="G322" s="31">
        <v>0.47085987500000004</v>
      </c>
      <c r="H322" s="31">
        <v>0</v>
      </c>
      <c r="I322" s="31">
        <v>8.9382391250000026</v>
      </c>
      <c r="J322" s="31">
        <v>4.5777249999999998E-2</v>
      </c>
      <c r="K322" s="31">
        <v>0</v>
      </c>
      <c r="L322"/>
    </row>
    <row r="323" spans="1:12">
      <c r="A323" s="15">
        <v>4</v>
      </c>
      <c r="B323" s="22">
        <v>41318</v>
      </c>
      <c r="C323" s="15">
        <v>2013</v>
      </c>
      <c r="D323" s="11" t="s">
        <v>28</v>
      </c>
      <c r="E323" s="12">
        <v>2</v>
      </c>
      <c r="F323" s="31">
        <v>18.884</v>
      </c>
      <c r="G323" s="31">
        <v>3.8428241249999995</v>
      </c>
      <c r="H323" s="31">
        <v>0</v>
      </c>
      <c r="I323" s="31">
        <v>5.8038043749999995</v>
      </c>
      <c r="J323" s="31">
        <v>7.9295500000000005E-2</v>
      </c>
      <c r="K323" s="31">
        <v>0</v>
      </c>
      <c r="L323"/>
    </row>
    <row r="324" spans="1:12">
      <c r="A324" s="15">
        <v>3</v>
      </c>
      <c r="B324" s="22">
        <v>41344</v>
      </c>
      <c r="C324" s="15">
        <v>2013</v>
      </c>
      <c r="D324" s="11" t="s">
        <v>29</v>
      </c>
      <c r="E324" s="12">
        <v>3</v>
      </c>
      <c r="F324" s="31">
        <v>9.0809999999999995</v>
      </c>
      <c r="G324" s="31">
        <v>0</v>
      </c>
      <c r="H324" s="31">
        <v>0</v>
      </c>
      <c r="I324" s="31">
        <v>5.9458380000000002</v>
      </c>
      <c r="J324" s="31">
        <v>6.1405750000000009E-2</v>
      </c>
      <c r="K324" s="31">
        <v>0</v>
      </c>
      <c r="L324"/>
    </row>
    <row r="325" spans="1:12">
      <c r="A325" s="15">
        <v>4</v>
      </c>
      <c r="B325" s="22">
        <v>41344</v>
      </c>
      <c r="C325" s="15">
        <v>2013</v>
      </c>
      <c r="D325" s="11" t="s">
        <v>29</v>
      </c>
      <c r="E325" s="12">
        <v>3</v>
      </c>
      <c r="F325" s="31">
        <v>11.224</v>
      </c>
      <c r="G325" s="31">
        <v>0.25331962499999999</v>
      </c>
      <c r="H325" s="31">
        <v>0</v>
      </c>
      <c r="I325" s="31">
        <v>6.7376446249999988</v>
      </c>
      <c r="J325" s="31">
        <v>0.10942724999999999</v>
      </c>
      <c r="K325" s="31">
        <v>0</v>
      </c>
      <c r="L325"/>
    </row>
    <row r="326" spans="1:12">
      <c r="A326" s="15">
        <v>3</v>
      </c>
      <c r="B326" s="22">
        <v>41379</v>
      </c>
      <c r="C326" s="15">
        <v>2013</v>
      </c>
      <c r="D326" s="11" t="s">
        <v>30</v>
      </c>
      <c r="E326" s="12">
        <v>4</v>
      </c>
      <c r="F326" s="32">
        <v>2.968</v>
      </c>
      <c r="G326" s="32">
        <v>4.6834874999999991E-2</v>
      </c>
      <c r="H326" s="32">
        <v>0</v>
      </c>
      <c r="I326" s="32">
        <v>1.04962825</v>
      </c>
      <c r="J326" s="32">
        <v>2.5049374999999999E-2</v>
      </c>
      <c r="K326" s="32">
        <v>0</v>
      </c>
      <c r="L326"/>
    </row>
    <row r="327" spans="1:12">
      <c r="A327" s="15">
        <v>4</v>
      </c>
      <c r="B327" s="22">
        <v>41379</v>
      </c>
      <c r="C327" s="15">
        <v>2013</v>
      </c>
      <c r="D327" s="11" t="s">
        <v>30</v>
      </c>
      <c r="E327" s="12">
        <v>4</v>
      </c>
      <c r="F327" s="32">
        <v>7.63</v>
      </c>
      <c r="G327" s="32">
        <v>7.3008500000000004E-2</v>
      </c>
      <c r="H327" s="32">
        <v>0</v>
      </c>
      <c r="I327" s="32">
        <v>2.8352088750000002</v>
      </c>
      <c r="J327" s="32">
        <v>0.10060612500000002</v>
      </c>
      <c r="K327" s="32">
        <v>0</v>
      </c>
      <c r="L327"/>
    </row>
    <row r="328" spans="1:12">
      <c r="A328" s="15">
        <v>3</v>
      </c>
      <c r="B328" s="22">
        <v>41408</v>
      </c>
      <c r="C328" s="15">
        <v>2013</v>
      </c>
      <c r="D328" s="11" t="s">
        <v>31</v>
      </c>
      <c r="E328" s="12">
        <v>5</v>
      </c>
      <c r="F328" s="32">
        <v>3.6080000000000001</v>
      </c>
      <c r="G328" s="32">
        <v>9.8398374999999982E-2</v>
      </c>
      <c r="H328" s="32">
        <v>0</v>
      </c>
      <c r="I328" s="32">
        <v>1.2479074999999999</v>
      </c>
      <c r="J328" s="32">
        <v>0.60069612500000003</v>
      </c>
      <c r="K328" s="32">
        <v>0</v>
      </c>
      <c r="L328"/>
    </row>
    <row r="329" spans="1:12">
      <c r="A329" s="15">
        <v>4</v>
      </c>
      <c r="B329" s="22">
        <v>41408</v>
      </c>
      <c r="C329" s="15">
        <v>2013</v>
      </c>
      <c r="D329" s="11" t="s">
        <v>31</v>
      </c>
      <c r="E329" s="12">
        <v>5</v>
      </c>
      <c r="F329" s="32">
        <v>8.8130000000000006</v>
      </c>
      <c r="G329" s="32">
        <v>0.17083512499999998</v>
      </c>
      <c r="H329" s="32">
        <v>5.8738624999999996E-2</v>
      </c>
      <c r="I329" s="32">
        <v>2.8237636249999998</v>
      </c>
      <c r="J329" s="32">
        <v>1.6468557499999996</v>
      </c>
      <c r="K329" s="32">
        <v>0</v>
      </c>
      <c r="L329"/>
    </row>
    <row r="330" spans="1:12">
      <c r="A330" s="15">
        <v>3</v>
      </c>
      <c r="B330" s="22">
        <v>41436</v>
      </c>
      <c r="C330" s="15">
        <v>2013</v>
      </c>
      <c r="D330" s="11" t="s">
        <v>32</v>
      </c>
      <c r="E330" s="12">
        <v>6</v>
      </c>
      <c r="F330" s="32">
        <v>10.775</v>
      </c>
      <c r="G330" s="32">
        <v>4.8213333333333337E-2</v>
      </c>
      <c r="H330" s="32">
        <v>0</v>
      </c>
      <c r="I330" s="32">
        <v>4.5995159999999995</v>
      </c>
      <c r="J330" s="32">
        <v>1.2194706666666666</v>
      </c>
      <c r="K330" s="32">
        <v>0</v>
      </c>
      <c r="L330"/>
    </row>
    <row r="331" spans="1:12">
      <c r="A331" s="15">
        <v>4</v>
      </c>
      <c r="B331" s="22">
        <v>41436</v>
      </c>
      <c r="C331" s="15">
        <v>2013</v>
      </c>
      <c r="D331" s="11" t="s">
        <v>32</v>
      </c>
      <c r="E331" s="12">
        <v>6</v>
      </c>
      <c r="F331" s="32">
        <v>14.151</v>
      </c>
      <c r="G331" s="32">
        <v>8.9405714285714297E-2</v>
      </c>
      <c r="H331" s="32">
        <v>0</v>
      </c>
      <c r="I331" s="32">
        <v>3.3983514285714285</v>
      </c>
      <c r="J331" s="32">
        <v>3.7351938571428569</v>
      </c>
      <c r="K331" s="32">
        <v>0</v>
      </c>
      <c r="L331"/>
    </row>
    <row r="332" spans="1:12">
      <c r="A332" s="15">
        <v>3</v>
      </c>
      <c r="B332" s="22">
        <v>41471</v>
      </c>
      <c r="C332" s="15">
        <v>2013</v>
      </c>
      <c r="D332" s="11" t="s">
        <v>33</v>
      </c>
      <c r="E332" s="12">
        <v>7</v>
      </c>
      <c r="F332" s="32">
        <v>32.316000000000003</v>
      </c>
      <c r="G332" s="32">
        <v>0.871988125</v>
      </c>
      <c r="H332" s="32">
        <v>0</v>
      </c>
      <c r="I332" s="32">
        <v>4.6491423750000003</v>
      </c>
      <c r="J332" s="32">
        <v>1.6939932499999999</v>
      </c>
      <c r="K332" s="32">
        <v>0</v>
      </c>
      <c r="L332"/>
    </row>
    <row r="333" spans="1:12">
      <c r="A333" s="15">
        <v>4</v>
      </c>
      <c r="B333" s="22">
        <v>41471</v>
      </c>
      <c r="C333" s="15">
        <v>2013</v>
      </c>
      <c r="D333" s="11" t="s">
        <v>33</v>
      </c>
      <c r="E333" s="12">
        <v>7</v>
      </c>
      <c r="F333" s="32">
        <v>52.093000000000004</v>
      </c>
      <c r="G333" s="32">
        <v>0.25027162499999994</v>
      </c>
      <c r="H333" s="32">
        <v>0</v>
      </c>
      <c r="I333" s="32">
        <v>9.3805577499999995</v>
      </c>
      <c r="J333" s="32">
        <v>2.4762148750000001</v>
      </c>
      <c r="K333" s="32">
        <v>0</v>
      </c>
      <c r="L333"/>
    </row>
    <row r="334" spans="1:12">
      <c r="A334" s="15">
        <v>3</v>
      </c>
      <c r="B334" s="22">
        <v>41499</v>
      </c>
      <c r="C334" s="15">
        <v>2013</v>
      </c>
      <c r="D334" s="11" t="s">
        <v>34</v>
      </c>
      <c r="E334" s="12">
        <v>8</v>
      </c>
      <c r="F334" s="32">
        <v>12.627000000000001</v>
      </c>
      <c r="G334" s="32">
        <v>0.80050735294117636</v>
      </c>
      <c r="H334" s="32">
        <v>0</v>
      </c>
      <c r="I334" s="32">
        <v>2.350511911764706</v>
      </c>
      <c r="J334" s="32">
        <v>1.3103091176470589</v>
      </c>
      <c r="K334" s="32">
        <v>0</v>
      </c>
      <c r="L334"/>
    </row>
    <row r="335" spans="1:12">
      <c r="A335" s="15">
        <v>4</v>
      </c>
      <c r="B335" s="22">
        <v>41499</v>
      </c>
      <c r="C335" s="15">
        <v>2013</v>
      </c>
      <c r="D335" s="11" t="s">
        <v>34</v>
      </c>
      <c r="E335" s="12">
        <v>8</v>
      </c>
      <c r="F335" s="32">
        <v>19.396000000000001</v>
      </c>
      <c r="G335" s="32">
        <v>0.61868649999999992</v>
      </c>
      <c r="H335" s="32">
        <v>0</v>
      </c>
      <c r="I335" s="32">
        <v>3.2683111666666669</v>
      </c>
      <c r="J335" s="32">
        <v>1.6730276666666668</v>
      </c>
      <c r="K335" s="32">
        <v>0</v>
      </c>
      <c r="L335"/>
    </row>
    <row r="336" spans="1:12">
      <c r="A336" s="15">
        <v>3</v>
      </c>
      <c r="B336" s="22">
        <v>41533</v>
      </c>
      <c r="C336" s="15">
        <v>2013</v>
      </c>
      <c r="D336" s="11" t="s">
        <v>40</v>
      </c>
      <c r="E336" s="12">
        <v>9</v>
      </c>
      <c r="F336" s="32">
        <v>8.641</v>
      </c>
      <c r="G336" s="32">
        <v>0.23040674999999997</v>
      </c>
      <c r="H336" s="32">
        <v>0</v>
      </c>
      <c r="I336" s="32">
        <v>2.4066233750000001</v>
      </c>
      <c r="J336" s="32">
        <v>0.51827662500000005</v>
      </c>
      <c r="K336" s="32">
        <v>0</v>
      </c>
      <c r="L336"/>
    </row>
    <row r="337" spans="1:18">
      <c r="A337" s="15">
        <v>4</v>
      </c>
      <c r="B337" s="22">
        <v>41533</v>
      </c>
      <c r="C337" s="15">
        <v>2013</v>
      </c>
      <c r="D337" s="11" t="s">
        <v>40</v>
      </c>
      <c r="E337" s="12">
        <v>9</v>
      </c>
      <c r="F337" s="32">
        <v>9.0589999999999993</v>
      </c>
      <c r="G337" s="32">
        <v>0.21874549999999998</v>
      </c>
      <c r="H337" s="32">
        <v>0</v>
      </c>
      <c r="I337" s="32">
        <v>1.8680883749999999</v>
      </c>
      <c r="J337" s="32">
        <v>1.1544353749999998</v>
      </c>
      <c r="K337" s="32">
        <v>0</v>
      </c>
    </row>
    <row r="338" spans="1:18">
      <c r="A338" s="15">
        <v>3</v>
      </c>
      <c r="B338" s="22">
        <v>41569</v>
      </c>
      <c r="C338" s="15">
        <v>2013</v>
      </c>
      <c r="D338" s="11" t="s">
        <v>36</v>
      </c>
      <c r="E338" s="12">
        <v>10</v>
      </c>
      <c r="F338" s="26">
        <v>4.3840000000000003</v>
      </c>
      <c r="G338" s="26">
        <v>0.6168158749999999</v>
      </c>
      <c r="H338" s="26">
        <v>0</v>
      </c>
      <c r="I338" s="61">
        <v>0.31529049999999997</v>
      </c>
      <c r="J338" s="31">
        <v>7.2570249999999989E-2</v>
      </c>
      <c r="K338" s="31">
        <v>0</v>
      </c>
    </row>
    <row r="339" spans="1:18">
      <c r="A339" s="15">
        <v>4</v>
      </c>
      <c r="B339" s="22">
        <v>41569</v>
      </c>
      <c r="C339" s="15">
        <v>2013</v>
      </c>
      <c r="D339" s="11" t="s">
        <v>36</v>
      </c>
      <c r="E339" s="12">
        <v>10</v>
      </c>
      <c r="F339" s="26">
        <v>7.3710000000000004</v>
      </c>
      <c r="G339" s="26">
        <v>0.27968612500000001</v>
      </c>
      <c r="H339" s="26">
        <v>0</v>
      </c>
      <c r="I339" s="61">
        <v>0.68512275</v>
      </c>
      <c r="J339" s="31">
        <v>0.29580262499999993</v>
      </c>
      <c r="K339" s="31">
        <v>0</v>
      </c>
    </row>
    <row r="340" spans="1:18">
      <c r="A340" s="15">
        <v>3</v>
      </c>
      <c r="B340" s="22">
        <v>41597</v>
      </c>
      <c r="C340" s="15">
        <v>2013</v>
      </c>
      <c r="D340" s="11" t="s">
        <v>37</v>
      </c>
      <c r="E340" s="12">
        <v>11</v>
      </c>
      <c r="F340" s="26">
        <v>2.2610000000000001</v>
      </c>
      <c r="G340" s="26">
        <v>0.13439524999999997</v>
      </c>
      <c r="H340" s="26">
        <v>0</v>
      </c>
      <c r="I340" s="61">
        <v>0.31730737499999995</v>
      </c>
      <c r="J340" s="31">
        <v>1.8883750000000001E-2</v>
      </c>
      <c r="K340" s="31">
        <v>0</v>
      </c>
    </row>
    <row r="341" spans="1:18">
      <c r="A341" s="15">
        <v>4</v>
      </c>
      <c r="B341" s="22">
        <v>41597</v>
      </c>
      <c r="C341" s="15">
        <v>2013</v>
      </c>
      <c r="D341" s="11" t="s">
        <v>37</v>
      </c>
      <c r="E341" s="12">
        <v>11</v>
      </c>
      <c r="F341" s="26">
        <v>2.4009999999999998</v>
      </c>
      <c r="G341" s="26">
        <v>0.12703024999999998</v>
      </c>
      <c r="H341" s="26">
        <v>0</v>
      </c>
      <c r="I341" s="61">
        <v>0.56046787499999995</v>
      </c>
      <c r="J341" s="31">
        <v>7.7184749999999996E-2</v>
      </c>
      <c r="K341" s="31">
        <v>0</v>
      </c>
    </row>
    <row r="342" spans="1:18">
      <c r="A342" s="15">
        <v>3</v>
      </c>
      <c r="B342" s="22">
        <v>41624</v>
      </c>
      <c r="C342" s="15">
        <v>2013</v>
      </c>
      <c r="D342" s="11" t="s">
        <v>38</v>
      </c>
      <c r="E342" s="12">
        <v>12</v>
      </c>
      <c r="F342" s="26">
        <v>3.7669999999999999</v>
      </c>
      <c r="G342" s="26">
        <v>0.117892</v>
      </c>
      <c r="H342" s="26">
        <v>0</v>
      </c>
      <c r="I342" s="61">
        <v>1.205529375</v>
      </c>
      <c r="J342" s="31">
        <v>2.4133499999999999E-2</v>
      </c>
      <c r="K342" s="31">
        <v>0</v>
      </c>
    </row>
    <row r="343" spans="1:18" ht="25.5">
      <c r="A343" s="15">
        <v>4</v>
      </c>
      <c r="B343" s="22">
        <v>41624</v>
      </c>
      <c r="C343" s="15">
        <v>2013</v>
      </c>
      <c r="D343" s="11" t="s">
        <v>38</v>
      </c>
      <c r="E343" s="12">
        <v>12</v>
      </c>
      <c r="F343" s="26">
        <v>5.1369999999999996</v>
      </c>
      <c r="G343" s="26">
        <v>0.42147124999999996</v>
      </c>
      <c r="H343" s="26">
        <v>0</v>
      </c>
      <c r="I343" s="61">
        <v>1.5719788749999999</v>
      </c>
      <c r="J343" s="31">
        <v>2.9674874999999996E-2</v>
      </c>
      <c r="K343" s="31">
        <v>0</v>
      </c>
      <c r="L343" s="34" t="s">
        <v>43</v>
      </c>
      <c r="M343" s="6" t="s">
        <v>7</v>
      </c>
      <c r="N343" s="6" t="s">
        <v>8</v>
      </c>
      <c r="O343" s="6" t="s">
        <v>9</v>
      </c>
      <c r="P343" s="6" t="s">
        <v>10</v>
      </c>
      <c r="Q343" s="6" t="s">
        <v>11</v>
      </c>
      <c r="R343" s="6" t="s">
        <v>12</v>
      </c>
    </row>
    <row r="344" spans="1:18">
      <c r="A344" s="46">
        <v>3</v>
      </c>
      <c r="B344" s="53">
        <v>41654</v>
      </c>
      <c r="C344" s="46">
        <v>2014</v>
      </c>
      <c r="D344" s="42" t="s">
        <v>39</v>
      </c>
      <c r="E344" s="40">
        <v>1</v>
      </c>
      <c r="F344" s="60">
        <v>3.335</v>
      </c>
      <c r="G344" s="60">
        <v>0.5443508749999999</v>
      </c>
      <c r="H344" s="60">
        <v>0</v>
      </c>
      <c r="I344" s="62">
        <v>0.74987937500000013</v>
      </c>
      <c r="J344" s="58">
        <v>3.2306874999999999E-2</v>
      </c>
      <c r="K344" s="58">
        <v>0</v>
      </c>
      <c r="L344" s="34" t="s">
        <v>60</v>
      </c>
      <c r="M344" s="35">
        <f t="shared" ref="M344:R344" si="11">AVERAGE(F344:F367)</f>
        <v>6.9136249999999988</v>
      </c>
      <c r="N344" s="35">
        <f t="shared" si="11"/>
        <v>0.51646931249999994</v>
      </c>
      <c r="O344" s="35">
        <f t="shared" si="11"/>
        <v>0</v>
      </c>
      <c r="P344" s="35">
        <f t="shared" si="11"/>
        <v>1.1859481197916668</v>
      </c>
      <c r="Q344" s="35">
        <f t="shared" si="11"/>
        <v>0.69611320833333323</v>
      </c>
      <c r="R344" s="35">
        <f t="shared" si="11"/>
        <v>3.4410885416666665E-3</v>
      </c>
    </row>
    <row r="345" spans="1:18">
      <c r="A345" s="15">
        <v>4</v>
      </c>
      <c r="B345" s="22">
        <v>41654</v>
      </c>
      <c r="C345" s="15">
        <v>2014</v>
      </c>
      <c r="D345" s="11" t="s">
        <v>39</v>
      </c>
      <c r="E345" s="12">
        <v>1</v>
      </c>
      <c r="F345" s="26">
        <v>1.752</v>
      </c>
      <c r="G345" s="26">
        <v>0.19559987499999998</v>
      </c>
      <c r="H345" s="26">
        <v>0</v>
      </c>
      <c r="I345" s="61">
        <v>0.55399725</v>
      </c>
      <c r="J345" s="31">
        <v>1.83515E-2</v>
      </c>
      <c r="K345" s="31">
        <v>0</v>
      </c>
    </row>
    <row r="346" spans="1:18">
      <c r="A346" s="15">
        <v>3</v>
      </c>
      <c r="B346" s="22">
        <v>41688</v>
      </c>
      <c r="C346" s="15">
        <v>2014</v>
      </c>
      <c r="D346" s="11" t="s">
        <v>28</v>
      </c>
      <c r="E346" s="12">
        <v>2</v>
      </c>
      <c r="F346" s="26">
        <v>4.5439999999999996</v>
      </c>
      <c r="G346" s="26">
        <v>0.31842837499999993</v>
      </c>
      <c r="H346" s="26">
        <v>0</v>
      </c>
      <c r="I346" s="61">
        <v>1.5313650000000001</v>
      </c>
      <c r="J346" s="31">
        <v>3.5767500000000001E-2</v>
      </c>
      <c r="K346" s="31">
        <v>0</v>
      </c>
    </row>
    <row r="347" spans="1:18">
      <c r="A347" s="15">
        <v>4</v>
      </c>
      <c r="B347" s="22">
        <v>41688</v>
      </c>
      <c r="C347" s="15">
        <v>2014</v>
      </c>
      <c r="D347" s="11" t="s">
        <v>28</v>
      </c>
      <c r="E347" s="12">
        <v>2</v>
      </c>
      <c r="F347" s="26">
        <v>5.3250000000000002</v>
      </c>
      <c r="G347" s="26">
        <v>0.9465849999999999</v>
      </c>
      <c r="H347" s="26">
        <v>0</v>
      </c>
      <c r="I347" s="61">
        <v>1.13505425</v>
      </c>
      <c r="J347" s="31">
        <v>6.8974624999999998E-2</v>
      </c>
      <c r="K347" s="31">
        <v>0</v>
      </c>
    </row>
    <row r="348" spans="1:18">
      <c r="A348" s="15">
        <v>3</v>
      </c>
      <c r="B348" s="22">
        <v>41719</v>
      </c>
      <c r="C348" s="15">
        <v>2014</v>
      </c>
      <c r="D348" s="11" t="s">
        <v>29</v>
      </c>
      <c r="E348" s="12">
        <v>3</v>
      </c>
      <c r="F348" s="26">
        <v>3.1259999999999999</v>
      </c>
      <c r="G348" s="26">
        <v>3.6870750000000001E-2</v>
      </c>
      <c r="H348" s="26">
        <v>0</v>
      </c>
      <c r="I348" s="61">
        <v>1.317851125</v>
      </c>
      <c r="J348" s="31">
        <v>4.4123124999999992E-2</v>
      </c>
      <c r="K348" s="31">
        <v>0</v>
      </c>
    </row>
    <row r="349" spans="1:18">
      <c r="A349" s="15">
        <v>4</v>
      </c>
      <c r="B349" s="22">
        <v>41719</v>
      </c>
      <c r="C349" s="15">
        <v>2014</v>
      </c>
      <c r="D349" s="11" t="s">
        <v>29</v>
      </c>
      <c r="E349" s="12">
        <v>3</v>
      </c>
      <c r="F349" s="26">
        <v>3.1909999999999998</v>
      </c>
      <c r="G349" s="26">
        <v>0.132049</v>
      </c>
      <c r="H349" s="26">
        <v>0</v>
      </c>
      <c r="I349" s="61">
        <v>1.0794044999999999</v>
      </c>
      <c r="J349" s="31">
        <v>5.5256124999999996E-2</v>
      </c>
      <c r="K349" s="31">
        <v>0</v>
      </c>
    </row>
    <row r="350" spans="1:18">
      <c r="A350" s="15">
        <v>3</v>
      </c>
      <c r="B350" s="22">
        <v>41747</v>
      </c>
      <c r="C350" s="15">
        <v>2014</v>
      </c>
      <c r="D350" s="11" t="s">
        <v>30</v>
      </c>
      <c r="E350" s="12">
        <v>4</v>
      </c>
      <c r="F350" s="33">
        <v>2.645</v>
      </c>
      <c r="G350" s="33">
        <v>1.6637374999999999E-2</v>
      </c>
      <c r="H350" s="33">
        <v>0</v>
      </c>
      <c r="I350" s="64">
        <v>0.87752649999999988</v>
      </c>
      <c r="J350" s="66">
        <v>2.3579624999999996E-2</v>
      </c>
      <c r="K350" s="66">
        <v>0</v>
      </c>
    </row>
    <row r="351" spans="1:18">
      <c r="A351" s="15">
        <v>4</v>
      </c>
      <c r="B351" s="22">
        <v>41747</v>
      </c>
      <c r="C351" s="15">
        <v>2014</v>
      </c>
      <c r="D351" s="11" t="s">
        <v>30</v>
      </c>
      <c r="E351" s="12">
        <v>4</v>
      </c>
      <c r="F351" s="33">
        <v>6.6870000000000003</v>
      </c>
      <c r="G351" s="33">
        <v>2.5090875000000002E-2</v>
      </c>
      <c r="H351" s="33">
        <v>0</v>
      </c>
      <c r="I351" s="64">
        <v>2.0179132499999994</v>
      </c>
      <c r="J351" s="66">
        <v>0.11551412500000001</v>
      </c>
      <c r="K351" s="66">
        <v>0</v>
      </c>
    </row>
    <row r="352" spans="1:18">
      <c r="A352" s="15">
        <v>3</v>
      </c>
      <c r="B352" s="22">
        <v>41772</v>
      </c>
      <c r="C352" s="15">
        <v>2014</v>
      </c>
      <c r="D352" s="11" t="s">
        <v>31</v>
      </c>
      <c r="E352" s="12">
        <v>5</v>
      </c>
      <c r="F352" s="33">
        <v>4.24</v>
      </c>
      <c r="G352" s="33">
        <v>1.9371362499999998</v>
      </c>
      <c r="H352" s="33">
        <v>0</v>
      </c>
      <c r="I352" s="64">
        <v>0.16081599999999999</v>
      </c>
      <c r="J352" s="66">
        <v>0.31169762499999992</v>
      </c>
      <c r="K352" s="66">
        <v>0</v>
      </c>
    </row>
    <row r="353" spans="1:22">
      <c r="A353" s="15">
        <v>4</v>
      </c>
      <c r="B353" s="22">
        <v>41772</v>
      </c>
      <c r="C353" s="15">
        <v>2014</v>
      </c>
      <c r="D353" s="11" t="s">
        <v>31</v>
      </c>
      <c r="E353" s="12">
        <v>5</v>
      </c>
      <c r="F353" s="33">
        <v>3.7629999999999999</v>
      </c>
      <c r="G353" s="33">
        <v>1.1869702499999997</v>
      </c>
      <c r="H353" s="33">
        <v>0</v>
      </c>
      <c r="I353" s="64">
        <v>0.27572012499999998</v>
      </c>
      <c r="J353" s="66">
        <v>0.61531037499999996</v>
      </c>
      <c r="K353" s="66">
        <v>0</v>
      </c>
    </row>
    <row r="354" spans="1:22">
      <c r="A354" s="15">
        <v>3</v>
      </c>
      <c r="B354" s="22">
        <v>41808</v>
      </c>
      <c r="C354" s="15">
        <v>2014</v>
      </c>
      <c r="D354" s="11" t="s">
        <v>32</v>
      </c>
      <c r="E354" s="12">
        <v>6</v>
      </c>
      <c r="F354" s="33">
        <v>8.3550000000000004</v>
      </c>
      <c r="G354" s="33">
        <v>0.25936262500000001</v>
      </c>
      <c r="H354" s="33">
        <v>0</v>
      </c>
      <c r="I354" s="64">
        <v>1.23038775</v>
      </c>
      <c r="J354" s="66">
        <v>2.8802321249999996</v>
      </c>
      <c r="K354" s="66">
        <v>0</v>
      </c>
    </row>
    <row r="355" spans="1:22">
      <c r="A355" s="15">
        <v>4</v>
      </c>
      <c r="B355" s="22">
        <v>41808</v>
      </c>
      <c r="C355" s="15">
        <v>2014</v>
      </c>
      <c r="D355" s="11" t="s">
        <v>32</v>
      </c>
      <c r="E355" s="12">
        <v>6</v>
      </c>
      <c r="F355" s="33">
        <v>10.061999999999999</v>
      </c>
      <c r="G355" s="33">
        <v>0.24391199999999999</v>
      </c>
      <c r="H355" s="33">
        <v>0</v>
      </c>
      <c r="I355" s="64">
        <v>1.2661182499999997</v>
      </c>
      <c r="J355" s="66">
        <v>3.4274501249999996</v>
      </c>
      <c r="K355" s="66">
        <v>0</v>
      </c>
    </row>
    <row r="356" spans="1:22">
      <c r="A356" s="15">
        <v>3</v>
      </c>
      <c r="B356" s="22">
        <v>41834</v>
      </c>
      <c r="C356" s="15">
        <v>2014</v>
      </c>
      <c r="D356" s="11" t="s">
        <v>33</v>
      </c>
      <c r="E356" s="12">
        <v>7</v>
      </c>
      <c r="F356" s="33">
        <v>14.663</v>
      </c>
      <c r="G356" s="33">
        <v>0.65710875000000002</v>
      </c>
      <c r="H356" s="33">
        <v>0</v>
      </c>
      <c r="I356" s="64">
        <v>2.4222667500000004</v>
      </c>
      <c r="J356" s="66">
        <v>1.655107125</v>
      </c>
      <c r="K356" s="66">
        <v>0</v>
      </c>
    </row>
    <row r="357" spans="1:22">
      <c r="A357" s="15">
        <v>4</v>
      </c>
      <c r="B357" s="22">
        <v>41834</v>
      </c>
      <c r="C357" s="15">
        <v>2014</v>
      </c>
      <c r="D357" s="11" t="s">
        <v>33</v>
      </c>
      <c r="E357" s="12">
        <v>7</v>
      </c>
      <c r="F357" s="33">
        <v>17.713999999999999</v>
      </c>
      <c r="G357" s="33">
        <v>0.31266062499999997</v>
      </c>
      <c r="H357" s="33">
        <v>0</v>
      </c>
      <c r="I357" s="64">
        <v>2.8836415</v>
      </c>
      <c r="J357" s="66">
        <v>3.066036875</v>
      </c>
      <c r="K357" s="66">
        <v>8.2586124999999996E-2</v>
      </c>
    </row>
    <row r="358" spans="1:22">
      <c r="A358" s="15">
        <v>3</v>
      </c>
      <c r="B358" s="22">
        <v>41864</v>
      </c>
      <c r="C358" s="15">
        <v>2014</v>
      </c>
      <c r="D358" s="11" t="s">
        <v>34</v>
      </c>
      <c r="E358" s="12">
        <v>8</v>
      </c>
      <c r="F358" s="33">
        <v>17.297999999999998</v>
      </c>
      <c r="G358" s="33">
        <v>1.2535890000000001</v>
      </c>
      <c r="H358" s="33">
        <v>0</v>
      </c>
      <c r="I358" s="64">
        <v>2.1025795000000005</v>
      </c>
      <c r="J358" s="66">
        <v>1.1974332499999998</v>
      </c>
      <c r="K358" s="66">
        <v>0</v>
      </c>
    </row>
    <row r="359" spans="1:22">
      <c r="A359" s="15">
        <v>4</v>
      </c>
      <c r="B359" s="22">
        <v>41864</v>
      </c>
      <c r="C359" s="15">
        <v>2014</v>
      </c>
      <c r="D359" s="11" t="s">
        <v>34</v>
      </c>
      <c r="E359" s="12">
        <v>8</v>
      </c>
      <c r="F359" s="33">
        <v>17.457999999999998</v>
      </c>
      <c r="G359" s="33">
        <v>0.49348312500000002</v>
      </c>
      <c r="H359" s="33">
        <v>0</v>
      </c>
      <c r="I359" s="64">
        <v>2.5212759999999994</v>
      </c>
      <c r="J359" s="66">
        <v>1.121007125</v>
      </c>
      <c r="K359" s="66">
        <v>0</v>
      </c>
    </row>
    <row r="360" spans="1:22">
      <c r="A360" s="15">
        <v>3</v>
      </c>
      <c r="B360" s="22">
        <v>41898</v>
      </c>
      <c r="C360" s="15">
        <v>2014</v>
      </c>
      <c r="D360" s="11" t="s">
        <v>40</v>
      </c>
      <c r="E360" s="12">
        <v>9</v>
      </c>
      <c r="F360" s="33">
        <v>10.042999999999999</v>
      </c>
      <c r="G360" s="33">
        <v>1.12362275</v>
      </c>
      <c r="H360" s="33">
        <v>0</v>
      </c>
      <c r="I360" s="64">
        <v>1.3672545</v>
      </c>
      <c r="J360" s="66">
        <v>0.35609924999999992</v>
      </c>
      <c r="K360" s="66">
        <v>0</v>
      </c>
    </row>
    <row r="361" spans="1:22">
      <c r="A361" s="15">
        <v>4</v>
      </c>
      <c r="B361" s="22">
        <v>41898</v>
      </c>
      <c r="C361" s="15">
        <v>2014</v>
      </c>
      <c r="D361" s="11" t="s">
        <v>40</v>
      </c>
      <c r="E361" s="12">
        <v>9</v>
      </c>
      <c r="F361" s="33">
        <v>12.87</v>
      </c>
      <c r="G361" s="33">
        <v>0.62478524999999996</v>
      </c>
      <c r="H361" s="33">
        <v>0</v>
      </c>
      <c r="I361" s="64">
        <v>2.105775</v>
      </c>
      <c r="J361" s="66">
        <v>1.113679125</v>
      </c>
      <c r="K361" s="66">
        <v>0</v>
      </c>
    </row>
    <row r="362" spans="1:22">
      <c r="A362" s="15">
        <v>3</v>
      </c>
      <c r="B362" s="22">
        <v>41929</v>
      </c>
      <c r="C362" s="15">
        <v>2014</v>
      </c>
      <c r="D362" s="11" t="s">
        <v>36</v>
      </c>
      <c r="E362" s="12">
        <v>10</v>
      </c>
      <c r="F362" s="26">
        <v>1.6759999999999999</v>
      </c>
      <c r="G362" s="26">
        <v>0.11012174999999999</v>
      </c>
      <c r="H362" s="26">
        <v>0</v>
      </c>
      <c r="I362" s="26">
        <v>0.16766887499999997</v>
      </c>
      <c r="J362" s="31">
        <v>5.7918125000000001E-2</v>
      </c>
      <c r="K362" s="31">
        <v>0</v>
      </c>
    </row>
    <row r="363" spans="1:22">
      <c r="A363" s="15">
        <v>4</v>
      </c>
      <c r="B363" s="22">
        <v>41929</v>
      </c>
      <c r="C363" s="15">
        <v>2014</v>
      </c>
      <c r="D363" s="11" t="s">
        <v>36</v>
      </c>
      <c r="E363" s="12">
        <v>10</v>
      </c>
      <c r="F363" s="26">
        <v>4.0270000000000001</v>
      </c>
      <c r="G363" s="26">
        <v>0.10629474999999999</v>
      </c>
      <c r="H363" s="26">
        <v>0</v>
      </c>
      <c r="I363" s="26">
        <v>0.32296549999999996</v>
      </c>
      <c r="J363" s="31">
        <v>0.39009924999999995</v>
      </c>
      <c r="K363" s="31">
        <v>0</v>
      </c>
    </row>
    <row r="364" spans="1:22">
      <c r="A364" s="15">
        <v>3</v>
      </c>
      <c r="B364" s="22">
        <v>41953</v>
      </c>
      <c r="C364" s="15">
        <v>2014</v>
      </c>
      <c r="D364" s="11" t="s">
        <v>37</v>
      </c>
      <c r="E364" s="12">
        <v>11</v>
      </c>
      <c r="F364" s="26">
        <v>1.635</v>
      </c>
      <c r="G364" s="26">
        <v>0.10145637499999999</v>
      </c>
      <c r="H364" s="26">
        <v>0</v>
      </c>
      <c r="I364" s="26">
        <v>0.12559637500000001</v>
      </c>
      <c r="J364" s="31">
        <v>2.0041E-2</v>
      </c>
      <c r="K364" s="31">
        <v>0</v>
      </c>
    </row>
    <row r="365" spans="1:22">
      <c r="A365" s="15">
        <v>4</v>
      </c>
      <c r="B365" s="22">
        <v>41953</v>
      </c>
      <c r="C365" s="15">
        <v>2014</v>
      </c>
      <c r="D365" s="11" t="s">
        <v>37</v>
      </c>
      <c r="E365" s="12">
        <v>11</v>
      </c>
      <c r="F365" s="26">
        <v>2.0110000000000001</v>
      </c>
      <c r="G365" s="26">
        <v>5.7618374999999993E-2</v>
      </c>
      <c r="H365" s="26">
        <v>0</v>
      </c>
      <c r="I365" s="26">
        <v>0.21138537499999996</v>
      </c>
      <c r="J365" s="31">
        <v>3.8820500000000001E-2</v>
      </c>
      <c r="K365" s="31">
        <v>0</v>
      </c>
    </row>
    <row r="366" spans="1:22">
      <c r="A366" s="15">
        <v>3</v>
      </c>
      <c r="B366" s="22">
        <v>41988</v>
      </c>
      <c r="C366" s="15">
        <v>2014</v>
      </c>
      <c r="D366" s="11" t="s">
        <v>38</v>
      </c>
      <c r="E366" s="12">
        <v>12</v>
      </c>
      <c r="F366" s="26">
        <v>5.5650000000000004</v>
      </c>
      <c r="G366" s="26">
        <v>1.1830502499999997</v>
      </c>
      <c r="H366" s="26">
        <v>0</v>
      </c>
      <c r="I366" s="26">
        <v>1.2356728749999999</v>
      </c>
      <c r="J366" s="31">
        <v>2.0511374999999998E-2</v>
      </c>
      <c r="K366" s="31">
        <v>0</v>
      </c>
    </row>
    <row r="367" spans="1:22">
      <c r="A367" s="15">
        <v>4</v>
      </c>
      <c r="B367" s="22">
        <v>41988</v>
      </c>
      <c r="C367" s="15">
        <v>2014</v>
      </c>
      <c r="D367" s="11" t="s">
        <v>38</v>
      </c>
      <c r="E367" s="12">
        <v>12</v>
      </c>
      <c r="F367" s="26">
        <v>3.9420000000000002</v>
      </c>
      <c r="G367" s="26">
        <v>0.52847924999999996</v>
      </c>
      <c r="H367" s="26">
        <v>0</v>
      </c>
      <c r="I367" s="26">
        <v>0.80063925000000002</v>
      </c>
      <c r="J367" s="31">
        <v>4.1400249999999993E-2</v>
      </c>
      <c r="K367" s="31">
        <v>0</v>
      </c>
      <c r="L367" s="34" t="s">
        <v>43</v>
      </c>
    </row>
    <row r="368" spans="1:22" ht="38.25">
      <c r="L368" s="34" t="s">
        <v>61</v>
      </c>
      <c r="M368" s="6" t="s">
        <v>7</v>
      </c>
      <c r="N368" s="6" t="s">
        <v>8</v>
      </c>
      <c r="O368" s="6" t="s">
        <v>9</v>
      </c>
      <c r="P368" s="6" t="s">
        <v>10</v>
      </c>
      <c r="Q368" s="6" t="s">
        <v>11</v>
      </c>
      <c r="R368" s="6" t="s">
        <v>12</v>
      </c>
      <c r="S368" s="67" t="s">
        <v>78</v>
      </c>
      <c r="T368" s="67" t="s">
        <v>79</v>
      </c>
      <c r="U368" s="67" t="s">
        <v>80</v>
      </c>
      <c r="V368" s="67" t="s">
        <v>81</v>
      </c>
    </row>
    <row r="369" spans="12:22">
      <c r="L369" s="34" t="s">
        <v>62</v>
      </c>
      <c r="M369" s="35">
        <f t="shared" ref="M369:R369" si="12">M2</f>
        <v>7.6547283123292358</v>
      </c>
      <c r="N369" s="35">
        <f t="shared" si="12"/>
        <v>0.24054891241666668</v>
      </c>
      <c r="O369" s="35">
        <f t="shared" si="12"/>
        <v>2.9386241916666667E-2</v>
      </c>
      <c r="P369" s="35">
        <f t="shared" si="12"/>
        <v>1.3221891989722223</v>
      </c>
      <c r="Q369" s="35">
        <f t="shared" si="12"/>
        <v>0.4500974883333333</v>
      </c>
      <c r="R369" s="35">
        <f t="shared" si="12"/>
        <v>0</v>
      </c>
      <c r="S369" s="27">
        <f>N369/M369</f>
        <v>3.1424879186008725E-2</v>
      </c>
      <c r="T369" s="27">
        <f>O369/M369</f>
        <v>3.8389660243506158E-3</v>
      </c>
      <c r="U369" s="27">
        <f>P369/M369</f>
        <v>0.17272842941304825</v>
      </c>
      <c r="V369" s="27">
        <f>Q369/M369</f>
        <v>5.8799929921532955E-2</v>
      </c>
    </row>
    <row r="370" spans="12:22">
      <c r="L370" s="34" t="s">
        <v>63</v>
      </c>
      <c r="M370" s="35">
        <f>M8</f>
        <v>13.777617987942918</v>
      </c>
      <c r="N370" s="35">
        <f t="shared" ref="N370:P370" si="13">N8</f>
        <v>0.7760390775277779</v>
      </c>
      <c r="O370" s="35">
        <f t="shared" si="13"/>
        <v>0.14538838670138887</v>
      </c>
      <c r="P370" s="35">
        <f t="shared" si="13"/>
        <v>2.2570898803402781</v>
      </c>
      <c r="Q370" s="35">
        <f t="shared" ref="Q370:R370" si="14">Q8</f>
        <v>1.0392288907361114</v>
      </c>
      <c r="R370" s="35">
        <f t="shared" si="14"/>
        <v>0</v>
      </c>
      <c r="S370" s="27">
        <f t="shared" ref="S370:S384" si="15">N370/M370</f>
        <v>5.6326070167347211E-2</v>
      </c>
      <c r="T370" s="27">
        <f t="shared" ref="T370:T384" si="16">O370/M370</f>
        <v>1.0552505290001603E-2</v>
      </c>
      <c r="U370" s="27">
        <f t="shared" ref="U370:U384" si="17">P370/M370</f>
        <v>0.16382293966311917</v>
      </c>
      <c r="V370" s="27">
        <f t="shared" ref="V370:V384" si="18">Q370/M370</f>
        <v>7.5428778156395565E-2</v>
      </c>
    </row>
    <row r="371" spans="12:22">
      <c r="L371" s="34" t="s">
        <v>64</v>
      </c>
      <c r="M371" s="35">
        <f>M32</f>
        <v>11.635953012703224</v>
      </c>
      <c r="N371" s="35">
        <f t="shared" ref="N371:P371" si="19">N32</f>
        <v>0.23743494130765333</v>
      </c>
      <c r="O371" s="35">
        <f t="shared" si="19"/>
        <v>0.3757640784951653</v>
      </c>
      <c r="P371" s="35">
        <f t="shared" si="19"/>
        <v>2.2524526301174155</v>
      </c>
      <c r="Q371" s="35">
        <f t="shared" ref="Q371:R371" si="20">Q32</f>
        <v>0.76103824703032519</v>
      </c>
      <c r="R371" s="35">
        <f t="shared" si="20"/>
        <v>0</v>
      </c>
      <c r="S371" s="27">
        <f t="shared" si="15"/>
        <v>2.0405285329739679E-2</v>
      </c>
      <c r="T371" s="27">
        <f t="shared" si="16"/>
        <v>3.2293365063002184E-2</v>
      </c>
      <c r="U371" s="27">
        <f t="shared" si="17"/>
        <v>0.19357697883949546</v>
      </c>
      <c r="V371" s="27">
        <f t="shared" si="18"/>
        <v>6.5404032329752712E-2</v>
      </c>
    </row>
    <row r="372" spans="12:22">
      <c r="L372" s="34" t="s">
        <v>65</v>
      </c>
      <c r="M372" s="35">
        <f>M56</f>
        <v>12.082721574515462</v>
      </c>
      <c r="N372" s="35">
        <f t="shared" ref="N372:P372" si="21">N56</f>
        <v>0.46017603485177083</v>
      </c>
      <c r="O372" s="35">
        <f t="shared" si="21"/>
        <v>0.47901650554803304</v>
      </c>
      <c r="P372" s="35">
        <f t="shared" si="21"/>
        <v>0.84468955773936227</v>
      </c>
      <c r="Q372" s="35">
        <f t="shared" ref="Q372:R372" si="22">Q56</f>
        <v>0.2108701917946115</v>
      </c>
      <c r="R372" s="35">
        <f t="shared" si="22"/>
        <v>0</v>
      </c>
      <c r="S372" s="27">
        <f t="shared" si="15"/>
        <v>3.8085462121577082E-2</v>
      </c>
      <c r="T372" s="27">
        <f t="shared" si="16"/>
        <v>3.9644752433786214E-2</v>
      </c>
      <c r="U372" s="27">
        <f t="shared" si="17"/>
        <v>6.9908882078434861E-2</v>
      </c>
      <c r="V372" s="27">
        <f t="shared" si="18"/>
        <v>1.7452209793476746E-2</v>
      </c>
    </row>
    <row r="373" spans="12:22">
      <c r="L373" s="34" t="s">
        <v>66</v>
      </c>
      <c r="M373" s="35">
        <f>M80</f>
        <v>18.743412918250964</v>
      </c>
      <c r="N373" s="35">
        <f t="shared" ref="N373:P373" si="23">N80</f>
        <v>0.60205183665069228</v>
      </c>
      <c r="O373" s="35">
        <f t="shared" si="23"/>
        <v>0.27793965289641193</v>
      </c>
      <c r="P373" s="35">
        <f t="shared" si="23"/>
        <v>2.9527796281308376</v>
      </c>
      <c r="Q373" s="35">
        <f t="shared" ref="Q373:R373" si="24">Q80</f>
        <v>1.1502984121155542</v>
      </c>
      <c r="R373" s="35">
        <f t="shared" si="24"/>
        <v>3.095557118426677E-3</v>
      </c>
      <c r="S373" s="27">
        <f t="shared" si="15"/>
        <v>3.2120715649627408E-2</v>
      </c>
      <c r="T373" s="27">
        <f t="shared" si="16"/>
        <v>1.4828657625409011E-2</v>
      </c>
      <c r="U373" s="27">
        <f t="shared" si="17"/>
        <v>0.15753692462569807</v>
      </c>
      <c r="V373" s="27">
        <f t="shared" si="18"/>
        <v>6.1370808888037552E-2</v>
      </c>
    </row>
    <row r="374" spans="12:22">
      <c r="L374" s="34" t="s">
        <v>67</v>
      </c>
      <c r="M374" s="35">
        <f>M104</f>
        <v>11.028990000000002</v>
      </c>
      <c r="N374" s="35">
        <f t="shared" ref="N374:P374" si="25">N104</f>
        <v>0.18417907312111476</v>
      </c>
      <c r="O374" s="35">
        <f t="shared" si="25"/>
        <v>6.0544399205960872E-2</v>
      </c>
      <c r="P374" s="35">
        <f t="shared" si="25"/>
        <v>1.7886411661947834</v>
      </c>
      <c r="Q374" s="35">
        <f t="shared" ref="Q374:R374" si="26">Q104</f>
        <v>0.84301669484663955</v>
      </c>
      <c r="R374" s="35">
        <f t="shared" si="26"/>
        <v>3.881569418220098E-3</v>
      </c>
      <c r="S374" s="27">
        <f t="shared" si="15"/>
        <v>1.6699541220103992E-2</v>
      </c>
      <c r="T374" s="27">
        <f t="shared" si="16"/>
        <v>5.4895687824506921E-3</v>
      </c>
      <c r="U374" s="27">
        <f t="shared" si="17"/>
        <v>0.16217633402467344</v>
      </c>
      <c r="V374" s="27">
        <f t="shared" si="18"/>
        <v>7.6436436595430715E-2</v>
      </c>
    </row>
    <row r="375" spans="12:22">
      <c r="L375" s="34" t="s">
        <v>68</v>
      </c>
      <c r="M375" s="35">
        <f>M128</f>
        <v>12.947370416666665</v>
      </c>
      <c r="N375" s="35">
        <f t="shared" ref="N375:P375" si="27">N128</f>
        <v>0.21146950557879182</v>
      </c>
      <c r="O375" s="35">
        <f t="shared" si="27"/>
        <v>0.13765027296042542</v>
      </c>
      <c r="P375" s="35">
        <f t="shared" si="27"/>
        <v>2.4513893466110495</v>
      </c>
      <c r="Q375" s="35">
        <f t="shared" ref="Q375:R375" si="28">Q128</f>
        <v>1.0081544019587856</v>
      </c>
      <c r="R375" s="35">
        <f t="shared" si="28"/>
        <v>1.2498162834260503E-2</v>
      </c>
      <c r="S375" s="27">
        <f t="shared" si="15"/>
        <v>1.6333008076031798E-2</v>
      </c>
      <c r="T375" s="27">
        <f t="shared" si="16"/>
        <v>1.0631523508683538E-2</v>
      </c>
      <c r="U375" s="27">
        <f t="shared" si="17"/>
        <v>0.18933492035228</v>
      </c>
      <c r="V375" s="27">
        <f t="shared" si="18"/>
        <v>7.7865571889487784E-2</v>
      </c>
    </row>
    <row r="376" spans="12:22">
      <c r="L376" s="34" t="s">
        <v>69</v>
      </c>
      <c r="M376" s="35">
        <f>M152</f>
        <v>13.368674999999998</v>
      </c>
      <c r="N376" s="35">
        <f t="shared" ref="N376:P376" si="29">N152</f>
        <v>0.15064583333333334</v>
      </c>
      <c r="O376" s="35">
        <f t="shared" si="29"/>
        <v>0.28073333333333339</v>
      </c>
      <c r="P376" s="35">
        <f t="shared" si="29"/>
        <v>3.523320833333333</v>
      </c>
      <c r="Q376" s="35">
        <f t="shared" ref="Q376:R376" si="30">Q152</f>
        <v>0.85032500000000011</v>
      </c>
      <c r="R376" s="35">
        <f t="shared" si="30"/>
        <v>3.4499749999999997E-3</v>
      </c>
      <c r="S376" s="27">
        <f t="shared" si="15"/>
        <v>1.1268568749957146E-2</v>
      </c>
      <c r="T376" s="27">
        <f t="shared" si="16"/>
        <v>2.0999338628049036E-2</v>
      </c>
      <c r="U376" s="27">
        <f t="shared" si="17"/>
        <v>0.26355048898513378</v>
      </c>
      <c r="V376" s="27">
        <f t="shared" si="18"/>
        <v>6.3605779929574197E-2</v>
      </c>
    </row>
    <row r="377" spans="12:22">
      <c r="L377" s="34" t="s">
        <v>70</v>
      </c>
      <c r="M377" s="35">
        <f>M176</f>
        <v>15.349541666666667</v>
      </c>
      <c r="N377" s="35">
        <f t="shared" ref="N377:P377" si="31">N176</f>
        <v>0.18129166249999998</v>
      </c>
      <c r="O377" s="35">
        <f t="shared" si="31"/>
        <v>0.62329161666666655</v>
      </c>
      <c r="P377" s="35">
        <f t="shared" si="31"/>
        <v>3.6847083333333335</v>
      </c>
      <c r="Q377" s="35">
        <f t="shared" ref="Q377:R377" si="32">Q176</f>
        <v>1.1200833333333335</v>
      </c>
      <c r="R377" s="35">
        <f t="shared" si="32"/>
        <v>7.0832624999999996E-3</v>
      </c>
      <c r="S377" s="27">
        <f t="shared" si="15"/>
        <v>1.1810884418372969E-2</v>
      </c>
      <c r="T377" s="27">
        <f t="shared" si="16"/>
        <v>4.0606529510924583E-2</v>
      </c>
      <c r="U377" s="27">
        <f t="shared" si="17"/>
        <v>0.24005331320967782</v>
      </c>
      <c r="V377" s="27">
        <f t="shared" si="18"/>
        <v>7.2971777116037681E-2</v>
      </c>
    </row>
    <row r="378" spans="12:22">
      <c r="L378" s="34" t="s">
        <v>71</v>
      </c>
      <c r="M378" s="35">
        <f>M200</f>
        <v>17.814458333333331</v>
      </c>
      <c r="N378" s="35">
        <f t="shared" ref="N378:P378" si="33">N200</f>
        <v>0.43770833333333337</v>
      </c>
      <c r="O378" s="35">
        <f t="shared" si="33"/>
        <v>0.44254165416666663</v>
      </c>
      <c r="P378" s="35">
        <f t="shared" si="33"/>
        <v>3.7342083333333331</v>
      </c>
      <c r="Q378" s="35">
        <f t="shared" ref="Q378:R378" si="34">Q200</f>
        <v>1.0030833333333333</v>
      </c>
      <c r="R378" s="35">
        <f t="shared" si="34"/>
        <v>3.1666595833333373E-2</v>
      </c>
      <c r="S378" s="27">
        <f t="shared" si="15"/>
        <v>2.4570398108278161E-2</v>
      </c>
      <c r="T378" s="27">
        <f t="shared" si="16"/>
        <v>2.4841712607035018E-2</v>
      </c>
      <c r="U378" s="27">
        <f t="shared" si="17"/>
        <v>0.20961672050090402</v>
      </c>
      <c r="V378" s="27">
        <f t="shared" si="18"/>
        <v>5.6307259786643346E-2</v>
      </c>
    </row>
    <row r="379" spans="12:22">
      <c r="L379" s="34" t="s">
        <v>72</v>
      </c>
      <c r="M379" s="35">
        <f>M224</f>
        <v>11.771249999999995</v>
      </c>
      <c r="N379" s="35">
        <f t="shared" ref="N379:P379" si="35">N224</f>
        <v>0.29745833333333327</v>
      </c>
      <c r="O379" s="35">
        <f t="shared" si="35"/>
        <v>0.10070830416666665</v>
      </c>
      <c r="P379" s="35">
        <f t="shared" si="35"/>
        <v>2.3888750000000001</v>
      </c>
      <c r="Q379" s="35">
        <f t="shared" ref="Q379:R379" si="36">Q224</f>
        <v>0.83333333333333348</v>
      </c>
      <c r="R379" s="35">
        <f t="shared" si="36"/>
        <v>5.333266666666666E-3</v>
      </c>
      <c r="S379" s="27">
        <f t="shared" si="15"/>
        <v>2.5269901950373444E-2</v>
      </c>
      <c r="T379" s="27">
        <f t="shared" si="16"/>
        <v>8.5554468868358664E-3</v>
      </c>
      <c r="U379" s="27">
        <f t="shared" si="17"/>
        <v>0.20294148879685683</v>
      </c>
      <c r="V379" s="27">
        <f t="shared" si="18"/>
        <v>7.0793954196311681E-2</v>
      </c>
    </row>
    <row r="380" spans="12:22">
      <c r="L380" s="34" t="s">
        <v>73</v>
      </c>
      <c r="M380" s="35">
        <f>M248</f>
        <v>12.296291666666667</v>
      </c>
      <c r="N380" s="35">
        <f t="shared" ref="N380:P380" si="37">N248</f>
        <v>0.63618043749999997</v>
      </c>
      <c r="O380" s="35">
        <f t="shared" si="37"/>
        <v>3.650167708333333E-2</v>
      </c>
      <c r="P380" s="35">
        <f t="shared" si="37"/>
        <v>2.3712179114583334</v>
      </c>
      <c r="Q380" s="35">
        <f t="shared" ref="Q380:R380" si="38">Q248</f>
        <v>1.2464321614583331</v>
      </c>
      <c r="R380" s="35">
        <f t="shared" si="38"/>
        <v>1.0303921874999998E-2</v>
      </c>
      <c r="S380" s="27">
        <f t="shared" si="15"/>
        <v>5.1737585179813694E-2</v>
      </c>
      <c r="T380" s="27">
        <f t="shared" si="16"/>
        <v>2.9685110009454066E-3</v>
      </c>
      <c r="U380" s="27">
        <f t="shared" si="17"/>
        <v>0.19284008347706455</v>
      </c>
      <c r="V380" s="27">
        <f t="shared" si="18"/>
        <v>0.10136650912707421</v>
      </c>
    </row>
    <row r="381" spans="12:22">
      <c r="L381" s="34" t="s">
        <v>74</v>
      </c>
      <c r="M381" s="35">
        <f>M272</f>
        <v>10.038958333333333</v>
      </c>
      <c r="N381" s="35">
        <f t="shared" ref="N381:P381" si="39">N272</f>
        <v>0.28443217187500003</v>
      </c>
      <c r="O381" s="35">
        <f t="shared" si="39"/>
        <v>3.1880385416666664E-2</v>
      </c>
      <c r="P381" s="35">
        <f t="shared" si="39"/>
        <v>1.688287776041667</v>
      </c>
      <c r="Q381" s="35">
        <f t="shared" ref="Q381:R381" si="40">Q272</f>
        <v>1.0899147916666667</v>
      </c>
      <c r="R381" s="35">
        <f t="shared" si="40"/>
        <v>2.0475333333333335E-2</v>
      </c>
      <c r="S381" s="27">
        <f t="shared" si="15"/>
        <v>2.8332837176001827E-2</v>
      </c>
      <c r="T381" s="27">
        <f t="shared" si="16"/>
        <v>3.1756666735841613E-3</v>
      </c>
      <c r="U381" s="27">
        <f t="shared" si="17"/>
        <v>0.16817360128250361</v>
      </c>
      <c r="V381" s="27">
        <f t="shared" si="18"/>
        <v>0.10856851432959097</v>
      </c>
    </row>
    <row r="382" spans="12:22">
      <c r="L382" s="34" t="s">
        <v>75</v>
      </c>
      <c r="M382" s="35">
        <f>M296</f>
        <v>13.373250000000004</v>
      </c>
      <c r="N382" s="35">
        <f t="shared" ref="N382:P382" si="41">N296</f>
        <v>0.25763700520833333</v>
      </c>
      <c r="O382" s="35">
        <f t="shared" si="41"/>
        <v>2.6894781249999999E-2</v>
      </c>
      <c r="P382" s="35">
        <f t="shared" si="41"/>
        <v>4.1950814843749988</v>
      </c>
      <c r="Q382" s="35">
        <f t="shared" ref="Q382:R382" si="42">Q296</f>
        <v>0.82564382291666671</v>
      </c>
      <c r="R382" s="35">
        <f t="shared" si="42"/>
        <v>5.5143333333333338E-3</v>
      </c>
      <c r="S382" s="27">
        <f t="shared" si="15"/>
        <v>1.9265100496015049E-2</v>
      </c>
      <c r="T382" s="27">
        <f t="shared" si="16"/>
        <v>2.0110878993513165E-3</v>
      </c>
      <c r="U382" s="27">
        <f t="shared" si="17"/>
        <v>0.31369199591535324</v>
      </c>
      <c r="V382" s="27">
        <f t="shared" si="18"/>
        <v>6.1738457212470149E-2</v>
      </c>
    </row>
    <row r="383" spans="12:22">
      <c r="L383" s="34" t="s">
        <v>76</v>
      </c>
      <c r="M383" s="35">
        <f>M320</f>
        <v>11.649041666666669</v>
      </c>
      <c r="N383" s="35">
        <f t="shared" ref="N383:P383" si="43">N320</f>
        <v>0.44901294898167593</v>
      </c>
      <c r="O383" s="35">
        <f t="shared" si="43"/>
        <v>2.4474427083333332E-3</v>
      </c>
      <c r="P383" s="35">
        <f t="shared" si="43"/>
        <v>3.3552931513334499</v>
      </c>
      <c r="Q383" s="35">
        <f t="shared" ref="Q383:R383" si="44">Q320</f>
        <v>0.70896999200513544</v>
      </c>
      <c r="R383" s="35">
        <f t="shared" si="44"/>
        <v>0</v>
      </c>
      <c r="S383" s="27">
        <f t="shared" si="15"/>
        <v>3.8545054763303922E-2</v>
      </c>
      <c r="T383" s="27">
        <f t="shared" si="16"/>
        <v>2.1009820192648173E-4</v>
      </c>
      <c r="U383" s="27">
        <f t="shared" si="17"/>
        <v>0.2880316894165213</v>
      </c>
      <c r="V383" s="27">
        <f t="shared" si="18"/>
        <v>6.0860799737185986E-2</v>
      </c>
    </row>
    <row r="384" spans="12:22">
      <c r="L384" s="34" t="s">
        <v>77</v>
      </c>
      <c r="M384" s="35">
        <f>M344</f>
        <v>6.9136249999999988</v>
      </c>
      <c r="N384" s="35">
        <f t="shared" ref="N384:P384" si="45">N344</f>
        <v>0.51646931249999994</v>
      </c>
      <c r="O384" s="35">
        <f t="shared" si="45"/>
        <v>0</v>
      </c>
      <c r="P384" s="35">
        <f t="shared" si="45"/>
        <v>1.1859481197916668</v>
      </c>
      <c r="Q384" s="35">
        <f t="shared" ref="Q384:R384" si="46">Q344</f>
        <v>0.69611320833333323</v>
      </c>
      <c r="R384" s="35">
        <f t="shared" si="46"/>
        <v>3.4410885416666665E-3</v>
      </c>
      <c r="S384" s="27">
        <f t="shared" si="15"/>
        <v>7.4703113417346187E-2</v>
      </c>
      <c r="T384" s="27">
        <f t="shared" si="16"/>
        <v>0</v>
      </c>
      <c r="U384" s="27">
        <f t="shared" si="17"/>
        <v>0.17153781406883756</v>
      </c>
      <c r="V384" s="27">
        <f t="shared" si="18"/>
        <v>0.10068715157870631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Zea update</vt:lpstr>
      <vt:lpstr>Fuco update</vt:lpstr>
      <vt:lpstr>but-fuco update</vt:lpstr>
      <vt:lpstr>Peridin update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2026-02-18T21:07:13Z</dcterms:modified>
</cp:coreProperties>
</file>